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A5A09E5A-6B88-4474-BB96-931835BC2C33}" xr6:coauthVersionLast="47" xr6:coauthVersionMax="47" xr10:uidLastSave="{00000000-0000-0000-0000-000000000000}"/>
  <bookViews>
    <workbookView xWindow="-120" yWindow="-120" windowWidth="38640" windowHeight="21120" tabRatio="692" firstSheet="2" activeTab="8"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crolls2.0" sheetId="8" r:id="rId7"/>
    <sheet name="statuses2.0" sheetId="39" r:id="rId8"/>
    <sheet name="events2.0" sheetId="40" r:id="rId9"/>
    <sheet name="locations2.0" sheetId="38" r:id="rId10"/>
    <sheet name="Map Analysis" sheetId="1" r:id="rId11"/>
    <sheet name="locations" sheetId="34" r:id="rId12"/>
    <sheet name="items" sheetId="9" r:id="rId13"/>
    <sheet name="events" sheetId="10" r:id="rId14"/>
    <sheet name="encounters" sheetId="11" r:id="rId15"/>
    <sheet name="enemiesD" sheetId="12" r:id="rId16"/>
    <sheet name="enemiesA" sheetId="13" r:id="rId17"/>
    <sheet name="cursesnew" sheetId="14" r:id="rId18"/>
    <sheet name="statuses" sheetId="15" r:id="rId19"/>
    <sheet name="statusesnew" sheetId="16" r:id="rId20"/>
    <sheet name="elements" sheetId="17" r:id="rId21"/>
    <sheet name="addons" sheetId="18" r:id="rId22"/>
    <sheet name="addonsnew" sheetId="19" r:id="rId23"/>
    <sheet name="scrolls" sheetId="20" r:id="rId24"/>
    <sheet name="potions" sheetId="21" r:id="rId25"/>
    <sheet name="characters" sheetId="22" r:id="rId26"/>
    <sheet name="cards" sheetId="23" r:id="rId27"/>
    <sheet name="cardsnew" sheetId="24" r:id="rId28"/>
    <sheet name="evolutions" sheetId="25" r:id="rId29"/>
    <sheet name="moves" sheetId="26" r:id="rId30"/>
    <sheet name="spells" sheetId="27" r:id="rId31"/>
    <sheet name="fish" sheetId="28" r:id="rId32"/>
    <sheet name="enemies" sheetId="29" r:id="rId33"/>
    <sheet name="enemiesS" sheetId="30" r:id="rId34"/>
    <sheet name="dice" sheetId="31" r:id="rId35"/>
    <sheet name="mods" sheetId="32" r:id="rId36"/>
    <sheet name="gamestatuses" sheetId="33" r:id="rId37"/>
    <sheet name="curses" sheetId="35" r:id="rId38"/>
    <sheet name="bingo" sheetId="36" r:id="rId39"/>
    <sheet name="Map Calc" sheetId="37" r:id="rId40"/>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30" i="2" l="1"/>
  <c r="D730" i="2"/>
  <c r="U1060" i="37"/>
  <c r="T1060" i="37"/>
  <c r="U1059" i="37"/>
  <c r="T1059" i="37"/>
  <c r="U1058" i="37"/>
  <c r="T1058" i="37"/>
  <c r="U1057" i="37"/>
  <c r="T1057" i="37"/>
  <c r="U1056" i="37"/>
  <c r="T1056" i="37"/>
  <c r="U1055" i="37"/>
  <c r="T1055" i="37"/>
  <c r="U1054" i="37"/>
  <c r="T1054" i="37"/>
  <c r="U1053" i="37"/>
  <c r="T1053" i="37"/>
  <c r="U1052" i="37"/>
  <c r="T1052" i="37"/>
  <c r="U1051" i="37"/>
  <c r="T1051" i="37"/>
  <c r="U1050" i="37"/>
  <c r="T1050" i="37"/>
  <c r="U1049" i="37"/>
  <c r="T1049" i="37"/>
  <c r="U1048" i="37"/>
  <c r="T1048" i="37"/>
  <c r="U1047" i="37"/>
  <c r="T1047" i="37"/>
  <c r="U1046" i="37"/>
  <c r="T1046" i="37"/>
  <c r="U1045" i="37"/>
  <c r="T1045" i="37"/>
  <c r="U1044" i="37"/>
  <c r="T1044" i="37"/>
  <c r="U1043" i="37"/>
  <c r="T1043" i="37"/>
  <c r="U1042" i="37"/>
  <c r="T1042" i="37"/>
  <c r="U1041" i="37"/>
  <c r="T1041" i="37"/>
  <c r="U1040" i="37"/>
  <c r="T1040" i="37"/>
  <c r="U1039" i="37"/>
  <c r="T1039" i="37"/>
  <c r="U1038" i="37"/>
  <c r="T1038" i="37"/>
  <c r="U1037" i="37"/>
  <c r="T1037" i="37"/>
  <c r="U1036" i="37"/>
  <c r="T1036" i="37"/>
  <c r="U1035" i="37"/>
  <c r="T1035" i="37"/>
  <c r="U1034" i="37"/>
  <c r="T1034" i="37"/>
  <c r="U1033" i="37"/>
  <c r="T1033" i="37"/>
  <c r="U1032" i="37"/>
  <c r="T1032" i="37"/>
  <c r="U1031" i="37"/>
  <c r="T1031" i="37"/>
  <c r="U1030" i="37"/>
  <c r="T1030" i="37"/>
  <c r="U1029" i="37"/>
  <c r="T1029" i="37"/>
  <c r="U1028" i="37"/>
  <c r="T1028" i="37"/>
  <c r="U1027" i="37"/>
  <c r="T1027" i="37"/>
  <c r="U1026" i="37"/>
  <c r="T1026" i="37"/>
  <c r="U1025" i="37"/>
  <c r="T1025" i="37"/>
  <c r="U1024" i="37"/>
  <c r="T1024" i="37"/>
  <c r="U1023" i="37"/>
  <c r="T1023" i="37"/>
  <c r="U1022" i="37"/>
  <c r="T1022" i="37"/>
  <c r="U1021" i="37"/>
  <c r="T1021" i="37"/>
  <c r="U1020" i="37"/>
  <c r="T1020" i="37"/>
  <c r="U1019" i="37"/>
  <c r="T1019" i="37"/>
  <c r="U1018" i="37"/>
  <c r="T1018" i="37"/>
  <c r="U1017" i="37"/>
  <c r="T1017" i="37"/>
  <c r="U1016" i="37"/>
  <c r="T1016" i="37"/>
  <c r="U1015" i="37"/>
  <c r="T1015" i="37"/>
  <c r="U1014" i="37"/>
  <c r="T1014" i="37"/>
  <c r="U1013" i="37"/>
  <c r="T1013" i="37"/>
  <c r="U1012" i="37"/>
  <c r="T1012" i="37"/>
  <c r="U1011" i="37"/>
  <c r="T1011" i="37"/>
  <c r="U1010" i="37"/>
  <c r="T1010" i="37"/>
  <c r="U1009" i="37"/>
  <c r="T1009" i="37"/>
  <c r="U1008" i="37"/>
  <c r="T1008" i="37"/>
  <c r="U1007" i="37"/>
  <c r="T1007" i="37"/>
  <c r="U1006" i="37"/>
  <c r="T1006" i="37"/>
  <c r="U1005" i="37"/>
  <c r="T1005" i="37"/>
  <c r="U1004" i="37"/>
  <c r="T1004" i="37"/>
  <c r="U1003" i="37"/>
  <c r="T1003" i="37"/>
  <c r="U1002" i="37"/>
  <c r="T1002" i="37"/>
  <c r="U1001" i="37"/>
  <c r="T1001" i="37"/>
  <c r="U1000" i="37"/>
  <c r="T1000" i="37"/>
  <c r="U999" i="37"/>
  <c r="T999" i="37"/>
  <c r="U998" i="37"/>
  <c r="T998" i="37"/>
  <c r="U997" i="37"/>
  <c r="T997" i="37"/>
  <c r="U996" i="37"/>
  <c r="T996" i="37"/>
  <c r="U995" i="37"/>
  <c r="T995" i="37"/>
  <c r="U994" i="37"/>
  <c r="T994" i="37"/>
  <c r="U993" i="37"/>
  <c r="T993" i="37"/>
  <c r="U992" i="37"/>
  <c r="T992" i="37"/>
  <c r="U991" i="37"/>
  <c r="T991" i="37"/>
  <c r="U990" i="37"/>
  <c r="T990" i="37"/>
  <c r="U989" i="37"/>
  <c r="T989" i="37"/>
  <c r="U988" i="37"/>
  <c r="T988" i="37"/>
  <c r="U987" i="37"/>
  <c r="T987" i="37"/>
  <c r="U986" i="37"/>
  <c r="T986" i="37"/>
  <c r="U985" i="37"/>
  <c r="T985" i="37"/>
  <c r="U984" i="37"/>
  <c r="T984" i="37"/>
  <c r="U983" i="37"/>
  <c r="T983" i="37"/>
  <c r="U982" i="37"/>
  <c r="T982" i="37"/>
  <c r="U981" i="37"/>
  <c r="T981" i="37"/>
  <c r="U980" i="37"/>
  <c r="T980" i="37"/>
  <c r="U979" i="37"/>
  <c r="T979" i="37"/>
  <c r="U978" i="37"/>
  <c r="T978" i="37"/>
  <c r="U977" i="37"/>
  <c r="T977" i="37"/>
  <c r="U976" i="37"/>
  <c r="T976" i="37"/>
  <c r="U975" i="37"/>
  <c r="T975" i="37"/>
  <c r="U974" i="37"/>
  <c r="T974" i="37"/>
  <c r="U973" i="37"/>
  <c r="T973" i="37"/>
  <c r="U972" i="37"/>
  <c r="T972" i="37"/>
  <c r="U971" i="37"/>
  <c r="T971" i="37"/>
  <c r="U970" i="37"/>
  <c r="T970" i="37"/>
  <c r="U969" i="37"/>
  <c r="T969" i="37"/>
  <c r="U968" i="37"/>
  <c r="T968" i="37"/>
  <c r="U967" i="37"/>
  <c r="T967" i="37"/>
  <c r="U966" i="37"/>
  <c r="T966" i="37"/>
  <c r="U965" i="37"/>
  <c r="T965" i="37"/>
  <c r="U964" i="37"/>
  <c r="T964" i="37"/>
  <c r="U963" i="37"/>
  <c r="T963" i="37"/>
  <c r="U962" i="37"/>
  <c r="T962" i="37"/>
  <c r="U961" i="37"/>
  <c r="T961" i="37"/>
  <c r="U960" i="37"/>
  <c r="T960" i="37"/>
  <c r="U959" i="37"/>
  <c r="T959" i="37"/>
  <c r="U958" i="37"/>
  <c r="T958" i="37"/>
  <c r="U957" i="37"/>
  <c r="T957" i="37"/>
  <c r="U956" i="37"/>
  <c r="T956" i="37"/>
  <c r="U955" i="37"/>
  <c r="T955" i="37"/>
  <c r="U954" i="37"/>
  <c r="T954" i="37"/>
  <c r="U953" i="37"/>
  <c r="T953" i="37"/>
  <c r="U952" i="37"/>
  <c r="T952" i="37"/>
  <c r="U951" i="37"/>
  <c r="T951" i="37"/>
  <c r="U950" i="37"/>
  <c r="T950" i="37"/>
  <c r="U949" i="37"/>
  <c r="T949" i="37"/>
  <c r="U948" i="37"/>
  <c r="T948" i="37"/>
  <c r="U947" i="37"/>
  <c r="T947" i="37"/>
  <c r="U946" i="37"/>
  <c r="T946" i="37"/>
  <c r="U945" i="37"/>
  <c r="T945" i="37"/>
  <c r="U944" i="37"/>
  <c r="T944" i="37"/>
  <c r="U943" i="37"/>
  <c r="T943" i="37"/>
  <c r="U942" i="37"/>
  <c r="T942" i="37"/>
  <c r="U941" i="37"/>
  <c r="T941" i="37"/>
  <c r="U940" i="37"/>
  <c r="T940" i="37"/>
  <c r="U939" i="37"/>
  <c r="T939" i="37"/>
  <c r="U938" i="37"/>
  <c r="T938" i="37"/>
  <c r="U937" i="37"/>
  <c r="T937" i="37"/>
  <c r="U936" i="37"/>
  <c r="T936" i="37"/>
  <c r="U935" i="37"/>
  <c r="T935" i="37"/>
  <c r="U934" i="37"/>
  <c r="T934" i="37"/>
  <c r="U933" i="37"/>
  <c r="T933" i="37"/>
  <c r="U932" i="37"/>
  <c r="T932" i="37"/>
  <c r="U931" i="37"/>
  <c r="T931" i="37"/>
  <c r="U930" i="37"/>
  <c r="T930" i="37"/>
  <c r="U929" i="37"/>
  <c r="T929" i="37"/>
  <c r="U928" i="37"/>
  <c r="T928" i="37"/>
  <c r="U927" i="37"/>
  <c r="T927" i="37"/>
  <c r="U926" i="37"/>
  <c r="T926" i="37"/>
  <c r="U925" i="37"/>
  <c r="T925" i="37"/>
  <c r="U924" i="37"/>
  <c r="T924" i="37"/>
  <c r="U923" i="37"/>
  <c r="T923" i="37"/>
  <c r="U922" i="37"/>
  <c r="T922" i="37"/>
  <c r="U921" i="37"/>
  <c r="T921" i="37"/>
  <c r="U920" i="37"/>
  <c r="T920" i="37"/>
  <c r="U919" i="37"/>
  <c r="T919" i="37"/>
  <c r="U918" i="37"/>
  <c r="T918" i="37"/>
  <c r="U917" i="37"/>
  <c r="T917" i="37"/>
  <c r="U916" i="37"/>
  <c r="T916" i="37"/>
  <c r="U915" i="37"/>
  <c r="T915" i="37"/>
  <c r="U914" i="37"/>
  <c r="T914" i="37"/>
  <c r="U913" i="37"/>
  <c r="T913" i="37"/>
  <c r="U912" i="37"/>
  <c r="T912" i="37"/>
  <c r="U911" i="37"/>
  <c r="T911" i="37"/>
  <c r="U910" i="37"/>
  <c r="T910" i="37"/>
  <c r="U909" i="37"/>
  <c r="T909" i="37"/>
  <c r="U908" i="37"/>
  <c r="T908" i="37"/>
  <c r="U907" i="37"/>
  <c r="T907" i="37"/>
  <c r="U906" i="37"/>
  <c r="T906" i="37"/>
  <c r="U905" i="37"/>
  <c r="T905" i="37"/>
  <c r="U904" i="37"/>
  <c r="T904" i="37"/>
  <c r="U903" i="37"/>
  <c r="T903" i="37"/>
  <c r="U902" i="37"/>
  <c r="T902" i="37"/>
  <c r="U901" i="37"/>
  <c r="T901" i="37"/>
  <c r="U900" i="37"/>
  <c r="T900" i="37"/>
  <c r="U899" i="37"/>
  <c r="T899" i="37"/>
  <c r="U898" i="37"/>
  <c r="T898" i="37"/>
  <c r="U897" i="37"/>
  <c r="T897" i="37"/>
  <c r="U896" i="37"/>
  <c r="T896" i="37"/>
  <c r="U895" i="37"/>
  <c r="T895" i="37"/>
  <c r="U894" i="37"/>
  <c r="T894" i="37"/>
  <c r="U893" i="37"/>
  <c r="T893" i="37"/>
  <c r="U892" i="37"/>
  <c r="T892" i="37"/>
  <c r="U891" i="37"/>
  <c r="T891" i="37"/>
  <c r="U890" i="37"/>
  <c r="T890" i="37"/>
  <c r="U889" i="37"/>
  <c r="T889" i="37"/>
  <c r="U888" i="37"/>
  <c r="T888" i="37"/>
  <c r="U887" i="37"/>
  <c r="T887" i="37"/>
  <c r="U886" i="37"/>
  <c r="T886" i="37"/>
  <c r="U885" i="37"/>
  <c r="T885" i="37"/>
  <c r="U884" i="37"/>
  <c r="T884" i="37"/>
  <c r="U883" i="37"/>
  <c r="T883" i="37"/>
  <c r="U882" i="37"/>
  <c r="T882" i="37"/>
  <c r="U881" i="37"/>
  <c r="T881" i="37"/>
  <c r="U880" i="37"/>
  <c r="T880" i="37"/>
  <c r="U879" i="37"/>
  <c r="T879" i="37"/>
  <c r="U878" i="37"/>
  <c r="T878" i="37"/>
  <c r="U877" i="37"/>
  <c r="T877" i="37"/>
  <c r="U876" i="37"/>
  <c r="T876" i="37"/>
  <c r="U875" i="37"/>
  <c r="T875" i="37"/>
  <c r="U874" i="37"/>
  <c r="T874" i="37"/>
  <c r="U873" i="37"/>
  <c r="T873" i="37"/>
  <c r="U872" i="37"/>
  <c r="T872" i="37"/>
  <c r="U871" i="37"/>
  <c r="T871" i="37"/>
  <c r="U870" i="37"/>
  <c r="T870" i="37"/>
  <c r="U869" i="37"/>
  <c r="T869" i="37"/>
  <c r="U868" i="37"/>
  <c r="T868" i="37"/>
  <c r="U867" i="37"/>
  <c r="T867" i="37"/>
  <c r="U866" i="37"/>
  <c r="T866" i="37"/>
  <c r="U865" i="37"/>
  <c r="T865" i="37"/>
  <c r="U864" i="37"/>
  <c r="T864" i="37"/>
  <c r="U863" i="37"/>
  <c r="T863" i="37"/>
  <c r="U862" i="37"/>
  <c r="T862" i="37"/>
  <c r="U861" i="37"/>
  <c r="T861" i="37"/>
  <c r="U860" i="37"/>
  <c r="T860" i="37"/>
  <c r="U859" i="37"/>
  <c r="T859" i="37"/>
  <c r="U858" i="37"/>
  <c r="T858" i="37"/>
  <c r="U857" i="37"/>
  <c r="T857" i="37"/>
  <c r="U856" i="37"/>
  <c r="T856" i="37"/>
  <c r="U855" i="37"/>
  <c r="T855" i="37"/>
  <c r="U854" i="37"/>
  <c r="T854" i="37"/>
  <c r="U853" i="37"/>
  <c r="T853" i="37"/>
  <c r="U852" i="37"/>
  <c r="T852" i="37"/>
  <c r="U851" i="37"/>
  <c r="T851" i="37"/>
  <c r="U850" i="37"/>
  <c r="T850" i="37"/>
  <c r="U849" i="37"/>
  <c r="T849" i="37"/>
  <c r="U848" i="37"/>
  <c r="T848" i="37"/>
  <c r="U847" i="37"/>
  <c r="T847" i="37"/>
  <c r="U846" i="37"/>
  <c r="T846" i="37"/>
  <c r="U845" i="37"/>
  <c r="T845" i="37"/>
  <c r="U844" i="37"/>
  <c r="T844" i="37"/>
  <c r="U843" i="37"/>
  <c r="T843" i="37"/>
  <c r="U842" i="37"/>
  <c r="T842" i="37"/>
  <c r="U841" i="37"/>
  <c r="T841" i="37"/>
  <c r="U840" i="37"/>
  <c r="T840" i="37"/>
  <c r="U839" i="37"/>
  <c r="T839" i="37"/>
  <c r="U838" i="37"/>
  <c r="T838" i="37"/>
  <c r="U837" i="37"/>
  <c r="T837" i="37"/>
  <c r="U836" i="37"/>
  <c r="T836" i="37"/>
  <c r="U835" i="37"/>
  <c r="T835" i="37"/>
  <c r="U834" i="37"/>
  <c r="T834" i="37"/>
  <c r="U833" i="37"/>
  <c r="T833" i="37"/>
  <c r="U832" i="37"/>
  <c r="T832" i="37"/>
  <c r="U831" i="37"/>
  <c r="T831" i="37"/>
  <c r="U830" i="37"/>
  <c r="T830" i="37"/>
  <c r="U829" i="37"/>
  <c r="T829" i="37"/>
  <c r="U828" i="37"/>
  <c r="T828" i="37"/>
  <c r="U827" i="37"/>
  <c r="T827" i="37"/>
  <c r="U826" i="37"/>
  <c r="T826" i="37"/>
  <c r="U825" i="37"/>
  <c r="T825" i="37"/>
  <c r="U824" i="37"/>
  <c r="T824" i="37"/>
  <c r="U823" i="37"/>
  <c r="T823" i="37"/>
  <c r="U822" i="37"/>
  <c r="T822" i="37"/>
  <c r="U821" i="37"/>
  <c r="T821" i="37"/>
  <c r="U820" i="37"/>
  <c r="T820" i="37"/>
  <c r="U819" i="37"/>
  <c r="T819" i="37"/>
  <c r="U818" i="37"/>
  <c r="T818" i="37"/>
  <c r="U817" i="37"/>
  <c r="T817" i="37"/>
  <c r="U816" i="37"/>
  <c r="T816" i="37"/>
  <c r="U815" i="37"/>
  <c r="T815" i="37"/>
  <c r="U814" i="37"/>
  <c r="T814" i="37"/>
  <c r="U813" i="37"/>
  <c r="T813" i="37"/>
  <c r="U812" i="37"/>
  <c r="T812" i="37"/>
  <c r="U811" i="37"/>
  <c r="T811" i="37"/>
  <c r="U810" i="37"/>
  <c r="T810" i="37"/>
  <c r="U809" i="37"/>
  <c r="T809" i="37"/>
  <c r="U808" i="37"/>
  <c r="T808" i="37"/>
  <c r="U807" i="37"/>
  <c r="T807" i="37"/>
  <c r="U806" i="37"/>
  <c r="T806" i="37"/>
  <c r="U805" i="37"/>
  <c r="T805" i="37"/>
  <c r="U804" i="37"/>
  <c r="T804" i="37"/>
  <c r="U803" i="37"/>
  <c r="T803" i="37"/>
  <c r="U802" i="37"/>
  <c r="T802" i="37"/>
  <c r="U801" i="37"/>
  <c r="T801" i="37"/>
  <c r="U800" i="37"/>
  <c r="T800" i="37"/>
  <c r="U799" i="37"/>
  <c r="T799" i="37"/>
  <c r="U798" i="37"/>
  <c r="T798" i="37"/>
  <c r="U797" i="37"/>
  <c r="T797" i="37"/>
  <c r="U796" i="37"/>
  <c r="T796" i="37"/>
  <c r="U795" i="37"/>
  <c r="T795" i="37"/>
  <c r="U794" i="37"/>
  <c r="T794" i="37"/>
  <c r="U793" i="37"/>
  <c r="T793" i="37"/>
  <c r="U792" i="37"/>
  <c r="T792" i="37"/>
  <c r="U791" i="37"/>
  <c r="T791" i="37"/>
  <c r="U790" i="37"/>
  <c r="T790" i="37"/>
  <c r="U789" i="37"/>
  <c r="T789" i="37"/>
  <c r="U788" i="37"/>
  <c r="T788" i="37"/>
  <c r="U787" i="37"/>
  <c r="T787" i="37"/>
  <c r="U786" i="37"/>
  <c r="T786" i="37"/>
  <c r="U785" i="37"/>
  <c r="T785" i="37"/>
  <c r="U784" i="37"/>
  <c r="T784" i="37"/>
  <c r="U783" i="37"/>
  <c r="T783" i="37"/>
  <c r="U782" i="37"/>
  <c r="T782" i="37"/>
  <c r="U781" i="37"/>
  <c r="T781" i="37"/>
  <c r="U780" i="37"/>
  <c r="T780" i="37"/>
  <c r="U779" i="37"/>
  <c r="T779" i="37"/>
  <c r="U778" i="37"/>
  <c r="T778" i="37"/>
  <c r="U777" i="37"/>
  <c r="T777" i="37"/>
  <c r="U776" i="37"/>
  <c r="T776" i="37"/>
  <c r="U775" i="37"/>
  <c r="T775" i="37"/>
  <c r="U774" i="37"/>
  <c r="T774" i="37"/>
  <c r="U773" i="37"/>
  <c r="T773" i="37"/>
  <c r="U772" i="37"/>
  <c r="T772" i="37"/>
  <c r="U771" i="37"/>
  <c r="T771" i="37"/>
  <c r="U770" i="37"/>
  <c r="T770" i="37"/>
  <c r="U769" i="37"/>
  <c r="T769" i="37"/>
  <c r="U768" i="37"/>
  <c r="T768" i="37"/>
  <c r="U767" i="37"/>
  <c r="T767" i="37"/>
  <c r="U766" i="37"/>
  <c r="T766" i="37"/>
  <c r="U765" i="37"/>
  <c r="T765" i="37"/>
  <c r="U764" i="37"/>
  <c r="T764" i="37"/>
  <c r="U763" i="37"/>
  <c r="T763" i="37"/>
  <c r="U762" i="37"/>
  <c r="T762" i="37"/>
  <c r="U761" i="37"/>
  <c r="T761" i="37"/>
  <c r="U760" i="37"/>
  <c r="T760" i="37"/>
  <c r="U759" i="37"/>
  <c r="T759" i="37"/>
  <c r="U758" i="37"/>
  <c r="T758" i="37"/>
  <c r="U757" i="37"/>
  <c r="T757" i="37"/>
  <c r="U756" i="37"/>
  <c r="T756" i="37"/>
  <c r="U755" i="37"/>
  <c r="T755" i="37"/>
  <c r="U754" i="37"/>
  <c r="T754" i="37"/>
  <c r="U753" i="37"/>
  <c r="T753" i="37"/>
  <c r="U752" i="37"/>
  <c r="T752" i="37"/>
  <c r="U751" i="37"/>
  <c r="T751" i="37"/>
  <c r="U750" i="37"/>
  <c r="T750" i="37"/>
  <c r="U749" i="37"/>
  <c r="T749" i="37"/>
  <c r="U748" i="37"/>
  <c r="T748" i="37"/>
  <c r="U747" i="37"/>
  <c r="T747" i="37"/>
  <c r="U746" i="37"/>
  <c r="T746" i="37"/>
  <c r="U745" i="37"/>
  <c r="T745" i="37"/>
  <c r="U744" i="37"/>
  <c r="T744" i="37"/>
  <c r="U743" i="37"/>
  <c r="T743" i="37"/>
  <c r="U742" i="37"/>
  <c r="T742" i="37"/>
  <c r="U741" i="37"/>
  <c r="T741" i="37"/>
  <c r="U740" i="37"/>
  <c r="T740" i="37"/>
  <c r="U739" i="37"/>
  <c r="T739" i="37"/>
  <c r="U738" i="37"/>
  <c r="T738" i="37"/>
  <c r="U737" i="37"/>
  <c r="T737" i="37"/>
  <c r="U736" i="37"/>
  <c r="T736" i="37"/>
  <c r="U735" i="37"/>
  <c r="T735" i="37"/>
  <c r="U734" i="37"/>
  <c r="T734" i="37"/>
  <c r="U733" i="37"/>
  <c r="T733" i="37"/>
  <c r="U732" i="37"/>
  <c r="T732" i="37"/>
  <c r="U731" i="37"/>
  <c r="T731" i="37"/>
  <c r="U730" i="37"/>
  <c r="T730" i="37"/>
  <c r="U729" i="37"/>
  <c r="T729" i="37"/>
  <c r="U728" i="37"/>
  <c r="T728" i="37"/>
  <c r="U727" i="37"/>
  <c r="T727" i="37"/>
  <c r="U726" i="37"/>
  <c r="T726" i="37"/>
  <c r="U725" i="37"/>
  <c r="T725" i="37"/>
  <c r="U724" i="37"/>
  <c r="T724" i="37"/>
  <c r="U723" i="37"/>
  <c r="T723" i="37"/>
  <c r="U722" i="37"/>
  <c r="T722" i="37"/>
  <c r="U721" i="37"/>
  <c r="T721" i="37"/>
  <c r="U720" i="37"/>
  <c r="T720" i="37"/>
  <c r="U719" i="37"/>
  <c r="T719" i="37"/>
  <c r="U718" i="37"/>
  <c r="T718" i="37"/>
  <c r="U717" i="37"/>
  <c r="T717" i="37"/>
  <c r="U716" i="37"/>
  <c r="T716" i="37"/>
  <c r="U715" i="37"/>
  <c r="T715" i="37"/>
  <c r="U714" i="37"/>
  <c r="T714" i="37"/>
  <c r="U713" i="37"/>
  <c r="T713" i="37"/>
  <c r="U712" i="37"/>
  <c r="T712" i="37"/>
  <c r="U711" i="37"/>
  <c r="T711" i="37"/>
  <c r="U710" i="37"/>
  <c r="T710" i="37"/>
  <c r="U709" i="37"/>
  <c r="T709" i="37"/>
  <c r="U708" i="37"/>
  <c r="T708" i="37"/>
  <c r="U707" i="37"/>
  <c r="T707" i="37"/>
  <c r="U706" i="37"/>
  <c r="T706" i="37"/>
  <c r="U705" i="37"/>
  <c r="T705" i="37"/>
  <c r="U704" i="37"/>
  <c r="T704" i="37"/>
  <c r="U703" i="37"/>
  <c r="T703" i="37"/>
  <c r="U702" i="37"/>
  <c r="T702" i="37"/>
  <c r="U701" i="37"/>
  <c r="T701" i="37"/>
  <c r="U700" i="37"/>
  <c r="T700" i="37"/>
  <c r="U699" i="37"/>
  <c r="T699" i="37"/>
  <c r="U698" i="37"/>
  <c r="T698" i="37"/>
  <c r="U697" i="37"/>
  <c r="T697" i="37"/>
  <c r="U696" i="37"/>
  <c r="T696" i="37"/>
  <c r="U695" i="37"/>
  <c r="T695" i="37"/>
  <c r="U694" i="37"/>
  <c r="T694" i="37"/>
  <c r="U693" i="37"/>
  <c r="T693" i="37"/>
  <c r="U692" i="37"/>
  <c r="T692" i="37"/>
  <c r="U691" i="37"/>
  <c r="T691" i="37"/>
  <c r="U690" i="37"/>
  <c r="T690" i="37"/>
  <c r="U689" i="37"/>
  <c r="T689" i="37"/>
  <c r="U688" i="37"/>
  <c r="T688" i="37"/>
  <c r="U687" i="37"/>
  <c r="T687" i="37"/>
  <c r="U686" i="37"/>
  <c r="T686" i="37"/>
  <c r="U685" i="37"/>
  <c r="T685" i="37"/>
  <c r="U684" i="37"/>
  <c r="T684" i="37"/>
  <c r="U683" i="37"/>
  <c r="T683" i="37"/>
  <c r="U682" i="37"/>
  <c r="T682" i="37"/>
  <c r="U681" i="37"/>
  <c r="T681" i="37"/>
  <c r="U680" i="37"/>
  <c r="T680" i="37"/>
  <c r="U679" i="37"/>
  <c r="T679" i="37"/>
  <c r="U678" i="37"/>
  <c r="T678" i="37"/>
  <c r="U677" i="37"/>
  <c r="T677" i="37"/>
  <c r="U676" i="37"/>
  <c r="T676" i="37"/>
  <c r="U675" i="37"/>
  <c r="T675" i="37"/>
  <c r="U674" i="37"/>
  <c r="T674" i="37"/>
  <c r="U673" i="37"/>
  <c r="T673" i="37"/>
  <c r="U672" i="37"/>
  <c r="T672" i="37"/>
  <c r="U671" i="37"/>
  <c r="T671" i="37"/>
  <c r="U670" i="37"/>
  <c r="T670" i="37"/>
  <c r="U669" i="37"/>
  <c r="T669" i="37"/>
  <c r="U668" i="37"/>
  <c r="T668" i="37"/>
  <c r="U667" i="37"/>
  <c r="T667" i="37"/>
  <c r="U666" i="37"/>
  <c r="T666" i="37"/>
  <c r="U665" i="37"/>
  <c r="T665" i="37"/>
  <c r="U664" i="37"/>
  <c r="T664" i="37"/>
  <c r="U663" i="37"/>
  <c r="T663" i="37"/>
  <c r="U662" i="37"/>
  <c r="T662" i="37"/>
  <c r="U661" i="37"/>
  <c r="T661" i="37"/>
  <c r="U660" i="37"/>
  <c r="T660" i="37"/>
  <c r="U659" i="37"/>
  <c r="T659" i="37"/>
  <c r="U658" i="37"/>
  <c r="T658" i="37"/>
  <c r="U657" i="37"/>
  <c r="T657" i="37"/>
  <c r="U656" i="37"/>
  <c r="T656" i="37"/>
  <c r="U655" i="37"/>
  <c r="T655" i="37"/>
  <c r="U654" i="37"/>
  <c r="T654" i="37"/>
  <c r="U653" i="37"/>
  <c r="T653" i="37"/>
  <c r="U652" i="37"/>
  <c r="T652" i="37"/>
  <c r="U651" i="37"/>
  <c r="T651" i="37"/>
  <c r="U650" i="37"/>
  <c r="T650" i="37"/>
  <c r="U649" i="37"/>
  <c r="T649" i="37"/>
  <c r="U648" i="37"/>
  <c r="T648" i="37"/>
  <c r="U647" i="37"/>
  <c r="T647" i="37"/>
  <c r="U646" i="37"/>
  <c r="T646" i="37"/>
  <c r="U645" i="37"/>
  <c r="T645" i="37"/>
  <c r="U644" i="37"/>
  <c r="T644" i="37"/>
  <c r="U643" i="37"/>
  <c r="T643" i="37"/>
  <c r="U642" i="37"/>
  <c r="T642" i="37"/>
  <c r="U641" i="37"/>
  <c r="T641" i="37"/>
  <c r="U640" i="37"/>
  <c r="T640" i="37"/>
  <c r="U639" i="37"/>
  <c r="T639" i="37"/>
  <c r="U638" i="37"/>
  <c r="T638" i="37"/>
  <c r="U637" i="37"/>
  <c r="T637" i="37"/>
  <c r="U636" i="37"/>
  <c r="T636" i="37"/>
  <c r="U635" i="37"/>
  <c r="T635" i="37"/>
  <c r="U634" i="37"/>
  <c r="T634" i="37"/>
  <c r="U633" i="37"/>
  <c r="T633" i="37"/>
  <c r="U632" i="37"/>
  <c r="T632" i="37"/>
  <c r="U631" i="37"/>
  <c r="T631" i="37"/>
  <c r="U630" i="37"/>
  <c r="T630" i="37"/>
  <c r="U629" i="37"/>
  <c r="T629" i="37"/>
  <c r="U628" i="37"/>
  <c r="T628" i="37"/>
  <c r="U627" i="37"/>
  <c r="T627" i="37"/>
  <c r="U626" i="37"/>
  <c r="T626" i="37"/>
  <c r="U625" i="37"/>
  <c r="T625" i="37"/>
  <c r="U624" i="37"/>
  <c r="T624" i="37"/>
  <c r="U623" i="37"/>
  <c r="T623" i="37"/>
  <c r="U622" i="37"/>
  <c r="T622" i="37"/>
  <c r="U621" i="37"/>
  <c r="T621" i="37"/>
  <c r="U620" i="37"/>
  <c r="T620" i="37"/>
  <c r="U619" i="37"/>
  <c r="T619" i="37"/>
  <c r="U618" i="37"/>
  <c r="T618" i="37"/>
  <c r="U617" i="37"/>
  <c r="T617" i="37"/>
  <c r="U616" i="37"/>
  <c r="T616" i="37"/>
  <c r="U615" i="37"/>
  <c r="T615" i="37"/>
  <c r="U614" i="37"/>
  <c r="T614" i="37"/>
  <c r="U613" i="37"/>
  <c r="T613" i="37"/>
  <c r="U612" i="37"/>
  <c r="T612" i="37"/>
  <c r="U611" i="37"/>
  <c r="T611" i="37"/>
  <c r="U610" i="37"/>
  <c r="T610" i="37"/>
  <c r="U609" i="37"/>
  <c r="T609" i="37"/>
  <c r="U608" i="37"/>
  <c r="T608" i="37"/>
  <c r="U607" i="37"/>
  <c r="T607" i="37"/>
  <c r="U606" i="37"/>
  <c r="T606" i="37"/>
  <c r="U605" i="37"/>
  <c r="T605" i="37"/>
  <c r="U604" i="37"/>
  <c r="T604" i="37"/>
  <c r="U603" i="37"/>
  <c r="T603" i="37"/>
  <c r="U602" i="37"/>
  <c r="T602" i="37"/>
  <c r="U601" i="37"/>
  <c r="T601" i="37"/>
  <c r="U600" i="37"/>
  <c r="T600" i="37"/>
  <c r="U599" i="37"/>
  <c r="T599" i="37"/>
  <c r="U598" i="37"/>
  <c r="T598" i="37"/>
  <c r="U597" i="37"/>
  <c r="T597" i="37"/>
  <c r="U596" i="37"/>
  <c r="T596" i="37"/>
  <c r="U595" i="37"/>
  <c r="T595" i="37"/>
  <c r="U594" i="37"/>
  <c r="T594" i="37"/>
  <c r="U593" i="37"/>
  <c r="T593" i="37"/>
  <c r="U592" i="37"/>
  <c r="T592" i="37"/>
  <c r="U591" i="37"/>
  <c r="T591" i="37"/>
  <c r="U590" i="37"/>
  <c r="T590" i="37"/>
  <c r="U589" i="37"/>
  <c r="T589" i="37"/>
  <c r="U588" i="37"/>
  <c r="T588" i="37"/>
  <c r="U587" i="37"/>
  <c r="T587" i="37"/>
  <c r="U586" i="37"/>
  <c r="T586" i="37"/>
  <c r="U585" i="37"/>
  <c r="T585" i="37"/>
  <c r="U584" i="37"/>
  <c r="T584" i="37"/>
  <c r="U583" i="37"/>
  <c r="T583" i="37"/>
  <c r="U582" i="37"/>
  <c r="T582" i="37"/>
  <c r="U581" i="37"/>
  <c r="T581" i="37"/>
  <c r="U580" i="37"/>
  <c r="T580" i="37"/>
  <c r="U579" i="37"/>
  <c r="T579" i="37"/>
  <c r="U578" i="37"/>
  <c r="T578" i="37"/>
  <c r="U577" i="37"/>
  <c r="T577" i="37"/>
  <c r="U576" i="37"/>
  <c r="T576" i="37"/>
  <c r="U575" i="37"/>
  <c r="T575" i="37"/>
  <c r="U574" i="37"/>
  <c r="T574" i="37"/>
  <c r="U573" i="37"/>
  <c r="T573" i="37"/>
  <c r="U572" i="37"/>
  <c r="T572" i="37"/>
  <c r="U571" i="37"/>
  <c r="T571" i="37"/>
  <c r="U570" i="37"/>
  <c r="T570" i="37"/>
  <c r="U569" i="37"/>
  <c r="T569" i="37"/>
  <c r="U568" i="37"/>
  <c r="T568" i="37"/>
  <c r="U567" i="37"/>
  <c r="T567" i="37"/>
  <c r="U566" i="37"/>
  <c r="T566" i="37"/>
  <c r="U565" i="37"/>
  <c r="T565" i="37"/>
  <c r="U564" i="37"/>
  <c r="T564" i="37"/>
  <c r="U563" i="37"/>
  <c r="T563" i="37"/>
  <c r="U562" i="37"/>
  <c r="T562" i="37"/>
  <c r="U561" i="37"/>
  <c r="T561" i="37"/>
  <c r="U560" i="37"/>
  <c r="T560" i="37"/>
  <c r="U559" i="37"/>
  <c r="T559" i="37"/>
  <c r="U558" i="37"/>
  <c r="T558" i="37"/>
  <c r="U557" i="37"/>
  <c r="T557" i="37"/>
  <c r="U556" i="37"/>
  <c r="T556" i="37"/>
  <c r="U555" i="37"/>
  <c r="T555" i="37"/>
  <c r="U554" i="37"/>
  <c r="T554" i="37"/>
  <c r="U553" i="37"/>
  <c r="T553" i="37"/>
  <c r="U552" i="37"/>
  <c r="T552" i="37"/>
  <c r="U551" i="37"/>
  <c r="T551" i="37"/>
  <c r="U550" i="37"/>
  <c r="T550" i="37"/>
  <c r="U549" i="37"/>
  <c r="T549" i="37"/>
  <c r="U548" i="37"/>
  <c r="T548" i="37"/>
  <c r="U547" i="37"/>
  <c r="T547" i="37"/>
  <c r="U546" i="37"/>
  <c r="T546" i="37"/>
  <c r="U545" i="37"/>
  <c r="T545" i="37"/>
  <c r="U544" i="37"/>
  <c r="T544" i="37"/>
  <c r="U543" i="37"/>
  <c r="T543" i="37"/>
  <c r="U542" i="37"/>
  <c r="T542" i="37"/>
  <c r="U541" i="37"/>
  <c r="T541" i="37"/>
  <c r="U540" i="37"/>
  <c r="T540" i="37"/>
  <c r="U539" i="37"/>
  <c r="T539" i="37"/>
  <c r="U538" i="37"/>
  <c r="T538" i="37"/>
  <c r="U537" i="37"/>
  <c r="T537" i="37"/>
  <c r="U536" i="37"/>
  <c r="T536" i="37"/>
  <c r="U535" i="37"/>
  <c r="T535" i="37"/>
  <c r="U534" i="37"/>
  <c r="T534" i="37"/>
  <c r="U533" i="37"/>
  <c r="T533" i="37"/>
  <c r="U532" i="37"/>
  <c r="T532" i="37"/>
  <c r="U531" i="37"/>
  <c r="T531" i="37"/>
  <c r="U530" i="37"/>
  <c r="T530" i="37"/>
  <c r="U529" i="37"/>
  <c r="T529" i="37"/>
  <c r="U528" i="37"/>
  <c r="T528" i="37"/>
  <c r="U527" i="37"/>
  <c r="T527" i="37"/>
  <c r="U526" i="37"/>
  <c r="T526" i="37"/>
  <c r="U525" i="37"/>
  <c r="T525" i="37"/>
  <c r="U524" i="37"/>
  <c r="T524" i="37"/>
  <c r="U523" i="37"/>
  <c r="T523" i="37"/>
  <c r="U522" i="37"/>
  <c r="T522" i="37"/>
  <c r="U521" i="37"/>
  <c r="T521" i="37"/>
  <c r="U520" i="37"/>
  <c r="T520" i="37"/>
  <c r="U519" i="37"/>
  <c r="T519" i="37"/>
  <c r="U518" i="37"/>
  <c r="T518" i="37"/>
  <c r="U517" i="37"/>
  <c r="T517" i="37"/>
  <c r="U516" i="37"/>
  <c r="T516" i="37"/>
  <c r="U515" i="37"/>
  <c r="T515" i="37"/>
  <c r="U514" i="37"/>
  <c r="T514" i="37"/>
  <c r="U513" i="37"/>
  <c r="T513" i="37"/>
  <c r="U512" i="37"/>
  <c r="T512" i="37"/>
  <c r="U511" i="37"/>
  <c r="T511" i="37"/>
  <c r="U510" i="37"/>
  <c r="T510" i="37"/>
  <c r="U509" i="37"/>
  <c r="T509" i="37"/>
  <c r="U508" i="37"/>
  <c r="T508" i="37"/>
  <c r="U507" i="37"/>
  <c r="T507" i="37"/>
  <c r="U506" i="37"/>
  <c r="T506" i="37"/>
  <c r="U505" i="37"/>
  <c r="T505" i="37"/>
  <c r="U504" i="37"/>
  <c r="T504" i="37"/>
  <c r="U503" i="37"/>
  <c r="T503" i="37"/>
  <c r="U502" i="37"/>
  <c r="T502" i="37"/>
  <c r="U501" i="37"/>
  <c r="T501" i="37"/>
  <c r="U500" i="37"/>
  <c r="T500" i="37"/>
  <c r="U499" i="37"/>
  <c r="T499" i="37"/>
  <c r="U498" i="37"/>
  <c r="T498" i="37"/>
  <c r="U497" i="37"/>
  <c r="T497" i="37"/>
  <c r="U496" i="37"/>
  <c r="T496" i="37"/>
  <c r="U495" i="37"/>
  <c r="T495" i="37"/>
  <c r="U494" i="37"/>
  <c r="T494" i="37"/>
  <c r="U493" i="37"/>
  <c r="T493" i="37"/>
  <c r="U492" i="37"/>
  <c r="T492" i="37"/>
  <c r="U491" i="37"/>
  <c r="T491" i="37"/>
  <c r="U490" i="37"/>
  <c r="T490" i="37"/>
  <c r="U489" i="37"/>
  <c r="T489" i="37"/>
  <c r="U488" i="37"/>
  <c r="T488" i="37"/>
  <c r="U487" i="37"/>
  <c r="T487" i="37"/>
  <c r="U486" i="37"/>
  <c r="T486" i="37"/>
  <c r="U485" i="37"/>
  <c r="T485" i="37"/>
  <c r="U484" i="37"/>
  <c r="T484" i="37"/>
  <c r="U483" i="37"/>
  <c r="T483" i="37"/>
  <c r="U482" i="37"/>
  <c r="T482" i="37"/>
  <c r="U481" i="37"/>
  <c r="T481" i="37"/>
  <c r="U480" i="37"/>
  <c r="T480" i="37"/>
  <c r="U479" i="37"/>
  <c r="T479" i="37"/>
  <c r="U478" i="37"/>
  <c r="T478" i="37"/>
  <c r="U477" i="37"/>
  <c r="T477" i="37"/>
  <c r="U476" i="37"/>
  <c r="T476" i="37"/>
  <c r="U475" i="37"/>
  <c r="T475" i="37"/>
  <c r="U474" i="37"/>
  <c r="T474" i="37"/>
  <c r="U473" i="37"/>
  <c r="T473" i="37"/>
  <c r="U472" i="37"/>
  <c r="T472" i="37"/>
  <c r="U471" i="37"/>
  <c r="T471" i="37"/>
  <c r="U470" i="37"/>
  <c r="T470" i="37"/>
  <c r="U469" i="37"/>
  <c r="T469" i="37"/>
  <c r="U468" i="37"/>
  <c r="T468" i="37"/>
  <c r="U467" i="37"/>
  <c r="T467" i="37"/>
  <c r="U466" i="37"/>
  <c r="T466" i="37"/>
  <c r="U465" i="37"/>
  <c r="T465" i="37"/>
  <c r="U464" i="37"/>
  <c r="T464" i="37"/>
  <c r="U463" i="37"/>
  <c r="T463" i="37"/>
  <c r="U462" i="37"/>
  <c r="T462" i="37"/>
  <c r="U461" i="37"/>
  <c r="T461" i="37"/>
  <c r="U460" i="37"/>
  <c r="T460" i="37"/>
  <c r="U459" i="37"/>
  <c r="T459" i="37"/>
  <c r="U458" i="37"/>
  <c r="T458" i="37"/>
  <c r="U457" i="37"/>
  <c r="T457" i="37"/>
  <c r="U456" i="37"/>
  <c r="T456" i="37"/>
  <c r="U455" i="37"/>
  <c r="T455" i="37"/>
  <c r="U454" i="37"/>
  <c r="T454" i="37"/>
  <c r="U453" i="37"/>
  <c r="T453" i="37"/>
  <c r="U452" i="37"/>
  <c r="T452" i="37"/>
  <c r="U451" i="37"/>
  <c r="T451" i="37"/>
  <c r="U450" i="37"/>
  <c r="T450" i="37"/>
  <c r="U449" i="37"/>
  <c r="T449" i="37"/>
  <c r="U448" i="37"/>
  <c r="T448" i="37"/>
  <c r="U447" i="37"/>
  <c r="T447" i="37"/>
  <c r="U446" i="37"/>
  <c r="T446" i="37"/>
  <c r="U445" i="37"/>
  <c r="T445" i="37"/>
  <c r="U444" i="37"/>
  <c r="T444" i="37"/>
  <c r="U443" i="37"/>
  <c r="T443" i="37"/>
  <c r="U442" i="37"/>
  <c r="T442" i="37"/>
  <c r="U441" i="37"/>
  <c r="T441" i="37"/>
  <c r="U440" i="37"/>
  <c r="T440" i="37"/>
  <c r="U439" i="37"/>
  <c r="T439" i="37"/>
  <c r="U438" i="37"/>
  <c r="T438" i="37"/>
  <c r="U437" i="37"/>
  <c r="T437" i="37"/>
  <c r="U436" i="37"/>
  <c r="T436" i="37"/>
  <c r="U435" i="37"/>
  <c r="T435" i="37"/>
  <c r="U434" i="37"/>
  <c r="T434" i="37"/>
  <c r="U433" i="37"/>
  <c r="T433" i="37"/>
  <c r="U432" i="37"/>
  <c r="T432" i="37"/>
  <c r="U431" i="37"/>
  <c r="T431" i="37"/>
  <c r="U430" i="37"/>
  <c r="T430" i="37"/>
  <c r="U429" i="37"/>
  <c r="T429" i="37"/>
  <c r="U428" i="37"/>
  <c r="T428" i="37"/>
  <c r="U427" i="37"/>
  <c r="T427" i="37"/>
  <c r="U426" i="37"/>
  <c r="T426" i="37"/>
  <c r="U425" i="37"/>
  <c r="T425" i="37"/>
  <c r="U424" i="37"/>
  <c r="T424" i="37"/>
  <c r="U423" i="37"/>
  <c r="T423" i="37"/>
  <c r="U422" i="37"/>
  <c r="T422" i="37"/>
  <c r="U421" i="37"/>
  <c r="T421" i="37"/>
  <c r="U420" i="37"/>
  <c r="T420" i="37"/>
  <c r="U419" i="37"/>
  <c r="T419" i="37"/>
  <c r="U418" i="37"/>
  <c r="T418" i="37"/>
  <c r="U417" i="37"/>
  <c r="T417" i="37"/>
  <c r="U416" i="37"/>
  <c r="T416" i="37"/>
  <c r="U415" i="37"/>
  <c r="T415" i="37"/>
  <c r="U414" i="37"/>
  <c r="T414" i="37"/>
  <c r="U413" i="37"/>
  <c r="T413" i="37"/>
  <c r="U412" i="37"/>
  <c r="T412" i="37"/>
  <c r="U411" i="37"/>
  <c r="T411" i="37"/>
  <c r="U410" i="37"/>
  <c r="T410" i="37"/>
  <c r="U409" i="37"/>
  <c r="T409" i="37"/>
  <c r="U408" i="37"/>
  <c r="T408" i="37"/>
  <c r="U407" i="37"/>
  <c r="T407" i="37"/>
  <c r="U406" i="37"/>
  <c r="T406" i="37"/>
  <c r="U405" i="37"/>
  <c r="T405" i="37"/>
  <c r="U404" i="37"/>
  <c r="T404" i="37"/>
  <c r="U403" i="37"/>
  <c r="T403" i="37"/>
  <c r="U402" i="37"/>
  <c r="T402" i="37"/>
  <c r="U401" i="37"/>
  <c r="T401" i="37"/>
  <c r="U400" i="37"/>
  <c r="T400" i="37"/>
  <c r="U399" i="37"/>
  <c r="T399" i="37"/>
  <c r="U398" i="37"/>
  <c r="T398" i="37"/>
  <c r="U397" i="37"/>
  <c r="T397" i="37"/>
  <c r="U396" i="37"/>
  <c r="T396" i="37"/>
  <c r="U395" i="37"/>
  <c r="T395" i="37"/>
  <c r="U394" i="37"/>
  <c r="T394" i="37"/>
  <c r="U393" i="37"/>
  <c r="T393" i="37"/>
  <c r="U392" i="37"/>
  <c r="T392" i="37"/>
  <c r="U391" i="37"/>
  <c r="T391" i="37"/>
  <c r="U390" i="37"/>
  <c r="T390" i="37"/>
  <c r="U389" i="37"/>
  <c r="T389" i="37"/>
  <c r="U388" i="37"/>
  <c r="T388" i="37"/>
  <c r="U387" i="37"/>
  <c r="T387" i="37"/>
  <c r="U386" i="37"/>
  <c r="T386" i="37"/>
  <c r="U385" i="37"/>
  <c r="T385" i="37"/>
  <c r="U384" i="37"/>
  <c r="T384" i="37"/>
  <c r="U383" i="37"/>
  <c r="T383" i="37"/>
  <c r="U382" i="37"/>
  <c r="T382" i="37"/>
  <c r="U381" i="37"/>
  <c r="T381" i="37"/>
  <c r="U380" i="37"/>
  <c r="T380" i="37"/>
  <c r="U379" i="37"/>
  <c r="T379" i="37"/>
  <c r="U378" i="37"/>
  <c r="T378" i="37"/>
  <c r="U377" i="37"/>
  <c r="T377" i="37"/>
  <c r="U376" i="37"/>
  <c r="T376" i="37"/>
  <c r="U375" i="37"/>
  <c r="T375" i="37"/>
  <c r="U374" i="37"/>
  <c r="T374" i="37"/>
  <c r="U373" i="37"/>
  <c r="T373" i="37"/>
  <c r="U372" i="37"/>
  <c r="T372" i="37"/>
  <c r="U371" i="37"/>
  <c r="T371" i="37"/>
  <c r="U370" i="37"/>
  <c r="T370" i="37"/>
  <c r="U369" i="37"/>
  <c r="T369" i="37"/>
  <c r="U368" i="37"/>
  <c r="T368" i="37"/>
  <c r="U367" i="37"/>
  <c r="T367" i="37"/>
  <c r="U366" i="37"/>
  <c r="T366" i="37"/>
  <c r="U365" i="37"/>
  <c r="T365" i="37"/>
  <c r="U364" i="37"/>
  <c r="T364" i="37"/>
  <c r="U363" i="37"/>
  <c r="T363" i="37"/>
  <c r="U362" i="37"/>
  <c r="T362" i="37"/>
  <c r="U361" i="37"/>
  <c r="T361" i="37"/>
  <c r="U360" i="37"/>
  <c r="T360" i="37"/>
  <c r="U359" i="37"/>
  <c r="T359" i="37"/>
  <c r="U358" i="37"/>
  <c r="T358" i="37"/>
  <c r="U357" i="37"/>
  <c r="T357" i="37"/>
  <c r="U356" i="37"/>
  <c r="T356" i="37"/>
  <c r="U355" i="37"/>
  <c r="T355" i="37"/>
  <c r="U354" i="37"/>
  <c r="T354" i="37"/>
  <c r="U353" i="37"/>
  <c r="T353" i="37"/>
  <c r="U352" i="37"/>
  <c r="T352" i="37"/>
  <c r="U351" i="37"/>
  <c r="T351" i="37"/>
  <c r="U350" i="37"/>
  <c r="T350" i="37"/>
  <c r="U349" i="37"/>
  <c r="T349" i="37"/>
  <c r="U348" i="37"/>
  <c r="T348" i="37"/>
  <c r="U347" i="37"/>
  <c r="T347" i="37"/>
  <c r="U346" i="37"/>
  <c r="T346" i="37"/>
  <c r="U345" i="37"/>
  <c r="T345" i="37"/>
  <c r="U344" i="37"/>
  <c r="T344" i="37"/>
  <c r="U343" i="37"/>
  <c r="T343" i="37"/>
  <c r="U342" i="37"/>
  <c r="T342" i="37"/>
  <c r="U341" i="37"/>
  <c r="T341" i="37"/>
  <c r="U340" i="37"/>
  <c r="T340" i="37"/>
  <c r="U339" i="37"/>
  <c r="T339" i="37"/>
  <c r="U338" i="37"/>
  <c r="T338" i="37"/>
  <c r="U337" i="37"/>
  <c r="T337" i="37"/>
  <c r="U336" i="37"/>
  <c r="T336" i="37"/>
  <c r="U335" i="37"/>
  <c r="T335" i="37"/>
  <c r="U334" i="37"/>
  <c r="T334" i="37"/>
  <c r="U333" i="37"/>
  <c r="T333" i="37"/>
  <c r="U332" i="37"/>
  <c r="T332" i="37"/>
  <c r="U331" i="37"/>
  <c r="T331" i="37"/>
  <c r="U330" i="37"/>
  <c r="T330" i="37"/>
  <c r="U329" i="37"/>
  <c r="T329" i="37"/>
  <c r="U328" i="37"/>
  <c r="T328" i="37"/>
  <c r="U327" i="37"/>
  <c r="T327" i="37"/>
  <c r="U326" i="37"/>
  <c r="T326" i="37"/>
  <c r="U325" i="37"/>
  <c r="T325" i="37"/>
  <c r="U324" i="37"/>
  <c r="T324" i="37"/>
  <c r="U323" i="37"/>
  <c r="T323" i="37"/>
  <c r="U322" i="37"/>
  <c r="T322" i="37"/>
  <c r="U321" i="37"/>
  <c r="T321" i="37"/>
  <c r="U320" i="37"/>
  <c r="T320" i="37"/>
  <c r="U319" i="37"/>
  <c r="T319" i="37"/>
  <c r="U318" i="37"/>
  <c r="T318" i="37"/>
  <c r="U317" i="37"/>
  <c r="T317" i="37"/>
  <c r="U316" i="37"/>
  <c r="T316" i="37"/>
  <c r="U315" i="37"/>
  <c r="T315" i="37"/>
  <c r="U314" i="37"/>
  <c r="T314" i="37"/>
  <c r="U313" i="37"/>
  <c r="T313" i="37"/>
  <c r="U312" i="37"/>
  <c r="T312" i="37"/>
  <c r="U311" i="37"/>
  <c r="T311" i="37"/>
  <c r="U310" i="37"/>
  <c r="T310" i="37"/>
  <c r="U309" i="37"/>
  <c r="T309" i="37"/>
  <c r="U308" i="37"/>
  <c r="T308" i="37"/>
  <c r="U307" i="37"/>
  <c r="T307" i="37"/>
  <c r="U306" i="37"/>
  <c r="T306" i="37"/>
  <c r="U305" i="37"/>
  <c r="T305" i="37"/>
  <c r="U304" i="37"/>
  <c r="T304" i="37"/>
  <c r="U303" i="37"/>
  <c r="T303" i="37"/>
  <c r="U302" i="37"/>
  <c r="T302" i="37"/>
  <c r="U301" i="37"/>
  <c r="T301" i="37"/>
  <c r="U300" i="37"/>
  <c r="T300" i="37"/>
  <c r="U299" i="37"/>
  <c r="T299" i="37"/>
  <c r="U298" i="37"/>
  <c r="T298" i="37"/>
  <c r="U297" i="37"/>
  <c r="T297" i="37"/>
  <c r="U296" i="37"/>
  <c r="T296" i="37"/>
  <c r="U295" i="37"/>
  <c r="T295" i="37"/>
  <c r="U294" i="37"/>
  <c r="T294" i="37"/>
  <c r="U293" i="37"/>
  <c r="T293" i="37"/>
  <c r="U292" i="37"/>
  <c r="T292" i="37"/>
  <c r="U291" i="37"/>
  <c r="T291" i="37"/>
  <c r="U290" i="37"/>
  <c r="T290" i="37"/>
  <c r="U289" i="37"/>
  <c r="T289" i="37"/>
  <c r="U288" i="37"/>
  <c r="T288" i="37"/>
  <c r="U287" i="37"/>
  <c r="T287" i="37"/>
  <c r="U286" i="37"/>
  <c r="T286" i="37"/>
  <c r="U285" i="37"/>
  <c r="T285" i="37"/>
  <c r="U284" i="37"/>
  <c r="T284" i="37"/>
  <c r="U283" i="37"/>
  <c r="T283" i="37"/>
  <c r="U282" i="37"/>
  <c r="T282" i="37"/>
  <c r="U281" i="37"/>
  <c r="T281" i="37"/>
  <c r="U280" i="37"/>
  <c r="T280" i="37"/>
  <c r="U279" i="37"/>
  <c r="T279" i="37"/>
  <c r="U278" i="37"/>
  <c r="T278" i="37"/>
  <c r="U277" i="37"/>
  <c r="T277" i="37"/>
  <c r="U276" i="37"/>
  <c r="T276" i="37"/>
  <c r="U275" i="37"/>
  <c r="T275" i="37"/>
  <c r="U274" i="37"/>
  <c r="T274" i="37"/>
  <c r="U273" i="37"/>
  <c r="T273" i="37"/>
  <c r="U272" i="37"/>
  <c r="T272" i="37"/>
  <c r="U271" i="37"/>
  <c r="T271" i="37"/>
  <c r="U270" i="37"/>
  <c r="T270" i="37"/>
  <c r="U269" i="37"/>
  <c r="T269" i="37"/>
  <c r="U268" i="37"/>
  <c r="T268" i="37"/>
  <c r="U267" i="37"/>
  <c r="T267" i="37"/>
  <c r="U266" i="37"/>
  <c r="T266" i="37"/>
  <c r="U265" i="37"/>
  <c r="T265" i="37"/>
  <c r="U264" i="37"/>
  <c r="T264" i="37"/>
  <c r="U263" i="37"/>
  <c r="T263" i="37"/>
  <c r="U262" i="37"/>
  <c r="T262" i="37"/>
  <c r="U261" i="37"/>
  <c r="T261" i="37"/>
  <c r="U260" i="37"/>
  <c r="T260" i="37"/>
  <c r="U259" i="37"/>
  <c r="T259" i="37"/>
  <c r="U258" i="37"/>
  <c r="T258" i="37"/>
  <c r="U257" i="37"/>
  <c r="T257" i="37"/>
  <c r="U256" i="37"/>
  <c r="T256" i="37"/>
  <c r="U255" i="37"/>
  <c r="T255" i="37"/>
  <c r="U254" i="37"/>
  <c r="T254" i="37"/>
  <c r="U253" i="37"/>
  <c r="T253" i="37"/>
  <c r="U252" i="37"/>
  <c r="T252" i="37"/>
  <c r="U251" i="37"/>
  <c r="T251" i="37"/>
  <c r="U250" i="37"/>
  <c r="T250" i="37"/>
  <c r="U249" i="37"/>
  <c r="T249" i="37"/>
  <c r="U248" i="37"/>
  <c r="T248" i="37"/>
  <c r="U247" i="37"/>
  <c r="T247" i="37"/>
  <c r="U246" i="37"/>
  <c r="T246" i="37"/>
  <c r="U245" i="37"/>
  <c r="T245" i="37"/>
  <c r="U244" i="37"/>
  <c r="T244" i="37"/>
  <c r="U243" i="37"/>
  <c r="T243" i="37"/>
  <c r="U242" i="37"/>
  <c r="T242" i="37"/>
  <c r="U241" i="37"/>
  <c r="T241" i="37"/>
  <c r="U240" i="37"/>
  <c r="T240" i="37"/>
  <c r="U239" i="37"/>
  <c r="T239" i="37"/>
  <c r="U238" i="37"/>
  <c r="T238" i="37"/>
  <c r="U237" i="37"/>
  <c r="T237" i="37"/>
  <c r="U236" i="37"/>
  <c r="T236" i="37"/>
  <c r="U235" i="37"/>
  <c r="T235" i="37"/>
  <c r="U234" i="37"/>
  <c r="T234" i="37"/>
  <c r="U233" i="37"/>
  <c r="T233" i="37"/>
  <c r="U232" i="37"/>
  <c r="T232" i="37"/>
  <c r="U231" i="37"/>
  <c r="T231" i="37"/>
  <c r="U230" i="37"/>
  <c r="T230" i="37"/>
  <c r="U229" i="37"/>
  <c r="T229" i="37"/>
  <c r="U228" i="37"/>
  <c r="T228" i="37"/>
  <c r="U227" i="37"/>
  <c r="T227" i="37"/>
  <c r="U226" i="37"/>
  <c r="T226" i="37"/>
  <c r="U225" i="37"/>
  <c r="T225" i="37"/>
  <c r="U224" i="37"/>
  <c r="T224" i="37"/>
  <c r="U223" i="37"/>
  <c r="T223" i="37"/>
  <c r="U222" i="37"/>
  <c r="T222" i="37"/>
  <c r="U221" i="37"/>
  <c r="T221" i="37"/>
  <c r="U220" i="37"/>
  <c r="T220" i="37"/>
  <c r="U219" i="37"/>
  <c r="T219" i="37"/>
  <c r="U218" i="37"/>
  <c r="T218" i="37"/>
  <c r="U217" i="37"/>
  <c r="T217" i="37"/>
  <c r="U216" i="37"/>
  <c r="T216" i="37"/>
  <c r="U215" i="37"/>
  <c r="T215" i="37"/>
  <c r="U214" i="37"/>
  <c r="T214" i="37"/>
  <c r="U213" i="37"/>
  <c r="T213" i="37"/>
  <c r="U212" i="37"/>
  <c r="T212" i="37"/>
  <c r="U211" i="37"/>
  <c r="T211" i="37"/>
  <c r="U210" i="37"/>
  <c r="T210" i="37"/>
  <c r="U209" i="37"/>
  <c r="T209" i="37"/>
  <c r="U208" i="37"/>
  <c r="T208" i="37"/>
  <c r="U207" i="37"/>
  <c r="T207" i="37"/>
  <c r="U206" i="37"/>
  <c r="T206" i="37"/>
  <c r="U205" i="37"/>
  <c r="T205" i="37"/>
  <c r="U204" i="37"/>
  <c r="T204" i="37"/>
  <c r="U203" i="37"/>
  <c r="T203" i="37"/>
  <c r="U202" i="37"/>
  <c r="T202" i="37"/>
  <c r="U201" i="37"/>
  <c r="T201" i="37"/>
  <c r="U200" i="37"/>
  <c r="T200" i="37"/>
  <c r="U199" i="37"/>
  <c r="T199" i="37"/>
  <c r="U198" i="37"/>
  <c r="T198" i="37"/>
  <c r="U197" i="37"/>
  <c r="T197" i="37"/>
  <c r="U196" i="37"/>
  <c r="T196" i="37"/>
  <c r="U195" i="37"/>
  <c r="T195" i="37"/>
  <c r="U194" i="37"/>
  <c r="T194" i="37"/>
  <c r="U193" i="37"/>
  <c r="T193" i="37"/>
  <c r="U192" i="37"/>
  <c r="T192" i="37"/>
  <c r="U191" i="37"/>
  <c r="T191" i="37"/>
  <c r="U190" i="37"/>
  <c r="T190" i="37"/>
  <c r="U189" i="37"/>
  <c r="T189" i="37"/>
  <c r="U188" i="37"/>
  <c r="T188" i="37"/>
  <c r="U187" i="37"/>
  <c r="T187" i="37"/>
  <c r="U186" i="37"/>
  <c r="T186" i="37"/>
  <c r="U185" i="37"/>
  <c r="T185" i="37"/>
  <c r="U184" i="37"/>
  <c r="T184" i="37"/>
  <c r="U183" i="37"/>
  <c r="T183" i="37"/>
  <c r="U182" i="37"/>
  <c r="T182" i="37"/>
  <c r="U181" i="37"/>
  <c r="T181" i="37"/>
  <c r="U180" i="37"/>
  <c r="T180" i="37"/>
  <c r="U179" i="37"/>
  <c r="T179" i="37"/>
  <c r="U178" i="37"/>
  <c r="T178" i="37"/>
  <c r="U177" i="37"/>
  <c r="T177" i="37"/>
  <c r="U176" i="37"/>
  <c r="T176" i="37"/>
  <c r="U175" i="37"/>
  <c r="T175" i="37"/>
  <c r="U174" i="37"/>
  <c r="T174" i="37"/>
  <c r="U173" i="37"/>
  <c r="T173" i="37"/>
  <c r="U172" i="37"/>
  <c r="T172" i="37"/>
  <c r="U171" i="37"/>
  <c r="T171" i="37"/>
  <c r="U170" i="37"/>
  <c r="T170" i="37"/>
  <c r="U169" i="37"/>
  <c r="T169" i="37"/>
  <c r="U168" i="37"/>
  <c r="T168" i="37"/>
  <c r="U167" i="37"/>
  <c r="T167" i="37"/>
  <c r="U166" i="37"/>
  <c r="T166" i="37"/>
  <c r="U165" i="37"/>
  <c r="T165" i="37"/>
  <c r="U164" i="37"/>
  <c r="T164" i="37"/>
  <c r="U163" i="37"/>
  <c r="T163" i="37"/>
  <c r="U162" i="37"/>
  <c r="T162" i="37"/>
  <c r="U161" i="37"/>
  <c r="T161" i="37"/>
  <c r="U160" i="37"/>
  <c r="T160" i="37"/>
  <c r="U159" i="37"/>
  <c r="T159" i="37"/>
  <c r="U158" i="37"/>
  <c r="T158" i="37"/>
  <c r="U157" i="37"/>
  <c r="T157" i="37"/>
  <c r="U156" i="37"/>
  <c r="T156" i="37"/>
  <c r="U155" i="37"/>
  <c r="T155" i="37"/>
  <c r="U154" i="37"/>
  <c r="T154" i="37"/>
  <c r="U153" i="37"/>
  <c r="T153" i="37"/>
  <c r="U152" i="37"/>
  <c r="T152" i="37"/>
  <c r="U151" i="37"/>
  <c r="T151" i="37"/>
  <c r="U150" i="37"/>
  <c r="T150" i="37"/>
  <c r="U149" i="37"/>
  <c r="T149" i="37"/>
  <c r="U148" i="37"/>
  <c r="T148" i="37"/>
  <c r="U147" i="37"/>
  <c r="T147" i="37"/>
  <c r="U146" i="37"/>
  <c r="T146" i="37"/>
  <c r="U145" i="37"/>
  <c r="T145" i="37"/>
  <c r="U144" i="37"/>
  <c r="T144" i="37"/>
  <c r="U143" i="37"/>
  <c r="T143" i="37"/>
  <c r="U142" i="37"/>
  <c r="T142" i="37"/>
  <c r="U141" i="37"/>
  <c r="T141" i="37"/>
  <c r="U140" i="37"/>
  <c r="T140" i="37"/>
  <c r="U139" i="37"/>
  <c r="T139" i="37"/>
  <c r="U138" i="37"/>
  <c r="T138" i="37"/>
  <c r="U137" i="37"/>
  <c r="T137" i="37"/>
  <c r="U136" i="37"/>
  <c r="T136" i="37"/>
  <c r="U135" i="37"/>
  <c r="T135" i="37"/>
  <c r="U134" i="37"/>
  <c r="T134" i="37"/>
  <c r="U133" i="37"/>
  <c r="T133" i="37"/>
  <c r="U132" i="37"/>
  <c r="T132" i="37"/>
  <c r="U131" i="37"/>
  <c r="T131" i="37"/>
  <c r="U130" i="37"/>
  <c r="T130" i="37"/>
  <c r="U129" i="37"/>
  <c r="T129" i="37"/>
  <c r="U128" i="37"/>
  <c r="T128" i="37"/>
  <c r="U127" i="37"/>
  <c r="T127" i="37"/>
  <c r="U126" i="37"/>
  <c r="T126" i="37"/>
  <c r="U125" i="37"/>
  <c r="T125" i="37"/>
  <c r="U124" i="37"/>
  <c r="T124" i="37"/>
  <c r="U123" i="37"/>
  <c r="T123" i="37"/>
  <c r="U122" i="37"/>
  <c r="T122" i="37"/>
  <c r="U121" i="37"/>
  <c r="T121" i="37"/>
  <c r="U120" i="37"/>
  <c r="T120" i="37"/>
  <c r="U119" i="37"/>
  <c r="T119" i="37"/>
  <c r="U118" i="37"/>
  <c r="T118" i="37"/>
  <c r="U117" i="37"/>
  <c r="T117" i="37"/>
  <c r="U116" i="37"/>
  <c r="T116" i="37"/>
  <c r="U115" i="37"/>
  <c r="T115" i="37"/>
  <c r="U114" i="37"/>
  <c r="T114" i="37"/>
  <c r="U113" i="37"/>
  <c r="T113" i="37"/>
  <c r="U112" i="37"/>
  <c r="T112" i="37"/>
  <c r="U111" i="37"/>
  <c r="T111" i="37"/>
  <c r="U110" i="37"/>
  <c r="T110" i="37"/>
  <c r="U109" i="37"/>
  <c r="T109" i="37"/>
  <c r="U108" i="37"/>
  <c r="T108" i="37"/>
  <c r="U107" i="37"/>
  <c r="T107" i="37"/>
  <c r="U106" i="37"/>
  <c r="T106" i="37"/>
  <c r="U105" i="37"/>
  <c r="T105" i="37"/>
  <c r="U104" i="37"/>
  <c r="T104" i="37"/>
  <c r="U103" i="37"/>
  <c r="T103" i="37"/>
  <c r="U102" i="37"/>
  <c r="T102" i="37"/>
  <c r="U101" i="37"/>
  <c r="T101" i="37"/>
  <c r="U100" i="37"/>
  <c r="T100" i="37"/>
  <c r="U99" i="37"/>
  <c r="T99" i="37"/>
  <c r="U98" i="37"/>
  <c r="T98" i="37"/>
  <c r="U97" i="37"/>
  <c r="T97" i="37"/>
  <c r="U96" i="37"/>
  <c r="T96" i="37"/>
  <c r="U95" i="37"/>
  <c r="T95" i="37"/>
  <c r="U94" i="37"/>
  <c r="T94" i="37"/>
  <c r="U93" i="37"/>
  <c r="T93" i="37"/>
  <c r="U92" i="37"/>
  <c r="T92" i="37"/>
  <c r="U91" i="37"/>
  <c r="T91" i="37"/>
  <c r="U90" i="37"/>
  <c r="T90" i="37"/>
  <c r="U89" i="37"/>
  <c r="T89" i="37"/>
  <c r="U88" i="37"/>
  <c r="T88" i="37"/>
  <c r="U87" i="37"/>
  <c r="T87" i="37"/>
  <c r="U86" i="37"/>
  <c r="T86" i="37"/>
  <c r="U85" i="37"/>
  <c r="T85" i="37"/>
  <c r="U84" i="37"/>
  <c r="T84" i="37"/>
  <c r="U83" i="37"/>
  <c r="T83" i="37"/>
  <c r="U82" i="37"/>
  <c r="T82" i="37"/>
  <c r="U81" i="37"/>
  <c r="T81" i="37"/>
  <c r="U80" i="37"/>
  <c r="T80" i="37"/>
  <c r="U79" i="37"/>
  <c r="T79" i="37"/>
  <c r="U78" i="37"/>
  <c r="T78" i="37"/>
  <c r="U77" i="37"/>
  <c r="T77" i="37"/>
  <c r="U76" i="37"/>
  <c r="T76" i="37"/>
  <c r="U75" i="37"/>
  <c r="T75" i="37"/>
  <c r="U74" i="37"/>
  <c r="T74" i="37"/>
  <c r="U73" i="37"/>
  <c r="T73" i="37"/>
  <c r="U72" i="37"/>
  <c r="T72" i="37"/>
  <c r="U71" i="37"/>
  <c r="T71" i="37"/>
  <c r="U70" i="37"/>
  <c r="T70" i="37"/>
  <c r="U69" i="37"/>
  <c r="T69" i="37"/>
  <c r="U68" i="37"/>
  <c r="T68" i="37"/>
  <c r="U67" i="37"/>
  <c r="T67" i="37"/>
  <c r="U66" i="37"/>
  <c r="T66" i="37"/>
  <c r="U65" i="37"/>
  <c r="T65" i="37"/>
  <c r="U64" i="37"/>
  <c r="T64" i="37"/>
  <c r="U63" i="37"/>
  <c r="T63" i="37"/>
  <c r="U62" i="37"/>
  <c r="T62" i="37"/>
  <c r="U61" i="37"/>
  <c r="T61" i="37"/>
  <c r="U60" i="37"/>
  <c r="T60" i="37"/>
  <c r="U59" i="37"/>
  <c r="T59" i="37"/>
  <c r="U58" i="37"/>
  <c r="T58" i="37"/>
  <c r="U57" i="37"/>
  <c r="T57" i="37"/>
  <c r="U56" i="37"/>
  <c r="T56" i="37"/>
  <c r="U55" i="37"/>
  <c r="T55" i="37"/>
  <c r="U54" i="37"/>
  <c r="T54" i="37"/>
  <c r="U53" i="37"/>
  <c r="T53" i="37"/>
  <c r="U52" i="37"/>
  <c r="T52" i="37"/>
  <c r="U51" i="37"/>
  <c r="T51" i="37"/>
  <c r="U50" i="37"/>
  <c r="T50" i="37"/>
  <c r="U49" i="37"/>
  <c r="T49" i="37"/>
  <c r="U48" i="37"/>
  <c r="T48" i="37"/>
  <c r="U47" i="37"/>
  <c r="T47" i="37"/>
  <c r="U46" i="37"/>
  <c r="T46" i="37"/>
  <c r="U45" i="37"/>
  <c r="T45" i="37"/>
  <c r="U44" i="37"/>
  <c r="T44" i="37"/>
  <c r="U43" i="37"/>
  <c r="T43" i="37"/>
  <c r="U42" i="37"/>
  <c r="T42" i="37"/>
  <c r="U41" i="37"/>
  <c r="T41" i="37"/>
  <c r="U40" i="37"/>
  <c r="T40" i="37"/>
  <c r="U39" i="37"/>
  <c r="T39" i="37"/>
  <c r="U38" i="37"/>
  <c r="T38" i="37"/>
  <c r="U37" i="37"/>
  <c r="T37" i="37"/>
  <c r="U36" i="37"/>
  <c r="T36" i="37"/>
  <c r="U35" i="37"/>
  <c r="T35" i="37"/>
  <c r="U34" i="37"/>
  <c r="T34" i="37"/>
  <c r="U33" i="37"/>
  <c r="T33" i="37"/>
  <c r="U32" i="37"/>
  <c r="T32" i="37"/>
  <c r="U31" i="37"/>
  <c r="T31" i="37"/>
  <c r="U30" i="37"/>
  <c r="T30" i="37"/>
  <c r="U29" i="37"/>
  <c r="T29" i="37"/>
  <c r="U28" i="37"/>
  <c r="T28" i="37"/>
  <c r="U27" i="37"/>
  <c r="T27" i="37"/>
  <c r="U26" i="37"/>
  <c r="T26" i="37"/>
  <c r="U25" i="37"/>
  <c r="T25" i="37"/>
  <c r="U24" i="37"/>
  <c r="T24" i="37"/>
  <c r="U23" i="37"/>
  <c r="T23" i="37"/>
  <c r="U22" i="37"/>
  <c r="T22" i="37"/>
  <c r="U21" i="37"/>
  <c r="T21" i="37"/>
  <c r="U20" i="37"/>
  <c r="T20" i="37"/>
  <c r="U19" i="37"/>
  <c r="T19" i="37"/>
  <c r="U18" i="37"/>
  <c r="T18" i="37"/>
  <c r="U17" i="37"/>
  <c r="T17" i="37"/>
  <c r="U16" i="37"/>
  <c r="T16" i="37"/>
  <c r="U15" i="37"/>
  <c r="T15" i="37"/>
  <c r="U14" i="37"/>
  <c r="T14" i="37"/>
  <c r="U13" i="37"/>
  <c r="T13" i="37"/>
  <c r="U12" i="37"/>
  <c r="T12" i="37"/>
  <c r="U11" i="37"/>
  <c r="T11" i="37"/>
  <c r="U10" i="37"/>
  <c r="T10" i="37"/>
  <c r="U9" i="37"/>
  <c r="T9" i="37"/>
  <c r="U8" i="37"/>
  <c r="T8" i="37"/>
  <c r="U7" i="37"/>
  <c r="T7" i="37"/>
  <c r="U6" i="37"/>
  <c r="T6" i="37"/>
  <c r="U5" i="37"/>
  <c r="T5" i="37"/>
  <c r="U4" i="37"/>
  <c r="T4" i="37"/>
  <c r="U3" i="37"/>
  <c r="T3" i="37"/>
  <c r="U2" i="37"/>
  <c r="T2" i="37"/>
  <c r="P53" i="1"/>
  <c r="P52" i="1"/>
  <c r="P51" i="1"/>
  <c r="P50" i="1"/>
  <c r="P49" i="1"/>
  <c r="P48" i="1"/>
  <c r="P47" i="1"/>
  <c r="P46" i="1"/>
  <c r="P45" i="1"/>
  <c r="P44" i="1"/>
  <c r="P43" i="1"/>
  <c r="P42" i="1"/>
  <c r="P41" i="1"/>
  <c r="P40" i="1"/>
  <c r="P39" i="1"/>
  <c r="P38" i="1"/>
  <c r="P37" i="1"/>
  <c r="P36" i="1"/>
  <c r="P35" i="1"/>
  <c r="P34" i="1"/>
  <c r="P33" i="1"/>
  <c r="P32" i="1"/>
  <c r="P31" i="1"/>
  <c r="P30" i="1"/>
  <c r="P29" i="1"/>
  <c r="P28" i="1"/>
  <c r="P27" i="1"/>
  <c r="P26" i="1"/>
  <c r="P25" i="1"/>
  <c r="P24" i="1"/>
  <c r="P23" i="1"/>
  <c r="P22" i="1"/>
  <c r="P21" i="1"/>
  <c r="P20" i="1"/>
  <c r="P19" i="1"/>
  <c r="P18" i="1"/>
  <c r="P17" i="1"/>
  <c r="P16" i="1"/>
  <c r="P15" i="1"/>
  <c r="P14" i="1"/>
  <c r="P13" i="1"/>
  <c r="P12" i="1"/>
  <c r="P11" i="1"/>
  <c r="P10" i="1"/>
  <c r="P9" i="1"/>
  <c r="P8" i="1"/>
  <c r="I8" i="1"/>
  <c r="P7" i="1"/>
  <c r="I7" i="1"/>
  <c r="P6" i="1"/>
  <c r="I6" i="1"/>
  <c r="P5" i="1"/>
  <c r="I5" i="1"/>
  <c r="B5" i="1"/>
  <c r="B17" i="1"/>
  <c r="B16" i="1"/>
  <c r="B6" i="1"/>
  <c r="D758" i="37"/>
  <c r="D700" i="37"/>
  <c r="D624" i="37"/>
  <c r="D623" i="37"/>
  <c r="D519" i="37"/>
  <c r="D494" i="37"/>
  <c r="D487" i="37"/>
  <c r="D482" i="37"/>
  <c r="D423" i="37"/>
  <c r="D334" i="37"/>
  <c r="D253" i="37"/>
  <c r="D182" i="37"/>
  <c r="D164" i="37"/>
  <c r="D55" i="37"/>
  <c r="D38" i="37"/>
  <c r="D23" i="37"/>
  <c r="D470" i="37"/>
  <c r="D604" i="37"/>
  <c r="D583" i="37"/>
  <c r="D60" i="37"/>
  <c r="D183" i="37"/>
  <c r="D332" i="37"/>
  <c r="D52" i="37"/>
  <c r="D634" i="37"/>
  <c r="D311" i="37"/>
  <c r="D484" i="37"/>
  <c r="D718" i="37"/>
  <c r="D533" i="37"/>
  <c r="D733" i="37"/>
  <c r="D309" i="37"/>
  <c r="D324" i="37"/>
  <c r="D814" i="37"/>
  <c r="D229" i="37"/>
  <c r="D416" i="37"/>
  <c r="D188" i="37"/>
  <c r="D523" i="37"/>
  <c r="D573" i="37"/>
  <c r="D357" i="37"/>
  <c r="D810" i="37"/>
  <c r="D103" i="37"/>
  <c r="D812" i="37"/>
  <c r="D809" i="37"/>
  <c r="D807" i="37"/>
  <c r="D804" i="37"/>
  <c r="D803" i="37"/>
  <c r="D800" i="37"/>
  <c r="D789" i="37"/>
  <c r="D782" i="37"/>
  <c r="D781" i="37"/>
  <c r="D780" i="37"/>
  <c r="D779" i="37"/>
  <c r="D764" i="37"/>
  <c r="D756" i="37"/>
  <c r="D734" i="37"/>
  <c r="D719" i="37"/>
  <c r="D702" i="37"/>
  <c r="D687" i="37"/>
  <c r="D685" i="37"/>
  <c r="D669" i="37"/>
  <c r="D662" i="37"/>
  <c r="D661" i="37"/>
  <c r="D659" i="37"/>
  <c r="D653" i="37"/>
  <c r="D644" i="37"/>
  <c r="D630" i="37"/>
  <c r="D622" i="37"/>
  <c r="D621" i="37"/>
  <c r="D603" i="37"/>
  <c r="D599" i="37"/>
  <c r="D585" i="37"/>
  <c r="D584" i="37"/>
  <c r="D581" i="37"/>
  <c r="D569" i="37"/>
  <c r="D565" i="37"/>
  <c r="D555" i="37"/>
  <c r="D550" i="37"/>
  <c r="D549" i="37"/>
  <c r="D547" i="37"/>
  <c r="D539" i="37"/>
  <c r="D503" i="37"/>
  <c r="D502" i="37"/>
  <c r="D501" i="37"/>
  <c r="D477" i="37"/>
  <c r="D475" i="37"/>
  <c r="D464" i="37"/>
  <c r="D457" i="37"/>
  <c r="D456" i="37"/>
  <c r="D441" i="37"/>
  <c r="D426" i="37"/>
  <c r="D425" i="37"/>
  <c r="D424" i="37"/>
  <c r="D407" i="37"/>
  <c r="D405" i="37"/>
  <c r="D397" i="37"/>
  <c r="D391" i="37"/>
  <c r="D388" i="37"/>
  <c r="D386" i="37"/>
  <c r="D372" i="37"/>
  <c r="D365" i="37"/>
  <c r="D362" i="37"/>
  <c r="D360" i="37"/>
  <c r="D359" i="37"/>
  <c r="D345" i="37"/>
  <c r="D330" i="37"/>
  <c r="D316" i="37"/>
  <c r="D314" i="37"/>
  <c r="D312" i="37"/>
  <c r="D283" i="37"/>
  <c r="D267" i="37"/>
  <c r="D264" i="37"/>
  <c r="D261" i="37"/>
  <c r="D254" i="37"/>
  <c r="D237" i="37"/>
  <c r="D222" i="37"/>
  <c r="D219" i="37"/>
  <c r="D218" i="37"/>
  <c r="D213" i="37"/>
  <c r="D206" i="37"/>
  <c r="D202" i="37"/>
  <c r="D197" i="37"/>
  <c r="D187" i="37"/>
  <c r="D186" i="37"/>
  <c r="D184" i="37"/>
  <c r="D181" i="37"/>
  <c r="D173" i="37"/>
  <c r="D165" i="37"/>
  <c r="D143" i="37"/>
  <c r="D141" i="37"/>
  <c r="D123" i="37"/>
  <c r="D108" i="37"/>
  <c r="D100" i="37"/>
  <c r="D96" i="37"/>
  <c r="D92" i="37"/>
  <c r="D75" i="37"/>
  <c r="D71" i="37"/>
  <c r="D64" i="37"/>
  <c r="D61" i="37"/>
  <c r="D59" i="37"/>
  <c r="D57" i="37"/>
  <c r="D45" i="37"/>
  <c r="D43" i="37"/>
  <c r="D41" i="37"/>
  <c r="D29" i="37"/>
  <c r="D22" i="37"/>
  <c r="D15" i="37"/>
  <c r="D14" i="37"/>
  <c r="D315" i="37"/>
  <c r="D747" i="37"/>
  <c r="D93" i="37"/>
  <c r="D382" i="37"/>
  <c r="D85" i="37"/>
  <c r="D117" i="37"/>
  <c r="D430" i="37"/>
  <c r="D331" i="37"/>
  <c r="D4" i="37"/>
  <c r="D66" i="37"/>
  <c r="D313" i="37"/>
  <c r="D580" i="37"/>
  <c r="D279" i="37"/>
  <c r="D522" i="37"/>
  <c r="D272" i="37"/>
  <c r="D340" i="37"/>
  <c r="D725" i="37"/>
  <c r="D396" i="37"/>
  <c r="D24" i="37"/>
  <c r="D677" i="37"/>
  <c r="D9" i="37"/>
  <c r="D265" i="37"/>
  <c r="D741" i="37"/>
  <c r="D597" i="37"/>
  <c r="D155" i="37"/>
  <c r="D157" i="37"/>
  <c r="D699" i="37"/>
  <c r="D299" i="37"/>
  <c r="D548" i="37"/>
  <c r="D453" i="37"/>
  <c r="D612" i="37"/>
  <c r="D298" i="37"/>
  <c r="D107" i="37"/>
  <c r="D110" i="37"/>
  <c r="D139" i="37"/>
  <c r="D638" i="37"/>
  <c r="D361" i="37"/>
  <c r="D94" i="37"/>
  <c r="D251" i="37"/>
  <c r="D752" i="37"/>
  <c r="D303" i="37"/>
  <c r="D149" i="37"/>
  <c r="D490" i="37"/>
  <c r="D422" i="37"/>
  <c r="D454" i="37"/>
  <c r="D104" i="37"/>
  <c r="D125" i="37"/>
  <c r="D759" i="37"/>
  <c r="D420" i="37"/>
  <c r="D732" i="37"/>
  <c r="D507" i="37"/>
  <c r="D743" i="37"/>
  <c r="D308" i="37"/>
  <c r="D215" i="37"/>
  <c r="D375" i="37"/>
  <c r="D461" i="37"/>
  <c r="D119" i="37"/>
  <c r="D318" i="37"/>
  <c r="D76" i="37"/>
  <c r="D10" i="37"/>
  <c r="D541" i="37"/>
  <c r="D745" i="37"/>
  <c r="D292" i="37"/>
  <c r="D269" i="37"/>
  <c r="D695" i="37"/>
  <c r="D399" i="37"/>
  <c r="D126" i="37"/>
  <c r="D25" i="37"/>
  <c r="D217" i="37"/>
  <c r="D667" i="37"/>
  <c r="D256" i="37"/>
  <c r="D239" i="37"/>
  <c r="D639" i="37"/>
  <c r="D412" i="37"/>
  <c r="D445" i="37"/>
  <c r="D154" i="37"/>
  <c r="D596" i="37"/>
  <c r="D660" i="37"/>
  <c r="D31" i="37"/>
  <c r="D570" i="37"/>
  <c r="D329" i="37"/>
  <c r="D77" i="37"/>
  <c r="D765" i="37"/>
  <c r="D642" i="37"/>
  <c r="D778" i="37"/>
  <c r="D540" i="37"/>
  <c r="D142" i="37"/>
  <c r="D86" i="37"/>
  <c r="E419" i="2"/>
  <c r="D419" i="2"/>
  <c r="E244" i="2"/>
  <c r="D244" i="2"/>
  <c r="E698" i="2"/>
  <c r="D698" i="2"/>
  <c r="E697" i="2"/>
  <c r="D697" i="2"/>
  <c r="E468" i="2"/>
  <c r="D468" i="2"/>
  <c r="E608" i="2"/>
  <c r="D608" i="2"/>
  <c r="E23" i="2"/>
  <c r="D23" i="2"/>
  <c r="E45" i="2"/>
  <c r="D45" i="2"/>
  <c r="E378" i="2"/>
  <c r="D378" i="2"/>
  <c r="E58" i="2"/>
  <c r="D58" i="2"/>
  <c r="E637" i="2"/>
  <c r="D637" i="2"/>
  <c r="E746" i="2"/>
  <c r="D746" i="2"/>
  <c r="E601" i="2"/>
  <c r="D601" i="2"/>
  <c r="E762" i="2"/>
  <c r="D762" i="2"/>
  <c r="E420" i="2"/>
  <c r="D420" i="2"/>
  <c r="E562" i="2"/>
  <c r="D562" i="2"/>
  <c r="E405" i="2"/>
  <c r="D405" i="2"/>
  <c r="D648" i="2"/>
  <c r="E708" i="2"/>
  <c r="D708" i="2"/>
  <c r="E30" i="2"/>
  <c r="D30" i="2"/>
  <c r="E275" i="2"/>
  <c r="D275" i="2"/>
  <c r="E368" i="2"/>
  <c r="D368" i="2"/>
  <c r="E164" i="2"/>
  <c r="D164" i="2"/>
  <c r="D243" i="2"/>
  <c r="D617" i="2"/>
  <c r="E617" i="2"/>
  <c r="E767" i="2"/>
  <c r="D767" i="2"/>
  <c r="E477" i="2"/>
  <c r="D477" i="2"/>
  <c r="E618" i="2"/>
  <c r="D618" i="2"/>
  <c r="E152" i="2"/>
  <c r="D152" i="2"/>
  <c r="E234" i="2"/>
  <c r="D234" i="2"/>
  <c r="E15" i="2"/>
  <c r="D15" i="2"/>
  <c r="E141" i="2"/>
  <c r="D141" i="2"/>
  <c r="E756" i="2"/>
  <c r="D756" i="2"/>
  <c r="E757" i="2"/>
  <c r="D757" i="2"/>
  <c r="E434" i="2"/>
  <c r="D434" i="2"/>
  <c r="E435" i="2"/>
  <c r="D435" i="2"/>
  <c r="E285" i="2"/>
  <c r="D285" i="2"/>
  <c r="E461" i="2"/>
  <c r="D461" i="2"/>
  <c r="E44" i="2"/>
  <c r="D44" i="2"/>
  <c r="E607" i="2"/>
  <c r="D607" i="2"/>
  <c r="E284" i="2"/>
  <c r="D284" i="2"/>
  <c r="E554" i="2"/>
  <c r="D554" i="2"/>
  <c r="E606" i="2"/>
  <c r="D606" i="2"/>
  <c r="E314" i="2"/>
  <c r="D314" i="2"/>
  <c r="E313" i="2"/>
  <c r="D313" i="2"/>
  <c r="E502" i="2"/>
  <c r="D502" i="2"/>
  <c r="E503" i="2"/>
  <c r="D503" i="2"/>
  <c r="E501" i="2"/>
  <c r="D501" i="2"/>
  <c r="E349" i="2"/>
  <c r="D349" i="2"/>
  <c r="E282" i="2"/>
  <c r="D282" i="2"/>
  <c r="E441" i="2"/>
  <c r="D441" i="2"/>
  <c r="E440" i="2"/>
  <c r="D440" i="2"/>
  <c r="E231" i="2"/>
  <c r="D231" i="2"/>
  <c r="E741" i="2"/>
  <c r="D741" i="2"/>
  <c r="E696" i="2"/>
  <c r="D696" i="2"/>
  <c r="D640" i="2"/>
  <c r="E640" i="2"/>
  <c r="E560" i="2"/>
  <c r="D560" i="2"/>
  <c r="E660" i="2"/>
  <c r="D660" i="2"/>
  <c r="E100" i="2"/>
  <c r="D100" i="2"/>
  <c r="E99" i="2"/>
  <c r="D99" i="2"/>
  <c r="E280" i="2"/>
  <c r="D280" i="2"/>
  <c r="E195" i="2"/>
  <c r="D195" i="2"/>
  <c r="E355" i="2"/>
  <c r="D355" i="2"/>
  <c r="D246" i="2"/>
  <c r="E246" i="2"/>
  <c r="E621" i="2"/>
  <c r="D621" i="2"/>
  <c r="E744" i="2"/>
  <c r="D744" i="2"/>
  <c r="E73" i="2"/>
  <c r="D73" i="2"/>
  <c r="E346" i="2"/>
  <c r="D346" i="2"/>
  <c r="E117" i="2"/>
  <c r="D117" i="2"/>
  <c r="D805" i="2"/>
  <c r="E805" i="2"/>
  <c r="E339" i="2"/>
  <c r="D339" i="2"/>
  <c r="E172" i="2"/>
  <c r="D172" i="2"/>
  <c r="E208" i="2"/>
  <c r="D208" i="2"/>
  <c r="E603" i="2"/>
  <c r="D603" i="2"/>
  <c r="E128" i="2"/>
  <c r="D128" i="2"/>
  <c r="E157" i="2"/>
  <c r="D157" i="2"/>
  <c r="E74" i="2"/>
  <c r="D74" i="2"/>
  <c r="E465" i="2"/>
  <c r="D465" i="2"/>
  <c r="E506" i="2"/>
  <c r="D506" i="2"/>
  <c r="E364" i="2"/>
  <c r="D364" i="2"/>
  <c r="E605" i="2"/>
  <c r="D605" i="2"/>
  <c r="E833" i="2"/>
  <c r="D833" i="2"/>
  <c r="A820" i="37"/>
  <c r="D820" i="37" s="1"/>
  <c r="A819" i="37"/>
  <c r="D819" i="37" s="1"/>
  <c r="A818" i="37"/>
  <c r="F818" i="37" s="1"/>
  <c r="A817" i="37"/>
  <c r="D817" i="37" s="1"/>
  <c r="A816" i="37"/>
  <c r="D816" i="37" s="1"/>
  <c r="A815" i="37"/>
  <c r="D815" i="37" s="1"/>
  <c r="A814" i="37"/>
  <c r="C814" i="37" s="1"/>
  <c r="A813" i="37"/>
  <c r="D813" i="37" s="1"/>
  <c r="A812" i="37"/>
  <c r="A811" i="37"/>
  <c r="D811" i="37" s="1"/>
  <c r="A810" i="37"/>
  <c r="F810" i="37" s="1"/>
  <c r="A809" i="37"/>
  <c r="A808" i="37"/>
  <c r="D808" i="37" s="1"/>
  <c r="A807" i="37"/>
  <c r="A806" i="37"/>
  <c r="D806" i="37" s="1"/>
  <c r="A805" i="37"/>
  <c r="D805" i="37" s="1"/>
  <c r="A804" i="37"/>
  <c r="A803" i="37"/>
  <c r="A802" i="37"/>
  <c r="F802" i="37" s="1"/>
  <c r="A801" i="37"/>
  <c r="D801" i="37" s="1"/>
  <c r="A800" i="37"/>
  <c r="A799" i="37"/>
  <c r="D799" i="37" s="1"/>
  <c r="A798" i="37"/>
  <c r="D798" i="37" s="1"/>
  <c r="A797" i="37"/>
  <c r="D797" i="37" s="1"/>
  <c r="A796" i="37"/>
  <c r="D796" i="37" s="1"/>
  <c r="A795" i="37"/>
  <c r="D795" i="37" s="1"/>
  <c r="A794" i="37"/>
  <c r="F794" i="37" s="1"/>
  <c r="A793" i="37"/>
  <c r="D793" i="37" s="1"/>
  <c r="A792" i="37"/>
  <c r="D792" i="37" s="1"/>
  <c r="A791" i="37"/>
  <c r="C791" i="37" s="1"/>
  <c r="A790" i="37"/>
  <c r="D790" i="37" s="1"/>
  <c r="A789" i="37"/>
  <c r="A788" i="37"/>
  <c r="D788" i="37" s="1"/>
  <c r="A787" i="37"/>
  <c r="D787" i="37" s="1"/>
  <c r="A786" i="37"/>
  <c r="F786" i="37" s="1"/>
  <c r="A785" i="37"/>
  <c r="D785" i="37" s="1"/>
  <c r="A784" i="37"/>
  <c r="D784" i="37" s="1"/>
  <c r="A783" i="37"/>
  <c r="D783" i="37" s="1"/>
  <c r="A782" i="37"/>
  <c r="A781" i="37"/>
  <c r="A780" i="37"/>
  <c r="A779" i="37"/>
  <c r="A778" i="37"/>
  <c r="F778" i="37" s="1"/>
  <c r="A777" i="37"/>
  <c r="D777" i="37" s="1"/>
  <c r="A776" i="37"/>
  <c r="F776" i="37" s="1"/>
  <c r="A775" i="37"/>
  <c r="C775" i="37" s="1"/>
  <c r="A774" i="37"/>
  <c r="D774" i="37" s="1"/>
  <c r="A773" i="37"/>
  <c r="D773" i="37" s="1"/>
  <c r="A772" i="37"/>
  <c r="D772" i="37" s="1"/>
  <c r="A771" i="37"/>
  <c r="D771" i="37" s="1"/>
  <c r="A770" i="37"/>
  <c r="D770" i="37" s="1"/>
  <c r="A769" i="37"/>
  <c r="D769" i="37" s="1"/>
  <c r="A768" i="37"/>
  <c r="D768" i="37" s="1"/>
  <c r="A767" i="37"/>
  <c r="B767" i="37" s="1"/>
  <c r="A766" i="37"/>
  <c r="D766" i="37" s="1"/>
  <c r="A765" i="37"/>
  <c r="F765" i="37" s="1"/>
  <c r="A764" i="37"/>
  <c r="A763" i="37"/>
  <c r="D763" i="37" s="1"/>
  <c r="A762" i="37"/>
  <c r="D762" i="37" s="1"/>
  <c r="A761" i="37"/>
  <c r="D761" i="37" s="1"/>
  <c r="A760" i="37"/>
  <c r="D760" i="37" s="1"/>
  <c r="A759" i="37"/>
  <c r="C759" i="37" s="1"/>
  <c r="A758" i="37"/>
  <c r="A757" i="37"/>
  <c r="F757" i="37" s="1"/>
  <c r="A756" i="37"/>
  <c r="A755" i="37"/>
  <c r="F755" i="37" s="1"/>
  <c r="A754" i="37"/>
  <c r="D754" i="37" s="1"/>
  <c r="A753" i="37"/>
  <c r="D753" i="37" s="1"/>
  <c r="A752" i="37"/>
  <c r="F752" i="37" s="1"/>
  <c r="A751" i="37"/>
  <c r="D751" i="37" s="1"/>
  <c r="A750" i="37"/>
  <c r="D750" i="37" s="1"/>
  <c r="A749" i="37"/>
  <c r="F749" i="37" s="1"/>
  <c r="A748" i="37"/>
  <c r="D748" i="37" s="1"/>
  <c r="A747" i="37"/>
  <c r="B747" i="37" s="1"/>
  <c r="A746" i="37"/>
  <c r="D746" i="37" s="1"/>
  <c r="A745" i="37"/>
  <c r="C745" i="37" s="1"/>
  <c r="A744" i="37"/>
  <c r="D744" i="37" s="1"/>
  <c r="A743" i="37"/>
  <c r="B743" i="37" s="1"/>
  <c r="A742" i="37"/>
  <c r="F742" i="37" s="1"/>
  <c r="A741" i="37"/>
  <c r="F741" i="37" s="1"/>
  <c r="A740" i="37"/>
  <c r="D740" i="37" s="1"/>
  <c r="A739" i="37"/>
  <c r="F739" i="37" s="1"/>
  <c r="A738" i="37"/>
  <c r="F738" i="37" s="1"/>
  <c r="A737" i="37"/>
  <c r="D737" i="37" s="1"/>
  <c r="A736" i="37"/>
  <c r="B736" i="37" s="1"/>
  <c r="A735" i="37"/>
  <c r="F735" i="37" s="1"/>
  <c r="A734" i="37"/>
  <c r="A733" i="37"/>
  <c r="F733" i="37" s="1"/>
  <c r="A732" i="37"/>
  <c r="B732" i="37" s="1"/>
  <c r="A731" i="37"/>
  <c r="D731" i="37" s="1"/>
  <c r="A730" i="37"/>
  <c r="D730" i="37" s="1"/>
  <c r="A729" i="37"/>
  <c r="D729" i="37" s="1"/>
  <c r="A728" i="37"/>
  <c r="D728" i="37" s="1"/>
  <c r="A727" i="37"/>
  <c r="D727" i="37" s="1"/>
  <c r="A726" i="37"/>
  <c r="D726" i="37" s="1"/>
  <c r="A725" i="37"/>
  <c r="B725" i="37" s="1"/>
  <c r="A724" i="37"/>
  <c r="C724" i="37" s="1"/>
  <c r="A723" i="37"/>
  <c r="D723" i="37" s="1"/>
  <c r="A722" i="37"/>
  <c r="D722" i="37" s="1"/>
  <c r="A721" i="37"/>
  <c r="D721" i="37" s="1"/>
  <c r="A720" i="37"/>
  <c r="F720" i="37" s="1"/>
  <c r="A719" i="37"/>
  <c r="A718" i="37"/>
  <c r="F718" i="37" s="1"/>
  <c r="A717" i="37"/>
  <c r="B717" i="37" s="1"/>
  <c r="A716" i="37"/>
  <c r="D716" i="37" s="1"/>
  <c r="A715" i="37"/>
  <c r="D715" i="37" s="1"/>
  <c r="A714" i="37"/>
  <c r="D714" i="37" s="1"/>
  <c r="A713" i="37"/>
  <c r="D713" i="37" s="1"/>
  <c r="A712" i="37"/>
  <c r="F712" i="37" s="1"/>
  <c r="A711" i="37"/>
  <c r="F711" i="37" s="1"/>
  <c r="A710" i="37"/>
  <c r="D710" i="37" s="1"/>
  <c r="A709" i="37"/>
  <c r="D709" i="37" s="1"/>
  <c r="A708" i="37"/>
  <c r="D708" i="37" s="1"/>
  <c r="A707" i="37"/>
  <c r="D707" i="37" s="1"/>
  <c r="A706" i="37"/>
  <c r="D706" i="37" s="1"/>
  <c r="A705" i="37"/>
  <c r="D705" i="37" s="1"/>
  <c r="A704" i="37"/>
  <c r="B704" i="37" s="1"/>
  <c r="A703" i="37"/>
  <c r="F703" i="37" s="1"/>
  <c r="A702" i="37"/>
  <c r="A701" i="37"/>
  <c r="D701" i="37" s="1"/>
  <c r="A700" i="37"/>
  <c r="A699" i="37"/>
  <c r="C699" i="37" s="1"/>
  <c r="A698" i="37"/>
  <c r="D698" i="37" s="1"/>
  <c r="A697" i="37"/>
  <c r="D697" i="37" s="1"/>
  <c r="A696" i="37"/>
  <c r="C696" i="37" s="1"/>
  <c r="A695" i="37"/>
  <c r="F695" i="37" s="1"/>
  <c r="A694" i="37"/>
  <c r="D694" i="37" s="1"/>
  <c r="A693" i="37"/>
  <c r="D693" i="37" s="1"/>
  <c r="A692" i="37"/>
  <c r="D692" i="37" s="1"/>
  <c r="A691" i="37"/>
  <c r="D691" i="37" s="1"/>
  <c r="A690" i="37"/>
  <c r="D690" i="37" s="1"/>
  <c r="A689" i="37"/>
  <c r="F689" i="37" s="1"/>
  <c r="A688" i="37"/>
  <c r="D688" i="37" s="1"/>
  <c r="A687" i="37"/>
  <c r="A686" i="37"/>
  <c r="B686" i="37" s="1"/>
  <c r="A685" i="37"/>
  <c r="A684" i="37"/>
  <c r="D684" i="37" s="1"/>
  <c r="A683" i="37"/>
  <c r="D683" i="37" s="1"/>
  <c r="A682" i="37"/>
  <c r="D682" i="37" s="1"/>
  <c r="A681" i="37"/>
  <c r="D681" i="37" s="1"/>
  <c r="A680" i="37"/>
  <c r="F680" i="37" s="1"/>
  <c r="A679" i="37"/>
  <c r="D679" i="37" s="1"/>
  <c r="A678" i="37"/>
  <c r="B678" i="37" s="1"/>
  <c r="A677" i="37"/>
  <c r="B677" i="37" s="1"/>
  <c r="A676" i="37"/>
  <c r="D676" i="37" s="1"/>
  <c r="A675" i="37"/>
  <c r="D675" i="37" s="1"/>
  <c r="A674" i="37"/>
  <c r="C674" i="37" s="1"/>
  <c r="A673" i="37"/>
  <c r="F673" i="37" s="1"/>
  <c r="A672" i="37"/>
  <c r="D672" i="37" s="1"/>
  <c r="A671" i="37"/>
  <c r="F671" i="37" s="1"/>
  <c r="A670" i="37"/>
  <c r="D670" i="37" s="1"/>
  <c r="A669" i="37"/>
  <c r="A668" i="37"/>
  <c r="C668" i="37" s="1"/>
  <c r="A667" i="37"/>
  <c r="F667" i="37" s="1"/>
  <c r="A666" i="37"/>
  <c r="D666" i="37" s="1"/>
  <c r="A665" i="37"/>
  <c r="D665" i="37" s="1"/>
  <c r="A664" i="37"/>
  <c r="D664" i="37" s="1"/>
  <c r="A663" i="37"/>
  <c r="D663" i="37" s="1"/>
  <c r="A662" i="37"/>
  <c r="A661" i="37"/>
  <c r="A660" i="37"/>
  <c r="F660" i="37" s="1"/>
  <c r="A659" i="37"/>
  <c r="A658" i="37"/>
  <c r="B658" i="37" s="1"/>
  <c r="A657" i="37"/>
  <c r="D657" i="37" s="1"/>
  <c r="A656" i="37"/>
  <c r="F656" i="37" s="1"/>
  <c r="A655" i="37"/>
  <c r="F655" i="37" s="1"/>
  <c r="A654" i="37"/>
  <c r="B654" i="37" s="1"/>
  <c r="A653" i="37"/>
  <c r="A652" i="37"/>
  <c r="D652" i="37" s="1"/>
  <c r="A651" i="37"/>
  <c r="D651" i="37" s="1"/>
  <c r="A650" i="37"/>
  <c r="D650" i="37" s="1"/>
  <c r="A649" i="37"/>
  <c r="D649" i="37" s="1"/>
  <c r="A648" i="37"/>
  <c r="D648" i="37" s="1"/>
  <c r="A647" i="37"/>
  <c r="F647" i="37" s="1"/>
  <c r="A646" i="37"/>
  <c r="D646" i="37" s="1"/>
  <c r="A645" i="37"/>
  <c r="D645" i="37" s="1"/>
  <c r="A644" i="37"/>
  <c r="A643" i="37"/>
  <c r="C643" i="37" s="1"/>
  <c r="A642" i="37"/>
  <c r="B642" i="37" s="1"/>
  <c r="A641" i="37"/>
  <c r="D641" i="37" s="1"/>
  <c r="A640" i="37"/>
  <c r="D640" i="37" s="1"/>
  <c r="A639" i="37"/>
  <c r="F639" i="37" s="1"/>
  <c r="A638" i="37"/>
  <c r="B638" i="37" s="1"/>
  <c r="A637" i="37"/>
  <c r="F637" i="37" s="1"/>
  <c r="A636" i="37"/>
  <c r="D636" i="37" s="1"/>
  <c r="A635" i="37"/>
  <c r="D635" i="37" s="1"/>
  <c r="A634" i="37"/>
  <c r="F634" i="37" s="1"/>
  <c r="A633" i="37"/>
  <c r="C633" i="37" s="1"/>
  <c r="E633" i="37" s="1"/>
  <c r="A632" i="37"/>
  <c r="D632" i="37" s="1"/>
  <c r="A631" i="37"/>
  <c r="D631" i="37" s="1"/>
  <c r="A630" i="37"/>
  <c r="A629" i="37"/>
  <c r="F629" i="37" s="1"/>
  <c r="A628" i="37"/>
  <c r="C628" i="37" s="1"/>
  <c r="A627" i="37"/>
  <c r="D627" i="37" s="1"/>
  <c r="A626" i="37"/>
  <c r="F626" i="37" s="1"/>
  <c r="A625" i="37"/>
  <c r="D625" i="37" s="1"/>
  <c r="A624" i="37"/>
  <c r="A623" i="37"/>
  <c r="A622" i="37"/>
  <c r="A621" i="37"/>
  <c r="A620" i="37"/>
  <c r="D620" i="37" s="1"/>
  <c r="A619" i="37"/>
  <c r="D619" i="37" s="1"/>
  <c r="A618" i="37"/>
  <c r="D618" i="37" s="1"/>
  <c r="A617" i="37"/>
  <c r="F617" i="37" s="1"/>
  <c r="A616" i="37"/>
  <c r="D616" i="37" s="1"/>
  <c r="A615" i="37"/>
  <c r="F615" i="37" s="1"/>
  <c r="A614" i="37"/>
  <c r="B614" i="37" s="1"/>
  <c r="A613" i="37"/>
  <c r="D613" i="37" s="1"/>
  <c r="A612" i="37"/>
  <c r="C612" i="37" s="1"/>
  <c r="A611" i="37"/>
  <c r="D611" i="37" s="1"/>
  <c r="A610" i="37"/>
  <c r="C610" i="37" s="1"/>
  <c r="A609" i="37"/>
  <c r="D609" i="37" s="1"/>
  <c r="A608" i="37"/>
  <c r="C608" i="37" s="1"/>
  <c r="A607" i="37"/>
  <c r="C607" i="37" s="1"/>
  <c r="A606" i="37"/>
  <c r="B606" i="37" s="1"/>
  <c r="A605" i="37"/>
  <c r="D605" i="37" s="1"/>
  <c r="A604" i="37"/>
  <c r="C604" i="37" s="1"/>
  <c r="A603" i="37"/>
  <c r="A602" i="37"/>
  <c r="D602" i="37" s="1"/>
  <c r="A601" i="37"/>
  <c r="F601" i="37" s="1"/>
  <c r="A600" i="37"/>
  <c r="F600" i="37" s="1"/>
  <c r="A599" i="37"/>
  <c r="A598" i="37"/>
  <c r="F598" i="37" s="1"/>
  <c r="A597" i="37"/>
  <c r="B597" i="37" s="1"/>
  <c r="A596" i="37"/>
  <c r="B596" i="37" s="1"/>
  <c r="A595" i="37"/>
  <c r="C595" i="37" s="1"/>
  <c r="A594" i="37"/>
  <c r="D594" i="37" s="1"/>
  <c r="A593" i="37"/>
  <c r="D593" i="37" s="1"/>
  <c r="A592" i="37"/>
  <c r="C592" i="37" s="1"/>
  <c r="A591" i="37"/>
  <c r="B591" i="37" s="1"/>
  <c r="A590" i="37"/>
  <c r="D590" i="37" s="1"/>
  <c r="A589" i="37"/>
  <c r="D589" i="37" s="1"/>
  <c r="A588" i="37"/>
  <c r="B588" i="37" s="1"/>
  <c r="A587" i="37"/>
  <c r="F587" i="37" s="1"/>
  <c r="A586" i="37"/>
  <c r="B586" i="37" s="1"/>
  <c r="A585" i="37"/>
  <c r="A584" i="37"/>
  <c r="A583" i="37"/>
  <c r="B583" i="37" s="1"/>
  <c r="A582" i="37"/>
  <c r="C582" i="37" s="1"/>
  <c r="A581" i="37"/>
  <c r="A580" i="37"/>
  <c r="F580" i="37" s="1"/>
  <c r="A579" i="37"/>
  <c r="D579" i="37" s="1"/>
  <c r="A578" i="37"/>
  <c r="D578" i="37" s="1"/>
  <c r="A577" i="37"/>
  <c r="C577" i="37" s="1"/>
  <c r="A576" i="37"/>
  <c r="C576" i="37" s="1"/>
  <c r="A575" i="37"/>
  <c r="D575" i="37" s="1"/>
  <c r="A574" i="37"/>
  <c r="D574" i="37" s="1"/>
  <c r="A573" i="37"/>
  <c r="F573" i="37" s="1"/>
  <c r="A572" i="37"/>
  <c r="D572" i="37" s="1"/>
  <c r="A571" i="37"/>
  <c r="D571" i="37" s="1"/>
  <c r="A570" i="37"/>
  <c r="C570" i="37" s="1"/>
  <c r="A569" i="37"/>
  <c r="A568" i="37"/>
  <c r="D568" i="37" s="1"/>
  <c r="A567" i="37"/>
  <c r="C567" i="37" s="1"/>
  <c r="A566" i="37"/>
  <c r="D566" i="37" s="1"/>
  <c r="A565" i="37"/>
  <c r="A564" i="37"/>
  <c r="D564" i="37" s="1"/>
  <c r="A563" i="37"/>
  <c r="C563" i="37" s="1"/>
  <c r="A562" i="37"/>
  <c r="D562" i="37" s="1"/>
  <c r="A561" i="37"/>
  <c r="D561" i="37" s="1"/>
  <c r="A560" i="37"/>
  <c r="D560" i="37" s="1"/>
  <c r="A559" i="37"/>
  <c r="C559" i="37" s="1"/>
  <c r="A558" i="37"/>
  <c r="B558" i="37" s="1"/>
  <c r="A557" i="37"/>
  <c r="D557" i="37" s="1"/>
  <c r="A556" i="37"/>
  <c r="B556" i="37" s="1"/>
  <c r="A555" i="37"/>
  <c r="A554" i="37"/>
  <c r="F554" i="37" s="1"/>
  <c r="A553" i="37"/>
  <c r="D553" i="37" s="1"/>
  <c r="A552" i="37"/>
  <c r="D552" i="37" s="1"/>
  <c r="A551" i="37"/>
  <c r="C551" i="37" s="1"/>
  <c r="A550" i="37"/>
  <c r="A549" i="37"/>
  <c r="A548" i="37"/>
  <c r="B548" i="37" s="1"/>
  <c r="A547" i="37"/>
  <c r="A546" i="37"/>
  <c r="F546" i="37" s="1"/>
  <c r="A545" i="37"/>
  <c r="F545" i="37" s="1"/>
  <c r="A544" i="37"/>
  <c r="B544" i="37" s="1"/>
  <c r="A543" i="37"/>
  <c r="F543" i="37" s="1"/>
  <c r="A542" i="37"/>
  <c r="C542" i="37" s="1"/>
  <c r="A541" i="37"/>
  <c r="C541" i="37" s="1"/>
  <c r="A540" i="37"/>
  <c r="B540" i="37" s="1"/>
  <c r="A539" i="37"/>
  <c r="A538" i="37"/>
  <c r="F538" i="37" s="1"/>
  <c r="A537" i="37"/>
  <c r="F537" i="37" s="1"/>
  <c r="A536" i="37"/>
  <c r="B536" i="37" s="1"/>
  <c r="A535" i="37"/>
  <c r="F535" i="37" s="1"/>
  <c r="A534" i="37"/>
  <c r="D534" i="37" s="1"/>
  <c r="A533" i="37"/>
  <c r="F533" i="37" s="1"/>
  <c r="A532" i="37"/>
  <c r="B532" i="37" s="1"/>
  <c r="A531" i="37"/>
  <c r="D531" i="37" s="1"/>
  <c r="A530" i="37"/>
  <c r="F530" i="37" s="1"/>
  <c r="A529" i="37"/>
  <c r="B529" i="37" s="1"/>
  <c r="A528" i="37"/>
  <c r="B528" i="37" s="1"/>
  <c r="A527" i="37"/>
  <c r="F527" i="37" s="1"/>
  <c r="A526" i="37"/>
  <c r="D526" i="37" s="1"/>
  <c r="A525" i="37"/>
  <c r="D525" i="37" s="1"/>
  <c r="A524" i="37"/>
  <c r="F524" i="37" s="1"/>
  <c r="A523" i="37"/>
  <c r="B523" i="37" s="1"/>
  <c r="A522" i="37"/>
  <c r="C522" i="37" s="1"/>
  <c r="A521" i="37"/>
  <c r="D521" i="37" s="1"/>
  <c r="A520" i="37"/>
  <c r="D520" i="37" s="1"/>
  <c r="A519" i="37"/>
  <c r="A518" i="37"/>
  <c r="D518" i="37" s="1"/>
  <c r="A517" i="37"/>
  <c r="B517" i="37" s="1"/>
  <c r="A516" i="37"/>
  <c r="D516" i="37" s="1"/>
  <c r="A515" i="37"/>
  <c r="D515" i="37" s="1"/>
  <c r="A514" i="37"/>
  <c r="D514" i="37" s="1"/>
  <c r="A513" i="37"/>
  <c r="D513" i="37" s="1"/>
  <c r="A512" i="37"/>
  <c r="D512" i="37" s="1"/>
  <c r="A511" i="37"/>
  <c r="D511" i="37" s="1"/>
  <c r="A510" i="37"/>
  <c r="D510" i="37" s="1"/>
  <c r="A509" i="37"/>
  <c r="B509" i="37" s="1"/>
  <c r="A508" i="37"/>
  <c r="B508" i="37" s="1"/>
  <c r="A507" i="37"/>
  <c r="B507" i="37" s="1"/>
  <c r="A506" i="37"/>
  <c r="C506" i="37" s="1"/>
  <c r="A505" i="37"/>
  <c r="D505" i="37" s="1"/>
  <c r="A504" i="37"/>
  <c r="C504" i="37" s="1"/>
  <c r="A503" i="37"/>
  <c r="A502" i="37"/>
  <c r="A501" i="37"/>
  <c r="A500" i="37"/>
  <c r="D500" i="37" s="1"/>
  <c r="A499" i="37"/>
  <c r="F499" i="37" s="1"/>
  <c r="A498" i="37"/>
  <c r="F498" i="37" s="1"/>
  <c r="A497" i="37"/>
  <c r="D497" i="37" s="1"/>
  <c r="A496" i="37"/>
  <c r="B496" i="37" s="1"/>
  <c r="A495" i="37"/>
  <c r="B495" i="37" s="1"/>
  <c r="A494" i="37"/>
  <c r="A493" i="37"/>
  <c r="C493" i="37" s="1"/>
  <c r="A492" i="37"/>
  <c r="D492" i="37" s="1"/>
  <c r="A491" i="37"/>
  <c r="F491" i="37" s="1"/>
  <c r="A490" i="37"/>
  <c r="F490" i="37" s="1"/>
  <c r="A489" i="37"/>
  <c r="D489" i="37" s="1"/>
  <c r="A488" i="37"/>
  <c r="B488" i="37" s="1"/>
  <c r="A487" i="37"/>
  <c r="A486" i="37"/>
  <c r="B486" i="37" s="1"/>
  <c r="A485" i="37"/>
  <c r="D485" i="37" s="1"/>
  <c r="A484" i="37"/>
  <c r="B484" i="37" s="1"/>
  <c r="A483" i="37"/>
  <c r="D483" i="37" s="1"/>
  <c r="A482" i="37"/>
  <c r="A481" i="37"/>
  <c r="C481" i="37" s="1"/>
  <c r="A480" i="37"/>
  <c r="D480" i="37" s="1"/>
  <c r="A479" i="37"/>
  <c r="D479" i="37" s="1"/>
  <c r="A478" i="37"/>
  <c r="D478" i="37" s="1"/>
  <c r="A477" i="37"/>
  <c r="A476" i="37"/>
  <c r="D476" i="37" s="1"/>
  <c r="A475" i="37"/>
  <c r="A474" i="37"/>
  <c r="D474" i="37" s="1"/>
  <c r="A473" i="37"/>
  <c r="C473" i="37" s="1"/>
  <c r="A472" i="37"/>
  <c r="B472" i="37" s="1"/>
  <c r="A471" i="37"/>
  <c r="D471" i="37" s="1"/>
  <c r="A470" i="37"/>
  <c r="B470" i="37" s="1"/>
  <c r="A469" i="37"/>
  <c r="F469" i="37" s="1"/>
  <c r="A468" i="37"/>
  <c r="C468" i="37" s="1"/>
  <c r="E468" i="37" s="1"/>
  <c r="A467" i="37"/>
  <c r="F467" i="37" s="1"/>
  <c r="A466" i="37"/>
  <c r="F466" i="37" s="1"/>
  <c r="A465" i="37"/>
  <c r="D465" i="37" s="1"/>
  <c r="A464" i="37"/>
  <c r="A463" i="37"/>
  <c r="F463" i="37" s="1"/>
  <c r="A462" i="37"/>
  <c r="D462" i="37" s="1"/>
  <c r="A461" i="37"/>
  <c r="B461" i="37" s="1"/>
  <c r="A460" i="37"/>
  <c r="F460" i="37" s="1"/>
  <c r="A459" i="37"/>
  <c r="B459" i="37" s="1"/>
  <c r="A458" i="37"/>
  <c r="F458" i="37" s="1"/>
  <c r="A457" i="37"/>
  <c r="A456" i="37"/>
  <c r="A455" i="37"/>
  <c r="B455" i="37" s="1"/>
  <c r="A454" i="37"/>
  <c r="F454" i="37" s="1"/>
  <c r="A453" i="37"/>
  <c r="F453" i="37" s="1"/>
  <c r="A452" i="37"/>
  <c r="D452" i="37" s="1"/>
  <c r="A451" i="37"/>
  <c r="F451" i="37" s="1"/>
  <c r="A450" i="37"/>
  <c r="D450" i="37" s="1"/>
  <c r="A449" i="37"/>
  <c r="B449" i="37" s="1"/>
  <c r="A448" i="37"/>
  <c r="D448" i="37" s="1"/>
  <c r="A447" i="37"/>
  <c r="D447" i="37" s="1"/>
  <c r="A446" i="37"/>
  <c r="D446" i="37" s="1"/>
  <c r="A445" i="37"/>
  <c r="C445" i="37" s="1"/>
  <c r="A444" i="37"/>
  <c r="D444" i="37" s="1"/>
  <c r="A443" i="37"/>
  <c r="D443" i="37" s="1"/>
  <c r="A442" i="37"/>
  <c r="D442" i="37" s="1"/>
  <c r="A441" i="37"/>
  <c r="A440" i="37"/>
  <c r="D440" i="37" s="1"/>
  <c r="A439" i="37"/>
  <c r="F439" i="37" s="1"/>
  <c r="A438" i="37"/>
  <c r="D438" i="37" s="1"/>
  <c r="A437" i="37"/>
  <c r="F437" i="37" s="1"/>
  <c r="A436" i="37"/>
  <c r="D436" i="37" s="1"/>
  <c r="A435" i="37"/>
  <c r="D435" i="37" s="1"/>
  <c r="A434" i="37"/>
  <c r="F434" i="37" s="1"/>
  <c r="A433" i="37"/>
  <c r="D433" i="37" s="1"/>
  <c r="A432" i="37"/>
  <c r="F432" i="37" s="1"/>
  <c r="A431" i="37"/>
  <c r="D431" i="37" s="1"/>
  <c r="A430" i="37"/>
  <c r="B430" i="37" s="1"/>
  <c r="A429" i="37"/>
  <c r="D429" i="37" s="1"/>
  <c r="A428" i="37"/>
  <c r="C428" i="37" s="1"/>
  <c r="A427" i="37"/>
  <c r="D427" i="37" s="1"/>
  <c r="A426" i="37"/>
  <c r="A425" i="37"/>
  <c r="A424" i="37"/>
  <c r="A423" i="37"/>
  <c r="A422" i="37"/>
  <c r="B422" i="37" s="1"/>
  <c r="A421" i="37"/>
  <c r="C421" i="37" s="1"/>
  <c r="A420" i="37"/>
  <c r="B420" i="37" s="1"/>
  <c r="A419" i="37"/>
  <c r="D419" i="37" s="1"/>
  <c r="A418" i="37"/>
  <c r="F418" i="37" s="1"/>
  <c r="A417" i="37"/>
  <c r="F417" i="37" s="1"/>
  <c r="A416" i="37"/>
  <c r="F416" i="37" s="1"/>
  <c r="A415" i="37"/>
  <c r="D415" i="37" s="1"/>
  <c r="A414" i="37"/>
  <c r="D414" i="37" s="1"/>
  <c r="A413" i="37"/>
  <c r="D413" i="37" s="1"/>
  <c r="A412" i="37"/>
  <c r="C412" i="37" s="1"/>
  <c r="A411" i="37"/>
  <c r="D411" i="37" s="1"/>
  <c r="A410" i="37"/>
  <c r="C410" i="37" s="1"/>
  <c r="A409" i="37"/>
  <c r="C409" i="37" s="1"/>
  <c r="A408" i="37"/>
  <c r="D408" i="37" s="1"/>
  <c r="A407" i="37"/>
  <c r="A406" i="37"/>
  <c r="D406" i="37" s="1"/>
  <c r="A405" i="37"/>
  <c r="A404" i="37"/>
  <c r="F404" i="37" s="1"/>
  <c r="A403" i="37"/>
  <c r="F403" i="37" s="1"/>
  <c r="A402" i="37"/>
  <c r="F402" i="37" s="1"/>
  <c r="A401" i="37"/>
  <c r="F401" i="37" s="1"/>
  <c r="A400" i="37"/>
  <c r="D400" i="37" s="1"/>
  <c r="A399" i="37"/>
  <c r="F399" i="37" s="1"/>
  <c r="A398" i="37"/>
  <c r="D398" i="37" s="1"/>
  <c r="A397" i="37"/>
  <c r="A396" i="37"/>
  <c r="F396" i="37" s="1"/>
  <c r="A395" i="37"/>
  <c r="C395" i="37" s="1"/>
  <c r="A394" i="37"/>
  <c r="D394" i="37" s="1"/>
  <c r="A393" i="37"/>
  <c r="D393" i="37" s="1"/>
  <c r="A392" i="37"/>
  <c r="C392" i="37" s="1"/>
  <c r="A391" i="37"/>
  <c r="A390" i="37"/>
  <c r="F390" i="37" s="1"/>
  <c r="A389" i="37"/>
  <c r="F389" i="37" s="1"/>
  <c r="A388" i="37"/>
  <c r="A387" i="37"/>
  <c r="D387" i="37" s="1"/>
  <c r="A386" i="37"/>
  <c r="A385" i="37"/>
  <c r="F385" i="37" s="1"/>
  <c r="A384" i="37"/>
  <c r="D384" i="37" s="1"/>
  <c r="A383" i="37"/>
  <c r="D383" i="37" s="1"/>
  <c r="A382" i="37"/>
  <c r="C382" i="37" s="1"/>
  <c r="A381" i="37"/>
  <c r="D381" i="37" s="1"/>
  <c r="A380" i="37"/>
  <c r="D380" i="37" s="1"/>
  <c r="A379" i="37"/>
  <c r="D379" i="37" s="1"/>
  <c r="A378" i="37"/>
  <c r="F378" i="37" s="1"/>
  <c r="A377" i="37"/>
  <c r="D377" i="37" s="1"/>
  <c r="A376" i="37"/>
  <c r="B376" i="37" s="1"/>
  <c r="A375" i="37"/>
  <c r="B375" i="37" s="1"/>
  <c r="A374" i="37"/>
  <c r="D374" i="37" s="1"/>
  <c r="A373" i="37"/>
  <c r="D373" i="37" s="1"/>
  <c r="A372" i="37"/>
  <c r="A371" i="37"/>
  <c r="D371" i="37" s="1"/>
  <c r="A370" i="37"/>
  <c r="B370" i="37" s="1"/>
  <c r="A369" i="37"/>
  <c r="C369" i="37" s="1"/>
  <c r="A368" i="37"/>
  <c r="C368" i="37" s="1"/>
  <c r="A367" i="37"/>
  <c r="D367" i="37" s="1"/>
  <c r="A366" i="37"/>
  <c r="D366" i="37" s="1"/>
  <c r="A365" i="37"/>
  <c r="A364" i="37"/>
  <c r="D364" i="37" s="1"/>
  <c r="A363" i="37"/>
  <c r="D363" i="37" s="1"/>
  <c r="A362" i="37"/>
  <c r="A361" i="37"/>
  <c r="C361" i="37" s="1"/>
  <c r="A360" i="37"/>
  <c r="A359" i="37"/>
  <c r="A358" i="37"/>
  <c r="D358" i="37" s="1"/>
  <c r="A357" i="37"/>
  <c r="F357" i="37" s="1"/>
  <c r="A356" i="37"/>
  <c r="D356" i="37" s="1"/>
  <c r="A355" i="37"/>
  <c r="D355" i="37" s="1"/>
  <c r="A354" i="37"/>
  <c r="B354" i="37" s="1"/>
  <c r="A353" i="37"/>
  <c r="D353" i="37" s="1"/>
  <c r="A352" i="37"/>
  <c r="D352" i="37" s="1"/>
  <c r="A351" i="37"/>
  <c r="D351" i="37" s="1"/>
  <c r="A350" i="37"/>
  <c r="B350" i="37" s="1"/>
  <c r="A349" i="37"/>
  <c r="B349" i="37" s="1"/>
  <c r="A348" i="37"/>
  <c r="B348" i="37" s="1"/>
  <c r="A347" i="37"/>
  <c r="B347" i="37" s="1"/>
  <c r="A346" i="37"/>
  <c r="D346" i="37" s="1"/>
  <c r="A345" i="37"/>
  <c r="A344" i="37"/>
  <c r="F344" i="37" s="1"/>
  <c r="A343" i="37"/>
  <c r="D343" i="37" s="1"/>
  <c r="A342" i="37"/>
  <c r="F342" i="37" s="1"/>
  <c r="A341" i="37"/>
  <c r="F341" i="37" s="1"/>
  <c r="A340" i="37"/>
  <c r="F340" i="37" s="1"/>
  <c r="A339" i="37"/>
  <c r="B339" i="37" s="1"/>
  <c r="A338" i="37"/>
  <c r="F338" i="37" s="1"/>
  <c r="A337" i="37"/>
  <c r="F337" i="37" s="1"/>
  <c r="A336" i="37"/>
  <c r="D336" i="37" s="1"/>
  <c r="A335" i="37"/>
  <c r="D335" i="37" s="1"/>
  <c r="A334" i="37"/>
  <c r="A333" i="37"/>
  <c r="D333" i="37" s="1"/>
  <c r="A332" i="37"/>
  <c r="F332" i="37" s="1"/>
  <c r="A331" i="37"/>
  <c r="F331" i="37" s="1"/>
  <c r="A330" i="37"/>
  <c r="A329" i="37"/>
  <c r="B329" i="37" s="1"/>
  <c r="A328" i="37"/>
  <c r="F328" i="37" s="1"/>
  <c r="A327" i="37"/>
  <c r="D327" i="37" s="1"/>
  <c r="A326" i="37"/>
  <c r="F326" i="37" s="1"/>
  <c r="A325" i="37"/>
  <c r="B325" i="37" s="1"/>
  <c r="A324" i="37"/>
  <c r="F324" i="37" s="1"/>
  <c r="A323" i="37"/>
  <c r="D323" i="37" s="1"/>
  <c r="A322" i="37"/>
  <c r="F322" i="37" s="1"/>
  <c r="A321" i="37"/>
  <c r="D321" i="37" s="1"/>
  <c r="A320" i="37"/>
  <c r="F320" i="37" s="1"/>
  <c r="A319" i="37"/>
  <c r="D319" i="37" s="1"/>
  <c r="A318" i="37"/>
  <c r="F318" i="37" s="1"/>
  <c r="A317" i="37"/>
  <c r="D317" i="37" s="1"/>
  <c r="A316" i="37"/>
  <c r="A315" i="37"/>
  <c r="F315" i="37" s="1"/>
  <c r="A314" i="37"/>
  <c r="A313" i="37"/>
  <c r="C313" i="37" s="1"/>
  <c r="E313" i="37" s="1"/>
  <c r="A312" i="37"/>
  <c r="A311" i="37"/>
  <c r="B311" i="37" s="1"/>
  <c r="A310" i="37"/>
  <c r="D310" i="37" s="1"/>
  <c r="A309" i="37"/>
  <c r="F309" i="37" s="1"/>
  <c r="A308" i="37"/>
  <c r="F308" i="37" s="1"/>
  <c r="A307" i="37"/>
  <c r="D307" i="37" s="1"/>
  <c r="A306" i="37"/>
  <c r="C306" i="37" s="1"/>
  <c r="A305" i="37"/>
  <c r="D305" i="37" s="1"/>
  <c r="A304" i="37"/>
  <c r="C304" i="37" s="1"/>
  <c r="A303" i="37"/>
  <c r="B303" i="37" s="1"/>
  <c r="A302" i="37"/>
  <c r="D302" i="37" s="1"/>
  <c r="A301" i="37"/>
  <c r="F301" i="37" s="1"/>
  <c r="A300" i="37"/>
  <c r="F300" i="37" s="1"/>
  <c r="A299" i="37"/>
  <c r="F299" i="37" s="1"/>
  <c r="A298" i="37"/>
  <c r="C298" i="37" s="1"/>
  <c r="A297" i="37"/>
  <c r="C297" i="37" s="1"/>
  <c r="A296" i="37"/>
  <c r="B296" i="37" s="1"/>
  <c r="A295" i="37"/>
  <c r="B295" i="37" s="1"/>
  <c r="A294" i="37"/>
  <c r="D294" i="37" s="1"/>
  <c r="A293" i="37"/>
  <c r="D293" i="37" s="1"/>
  <c r="A292" i="37"/>
  <c r="B292" i="37" s="1"/>
  <c r="A291" i="37"/>
  <c r="F291" i="37" s="1"/>
  <c r="A290" i="37"/>
  <c r="C290" i="37" s="1"/>
  <c r="A289" i="37"/>
  <c r="D289" i="37" s="1"/>
  <c r="A288" i="37"/>
  <c r="D288" i="37" s="1"/>
  <c r="A287" i="37"/>
  <c r="B287" i="37" s="1"/>
  <c r="A286" i="37"/>
  <c r="D286" i="37" s="1"/>
  <c r="A285" i="37"/>
  <c r="D285" i="37" s="1"/>
  <c r="A284" i="37"/>
  <c r="F284" i="37" s="1"/>
  <c r="A283" i="37"/>
  <c r="A282" i="37"/>
  <c r="C282" i="37" s="1"/>
  <c r="A281" i="37"/>
  <c r="D281" i="37" s="1"/>
  <c r="A280" i="37"/>
  <c r="C280" i="37" s="1"/>
  <c r="A279" i="37"/>
  <c r="C279" i="37" s="1"/>
  <c r="A278" i="37"/>
  <c r="D278" i="37" s="1"/>
  <c r="A277" i="37"/>
  <c r="B277" i="37" s="1"/>
  <c r="A276" i="37"/>
  <c r="F276" i="37" s="1"/>
  <c r="A275" i="37"/>
  <c r="D275" i="37" s="1"/>
  <c r="A274" i="37"/>
  <c r="D274" i="37" s="1"/>
  <c r="A273" i="37"/>
  <c r="D273" i="37" s="1"/>
  <c r="A272" i="37"/>
  <c r="F272" i="37" s="1"/>
  <c r="A271" i="37"/>
  <c r="C271" i="37" s="1"/>
  <c r="A270" i="37"/>
  <c r="D270" i="37" s="1"/>
  <c r="A269" i="37"/>
  <c r="F269" i="37" s="1"/>
  <c r="A268" i="37"/>
  <c r="B268" i="37" s="1"/>
  <c r="A267" i="37"/>
  <c r="A266" i="37"/>
  <c r="C266" i="37" s="1"/>
  <c r="A265" i="37"/>
  <c r="C265" i="37" s="1"/>
  <c r="A264" i="37"/>
  <c r="A263" i="37"/>
  <c r="B263" i="37" s="1"/>
  <c r="A262" i="37"/>
  <c r="F262" i="37" s="1"/>
  <c r="A261" i="37"/>
  <c r="A260" i="37"/>
  <c r="D260" i="37" s="1"/>
  <c r="A259" i="37"/>
  <c r="D259" i="37" s="1"/>
  <c r="A258" i="37"/>
  <c r="D258" i="37" s="1"/>
  <c r="A257" i="37"/>
  <c r="C257" i="37" s="1"/>
  <c r="A256" i="37"/>
  <c r="B256" i="37" s="1"/>
  <c r="A255" i="37"/>
  <c r="B255" i="37" s="1"/>
  <c r="A254" i="37"/>
  <c r="A253" i="37"/>
  <c r="A252" i="37"/>
  <c r="F252" i="37" s="1"/>
  <c r="A251" i="37"/>
  <c r="F251" i="37" s="1"/>
  <c r="A250" i="37"/>
  <c r="B250" i="37" s="1"/>
  <c r="A249" i="37"/>
  <c r="D249" i="37" s="1"/>
  <c r="A248" i="37"/>
  <c r="F248" i="37" s="1"/>
  <c r="A247" i="37"/>
  <c r="F247" i="37" s="1"/>
  <c r="A246" i="37"/>
  <c r="B246" i="37" s="1"/>
  <c r="A245" i="37"/>
  <c r="D245" i="37" s="1"/>
  <c r="A244" i="37"/>
  <c r="D244" i="37" s="1"/>
  <c r="A243" i="37"/>
  <c r="D243" i="37" s="1"/>
  <c r="A242" i="37"/>
  <c r="D242" i="37" s="1"/>
  <c r="A241" i="37"/>
  <c r="D241" i="37" s="1"/>
  <c r="A240" i="37"/>
  <c r="D240" i="37" s="1"/>
  <c r="A239" i="37"/>
  <c r="B239" i="37" s="1"/>
  <c r="A238" i="37"/>
  <c r="D238" i="37" s="1"/>
  <c r="A237" i="37"/>
  <c r="A236" i="37"/>
  <c r="F236" i="37" s="1"/>
  <c r="A235" i="37"/>
  <c r="F235" i="37" s="1"/>
  <c r="A234" i="37"/>
  <c r="F234" i="37" s="1"/>
  <c r="A233" i="37"/>
  <c r="D233" i="37" s="1"/>
  <c r="A232" i="37"/>
  <c r="D232" i="37" s="1"/>
  <c r="A231" i="37"/>
  <c r="F231" i="37" s="1"/>
  <c r="A230" i="37"/>
  <c r="D230" i="37" s="1"/>
  <c r="A229" i="37"/>
  <c r="B229" i="37" s="1"/>
  <c r="A228" i="37"/>
  <c r="D228" i="37" s="1"/>
  <c r="A227" i="37"/>
  <c r="F227" i="37" s="1"/>
  <c r="A226" i="37"/>
  <c r="B226" i="37" s="1"/>
  <c r="A225" i="37"/>
  <c r="D225" i="37" s="1"/>
  <c r="A224" i="37"/>
  <c r="F224" i="37" s="1"/>
  <c r="A223" i="37"/>
  <c r="D223" i="37" s="1"/>
  <c r="A222" i="37"/>
  <c r="A221" i="37"/>
  <c r="D221" i="37" s="1"/>
  <c r="A220" i="37"/>
  <c r="C220" i="37" s="1"/>
  <c r="A219" i="37"/>
  <c r="A218" i="37"/>
  <c r="A217" i="37"/>
  <c r="B217" i="37" s="1"/>
  <c r="A216" i="37"/>
  <c r="F216" i="37" s="1"/>
  <c r="A215" i="37"/>
  <c r="B215" i="37" s="1"/>
  <c r="A214" i="37"/>
  <c r="F214" i="37" s="1"/>
  <c r="A213" i="37"/>
  <c r="A212" i="37"/>
  <c r="D212" i="37" s="1"/>
  <c r="A211" i="37"/>
  <c r="F211" i="37" s="1"/>
  <c r="A210" i="37"/>
  <c r="D210" i="37" s="1"/>
  <c r="A209" i="37"/>
  <c r="D209" i="37" s="1"/>
  <c r="A208" i="37"/>
  <c r="D208" i="37" s="1"/>
  <c r="A207" i="37"/>
  <c r="D207" i="37" s="1"/>
  <c r="A206" i="37"/>
  <c r="A205" i="37"/>
  <c r="B205" i="37" s="1"/>
  <c r="A204" i="37"/>
  <c r="B204" i="37" s="1"/>
  <c r="A203" i="37"/>
  <c r="D203" i="37" s="1"/>
  <c r="A202" i="37"/>
  <c r="A201" i="37"/>
  <c r="D201" i="37" s="1"/>
  <c r="A200" i="37"/>
  <c r="C200" i="37" s="1"/>
  <c r="E200" i="37" s="1"/>
  <c r="A199" i="37"/>
  <c r="C199" i="37" s="1"/>
  <c r="I199" i="37" s="1"/>
  <c r="A198" i="37"/>
  <c r="C198" i="37" s="1"/>
  <c r="A197" i="37"/>
  <c r="A196" i="37"/>
  <c r="F196" i="37" s="1"/>
  <c r="A195" i="37"/>
  <c r="D195" i="37" s="1"/>
  <c r="A194" i="37"/>
  <c r="F194" i="37" s="1"/>
  <c r="A193" i="37"/>
  <c r="D193" i="37" s="1"/>
  <c r="A192" i="37"/>
  <c r="F192" i="37" s="1"/>
  <c r="A191" i="37"/>
  <c r="B191" i="37" s="1"/>
  <c r="A190" i="37"/>
  <c r="B190" i="37" s="1"/>
  <c r="A189" i="37"/>
  <c r="D189" i="37" s="1"/>
  <c r="A188" i="37"/>
  <c r="B188" i="37" s="1"/>
  <c r="A187" i="37"/>
  <c r="A186" i="37"/>
  <c r="A185" i="37"/>
  <c r="B185" i="37" s="1"/>
  <c r="A184" i="37"/>
  <c r="A183" i="37"/>
  <c r="F183" i="37" s="1"/>
  <c r="A182" i="37"/>
  <c r="A181" i="37"/>
  <c r="A180" i="37"/>
  <c r="D180" i="37" s="1"/>
  <c r="A179" i="37"/>
  <c r="D179" i="37" s="1"/>
  <c r="A178" i="37"/>
  <c r="C178" i="37" s="1"/>
  <c r="A177" i="37"/>
  <c r="D177" i="37" s="1"/>
  <c r="A176" i="37"/>
  <c r="D176" i="37" s="1"/>
  <c r="A175" i="37"/>
  <c r="B175" i="37" s="1"/>
  <c r="A174" i="37"/>
  <c r="D174" i="37" s="1"/>
  <c r="A173" i="37"/>
  <c r="A172" i="37"/>
  <c r="F172" i="37" s="1"/>
  <c r="A171" i="37"/>
  <c r="B171" i="37" s="1"/>
  <c r="A170" i="37"/>
  <c r="D170" i="37" s="1"/>
  <c r="A169" i="37"/>
  <c r="F169" i="37" s="1"/>
  <c r="A168" i="37"/>
  <c r="D168" i="37" s="1"/>
  <c r="A167" i="37"/>
  <c r="D167" i="37" s="1"/>
  <c r="A166" i="37"/>
  <c r="F166" i="37" s="1"/>
  <c r="A165" i="37"/>
  <c r="A164" i="37"/>
  <c r="A163" i="37"/>
  <c r="C163" i="37" s="1"/>
  <c r="A162" i="37"/>
  <c r="D162" i="37" s="1"/>
  <c r="A161" i="37"/>
  <c r="B161" i="37" s="1"/>
  <c r="A160" i="37"/>
  <c r="D160" i="37" s="1"/>
  <c r="A159" i="37"/>
  <c r="F159" i="37" s="1"/>
  <c r="A158" i="37"/>
  <c r="F158" i="37" s="1"/>
  <c r="A157" i="37"/>
  <c r="C157" i="37" s="1"/>
  <c r="E157" i="37" s="1"/>
  <c r="A156" i="37"/>
  <c r="D156" i="37" s="1"/>
  <c r="A155" i="37"/>
  <c r="C155" i="37" s="1"/>
  <c r="A154" i="37"/>
  <c r="B154" i="37" s="1"/>
  <c r="A153" i="37"/>
  <c r="B153" i="37" s="1"/>
  <c r="A152" i="37"/>
  <c r="D152" i="37" s="1"/>
  <c r="A151" i="37"/>
  <c r="F151" i="37" s="1"/>
  <c r="A150" i="37"/>
  <c r="F150" i="37" s="1"/>
  <c r="A149" i="37"/>
  <c r="F149" i="37" s="1"/>
  <c r="A148" i="37"/>
  <c r="D148" i="37" s="1"/>
  <c r="A147" i="37"/>
  <c r="D147" i="37" s="1"/>
  <c r="A146" i="37"/>
  <c r="C146" i="37" s="1"/>
  <c r="A145" i="37"/>
  <c r="D145" i="37" s="1"/>
  <c r="A144" i="37"/>
  <c r="F144" i="37" s="1"/>
  <c r="A143" i="37"/>
  <c r="A142" i="37"/>
  <c r="F142" i="37" s="1"/>
  <c r="A141" i="37"/>
  <c r="A140" i="37"/>
  <c r="D140" i="37" s="1"/>
  <c r="A139" i="37"/>
  <c r="C139" i="37" s="1"/>
  <c r="A138" i="37"/>
  <c r="D138" i="37" s="1"/>
  <c r="A137" i="37"/>
  <c r="D137" i="37" s="1"/>
  <c r="A136" i="37"/>
  <c r="D136" i="37" s="1"/>
  <c r="A135" i="37"/>
  <c r="D135" i="37" s="1"/>
  <c r="A134" i="37"/>
  <c r="D134" i="37" s="1"/>
  <c r="A133" i="37"/>
  <c r="F133" i="37" s="1"/>
  <c r="A132" i="37"/>
  <c r="D132" i="37" s="1"/>
  <c r="A131" i="37"/>
  <c r="D131" i="37" s="1"/>
  <c r="A130" i="37"/>
  <c r="B130" i="37" s="1"/>
  <c r="A129" i="37"/>
  <c r="D129" i="37" s="1"/>
  <c r="A128" i="37"/>
  <c r="F128" i="37" s="1"/>
  <c r="A127" i="37"/>
  <c r="D127" i="37" s="1"/>
  <c r="A126" i="37"/>
  <c r="F126" i="37" s="1"/>
  <c r="A125" i="37"/>
  <c r="F125" i="37" s="1"/>
  <c r="A124" i="37"/>
  <c r="D124" i="37" s="1"/>
  <c r="A123" i="37"/>
  <c r="A122" i="37"/>
  <c r="B122" i="37" s="1"/>
  <c r="A121" i="37"/>
  <c r="C121" i="37" s="1"/>
  <c r="A120" i="37"/>
  <c r="B120" i="37" s="1"/>
  <c r="A119" i="37"/>
  <c r="F119" i="37" s="1"/>
  <c r="A118" i="37"/>
  <c r="F118" i="37" s="1"/>
  <c r="A117" i="37"/>
  <c r="C117" i="37" s="1"/>
  <c r="A116" i="37"/>
  <c r="C116" i="37" s="1"/>
  <c r="A115" i="37"/>
  <c r="D115" i="37" s="1"/>
  <c r="A114" i="37"/>
  <c r="D114" i="37" s="1"/>
  <c r="A113" i="37"/>
  <c r="F113" i="37" s="1"/>
  <c r="A112" i="37"/>
  <c r="F112" i="37" s="1"/>
  <c r="A111" i="37"/>
  <c r="B111" i="37" s="1"/>
  <c r="A110" i="37"/>
  <c r="C110" i="37" s="1"/>
  <c r="A109" i="37"/>
  <c r="F109" i="37" s="1"/>
  <c r="A108" i="37"/>
  <c r="A107" i="37"/>
  <c r="B107" i="37" s="1"/>
  <c r="A106" i="37"/>
  <c r="B106" i="37" s="1"/>
  <c r="A105" i="37"/>
  <c r="F105" i="37" s="1"/>
  <c r="A104" i="37"/>
  <c r="C104" i="37" s="1"/>
  <c r="A103" i="37"/>
  <c r="F103" i="37" s="1"/>
  <c r="A102" i="37"/>
  <c r="D102" i="37" s="1"/>
  <c r="A101" i="37"/>
  <c r="D101" i="37" s="1"/>
  <c r="A100" i="37"/>
  <c r="A99" i="37"/>
  <c r="F99" i="37" s="1"/>
  <c r="A98" i="37"/>
  <c r="F98" i="37" s="1"/>
  <c r="A97" i="37"/>
  <c r="D97" i="37" s="1"/>
  <c r="A96" i="37"/>
  <c r="A95" i="37"/>
  <c r="F95" i="37" s="1"/>
  <c r="A94" i="37"/>
  <c r="F94" i="37" s="1"/>
  <c r="A93" i="37"/>
  <c r="C93" i="37" s="1"/>
  <c r="A92" i="37"/>
  <c r="A91" i="37"/>
  <c r="D91" i="37" s="1"/>
  <c r="A90" i="37"/>
  <c r="D90" i="37" s="1"/>
  <c r="A89" i="37"/>
  <c r="D89" i="37" s="1"/>
  <c r="A88" i="37"/>
  <c r="D88" i="37" s="1"/>
  <c r="A87" i="37"/>
  <c r="F87" i="37" s="1"/>
  <c r="A86" i="37"/>
  <c r="C86" i="37" s="1"/>
  <c r="A85" i="37"/>
  <c r="F85" i="37" s="1"/>
  <c r="A84" i="37"/>
  <c r="D84" i="37" s="1"/>
  <c r="A83" i="37"/>
  <c r="D83" i="37" s="1"/>
  <c r="A82" i="37"/>
  <c r="D82" i="37" s="1"/>
  <c r="A81" i="37"/>
  <c r="F81" i="37" s="1"/>
  <c r="A80" i="37"/>
  <c r="D80" i="37" s="1"/>
  <c r="A79" i="37"/>
  <c r="D79" i="37" s="1"/>
  <c r="A78" i="37"/>
  <c r="D78" i="37" s="1"/>
  <c r="A77" i="37"/>
  <c r="C77" i="37" s="1"/>
  <c r="N77" i="37" s="1"/>
  <c r="A76" i="37"/>
  <c r="C76" i="37" s="1"/>
  <c r="A75" i="37"/>
  <c r="A74" i="37"/>
  <c r="D74" i="37" s="1"/>
  <c r="A73" i="37"/>
  <c r="C73" i="37" s="1"/>
  <c r="A72" i="37"/>
  <c r="C72" i="37" s="1"/>
  <c r="M72" i="37" s="1"/>
  <c r="A71" i="37"/>
  <c r="A70" i="37"/>
  <c r="F70" i="37" s="1"/>
  <c r="A69" i="37"/>
  <c r="B69" i="37" s="1"/>
  <c r="A68" i="37"/>
  <c r="C68" i="37" s="1"/>
  <c r="A67" i="37"/>
  <c r="D67" i="37" s="1"/>
  <c r="A66" i="37"/>
  <c r="F66" i="37" s="1"/>
  <c r="A65" i="37"/>
  <c r="D65" i="37" s="1"/>
  <c r="A64" i="37"/>
  <c r="A63" i="37"/>
  <c r="D63" i="37" s="1"/>
  <c r="A62" i="37"/>
  <c r="D62" i="37" s="1"/>
  <c r="A61" i="37"/>
  <c r="A60" i="37"/>
  <c r="C60" i="37" s="1"/>
  <c r="A59" i="37"/>
  <c r="A58" i="37"/>
  <c r="F58" i="37" s="1"/>
  <c r="A57" i="37"/>
  <c r="A56" i="37"/>
  <c r="D56" i="37" s="1"/>
  <c r="A55" i="37"/>
  <c r="A54" i="37"/>
  <c r="D54" i="37" s="1"/>
  <c r="A53" i="37"/>
  <c r="D53" i="37" s="1"/>
  <c r="A52" i="37"/>
  <c r="C52" i="37" s="1"/>
  <c r="A51" i="37"/>
  <c r="B51" i="37" s="1"/>
  <c r="A50" i="37"/>
  <c r="F50" i="37" s="1"/>
  <c r="A49" i="37"/>
  <c r="D49" i="37" s="1"/>
  <c r="A48" i="37"/>
  <c r="C48" i="37" s="1"/>
  <c r="H48" i="37" s="1"/>
  <c r="A47" i="37"/>
  <c r="D47" i="37" s="1"/>
  <c r="A46" i="37"/>
  <c r="D46" i="37" s="1"/>
  <c r="A45" i="37"/>
  <c r="A44" i="37"/>
  <c r="D44" i="37" s="1"/>
  <c r="A43" i="37"/>
  <c r="A42" i="37"/>
  <c r="D42" i="37" s="1"/>
  <c r="A41" i="37"/>
  <c r="A40" i="37"/>
  <c r="D40" i="37" s="1"/>
  <c r="A39" i="37"/>
  <c r="C39" i="37" s="1"/>
  <c r="A38" i="37"/>
  <c r="A37" i="37"/>
  <c r="D37" i="37" s="1"/>
  <c r="A36" i="37"/>
  <c r="D36" i="37" s="1"/>
  <c r="A35" i="37"/>
  <c r="F35" i="37" s="1"/>
  <c r="A34" i="37"/>
  <c r="D34" i="37" s="1"/>
  <c r="A33" i="37"/>
  <c r="B33" i="37" s="1"/>
  <c r="A32" i="37"/>
  <c r="D32" i="37" s="1"/>
  <c r="A31" i="37"/>
  <c r="F31" i="37" s="1"/>
  <c r="A30" i="37"/>
  <c r="D30" i="37" s="1"/>
  <c r="A29" i="37"/>
  <c r="A28" i="37"/>
  <c r="C28" i="37" s="1"/>
  <c r="A27" i="37"/>
  <c r="F27" i="37" s="1"/>
  <c r="A26" i="37"/>
  <c r="B26" i="37" s="1"/>
  <c r="A25" i="37"/>
  <c r="C25" i="37" s="1"/>
  <c r="E25" i="37" s="1"/>
  <c r="A24" i="37"/>
  <c r="C24" i="37" s="1"/>
  <c r="H24" i="37" s="1"/>
  <c r="A23" i="37"/>
  <c r="C23" i="37" s="1"/>
  <c r="A22" i="37"/>
  <c r="A21" i="37"/>
  <c r="F21" i="37" s="1"/>
  <c r="A20" i="37"/>
  <c r="C20" i="37" s="1"/>
  <c r="A19" i="37"/>
  <c r="F19" i="37" s="1"/>
  <c r="A18" i="37"/>
  <c r="B18" i="37" s="1"/>
  <c r="A17" i="37"/>
  <c r="C17" i="37" s="1"/>
  <c r="E17" i="37" s="1"/>
  <c r="A16" i="37"/>
  <c r="D16" i="37" s="1"/>
  <c r="A15" i="37"/>
  <c r="A14" i="37"/>
  <c r="A13" i="37"/>
  <c r="D13" i="37" s="1"/>
  <c r="A12" i="37"/>
  <c r="C12" i="37" s="1"/>
  <c r="A11" i="37"/>
  <c r="F11" i="37" s="1"/>
  <c r="A10" i="37"/>
  <c r="B10" i="37" s="1"/>
  <c r="A9" i="37"/>
  <c r="C9" i="37" s="1"/>
  <c r="E9" i="37" s="1"/>
  <c r="A8" i="37"/>
  <c r="F8" i="37" s="1"/>
  <c r="A7" i="37"/>
  <c r="D7" i="37" s="1"/>
  <c r="A6" i="37"/>
  <c r="D6" i="37" s="1"/>
  <c r="A5" i="37"/>
  <c r="B5" i="37" s="1"/>
  <c r="A4" i="37"/>
  <c r="C4" i="37" s="1"/>
  <c r="A3" i="37"/>
  <c r="F3" i="37" s="1"/>
  <c r="A2" i="37"/>
  <c r="B2" i="37" s="1"/>
  <c r="E834" i="2"/>
  <c r="D834" i="2"/>
  <c r="E832" i="2"/>
  <c r="D832" i="2"/>
  <c r="E831" i="2"/>
  <c r="D831" i="2"/>
  <c r="E830" i="2"/>
  <c r="D830" i="2"/>
  <c r="E829" i="2"/>
  <c r="D829" i="2"/>
  <c r="E828" i="2"/>
  <c r="D828" i="2"/>
  <c r="E827" i="2"/>
  <c r="D827" i="2"/>
  <c r="E826" i="2"/>
  <c r="D826" i="2"/>
  <c r="E825" i="2"/>
  <c r="D825" i="2"/>
  <c r="E824" i="2"/>
  <c r="D824" i="2"/>
  <c r="E823" i="2"/>
  <c r="D823" i="2"/>
  <c r="E822" i="2"/>
  <c r="D822" i="2"/>
  <c r="E821" i="2"/>
  <c r="D821" i="2"/>
  <c r="E820" i="2"/>
  <c r="D820" i="2"/>
  <c r="E819" i="2"/>
  <c r="D819" i="2"/>
  <c r="E818" i="2"/>
  <c r="D818" i="2"/>
  <c r="E817" i="2"/>
  <c r="D817" i="2"/>
  <c r="E816" i="2"/>
  <c r="D816" i="2"/>
  <c r="E815" i="2"/>
  <c r="D815" i="2"/>
  <c r="E814" i="2"/>
  <c r="D814" i="2"/>
  <c r="E813" i="2"/>
  <c r="D813" i="2"/>
  <c r="E812" i="2"/>
  <c r="D812" i="2"/>
  <c r="E811" i="2"/>
  <c r="D811" i="2"/>
  <c r="E810" i="2"/>
  <c r="D810" i="2"/>
  <c r="E809" i="2"/>
  <c r="D809" i="2"/>
  <c r="E808" i="2"/>
  <c r="D808" i="2"/>
  <c r="E807" i="2"/>
  <c r="D807" i="2"/>
  <c r="E806" i="2"/>
  <c r="D806" i="2"/>
  <c r="E804" i="2"/>
  <c r="D804" i="2"/>
  <c r="E803" i="2"/>
  <c r="D803" i="2"/>
  <c r="E802" i="2"/>
  <c r="D802" i="2"/>
  <c r="E801" i="2"/>
  <c r="D801" i="2"/>
  <c r="E800" i="2"/>
  <c r="D800" i="2"/>
  <c r="E799" i="2"/>
  <c r="D799" i="2"/>
  <c r="E798" i="2"/>
  <c r="D798" i="2"/>
  <c r="E797" i="2"/>
  <c r="D797" i="2"/>
  <c r="E796" i="2"/>
  <c r="D796" i="2"/>
  <c r="E795" i="2"/>
  <c r="D795" i="2"/>
  <c r="E794" i="2"/>
  <c r="D794" i="2"/>
  <c r="E793" i="2"/>
  <c r="D793" i="2"/>
  <c r="E792" i="2"/>
  <c r="D792" i="2"/>
  <c r="E791" i="2"/>
  <c r="D791" i="2"/>
  <c r="E790" i="2"/>
  <c r="D790" i="2"/>
  <c r="E789" i="2"/>
  <c r="D789" i="2"/>
  <c r="E788" i="2"/>
  <c r="D788" i="2"/>
  <c r="E787" i="2"/>
  <c r="D787" i="2"/>
  <c r="E786" i="2"/>
  <c r="D786" i="2"/>
  <c r="E785" i="2"/>
  <c r="D785" i="2"/>
  <c r="E784" i="2"/>
  <c r="D784" i="2"/>
  <c r="E783" i="2"/>
  <c r="D783" i="2"/>
  <c r="E782" i="2"/>
  <c r="D782" i="2"/>
  <c r="E781" i="2"/>
  <c r="D781" i="2"/>
  <c r="E780" i="2"/>
  <c r="D780" i="2"/>
  <c r="E779" i="2"/>
  <c r="D779" i="2"/>
  <c r="E778" i="2"/>
  <c r="D778" i="2"/>
  <c r="E777" i="2"/>
  <c r="D777" i="2"/>
  <c r="E776" i="2"/>
  <c r="D776" i="2"/>
  <c r="E775" i="2"/>
  <c r="D775" i="2"/>
  <c r="E774" i="2"/>
  <c r="D774" i="2"/>
  <c r="E773" i="2"/>
  <c r="D773" i="2"/>
  <c r="E772" i="2"/>
  <c r="D772" i="2"/>
  <c r="E771" i="2"/>
  <c r="D771" i="2"/>
  <c r="E770" i="2"/>
  <c r="D770" i="2"/>
  <c r="E769" i="2"/>
  <c r="D769" i="2"/>
  <c r="E768" i="2"/>
  <c r="D768" i="2"/>
  <c r="E766" i="2"/>
  <c r="D766" i="2"/>
  <c r="E765" i="2"/>
  <c r="D765" i="2"/>
  <c r="E764" i="2"/>
  <c r="D764" i="2"/>
  <c r="E763" i="2"/>
  <c r="D763" i="2"/>
  <c r="E761" i="2"/>
  <c r="D761" i="2"/>
  <c r="E760" i="2"/>
  <c r="D760" i="2"/>
  <c r="E759" i="2"/>
  <c r="D759" i="2"/>
  <c r="E758" i="2"/>
  <c r="D758" i="2"/>
  <c r="E755" i="2"/>
  <c r="D755" i="2"/>
  <c r="E754" i="2"/>
  <c r="D754" i="2"/>
  <c r="E753" i="2"/>
  <c r="D753" i="2"/>
  <c r="E752" i="2"/>
  <c r="D752" i="2"/>
  <c r="E751" i="2"/>
  <c r="D751" i="2"/>
  <c r="E750" i="2"/>
  <c r="D750" i="2"/>
  <c r="E749" i="2"/>
  <c r="D749" i="2"/>
  <c r="E748" i="2"/>
  <c r="D748" i="2"/>
  <c r="E747" i="2"/>
  <c r="D747" i="2"/>
  <c r="E745" i="2"/>
  <c r="D745" i="2"/>
  <c r="E743" i="2"/>
  <c r="D743" i="2"/>
  <c r="E742" i="2"/>
  <c r="D742" i="2"/>
  <c r="E740" i="2"/>
  <c r="D740" i="2"/>
  <c r="E739" i="2"/>
  <c r="D739" i="2"/>
  <c r="E738" i="2"/>
  <c r="D738" i="2"/>
  <c r="E737" i="2"/>
  <c r="D737" i="2"/>
  <c r="E736" i="2"/>
  <c r="D736" i="2"/>
  <c r="E735" i="2"/>
  <c r="D735" i="2"/>
  <c r="E734" i="2"/>
  <c r="D734" i="2"/>
  <c r="E733" i="2"/>
  <c r="D733" i="2"/>
  <c r="E732" i="2"/>
  <c r="D732" i="2"/>
  <c r="E731" i="2"/>
  <c r="D731" i="2"/>
  <c r="E729" i="2"/>
  <c r="D729" i="2"/>
  <c r="E728" i="2"/>
  <c r="D728" i="2"/>
  <c r="E727" i="2"/>
  <c r="D727" i="2"/>
  <c r="E726" i="2"/>
  <c r="D726" i="2"/>
  <c r="E725" i="2"/>
  <c r="D725" i="2"/>
  <c r="E724" i="2"/>
  <c r="D724" i="2"/>
  <c r="E723" i="2"/>
  <c r="D723" i="2"/>
  <c r="E722" i="2"/>
  <c r="D722" i="2"/>
  <c r="E721" i="2"/>
  <c r="D721" i="2"/>
  <c r="E720" i="2"/>
  <c r="D720" i="2"/>
  <c r="E719" i="2"/>
  <c r="D719" i="2"/>
  <c r="E718" i="2"/>
  <c r="D718" i="2"/>
  <c r="E717" i="2"/>
  <c r="D717" i="2"/>
  <c r="E716" i="2"/>
  <c r="D716" i="2"/>
  <c r="E715" i="2"/>
  <c r="D715" i="2"/>
  <c r="E714" i="2"/>
  <c r="E713" i="2"/>
  <c r="D713" i="2"/>
  <c r="E712" i="2"/>
  <c r="D712" i="2"/>
  <c r="E711" i="2"/>
  <c r="D711" i="2"/>
  <c r="E710" i="2"/>
  <c r="D710" i="2"/>
  <c r="E709" i="2"/>
  <c r="D709" i="2"/>
  <c r="E707" i="2"/>
  <c r="D707" i="2"/>
  <c r="E706" i="2"/>
  <c r="D706" i="2"/>
  <c r="E705" i="2"/>
  <c r="D705" i="2"/>
  <c r="E704" i="2"/>
  <c r="D704" i="2"/>
  <c r="E703" i="2"/>
  <c r="D703" i="2"/>
  <c r="E702" i="2"/>
  <c r="D702" i="2"/>
  <c r="E701" i="2"/>
  <c r="D701" i="2"/>
  <c r="E700" i="2"/>
  <c r="D700" i="2"/>
  <c r="E699" i="2"/>
  <c r="D699" i="2"/>
  <c r="E695" i="2"/>
  <c r="D695" i="2"/>
  <c r="E694" i="2"/>
  <c r="D694" i="2"/>
  <c r="E693" i="2"/>
  <c r="D693" i="2"/>
  <c r="E692" i="2"/>
  <c r="D692" i="2"/>
  <c r="E691" i="2"/>
  <c r="D691" i="2"/>
  <c r="E690" i="2"/>
  <c r="D690" i="2"/>
  <c r="E689" i="2"/>
  <c r="D689" i="2"/>
  <c r="E688" i="2"/>
  <c r="D688" i="2"/>
  <c r="E687" i="2"/>
  <c r="D687" i="2"/>
  <c r="E686" i="2"/>
  <c r="D686" i="2"/>
  <c r="E685" i="2"/>
  <c r="D685" i="2"/>
  <c r="E684" i="2"/>
  <c r="D684" i="2"/>
  <c r="E683" i="2"/>
  <c r="D683" i="2"/>
  <c r="E682" i="2"/>
  <c r="E681" i="2"/>
  <c r="D681" i="2"/>
  <c r="E680" i="2"/>
  <c r="D680" i="2"/>
  <c r="E679" i="2"/>
  <c r="D679" i="2"/>
  <c r="E678" i="2"/>
  <c r="D678" i="2"/>
  <c r="E677" i="2"/>
  <c r="D677" i="2"/>
  <c r="E676" i="2"/>
  <c r="D676" i="2"/>
  <c r="E675" i="2"/>
  <c r="D675" i="2"/>
  <c r="E674" i="2"/>
  <c r="D674" i="2"/>
  <c r="E673" i="2"/>
  <c r="D673" i="2"/>
  <c r="E672" i="2"/>
  <c r="D672" i="2"/>
  <c r="E671" i="2"/>
  <c r="D671" i="2"/>
  <c r="E670" i="2"/>
  <c r="D670" i="2"/>
  <c r="E669" i="2"/>
  <c r="D669" i="2"/>
  <c r="E668" i="2"/>
  <c r="D668" i="2"/>
  <c r="E667" i="2"/>
  <c r="D667" i="2"/>
  <c r="E666" i="2"/>
  <c r="D666" i="2"/>
  <c r="E665" i="2"/>
  <c r="D665" i="2"/>
  <c r="E664" i="2"/>
  <c r="D664" i="2"/>
  <c r="E663" i="2"/>
  <c r="D663" i="2"/>
  <c r="E662" i="2"/>
  <c r="D662" i="2"/>
  <c r="E661" i="2"/>
  <c r="D661" i="2"/>
  <c r="E659" i="2"/>
  <c r="D659" i="2"/>
  <c r="E658" i="2"/>
  <c r="D658" i="2"/>
  <c r="E657" i="2"/>
  <c r="D657" i="2"/>
  <c r="E656" i="2"/>
  <c r="D656" i="2"/>
  <c r="E655" i="2"/>
  <c r="D655" i="2"/>
  <c r="E654" i="2"/>
  <c r="D654" i="2"/>
  <c r="E653" i="2"/>
  <c r="E652" i="2"/>
  <c r="D652" i="2"/>
  <c r="E651" i="2"/>
  <c r="D651" i="2"/>
  <c r="E650" i="2"/>
  <c r="D650" i="2"/>
  <c r="E649" i="2"/>
  <c r="D649" i="2"/>
  <c r="E648" i="2"/>
  <c r="E647" i="2"/>
  <c r="D647" i="2"/>
  <c r="E646" i="2"/>
  <c r="D646" i="2"/>
  <c r="E645" i="2"/>
  <c r="D645" i="2"/>
  <c r="E644" i="2"/>
  <c r="D644" i="2"/>
  <c r="E643" i="2"/>
  <c r="D643" i="2"/>
  <c r="E642" i="2"/>
  <c r="D642" i="2"/>
  <c r="E641" i="2"/>
  <c r="D641" i="2"/>
  <c r="E639" i="2"/>
  <c r="D639" i="2"/>
  <c r="E638" i="2"/>
  <c r="D638" i="2"/>
  <c r="E636" i="2"/>
  <c r="D636" i="2"/>
  <c r="E635" i="2"/>
  <c r="D635" i="2"/>
  <c r="E634" i="2"/>
  <c r="D634" i="2"/>
  <c r="E633" i="2"/>
  <c r="D633" i="2"/>
  <c r="E632" i="2"/>
  <c r="D632" i="2"/>
  <c r="E631" i="2"/>
  <c r="D631" i="2"/>
  <c r="E630" i="2"/>
  <c r="D630" i="2"/>
  <c r="E629" i="2"/>
  <c r="D629" i="2"/>
  <c r="E628" i="2"/>
  <c r="D628" i="2"/>
  <c r="E627" i="2"/>
  <c r="D627" i="2"/>
  <c r="E626" i="2"/>
  <c r="D626" i="2"/>
  <c r="E625" i="2"/>
  <c r="D625" i="2"/>
  <c r="E624" i="2"/>
  <c r="D624" i="2"/>
  <c r="E623" i="2"/>
  <c r="D623" i="2"/>
  <c r="E622" i="2"/>
  <c r="D622" i="2"/>
  <c r="E620" i="2"/>
  <c r="D620" i="2"/>
  <c r="E619" i="2"/>
  <c r="D619" i="2"/>
  <c r="E616" i="2"/>
  <c r="D616" i="2"/>
  <c r="E615" i="2"/>
  <c r="D615" i="2"/>
  <c r="E614" i="2"/>
  <c r="D614" i="2"/>
  <c r="E613" i="2"/>
  <c r="D613" i="2"/>
  <c r="E612" i="2"/>
  <c r="D612" i="2"/>
  <c r="E611" i="2"/>
  <c r="D611" i="2"/>
  <c r="E610" i="2"/>
  <c r="E609" i="2"/>
  <c r="D609" i="2"/>
  <c r="E604" i="2"/>
  <c r="D604" i="2"/>
  <c r="E602" i="2"/>
  <c r="D602" i="2"/>
  <c r="E600" i="2"/>
  <c r="E599" i="2"/>
  <c r="D599" i="2"/>
  <c r="E598" i="2"/>
  <c r="D598" i="2"/>
  <c r="E597" i="2"/>
  <c r="D597" i="2"/>
  <c r="E596" i="2"/>
  <c r="D596" i="2"/>
  <c r="E595" i="2"/>
  <c r="D595" i="2"/>
  <c r="E594" i="2"/>
  <c r="D594" i="2"/>
  <c r="E593" i="2"/>
  <c r="D593" i="2"/>
  <c r="E592" i="2"/>
  <c r="D592" i="2"/>
  <c r="E591" i="2"/>
  <c r="E590" i="2"/>
  <c r="E589" i="2"/>
  <c r="D589" i="2"/>
  <c r="E588" i="2"/>
  <c r="D588" i="2"/>
  <c r="E587" i="2"/>
  <c r="D587" i="2"/>
  <c r="E586" i="2"/>
  <c r="D586" i="2"/>
  <c r="E585" i="2"/>
  <c r="D585" i="2"/>
  <c r="E584" i="2"/>
  <c r="D584" i="2"/>
  <c r="E583" i="2"/>
  <c r="D583" i="2"/>
  <c r="E582" i="2"/>
  <c r="D582" i="2"/>
  <c r="E581" i="2"/>
  <c r="D581" i="2"/>
  <c r="E580" i="2"/>
  <c r="D580" i="2"/>
  <c r="E579" i="2"/>
  <c r="D579" i="2"/>
  <c r="E578" i="2"/>
  <c r="D578" i="2"/>
  <c r="E577" i="2"/>
  <c r="D577" i="2"/>
  <c r="E576" i="2"/>
  <c r="D576" i="2"/>
  <c r="E575" i="2"/>
  <c r="D575" i="2"/>
  <c r="E574" i="2"/>
  <c r="D574" i="2"/>
  <c r="E573" i="2"/>
  <c r="D573" i="2"/>
  <c r="E572" i="2"/>
  <c r="D572" i="2"/>
  <c r="E571" i="2"/>
  <c r="D571" i="2"/>
  <c r="E570" i="2"/>
  <c r="D570" i="2"/>
  <c r="E569" i="2"/>
  <c r="D569" i="2"/>
  <c r="E568" i="2"/>
  <c r="D568" i="2"/>
  <c r="E567" i="2"/>
  <c r="D567" i="2"/>
  <c r="E566" i="2"/>
  <c r="D566" i="2"/>
  <c r="E565" i="2"/>
  <c r="D565" i="2"/>
  <c r="E564" i="2"/>
  <c r="D564" i="2"/>
  <c r="E563" i="2"/>
  <c r="D563" i="2"/>
  <c r="E561" i="2"/>
  <c r="D561" i="2"/>
  <c r="E559" i="2"/>
  <c r="D559" i="2"/>
  <c r="E558" i="2"/>
  <c r="D558" i="2"/>
  <c r="E557" i="2"/>
  <c r="D557" i="2"/>
  <c r="E556" i="2"/>
  <c r="D556" i="2"/>
  <c r="E555" i="2"/>
  <c r="D555" i="2"/>
  <c r="E553" i="2"/>
  <c r="D553" i="2"/>
  <c r="E552" i="2"/>
  <c r="D552" i="2"/>
  <c r="E551" i="2"/>
  <c r="D551" i="2"/>
  <c r="E550" i="2"/>
  <c r="D550" i="2"/>
  <c r="E549" i="2"/>
  <c r="D549" i="2"/>
  <c r="E548" i="2"/>
  <c r="D548" i="2"/>
  <c r="E547" i="2"/>
  <c r="D547" i="2"/>
  <c r="E546" i="2"/>
  <c r="D546" i="2"/>
  <c r="E545" i="2"/>
  <c r="D545" i="2"/>
  <c r="E544" i="2"/>
  <c r="D544" i="2"/>
  <c r="E543" i="2"/>
  <c r="D543" i="2"/>
  <c r="E542" i="2"/>
  <c r="D542" i="2"/>
  <c r="E541" i="2"/>
  <c r="D541" i="2"/>
  <c r="E540" i="2"/>
  <c r="D540" i="2"/>
  <c r="E539" i="2"/>
  <c r="D539" i="2"/>
  <c r="E538" i="2"/>
  <c r="D538" i="2"/>
  <c r="E537" i="2"/>
  <c r="D537" i="2"/>
  <c r="E536" i="2"/>
  <c r="D536" i="2"/>
  <c r="E535" i="2"/>
  <c r="D535" i="2"/>
  <c r="E534" i="2"/>
  <c r="D534" i="2"/>
  <c r="E533" i="2"/>
  <c r="D533" i="2"/>
  <c r="E532" i="2"/>
  <c r="D532" i="2"/>
  <c r="E531" i="2"/>
  <c r="D531" i="2"/>
  <c r="E530" i="2"/>
  <c r="D530" i="2"/>
  <c r="E529" i="2"/>
  <c r="D529" i="2"/>
  <c r="E528" i="2"/>
  <c r="D528" i="2"/>
  <c r="E527" i="2"/>
  <c r="D527" i="2"/>
  <c r="E526" i="2"/>
  <c r="D526" i="2"/>
  <c r="E525" i="2"/>
  <c r="D525" i="2"/>
  <c r="E524" i="2"/>
  <c r="D524" i="2"/>
  <c r="E523" i="2"/>
  <c r="D523" i="2"/>
  <c r="E522" i="2"/>
  <c r="D522" i="2"/>
  <c r="E521" i="2"/>
  <c r="D521" i="2"/>
  <c r="E520" i="2"/>
  <c r="D520" i="2"/>
  <c r="E519" i="2"/>
  <c r="D519" i="2"/>
  <c r="E518" i="2"/>
  <c r="D518" i="2"/>
  <c r="E517" i="2"/>
  <c r="E516" i="2"/>
  <c r="D516" i="2"/>
  <c r="E515" i="2"/>
  <c r="D515" i="2"/>
  <c r="E514" i="2"/>
  <c r="D514" i="2"/>
  <c r="E513" i="2"/>
  <c r="D513" i="2"/>
  <c r="E512" i="2"/>
  <c r="D512" i="2"/>
  <c r="E511" i="2"/>
  <c r="D511" i="2"/>
  <c r="E510" i="2"/>
  <c r="D510" i="2"/>
  <c r="E509" i="2"/>
  <c r="E508" i="2"/>
  <c r="D508" i="2"/>
  <c r="E507" i="2"/>
  <c r="D507" i="2"/>
  <c r="E505" i="2"/>
  <c r="D505" i="2"/>
  <c r="E504" i="2"/>
  <c r="D504" i="2"/>
  <c r="E500" i="2"/>
  <c r="D500" i="2"/>
  <c r="E499" i="2"/>
  <c r="D499" i="2"/>
  <c r="E498" i="2"/>
  <c r="D498" i="2"/>
  <c r="E497" i="2"/>
  <c r="D497" i="2"/>
  <c r="E496" i="2"/>
  <c r="E495" i="2"/>
  <c r="D495" i="2"/>
  <c r="E494" i="2"/>
  <c r="D494" i="2"/>
  <c r="E493" i="2"/>
  <c r="D493" i="2"/>
  <c r="E492" i="2"/>
  <c r="D492" i="2"/>
  <c r="E491" i="2"/>
  <c r="D491" i="2"/>
  <c r="E490" i="2"/>
  <c r="D490" i="2"/>
  <c r="E489" i="2"/>
  <c r="D489" i="2"/>
  <c r="E488" i="2"/>
  <c r="D488" i="2"/>
  <c r="E487" i="2"/>
  <c r="D487" i="2"/>
  <c r="E486" i="2"/>
  <c r="D486" i="2"/>
  <c r="E485" i="2"/>
  <c r="D485" i="2"/>
  <c r="E484" i="2"/>
  <c r="D484" i="2"/>
  <c r="E483" i="2"/>
  <c r="D483" i="2"/>
  <c r="E482" i="2"/>
  <c r="D482" i="2"/>
  <c r="E481" i="2"/>
  <c r="D481" i="2"/>
  <c r="E480" i="2"/>
  <c r="D480" i="2"/>
  <c r="E479" i="2"/>
  <c r="D479" i="2"/>
  <c r="E478" i="2"/>
  <c r="D478" i="2"/>
  <c r="E476" i="2"/>
  <c r="D476" i="2"/>
  <c r="E475" i="2"/>
  <c r="D475" i="2"/>
  <c r="E474" i="2"/>
  <c r="D474" i="2"/>
  <c r="E473" i="2"/>
  <c r="D473" i="2"/>
  <c r="E472" i="2"/>
  <c r="D472" i="2"/>
  <c r="E471" i="2"/>
  <c r="D471" i="2"/>
  <c r="E470" i="2"/>
  <c r="D470" i="2"/>
  <c r="E469" i="2"/>
  <c r="D469" i="2"/>
  <c r="E467" i="2"/>
  <c r="D467" i="2"/>
  <c r="E466" i="2"/>
  <c r="D466" i="2"/>
  <c r="E464" i="2"/>
  <c r="D464" i="2"/>
  <c r="E463" i="2"/>
  <c r="D463" i="2"/>
  <c r="E462" i="2"/>
  <c r="D462" i="2"/>
  <c r="E460" i="2"/>
  <c r="D460" i="2"/>
  <c r="E459" i="2"/>
  <c r="D459" i="2"/>
  <c r="E458" i="2"/>
  <c r="D458" i="2"/>
  <c r="E457" i="2"/>
  <c r="D457" i="2"/>
  <c r="E456" i="2"/>
  <c r="D456" i="2"/>
  <c r="E455" i="2"/>
  <c r="D455" i="2"/>
  <c r="E454" i="2"/>
  <c r="D454" i="2"/>
  <c r="E453" i="2"/>
  <c r="D453" i="2"/>
  <c r="E452" i="2"/>
  <c r="D452" i="2"/>
  <c r="E451" i="2"/>
  <c r="D451" i="2"/>
  <c r="E450" i="2"/>
  <c r="D450" i="2"/>
  <c r="E449" i="2"/>
  <c r="D449" i="2"/>
  <c r="E448" i="2"/>
  <c r="D448" i="2"/>
  <c r="E447" i="2"/>
  <c r="D447" i="2"/>
  <c r="E446" i="2"/>
  <c r="D446" i="2"/>
  <c r="E445" i="2"/>
  <c r="D445" i="2"/>
  <c r="E444" i="2"/>
  <c r="D444" i="2"/>
  <c r="E443" i="2"/>
  <c r="D443" i="2"/>
  <c r="E442" i="2"/>
  <c r="D442" i="2"/>
  <c r="E439" i="2"/>
  <c r="D439" i="2"/>
  <c r="E438" i="2"/>
  <c r="D438" i="2"/>
  <c r="E437" i="2"/>
  <c r="D437" i="2"/>
  <c r="E436" i="2"/>
  <c r="E433" i="2"/>
  <c r="D433" i="2"/>
  <c r="E432" i="2"/>
  <c r="D432" i="2"/>
  <c r="E431" i="2"/>
  <c r="D431" i="2"/>
  <c r="E430" i="2"/>
  <c r="D430" i="2"/>
  <c r="E429" i="2"/>
  <c r="D429" i="2"/>
  <c r="E428" i="2"/>
  <c r="D428" i="2"/>
  <c r="E427" i="2"/>
  <c r="D427" i="2"/>
  <c r="E426" i="2"/>
  <c r="D426" i="2"/>
  <c r="E425" i="2"/>
  <c r="D425" i="2"/>
  <c r="E424" i="2"/>
  <c r="D424" i="2"/>
  <c r="E423" i="2"/>
  <c r="D423" i="2"/>
  <c r="E422" i="2"/>
  <c r="D422" i="2"/>
  <c r="E421" i="2"/>
  <c r="D421" i="2"/>
  <c r="E418" i="2"/>
  <c r="D418" i="2"/>
  <c r="E417" i="2"/>
  <c r="D417" i="2"/>
  <c r="E416" i="2"/>
  <c r="D416" i="2"/>
  <c r="E415" i="2"/>
  <c r="D415" i="2"/>
  <c r="E414" i="2"/>
  <c r="D414" i="2"/>
  <c r="E413" i="2"/>
  <c r="D413" i="2"/>
  <c r="E412" i="2"/>
  <c r="D412" i="2"/>
  <c r="E411" i="2"/>
  <c r="D411" i="2"/>
  <c r="E410" i="2"/>
  <c r="D410" i="2"/>
  <c r="E409" i="2"/>
  <c r="D409" i="2"/>
  <c r="E408" i="2"/>
  <c r="D408" i="2"/>
  <c r="E407" i="2"/>
  <c r="D407" i="2"/>
  <c r="E406" i="2"/>
  <c r="D406" i="2"/>
  <c r="E404" i="2"/>
  <c r="D404" i="2"/>
  <c r="E403" i="2"/>
  <c r="D403" i="2"/>
  <c r="E402" i="2"/>
  <c r="D402" i="2"/>
  <c r="E401" i="2"/>
  <c r="D401" i="2"/>
  <c r="E400" i="2"/>
  <c r="D400"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6" i="2"/>
  <c r="D386" i="2"/>
  <c r="E385" i="2"/>
  <c r="D385" i="2"/>
  <c r="E384" i="2"/>
  <c r="D384" i="2"/>
  <c r="E383" i="2"/>
  <c r="D383" i="2"/>
  <c r="E382" i="2"/>
  <c r="D382" i="2"/>
  <c r="E381" i="2"/>
  <c r="D381" i="2"/>
  <c r="E380" i="2"/>
  <c r="D380" i="2"/>
  <c r="E379" i="2"/>
  <c r="D379" i="2"/>
  <c r="E377" i="2"/>
  <c r="D377" i="2"/>
  <c r="E376" i="2"/>
  <c r="D376" i="2"/>
  <c r="E375" i="2"/>
  <c r="D375" i="2"/>
  <c r="E374" i="2"/>
  <c r="D374" i="2"/>
  <c r="E373" i="2"/>
  <c r="D373" i="2"/>
  <c r="E372" i="2"/>
  <c r="D372" i="2"/>
  <c r="E371" i="2"/>
  <c r="D371" i="2"/>
  <c r="E370" i="2"/>
  <c r="D370" i="2"/>
  <c r="E369" i="2"/>
  <c r="D369" i="2"/>
  <c r="E367" i="2"/>
  <c r="D367" i="2"/>
  <c r="E366" i="2"/>
  <c r="D366" i="2"/>
  <c r="E365" i="2"/>
  <c r="D365" i="2"/>
  <c r="E363" i="2"/>
  <c r="D363" i="2"/>
  <c r="E362" i="2"/>
  <c r="D362" i="2"/>
  <c r="E361" i="2"/>
  <c r="D361" i="2"/>
  <c r="E360" i="2"/>
  <c r="E359" i="2"/>
  <c r="D359" i="2"/>
  <c r="E358" i="2"/>
  <c r="D358" i="2"/>
  <c r="E357" i="2"/>
  <c r="D357" i="2"/>
  <c r="E356" i="2"/>
  <c r="D356" i="2"/>
  <c r="E354" i="2"/>
  <c r="D354" i="2"/>
  <c r="E353" i="2"/>
  <c r="D353" i="2"/>
  <c r="E352" i="2"/>
  <c r="D352" i="2"/>
  <c r="E351" i="2"/>
  <c r="D351" i="2"/>
  <c r="E350" i="2"/>
  <c r="D350" i="2"/>
  <c r="E348" i="2"/>
  <c r="D348" i="2"/>
  <c r="E347" i="2"/>
  <c r="D347" i="2"/>
  <c r="E345" i="2"/>
  <c r="D345" i="2"/>
  <c r="E344" i="2"/>
  <c r="D344" i="2"/>
  <c r="E343" i="2"/>
  <c r="D343" i="2"/>
  <c r="E342" i="2"/>
  <c r="D342" i="2"/>
  <c r="E341" i="2"/>
  <c r="D341" i="2"/>
  <c r="E340" i="2"/>
  <c r="D340" i="2"/>
  <c r="E338" i="2"/>
  <c r="D338" i="2"/>
  <c r="E337" i="2"/>
  <c r="D337" i="2"/>
  <c r="E336" i="2"/>
  <c r="D336" i="2"/>
  <c r="E335" i="2"/>
  <c r="D335" i="2"/>
  <c r="E334" i="2"/>
  <c r="D334" i="2"/>
  <c r="E333" i="2"/>
  <c r="D333" i="2"/>
  <c r="E332" i="2"/>
  <c r="D332" i="2"/>
  <c r="E331" i="2"/>
  <c r="D331" i="2"/>
  <c r="E330" i="2"/>
  <c r="D330" i="2"/>
  <c r="E329" i="2"/>
  <c r="D329" i="2"/>
  <c r="E328" i="2"/>
  <c r="E327" i="2"/>
  <c r="D327" i="2"/>
  <c r="E326" i="2"/>
  <c r="D326" i="2"/>
  <c r="E325" i="2"/>
  <c r="D325" i="2"/>
  <c r="E324" i="2"/>
  <c r="D324" i="2"/>
  <c r="E323" i="2"/>
  <c r="D323" i="2"/>
  <c r="E322" i="2"/>
  <c r="D322" i="2"/>
  <c r="E321" i="2"/>
  <c r="D321" i="2"/>
  <c r="E320" i="2"/>
  <c r="D320" i="2"/>
  <c r="E319" i="2"/>
  <c r="D319" i="2"/>
  <c r="E318" i="2"/>
  <c r="D318" i="2"/>
  <c r="E317" i="2"/>
  <c r="D317" i="2"/>
  <c r="E316" i="2"/>
  <c r="D316" i="2"/>
  <c r="E315" i="2"/>
  <c r="D315" i="2"/>
  <c r="E312" i="2"/>
  <c r="D312" i="2"/>
  <c r="E311" i="2"/>
  <c r="D311" i="2"/>
  <c r="E310" i="2"/>
  <c r="D310" i="2"/>
  <c r="E309" i="2"/>
  <c r="D309" i="2"/>
  <c r="E308" i="2"/>
  <c r="D308" i="2"/>
  <c r="E307" i="2"/>
  <c r="D307" i="2"/>
  <c r="E306" i="2"/>
  <c r="D306" i="2"/>
  <c r="E305" i="2"/>
  <c r="D305" i="2"/>
  <c r="E304" i="2"/>
  <c r="D304" i="2"/>
  <c r="E303" i="2"/>
  <c r="D303" i="2"/>
  <c r="E302" i="2"/>
  <c r="D302" i="2"/>
  <c r="E301" i="2"/>
  <c r="D301" i="2"/>
  <c r="E300" i="2"/>
  <c r="D300" i="2"/>
  <c r="E299" i="2"/>
  <c r="D299" i="2"/>
  <c r="E298" i="2"/>
  <c r="D298" i="2"/>
  <c r="E297" i="2"/>
  <c r="D297" i="2"/>
  <c r="E296" i="2"/>
  <c r="D296" i="2"/>
  <c r="E295" i="2"/>
  <c r="D295" i="2"/>
  <c r="E294" i="2"/>
  <c r="D294" i="2"/>
  <c r="E293" i="2"/>
  <c r="D293" i="2"/>
  <c r="E292" i="2"/>
  <c r="D292" i="2"/>
  <c r="E291" i="2"/>
  <c r="D291" i="2"/>
  <c r="E290" i="2"/>
  <c r="D290" i="2"/>
  <c r="E289" i="2"/>
  <c r="D289" i="2"/>
  <c r="E288" i="2"/>
  <c r="D288" i="2"/>
  <c r="E287" i="2"/>
  <c r="D287" i="2"/>
  <c r="E286" i="2"/>
  <c r="D286" i="2"/>
  <c r="E283" i="2"/>
  <c r="D283" i="2"/>
  <c r="E281" i="2"/>
  <c r="D281" i="2"/>
  <c r="E279" i="2"/>
  <c r="D279" i="2"/>
  <c r="E278" i="2"/>
  <c r="D278" i="2"/>
  <c r="E277" i="2"/>
  <c r="D277" i="2"/>
  <c r="E276" i="2"/>
  <c r="D276" i="2"/>
  <c r="E274" i="2"/>
  <c r="D274" i="2"/>
  <c r="E273" i="2"/>
  <c r="D273" i="2"/>
  <c r="E272" i="2"/>
  <c r="D272" i="2"/>
  <c r="E270" i="2"/>
  <c r="D270" i="2"/>
  <c r="E269" i="2"/>
  <c r="D269" i="2"/>
  <c r="E268" i="2"/>
  <c r="D268" i="2"/>
  <c r="E267" i="2"/>
  <c r="D267" i="2"/>
  <c r="E266" i="2"/>
  <c r="D266" i="2"/>
  <c r="E265" i="2"/>
  <c r="D265" i="2"/>
  <c r="E264" i="2"/>
  <c r="D264" i="2"/>
  <c r="E263" i="2"/>
  <c r="D263" i="2"/>
  <c r="E262" i="2"/>
  <c r="D262" i="2"/>
  <c r="E261" i="2"/>
  <c r="D261" i="2"/>
  <c r="E260" i="2"/>
  <c r="D260" i="2"/>
  <c r="E259" i="2"/>
  <c r="D259" i="2"/>
  <c r="E258" i="2"/>
  <c r="D258" i="2"/>
  <c r="E257" i="2"/>
  <c r="D257" i="2"/>
  <c r="E256" i="2"/>
  <c r="D256" i="2"/>
  <c r="E255" i="2"/>
  <c r="D255" i="2"/>
  <c r="E254" i="2"/>
  <c r="D254" i="2"/>
  <c r="E253" i="2"/>
  <c r="D253" i="2"/>
  <c r="E252" i="2"/>
  <c r="D252" i="2"/>
  <c r="E251" i="2"/>
  <c r="D251" i="2"/>
  <c r="E250" i="2"/>
  <c r="D250" i="2"/>
  <c r="E249" i="2"/>
  <c r="D249" i="2"/>
  <c r="E248" i="2"/>
  <c r="D248" i="2"/>
  <c r="E247" i="2"/>
  <c r="D247" i="2"/>
  <c r="E245" i="2"/>
  <c r="D245" i="2"/>
  <c r="E243" i="2"/>
  <c r="E242" i="2"/>
  <c r="D242" i="2"/>
  <c r="E241" i="2"/>
  <c r="D241" i="2"/>
  <c r="E240" i="2"/>
  <c r="D240" i="2"/>
  <c r="E239" i="2"/>
  <c r="D239" i="2"/>
  <c r="E238" i="2"/>
  <c r="D238" i="2"/>
  <c r="E237" i="2"/>
  <c r="D237" i="2"/>
  <c r="E236" i="2"/>
  <c r="D236" i="2"/>
  <c r="E235" i="2"/>
  <c r="D235" i="2"/>
  <c r="E233" i="2"/>
  <c r="D233" i="2"/>
  <c r="E232" i="2"/>
  <c r="D232" i="2"/>
  <c r="E230" i="2"/>
  <c r="D230" i="2"/>
  <c r="E229" i="2"/>
  <c r="D229" i="2"/>
  <c r="E228" i="2"/>
  <c r="D228" i="2"/>
  <c r="E227" i="2"/>
  <c r="D227" i="2"/>
  <c r="E226" i="2"/>
  <c r="D226" i="2"/>
  <c r="E225" i="2"/>
  <c r="D225" i="2"/>
  <c r="E224" i="2"/>
  <c r="D224" i="2"/>
  <c r="E223" i="2"/>
  <c r="D223" i="2"/>
  <c r="E221" i="2"/>
  <c r="D221" i="2"/>
  <c r="E220" i="2"/>
  <c r="D220" i="2"/>
  <c r="E219" i="2"/>
  <c r="D219" i="2"/>
  <c r="E218" i="2"/>
  <c r="D218" i="2"/>
  <c r="E217" i="2"/>
  <c r="D217" i="2"/>
  <c r="E216" i="2"/>
  <c r="D216" i="2"/>
  <c r="E215" i="2"/>
  <c r="D215" i="2"/>
  <c r="E214" i="2"/>
  <c r="D214" i="2"/>
  <c r="E213" i="2"/>
  <c r="D213" i="2"/>
  <c r="E212" i="2"/>
  <c r="D212" i="2"/>
  <c r="E211" i="2"/>
  <c r="D211" i="2"/>
  <c r="E210" i="2"/>
  <c r="D210" i="2"/>
  <c r="E209" i="2"/>
  <c r="D209" i="2"/>
  <c r="E207" i="2"/>
  <c r="D207" i="2"/>
  <c r="E206" i="2"/>
  <c r="D206" i="2"/>
  <c r="E205" i="2"/>
  <c r="D205" i="2"/>
  <c r="E204" i="2"/>
  <c r="D204" i="2"/>
  <c r="E203" i="2"/>
  <c r="D203" i="2"/>
  <c r="E202" i="2"/>
  <c r="D202" i="2"/>
  <c r="E201" i="2"/>
  <c r="D201" i="2"/>
  <c r="E200" i="2"/>
  <c r="D200" i="2"/>
  <c r="E199" i="2"/>
  <c r="D199" i="2"/>
  <c r="E198" i="2"/>
  <c r="D198" i="2"/>
  <c r="E197" i="2"/>
  <c r="D197" i="2"/>
  <c r="E196" i="2"/>
  <c r="D196" i="2"/>
  <c r="E194" i="2"/>
  <c r="D194" i="2"/>
  <c r="E193" i="2"/>
  <c r="D193" i="2"/>
  <c r="E192" i="2"/>
  <c r="D192" i="2"/>
  <c r="E191" i="2"/>
  <c r="D191" i="2"/>
  <c r="E190" i="2"/>
  <c r="D190" i="2"/>
  <c r="E189" i="2"/>
  <c r="D189" i="2"/>
  <c r="E188" i="2"/>
  <c r="D188" i="2"/>
  <c r="E187" i="2"/>
  <c r="D187" i="2"/>
  <c r="E186" i="2"/>
  <c r="D186" i="2"/>
  <c r="E185" i="2"/>
  <c r="D185" i="2"/>
  <c r="E184" i="2"/>
  <c r="D184" i="2"/>
  <c r="E183" i="2"/>
  <c r="D183" i="2"/>
  <c r="E182" i="2"/>
  <c r="D182" i="2"/>
  <c r="E181" i="2"/>
  <c r="D181" i="2"/>
  <c r="E180" i="2"/>
  <c r="D180" i="2"/>
  <c r="E179" i="2"/>
  <c r="D179" i="2"/>
  <c r="E178" i="2"/>
  <c r="E177" i="2"/>
  <c r="D177" i="2"/>
  <c r="E176" i="2"/>
  <c r="D176" i="2"/>
  <c r="E175" i="2"/>
  <c r="D175" i="2"/>
  <c r="E174" i="2"/>
  <c r="D174" i="2"/>
  <c r="E173" i="2"/>
  <c r="D173" i="2"/>
  <c r="E171" i="2"/>
  <c r="D171" i="2"/>
  <c r="E170" i="2"/>
  <c r="D170" i="2"/>
  <c r="E169" i="2"/>
  <c r="D169" i="2"/>
  <c r="E168" i="2"/>
  <c r="D168" i="2"/>
  <c r="E167" i="2"/>
  <c r="D167" i="2"/>
  <c r="E166" i="2"/>
  <c r="D166" i="2"/>
  <c r="E165" i="2"/>
  <c r="D165" i="2"/>
  <c r="E163" i="2"/>
  <c r="D163" i="2"/>
  <c r="E162" i="2"/>
  <c r="D162" i="2"/>
  <c r="E161" i="2"/>
  <c r="D161" i="2"/>
  <c r="E160" i="2"/>
  <c r="D160" i="2"/>
  <c r="E159" i="2"/>
  <c r="D159" i="2"/>
  <c r="E158" i="2"/>
  <c r="D158" i="2"/>
  <c r="E156" i="2"/>
  <c r="D156" i="2"/>
  <c r="E155" i="2"/>
  <c r="D155" i="2"/>
  <c r="E154" i="2"/>
  <c r="D154" i="2"/>
  <c r="E153" i="2"/>
  <c r="D153" i="2"/>
  <c r="E151" i="2"/>
  <c r="D151" i="2"/>
  <c r="E150" i="2"/>
  <c r="D150" i="2"/>
  <c r="E149" i="2"/>
  <c r="D149" i="2"/>
  <c r="E148" i="2"/>
  <c r="D148" i="2"/>
  <c r="E147" i="2"/>
  <c r="D147" i="2"/>
  <c r="E146" i="2"/>
  <c r="D146" i="2"/>
  <c r="E145" i="2"/>
  <c r="D145" i="2"/>
  <c r="E144" i="2"/>
  <c r="D144" i="2"/>
  <c r="E143" i="2"/>
  <c r="D143" i="2"/>
  <c r="E142" i="2"/>
  <c r="D142" i="2"/>
  <c r="E140" i="2"/>
  <c r="D140" i="2"/>
  <c r="E139" i="2"/>
  <c r="D139" i="2"/>
  <c r="E138" i="2"/>
  <c r="D138" i="2"/>
  <c r="E137" i="2"/>
  <c r="D137" i="2"/>
  <c r="E136" i="2"/>
  <c r="D136" i="2"/>
  <c r="E135" i="2"/>
  <c r="D135" i="2"/>
  <c r="E134" i="2"/>
  <c r="D134" i="2"/>
  <c r="E133" i="2"/>
  <c r="D133" i="2"/>
  <c r="E132" i="2"/>
  <c r="D132" i="2"/>
  <c r="E131" i="2"/>
  <c r="D131" i="2"/>
  <c r="E130" i="2"/>
  <c r="D130" i="2"/>
  <c r="E129" i="2"/>
  <c r="D129" i="2"/>
  <c r="E127" i="2"/>
  <c r="D127" i="2"/>
  <c r="E126" i="2"/>
  <c r="D126" i="2"/>
  <c r="E125" i="2"/>
  <c r="D125" i="2"/>
  <c r="E124" i="2"/>
  <c r="D124" i="2"/>
  <c r="E123" i="2"/>
  <c r="D123" i="2"/>
  <c r="E122" i="2"/>
  <c r="D122" i="2"/>
  <c r="E121" i="2"/>
  <c r="D121" i="2"/>
  <c r="E120" i="2"/>
  <c r="D120" i="2"/>
  <c r="E119" i="2"/>
  <c r="D119" i="2"/>
  <c r="E118" i="2"/>
  <c r="D118" i="2"/>
  <c r="E116" i="2"/>
  <c r="D116" i="2"/>
  <c r="E115" i="2"/>
  <c r="D115" i="2"/>
  <c r="E114" i="2"/>
  <c r="D114" i="2"/>
  <c r="E113" i="2"/>
  <c r="D113" i="2"/>
  <c r="E112" i="2"/>
  <c r="D112" i="2"/>
  <c r="E111" i="2"/>
  <c r="D111" i="2"/>
  <c r="E110" i="2"/>
  <c r="D110" i="2"/>
  <c r="E109" i="2"/>
  <c r="D109" i="2"/>
  <c r="E108" i="2"/>
  <c r="E107" i="2"/>
  <c r="D107" i="2"/>
  <c r="E106" i="2"/>
  <c r="D106" i="2"/>
  <c r="E105" i="2"/>
  <c r="D105" i="2"/>
  <c r="E104" i="2"/>
  <c r="D104" i="2"/>
  <c r="E103" i="2"/>
  <c r="D103" i="2"/>
  <c r="E102" i="2"/>
  <c r="D102" i="2"/>
  <c r="E101" i="2"/>
  <c r="D101" i="2"/>
  <c r="E98" i="2"/>
  <c r="D98" i="2"/>
  <c r="E97" i="2"/>
  <c r="D97" i="2"/>
  <c r="E96" i="2"/>
  <c r="D96" i="2"/>
  <c r="E95" i="2"/>
  <c r="D95"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2" i="2"/>
  <c r="D72" i="2"/>
  <c r="E71" i="2"/>
  <c r="D71" i="2"/>
  <c r="E70" i="2"/>
  <c r="D70" i="2"/>
  <c r="E69" i="2"/>
  <c r="D69" i="2"/>
  <c r="E68" i="2"/>
  <c r="D68" i="2"/>
  <c r="E67" i="2"/>
  <c r="D67" i="2"/>
  <c r="E66" i="2"/>
  <c r="D66" i="2"/>
  <c r="E65" i="2"/>
  <c r="D65" i="2"/>
  <c r="E64" i="2"/>
  <c r="D64" i="2"/>
  <c r="E63" i="2"/>
  <c r="D63" i="2"/>
  <c r="E62" i="2"/>
  <c r="D62" i="2"/>
  <c r="E61" i="2"/>
  <c r="D61" i="2"/>
  <c r="E60" i="2"/>
  <c r="D60" i="2"/>
  <c r="E59" i="2"/>
  <c r="D59" i="2"/>
  <c r="E57" i="2"/>
  <c r="D57" i="2"/>
  <c r="E56" i="2"/>
  <c r="D56" i="2"/>
  <c r="E55" i="2"/>
  <c r="D55" i="2"/>
  <c r="E54" i="2"/>
  <c r="D54" i="2"/>
  <c r="E53" i="2"/>
  <c r="D53" i="2"/>
  <c r="E52" i="2"/>
  <c r="D52" i="2"/>
  <c r="E51" i="2"/>
  <c r="D51" i="2"/>
  <c r="E50" i="2"/>
  <c r="D50" i="2"/>
  <c r="E49" i="2"/>
  <c r="D49" i="2"/>
  <c r="E48" i="2"/>
  <c r="D48" i="2"/>
  <c r="E47" i="2"/>
  <c r="D47" i="2"/>
  <c r="E46" i="2"/>
  <c r="D46" i="2"/>
  <c r="E43" i="2"/>
  <c r="D43" i="2"/>
  <c r="E42" i="2"/>
  <c r="D42" i="2"/>
  <c r="E41" i="2"/>
  <c r="D41" i="2"/>
  <c r="E40" i="2"/>
  <c r="D40" i="2"/>
  <c r="E39" i="2"/>
  <c r="D39" i="2"/>
  <c r="E38" i="2"/>
  <c r="D38" i="2"/>
  <c r="E37" i="2"/>
  <c r="D37" i="2"/>
  <c r="E36" i="2"/>
  <c r="D36" i="2"/>
  <c r="E35" i="2"/>
  <c r="D35" i="2"/>
  <c r="E34" i="2"/>
  <c r="D34" i="2"/>
  <c r="E33" i="2"/>
  <c r="D33" i="2"/>
  <c r="E32" i="2"/>
  <c r="D32" i="2"/>
  <c r="E31" i="2"/>
  <c r="D31" i="2"/>
  <c r="E29" i="2"/>
  <c r="D29" i="2"/>
  <c r="E28" i="2"/>
  <c r="D28" i="2"/>
  <c r="E27" i="2"/>
  <c r="D27" i="2"/>
  <c r="E26" i="2"/>
  <c r="D26" i="2"/>
  <c r="E25" i="2"/>
  <c r="D25" i="2"/>
  <c r="E24" i="2"/>
  <c r="D24" i="2"/>
  <c r="E22" i="2"/>
  <c r="D22" i="2"/>
  <c r="E21" i="2"/>
  <c r="D21" i="2"/>
  <c r="E20" i="2"/>
  <c r="D20" i="2"/>
  <c r="E19" i="2"/>
  <c r="D19" i="2"/>
  <c r="E18" i="2"/>
  <c r="D18" i="2"/>
  <c r="E17" i="2"/>
  <c r="D17" i="2"/>
  <c r="E16" i="2"/>
  <c r="D16" i="2"/>
  <c r="E14" i="2"/>
  <c r="D14" i="2"/>
  <c r="E13" i="2"/>
  <c r="D13" i="2"/>
  <c r="E12" i="2"/>
  <c r="D12" i="2"/>
  <c r="E11" i="2"/>
  <c r="D11" i="2"/>
  <c r="E10" i="2"/>
  <c r="D10" i="2"/>
  <c r="E9" i="2"/>
  <c r="D9" i="2"/>
  <c r="E8" i="2"/>
  <c r="D8" i="2"/>
  <c r="E7" i="2"/>
  <c r="D7" i="2"/>
  <c r="E6" i="2"/>
  <c r="D6" i="2"/>
  <c r="E5" i="2"/>
  <c r="D5" i="2"/>
  <c r="E4" i="2"/>
  <c r="D4" i="2"/>
  <c r="E3" i="2"/>
  <c r="D3" i="2"/>
  <c r="E2" i="2"/>
  <c r="D2" i="2"/>
  <c r="D818" i="37" l="1"/>
  <c r="D466" i="37"/>
  <c r="D337" i="37"/>
  <c r="D703" i="37"/>
  <c r="D739" i="37"/>
  <c r="D306" i="37"/>
  <c r="D615" i="37"/>
  <c r="D524" i="37"/>
  <c r="D277" i="37"/>
  <c r="D545" i="37"/>
  <c r="D529" i="37"/>
  <c r="D158" i="37"/>
  <c r="D493" i="37"/>
  <c r="O493" i="37" s="1"/>
  <c r="D153" i="37"/>
  <c r="D530" i="37"/>
  <c r="D742" i="37"/>
  <c r="O742" i="37" s="1"/>
  <c r="D680" i="37"/>
  <c r="D542" i="37"/>
  <c r="D263" i="37"/>
  <c r="D235" i="37"/>
  <c r="D749" i="37"/>
  <c r="D508" i="37"/>
  <c r="D73" i="37"/>
  <c r="D175" i="37"/>
  <c r="D268" i="37"/>
  <c r="D617" i="37"/>
  <c r="D226" i="37"/>
  <c r="D163" i="37"/>
  <c r="D214" i="37"/>
  <c r="O214" i="37" s="1"/>
  <c r="D608" i="37"/>
  <c r="D194" i="37"/>
  <c r="D248" i="37"/>
  <c r="O248" i="37" s="1"/>
  <c r="D344" i="37"/>
  <c r="D17" i="37"/>
  <c r="D392" i="37"/>
  <c r="D495" i="37"/>
  <c r="D200" i="37"/>
  <c r="D668" i="37"/>
  <c r="D18" i="37"/>
  <c r="D496" i="37"/>
  <c r="D205" i="37"/>
  <c r="D291" i="37"/>
  <c r="D410" i="37"/>
  <c r="D451" i="37"/>
  <c r="D404" i="37"/>
  <c r="O404" i="37" s="1"/>
  <c r="D35" i="37"/>
  <c r="D295" i="37"/>
  <c r="D284" i="37"/>
  <c r="D326" i="37"/>
  <c r="D736" i="37"/>
  <c r="D614" i="37"/>
  <c r="D246" i="37"/>
  <c r="D409" i="37"/>
  <c r="D350" i="37"/>
  <c r="D98" i="37"/>
  <c r="D567" i="37"/>
  <c r="D11" i="37"/>
  <c r="D390" i="37"/>
  <c r="D39" i="37"/>
  <c r="D385" i="37"/>
  <c r="D600" i="37"/>
  <c r="D647" i="37"/>
  <c r="D347" i="37"/>
  <c r="D402" i="37"/>
  <c r="O402" i="37" s="1"/>
  <c r="D655" i="37"/>
  <c r="D582" i="37"/>
  <c r="D2" i="37"/>
  <c r="D58" i="37"/>
  <c r="D704" i="37"/>
  <c r="D528" i="37"/>
  <c r="D68" i="37"/>
  <c r="D116" i="37"/>
  <c r="D538" i="37"/>
  <c r="D587" i="37"/>
  <c r="D109" i="37"/>
  <c r="D220" i="37"/>
  <c r="D328" i="37"/>
  <c r="O328" i="37" s="1"/>
  <c r="D266" i="37"/>
  <c r="D626" i="37"/>
  <c r="D191" i="37"/>
  <c r="D588" i="37"/>
  <c r="D775" i="37"/>
  <c r="D439" i="37"/>
  <c r="D271" i="37"/>
  <c r="D257" i="37"/>
  <c r="D656" i="37"/>
  <c r="D3" i="37"/>
  <c r="D50" i="37"/>
  <c r="D118" i="37"/>
  <c r="D112" i="37"/>
  <c r="D8" i="37"/>
  <c r="D151" i="37"/>
  <c r="D146" i="37"/>
  <c r="D527" i="37"/>
  <c r="D325" i="37"/>
  <c r="D368" i="37"/>
  <c r="O368" i="37" s="1"/>
  <c r="D472" i="37"/>
  <c r="D712" i="37"/>
  <c r="D20" i="37"/>
  <c r="D455" i="37"/>
  <c r="D133" i="37"/>
  <c r="D633" i="37"/>
  <c r="D794" i="37"/>
  <c r="D252" i="37"/>
  <c r="D473" i="37"/>
  <c r="D509" i="37"/>
  <c r="D720" i="37"/>
  <c r="D434" i="37"/>
  <c r="D689" i="37"/>
  <c r="D403" i="37"/>
  <c r="D468" i="37"/>
  <c r="D144" i="37"/>
  <c r="O144" i="37" s="1"/>
  <c r="D591" i="37"/>
  <c r="D113" i="37"/>
  <c r="D33" i="37"/>
  <c r="D198" i="37"/>
  <c r="D72" i="37"/>
  <c r="D150" i="37"/>
  <c r="D767" i="37"/>
  <c r="D735" i="37"/>
  <c r="D460" i="37"/>
  <c r="D637" i="37"/>
  <c r="D342" i="37"/>
  <c r="D227" i="37"/>
  <c r="D629" i="37"/>
  <c r="O629" i="37" s="1"/>
  <c r="D449" i="37"/>
  <c r="D458" i="37"/>
  <c r="D776" i="37"/>
  <c r="O776" i="37" s="1"/>
  <c r="D536" i="37"/>
  <c r="D106" i="37"/>
  <c r="D586" i="37"/>
  <c r="D166" i="37"/>
  <c r="D130" i="37"/>
  <c r="D99" i="37"/>
  <c r="D556" i="37"/>
  <c r="D304" i="37"/>
  <c r="D610" i="37"/>
  <c r="D674" i="37"/>
  <c r="D290" i="37"/>
  <c r="D755" i="37"/>
  <c r="D401" i="37"/>
  <c r="O401" i="37" s="1"/>
  <c r="D128" i="37"/>
  <c r="D216" i="37"/>
  <c r="D120" i="37"/>
  <c r="O120" i="37" s="1"/>
  <c r="D95" i="37"/>
  <c r="D498" i="37"/>
  <c r="D499" i="37"/>
  <c r="D27" i="37"/>
  <c r="D172" i="37"/>
  <c r="D389" i="37"/>
  <c r="D369" i="37"/>
  <c r="D469" i="37"/>
  <c r="D595" i="37"/>
  <c r="D169" i="37"/>
  <c r="D111" i="37"/>
  <c r="D297" i="37"/>
  <c r="D349" i="37"/>
  <c r="D280" i="37"/>
  <c r="D199" i="37"/>
  <c r="D711" i="37"/>
  <c r="O711" i="37" s="1"/>
  <c r="D51" i="37"/>
  <c r="D724" i="37"/>
  <c r="D791" i="37"/>
  <c r="D463" i="37"/>
  <c r="D418" i="37"/>
  <c r="D432" i="37"/>
  <c r="D673" i="37"/>
  <c r="D28" i="37"/>
  <c r="D5" i="37"/>
  <c r="D190" i="37"/>
  <c r="D606" i="37"/>
  <c r="D105" i="37"/>
  <c r="D563" i="37"/>
  <c r="O563" i="37" s="1"/>
  <c r="D26" i="37"/>
  <c r="D250" i="37"/>
  <c r="D234" i="37"/>
  <c r="O234" i="37" s="1"/>
  <c r="D341" i="37"/>
  <c r="D537" i="37"/>
  <c r="D654" i="37"/>
  <c r="D255" i="37"/>
  <c r="D576" i="37"/>
  <c r="D185" i="37"/>
  <c r="D354" i="37"/>
  <c r="D628" i="37"/>
  <c r="D535" i="37"/>
  <c r="D643" i="37"/>
  <c r="D247" i="37"/>
  <c r="D428" i="37"/>
  <c r="D671" i="37"/>
  <c r="O671" i="37" s="1"/>
  <c r="D48" i="37"/>
  <c r="D607" i="37"/>
  <c r="D122" i="37"/>
  <c r="O122" i="37" s="1"/>
  <c r="D178" i="37"/>
  <c r="D300" i="37"/>
  <c r="D301" i="37"/>
  <c r="D467" i="37"/>
  <c r="D338" i="37"/>
  <c r="D658" i="37"/>
  <c r="D282" i="37"/>
  <c r="D504" i="37"/>
  <c r="D376" i="37"/>
  <c r="D546" i="37"/>
  <c r="D296" i="37"/>
  <c r="D577" i="37"/>
  <c r="D678" i="37"/>
  <c r="O678" i="37" s="1"/>
  <c r="D598" i="37"/>
  <c r="D421" i="37"/>
  <c r="D601" i="37"/>
  <c r="O601" i="37" s="1"/>
  <c r="D224" i="37"/>
  <c r="D378" i="37"/>
  <c r="D786" i="37"/>
  <c r="D21" i="37"/>
  <c r="D121" i="37"/>
  <c r="D506" i="37"/>
  <c r="D12" i="37"/>
  <c r="D276" i="37"/>
  <c r="D491" i="37"/>
  <c r="D204" i="37"/>
  <c r="D87" i="37"/>
  <c r="D171" i="37"/>
  <c r="O171" i="37" s="1"/>
  <c r="D395" i="37"/>
  <c r="O395" i="37" s="1"/>
  <c r="D559" i="37"/>
  <c r="D161" i="37"/>
  <c r="D551" i="37"/>
  <c r="O551" i="37" s="1"/>
  <c r="D19" i="37"/>
  <c r="D370" i="37"/>
  <c r="D348" i="37"/>
  <c r="D481" i="37"/>
  <c r="D417" i="37"/>
  <c r="D544" i="37"/>
  <c r="D339" i="37"/>
  <c r="D196" i="37"/>
  <c r="D81" i="37"/>
  <c r="D802" i="37"/>
  <c r="D592" i="37"/>
  <c r="D70" i="37"/>
  <c r="D517" i="37"/>
  <c r="O517" i="37" s="1"/>
  <c r="D236" i="37"/>
  <c r="D757" i="37"/>
  <c r="O757" i="37" s="1"/>
  <c r="D437" i="37"/>
  <c r="O437" i="37" s="1"/>
  <c r="D262" i="37"/>
  <c r="D717" i="37"/>
  <c r="D488" i="37"/>
  <c r="O488" i="37" s="1"/>
  <c r="D211" i="37"/>
  <c r="O211" i="37" s="1"/>
  <c r="D459" i="37"/>
  <c r="D322" i="37"/>
  <c r="D543" i="37"/>
  <c r="D554" i="37"/>
  <c r="D192" i="37"/>
  <c r="D320" i="37"/>
  <c r="D69" i="37"/>
  <c r="O69" i="37" s="1"/>
  <c r="D696" i="37"/>
  <c r="D738" i="37"/>
  <c r="O738" i="37" s="1"/>
  <c r="D558" i="37"/>
  <c r="D231" i="37"/>
  <c r="O231" i="37" s="1"/>
  <c r="D686" i="37"/>
  <c r="O686" i="37" s="1"/>
  <c r="D532" i="37"/>
  <c r="D486" i="37"/>
  <c r="D287" i="37"/>
  <c r="O287" i="37" s="1"/>
  <c r="D159" i="37"/>
  <c r="O159" i="37" s="1"/>
  <c r="O109" i="37"/>
  <c r="O587" i="37"/>
  <c r="O538" i="37"/>
  <c r="O116" i="37"/>
  <c r="O68" i="37"/>
  <c r="O528" i="37"/>
  <c r="O704" i="37"/>
  <c r="O58" i="37"/>
  <c r="O717" i="37"/>
  <c r="O262" i="37"/>
  <c r="O582" i="37"/>
  <c r="O655" i="37"/>
  <c r="O151" i="37"/>
  <c r="O257" i="37"/>
  <c r="O8" i="37"/>
  <c r="O703" i="37"/>
  <c r="O820" i="37"/>
  <c r="O392" i="37"/>
  <c r="O628" i="37"/>
  <c r="O735" i="37"/>
  <c r="O523" i="37"/>
  <c r="O5" i="37"/>
  <c r="O198" i="37"/>
  <c r="O199" i="37"/>
  <c r="O357" i="37"/>
  <c r="O382" i="37"/>
  <c r="O818" i="37"/>
  <c r="O21" i="37"/>
  <c r="O158" i="37"/>
  <c r="O399" i="37"/>
  <c r="O421" i="37"/>
  <c r="O540" i="37"/>
  <c r="O331" i="37"/>
  <c r="O736" i="37"/>
  <c r="O775" i="37"/>
  <c r="O794" i="37"/>
  <c r="O139" i="37"/>
  <c r="O468" i="37"/>
  <c r="O732" i="37"/>
  <c r="O12" i="37"/>
  <c r="O133" i="37"/>
  <c r="O48" i="37"/>
  <c r="O453" i="37"/>
  <c r="O660" i="37"/>
  <c r="O326" i="37"/>
  <c r="O536" i="37"/>
  <c r="O417" i="37"/>
  <c r="O546" i="37"/>
  <c r="O280" i="37"/>
  <c r="O654" i="37"/>
  <c r="O608" i="37"/>
  <c r="O87" i="37"/>
  <c r="O337" i="37"/>
  <c r="O473" i="37"/>
  <c r="O614" i="37"/>
  <c r="O339" i="37"/>
  <c r="O216" i="37"/>
  <c r="O674" i="37"/>
  <c r="O126" i="37"/>
  <c r="O338" i="37"/>
  <c r="O149" i="37"/>
  <c r="O559" i="37"/>
  <c r="O73" i="37"/>
  <c r="O642" i="37"/>
  <c r="O72" i="37"/>
  <c r="O504" i="37"/>
  <c r="O196" i="37"/>
  <c r="O418" i="37"/>
  <c r="O86" i="37"/>
  <c r="O607" i="37"/>
  <c r="O183" i="37"/>
  <c r="O105" i="37"/>
  <c r="O19" i="37"/>
  <c r="O154" i="37"/>
  <c r="O580" i="37"/>
  <c r="O301" i="37"/>
  <c r="O341" i="37"/>
  <c r="O530" i="37"/>
  <c r="O535" i="37"/>
  <c r="O77" i="37"/>
  <c r="O532" i="37"/>
  <c r="O595" i="37"/>
  <c r="O185" i="37"/>
  <c r="O396" i="37"/>
  <c r="O498" i="37"/>
  <c r="O470" i="37"/>
  <c r="O311" i="37"/>
  <c r="O188" i="37"/>
  <c r="O459" i="37"/>
  <c r="O60" i="37"/>
  <c r="O18" i="37"/>
  <c r="O33" i="37"/>
  <c r="O810" i="37"/>
  <c r="O449" i="37"/>
  <c r="O522" i="37"/>
  <c r="O695" i="37"/>
  <c r="O220" i="37"/>
  <c r="O451" i="37"/>
  <c r="O467" i="37"/>
  <c r="O250" i="37"/>
  <c r="O153" i="37"/>
  <c r="O118" i="37"/>
  <c r="O524" i="37"/>
  <c r="O786" i="37"/>
  <c r="O128" i="37"/>
  <c r="O175" i="37"/>
  <c r="O70" i="37"/>
  <c r="O95" i="37"/>
  <c r="O576" i="37"/>
  <c r="O119" i="37"/>
  <c r="O121" i="37"/>
  <c r="O430" i="37"/>
  <c r="O720" i="37"/>
  <c r="O217" i="37"/>
  <c r="O266" i="37"/>
  <c r="O634" i="37"/>
  <c r="O290" i="37"/>
  <c r="O306" i="37"/>
  <c r="O271" i="37"/>
  <c r="O229" i="37"/>
  <c r="O190" i="37"/>
  <c r="O378" i="37"/>
  <c r="O741" i="37"/>
  <c r="O506" i="37"/>
  <c r="O813" i="37"/>
  <c r="O791" i="37"/>
  <c r="O94" i="37"/>
  <c r="O615" i="37"/>
  <c r="O588" i="37"/>
  <c r="O157" i="37"/>
  <c r="O297" i="37"/>
  <c r="O805" i="37"/>
  <c r="O677" i="37"/>
  <c r="O508" i="37"/>
  <c r="O403" i="37"/>
  <c r="O554" i="37"/>
  <c r="O668" i="37"/>
  <c r="O227" i="37"/>
  <c r="O420" i="37"/>
  <c r="O104" i="37"/>
  <c r="O712" i="37"/>
  <c r="O463" i="37"/>
  <c r="O412" i="37"/>
  <c r="O51" i="37"/>
  <c r="O667" i="37"/>
  <c r="O481" i="37"/>
  <c r="O25" i="37"/>
  <c r="O349" i="37"/>
  <c r="O507" i="37"/>
  <c r="O778" i="37"/>
  <c r="O370" i="37"/>
  <c r="O268" i="37"/>
  <c r="O495" i="37"/>
  <c r="O410" i="37"/>
  <c r="O680" i="37"/>
  <c r="O747" i="37"/>
  <c r="O454" i="37"/>
  <c r="O617" i="37"/>
  <c r="O455" i="37"/>
  <c r="O804" i="37"/>
  <c r="O460" i="37"/>
  <c r="O300" i="37"/>
  <c r="O329" i="37"/>
  <c r="O26" i="37"/>
  <c r="O246" i="37"/>
  <c r="O389" i="37"/>
  <c r="O567" i="37"/>
  <c r="O802" i="37"/>
  <c r="F804" i="37"/>
  <c r="J814" i="37"/>
  <c r="B444" i="37"/>
  <c r="M814" i="37"/>
  <c r="O224" i="37"/>
  <c r="O755" i="37"/>
  <c r="B818" i="37"/>
  <c r="O638" i="37"/>
  <c r="O597" i="37"/>
  <c r="O376" i="37"/>
  <c r="O543" i="37"/>
  <c r="O350" i="37"/>
  <c r="O282" i="37"/>
  <c r="O604" i="37"/>
  <c r="O799" i="37"/>
  <c r="F805" i="37"/>
  <c r="O27" i="37"/>
  <c r="O251" i="37"/>
  <c r="O296" i="37"/>
  <c r="O272" i="37"/>
  <c r="O76" i="37"/>
  <c r="O499" i="37"/>
  <c r="O342" i="37"/>
  <c r="O643" i="37"/>
  <c r="O797" i="37"/>
  <c r="O796" i="37"/>
  <c r="C794" i="37"/>
  <c r="L794" i="37" s="1"/>
  <c r="B794" i="37"/>
  <c r="B685" i="37"/>
  <c r="B690" i="37"/>
  <c r="B695" i="37"/>
  <c r="C69" i="37"/>
  <c r="K69" i="37" s="1"/>
  <c r="B416" i="37"/>
  <c r="B739" i="37"/>
  <c r="O743" i="37"/>
  <c r="C704" i="37"/>
  <c r="K704" i="37" s="1"/>
  <c r="O724" i="37"/>
  <c r="O340" i="37"/>
  <c r="O793" i="37"/>
  <c r="O789" i="37"/>
  <c r="O785" i="37"/>
  <c r="O783" i="37"/>
  <c r="F372" i="37"/>
  <c r="C424" i="37"/>
  <c r="E424" i="37" s="1"/>
  <c r="B790" i="37"/>
  <c r="C797" i="37"/>
  <c r="O808" i="37"/>
  <c r="F816" i="37"/>
  <c r="C818" i="37"/>
  <c r="L818" i="37" s="1"/>
  <c r="O658" i="37"/>
  <c r="F589" i="37"/>
  <c r="F797" i="37"/>
  <c r="O801" i="37"/>
  <c r="F812" i="37"/>
  <c r="O434" i="37"/>
  <c r="O284" i="37"/>
  <c r="O592" i="37"/>
  <c r="B783" i="37"/>
  <c r="B789" i="37"/>
  <c r="O432" i="37"/>
  <c r="C783" i="37"/>
  <c r="C789" i="37"/>
  <c r="N789" i="37" s="1"/>
  <c r="F800" i="37"/>
  <c r="B802" i="37"/>
  <c r="B806" i="37"/>
  <c r="F406" i="37"/>
  <c r="C416" i="37"/>
  <c r="L416" i="37" s="1"/>
  <c r="F789" i="37"/>
  <c r="C802" i="37"/>
  <c r="M802" i="37" s="1"/>
  <c r="C806" i="37"/>
  <c r="O428" i="37"/>
  <c r="C765" i="37"/>
  <c r="J765" i="37" s="1"/>
  <c r="F796" i="37"/>
  <c r="C813" i="37"/>
  <c r="N813" i="37" s="1"/>
  <c r="O375" i="37"/>
  <c r="O541" i="37"/>
  <c r="O591" i="37"/>
  <c r="O150" i="37"/>
  <c r="B786" i="37"/>
  <c r="O809" i="37"/>
  <c r="C811" i="37"/>
  <c r="K811" i="37" s="1"/>
  <c r="F813" i="37"/>
  <c r="B815" i="37"/>
  <c r="O110" i="37"/>
  <c r="C781" i="37"/>
  <c r="E781" i="37" s="1"/>
  <c r="C786" i="37"/>
  <c r="L786" i="37" s="1"/>
  <c r="C805" i="37"/>
  <c r="N805" i="37" s="1"/>
  <c r="C815" i="37"/>
  <c r="O817" i="37"/>
  <c r="O537" i="37"/>
  <c r="O361" i="37"/>
  <c r="O255" i="37"/>
  <c r="O639" i="37"/>
  <c r="O573" i="37"/>
  <c r="O4" i="37"/>
  <c r="O745" i="37"/>
  <c r="O39" i="37"/>
  <c r="B799" i="37"/>
  <c r="B810" i="37"/>
  <c r="O292" i="37"/>
  <c r="O263" i="37"/>
  <c r="C810" i="37"/>
  <c r="J810" i="37" s="1"/>
  <c r="O66" i="37"/>
  <c r="O324" i="37"/>
  <c r="O322" i="37"/>
  <c r="C195" i="37"/>
  <c r="N195" i="37" s="1"/>
  <c r="F157" i="37"/>
  <c r="J157" i="37" s="1"/>
  <c r="F295" i="37"/>
  <c r="F37" i="37"/>
  <c r="O753" i="37"/>
  <c r="B778" i="37"/>
  <c r="B378" i="37"/>
  <c r="F529" i="37"/>
  <c r="B748" i="37"/>
  <c r="O325" i="37"/>
  <c r="O571" i="37"/>
  <c r="O385" i="37"/>
  <c r="O346" i="37"/>
  <c r="F268" i="37"/>
  <c r="O400" i="37"/>
  <c r="C498" i="37"/>
  <c r="O514" i="37"/>
  <c r="F436" i="37"/>
  <c r="B441" i="37"/>
  <c r="O46" i="37"/>
  <c r="O518" i="37"/>
  <c r="C743" i="37"/>
  <c r="I743" i="37" s="1"/>
  <c r="O279" i="37"/>
  <c r="O47" i="37"/>
  <c r="O596" i="37"/>
  <c r="O600" i="37"/>
  <c r="O67" i="37"/>
  <c r="O734" i="37"/>
  <c r="O589" i="37"/>
  <c r="F668" i="37"/>
  <c r="N668" i="37" s="1"/>
  <c r="O439" i="37"/>
  <c r="O88" i="37"/>
  <c r="O273" i="37"/>
  <c r="O362" i="37"/>
  <c r="O431" i="37"/>
  <c r="O739" i="37"/>
  <c r="O568" i="37"/>
  <c r="O765" i="37"/>
  <c r="O178" i="37"/>
  <c r="O3" i="37"/>
  <c r="O117" i="37"/>
  <c r="O207" i="37"/>
  <c r="O260" i="37"/>
  <c r="O516" i="37"/>
  <c r="O579" i="37"/>
  <c r="C776" i="37"/>
  <c r="O209" i="37"/>
  <c r="O285" i="37"/>
  <c r="O440" i="37"/>
  <c r="O616" i="37"/>
  <c r="O492" i="37"/>
  <c r="O553" i="37"/>
  <c r="O574" i="37"/>
  <c r="O710" i="37"/>
  <c r="O35" i="37"/>
  <c r="O212" i="37"/>
  <c r="O293" i="37"/>
  <c r="O521" i="37"/>
  <c r="O619" i="37"/>
  <c r="O748" i="37"/>
  <c r="O330" i="37"/>
  <c r="O102" i="37"/>
  <c r="O160" i="37"/>
  <c r="O423" i="37"/>
  <c r="F548" i="37"/>
  <c r="B553" i="37"/>
  <c r="F643" i="37"/>
  <c r="O304" i="37"/>
  <c r="O213" i="37"/>
  <c r="O443" i="37"/>
  <c r="O525" i="37"/>
  <c r="O622" i="37"/>
  <c r="O750" i="37"/>
  <c r="O208" i="37"/>
  <c r="O408" i="37"/>
  <c r="O17" i="37"/>
  <c r="O446" i="37"/>
  <c r="O630" i="37"/>
  <c r="O267" i="37"/>
  <c r="O203" i="37"/>
  <c r="F256" i="37"/>
  <c r="O372" i="37"/>
  <c r="O727" i="37"/>
  <c r="O612" i="37"/>
  <c r="O277" i="37"/>
  <c r="O469" i="37"/>
  <c r="O136" i="37"/>
  <c r="O237" i="37"/>
  <c r="O316" i="37"/>
  <c r="O456" i="37"/>
  <c r="O557" i="37"/>
  <c r="O367" i="37"/>
  <c r="O429" i="37"/>
  <c r="O347" i="37"/>
  <c r="O633" i="37"/>
  <c r="O23" i="37"/>
  <c r="O28" i="37"/>
  <c r="O369" i="37"/>
  <c r="O416" i="37"/>
  <c r="O152" i="37"/>
  <c r="O243" i="37"/>
  <c r="O384" i="37"/>
  <c r="O479" i="37"/>
  <c r="O565" i="37"/>
  <c r="O670" i="37"/>
  <c r="B781" i="37"/>
  <c r="O781" i="37"/>
  <c r="F781" i="37"/>
  <c r="O510" i="37"/>
  <c r="O424" i="37"/>
  <c r="O233" i="37"/>
  <c r="O134" i="37"/>
  <c r="O245" i="37"/>
  <c r="O487" i="37"/>
  <c r="O327" i="37"/>
  <c r="O44" i="37"/>
  <c r="O261" i="37"/>
  <c r="O167" i="37"/>
  <c r="O780" i="37"/>
  <c r="O241" i="37"/>
  <c r="O666" i="37"/>
  <c r="O461" i="37"/>
  <c r="O561" i="37"/>
  <c r="O321" i="37"/>
  <c r="O143" i="37"/>
  <c r="C778" i="37"/>
  <c r="O777" i="37"/>
  <c r="O719" i="37"/>
  <c r="O575" i="37"/>
  <c r="O419" i="37"/>
  <c r="E775" i="37"/>
  <c r="O773" i="37"/>
  <c r="F773" i="37"/>
  <c r="B773" i="37"/>
  <c r="C773" i="37"/>
  <c r="E773" i="37" s="1"/>
  <c r="C372" i="37"/>
  <c r="B765" i="37"/>
  <c r="C305" i="37"/>
  <c r="E305" i="37" s="1"/>
  <c r="B382" i="37"/>
  <c r="K382" i="37" s="1"/>
  <c r="B499" i="37"/>
  <c r="F5" i="37"/>
  <c r="B146" i="37"/>
  <c r="M146" i="37" s="1"/>
  <c r="B151" i="37"/>
  <c r="F628" i="37"/>
  <c r="F459" i="37"/>
  <c r="F561" i="37"/>
  <c r="C660" i="37"/>
  <c r="N660" i="37" s="1"/>
  <c r="F271" i="37"/>
  <c r="C598" i="37"/>
  <c r="F43" i="37"/>
  <c r="C226" i="37"/>
  <c r="G226" i="37" s="1"/>
  <c r="F522" i="37"/>
  <c r="H522" i="37" s="1"/>
  <c r="F487" i="37"/>
  <c r="F278" i="37"/>
  <c r="B304" i="37"/>
  <c r="K304" i="37" s="1"/>
  <c r="C533" i="37"/>
  <c r="C574" i="37"/>
  <c r="E574" i="37" s="1"/>
  <c r="B749" i="37"/>
  <c r="C330" i="37"/>
  <c r="B372" i="37"/>
  <c r="B432" i="37"/>
  <c r="F508" i="37"/>
  <c r="F772" i="37"/>
  <c r="C771" i="37"/>
  <c r="B770" i="37"/>
  <c r="C770" i="37"/>
  <c r="E770" i="37" s="1"/>
  <c r="F770" i="37"/>
  <c r="N770" i="37" s="1"/>
  <c r="O770" i="37"/>
  <c r="C767" i="37"/>
  <c r="G767" i="37" s="1"/>
  <c r="C296" i="37"/>
  <c r="G296" i="37" s="1"/>
  <c r="B356" i="37"/>
  <c r="C161" i="37"/>
  <c r="M161" i="37" s="1"/>
  <c r="E361" i="37"/>
  <c r="B446" i="37"/>
  <c r="F666" i="37"/>
  <c r="F710" i="37"/>
  <c r="B6" i="37"/>
  <c r="C171" i="37"/>
  <c r="K171" i="37" s="1"/>
  <c r="B357" i="37"/>
  <c r="F361" i="37"/>
  <c r="L361" i="37" s="1"/>
  <c r="F370" i="37"/>
  <c r="C404" i="37"/>
  <c r="B615" i="37"/>
  <c r="F161" i="37"/>
  <c r="F515" i="37"/>
  <c r="F41" i="37"/>
  <c r="B278" i="37"/>
  <c r="F409" i="37"/>
  <c r="N409" i="37" s="1"/>
  <c r="F516" i="37"/>
  <c r="F736" i="37"/>
  <c r="B745" i="37"/>
  <c r="B12" i="37"/>
  <c r="G12" i="37" s="1"/>
  <c r="C46" i="37"/>
  <c r="B234" i="37"/>
  <c r="C349" i="37"/>
  <c r="M349" i="37" s="1"/>
  <c r="C358" i="37"/>
  <c r="C390" i="37"/>
  <c r="B467" i="37"/>
  <c r="B592" i="37"/>
  <c r="G592" i="37" s="1"/>
  <c r="F237" i="37"/>
  <c r="B666" i="37"/>
  <c r="F358" i="37"/>
  <c r="F129" i="37"/>
  <c r="F362" i="37"/>
  <c r="C376" i="37"/>
  <c r="E376" i="37" s="1"/>
  <c r="C453" i="37"/>
  <c r="K453" i="37" s="1"/>
  <c r="B537" i="37"/>
  <c r="F592" i="37"/>
  <c r="N592" i="37" s="1"/>
  <c r="B668" i="37"/>
  <c r="M668" i="37" s="1"/>
  <c r="C727" i="37"/>
  <c r="F38" i="37"/>
  <c r="B330" i="37"/>
  <c r="L24" i="37"/>
  <c r="F89" i="37"/>
  <c r="C440" i="37"/>
  <c r="B598" i="37"/>
  <c r="F51" i="37"/>
  <c r="C89" i="37"/>
  <c r="C126" i="37"/>
  <c r="L126" i="37" s="1"/>
  <c r="M157" i="37"/>
  <c r="O205" i="37"/>
  <c r="F261" i="37"/>
  <c r="B284" i="37"/>
  <c r="C303" i="37"/>
  <c r="I303" i="37" s="1"/>
  <c r="B340" i="37"/>
  <c r="B493" i="37"/>
  <c r="I493" i="37" s="1"/>
  <c r="F541" i="37"/>
  <c r="C588" i="37"/>
  <c r="E588" i="37" s="1"/>
  <c r="B506" i="37"/>
  <c r="I506" i="37" s="1"/>
  <c r="C615" i="37"/>
  <c r="K615" i="37" s="1"/>
  <c r="B629" i="37"/>
  <c r="F699" i="37"/>
  <c r="J699" i="37" s="1"/>
  <c r="C748" i="37"/>
  <c r="K748" i="37" s="1"/>
  <c r="B44" i="37"/>
  <c r="B76" i="37"/>
  <c r="I76" i="37" s="1"/>
  <c r="C118" i="37"/>
  <c r="E118" i="37" s="1"/>
  <c r="C154" i="37"/>
  <c r="E154" i="37" s="1"/>
  <c r="C234" i="37"/>
  <c r="H234" i="37" s="1"/>
  <c r="C331" i="37"/>
  <c r="L331" i="37" s="1"/>
  <c r="C359" i="37"/>
  <c r="F588" i="37"/>
  <c r="C629" i="37"/>
  <c r="N629" i="37" s="1"/>
  <c r="C44" i="37"/>
  <c r="B322" i="37"/>
  <c r="B367" i="37"/>
  <c r="B427" i="37"/>
  <c r="F506" i="37"/>
  <c r="J506" i="37" s="1"/>
  <c r="C647" i="37"/>
  <c r="N647" i="37" s="1"/>
  <c r="F44" i="37"/>
  <c r="F76" i="37"/>
  <c r="J76" i="37" s="1"/>
  <c r="C427" i="37"/>
  <c r="B524" i="37"/>
  <c r="C561" i="37"/>
  <c r="E561" i="37" s="1"/>
  <c r="K607" i="37"/>
  <c r="B643" i="37"/>
  <c r="F727" i="37"/>
  <c r="B99" i="37"/>
  <c r="C109" i="37"/>
  <c r="E109" i="37" s="1"/>
  <c r="O295" i="37"/>
  <c r="B639" i="37"/>
  <c r="O696" i="37"/>
  <c r="B183" i="37"/>
  <c r="B207" i="37"/>
  <c r="F245" i="37"/>
  <c r="C255" i="37"/>
  <c r="J255" i="37" s="1"/>
  <c r="B309" i="37"/>
  <c r="B543" i="37"/>
  <c r="B616" i="37"/>
  <c r="B719" i="37"/>
  <c r="E24" i="37"/>
  <c r="B45" i="37"/>
  <c r="B77" i="37"/>
  <c r="G77" i="37" s="1"/>
  <c r="C96" i="37"/>
  <c r="H96" i="37" s="1"/>
  <c r="B128" i="37"/>
  <c r="C183" i="37"/>
  <c r="N183" i="37" s="1"/>
  <c r="C309" i="37"/>
  <c r="L309" i="37" s="1"/>
  <c r="C377" i="37"/>
  <c r="F507" i="37"/>
  <c r="C719" i="37"/>
  <c r="F24" i="37"/>
  <c r="C45" i="37"/>
  <c r="G45" i="37" s="1"/>
  <c r="F255" i="37"/>
  <c r="O309" i="37"/>
  <c r="G24" i="37"/>
  <c r="E199" i="37"/>
  <c r="B535" i="37"/>
  <c r="C21" i="37"/>
  <c r="N21" i="37" s="1"/>
  <c r="C125" i="37"/>
  <c r="M125" i="37" s="1"/>
  <c r="B264" i="37"/>
  <c r="F292" i="37"/>
  <c r="B433" i="37"/>
  <c r="C441" i="37"/>
  <c r="I441" i="37" s="1"/>
  <c r="C459" i="37"/>
  <c r="K459" i="37" s="1"/>
  <c r="O472" i="37"/>
  <c r="F495" i="37"/>
  <c r="F553" i="37"/>
  <c r="O50" i="37"/>
  <c r="F88" i="37"/>
  <c r="F208" i="37"/>
  <c r="C237" i="37"/>
  <c r="E237" i="37" s="1"/>
  <c r="C264" i="37"/>
  <c r="N264" i="37" s="1"/>
  <c r="C433" i="37"/>
  <c r="F441" i="37"/>
  <c r="C508" i="37"/>
  <c r="N508" i="37" s="1"/>
  <c r="F582" i="37"/>
  <c r="H582" i="37" s="1"/>
  <c r="B628" i="37"/>
  <c r="B655" i="37"/>
  <c r="F433" i="37"/>
  <c r="B35" i="37"/>
  <c r="C205" i="37"/>
  <c r="M205" i="37" s="1"/>
  <c r="C261" i="37"/>
  <c r="E261" i="37" s="1"/>
  <c r="F366" i="37"/>
  <c r="C642" i="37"/>
  <c r="B699" i="37"/>
  <c r="E410" i="37"/>
  <c r="O52" i="37"/>
  <c r="F96" i="37"/>
  <c r="O99" i="37"/>
  <c r="B103" i="37"/>
  <c r="C107" i="37"/>
  <c r="J107" i="37" s="1"/>
  <c r="C120" i="37"/>
  <c r="G120" i="37" s="1"/>
  <c r="F205" i="37"/>
  <c r="B285" i="37"/>
  <c r="F327" i="37"/>
  <c r="F330" i="37"/>
  <c r="C333" i="37"/>
  <c r="B341" i="37"/>
  <c r="F349" i="37"/>
  <c r="B369" i="37"/>
  <c r="B400" i="37"/>
  <c r="C408" i="37"/>
  <c r="F420" i="37"/>
  <c r="C435" i="37"/>
  <c r="N435" i="37" s="1"/>
  <c r="E481" i="37"/>
  <c r="C573" i="37"/>
  <c r="H573" i="37" s="1"/>
  <c r="B576" i="37"/>
  <c r="E608" i="37"/>
  <c r="B631" i="37"/>
  <c r="C698" i="37"/>
  <c r="E698" i="37" s="1"/>
  <c r="F52" i="37"/>
  <c r="L52" i="37" s="1"/>
  <c r="N155" i="37"/>
  <c r="C285" i="37"/>
  <c r="E285" i="37" s="1"/>
  <c r="O333" i="37"/>
  <c r="C631" i="37"/>
  <c r="E631" i="37" s="1"/>
  <c r="O698" i="37"/>
  <c r="F734" i="37"/>
  <c r="F285" i="37"/>
  <c r="F435" i="37"/>
  <c r="B566" i="37"/>
  <c r="G566" i="37" s="1"/>
  <c r="F576" i="37"/>
  <c r="N576" i="37" s="1"/>
  <c r="C587" i="37"/>
  <c r="N587" i="37" s="1"/>
  <c r="B600" i="37"/>
  <c r="C671" i="37"/>
  <c r="E671" i="37" s="1"/>
  <c r="B4" i="37"/>
  <c r="K4" i="37" s="1"/>
  <c r="B7" i="37"/>
  <c r="F67" i="37"/>
  <c r="B90" i="37"/>
  <c r="F120" i="37"/>
  <c r="F213" i="37"/>
  <c r="B252" i="37"/>
  <c r="O269" i="37"/>
  <c r="B293" i="37"/>
  <c r="O303" i="37"/>
  <c r="F321" i="37"/>
  <c r="C325" i="37"/>
  <c r="G325" i="37" s="1"/>
  <c r="F346" i="37"/>
  <c r="C354" i="37"/>
  <c r="C367" i="37"/>
  <c r="E367" i="37" s="1"/>
  <c r="B412" i="37"/>
  <c r="K412" i="37" s="1"/>
  <c r="C449" i="37"/>
  <c r="E449" i="37" s="1"/>
  <c r="B468" i="37"/>
  <c r="M468" i="37" s="1"/>
  <c r="F518" i="37"/>
  <c r="C526" i="37"/>
  <c r="C530" i="37"/>
  <c r="L530" i="37" s="1"/>
  <c r="C566" i="37"/>
  <c r="E566" i="37" s="1"/>
  <c r="B590" i="37"/>
  <c r="B661" i="37"/>
  <c r="F750" i="37"/>
  <c r="C7" i="37"/>
  <c r="I7" i="37" s="1"/>
  <c r="C31" i="37"/>
  <c r="H31" i="37" s="1"/>
  <c r="B58" i="37"/>
  <c r="B88" i="37"/>
  <c r="C90" i="37"/>
  <c r="B167" i="37"/>
  <c r="F171" i="37"/>
  <c r="B206" i="37"/>
  <c r="O252" i="37"/>
  <c r="C273" i="37"/>
  <c r="B300" i="37"/>
  <c r="F303" i="37"/>
  <c r="F310" i="37"/>
  <c r="C319" i="37"/>
  <c r="B328" i="37"/>
  <c r="C373" i="37"/>
  <c r="B380" i="37"/>
  <c r="E412" i="37"/>
  <c r="C418" i="37"/>
  <c r="L418" i="37" s="1"/>
  <c r="B429" i="37"/>
  <c r="F449" i="37"/>
  <c r="O566" i="37"/>
  <c r="C580" i="37"/>
  <c r="C590" i="37"/>
  <c r="J590" i="37" s="1"/>
  <c r="C661" i="37"/>
  <c r="N661" i="37" s="1"/>
  <c r="F704" i="37"/>
  <c r="F747" i="37"/>
  <c r="F20" i="37"/>
  <c r="H20" i="37" s="1"/>
  <c r="B46" i="37"/>
  <c r="C50" i="37"/>
  <c r="C84" i="37"/>
  <c r="E84" i="37" s="1"/>
  <c r="C88" i="37"/>
  <c r="F90" i="37"/>
  <c r="B104" i="37"/>
  <c r="M104" i="37" s="1"/>
  <c r="C206" i="37"/>
  <c r="M206" i="37" s="1"/>
  <c r="B262" i="37"/>
  <c r="O319" i="37"/>
  <c r="F325" i="37"/>
  <c r="B331" i="37"/>
  <c r="F354" i="37"/>
  <c r="F367" i="37"/>
  <c r="B377" i="37"/>
  <c r="C380" i="37"/>
  <c r="B409" i="37"/>
  <c r="K409" i="37" s="1"/>
  <c r="F412" i="37"/>
  <c r="L412" i="37" s="1"/>
  <c r="B515" i="37"/>
  <c r="B559" i="37"/>
  <c r="M559" i="37" s="1"/>
  <c r="O590" i="37"/>
  <c r="F597" i="37"/>
  <c r="C616" i="37"/>
  <c r="J616" i="37" s="1"/>
  <c r="B703" i="37"/>
  <c r="B720" i="37"/>
  <c r="B735" i="37"/>
  <c r="B741" i="37"/>
  <c r="C744" i="37"/>
  <c r="M744" i="37" s="1"/>
  <c r="J68" i="37"/>
  <c r="F206" i="37"/>
  <c r="F319" i="37"/>
  <c r="F380" i="37"/>
  <c r="F590" i="37"/>
  <c r="F616" i="37"/>
  <c r="F661" i="37"/>
  <c r="C703" i="37"/>
  <c r="E703" i="37" s="1"/>
  <c r="C720" i="37"/>
  <c r="E720" i="37" s="1"/>
  <c r="C735" i="37"/>
  <c r="L735" i="37" s="1"/>
  <c r="B696" i="37"/>
  <c r="I696" i="37" s="1"/>
  <c r="F744" i="37"/>
  <c r="C5" i="37"/>
  <c r="N5" i="37" s="1"/>
  <c r="C37" i="37"/>
  <c r="E37" i="37" s="1"/>
  <c r="B95" i="37"/>
  <c r="C128" i="37"/>
  <c r="E128" i="37" s="1"/>
  <c r="B172" i="37"/>
  <c r="B186" i="37"/>
  <c r="C240" i="37"/>
  <c r="B253" i="37"/>
  <c r="B294" i="37"/>
  <c r="C311" i="37"/>
  <c r="E311" i="37" s="1"/>
  <c r="B351" i="37"/>
  <c r="B626" i="37"/>
  <c r="C666" i="37"/>
  <c r="C172" i="37"/>
  <c r="L172" i="37" s="1"/>
  <c r="C186" i="37"/>
  <c r="C253" i="37"/>
  <c r="N253" i="37" s="1"/>
  <c r="F294" i="37"/>
  <c r="C626" i="37"/>
  <c r="L626" i="37" s="1"/>
  <c r="C98" i="37"/>
  <c r="N98" i="37" s="1"/>
  <c r="C102" i="37"/>
  <c r="L102" i="37" s="1"/>
  <c r="B137" i="37"/>
  <c r="F220" i="37"/>
  <c r="J220" i="37" s="1"/>
  <c r="O253" i="37"/>
  <c r="C263" i="37"/>
  <c r="K263" i="37" s="1"/>
  <c r="C287" i="37"/>
  <c r="K287" i="37" s="1"/>
  <c r="B301" i="37"/>
  <c r="B320" i="37"/>
  <c r="C326" i="37"/>
  <c r="L326" i="37" s="1"/>
  <c r="B368" i="37"/>
  <c r="B399" i="37"/>
  <c r="C413" i="37"/>
  <c r="E413" i="37" s="1"/>
  <c r="B419" i="37"/>
  <c r="B448" i="37"/>
  <c r="C524" i="37"/>
  <c r="E524" i="37" s="1"/>
  <c r="F540" i="37"/>
  <c r="C548" i="37"/>
  <c r="B567" i="37"/>
  <c r="G567" i="37" s="1"/>
  <c r="B578" i="37"/>
  <c r="B585" i="37"/>
  <c r="B617" i="37"/>
  <c r="O718" i="37"/>
  <c r="B762" i="37"/>
  <c r="F12" i="37"/>
  <c r="B89" i="37"/>
  <c r="F102" i="37"/>
  <c r="F121" i="37"/>
  <c r="L121" i="37" s="1"/>
  <c r="C137" i="37"/>
  <c r="J137" i="37" s="1"/>
  <c r="F186" i="37"/>
  <c r="G220" i="37"/>
  <c r="B237" i="37"/>
  <c r="F253" i="37"/>
  <c r="F260" i="37"/>
  <c r="C320" i="37"/>
  <c r="L320" i="37" s="1"/>
  <c r="O413" i="37"/>
  <c r="F419" i="37"/>
  <c r="O427" i="37"/>
  <c r="B437" i="37"/>
  <c r="C448" i="37"/>
  <c r="F488" i="37"/>
  <c r="F496" i="37"/>
  <c r="B516" i="37"/>
  <c r="C578" i="37"/>
  <c r="L578" i="37" s="1"/>
  <c r="F591" i="37"/>
  <c r="C617" i="37"/>
  <c r="L617" i="37" s="1"/>
  <c r="F642" i="37"/>
  <c r="B660" i="37"/>
  <c r="F725" i="37"/>
  <c r="C762" i="37"/>
  <c r="N762" i="37" s="1"/>
  <c r="I60" i="37"/>
  <c r="O137" i="37"/>
  <c r="F287" i="37"/>
  <c r="O320" i="37"/>
  <c r="F368" i="37"/>
  <c r="L368" i="37" s="1"/>
  <c r="O448" i="37"/>
  <c r="J9" i="37"/>
  <c r="B96" i="37"/>
  <c r="F137" i="37"/>
  <c r="C142" i="37"/>
  <c r="N142" i="37" s="1"/>
  <c r="C295" i="37"/>
  <c r="G295" i="37" s="1"/>
  <c r="B359" i="37"/>
  <c r="F431" i="37"/>
  <c r="C451" i="37"/>
  <c r="E451" i="37" s="1"/>
  <c r="F521" i="37"/>
  <c r="B670" i="37"/>
  <c r="B733" i="37"/>
  <c r="F762" i="37"/>
  <c r="B561" i="37"/>
  <c r="B582" i="37"/>
  <c r="M582" i="37" s="1"/>
  <c r="B589" i="37"/>
  <c r="B647" i="37"/>
  <c r="C711" i="37"/>
  <c r="H711" i="37" s="1"/>
  <c r="C736" i="37"/>
  <c r="L736" i="37" s="1"/>
  <c r="O762" i="37"/>
  <c r="O761" i="37"/>
  <c r="V759" i="37"/>
  <c r="V897" i="37"/>
  <c r="L73" i="37"/>
  <c r="K73" i="37"/>
  <c r="E280" i="37"/>
  <c r="N52" i="37"/>
  <c r="N198" i="37"/>
  <c r="C15" i="37"/>
  <c r="E15" i="37" s="1"/>
  <c r="I17" i="37"/>
  <c r="O20" i="37"/>
  <c r="B48" i="37"/>
  <c r="K48" i="37" s="1"/>
  <c r="B60" i="37"/>
  <c r="G60" i="37" s="1"/>
  <c r="C70" i="37"/>
  <c r="L70" i="37" s="1"/>
  <c r="B84" i="37"/>
  <c r="B87" i="37"/>
  <c r="C136" i="37"/>
  <c r="C149" i="37"/>
  <c r="E149" i="37" s="1"/>
  <c r="C153" i="37"/>
  <c r="G153" i="37" s="1"/>
  <c r="C160" i="37"/>
  <c r="E160" i="37" s="1"/>
  <c r="C185" i="37"/>
  <c r="M185" i="37" s="1"/>
  <c r="C188" i="37"/>
  <c r="C207" i="37"/>
  <c r="C211" i="37"/>
  <c r="N211" i="37" s="1"/>
  <c r="C231" i="37"/>
  <c r="L231" i="37" s="1"/>
  <c r="B240" i="37"/>
  <c r="C243" i="37"/>
  <c r="L243" i="37" s="1"/>
  <c r="B260" i="37"/>
  <c r="C301" i="37"/>
  <c r="L301" i="37" s="1"/>
  <c r="F311" i="37"/>
  <c r="C322" i="37"/>
  <c r="E322" i="37" s="1"/>
  <c r="C335" i="37"/>
  <c r="F365" i="37"/>
  <c r="C365" i="37"/>
  <c r="B365" i="37"/>
  <c r="L699" i="37"/>
  <c r="N699" i="37"/>
  <c r="O254" i="37"/>
  <c r="F254" i="37"/>
  <c r="F414" i="37"/>
  <c r="O414" i="37"/>
  <c r="O465" i="37"/>
  <c r="C465" i="37"/>
  <c r="B465" i="37"/>
  <c r="B13" i="37"/>
  <c r="B23" i="37"/>
  <c r="M23" i="37" s="1"/>
  <c r="B28" i="37"/>
  <c r="B42" i="37"/>
  <c r="F48" i="37"/>
  <c r="L48" i="37" s="1"/>
  <c r="M73" i="37"/>
  <c r="O81" i="37"/>
  <c r="O84" i="37"/>
  <c r="B97" i="37"/>
  <c r="C115" i="37"/>
  <c r="L115" i="37" s="1"/>
  <c r="B152" i="37"/>
  <c r="B196" i="37"/>
  <c r="F207" i="37"/>
  <c r="B209" i="37"/>
  <c r="C229" i="37"/>
  <c r="M229" i="37" s="1"/>
  <c r="O240" i="37"/>
  <c r="F243" i="37"/>
  <c r="B254" i="37"/>
  <c r="E257" i="37"/>
  <c r="B276" i="37"/>
  <c r="C293" i="37"/>
  <c r="B316" i="37"/>
  <c r="C396" i="37"/>
  <c r="E396" i="37" s="1"/>
  <c r="B396" i="37"/>
  <c r="B414" i="37"/>
  <c r="O438" i="37"/>
  <c r="B438" i="37"/>
  <c r="F465" i="37"/>
  <c r="C13" i="37"/>
  <c r="N13" i="37" s="1"/>
  <c r="J17" i="37"/>
  <c r="F33" i="37"/>
  <c r="C42" i="37"/>
  <c r="F60" i="37"/>
  <c r="H60" i="37" s="1"/>
  <c r="C97" i="37"/>
  <c r="F104" i="37"/>
  <c r="L104" i="37" s="1"/>
  <c r="F136" i="37"/>
  <c r="C152" i="37"/>
  <c r="F153" i="37"/>
  <c r="F160" i="37"/>
  <c r="C209" i="37"/>
  <c r="E209" i="37" s="1"/>
  <c r="O276" i="37"/>
  <c r="O286" i="37"/>
  <c r="F286" i="37"/>
  <c r="O343" i="37"/>
  <c r="C343" i="37"/>
  <c r="F360" i="37"/>
  <c r="B360" i="37"/>
  <c r="O406" i="37"/>
  <c r="C406" i="37"/>
  <c r="L406" i="37" s="1"/>
  <c r="C414" i="37"/>
  <c r="B494" i="37"/>
  <c r="F494" i="37"/>
  <c r="O13" i="37"/>
  <c r="E23" i="37"/>
  <c r="F28" i="37"/>
  <c r="O42" i="37"/>
  <c r="O97" i="37"/>
  <c r="I104" i="37"/>
  <c r="C134" i="37"/>
  <c r="B193" i="37"/>
  <c r="B247" i="37"/>
  <c r="C247" i="37"/>
  <c r="N247" i="37" s="1"/>
  <c r="C250" i="37"/>
  <c r="I250" i="37" s="1"/>
  <c r="B286" i="37"/>
  <c r="J309" i="37"/>
  <c r="B327" i="37"/>
  <c r="F329" i="37"/>
  <c r="B338" i="37"/>
  <c r="B343" i="37"/>
  <c r="C353" i="37"/>
  <c r="E353" i="37" s="1"/>
  <c r="F353" i="37"/>
  <c r="C355" i="37"/>
  <c r="K355" i="37" s="1"/>
  <c r="B355" i="37"/>
  <c r="C379" i="37"/>
  <c r="F379" i="37"/>
  <c r="O379" i="37"/>
  <c r="B379" i="37"/>
  <c r="F393" i="37"/>
  <c r="C393" i="37"/>
  <c r="B393" i="37"/>
  <c r="B403" i="37"/>
  <c r="B417" i="37"/>
  <c r="C8" i="37"/>
  <c r="N8" i="37" s="1"/>
  <c r="F13" i="37"/>
  <c r="B21" i="37"/>
  <c r="B31" i="37"/>
  <c r="O37" i="37"/>
  <c r="F42" i="37"/>
  <c r="C58" i="37"/>
  <c r="N58" i="37" s="1"/>
  <c r="B68" i="37"/>
  <c r="G68" i="37" s="1"/>
  <c r="C94" i="37"/>
  <c r="H94" i="37" s="1"/>
  <c r="O96" i="37"/>
  <c r="K104" i="37"/>
  <c r="O206" i="37"/>
  <c r="F229" i="37"/>
  <c r="O247" i="37"/>
  <c r="F250" i="37"/>
  <c r="B261" i="37"/>
  <c r="F293" i="37"/>
  <c r="C327" i="37"/>
  <c r="I327" i="37" s="1"/>
  <c r="C338" i="37"/>
  <c r="J338" i="37" s="1"/>
  <c r="C341" i="37"/>
  <c r="E341" i="37" s="1"/>
  <c r="O353" i="37"/>
  <c r="F355" i="37"/>
  <c r="C403" i="37"/>
  <c r="L403" i="37" s="1"/>
  <c r="C417" i="37"/>
  <c r="E417" i="37" s="1"/>
  <c r="G582" i="37"/>
  <c r="C651" i="37"/>
  <c r="E651" i="37" s="1"/>
  <c r="B651" i="37"/>
  <c r="F683" i="37"/>
  <c r="O683" i="37"/>
  <c r="B683" i="37"/>
  <c r="F97" i="37"/>
  <c r="F152" i="37"/>
  <c r="O317" i="37"/>
  <c r="O334" i="37"/>
  <c r="C371" i="37"/>
  <c r="F371" i="37"/>
  <c r="O371" i="37"/>
  <c r="O397" i="37"/>
  <c r="C397" i="37"/>
  <c r="M397" i="37" s="1"/>
  <c r="B397" i="37"/>
  <c r="I23" i="37"/>
  <c r="C34" i="37"/>
  <c r="N34" i="37" s="1"/>
  <c r="B36" i="37"/>
  <c r="C40" i="37"/>
  <c r="C49" i="37"/>
  <c r="G49" i="37" s="1"/>
  <c r="M60" i="37"/>
  <c r="B145" i="37"/>
  <c r="C165" i="37"/>
  <c r="E165" i="37" s="1"/>
  <c r="B197" i="37"/>
  <c r="B236" i="37"/>
  <c r="C239" i="37"/>
  <c r="I239" i="37" s="1"/>
  <c r="B241" i="37"/>
  <c r="C258" i="37"/>
  <c r="L258" i="37" s="1"/>
  <c r="B270" i="37"/>
  <c r="F277" i="37"/>
  <c r="B279" i="37"/>
  <c r="G279" i="37" s="1"/>
  <c r="B317" i="37"/>
  <c r="B334" i="37"/>
  <c r="F336" i="37"/>
  <c r="C336" i="37"/>
  <c r="M336" i="37" s="1"/>
  <c r="C364" i="37"/>
  <c r="E364" i="37" s="1"/>
  <c r="B371" i="37"/>
  <c r="F386" i="37"/>
  <c r="O386" i="37"/>
  <c r="F394" i="37"/>
  <c r="F397" i="37"/>
  <c r="F415" i="37"/>
  <c r="O415" i="37"/>
  <c r="B415" i="37"/>
  <c r="F534" i="37"/>
  <c r="C534" i="37"/>
  <c r="B534" i="37"/>
  <c r="F663" i="37"/>
  <c r="C663" i="37"/>
  <c r="E663" i="37" s="1"/>
  <c r="B663" i="37"/>
  <c r="J23" i="37"/>
  <c r="B29" i="37"/>
  <c r="F34" i="37"/>
  <c r="C36" i="37"/>
  <c r="J36" i="37" s="1"/>
  <c r="F40" i="37"/>
  <c r="O49" i="37"/>
  <c r="E68" i="37"/>
  <c r="C78" i="37"/>
  <c r="B92" i="37"/>
  <c r="B113" i="37"/>
  <c r="C145" i="37"/>
  <c r="J145" i="37" s="1"/>
  <c r="C147" i="37"/>
  <c r="F165" i="37"/>
  <c r="B168" i="37"/>
  <c r="C187" i="37"/>
  <c r="E187" i="37" s="1"/>
  <c r="C197" i="37"/>
  <c r="B210" i="37"/>
  <c r="B221" i="37"/>
  <c r="O236" i="37"/>
  <c r="O239" i="37"/>
  <c r="C241" i="37"/>
  <c r="F258" i="37"/>
  <c r="F270" i="37"/>
  <c r="C317" i="37"/>
  <c r="E317" i="37" s="1"/>
  <c r="C334" i="37"/>
  <c r="I334" i="37" s="1"/>
  <c r="B336" i="37"/>
  <c r="C350" i="37"/>
  <c r="B364" i="37"/>
  <c r="C394" i="37"/>
  <c r="J394" i="37" s="1"/>
  <c r="O436" i="37"/>
  <c r="B436" i="37"/>
  <c r="C623" i="37"/>
  <c r="E623" i="37" s="1"/>
  <c r="B623" i="37"/>
  <c r="F4" i="37"/>
  <c r="C16" i="37"/>
  <c r="E16" i="37" s="1"/>
  <c r="C29" i="37"/>
  <c r="O36" i="37"/>
  <c r="F49" i="37"/>
  <c r="F68" i="37"/>
  <c r="H68" i="37" s="1"/>
  <c r="C92" i="37"/>
  <c r="K92" i="37" s="1"/>
  <c r="C100" i="37"/>
  <c r="E100" i="37" s="1"/>
  <c r="B105" i="37"/>
  <c r="C113" i="37"/>
  <c r="C141" i="37"/>
  <c r="O145" i="37"/>
  <c r="B159" i="37"/>
  <c r="B162" i="37"/>
  <c r="C168" i="37"/>
  <c r="M168" i="37" s="1"/>
  <c r="B170" i="37"/>
  <c r="C184" i="37"/>
  <c r="F187" i="37"/>
  <c r="B194" i="37"/>
  <c r="O197" i="37"/>
  <c r="C202" i="37"/>
  <c r="C210" i="37"/>
  <c r="K210" i="37" s="1"/>
  <c r="C221" i="37"/>
  <c r="F239" i="37"/>
  <c r="C277" i="37"/>
  <c r="K277" i="37" s="1"/>
  <c r="E279" i="37"/>
  <c r="J282" i="37"/>
  <c r="B308" i="37"/>
  <c r="F317" i="37"/>
  <c r="J361" i="37"/>
  <c r="O364" i="37"/>
  <c r="O394" i="37"/>
  <c r="O569" i="37"/>
  <c r="C569" i="37"/>
  <c r="O29" i="37"/>
  <c r="B47" i="37"/>
  <c r="C66" i="37"/>
  <c r="I66" i="37" s="1"/>
  <c r="B72" i="37"/>
  <c r="I72" i="37" s="1"/>
  <c r="B83" i="37"/>
  <c r="O92" i="37"/>
  <c r="C105" i="37"/>
  <c r="N105" i="37" s="1"/>
  <c r="B112" i="37"/>
  <c r="O113" i="37"/>
  <c r="B129" i="37"/>
  <c r="B138" i="37"/>
  <c r="F141" i="37"/>
  <c r="B144" i="37"/>
  <c r="C162" i="37"/>
  <c r="E162" i="37" s="1"/>
  <c r="O168" i="37"/>
  <c r="C170" i="37"/>
  <c r="E170" i="37" s="1"/>
  <c r="O184" i="37"/>
  <c r="B208" i="37"/>
  <c r="F210" i="37"/>
  <c r="B213" i="37"/>
  <c r="B220" i="37"/>
  <c r="K220" i="37" s="1"/>
  <c r="O221" i="37"/>
  <c r="B245" i="37"/>
  <c r="F263" i="37"/>
  <c r="F279" i="37"/>
  <c r="O308" i="37"/>
  <c r="F334" i="37"/>
  <c r="F350" i="37"/>
  <c r="O374" i="37"/>
  <c r="C374" i="37"/>
  <c r="O398" i="37"/>
  <c r="F398" i="37"/>
  <c r="J398" i="37" s="1"/>
  <c r="C398" i="37"/>
  <c r="F16" i="37"/>
  <c r="K24" i="37"/>
  <c r="F29" i="37"/>
  <c r="F36" i="37"/>
  <c r="C38" i="37"/>
  <c r="E38" i="37" s="1"/>
  <c r="C47" i="37"/>
  <c r="H47" i="37" s="1"/>
  <c r="B52" i="37"/>
  <c r="K52" i="37" s="1"/>
  <c r="I68" i="37"/>
  <c r="C83" i="37"/>
  <c r="I83" i="37" s="1"/>
  <c r="C112" i="37"/>
  <c r="B121" i="37"/>
  <c r="M121" i="37" s="1"/>
  <c r="C129" i="37"/>
  <c r="C138" i="37"/>
  <c r="C144" i="37"/>
  <c r="N144" i="37" s="1"/>
  <c r="F145" i="37"/>
  <c r="L145" i="37" s="1"/>
  <c r="O170" i="37"/>
  <c r="F184" i="37"/>
  <c r="F197" i="37"/>
  <c r="C208" i="37"/>
  <c r="C213" i="37"/>
  <c r="B216" i="37"/>
  <c r="B224" i="37"/>
  <c r="C245" i="37"/>
  <c r="B266" i="37"/>
  <c r="M266" i="37" s="1"/>
  <c r="B269" i="37"/>
  <c r="B271" i="37"/>
  <c r="M271" i="37" s="1"/>
  <c r="I279" i="37"/>
  <c r="B321" i="37"/>
  <c r="F323" i="37"/>
  <c r="C328" i="37"/>
  <c r="I328" i="37" s="1"/>
  <c r="F364" i="37"/>
  <c r="B374" i="37"/>
  <c r="B398" i="37"/>
  <c r="B431" i="37"/>
  <c r="B471" i="37"/>
  <c r="G471" i="37" s="1"/>
  <c r="C471" i="37"/>
  <c r="F83" i="37"/>
  <c r="O112" i="37"/>
  <c r="F168" i="37"/>
  <c r="E220" i="37"/>
  <c r="F221" i="37"/>
  <c r="C269" i="37"/>
  <c r="H269" i="37" s="1"/>
  <c r="O302" i="37"/>
  <c r="F302" i="37"/>
  <c r="F333" i="37"/>
  <c r="B333" i="37"/>
  <c r="F408" i="37"/>
  <c r="L408" i="37" s="1"/>
  <c r="B408" i="37"/>
  <c r="O425" i="37"/>
  <c r="C425" i="37"/>
  <c r="I425" i="37" s="1"/>
  <c r="B425" i="37"/>
  <c r="F428" i="37"/>
  <c r="J428" i="37" s="1"/>
  <c r="O447" i="37"/>
  <c r="B447" i="37"/>
  <c r="F500" i="37"/>
  <c r="O500" i="37"/>
  <c r="C500" i="37"/>
  <c r="E500" i="37" s="1"/>
  <c r="B500" i="37"/>
  <c r="B520" i="37"/>
  <c r="F520" i="37"/>
  <c r="C520" i="37"/>
  <c r="O722" i="37"/>
  <c r="B722" i="37"/>
  <c r="I9" i="37"/>
  <c r="F170" i="37"/>
  <c r="C357" i="37"/>
  <c r="E357" i="37" s="1"/>
  <c r="F384" i="37"/>
  <c r="C384" i="37"/>
  <c r="E384" i="37" s="1"/>
  <c r="B384" i="37"/>
  <c r="F388" i="37"/>
  <c r="O388" i="37"/>
  <c r="C388" i="37"/>
  <c r="H388" i="37" s="1"/>
  <c r="H395" i="37"/>
  <c r="F395" i="37"/>
  <c r="L395" i="37" s="1"/>
  <c r="E395" i="37"/>
  <c r="F425" i="37"/>
  <c r="B428" i="37"/>
  <c r="M428" i="37" s="1"/>
  <c r="F447" i="37"/>
  <c r="F457" i="37"/>
  <c r="C457" i="37"/>
  <c r="L457" i="37" s="1"/>
  <c r="B457" i="37"/>
  <c r="F464" i="37"/>
  <c r="B464" i="37"/>
  <c r="O464" i="37"/>
  <c r="C464" i="37"/>
  <c r="O489" i="37"/>
  <c r="F489" i="37"/>
  <c r="C489" i="37"/>
  <c r="F636" i="37"/>
  <c r="O636" i="37"/>
  <c r="B636" i="37"/>
  <c r="C636" i="37"/>
  <c r="O708" i="37"/>
  <c r="C708" i="37"/>
  <c r="G708" i="37" s="1"/>
  <c r="B708" i="37"/>
  <c r="C342" i="37"/>
  <c r="H342" i="37" s="1"/>
  <c r="B342" i="37"/>
  <c r="B346" i="37"/>
  <c r="F392" i="37"/>
  <c r="H392" i="37" s="1"/>
  <c r="O411" i="37"/>
  <c r="C411" i="37"/>
  <c r="E411" i="37" s="1"/>
  <c r="F505" i="37"/>
  <c r="O505" i="37"/>
  <c r="C505" i="37"/>
  <c r="B593" i="37"/>
  <c r="C593" i="37"/>
  <c r="O9" i="37"/>
  <c r="B15" i="37"/>
  <c r="B20" i="37"/>
  <c r="I20" i="37" s="1"/>
  <c r="B136" i="37"/>
  <c r="B160" i="37"/>
  <c r="C346" i="37"/>
  <c r="C362" i="37"/>
  <c r="B362" i="37"/>
  <c r="C375" i="37"/>
  <c r="K375" i="37" s="1"/>
  <c r="B392" i="37"/>
  <c r="I392" i="37" s="1"/>
  <c r="F614" i="37"/>
  <c r="B503" i="37"/>
  <c r="B511" i="37"/>
  <c r="C511" i="37"/>
  <c r="I511" i="37" s="1"/>
  <c r="O547" i="37"/>
  <c r="F650" i="37"/>
  <c r="C650" i="37"/>
  <c r="L650" i="37" s="1"/>
  <c r="B694" i="37"/>
  <c r="F694" i="37"/>
  <c r="O694" i="37"/>
  <c r="C694" i="37"/>
  <c r="F728" i="37"/>
  <c r="O728" i="37"/>
  <c r="C728" i="37"/>
  <c r="E728" i="37" s="1"/>
  <c r="B728" i="37"/>
  <c r="B373" i="37"/>
  <c r="F413" i="37"/>
  <c r="F448" i="37"/>
  <c r="C503" i="37"/>
  <c r="O511" i="37"/>
  <c r="B526" i="37"/>
  <c r="B547" i="37"/>
  <c r="K559" i="37"/>
  <c r="B603" i="37"/>
  <c r="F603" i="37"/>
  <c r="C603" i="37"/>
  <c r="H603" i="37" s="1"/>
  <c r="C614" i="37"/>
  <c r="I614" i="37" s="1"/>
  <c r="B650" i="37"/>
  <c r="O503" i="37"/>
  <c r="F511" i="37"/>
  <c r="C547" i="37"/>
  <c r="K547" i="37" s="1"/>
  <c r="O603" i="37"/>
  <c r="B634" i="37"/>
  <c r="O716" i="37"/>
  <c r="C716" i="37"/>
  <c r="M716" i="37" s="1"/>
  <c r="B716" i="37"/>
  <c r="F400" i="37"/>
  <c r="F410" i="37"/>
  <c r="H410" i="37" s="1"/>
  <c r="B487" i="37"/>
  <c r="C487" i="37"/>
  <c r="E487" i="37" s="1"/>
  <c r="C495" i="37"/>
  <c r="K495" i="37" s="1"/>
  <c r="B498" i="37"/>
  <c r="F503" i="37"/>
  <c r="B518" i="37"/>
  <c r="F526" i="37"/>
  <c r="N526" i="37" s="1"/>
  <c r="F532" i="37"/>
  <c r="C538" i="37"/>
  <c r="H538" i="37" s="1"/>
  <c r="C557" i="37"/>
  <c r="E557" i="37" s="1"/>
  <c r="B563" i="37"/>
  <c r="I563" i="37" s="1"/>
  <c r="C634" i="37"/>
  <c r="H634" i="37" s="1"/>
  <c r="C690" i="37"/>
  <c r="K690" i="37" s="1"/>
  <c r="F726" i="37"/>
  <c r="O726" i="37"/>
  <c r="O354" i="37"/>
  <c r="F369" i="37"/>
  <c r="H369" i="37" s="1"/>
  <c r="O380" i="37"/>
  <c r="C400" i="37"/>
  <c r="C432" i="37"/>
  <c r="F455" i="37"/>
  <c r="F557" i="37"/>
  <c r="F583" i="37"/>
  <c r="O583" i="37"/>
  <c r="B595" i="37"/>
  <c r="K595" i="37" s="1"/>
  <c r="F595" i="37"/>
  <c r="N595" i="37" s="1"/>
  <c r="B604" i="37"/>
  <c r="K604" i="37" s="1"/>
  <c r="O611" i="37"/>
  <c r="C611" i="37"/>
  <c r="E611" i="37" s="1"/>
  <c r="F679" i="37"/>
  <c r="C679" i="37"/>
  <c r="E679" i="37" s="1"/>
  <c r="B679" i="37"/>
  <c r="C712" i="37"/>
  <c r="J712" i="37" s="1"/>
  <c r="B712" i="37"/>
  <c r="C443" i="37"/>
  <c r="F621" i="37"/>
  <c r="O621" i="37"/>
  <c r="F641" i="37"/>
  <c r="O641" i="37"/>
  <c r="C641" i="37"/>
  <c r="I641" i="37" s="1"/>
  <c r="F675" i="37"/>
  <c r="O675" i="37"/>
  <c r="B675" i="37"/>
  <c r="B443" i="37"/>
  <c r="B519" i="37"/>
  <c r="B545" i="37"/>
  <c r="C550" i="37"/>
  <c r="C554" i="37"/>
  <c r="F581" i="37"/>
  <c r="E604" i="37"/>
  <c r="B621" i="37"/>
  <c r="C635" i="37"/>
  <c r="M635" i="37" s="1"/>
  <c r="B635" i="37"/>
  <c r="C659" i="37"/>
  <c r="K659" i="37" s="1"/>
  <c r="F687" i="37"/>
  <c r="B687" i="37"/>
  <c r="F723" i="37"/>
  <c r="O723" i="37"/>
  <c r="F456" i="37"/>
  <c r="B491" i="37"/>
  <c r="C519" i="37"/>
  <c r="E519" i="37" s="1"/>
  <c r="B542" i="37"/>
  <c r="G542" i="37" s="1"/>
  <c r="C579" i="37"/>
  <c r="B581" i="37"/>
  <c r="E587" i="37"/>
  <c r="J592" i="37"/>
  <c r="I592" i="37"/>
  <c r="C621" i="37"/>
  <c r="O635" i="37"/>
  <c r="F644" i="37"/>
  <c r="O644" i="37"/>
  <c r="O659" i="37"/>
  <c r="F684" i="37"/>
  <c r="O684" i="37"/>
  <c r="C684" i="37"/>
  <c r="C687" i="37"/>
  <c r="E687" i="37" s="1"/>
  <c r="B723" i="37"/>
  <c r="O740" i="37"/>
  <c r="C740" i="37"/>
  <c r="E740" i="37" s="1"/>
  <c r="B740" i="37"/>
  <c r="M412" i="37"/>
  <c r="F427" i="37"/>
  <c r="B456" i="37"/>
  <c r="C467" i="37"/>
  <c r="L467" i="37" s="1"/>
  <c r="B481" i="37"/>
  <c r="I481" i="37" s="1"/>
  <c r="O484" i="37"/>
  <c r="O519" i="37"/>
  <c r="L522" i="37"/>
  <c r="F539" i="37"/>
  <c r="C539" i="37"/>
  <c r="F542" i="37"/>
  <c r="H542" i="37" s="1"/>
  <c r="E577" i="37"/>
  <c r="C581" i="37"/>
  <c r="N581" i="37" s="1"/>
  <c r="O584" i="37"/>
  <c r="B584" i="37"/>
  <c r="F612" i="37"/>
  <c r="F635" i="37"/>
  <c r="C644" i="37"/>
  <c r="E644" i="37" s="1"/>
  <c r="C648" i="37"/>
  <c r="F676" i="37"/>
  <c r="C676" i="37"/>
  <c r="B676" i="37"/>
  <c r="B684" i="37"/>
  <c r="B319" i="37"/>
  <c r="B326" i="37"/>
  <c r="B358" i="37"/>
  <c r="F443" i="37"/>
  <c r="B453" i="37"/>
  <c r="C456" i="37"/>
  <c r="E456" i="37" s="1"/>
  <c r="B479" i="37"/>
  <c r="C479" i="37"/>
  <c r="C496" i="37"/>
  <c r="B501" i="37"/>
  <c r="C516" i="37"/>
  <c r="M516" i="37" s="1"/>
  <c r="F519" i="37"/>
  <c r="B522" i="37"/>
  <c r="M522" i="37" s="1"/>
  <c r="B527" i="37"/>
  <c r="B539" i="37"/>
  <c r="C546" i="37"/>
  <c r="L546" i="37" s="1"/>
  <c r="B577" i="37"/>
  <c r="G577" i="37" s="1"/>
  <c r="F579" i="37"/>
  <c r="C584" i="37"/>
  <c r="E584" i="37" s="1"/>
  <c r="C601" i="37"/>
  <c r="N601" i="37" s="1"/>
  <c r="O676" i="37"/>
  <c r="F731" i="37"/>
  <c r="O731" i="37"/>
  <c r="B731" i="37"/>
  <c r="F531" i="37"/>
  <c r="M567" i="37"/>
  <c r="O653" i="37"/>
  <c r="C653" i="37"/>
  <c r="B653" i="37"/>
  <c r="F707" i="37"/>
  <c r="O707" i="37"/>
  <c r="B707" i="37"/>
  <c r="C737" i="37"/>
  <c r="I737" i="37" s="1"/>
  <c r="B737" i="37"/>
  <c r="F424" i="37"/>
  <c r="O435" i="37"/>
  <c r="B463" i="37"/>
  <c r="F492" i="37"/>
  <c r="B492" i="37"/>
  <c r="B510" i="37"/>
  <c r="F514" i="37"/>
  <c r="B514" i="37"/>
  <c r="B531" i="37"/>
  <c r="F584" i="37"/>
  <c r="B599" i="37"/>
  <c r="F618" i="37"/>
  <c r="C618" i="37"/>
  <c r="I618" i="37" s="1"/>
  <c r="B618" i="37"/>
  <c r="F653" i="37"/>
  <c r="J653" i="37" s="1"/>
  <c r="O681" i="37"/>
  <c r="F688" i="37"/>
  <c r="B413" i="37"/>
  <c r="B424" i="37"/>
  <c r="B435" i="37"/>
  <c r="F440" i="37"/>
  <c r="B440" i="37"/>
  <c r="B451" i="37"/>
  <c r="F479" i="37"/>
  <c r="C492" i="37"/>
  <c r="L492" i="37" s="1"/>
  <c r="F510" i="37"/>
  <c r="C514" i="37"/>
  <c r="L514" i="37" s="1"/>
  <c r="C531" i="37"/>
  <c r="M531" i="37" s="1"/>
  <c r="K567" i="37"/>
  <c r="C673" i="37"/>
  <c r="L673" i="37" s="1"/>
  <c r="C681" i="37"/>
  <c r="F685" i="37"/>
  <c r="O685" i="37"/>
  <c r="C685" i="37"/>
  <c r="I685" i="37" s="1"/>
  <c r="C688" i="37"/>
  <c r="E688" i="37" s="1"/>
  <c r="C732" i="37"/>
  <c r="G732" i="37" s="1"/>
  <c r="J582" i="37"/>
  <c r="B698" i="37"/>
  <c r="B711" i="37"/>
  <c r="F743" i="37"/>
  <c r="L559" i="37"/>
  <c r="F696" i="37"/>
  <c r="J696" i="37" s="1"/>
  <c r="B751" i="37"/>
  <c r="B671" i="37"/>
  <c r="G696" i="37"/>
  <c r="F719" i="37"/>
  <c r="C751" i="37"/>
  <c r="O751" i="37"/>
  <c r="C553" i="37"/>
  <c r="I559" i="37"/>
  <c r="F578" i="37"/>
  <c r="O598" i="37"/>
  <c r="C600" i="37"/>
  <c r="J600" i="37" s="1"/>
  <c r="C695" i="37"/>
  <c r="H695" i="37" s="1"/>
  <c r="K696" i="37"/>
  <c r="C754" i="37"/>
  <c r="I724" i="37"/>
  <c r="B724" i="37"/>
  <c r="B727" i="37"/>
  <c r="B744" i="37"/>
  <c r="C639" i="37"/>
  <c r="G639" i="37" s="1"/>
  <c r="C655" i="37"/>
  <c r="V961" i="37"/>
  <c r="V969" i="37"/>
  <c r="V977" i="37"/>
  <c r="V985" i="37"/>
  <c r="V924" i="37"/>
  <c r="V932" i="37"/>
  <c r="V940" i="37"/>
  <c r="V948" i="37"/>
  <c r="C758" i="37"/>
  <c r="N758" i="37" s="1"/>
  <c r="V120" i="37"/>
  <c r="B757" i="37"/>
  <c r="V968" i="37"/>
  <c r="V984" i="37"/>
  <c r="V795" i="37"/>
  <c r="V875" i="37"/>
  <c r="V891" i="37"/>
  <c r="V899" i="37"/>
  <c r="V907" i="37"/>
  <c r="V915" i="37"/>
  <c r="V805" i="37"/>
  <c r="V1001" i="37"/>
  <c r="V1017" i="37"/>
  <c r="V1033" i="37"/>
  <c r="C757" i="37"/>
  <c r="V1049" i="37"/>
  <c r="V972" i="37"/>
  <c r="V7" i="37"/>
  <c r="V52" i="37"/>
  <c r="V93" i="37"/>
  <c r="O6" i="37"/>
  <c r="V62" i="37"/>
  <c r="V141" i="37"/>
  <c r="V980" i="37"/>
  <c r="V516" i="37"/>
  <c r="V765" i="37"/>
  <c r="V786" i="37"/>
  <c r="V802" i="37"/>
  <c r="V857" i="37"/>
  <c r="V678" i="37"/>
  <c r="V727" i="37"/>
  <c r="V730" i="37"/>
  <c r="V736" i="37"/>
  <c r="V739" i="37"/>
  <c r="V743" i="37"/>
  <c r="V1000" i="37"/>
  <c r="V988" i="37"/>
  <c r="B7" i="1"/>
  <c r="V814" i="37"/>
  <c r="V903" i="37"/>
  <c r="V60" i="37"/>
  <c r="V748" i="37"/>
  <c r="V921" i="37"/>
  <c r="V937" i="37"/>
  <c r="V945" i="37"/>
  <c r="V953" i="37"/>
  <c r="V634" i="37"/>
  <c r="V657" i="37"/>
  <c r="V674" i="37"/>
  <c r="V676" i="37"/>
  <c r="V679" i="37"/>
  <c r="V695" i="37"/>
  <c r="V700" i="37"/>
  <c r="V878" i="37"/>
  <c r="V51" i="37"/>
  <c r="V215" i="37"/>
  <c r="V257" i="37"/>
  <c r="V264" i="37"/>
  <c r="V346" i="37"/>
  <c r="V349" i="37"/>
  <c r="V1046" i="37"/>
  <c r="V331" i="37"/>
  <c r="V354" i="37"/>
  <c r="V673" i="37"/>
  <c r="V810" i="37"/>
  <c r="V686" i="37"/>
  <c r="V733" i="37"/>
  <c r="V864" i="37"/>
  <c r="V872" i="37"/>
  <c r="V936" i="37"/>
  <c r="V952" i="37"/>
  <c r="V381" i="37"/>
  <c r="V317" i="37"/>
  <c r="V319" i="37"/>
  <c r="V339" i="37"/>
  <c r="V421" i="37"/>
  <c r="V443" i="37"/>
  <c r="V43" i="37"/>
  <c r="V45" i="37"/>
  <c r="V68" i="37"/>
  <c r="V88" i="37"/>
  <c r="V125" i="37"/>
  <c r="V154" i="37"/>
  <c r="V396" i="37"/>
  <c r="V410" i="37"/>
  <c r="V327" i="37"/>
  <c r="V712" i="37"/>
  <c r="V821" i="37"/>
  <c r="V885" i="37"/>
  <c r="V925" i="37"/>
  <c r="V933" i="37"/>
  <c r="V941" i="37"/>
  <c r="V310" i="37"/>
  <c r="V334" i="37"/>
  <c r="V376" i="37"/>
  <c r="V8" i="37"/>
  <c r="V26" i="37"/>
  <c r="V61" i="37"/>
  <c r="V194" i="37"/>
  <c r="V608" i="37"/>
  <c r="V616" i="37"/>
  <c r="V1007" i="37"/>
  <c r="V1015" i="37"/>
  <c r="V1023" i="37"/>
  <c r="V69" i="37"/>
  <c r="V83" i="37"/>
  <c r="V86" i="37"/>
  <c r="V148" i="37"/>
  <c r="V191" i="37"/>
  <c r="V230" i="37"/>
  <c r="C755" i="37"/>
  <c r="H755" i="37" s="1"/>
  <c r="V1016" i="37"/>
  <c r="V1032" i="37"/>
  <c r="V344" i="37"/>
  <c r="V357" i="37"/>
  <c r="V567" i="37"/>
  <c r="V36" i="37"/>
  <c r="V121" i="37"/>
  <c r="V173" i="37"/>
  <c r="V192" i="37"/>
  <c r="V237" i="37"/>
  <c r="V253" i="37"/>
  <c r="V447" i="37"/>
  <c r="V485" i="37"/>
  <c r="V488" i="37"/>
  <c r="V518" i="37"/>
  <c r="V1042" i="37"/>
  <c r="V610" i="37"/>
  <c r="V629" i="37"/>
  <c r="V17" i="37"/>
  <c r="V146" i="37"/>
  <c r="V186" i="37"/>
  <c r="V851" i="37"/>
  <c r="V1036" i="37"/>
  <c r="V1052" i="37"/>
  <c r="V169" i="37"/>
  <c r="V260" i="37"/>
  <c r="V498" i="37"/>
  <c r="V11" i="37"/>
  <c r="V23" i="37"/>
  <c r="V44" i="37"/>
  <c r="V119" i="37"/>
  <c r="V150" i="37"/>
  <c r="V153" i="37"/>
  <c r="V160" i="37"/>
  <c r="V180" i="37"/>
  <c r="V185" i="37"/>
  <c r="V250" i="37"/>
  <c r="V463" i="37"/>
  <c r="V661" i="37"/>
  <c r="V30" i="37"/>
  <c r="V256" i="37"/>
  <c r="V300" i="37"/>
  <c r="V373" i="37"/>
  <c r="V512" i="37"/>
  <c r="V598" i="37"/>
  <c r="V719" i="37"/>
  <c r="V728" i="37"/>
  <c r="V231" i="37"/>
  <c r="V3" i="37"/>
  <c r="V5" i="37"/>
  <c r="V70" i="37"/>
  <c r="V149" i="37"/>
  <c r="V196" i="37"/>
  <c r="V274" i="37"/>
  <c r="V324" i="37"/>
  <c r="V348" i="37"/>
  <c r="V391" i="37"/>
  <c r="V626" i="37"/>
  <c r="V848" i="37"/>
  <c r="V77" i="37"/>
  <c r="V91" i="37"/>
  <c r="V183" i="37"/>
  <c r="V254" i="37"/>
  <c r="V261" i="37"/>
  <c r="V435" i="37"/>
  <c r="V462" i="37"/>
  <c r="V520" i="37"/>
  <c r="V555" i="37"/>
  <c r="V563" i="37"/>
  <c r="V690" i="37"/>
  <c r="V912" i="37"/>
  <c r="Q13" i="1"/>
  <c r="V65" i="37"/>
  <c r="V128" i="37"/>
  <c r="V130" i="37"/>
  <c r="V143" i="37"/>
  <c r="V380" i="37"/>
  <c r="V397" i="37"/>
  <c r="V420" i="37"/>
  <c r="V445" i="37"/>
  <c r="V741" i="37"/>
  <c r="V850" i="37"/>
  <c r="V108" i="37"/>
  <c r="V236" i="37"/>
  <c r="V241" i="37"/>
  <c r="V247" i="37"/>
  <c r="V326" i="37"/>
  <c r="V372" i="37"/>
  <c r="V459" i="37"/>
  <c r="V533" i="37"/>
  <c r="V536" i="37"/>
  <c r="V556" i="37"/>
  <c r="V621" i="37"/>
  <c r="V703" i="37"/>
  <c r="V971" i="37"/>
  <c r="V979" i="37"/>
  <c r="V987" i="37"/>
  <c r="V19" i="37"/>
  <c r="V135" i="37"/>
  <c r="V152" i="37"/>
  <c r="V206" i="37"/>
  <c r="V293" i="37"/>
  <c r="V303" i="37"/>
  <c r="V330" i="37"/>
  <c r="V425" i="37"/>
  <c r="V514" i="37"/>
  <c r="V519" i="37"/>
  <c r="V539" i="37"/>
  <c r="B754" i="37"/>
  <c r="V816" i="37"/>
  <c r="V172" i="37"/>
  <c r="V228" i="37"/>
  <c r="V245" i="37"/>
  <c r="V265" i="37"/>
  <c r="V288" i="37"/>
  <c r="V355" i="37"/>
  <c r="V379" i="37"/>
  <c r="V387" i="37"/>
  <c r="V487" i="37"/>
  <c r="V508" i="37"/>
  <c r="V553" i="37"/>
  <c r="V614" i="37"/>
  <c r="V628" i="37"/>
  <c r="V643" i="37"/>
  <c r="V696" i="37"/>
  <c r="F754" i="37"/>
  <c r="V12" i="37"/>
  <c r="V22" i="37"/>
  <c r="V29" i="37"/>
  <c r="V32" i="37"/>
  <c r="V114" i="37"/>
  <c r="V138" i="37"/>
  <c r="V177" i="37"/>
  <c r="V199" i="37"/>
  <c r="V248" i="37"/>
  <c r="V278" i="37"/>
  <c r="V292" i="37"/>
  <c r="V392" i="37"/>
  <c r="V449" i="37"/>
  <c r="V537" i="37"/>
  <c r="V668" i="37"/>
  <c r="V682" i="37"/>
  <c r="V684" i="37"/>
  <c r="V770" i="37"/>
  <c r="V853" i="37"/>
  <c r="V861" i="37"/>
  <c r="V949" i="37"/>
  <c r="V965" i="37"/>
  <c r="V973" i="37"/>
  <c r="V981" i="37"/>
  <c r="V989" i="37"/>
  <c r="V997" i="37"/>
  <c r="V465" i="37"/>
  <c r="V467" i="37"/>
  <c r="V492" i="37"/>
  <c r="V619" i="37"/>
  <c r="V631" i="37"/>
  <c r="V711" i="37"/>
  <c r="V715" i="37"/>
  <c r="V721" i="37"/>
  <c r="O43" i="37"/>
  <c r="O22" i="37"/>
  <c r="O366" i="37"/>
  <c r="O14" i="37"/>
  <c r="O38" i="37"/>
  <c r="O41" i="37"/>
  <c r="O30" i="37"/>
  <c r="O161" i="37"/>
  <c r="O89" i="37"/>
  <c r="V15" i="37"/>
  <c r="V81" i="37"/>
  <c r="V181" i="37"/>
  <c r="V209" i="37"/>
  <c r="V388" i="37"/>
  <c r="V622" i="37"/>
  <c r="V840" i="37"/>
  <c r="V46" i="37"/>
  <c r="V106" i="37"/>
  <c r="V276" i="37"/>
  <c r="V352" i="37"/>
  <c r="V457" i="37"/>
  <c r="V502" i="37"/>
  <c r="V522" i="37"/>
  <c r="V524" i="37"/>
  <c r="V532" i="37"/>
  <c r="V550" i="37"/>
  <c r="V607" i="37"/>
  <c r="V646" i="37"/>
  <c r="V701" i="37"/>
  <c r="V708" i="37"/>
  <c r="V856" i="37"/>
  <c r="V888" i="37"/>
  <c r="V904" i="37"/>
  <c r="V110" i="37"/>
  <c r="V151" i="37"/>
  <c r="V222" i="37"/>
  <c r="V280" i="37"/>
  <c r="V395" i="37"/>
  <c r="V417" i="37"/>
  <c r="V615" i="37"/>
  <c r="V620" i="37"/>
  <c r="V681" i="37"/>
  <c r="V732" i="37"/>
  <c r="V905" i="37"/>
  <c r="V920" i="37"/>
  <c r="V480" i="37"/>
  <c r="V482" i="37"/>
  <c r="V486" i="37"/>
  <c r="V662" i="37"/>
  <c r="V726" i="37"/>
  <c r="V882" i="37"/>
  <c r="V1040" i="37"/>
  <c r="V1056" i="37"/>
  <c r="V104" i="37"/>
  <c r="V281" i="37"/>
  <c r="V284" i="37"/>
  <c r="V835" i="37"/>
  <c r="V322" i="37"/>
  <c r="V456" i="37"/>
  <c r="V483" i="37"/>
  <c r="V510" i="37"/>
  <c r="V525" i="37"/>
  <c r="V595" i="37"/>
  <c r="V611" i="37"/>
  <c r="V660" i="37"/>
  <c r="V693" i="37"/>
  <c r="V717" i="37"/>
  <c r="V766" i="37"/>
  <c r="V781" i="37"/>
  <c r="V820" i="37"/>
  <c r="V867" i="37"/>
  <c r="V883" i="37"/>
  <c r="V938" i="37"/>
  <c r="V946" i="37"/>
  <c r="V1026" i="37"/>
  <c r="V89" i="37"/>
  <c r="V111" i="37"/>
  <c r="V126" i="37"/>
  <c r="V316" i="37"/>
  <c r="V333" i="37"/>
  <c r="V409" i="37"/>
  <c r="V414" i="37"/>
  <c r="V205" i="37"/>
  <c r="V309" i="37"/>
  <c r="V362" i="37"/>
  <c r="V452" i="37"/>
  <c r="V179" i="37"/>
  <c r="V227" i="37"/>
  <c r="V244" i="37"/>
  <c r="V271" i="37"/>
  <c r="V350" i="37"/>
  <c r="V353" i="37"/>
  <c r="V358" i="37"/>
  <c r="V364" i="37"/>
  <c r="V378" i="37"/>
  <c r="V384" i="37"/>
  <c r="V390" i="37"/>
  <c r="V394" i="37"/>
  <c r="V448" i="37"/>
  <c r="V455" i="37"/>
  <c r="V500" i="37"/>
  <c r="V571" i="37"/>
  <c r="V574" i="37"/>
  <c r="V647" i="37"/>
  <c r="V650" i="37"/>
  <c r="V658" i="37"/>
  <c r="V754" i="37"/>
  <c r="V780" i="37"/>
  <c r="V837" i="37"/>
  <c r="V845" i="37"/>
  <c r="V1027" i="37"/>
  <c r="V1051" i="37"/>
  <c r="V127" i="37"/>
  <c r="V9" i="37"/>
  <c r="V189" i="37"/>
  <c r="V308" i="37"/>
  <c r="V366" i="37"/>
  <c r="V596" i="37"/>
  <c r="V612" i="37"/>
  <c r="V630" i="37"/>
  <c r="V633" i="37"/>
  <c r="V635" i="37"/>
  <c r="V637" i="37"/>
  <c r="V677" i="37"/>
  <c r="V687" i="37"/>
  <c r="V704" i="37"/>
  <c r="V758" i="37"/>
  <c r="V822" i="37"/>
  <c r="V838" i="37"/>
  <c r="V846" i="37"/>
  <c r="V901" i="37"/>
  <c r="V1012" i="37"/>
  <c r="V383" i="37"/>
  <c r="V496" i="37"/>
  <c r="V667" i="37"/>
  <c r="V740" i="37"/>
  <c r="V747" i="37"/>
  <c r="V831" i="37"/>
  <c r="V910" i="37"/>
  <c r="V10" i="37"/>
  <c r="V190" i="37"/>
  <c r="V272" i="37"/>
  <c r="V277" i="37"/>
  <c r="V341" i="37"/>
  <c r="V393" i="37"/>
  <c r="V436" i="37"/>
  <c r="V506" i="37"/>
  <c r="V542" i="37"/>
  <c r="V547" i="37"/>
  <c r="V575" i="37"/>
  <c r="V638" i="37"/>
  <c r="V694" i="37"/>
  <c r="V705" i="37"/>
  <c r="V725" i="37"/>
  <c r="V767" i="37"/>
  <c r="V818" i="37"/>
  <c r="V871" i="37"/>
  <c r="V918" i="37"/>
  <c r="V990" i="37"/>
  <c r="V998" i="37"/>
  <c r="V1022" i="37"/>
  <c r="Q52" i="1"/>
  <c r="V18" i="37"/>
  <c r="V136" i="37"/>
  <c r="V161" i="37"/>
  <c r="V234" i="37"/>
  <c r="V239" i="37"/>
  <c r="V279" i="37"/>
  <c r="V297" i="37"/>
  <c r="V342" i="37"/>
  <c r="V401" i="37"/>
  <c r="V422" i="37"/>
  <c r="V428" i="37"/>
  <c r="V453" i="37"/>
  <c r="V499" i="37"/>
  <c r="V528" i="37"/>
  <c r="V541" i="37"/>
  <c r="V544" i="37"/>
  <c r="V570" i="37"/>
  <c r="V592" i="37"/>
  <c r="V655" i="37"/>
  <c r="V707" i="37"/>
  <c r="V750" i="37"/>
  <c r="V806" i="37"/>
  <c r="V829" i="37"/>
  <c r="V889" i="37"/>
  <c r="V991" i="37"/>
  <c r="V1045" i="37"/>
  <c r="V1053" i="37"/>
  <c r="Q12" i="1"/>
  <c r="V53" i="37"/>
  <c r="V64" i="37"/>
  <c r="V101" i="37"/>
  <c r="V188" i="37"/>
  <c r="V318" i="37"/>
  <c r="V321" i="37"/>
  <c r="V332" i="37"/>
  <c r="V419" i="37"/>
  <c r="V782" i="37"/>
  <c r="V796" i="37"/>
  <c r="V928" i="37"/>
  <c r="V960" i="37"/>
  <c r="V21" i="37"/>
  <c r="V268" i="37"/>
  <c r="V338" i="37"/>
  <c r="V446" i="37"/>
  <c r="V511" i="37"/>
  <c r="V757" i="37"/>
  <c r="V807" i="37"/>
  <c r="V868" i="37"/>
  <c r="V175" i="37"/>
  <c r="V197" i="37"/>
  <c r="V423" i="37"/>
  <c r="V477" i="37"/>
  <c r="V517" i="37"/>
  <c r="V1008" i="37"/>
  <c r="V1055" i="37"/>
  <c r="V159" i="37"/>
  <c r="V270" i="37"/>
  <c r="V531" i="37"/>
  <c r="V545" i="37"/>
  <c r="V558" i="37"/>
  <c r="V580" i="37"/>
  <c r="V665" i="37"/>
  <c r="V869" i="37"/>
  <c r="V877" i="37"/>
  <c r="V970" i="37"/>
  <c r="V978" i="37"/>
  <c r="Q11" i="1"/>
  <c r="V31" i="37"/>
  <c r="V49" i="37"/>
  <c r="V162" i="37"/>
  <c r="V165" i="37"/>
  <c r="V208" i="37"/>
  <c r="V210" i="37"/>
  <c r="V238" i="37"/>
  <c r="V329" i="37"/>
  <c r="V335" i="37"/>
  <c r="V343" i="37"/>
  <c r="V371" i="37"/>
  <c r="V411" i="37"/>
  <c r="V441" i="37"/>
  <c r="V451" i="37"/>
  <c r="V464" i="37"/>
  <c r="V603" i="37"/>
  <c r="V606" i="37"/>
  <c r="V641" i="37"/>
  <c r="V685" i="37"/>
  <c r="V691" i="37"/>
  <c r="V724" i="37"/>
  <c r="V764" i="37"/>
  <c r="V794" i="37"/>
  <c r="V824" i="37"/>
  <c r="V832" i="37"/>
  <c r="V847" i="37"/>
  <c r="V986" i="37"/>
  <c r="V1048" i="37"/>
  <c r="V2" i="37"/>
  <c r="V47" i="37"/>
  <c r="V55" i="37"/>
  <c r="V122" i="37"/>
  <c r="V129" i="37"/>
  <c r="V201" i="37"/>
  <c r="V216" i="37"/>
  <c r="V252" i="37"/>
  <c r="V285" i="37"/>
  <c r="V368" i="37"/>
  <c r="V370" i="37"/>
  <c r="V398" i="37"/>
  <c r="V404" i="37"/>
  <c r="V427" i="37"/>
  <c r="V444" i="37"/>
  <c r="V460" i="37"/>
  <c r="V509" i="37"/>
  <c r="V572" i="37"/>
  <c r="V594" i="37"/>
  <c r="V627" i="37"/>
  <c r="V639" i="37"/>
  <c r="V785" i="37"/>
  <c r="V825" i="37"/>
  <c r="V833" i="37"/>
  <c r="V916" i="37"/>
  <c r="V931" i="37"/>
  <c r="V947" i="37"/>
  <c r="V963" i="37"/>
  <c r="V1002" i="37"/>
  <c r="V1057" i="37"/>
  <c r="V34" i="37"/>
  <c r="V59" i="37"/>
  <c r="V72" i="37"/>
  <c r="V79" i="37"/>
  <c r="V566" i="37"/>
  <c r="V585" i="37"/>
  <c r="V734" i="37"/>
  <c r="V735" i="37"/>
  <c r="V773" i="37"/>
  <c r="V834" i="37"/>
  <c r="V841" i="37"/>
  <c r="V917" i="37"/>
  <c r="V1011" i="37"/>
  <c r="Q28" i="1"/>
  <c r="V56" i="37"/>
  <c r="V66" i="37"/>
  <c r="V320" i="37"/>
  <c r="V430" i="37"/>
  <c r="V440" i="37"/>
  <c r="V474" i="37"/>
  <c r="V530" i="37"/>
  <c r="V996" i="37"/>
  <c r="V144" i="37"/>
  <c r="V168" i="37"/>
  <c r="V296" i="37"/>
  <c r="V559" i="37"/>
  <c r="V561" i="37"/>
  <c r="V599" i="37"/>
  <c r="V689" i="37"/>
  <c r="V749" i="37"/>
  <c r="V787" i="37"/>
  <c r="V791" i="37"/>
  <c r="V842" i="37"/>
  <c r="V880" i="37"/>
  <c r="V50" i="37"/>
  <c r="V286" i="37"/>
  <c r="V294" i="37"/>
  <c r="V301" i="37"/>
  <c r="V911" i="37"/>
  <c r="V934" i="37"/>
  <c r="V966" i="37"/>
  <c r="V974" i="37"/>
  <c r="V1005" i="37"/>
  <c r="V1013" i="37"/>
  <c r="V1020" i="37"/>
  <c r="V1043" i="37"/>
  <c r="V96" i="37"/>
  <c r="V100" i="37"/>
  <c r="V586" i="37"/>
  <c r="V644" i="37"/>
  <c r="V663" i="37"/>
  <c r="V669" i="37"/>
  <c r="V671" i="37"/>
  <c r="V713" i="37"/>
  <c r="V716" i="37"/>
  <c r="V762" i="37"/>
  <c r="V772" i="37"/>
  <c r="V800" i="37"/>
  <c r="Q6" i="1"/>
  <c r="V39" i="37"/>
  <c r="V48" i="37"/>
  <c r="V95" i="37"/>
  <c r="V105" i="37"/>
  <c r="V155" i="37"/>
  <c r="V158" i="37"/>
  <c r="V167" i="37"/>
  <c r="V178" i="37"/>
  <c r="V304" i="37"/>
  <c r="V328" i="37"/>
  <c r="V360" i="37"/>
  <c r="V408" i="37"/>
  <c r="V471" i="37"/>
  <c r="V484" i="37"/>
  <c r="V551" i="37"/>
  <c r="V573" i="37"/>
  <c r="V590" i="37"/>
  <c r="V604" i="37"/>
  <c r="V744" i="37"/>
  <c r="V761" i="37"/>
  <c r="V778" i="37"/>
  <c r="V789" i="37"/>
  <c r="V836" i="37"/>
  <c r="V858" i="37"/>
  <c r="V866" i="37"/>
  <c r="V874" i="37"/>
  <c r="V943" i="37"/>
  <c r="V967" i="37"/>
  <c r="V975" i="37"/>
  <c r="V1014" i="37"/>
  <c r="V1021" i="37"/>
  <c r="V1029" i="37"/>
  <c r="V87" i="37"/>
  <c r="V90" i="37"/>
  <c r="V98" i="37"/>
  <c r="V103" i="37"/>
  <c r="V170" i="37"/>
  <c r="V220" i="37"/>
  <c r="V311" i="37"/>
  <c r="V359" i="37"/>
  <c r="V504" i="37"/>
  <c r="V642" i="37"/>
  <c r="Q14" i="1"/>
  <c r="V13" i="37"/>
  <c r="Q7" i="1"/>
  <c r="V28" i="37"/>
  <c r="V58" i="37"/>
  <c r="V71" i="37"/>
  <c r="V74" i="37"/>
  <c r="V84" i="37"/>
  <c r="V113" i="37"/>
  <c r="V156" i="37"/>
  <c r="V193" i="37"/>
  <c r="V212" i="37"/>
  <c r="V219" i="37"/>
  <c r="V282" i="37"/>
  <c r="V356" i="37"/>
  <c r="V361" i="37"/>
  <c r="V382" i="37"/>
  <c r="V403" i="37"/>
  <c r="V412" i="37"/>
  <c r="V470" i="37"/>
  <c r="V569" i="37"/>
  <c r="V600" i="37"/>
  <c r="V714" i="37"/>
  <c r="V729" i="37"/>
  <c r="V738" i="37"/>
  <c r="V809" i="37"/>
  <c r="V843" i="37"/>
  <c r="V879" i="37"/>
  <c r="V886" i="37"/>
  <c r="V893" i="37"/>
  <c r="V900" i="37"/>
  <c r="V929" i="37"/>
  <c r="V951" i="37"/>
  <c r="V958" i="37"/>
  <c r="V995" i="37"/>
  <c r="V1010" i="37"/>
  <c r="V1024" i="37"/>
  <c r="V1039" i="37"/>
  <c r="V54" i="37"/>
  <c r="Q15" i="1"/>
  <c r="V495" i="37"/>
  <c r="V548" i="37"/>
  <c r="V723" i="37"/>
  <c r="V783" i="37"/>
  <c r="V790" i="37"/>
  <c r="V823" i="37"/>
  <c r="V830" i="37"/>
  <c r="V1025" i="37"/>
  <c r="V1047" i="37"/>
  <c r="V1054" i="37"/>
  <c r="V14" i="37"/>
  <c r="V25" i="37"/>
  <c r="V35" i="37"/>
  <c r="V75" i="37"/>
  <c r="V109" i="37"/>
  <c r="V200" i="37"/>
  <c r="V226" i="37"/>
  <c r="V242" i="37"/>
  <c r="V312" i="37"/>
  <c r="V442" i="37"/>
  <c r="V454" i="37"/>
  <c r="V507" i="37"/>
  <c r="V515" i="37"/>
  <c r="V529" i="37"/>
  <c r="V552" i="37"/>
  <c r="V597" i="37"/>
  <c r="V609" i="37"/>
  <c r="V653" i="37"/>
  <c r="V699" i="37"/>
  <c r="V710" i="37"/>
  <c r="V720" i="37"/>
  <c r="V799" i="37"/>
  <c r="V865" i="37"/>
  <c r="V887" i="37"/>
  <c r="V894" i="37"/>
  <c r="V908" i="37"/>
  <c r="V922" i="37"/>
  <c r="V930" i="37"/>
  <c r="V944" i="37"/>
  <c r="V959" i="37"/>
  <c r="V1003" i="37"/>
  <c r="V78" i="37"/>
  <c r="V124" i="37"/>
  <c r="V145" i="37"/>
  <c r="V223" i="37"/>
  <c r="V263" i="37"/>
  <c r="V266" i="37"/>
  <c r="V283" i="37"/>
  <c r="V588" i="37"/>
  <c r="V645" i="37"/>
  <c r="V666" i="37"/>
  <c r="V774" i="37"/>
  <c r="V793" i="37"/>
  <c r="V801" i="37"/>
  <c r="V873" i="37"/>
  <c r="V881" i="37"/>
  <c r="V895" i="37"/>
  <c r="V902" i="37"/>
  <c r="V909" i="37"/>
  <c r="V923" i="37"/>
  <c r="V982" i="37"/>
  <c r="V1004" i="37"/>
  <c r="V1018" i="37"/>
  <c r="V1041" i="37"/>
  <c r="Q16" i="1"/>
  <c r="Q9" i="1"/>
  <c r="Q44" i="1"/>
  <c r="V16" i="37"/>
  <c r="V37" i="37"/>
  <c r="V85" i="37"/>
  <c r="V99" i="37"/>
  <c r="V137" i="37"/>
  <c r="V171" i="37"/>
  <c r="V204" i="37"/>
  <c r="V232" i="37"/>
  <c r="V273" i="37"/>
  <c r="V287" i="37"/>
  <c r="V302" i="37"/>
  <c r="V374" i="37"/>
  <c r="V424" i="37"/>
  <c r="V432" i="37"/>
  <c r="V439" i="37"/>
  <c r="V476" i="37"/>
  <c r="V493" i="37"/>
  <c r="V526" i="37"/>
  <c r="V576" i="37"/>
  <c r="V601" i="37"/>
  <c r="V613" i="37"/>
  <c r="V618" i="37"/>
  <c r="V648" i="37"/>
  <c r="V760" i="37"/>
  <c r="V808" i="37"/>
  <c r="V811" i="37"/>
  <c r="V815" i="37"/>
  <c r="V817" i="37"/>
  <c r="V852" i="37"/>
  <c r="V859" i="37"/>
  <c r="V1019" i="37"/>
  <c r="V983" i="37"/>
  <c r="Q10" i="1"/>
  <c r="V40" i="37"/>
  <c r="V198" i="37"/>
  <c r="V229" i="37"/>
  <c r="V255" i="37"/>
  <c r="V367" i="37"/>
  <c r="V369" i="37"/>
  <c r="V385" i="37"/>
  <c r="V468" i="37"/>
  <c r="V479" i="37"/>
  <c r="V481" i="37"/>
  <c r="V490" i="37"/>
  <c r="V534" i="37"/>
  <c r="V540" i="37"/>
  <c r="V636" i="37"/>
  <c r="V651" i="37"/>
  <c r="V654" i="37"/>
  <c r="V659" i="37"/>
  <c r="V692" i="37"/>
  <c r="V718" i="37"/>
  <c r="V756" i="37"/>
  <c r="V777" i="37"/>
  <c r="V797" i="37"/>
  <c r="V813" i="37"/>
  <c r="V839" i="37"/>
  <c r="V860" i="37"/>
  <c r="V896" i="37"/>
  <c r="V939" i="37"/>
  <c r="V1034" i="37"/>
  <c r="V954" i="37"/>
  <c r="V962" i="37"/>
  <c r="V976" i="37"/>
  <c r="V999" i="37"/>
  <c r="V1006" i="37"/>
  <c r="V1028" i="37"/>
  <c r="V1035" i="37"/>
  <c r="Q8" i="1"/>
  <c r="Q5" i="1"/>
  <c r="V42" i="37"/>
  <c r="V63" i="37"/>
  <c r="V80" i="37"/>
  <c r="V97" i="37"/>
  <c r="V112" i="37"/>
  <c r="V132" i="37"/>
  <c r="V157" i="37"/>
  <c r="V213" i="37"/>
  <c r="V224" i="37"/>
  <c r="V233" i="37"/>
  <c r="V240" i="37"/>
  <c r="V246" i="37"/>
  <c r="V295" i="37"/>
  <c r="V323" i="37"/>
  <c r="V325" i="37"/>
  <c r="V340" i="37"/>
  <c r="V377" i="37"/>
  <c r="V405" i="37"/>
  <c r="V472" i="37"/>
  <c r="V494" i="37"/>
  <c r="V523" i="37"/>
  <c r="V527" i="37"/>
  <c r="V587" i="37"/>
  <c r="V602" i="37"/>
  <c r="V625" i="37"/>
  <c r="V649" i="37"/>
  <c r="V670" i="37"/>
  <c r="V698" i="37"/>
  <c r="V731" i="37"/>
  <c r="O754" i="37"/>
  <c r="V768" i="37"/>
  <c r="V775" i="37"/>
  <c r="V826" i="37"/>
  <c r="V854" i="37"/>
  <c r="V1058" i="37"/>
  <c r="Q20" i="1"/>
  <c r="V20" i="37"/>
  <c r="V27" i="37"/>
  <c r="V67" i="37"/>
  <c r="V76" i="37"/>
  <c r="V107" i="37"/>
  <c r="V118" i="37"/>
  <c r="V166" i="37"/>
  <c r="V195" i="37"/>
  <c r="V211" i="37"/>
  <c r="V249" i="37"/>
  <c r="V262" i="37"/>
  <c r="V347" i="37"/>
  <c r="V400" i="37"/>
  <c r="V503" i="37"/>
  <c r="V543" i="37"/>
  <c r="V568" i="37"/>
  <c r="V584" i="37"/>
  <c r="V591" i="37"/>
  <c r="V652" i="37"/>
  <c r="V680" i="37"/>
  <c r="V745" i="37"/>
  <c r="V779" i="37"/>
  <c r="V876" i="37"/>
  <c r="V890" i="37"/>
  <c r="V898" i="37"/>
  <c r="V919" i="37"/>
  <c r="V926" i="37"/>
  <c r="V955" i="37"/>
  <c r="V992" i="37"/>
  <c r="V1050" i="37"/>
  <c r="V38" i="37"/>
  <c r="V163" i="37"/>
  <c r="V202" i="37"/>
  <c r="V207" i="37"/>
  <c r="V225" i="37"/>
  <c r="V269" i="37"/>
  <c r="V336" i="37"/>
  <c r="V351" i="37"/>
  <c r="V375" i="37"/>
  <c r="V413" i="37"/>
  <c r="V416" i="37"/>
  <c r="V433" i="37"/>
  <c r="V491" i="37"/>
  <c r="V535" i="37"/>
  <c r="V564" i="37"/>
  <c r="V593" i="37"/>
  <c r="V640" i="37"/>
  <c r="V702" i="37"/>
  <c r="V722" i="37"/>
  <c r="V742" i="37"/>
  <c r="V798" i="37"/>
  <c r="V812" i="37"/>
  <c r="V827" i="37"/>
  <c r="V855" i="37"/>
  <c r="V862" i="37"/>
  <c r="V993" i="37"/>
  <c r="V1044" i="37"/>
  <c r="Q36" i="1"/>
  <c r="V4" i="37"/>
  <c r="Q48" i="1"/>
  <c r="V24" i="37"/>
  <c r="V41" i="37"/>
  <c r="V73" i="37"/>
  <c r="V115" i="37"/>
  <c r="V221" i="37"/>
  <c r="V258" i="37"/>
  <c r="V289" i="37"/>
  <c r="V345" i="37"/>
  <c r="V363" i="37"/>
  <c r="V429" i="37"/>
  <c r="V437" i="37"/>
  <c r="V473" i="37"/>
  <c r="V538" i="37"/>
  <c r="V737" i="37"/>
  <c r="V884" i="37"/>
  <c r="V913" i="37"/>
  <c r="V927" i="37"/>
  <c r="V956" i="37"/>
  <c r="V964" i="37"/>
  <c r="V1030" i="37"/>
  <c r="V1037" i="37"/>
  <c r="V1059" i="37"/>
  <c r="V389" i="37"/>
  <c r="V399" i="37"/>
  <c r="V828" i="37"/>
  <c r="V849" i="37"/>
  <c r="V863" i="37"/>
  <c r="V935" i="37"/>
  <c r="V942" i="37"/>
  <c r="V994" i="37"/>
  <c r="V461" i="37"/>
  <c r="V617" i="37"/>
  <c r="V870" i="37"/>
  <c r="V892" i="37"/>
  <c r="V906" i="37"/>
  <c r="V914" i="37"/>
  <c r="V950" i="37"/>
  <c r="V957" i="37"/>
  <c r="V1009" i="37"/>
  <c r="V1031" i="37"/>
  <c r="V1038" i="37"/>
  <c r="V1060" i="37"/>
  <c r="N12" i="37"/>
  <c r="M12" i="37"/>
  <c r="L12" i="37"/>
  <c r="K12" i="37"/>
  <c r="I12" i="37"/>
  <c r="H12" i="37"/>
  <c r="E12" i="37"/>
  <c r="N20" i="37"/>
  <c r="M20" i="37"/>
  <c r="L20" i="37"/>
  <c r="K20" i="37"/>
  <c r="G20" i="37"/>
  <c r="E20" i="37"/>
  <c r="N4" i="37"/>
  <c r="M4" i="37"/>
  <c r="L4" i="37"/>
  <c r="I4" i="37"/>
  <c r="H4" i="37"/>
  <c r="G4" i="37"/>
  <c r="E4" i="37"/>
  <c r="N28" i="37"/>
  <c r="M28" i="37"/>
  <c r="L28" i="37"/>
  <c r="K28" i="37"/>
  <c r="I28" i="37"/>
  <c r="H28" i="37"/>
  <c r="G28" i="37"/>
  <c r="E28" i="37"/>
  <c r="C75" i="37"/>
  <c r="N75" i="37" s="1"/>
  <c r="C127" i="37"/>
  <c r="E127" i="37" s="1"/>
  <c r="F127" i="37"/>
  <c r="Q18" i="1"/>
  <c r="Q25" i="1"/>
  <c r="Q33" i="1"/>
  <c r="Q41" i="1"/>
  <c r="Q49" i="1"/>
  <c r="K9" i="37"/>
  <c r="K25" i="37"/>
  <c r="O32" i="37"/>
  <c r="M39" i="37"/>
  <c r="B74" i="37"/>
  <c r="B75" i="37"/>
  <c r="L76" i="37"/>
  <c r="H76" i="37"/>
  <c r="B127" i="37"/>
  <c r="F132" i="37"/>
  <c r="O132" i="37"/>
  <c r="B132" i="37"/>
  <c r="C132" i="37"/>
  <c r="N132" i="37" s="1"/>
  <c r="I139" i="37"/>
  <c r="V6" i="37"/>
  <c r="L9" i="37"/>
  <c r="B14" i="37"/>
  <c r="B22" i="37"/>
  <c r="N24" i="37"/>
  <c r="L25" i="37"/>
  <c r="B30" i="37"/>
  <c r="N39" i="37"/>
  <c r="M48" i="37"/>
  <c r="J60" i="37"/>
  <c r="B73" i="37"/>
  <c r="I73" i="37" s="1"/>
  <c r="N73" i="37"/>
  <c r="C74" i="37"/>
  <c r="O75" i="37"/>
  <c r="F78" i="37"/>
  <c r="F114" i="37"/>
  <c r="O114" i="37"/>
  <c r="B114" i="37"/>
  <c r="F123" i="37"/>
  <c r="O123" i="37"/>
  <c r="B123" i="37"/>
  <c r="H125" i="37"/>
  <c r="O127" i="37"/>
  <c r="J139" i="37"/>
  <c r="Q26" i="1"/>
  <c r="Q34" i="1"/>
  <c r="Q42" i="1"/>
  <c r="Q50" i="1"/>
  <c r="E5" i="37"/>
  <c r="C6" i="37"/>
  <c r="E13" i="37"/>
  <c r="C14" i="37"/>
  <c r="L14" i="37" s="1"/>
  <c r="M17" i="37"/>
  <c r="C22" i="37"/>
  <c r="H22" i="37" s="1"/>
  <c r="C30" i="37"/>
  <c r="V33" i="37"/>
  <c r="N48" i="37"/>
  <c r="N49" i="37"/>
  <c r="M52" i="37"/>
  <c r="O74" i="37"/>
  <c r="E76" i="37"/>
  <c r="E77" i="37"/>
  <c r="E86" i="37"/>
  <c r="B86" i="37"/>
  <c r="G86" i="37" s="1"/>
  <c r="C111" i="37"/>
  <c r="E111" i="37" s="1"/>
  <c r="F111" i="37"/>
  <c r="O111" i="37"/>
  <c r="C114" i="37"/>
  <c r="E114" i="37" s="1"/>
  <c r="J121" i="37"/>
  <c r="K121" i="37"/>
  <c r="G121" i="37"/>
  <c r="E121" i="37"/>
  <c r="C123" i="37"/>
  <c r="F179" i="37"/>
  <c r="O179" i="37"/>
  <c r="B179" i="37"/>
  <c r="C179" i="37"/>
  <c r="N17" i="37"/>
  <c r="F71" i="37"/>
  <c r="B71" i="37"/>
  <c r="F74" i="37"/>
  <c r="F75" i="37"/>
  <c r="C82" i="37"/>
  <c r="I82" i="37" s="1"/>
  <c r="F91" i="37"/>
  <c r="I107" i="37"/>
  <c r="C135" i="37"/>
  <c r="O135" i="37"/>
  <c r="B135" i="37"/>
  <c r="Q19" i="1"/>
  <c r="Q27" i="1"/>
  <c r="Q35" i="1"/>
  <c r="Q43" i="1"/>
  <c r="Q51" i="1"/>
  <c r="G5" i="37"/>
  <c r="G29" i="37"/>
  <c r="B32" i="37"/>
  <c r="N60" i="37"/>
  <c r="C71" i="37"/>
  <c r="E72" i="37"/>
  <c r="E73" i="37"/>
  <c r="G76" i="37"/>
  <c r="B82" i="37"/>
  <c r="F86" i="37"/>
  <c r="H86" i="37" s="1"/>
  <c r="B91" i="37"/>
  <c r="E107" i="37"/>
  <c r="H109" i="37"/>
  <c r="F135" i="37"/>
  <c r="J4" i="37"/>
  <c r="F6" i="37"/>
  <c r="O7" i="37"/>
  <c r="B8" i="37"/>
  <c r="J12" i="37"/>
  <c r="F14" i="37"/>
  <c r="O15" i="37"/>
  <c r="B16" i="37"/>
  <c r="F22" i="37"/>
  <c r="B24" i="37"/>
  <c r="I24" i="37" s="1"/>
  <c r="J28" i="37"/>
  <c r="F30" i="37"/>
  <c r="O31" i="37"/>
  <c r="C32" i="37"/>
  <c r="E32" i="37" s="1"/>
  <c r="C33" i="37"/>
  <c r="E33" i="37" s="1"/>
  <c r="B34" i="37"/>
  <c r="C35" i="37"/>
  <c r="N35" i="37" s="1"/>
  <c r="E42" i="37"/>
  <c r="V57" i="37"/>
  <c r="F69" i="37"/>
  <c r="B70" i="37"/>
  <c r="O71" i="37"/>
  <c r="F72" i="37"/>
  <c r="H72" i="37" s="1"/>
  <c r="F73" i="37"/>
  <c r="J73" i="37" s="1"/>
  <c r="O82" i="37"/>
  <c r="C91" i="37"/>
  <c r="H102" i="37"/>
  <c r="G107" i="37"/>
  <c r="I121" i="37"/>
  <c r="B133" i="37"/>
  <c r="C133" i="37"/>
  <c r="K133" i="37" s="1"/>
  <c r="F148" i="37"/>
  <c r="O148" i="37"/>
  <c r="C148" i="37"/>
  <c r="B148" i="37"/>
  <c r="M172" i="37"/>
  <c r="I5" i="37"/>
  <c r="I29" i="37"/>
  <c r="F39" i="37"/>
  <c r="H39" i="37" s="1"/>
  <c r="O40" i="37"/>
  <c r="B41" i="37"/>
  <c r="C43" i="37"/>
  <c r="M43" i="37" s="1"/>
  <c r="C67" i="37"/>
  <c r="N67" i="37" s="1"/>
  <c r="K77" i="37"/>
  <c r="C81" i="37"/>
  <c r="L81" i="37" s="1"/>
  <c r="O85" i="37"/>
  <c r="B85" i="37"/>
  <c r="O91" i="37"/>
  <c r="L94" i="37"/>
  <c r="O101" i="37"/>
  <c r="F101" i="37"/>
  <c r="C101" i="37"/>
  <c r="J5" i="37"/>
  <c r="F7" i="37"/>
  <c r="B9" i="37"/>
  <c r="M9" i="37" s="1"/>
  <c r="F15" i="37"/>
  <c r="O16" i="37"/>
  <c r="B17" i="37"/>
  <c r="K17" i="37" s="1"/>
  <c r="F23" i="37"/>
  <c r="N23" i="37" s="1"/>
  <c r="O24" i="37"/>
  <c r="B25" i="37"/>
  <c r="I25" i="37" s="1"/>
  <c r="F32" i="37"/>
  <c r="O34" i="37"/>
  <c r="B37" i="37"/>
  <c r="B38" i="37"/>
  <c r="B39" i="37"/>
  <c r="G39" i="37" s="1"/>
  <c r="B40" i="37"/>
  <c r="C41" i="37"/>
  <c r="B43" i="37"/>
  <c r="O45" i="37"/>
  <c r="F47" i="37"/>
  <c r="J47" i="37" s="1"/>
  <c r="I48" i="37"/>
  <c r="B49" i="37"/>
  <c r="B50" i="37"/>
  <c r="C51" i="37"/>
  <c r="N51" i="37" s="1"/>
  <c r="B66" i="37"/>
  <c r="G66" i="37" s="1"/>
  <c r="B67" i="37"/>
  <c r="K76" i="37"/>
  <c r="B81" i="37"/>
  <c r="F82" i="37"/>
  <c r="C85" i="37"/>
  <c r="M85" i="37" s="1"/>
  <c r="O90" i="37"/>
  <c r="O98" i="37"/>
  <c r="B98" i="37"/>
  <c r="B101" i="37"/>
  <c r="C119" i="37"/>
  <c r="J119" i="37" s="1"/>
  <c r="B119" i="37"/>
  <c r="F124" i="37"/>
  <c r="O124" i="37"/>
  <c r="B124" i="37"/>
  <c r="C124" i="37"/>
  <c r="Q21" i="1"/>
  <c r="Q29" i="1"/>
  <c r="Q37" i="1"/>
  <c r="Q45" i="1"/>
  <c r="Q53" i="1"/>
  <c r="F55" i="37"/>
  <c r="O56" i="37"/>
  <c r="B57" i="37"/>
  <c r="C59" i="37"/>
  <c r="O64" i="37"/>
  <c r="B65" i="37"/>
  <c r="M76" i="37"/>
  <c r="M77" i="37"/>
  <c r="O80" i="37"/>
  <c r="V92" i="37"/>
  <c r="B53" i="37"/>
  <c r="B54" i="37"/>
  <c r="B55" i="37"/>
  <c r="B56" i="37"/>
  <c r="C57" i="37"/>
  <c r="B59" i="37"/>
  <c r="F63" i="37"/>
  <c r="B64" i="37"/>
  <c r="C65" i="37"/>
  <c r="J65" i="37" s="1"/>
  <c r="N76" i="37"/>
  <c r="B80" i="37"/>
  <c r="F108" i="37"/>
  <c r="O108" i="37"/>
  <c r="B108" i="37"/>
  <c r="C108" i="37"/>
  <c r="B117" i="37"/>
  <c r="I117" i="37" s="1"/>
  <c r="L117" i="37"/>
  <c r="K117" i="37"/>
  <c r="F117" i="37"/>
  <c r="J117" i="37" s="1"/>
  <c r="E117" i="37"/>
  <c r="Q22" i="1"/>
  <c r="Q30" i="1"/>
  <c r="Q38" i="1"/>
  <c r="Q46" i="1"/>
  <c r="C2" i="37"/>
  <c r="M2" i="37" s="1"/>
  <c r="C10" i="37"/>
  <c r="M10" i="37" s="1"/>
  <c r="C18" i="37"/>
  <c r="H18" i="37" s="1"/>
  <c r="C26" i="37"/>
  <c r="H26" i="37" s="1"/>
  <c r="E39" i="37"/>
  <c r="E48" i="37"/>
  <c r="C53" i="37"/>
  <c r="N53" i="37" s="1"/>
  <c r="C54" i="37"/>
  <c r="C55" i="37"/>
  <c r="I55" i="37" s="1"/>
  <c r="C56" i="37"/>
  <c r="L56" i="37" s="1"/>
  <c r="O57" i="37"/>
  <c r="O59" i="37"/>
  <c r="B61" i="37"/>
  <c r="B62" i="37"/>
  <c r="B63" i="37"/>
  <c r="C64" i="37"/>
  <c r="O65" i="37"/>
  <c r="C80" i="37"/>
  <c r="O93" i="37"/>
  <c r="B93" i="37"/>
  <c r="K93" i="37" s="1"/>
  <c r="F106" i="37"/>
  <c r="O106" i="37"/>
  <c r="C106" i="37"/>
  <c r="J113" i="37"/>
  <c r="H113" i="37"/>
  <c r="N113" i="37"/>
  <c r="K113" i="37"/>
  <c r="I113" i="37"/>
  <c r="E113" i="37"/>
  <c r="Q17" i="1"/>
  <c r="B3" i="37"/>
  <c r="F9" i="37"/>
  <c r="N9" i="37" s="1"/>
  <c r="O10" i="37"/>
  <c r="B11" i="37"/>
  <c r="F17" i="37"/>
  <c r="L17" i="37" s="1"/>
  <c r="B19" i="37"/>
  <c r="F25" i="37"/>
  <c r="J25" i="37" s="1"/>
  <c r="B27" i="37"/>
  <c r="E52" i="37"/>
  <c r="O53" i="37"/>
  <c r="O54" i="37"/>
  <c r="O55" i="37"/>
  <c r="C61" i="37"/>
  <c r="M61" i="37" s="1"/>
  <c r="C62" i="37"/>
  <c r="E62" i="37" s="1"/>
  <c r="C63" i="37"/>
  <c r="F79" i="37"/>
  <c r="B79" i="37"/>
  <c r="G146" i="37"/>
  <c r="I146" i="37"/>
  <c r="E146" i="37"/>
  <c r="Q23" i="1"/>
  <c r="Q31" i="1"/>
  <c r="Q39" i="1"/>
  <c r="Q47" i="1"/>
  <c r="C3" i="37"/>
  <c r="J3" i="37" s="1"/>
  <c r="K7" i="37"/>
  <c r="G9" i="37"/>
  <c r="C11" i="37"/>
  <c r="J11" i="37" s="1"/>
  <c r="C19" i="37"/>
  <c r="J19" i="37" s="1"/>
  <c r="K23" i="37"/>
  <c r="G25" i="37"/>
  <c r="C27" i="37"/>
  <c r="L27" i="37" s="1"/>
  <c r="F45" i="37"/>
  <c r="F46" i="37"/>
  <c r="G48" i="37"/>
  <c r="F56" i="37"/>
  <c r="F57" i="37"/>
  <c r="F59" i="37"/>
  <c r="E60" i="37"/>
  <c r="O61" i="37"/>
  <c r="O62" i="37"/>
  <c r="O63" i="37"/>
  <c r="F64" i="37"/>
  <c r="F65" i="37"/>
  <c r="N72" i="37"/>
  <c r="C79" i="37"/>
  <c r="E79" i="37" s="1"/>
  <c r="F80" i="37"/>
  <c r="V82" i="37"/>
  <c r="E93" i="37"/>
  <c r="F2" i="37"/>
  <c r="L7" i="37"/>
  <c r="H9" i="37"/>
  <c r="F10" i="37"/>
  <c r="O11" i="37"/>
  <c r="F18" i="37"/>
  <c r="L23" i="37"/>
  <c r="J24" i="37"/>
  <c r="H25" i="37"/>
  <c r="F26" i="37"/>
  <c r="H37" i="37"/>
  <c r="I38" i="37"/>
  <c r="I39" i="37"/>
  <c r="G52" i="37"/>
  <c r="F53" i="37"/>
  <c r="F54" i="37"/>
  <c r="O78" i="37"/>
  <c r="O79" i="37"/>
  <c r="C87" i="37"/>
  <c r="K87" i="37" s="1"/>
  <c r="F93" i="37"/>
  <c r="L93" i="37" s="1"/>
  <c r="I100" i="37"/>
  <c r="F100" i="37"/>
  <c r="O100" i="37"/>
  <c r="B100" i="37"/>
  <c r="C103" i="37"/>
  <c r="J103" i="37" s="1"/>
  <c r="O103" i="37"/>
  <c r="G113" i="37"/>
  <c r="Q24" i="1"/>
  <c r="Q32" i="1"/>
  <c r="Q40" i="1"/>
  <c r="I37" i="37"/>
  <c r="J39" i="37"/>
  <c r="J49" i="37"/>
  <c r="F61" i="37"/>
  <c r="F62" i="37"/>
  <c r="F77" i="37"/>
  <c r="H77" i="37" s="1"/>
  <c r="B78" i="37"/>
  <c r="O83" i="37"/>
  <c r="V94" i="37"/>
  <c r="F182" i="37"/>
  <c r="B182" i="37"/>
  <c r="O182" i="37"/>
  <c r="C182" i="37"/>
  <c r="O173" i="37"/>
  <c r="F173" i="37"/>
  <c r="C173" i="37"/>
  <c r="I173" i="37" s="1"/>
  <c r="B176" i="37"/>
  <c r="F176" i="37"/>
  <c r="C176" i="37"/>
  <c r="O238" i="37"/>
  <c r="C238" i="37"/>
  <c r="E238" i="37" s="1"/>
  <c r="F238" i="37"/>
  <c r="B238" i="37"/>
  <c r="I84" i="37"/>
  <c r="F84" i="37"/>
  <c r="N84" i="37" s="1"/>
  <c r="V102" i="37"/>
  <c r="B126" i="37"/>
  <c r="I126" i="37" s="1"/>
  <c r="V134" i="37"/>
  <c r="E138" i="37"/>
  <c r="B173" i="37"/>
  <c r="O176" i="37"/>
  <c r="E110" i="37"/>
  <c r="B110" i="37"/>
  <c r="M110" i="37" s="1"/>
  <c r="I116" i="37"/>
  <c r="F116" i="37"/>
  <c r="J116" i="37" s="1"/>
  <c r="B116" i="37"/>
  <c r="G116" i="37" s="1"/>
  <c r="F122" i="37"/>
  <c r="V139" i="37"/>
  <c r="V142" i="37"/>
  <c r="C150" i="37"/>
  <c r="N150" i="37" s="1"/>
  <c r="B150" i="37"/>
  <c r="F164" i="37"/>
  <c r="O164" i="37"/>
  <c r="C164" i="37"/>
  <c r="M164" i="37" s="1"/>
  <c r="B164" i="37"/>
  <c r="F156" i="37"/>
  <c r="O156" i="37"/>
  <c r="C156" i="37"/>
  <c r="B156" i="37"/>
  <c r="E116" i="37"/>
  <c r="C122" i="37"/>
  <c r="E122" i="37" s="1"/>
  <c r="F131" i="37"/>
  <c r="O131" i="37"/>
  <c r="B131" i="37"/>
  <c r="F140" i="37"/>
  <c r="O140" i="37"/>
  <c r="B140" i="37"/>
  <c r="C143" i="37"/>
  <c r="E143" i="37" s="1"/>
  <c r="M171" i="37"/>
  <c r="O177" i="37"/>
  <c r="F177" i="37"/>
  <c r="C177" i="37"/>
  <c r="F180" i="37"/>
  <c r="O180" i="37"/>
  <c r="B180" i="37"/>
  <c r="E102" i="37"/>
  <c r="B102" i="37"/>
  <c r="M102" i="37" s="1"/>
  <c r="E104" i="37"/>
  <c r="B109" i="37"/>
  <c r="F110" i="37"/>
  <c r="N110" i="37" s="1"/>
  <c r="O125" i="37"/>
  <c r="B125" i="37"/>
  <c r="G125" i="37" s="1"/>
  <c r="C131" i="37"/>
  <c r="V133" i="37"/>
  <c r="C140" i="37"/>
  <c r="B143" i="37"/>
  <c r="C158" i="37"/>
  <c r="B158" i="37"/>
  <c r="G162" i="37"/>
  <c r="B177" i="37"/>
  <c r="C180" i="37"/>
  <c r="O223" i="37"/>
  <c r="C223" i="37"/>
  <c r="B223" i="37"/>
  <c r="F223" i="37"/>
  <c r="F174" i="37"/>
  <c r="B174" i="37"/>
  <c r="C174" i="37"/>
  <c r="G104" i="37"/>
  <c r="F115" i="37"/>
  <c r="O115" i="37"/>
  <c r="B115" i="37"/>
  <c r="V123" i="37"/>
  <c r="B134" i="37"/>
  <c r="F143" i="37"/>
  <c r="F147" i="37"/>
  <c r="H147" i="37" s="1"/>
  <c r="E147" i="37"/>
  <c r="O147" i="37"/>
  <c r="B147" i="37"/>
  <c r="G147" i="37" s="1"/>
  <c r="V164" i="37"/>
  <c r="O174" i="37"/>
  <c r="C95" i="37"/>
  <c r="H104" i="37"/>
  <c r="V117" i="37"/>
  <c r="F130" i="37"/>
  <c r="O130" i="37"/>
  <c r="O181" i="37"/>
  <c r="F181" i="37"/>
  <c r="B181" i="37"/>
  <c r="M84" i="37"/>
  <c r="E94" i="37"/>
  <c r="B94" i="37"/>
  <c r="M94" i="37" s="1"/>
  <c r="C99" i="37"/>
  <c r="L99" i="37" s="1"/>
  <c r="I102" i="37"/>
  <c r="J104" i="37"/>
  <c r="B118" i="37"/>
  <c r="O129" i="37"/>
  <c r="C130" i="37"/>
  <c r="I130" i="37" s="1"/>
  <c r="F134" i="37"/>
  <c r="F139" i="37"/>
  <c r="L139" i="37" s="1"/>
  <c r="B139" i="37"/>
  <c r="K139" i="37" s="1"/>
  <c r="B142" i="37"/>
  <c r="F175" i="37"/>
  <c r="C175" i="37"/>
  <c r="J175" i="37" s="1"/>
  <c r="J178" i="37"/>
  <c r="I178" i="37"/>
  <c r="F178" i="37"/>
  <c r="L178" i="37" s="1"/>
  <c r="E178" i="37"/>
  <c r="B178" i="37"/>
  <c r="K178" i="37" s="1"/>
  <c r="C181" i="37"/>
  <c r="N181" i="37" s="1"/>
  <c r="J184" i="37"/>
  <c r="E184" i="37"/>
  <c r="E265" i="37"/>
  <c r="F92" i="37"/>
  <c r="K102" i="37"/>
  <c r="M107" i="37"/>
  <c r="K107" i="37"/>
  <c r="F107" i="37"/>
  <c r="H107" i="37" s="1"/>
  <c r="O107" i="37"/>
  <c r="V116" i="37"/>
  <c r="E139" i="37"/>
  <c r="O142" i="37"/>
  <c r="J149" i="37"/>
  <c r="M155" i="37"/>
  <c r="F155" i="37"/>
  <c r="L155" i="37" s="1"/>
  <c r="E155" i="37"/>
  <c r="O155" i="37"/>
  <c r="B155" i="37"/>
  <c r="K155" i="37" s="1"/>
  <c r="N163" i="37"/>
  <c r="M163" i="37"/>
  <c r="F163" i="37"/>
  <c r="L163" i="37" s="1"/>
  <c r="E163" i="37"/>
  <c r="O163" i="37"/>
  <c r="B163" i="37"/>
  <c r="K163" i="37" s="1"/>
  <c r="O218" i="37"/>
  <c r="F218" i="37"/>
  <c r="C218" i="37"/>
  <c r="B218" i="37"/>
  <c r="F232" i="37"/>
  <c r="O232" i="37"/>
  <c r="C232" i="37"/>
  <c r="K232" i="37" s="1"/>
  <c r="B232" i="37"/>
  <c r="B235" i="37"/>
  <c r="C235" i="37"/>
  <c r="N235" i="37" s="1"/>
  <c r="O235" i="37"/>
  <c r="V131" i="37"/>
  <c r="V140" i="37"/>
  <c r="V147" i="37"/>
  <c r="L149" i="37"/>
  <c r="C259" i="37"/>
  <c r="B259" i="37"/>
  <c r="F259" i="37"/>
  <c r="O259" i="37"/>
  <c r="O138" i="37"/>
  <c r="O146" i="37"/>
  <c r="N149" i="37"/>
  <c r="N157" i="37"/>
  <c r="O162" i="37"/>
  <c r="N165" i="37"/>
  <c r="O172" i="37"/>
  <c r="O191" i="37"/>
  <c r="F195" i="37"/>
  <c r="O200" i="37"/>
  <c r="F204" i="37"/>
  <c r="F215" i="37"/>
  <c r="F230" i="37"/>
  <c r="C246" i="37"/>
  <c r="M246" i="37" s="1"/>
  <c r="F246" i="37"/>
  <c r="V251" i="37"/>
  <c r="H137" i="37"/>
  <c r="F138" i="37"/>
  <c r="H138" i="37" s="1"/>
  <c r="H145" i="37"/>
  <c r="F146" i="37"/>
  <c r="J146" i="37" s="1"/>
  <c r="F154" i="37"/>
  <c r="F162" i="37"/>
  <c r="C190" i="37"/>
  <c r="N190" i="37" s="1"/>
  <c r="F191" i="37"/>
  <c r="O194" i="37"/>
  <c r="C194" i="37"/>
  <c r="E194" i="37" s="1"/>
  <c r="M199" i="37"/>
  <c r="J199" i="37"/>
  <c r="F199" i="37"/>
  <c r="H199" i="37" s="1"/>
  <c r="B199" i="37"/>
  <c r="G199" i="37" s="1"/>
  <c r="N199" i="37"/>
  <c r="B203" i="37"/>
  <c r="C203" i="37"/>
  <c r="N203" i="37" s="1"/>
  <c r="C275" i="37"/>
  <c r="E275" i="37" s="1"/>
  <c r="B275" i="37"/>
  <c r="F275" i="37"/>
  <c r="O275" i="37"/>
  <c r="C214" i="37"/>
  <c r="H214" i="37" s="1"/>
  <c r="B141" i="37"/>
  <c r="H146" i="37"/>
  <c r="B149" i="37"/>
  <c r="I149" i="37" s="1"/>
  <c r="B157" i="37"/>
  <c r="G157" i="37" s="1"/>
  <c r="B165" i="37"/>
  <c r="G165" i="37" s="1"/>
  <c r="V187" i="37"/>
  <c r="F203" i="37"/>
  <c r="B214" i="37"/>
  <c r="F217" i="37"/>
  <c r="C217" i="37"/>
  <c r="H243" i="37"/>
  <c r="O189" i="37"/>
  <c r="G209" i="37"/>
  <c r="O222" i="37"/>
  <c r="C222" i="37"/>
  <c r="B222" i="37"/>
  <c r="C228" i="37"/>
  <c r="O228" i="37"/>
  <c r="N104" i="37"/>
  <c r="L113" i="37"/>
  <c r="L137" i="37"/>
  <c r="O141" i="37"/>
  <c r="O165" i="37"/>
  <c r="B166" i="37"/>
  <c r="F188" i="37"/>
  <c r="B189" i="37"/>
  <c r="F190" i="37"/>
  <c r="F193" i="37"/>
  <c r="C193" i="37"/>
  <c r="O193" i="37"/>
  <c r="F198" i="37"/>
  <c r="H198" i="37" s="1"/>
  <c r="B198" i="37"/>
  <c r="I198" i="37" s="1"/>
  <c r="M198" i="37"/>
  <c r="O202" i="37"/>
  <c r="B202" i="37"/>
  <c r="B228" i="37"/>
  <c r="F314" i="37"/>
  <c r="O314" i="37"/>
  <c r="B314" i="37"/>
  <c r="C314" i="37"/>
  <c r="C166" i="37"/>
  <c r="N166" i="37" s="1"/>
  <c r="C189" i="37"/>
  <c r="K213" i="37"/>
  <c r="F222" i="37"/>
  <c r="F225" i="37"/>
  <c r="O225" i="37"/>
  <c r="C225" i="37"/>
  <c r="L225" i="37" s="1"/>
  <c r="F228" i="37"/>
  <c r="O166" i="37"/>
  <c r="V218" i="37"/>
  <c r="B225" i="37"/>
  <c r="B231" i="37"/>
  <c r="C236" i="37"/>
  <c r="M138" i="37"/>
  <c r="C151" i="37"/>
  <c r="E151" i="37" s="1"/>
  <c r="C159" i="37"/>
  <c r="M159" i="37" s="1"/>
  <c r="C167" i="37"/>
  <c r="N167" i="37" s="1"/>
  <c r="V184" i="37"/>
  <c r="B187" i="37"/>
  <c r="G187" i="37" s="1"/>
  <c r="F189" i="37"/>
  <c r="C196" i="37"/>
  <c r="I196" i="37" s="1"/>
  <c r="E198" i="37"/>
  <c r="F202" i="37"/>
  <c r="E207" i="37"/>
  <c r="L207" i="37"/>
  <c r="C212" i="37"/>
  <c r="F212" i="37"/>
  <c r="B212" i="37"/>
  <c r="C216" i="37"/>
  <c r="L216" i="37" s="1"/>
  <c r="M240" i="37"/>
  <c r="E240" i="37"/>
  <c r="V243" i="37"/>
  <c r="O256" i="37"/>
  <c r="C256" i="37"/>
  <c r="E256" i="37" s="1"/>
  <c r="C192" i="37"/>
  <c r="E192" i="37" s="1"/>
  <c r="F201" i="37"/>
  <c r="B201" i="37"/>
  <c r="B219" i="37"/>
  <c r="F219" i="37"/>
  <c r="O219" i="37"/>
  <c r="F249" i="37"/>
  <c r="O249" i="37"/>
  <c r="C249" i="37"/>
  <c r="B249" i="37"/>
  <c r="I165" i="37"/>
  <c r="B169" i="37"/>
  <c r="V182" i="37"/>
  <c r="F185" i="37"/>
  <c r="L185" i="37" s="1"/>
  <c r="N186" i="37"/>
  <c r="J186" i="37"/>
  <c r="O186" i="37"/>
  <c r="O187" i="37"/>
  <c r="B192" i="37"/>
  <c r="C201" i="37"/>
  <c r="I201" i="37" s="1"/>
  <c r="V203" i="37"/>
  <c r="C219" i="37"/>
  <c r="F233" i="37"/>
  <c r="C244" i="37"/>
  <c r="E244" i="37" s="1"/>
  <c r="O244" i="37"/>
  <c r="K271" i="37"/>
  <c r="N271" i="37"/>
  <c r="L271" i="37"/>
  <c r="I271" i="37"/>
  <c r="H271" i="37"/>
  <c r="E271" i="37"/>
  <c r="F167" i="37"/>
  <c r="C169" i="37"/>
  <c r="J169" i="37" s="1"/>
  <c r="V174" i="37"/>
  <c r="V176" i="37"/>
  <c r="O192" i="37"/>
  <c r="O201" i="37"/>
  <c r="I213" i="37"/>
  <c r="V214" i="37"/>
  <c r="C224" i="37"/>
  <c r="K224" i="37" s="1"/>
  <c r="B233" i="37"/>
  <c r="I240" i="37"/>
  <c r="O242" i="37"/>
  <c r="C242" i="37"/>
  <c r="B242" i="37"/>
  <c r="B244" i="37"/>
  <c r="O169" i="37"/>
  <c r="B184" i="37"/>
  <c r="K184" i="37" s="1"/>
  <c r="N184" i="37"/>
  <c r="C204" i="37"/>
  <c r="O204" i="37"/>
  <c r="V217" i="37"/>
  <c r="C233" i="37"/>
  <c r="E233" i="37" s="1"/>
  <c r="K239" i="37"/>
  <c r="F242" i="37"/>
  <c r="F244" i="37"/>
  <c r="C191" i="37"/>
  <c r="E191" i="37" s="1"/>
  <c r="B195" i="37"/>
  <c r="O195" i="37"/>
  <c r="F200" i="37"/>
  <c r="H200" i="37" s="1"/>
  <c r="B200" i="37"/>
  <c r="M200" i="37" s="1"/>
  <c r="N200" i="37"/>
  <c r="O215" i="37"/>
  <c r="C215" i="37"/>
  <c r="G215" i="37" s="1"/>
  <c r="O230" i="37"/>
  <c r="C230" i="37"/>
  <c r="L230" i="37" s="1"/>
  <c r="B230" i="37"/>
  <c r="O274" i="37"/>
  <c r="F274" i="37"/>
  <c r="C274" i="37"/>
  <c r="B274" i="37"/>
  <c r="F312" i="37"/>
  <c r="O312" i="37"/>
  <c r="C312" i="37"/>
  <c r="B312" i="37"/>
  <c r="C289" i="37"/>
  <c r="E289" i="37" s="1"/>
  <c r="O291" i="37"/>
  <c r="C291" i="37"/>
  <c r="B291" i="37"/>
  <c r="I297" i="37"/>
  <c r="F297" i="37"/>
  <c r="H297" i="37" s="1"/>
  <c r="B297" i="37"/>
  <c r="K297" i="37" s="1"/>
  <c r="F266" i="37"/>
  <c r="H266" i="37" s="1"/>
  <c r="L282" i="37"/>
  <c r="K282" i="37"/>
  <c r="I282" i="37"/>
  <c r="F282" i="37"/>
  <c r="H282" i="37" s="1"/>
  <c r="E282" i="37"/>
  <c r="B282" i="37"/>
  <c r="G282" i="37" s="1"/>
  <c r="E297" i="37"/>
  <c r="V305" i="37"/>
  <c r="V307" i="37"/>
  <c r="B248" i="37"/>
  <c r="F265" i="37"/>
  <c r="H265" i="37" s="1"/>
  <c r="J297" i="37"/>
  <c r="F240" i="37"/>
  <c r="J240" i="37" s="1"/>
  <c r="C248" i="37"/>
  <c r="J248" i="37" s="1"/>
  <c r="B265" i="37"/>
  <c r="G265" i="37" s="1"/>
  <c r="V267" i="37"/>
  <c r="L279" i="37"/>
  <c r="K279" i="37"/>
  <c r="H279" i="37"/>
  <c r="M304" i="37"/>
  <c r="J304" i="37"/>
  <c r="I304" i="37"/>
  <c r="F304" i="37"/>
  <c r="L304" i="37" s="1"/>
  <c r="L306" i="37"/>
  <c r="F306" i="37"/>
  <c r="H306" i="37" s="1"/>
  <c r="E306" i="37"/>
  <c r="B306" i="37"/>
  <c r="G306" i="37" s="1"/>
  <c r="F288" i="37"/>
  <c r="O288" i="37"/>
  <c r="V299" i="37"/>
  <c r="O265" i="37"/>
  <c r="B288" i="37"/>
  <c r="C288" i="37"/>
  <c r="F290" i="37"/>
  <c r="N290" i="37" s="1"/>
  <c r="E290" i="37"/>
  <c r="B290" i="37"/>
  <c r="M290" i="37" s="1"/>
  <c r="V291" i="37"/>
  <c r="K296" i="37"/>
  <c r="I296" i="37"/>
  <c r="F296" i="37"/>
  <c r="J298" i="37"/>
  <c r="I298" i="37"/>
  <c r="F298" i="37"/>
  <c r="H298" i="37" s="1"/>
  <c r="E298" i="37"/>
  <c r="O298" i="37"/>
  <c r="B298" i="37"/>
  <c r="G298" i="37" s="1"/>
  <c r="E304" i="37"/>
  <c r="V314" i="37"/>
  <c r="F281" i="37"/>
  <c r="O281" i="37"/>
  <c r="G304" i="37"/>
  <c r="B227" i="37"/>
  <c r="K258" i="37"/>
  <c r="E258" i="37"/>
  <c r="O258" i="37"/>
  <c r="O264" i="37"/>
  <c r="F273" i="37"/>
  <c r="H273" i="37" s="1"/>
  <c r="B281" i="37"/>
  <c r="O315" i="37"/>
  <c r="C315" i="37"/>
  <c r="N315" i="37" s="1"/>
  <c r="B315" i="37"/>
  <c r="N327" i="37"/>
  <c r="L359" i="37"/>
  <c r="I359" i="37"/>
  <c r="M207" i="37"/>
  <c r="J207" i="37"/>
  <c r="F209" i="37"/>
  <c r="O210" i="37"/>
  <c r="B211" i="37"/>
  <c r="O226" i="37"/>
  <c r="C227" i="37"/>
  <c r="B243" i="37"/>
  <c r="E253" i="37"/>
  <c r="B258" i="37"/>
  <c r="G258" i="37" s="1"/>
  <c r="E264" i="37"/>
  <c r="B273" i="37"/>
  <c r="G273" i="37" s="1"/>
  <c r="V275" i="37"/>
  <c r="N279" i="37"/>
  <c r="C281" i="37"/>
  <c r="E281" i="37" s="1"/>
  <c r="J290" i="37"/>
  <c r="E296" i="37"/>
  <c r="V306" i="37"/>
  <c r="I313" i="37"/>
  <c r="F313" i="37"/>
  <c r="H313" i="37" s="1"/>
  <c r="O313" i="37"/>
  <c r="B313" i="37"/>
  <c r="G313" i="37" s="1"/>
  <c r="F264" i="37"/>
  <c r="C267" i="37"/>
  <c r="B267" i="37"/>
  <c r="O283" i="37"/>
  <c r="C283" i="37"/>
  <c r="B283" i="37"/>
  <c r="F283" i="37"/>
  <c r="O307" i="37"/>
  <c r="C307" i="37"/>
  <c r="B307" i="37"/>
  <c r="K343" i="37"/>
  <c r="C251" i="37"/>
  <c r="B251" i="37"/>
  <c r="N257" i="37"/>
  <c r="M257" i="37"/>
  <c r="F257" i="37"/>
  <c r="H257" i="37" s="1"/>
  <c r="H258" i="37"/>
  <c r="F267" i="37"/>
  <c r="B272" i="37"/>
  <c r="E273" i="37"/>
  <c r="J280" i="37"/>
  <c r="I280" i="37"/>
  <c r="F280" i="37"/>
  <c r="H280" i="37" s="1"/>
  <c r="V298" i="37"/>
  <c r="E303" i="37"/>
  <c r="F305" i="37"/>
  <c r="O305" i="37"/>
  <c r="B305" i="37"/>
  <c r="F307" i="37"/>
  <c r="J313" i="37"/>
  <c r="F226" i="37"/>
  <c r="F241" i="37"/>
  <c r="B257" i="37"/>
  <c r="G257" i="37" s="1"/>
  <c r="J258" i="37"/>
  <c r="V259" i="37"/>
  <c r="C272" i="37"/>
  <c r="N272" i="37" s="1"/>
  <c r="B280" i="37"/>
  <c r="G280" i="37" s="1"/>
  <c r="V290" i="37"/>
  <c r="V235" i="37"/>
  <c r="K240" i="37"/>
  <c r="L266" i="37"/>
  <c r="K266" i="37"/>
  <c r="I266" i="37"/>
  <c r="E266" i="37"/>
  <c r="F289" i="37"/>
  <c r="O289" i="37"/>
  <c r="B289" i="37"/>
  <c r="O299" i="37"/>
  <c r="C299" i="37"/>
  <c r="I299" i="37" s="1"/>
  <c r="B299" i="37"/>
  <c r="V313" i="37"/>
  <c r="V315" i="37"/>
  <c r="I342" i="37"/>
  <c r="F351" i="37"/>
  <c r="O351" i="37"/>
  <c r="N393" i="37"/>
  <c r="L393" i="37"/>
  <c r="I393" i="37"/>
  <c r="G393" i="37"/>
  <c r="E393" i="37"/>
  <c r="V337" i="37"/>
  <c r="C340" i="37"/>
  <c r="K340" i="37" s="1"/>
  <c r="I350" i="37"/>
  <c r="C351" i="37"/>
  <c r="E351" i="37" s="1"/>
  <c r="N369" i="37"/>
  <c r="L369" i="37"/>
  <c r="I369" i="37"/>
  <c r="C356" i="37"/>
  <c r="E356" i="37" s="1"/>
  <c r="H358" i="37"/>
  <c r="E342" i="37"/>
  <c r="C348" i="37"/>
  <c r="H350" i="37"/>
  <c r="G350" i="37"/>
  <c r="B363" i="37"/>
  <c r="F381" i="37"/>
  <c r="O381" i="37"/>
  <c r="N261" i="37"/>
  <c r="J271" i="37"/>
  <c r="N277" i="37"/>
  <c r="J279" i="37"/>
  <c r="J326" i="37"/>
  <c r="M334" i="37"/>
  <c r="C339" i="37"/>
  <c r="O348" i="37"/>
  <c r="E350" i="37"/>
  <c r="N355" i="37"/>
  <c r="F356" i="37"/>
  <c r="C363" i="37"/>
  <c r="M369" i="37"/>
  <c r="B381" i="37"/>
  <c r="C337" i="37"/>
  <c r="H337" i="37" s="1"/>
  <c r="B337" i="37"/>
  <c r="J342" i="37"/>
  <c r="F348" i="37"/>
  <c r="J358" i="37"/>
  <c r="O363" i="37"/>
  <c r="N368" i="37"/>
  <c r="J368" i="37"/>
  <c r="H368" i="37"/>
  <c r="K372" i="37"/>
  <c r="I372" i="37"/>
  <c r="H372" i="37"/>
  <c r="G372" i="37"/>
  <c r="N372" i="37"/>
  <c r="C381" i="37"/>
  <c r="F339" i="37"/>
  <c r="K342" i="37"/>
  <c r="J350" i="37"/>
  <c r="F363" i="37"/>
  <c r="C383" i="37"/>
  <c r="F383" i="37"/>
  <c r="O383" i="37"/>
  <c r="C252" i="37"/>
  <c r="C260" i="37"/>
  <c r="C268" i="37"/>
  <c r="G268" i="37" s="1"/>
  <c r="O270" i="37"/>
  <c r="C276" i="37"/>
  <c r="H276" i="37" s="1"/>
  <c r="O278" i="37"/>
  <c r="M279" i="37"/>
  <c r="C284" i="37"/>
  <c r="G284" i="37" s="1"/>
  <c r="C292" i="37"/>
  <c r="H292" i="37" s="1"/>
  <c r="O294" i="37"/>
  <c r="C300" i="37"/>
  <c r="H300" i="37" s="1"/>
  <c r="M303" i="37"/>
  <c r="C308" i="37"/>
  <c r="O310" i="37"/>
  <c r="C316" i="37"/>
  <c r="E336" i="37"/>
  <c r="O336" i="37"/>
  <c r="K336" i="37"/>
  <c r="L342" i="37"/>
  <c r="C347" i="37"/>
  <c r="E347" i="37" s="1"/>
  <c r="K350" i="37"/>
  <c r="O355" i="37"/>
  <c r="L358" i="37"/>
  <c r="E368" i="37"/>
  <c r="E372" i="37"/>
  <c r="O377" i="37"/>
  <c r="B383" i="37"/>
  <c r="L350" i="37"/>
  <c r="M358" i="37"/>
  <c r="M375" i="37"/>
  <c r="F335" i="37"/>
  <c r="N335" i="37" s="1"/>
  <c r="N342" i="37"/>
  <c r="C345" i="37"/>
  <c r="K345" i="37" s="1"/>
  <c r="B345" i="37"/>
  <c r="F347" i="37"/>
  <c r="M350" i="37"/>
  <c r="H355" i="37"/>
  <c r="N358" i="37"/>
  <c r="M368" i="37"/>
  <c r="J372" i="37"/>
  <c r="B302" i="37"/>
  <c r="B310" i="37"/>
  <c r="F316" i="37"/>
  <c r="B318" i="37"/>
  <c r="M319" i="37"/>
  <c r="C321" i="37"/>
  <c r="G322" i="37"/>
  <c r="B335" i="37"/>
  <c r="M335" i="37" s="1"/>
  <c r="O345" i="37"/>
  <c r="O356" i="37"/>
  <c r="O360" i="37"/>
  <c r="C360" i="37"/>
  <c r="M360" i="37" s="1"/>
  <c r="V365" i="37"/>
  <c r="L372" i="37"/>
  <c r="C254" i="37"/>
  <c r="L254" i="37" s="1"/>
  <c r="C262" i="37"/>
  <c r="L262" i="37" s="1"/>
  <c r="C270" i="37"/>
  <c r="C278" i="37"/>
  <c r="M278" i="37" s="1"/>
  <c r="C286" i="37"/>
  <c r="M286" i="37" s="1"/>
  <c r="C294" i="37"/>
  <c r="M294" i="37" s="1"/>
  <c r="C302" i="37"/>
  <c r="M302" i="37" s="1"/>
  <c r="C310" i="37"/>
  <c r="C318" i="37"/>
  <c r="M318" i="37" s="1"/>
  <c r="O323" i="37"/>
  <c r="C324" i="37"/>
  <c r="C332" i="37"/>
  <c r="O344" i="37"/>
  <c r="O352" i="37"/>
  <c r="C352" i="37"/>
  <c r="M372" i="37"/>
  <c r="C391" i="37"/>
  <c r="B391" i="37"/>
  <c r="F391" i="37"/>
  <c r="O391" i="37"/>
  <c r="B405" i="37"/>
  <c r="F405" i="37"/>
  <c r="O405" i="37"/>
  <c r="O318" i="37"/>
  <c r="B323" i="37"/>
  <c r="B324" i="37"/>
  <c r="I326" i="37"/>
  <c r="C329" i="37"/>
  <c r="B332" i="37"/>
  <c r="O335" i="37"/>
  <c r="B344" i="37"/>
  <c r="F345" i="37"/>
  <c r="B352" i="37"/>
  <c r="B366" i="37"/>
  <c r="C405" i="37"/>
  <c r="C323" i="37"/>
  <c r="O332" i="37"/>
  <c r="E335" i="37"/>
  <c r="F343" i="37"/>
  <c r="C344" i="37"/>
  <c r="K344" i="37" s="1"/>
  <c r="F352" i="37"/>
  <c r="G359" i="37"/>
  <c r="F359" i="37"/>
  <c r="N359" i="37" s="1"/>
  <c r="E359" i="37"/>
  <c r="O359" i="37"/>
  <c r="C366" i="37"/>
  <c r="F382" i="37"/>
  <c r="J382" i="37" s="1"/>
  <c r="E382" i="37"/>
  <c r="M382" i="37"/>
  <c r="B385" i="37"/>
  <c r="C385" i="37"/>
  <c r="N385" i="37" s="1"/>
  <c r="V415" i="37"/>
  <c r="O442" i="37"/>
  <c r="C442" i="37"/>
  <c r="J442" i="37" s="1"/>
  <c r="B442" i="37"/>
  <c r="F442" i="37"/>
  <c r="O358" i="37"/>
  <c r="O365" i="37"/>
  <c r="B386" i="37"/>
  <c r="C386" i="37"/>
  <c r="L386" i="37" s="1"/>
  <c r="F387" i="37"/>
  <c r="N392" i="37"/>
  <c r="L392" i="37"/>
  <c r="V407" i="37"/>
  <c r="F411" i="37"/>
  <c r="G412" i="37"/>
  <c r="F422" i="37"/>
  <c r="C422" i="37"/>
  <c r="G422" i="37" s="1"/>
  <c r="E428" i="37"/>
  <c r="V431" i="37"/>
  <c r="I368" i="37"/>
  <c r="G368" i="37"/>
  <c r="G369" i="37"/>
  <c r="E369" i="37"/>
  <c r="C370" i="37"/>
  <c r="K370" i="37" s="1"/>
  <c r="E392" i="37"/>
  <c r="V402" i="37"/>
  <c r="N404" i="37"/>
  <c r="B404" i="37"/>
  <c r="G404" i="37" s="1"/>
  <c r="L404" i="37"/>
  <c r="J404" i="37"/>
  <c r="O422" i="37"/>
  <c r="G428" i="37"/>
  <c r="F430" i="37"/>
  <c r="C430" i="37"/>
  <c r="K430" i="37" s="1"/>
  <c r="O445" i="37"/>
  <c r="K417" i="37"/>
  <c r="B426" i="37"/>
  <c r="M433" i="37"/>
  <c r="J433" i="37"/>
  <c r="O373" i="37"/>
  <c r="M373" i="37"/>
  <c r="K374" i="37"/>
  <c r="C378" i="37"/>
  <c r="H378" i="37" s="1"/>
  <c r="J390" i="37"/>
  <c r="E390" i="37"/>
  <c r="B390" i="37"/>
  <c r="K390" i="37" s="1"/>
  <c r="O390" i="37"/>
  <c r="V406" i="37"/>
  <c r="J408" i="37"/>
  <c r="E409" i="37"/>
  <c r="B421" i="37"/>
  <c r="I421" i="37" s="1"/>
  <c r="C426" i="37"/>
  <c r="L428" i="37"/>
  <c r="E404" i="37"/>
  <c r="O426" i="37"/>
  <c r="G433" i="37"/>
  <c r="C454" i="37"/>
  <c r="N454" i="37" s="1"/>
  <c r="B454" i="37"/>
  <c r="C407" i="37"/>
  <c r="B407" i="37"/>
  <c r="G409" i="37"/>
  <c r="E421" i="37"/>
  <c r="F426" i="37"/>
  <c r="B389" i="37"/>
  <c r="O407" i="37"/>
  <c r="H409" i="37"/>
  <c r="H417" i="37"/>
  <c r="F421" i="37"/>
  <c r="H421" i="37" s="1"/>
  <c r="E373" i="37"/>
  <c r="E374" i="37"/>
  <c r="F377" i="37"/>
  <c r="C389" i="37"/>
  <c r="B395" i="37"/>
  <c r="M395" i="37" s="1"/>
  <c r="N395" i="37"/>
  <c r="B402" i="37"/>
  <c r="C402" i="37"/>
  <c r="N402" i="37" s="1"/>
  <c r="H404" i="37"/>
  <c r="H408" i="37"/>
  <c r="J409" i="37"/>
  <c r="B353" i="37"/>
  <c r="B361" i="37"/>
  <c r="G361" i="37" s="1"/>
  <c r="F373" i="37"/>
  <c r="F374" i="37"/>
  <c r="J374" i="37" s="1"/>
  <c r="F375" i="37"/>
  <c r="F376" i="37"/>
  <c r="H390" i="37"/>
  <c r="F407" i="37"/>
  <c r="I408" i="37"/>
  <c r="L417" i="37"/>
  <c r="V418" i="37"/>
  <c r="E425" i="37"/>
  <c r="K365" i="37"/>
  <c r="K368" i="37"/>
  <c r="K369" i="37"/>
  <c r="G374" i="37"/>
  <c r="V386" i="37"/>
  <c r="B388" i="37"/>
  <c r="I388" i="37" s="1"/>
  <c r="L388" i="37"/>
  <c r="E406" i="37"/>
  <c r="B406" i="37"/>
  <c r="M409" i="37"/>
  <c r="M417" i="37"/>
  <c r="K421" i="37"/>
  <c r="C434" i="37"/>
  <c r="B434" i="37"/>
  <c r="F452" i="37"/>
  <c r="O452" i="37"/>
  <c r="C452" i="37"/>
  <c r="B452" i="37"/>
  <c r="N417" i="37"/>
  <c r="V438" i="37"/>
  <c r="M471" i="37"/>
  <c r="E471" i="37"/>
  <c r="C387" i="37"/>
  <c r="O387" i="37"/>
  <c r="L390" i="37"/>
  <c r="B401" i="37"/>
  <c r="N408" i="37"/>
  <c r="B411" i="37"/>
  <c r="C423" i="37"/>
  <c r="F423" i="37"/>
  <c r="B387" i="37"/>
  <c r="N390" i="37"/>
  <c r="M393" i="37"/>
  <c r="C401" i="37"/>
  <c r="B423" i="37"/>
  <c r="F444" i="37"/>
  <c r="O444" i="37"/>
  <c r="C444" i="37"/>
  <c r="E444" i="37" s="1"/>
  <c r="C460" i="37"/>
  <c r="L460" i="37" s="1"/>
  <c r="B460" i="37"/>
  <c r="F473" i="37"/>
  <c r="H473" i="37" s="1"/>
  <c r="E473" i="37"/>
  <c r="B473" i="37"/>
  <c r="M473" i="37" s="1"/>
  <c r="C431" i="37"/>
  <c r="M431" i="37" s="1"/>
  <c r="E445" i="37"/>
  <c r="O458" i="37"/>
  <c r="C458" i="37"/>
  <c r="H458" i="37" s="1"/>
  <c r="B458" i="37"/>
  <c r="L489" i="37"/>
  <c r="F445" i="37"/>
  <c r="N445" i="37" s="1"/>
  <c r="K468" i="37"/>
  <c r="I468" i="37"/>
  <c r="G468" i="37"/>
  <c r="V475" i="37"/>
  <c r="O478" i="37"/>
  <c r="C478" i="37"/>
  <c r="F478" i="37"/>
  <c r="B478" i="37"/>
  <c r="N506" i="37"/>
  <c r="V466" i="37"/>
  <c r="V469" i="37"/>
  <c r="O450" i="37"/>
  <c r="C450" i="37"/>
  <c r="B450" i="37"/>
  <c r="C462" i="37"/>
  <c r="F476" i="37"/>
  <c r="O476" i="37"/>
  <c r="B476" i="37"/>
  <c r="F483" i="37"/>
  <c r="O483" i="37"/>
  <c r="B483" i="37"/>
  <c r="F485" i="37"/>
  <c r="O485" i="37"/>
  <c r="B485" i="37"/>
  <c r="N498" i="37"/>
  <c r="H498" i="37"/>
  <c r="G498" i="37"/>
  <c r="H506" i="37"/>
  <c r="G506" i="37"/>
  <c r="K393" i="37"/>
  <c r="K400" i="37"/>
  <c r="I409" i="37"/>
  <c r="H412" i="37"/>
  <c r="V426" i="37"/>
  <c r="L459" i="37"/>
  <c r="B462" i="37"/>
  <c r="C470" i="37"/>
  <c r="M470" i="37" s="1"/>
  <c r="C476" i="37"/>
  <c r="C483" i="37"/>
  <c r="C485" i="37"/>
  <c r="H487" i="37"/>
  <c r="V501" i="37"/>
  <c r="C439" i="37"/>
  <c r="N439" i="37" s="1"/>
  <c r="H443" i="37"/>
  <c r="F450" i="37"/>
  <c r="O462" i="37"/>
  <c r="F474" i="37"/>
  <c r="O474" i="37"/>
  <c r="B474" i="37"/>
  <c r="F480" i="37"/>
  <c r="O480" i="37"/>
  <c r="B480" i="37"/>
  <c r="N428" i="37"/>
  <c r="K428" i="37"/>
  <c r="I428" i="37"/>
  <c r="C429" i="37"/>
  <c r="B439" i="37"/>
  <c r="C447" i="37"/>
  <c r="J447" i="37" s="1"/>
  <c r="F462" i="37"/>
  <c r="F468" i="37"/>
  <c r="L468" i="37" s="1"/>
  <c r="C474" i="37"/>
  <c r="V478" i="37"/>
  <c r="C480" i="37"/>
  <c r="N480" i="37" s="1"/>
  <c r="J498" i="37"/>
  <c r="M506" i="37"/>
  <c r="F470" i="37"/>
  <c r="K511" i="37"/>
  <c r="M511" i="37"/>
  <c r="O564" i="37"/>
  <c r="F564" i="37"/>
  <c r="C564" i="37"/>
  <c r="I564" i="37" s="1"/>
  <c r="B564" i="37"/>
  <c r="F429" i="37"/>
  <c r="V434" i="37"/>
  <c r="C438" i="37"/>
  <c r="K438" i="37" s="1"/>
  <c r="V458" i="37"/>
  <c r="C461" i="37"/>
  <c r="O466" i="37"/>
  <c r="C466" i="37"/>
  <c r="B466" i="37"/>
  <c r="C488" i="37"/>
  <c r="I488" i="37" s="1"/>
  <c r="F477" i="37"/>
  <c r="O477" i="37"/>
  <c r="B477" i="37"/>
  <c r="O393" i="37"/>
  <c r="B394" i="37"/>
  <c r="C399" i="37"/>
  <c r="N399" i="37" s="1"/>
  <c r="C437" i="37"/>
  <c r="F438" i="37"/>
  <c r="C446" i="37"/>
  <c r="F461" i="37"/>
  <c r="C477" i="37"/>
  <c r="B469" i="37"/>
  <c r="F475" i="37"/>
  <c r="O475" i="37"/>
  <c r="B475" i="37"/>
  <c r="F482" i="37"/>
  <c r="O482" i="37"/>
  <c r="B482" i="37"/>
  <c r="O409" i="37"/>
  <c r="B410" i="37"/>
  <c r="K410" i="37" s="1"/>
  <c r="N412" i="37"/>
  <c r="I412" i="37"/>
  <c r="C415" i="37"/>
  <c r="M415" i="37" s="1"/>
  <c r="B418" i="37"/>
  <c r="C419" i="37"/>
  <c r="N419" i="37" s="1"/>
  <c r="C420" i="37"/>
  <c r="H428" i="37"/>
  <c r="C436" i="37"/>
  <c r="B445" i="37"/>
  <c r="G445" i="37" s="1"/>
  <c r="F446" i="37"/>
  <c r="V450" i="37"/>
  <c r="C469" i="37"/>
  <c r="N469" i="37" s="1"/>
  <c r="C475" i="37"/>
  <c r="C482" i="37"/>
  <c r="B497" i="37"/>
  <c r="V513" i="37"/>
  <c r="C515" i="37"/>
  <c r="K515" i="37" s="1"/>
  <c r="O515" i="37"/>
  <c r="F560" i="37"/>
  <c r="C560" i="37"/>
  <c r="B560" i="37"/>
  <c r="O560" i="37"/>
  <c r="O486" i="37"/>
  <c r="C486" i="37"/>
  <c r="M486" i="37" s="1"/>
  <c r="O496" i="37"/>
  <c r="C497" i="37"/>
  <c r="B505" i="37"/>
  <c r="N519" i="37"/>
  <c r="M519" i="37"/>
  <c r="K519" i="37"/>
  <c r="G519" i="37"/>
  <c r="N542" i="37"/>
  <c r="K542" i="37"/>
  <c r="O556" i="37"/>
  <c r="F556" i="37"/>
  <c r="C556" i="37"/>
  <c r="G556" i="37" s="1"/>
  <c r="B562" i="37"/>
  <c r="F562" i="37"/>
  <c r="O562" i="37"/>
  <c r="C562" i="37"/>
  <c r="E562" i="37" s="1"/>
  <c r="I504" i="37"/>
  <c r="F486" i="37"/>
  <c r="O494" i="37"/>
  <c r="C494" i="37"/>
  <c r="H494" i="37" s="1"/>
  <c r="F497" i="37"/>
  <c r="I498" i="37"/>
  <c r="B504" i="37"/>
  <c r="G504" i="37" s="1"/>
  <c r="F509" i="37"/>
  <c r="C509" i="37"/>
  <c r="J522" i="37"/>
  <c r="V562" i="37"/>
  <c r="N539" i="37"/>
  <c r="K539" i="37"/>
  <c r="O433" i="37"/>
  <c r="O441" i="37"/>
  <c r="C455" i="37"/>
  <c r="O457" i="37"/>
  <c r="C463" i="37"/>
  <c r="H463" i="37" s="1"/>
  <c r="O471" i="37"/>
  <c r="C472" i="37"/>
  <c r="E472" i="37" s="1"/>
  <c r="N481" i="37"/>
  <c r="M481" i="37"/>
  <c r="C484" i="37"/>
  <c r="G484" i="37" s="1"/>
  <c r="F493" i="37"/>
  <c r="J493" i="37" s="1"/>
  <c r="E493" i="37"/>
  <c r="E504" i="37"/>
  <c r="O509" i="37"/>
  <c r="C521" i="37"/>
  <c r="N521" i="37" s="1"/>
  <c r="B521" i="37"/>
  <c r="N522" i="37"/>
  <c r="G539" i="37"/>
  <c r="L542" i="37"/>
  <c r="B549" i="37"/>
  <c r="F549" i="37"/>
  <c r="O549" i="37"/>
  <c r="C549" i="37"/>
  <c r="E549" i="37" s="1"/>
  <c r="O502" i="37"/>
  <c r="C502" i="37"/>
  <c r="F504" i="37"/>
  <c r="L504" i="37" s="1"/>
  <c r="C513" i="37"/>
  <c r="B513" i="37"/>
  <c r="N534" i="37"/>
  <c r="K534" i="37"/>
  <c r="M542" i="37"/>
  <c r="V582" i="37"/>
  <c r="F471" i="37"/>
  <c r="V489" i="37"/>
  <c r="B502" i="37"/>
  <c r="O513" i="37"/>
  <c r="L519" i="37"/>
  <c r="N541" i="37"/>
  <c r="J541" i="37"/>
  <c r="M628" i="37"/>
  <c r="I628" i="37"/>
  <c r="E628" i="37"/>
  <c r="F472" i="37"/>
  <c r="F484" i="37"/>
  <c r="C491" i="37"/>
  <c r="N491" i="37" s="1"/>
  <c r="F501" i="37"/>
  <c r="O501" i="37"/>
  <c r="F517" i="37"/>
  <c r="C517" i="37"/>
  <c r="K517" i="37" s="1"/>
  <c r="G534" i="37"/>
  <c r="V549" i="37"/>
  <c r="F552" i="37"/>
  <c r="C552" i="37"/>
  <c r="E552" i="37" s="1"/>
  <c r="O552" i="37"/>
  <c r="B552" i="37"/>
  <c r="K570" i="37"/>
  <c r="J495" i="37"/>
  <c r="O497" i="37"/>
  <c r="F502" i="37"/>
  <c r="J504" i="37"/>
  <c r="O512" i="37"/>
  <c r="F513" i="37"/>
  <c r="E570" i="37"/>
  <c r="F481" i="37"/>
  <c r="L481" i="37" s="1"/>
  <c r="B490" i="37"/>
  <c r="O491" i="37"/>
  <c r="V497" i="37"/>
  <c r="C501" i="37"/>
  <c r="V505" i="37"/>
  <c r="C507" i="37"/>
  <c r="B512" i="37"/>
  <c r="O520" i="37"/>
  <c r="F523" i="37"/>
  <c r="C523" i="37"/>
  <c r="L534" i="37"/>
  <c r="H541" i="37"/>
  <c r="C490" i="37"/>
  <c r="C499" i="37"/>
  <c r="N499" i="37" s="1"/>
  <c r="C512" i="37"/>
  <c r="M534" i="37"/>
  <c r="F555" i="37"/>
  <c r="O555" i="37"/>
  <c r="C555" i="37"/>
  <c r="B555" i="37"/>
  <c r="K471" i="37"/>
  <c r="N489" i="37"/>
  <c r="B489" i="37"/>
  <c r="M489" i="37" s="1"/>
  <c r="O490" i="37"/>
  <c r="L498" i="37"/>
  <c r="E498" i="37"/>
  <c r="L506" i="37"/>
  <c r="K506" i="37"/>
  <c r="E506" i="37"/>
  <c r="J508" i="37"/>
  <c r="F512" i="37"/>
  <c r="V521" i="37"/>
  <c r="K526" i="37"/>
  <c r="J533" i="37"/>
  <c r="V554" i="37"/>
  <c r="C565" i="37"/>
  <c r="B565" i="37"/>
  <c r="I526" i="37"/>
  <c r="I534" i="37"/>
  <c r="I542" i="37"/>
  <c r="L548" i="37"/>
  <c r="M563" i="37"/>
  <c r="F563" i="37"/>
  <c r="J563" i="37" s="1"/>
  <c r="F565" i="37"/>
  <c r="L573" i="37"/>
  <c r="F646" i="37"/>
  <c r="C646" i="37"/>
  <c r="E646" i="37" s="1"/>
  <c r="O646" i="37"/>
  <c r="B646" i="37"/>
  <c r="V560" i="37"/>
  <c r="B554" i="37"/>
  <c r="G554" i="37" s="1"/>
  <c r="N554" i="37"/>
  <c r="H554" i="37"/>
  <c r="V578" i="37"/>
  <c r="O586" i="37"/>
  <c r="C586" i="37"/>
  <c r="M586" i="37" s="1"/>
  <c r="V581" i="37"/>
  <c r="E551" i="37"/>
  <c r="N551" i="37"/>
  <c r="E563" i="37"/>
  <c r="F572" i="37"/>
  <c r="C572" i="37"/>
  <c r="E572" i="37" s="1"/>
  <c r="B572" i="37"/>
  <c r="E576" i="37"/>
  <c r="M576" i="37"/>
  <c r="L576" i="37"/>
  <c r="J576" i="37"/>
  <c r="O594" i="37"/>
  <c r="C594" i="37"/>
  <c r="B594" i="37"/>
  <c r="E522" i="37"/>
  <c r="V546" i="37"/>
  <c r="B550" i="37"/>
  <c r="K550" i="37" s="1"/>
  <c r="B551" i="37"/>
  <c r="I551" i="37" s="1"/>
  <c r="E553" i="37"/>
  <c r="E554" i="37"/>
  <c r="G563" i="37"/>
  <c r="F568" i="37"/>
  <c r="C568" i="37"/>
  <c r="B568" i="37"/>
  <c r="O572" i="37"/>
  <c r="K582" i="37"/>
  <c r="F586" i="37"/>
  <c r="F594" i="37"/>
  <c r="F596" i="37"/>
  <c r="C613" i="37"/>
  <c r="B613" i="37"/>
  <c r="O613" i="37"/>
  <c r="F613" i="37"/>
  <c r="B605" i="37"/>
  <c r="F605" i="37"/>
  <c r="O605" i="37"/>
  <c r="F547" i="37"/>
  <c r="N548" i="37"/>
  <c r="K548" i="37"/>
  <c r="O548" i="37"/>
  <c r="O550" i="37"/>
  <c r="G553" i="37"/>
  <c r="V557" i="37"/>
  <c r="V565" i="37"/>
  <c r="K573" i="37"/>
  <c r="G576" i="37"/>
  <c r="V577" i="37"/>
  <c r="I582" i="37"/>
  <c r="C596" i="37"/>
  <c r="K596" i="37" s="1"/>
  <c r="C605" i="37"/>
  <c r="E605" i="37" s="1"/>
  <c r="B525" i="37"/>
  <c r="J534" i="37"/>
  <c r="J542" i="37"/>
  <c r="F551" i="37"/>
  <c r="L551" i="37" s="1"/>
  <c r="I554" i="37"/>
  <c r="E559" i="37"/>
  <c r="E567" i="37"/>
  <c r="N567" i="37"/>
  <c r="I576" i="37"/>
  <c r="F585" i="37"/>
  <c r="O585" i="37"/>
  <c r="C585" i="37"/>
  <c r="N585" i="37" s="1"/>
  <c r="L588" i="37"/>
  <c r="H588" i="37"/>
  <c r="V589" i="37"/>
  <c r="E668" i="37"/>
  <c r="K668" i="37"/>
  <c r="I668" i="37"/>
  <c r="H668" i="37"/>
  <c r="I522" i="37"/>
  <c r="C525" i="37"/>
  <c r="E525" i="37" s="1"/>
  <c r="F528" i="37"/>
  <c r="O529" i="37"/>
  <c r="B530" i="37"/>
  <c r="B533" i="37"/>
  <c r="M533" i="37" s="1"/>
  <c r="F536" i="37"/>
  <c r="B538" i="37"/>
  <c r="L541" i="37"/>
  <c r="B541" i="37"/>
  <c r="K541" i="37" s="1"/>
  <c r="F544" i="37"/>
  <c r="O545" i="37"/>
  <c r="B546" i="37"/>
  <c r="K546" i="37" s="1"/>
  <c r="F550" i="37"/>
  <c r="J550" i="37" s="1"/>
  <c r="I553" i="37"/>
  <c r="J554" i="37"/>
  <c r="F558" i="37"/>
  <c r="K563" i="37"/>
  <c r="K576" i="37"/>
  <c r="V583" i="37"/>
  <c r="M611" i="37"/>
  <c r="K553" i="37"/>
  <c r="J601" i="37"/>
  <c r="H601" i="37"/>
  <c r="O606" i="37"/>
  <c r="F606" i="37"/>
  <c r="C606" i="37"/>
  <c r="J606" i="37" s="1"/>
  <c r="O624" i="37"/>
  <c r="B624" i="37"/>
  <c r="F624" i="37"/>
  <c r="C624" i="37"/>
  <c r="E624" i="37" s="1"/>
  <c r="C510" i="37"/>
  <c r="M510" i="37" s="1"/>
  <c r="C518" i="37"/>
  <c r="M518" i="37" s="1"/>
  <c r="K522" i="37"/>
  <c r="G524" i="37"/>
  <c r="O526" i="37"/>
  <c r="C527" i="37"/>
  <c r="I527" i="37" s="1"/>
  <c r="C528" i="37"/>
  <c r="I528" i="37" s="1"/>
  <c r="C529" i="37"/>
  <c r="J529" i="37" s="1"/>
  <c r="O531" i="37"/>
  <c r="C532" i="37"/>
  <c r="N532" i="37" s="1"/>
  <c r="O533" i="37"/>
  <c r="O534" i="37"/>
  <c r="C535" i="37"/>
  <c r="H535" i="37" s="1"/>
  <c r="C536" i="37"/>
  <c r="L536" i="37" s="1"/>
  <c r="C537" i="37"/>
  <c r="E537" i="37" s="1"/>
  <c r="O539" i="37"/>
  <c r="C540" i="37"/>
  <c r="E540" i="37" s="1"/>
  <c r="O542" i="37"/>
  <c r="C543" i="37"/>
  <c r="H543" i="37" s="1"/>
  <c r="C544" i="37"/>
  <c r="C545" i="37"/>
  <c r="E545" i="37" s="1"/>
  <c r="L553" i="37"/>
  <c r="L554" i="37"/>
  <c r="C558" i="37"/>
  <c r="K558" i="37" s="1"/>
  <c r="F559" i="37"/>
  <c r="H559" i="37" s="1"/>
  <c r="F567" i="37"/>
  <c r="H567" i="37" s="1"/>
  <c r="F525" i="37"/>
  <c r="E526" i="37"/>
  <c r="O527" i="37"/>
  <c r="E533" i="37"/>
  <c r="E534" i="37"/>
  <c r="E539" i="37"/>
  <c r="E541" i="37"/>
  <c r="E542" i="37"/>
  <c r="O544" i="37"/>
  <c r="B557" i="37"/>
  <c r="O558" i="37"/>
  <c r="G559" i="37"/>
  <c r="B587" i="37"/>
  <c r="J587" i="37"/>
  <c r="H587" i="37"/>
  <c r="J588" i="37"/>
  <c r="O602" i="37"/>
  <c r="C602" i="37"/>
  <c r="G642" i="37"/>
  <c r="L642" i="37"/>
  <c r="J642" i="37"/>
  <c r="I642" i="37"/>
  <c r="E642" i="37"/>
  <c r="B649" i="37"/>
  <c r="O649" i="37"/>
  <c r="F649" i="37"/>
  <c r="C649" i="37"/>
  <c r="B602" i="37"/>
  <c r="O730" i="37"/>
  <c r="C730" i="37"/>
  <c r="F730" i="37"/>
  <c r="B730" i="37"/>
  <c r="J553" i="37"/>
  <c r="E595" i="37"/>
  <c r="L608" i="37"/>
  <c r="J608" i="37"/>
  <c r="I608" i="37"/>
  <c r="F608" i="37"/>
  <c r="N608" i="37" s="1"/>
  <c r="B608" i="37"/>
  <c r="M608" i="37" s="1"/>
  <c r="N639" i="37"/>
  <c r="H639" i="37"/>
  <c r="F593" i="37"/>
  <c r="F602" i="37"/>
  <c r="M642" i="37"/>
  <c r="F610" i="37"/>
  <c r="L610" i="37" s="1"/>
  <c r="B610" i="37"/>
  <c r="K610" i="37" s="1"/>
  <c r="K618" i="37"/>
  <c r="O620" i="37"/>
  <c r="F627" i="37"/>
  <c r="B627" i="37"/>
  <c r="L634" i="37"/>
  <c r="F652" i="37"/>
  <c r="O652" i="37"/>
  <c r="B652" i="37"/>
  <c r="N663" i="37"/>
  <c r="B620" i="37"/>
  <c r="B625" i="37"/>
  <c r="F625" i="37"/>
  <c r="O625" i="37"/>
  <c r="C627" i="37"/>
  <c r="C652" i="37"/>
  <c r="V579" i="37"/>
  <c r="C591" i="37"/>
  <c r="E591" i="37" s="1"/>
  <c r="H592" i="37"/>
  <c r="M592" i="37"/>
  <c r="O593" i="37"/>
  <c r="J595" i="37"/>
  <c r="O610" i="37"/>
  <c r="E612" i="37"/>
  <c r="N612" i="37"/>
  <c r="L612" i="37"/>
  <c r="J612" i="37"/>
  <c r="H612" i="37"/>
  <c r="B612" i="37"/>
  <c r="G612" i="37" s="1"/>
  <c r="C620" i="37"/>
  <c r="J620" i="37" s="1"/>
  <c r="C625" i="37"/>
  <c r="E625" i="37" s="1"/>
  <c r="O627" i="37"/>
  <c r="O632" i="37"/>
  <c r="B632" i="37"/>
  <c r="F632" i="37"/>
  <c r="C632" i="37"/>
  <c r="L595" i="37"/>
  <c r="E610" i="37"/>
  <c r="F566" i="37"/>
  <c r="N566" i="37" s="1"/>
  <c r="F569" i="37"/>
  <c r="O570" i="37"/>
  <c r="B571" i="37"/>
  <c r="N573" i="37"/>
  <c r="C575" i="37"/>
  <c r="H576" i="37"/>
  <c r="E592" i="37"/>
  <c r="M595" i="37"/>
  <c r="F599" i="37"/>
  <c r="C599" i="37"/>
  <c r="I599" i="37" s="1"/>
  <c r="O599" i="37"/>
  <c r="M604" i="37"/>
  <c r="F604" i="37"/>
  <c r="N604" i="37" s="1"/>
  <c r="F620" i="37"/>
  <c r="V706" i="37"/>
  <c r="B569" i="37"/>
  <c r="B570" i="37"/>
  <c r="I570" i="37" s="1"/>
  <c r="C571" i="37"/>
  <c r="K571" i="37" s="1"/>
  <c r="B573" i="37"/>
  <c r="G573" i="37" s="1"/>
  <c r="B574" i="37"/>
  <c r="B575" i="37"/>
  <c r="F577" i="37"/>
  <c r="H577" i="37" s="1"/>
  <c r="O578" i="37"/>
  <c r="B579" i="37"/>
  <c r="B580" i="37"/>
  <c r="I580" i="37" s="1"/>
  <c r="L582" i="37"/>
  <c r="E582" i="37"/>
  <c r="C583" i="37"/>
  <c r="J583" i="37" s="1"/>
  <c r="I588" i="37"/>
  <c r="C589" i="37"/>
  <c r="L607" i="37"/>
  <c r="J607" i="37"/>
  <c r="I607" i="37"/>
  <c r="F607" i="37"/>
  <c r="H607" i="37" s="1"/>
  <c r="B607" i="37"/>
  <c r="G607" i="37" s="1"/>
  <c r="F638" i="37"/>
  <c r="C638" i="37"/>
  <c r="I638" i="37" s="1"/>
  <c r="I617" i="37"/>
  <c r="B665" i="37"/>
  <c r="F665" i="37"/>
  <c r="O665" i="37"/>
  <c r="C665" i="37"/>
  <c r="O609" i="37"/>
  <c r="F609" i="37"/>
  <c r="B609" i="37"/>
  <c r="F619" i="37"/>
  <c r="B619" i="37"/>
  <c r="K629" i="37"/>
  <c r="F570" i="37"/>
  <c r="J570" i="37" s="1"/>
  <c r="F571" i="37"/>
  <c r="E573" i="37"/>
  <c r="F574" i="37"/>
  <c r="F575" i="37"/>
  <c r="O577" i="37"/>
  <c r="E580" i="37"/>
  <c r="O581" i="37"/>
  <c r="K592" i="37"/>
  <c r="C597" i="37"/>
  <c r="G604" i="37"/>
  <c r="E607" i="37"/>
  <c r="C609" i="37"/>
  <c r="J609" i="37" s="1"/>
  <c r="C619" i="37"/>
  <c r="N619" i="37" s="1"/>
  <c r="V623" i="37"/>
  <c r="L628" i="37"/>
  <c r="J628" i="37"/>
  <c r="H628" i="37"/>
  <c r="G628" i="37"/>
  <c r="N628" i="37"/>
  <c r="K628" i="37"/>
  <c r="B633" i="37"/>
  <c r="G633" i="37" s="1"/>
  <c r="L633" i="37"/>
  <c r="K633" i="37"/>
  <c r="F633" i="37"/>
  <c r="H633" i="37" s="1"/>
  <c r="M660" i="37"/>
  <c r="K660" i="37"/>
  <c r="I660" i="37"/>
  <c r="E660" i="37"/>
  <c r="F611" i="37"/>
  <c r="L611" i="37" s="1"/>
  <c r="N611" i="37"/>
  <c r="B611" i="37"/>
  <c r="K611" i="37" s="1"/>
  <c r="L688" i="37"/>
  <c r="J688" i="37"/>
  <c r="O656" i="37"/>
  <c r="B656" i="37"/>
  <c r="C656" i="37"/>
  <c r="E656" i="37" s="1"/>
  <c r="V672" i="37"/>
  <c r="M647" i="37"/>
  <c r="G647" i="37"/>
  <c r="F659" i="37"/>
  <c r="I704" i="37"/>
  <c r="M704" i="37"/>
  <c r="J704" i="37"/>
  <c r="H704" i="37"/>
  <c r="G704" i="37"/>
  <c r="E704" i="37"/>
  <c r="G595" i="37"/>
  <c r="V624" i="37"/>
  <c r="B659" i="37"/>
  <c r="B673" i="37"/>
  <c r="O673" i="37"/>
  <c r="V683" i="37"/>
  <c r="C667" i="37"/>
  <c r="B667" i="37"/>
  <c r="F682" i="37"/>
  <c r="C682" i="37"/>
  <c r="O693" i="37"/>
  <c r="B693" i="37"/>
  <c r="F693" i="37"/>
  <c r="C693" i="37"/>
  <c r="H643" i="37"/>
  <c r="G643" i="37"/>
  <c r="F658" i="37"/>
  <c r="F662" i="37"/>
  <c r="C662" i="37"/>
  <c r="O662" i="37"/>
  <c r="B662" i="37"/>
  <c r="F678" i="37"/>
  <c r="C678" i="37"/>
  <c r="M678" i="37" s="1"/>
  <c r="B682" i="37"/>
  <c r="O682" i="37"/>
  <c r="O691" i="37"/>
  <c r="F691" i="37"/>
  <c r="C691" i="37"/>
  <c r="O713" i="37"/>
  <c r="F713" i="37"/>
  <c r="C713" i="37"/>
  <c r="B713" i="37"/>
  <c r="E590" i="37"/>
  <c r="G614" i="37"/>
  <c r="E618" i="37"/>
  <c r="E643" i="37"/>
  <c r="C658" i="37"/>
  <c r="B691" i="37"/>
  <c r="O664" i="37"/>
  <c r="B664" i="37"/>
  <c r="C664" i="37"/>
  <c r="O701" i="37"/>
  <c r="C701" i="37"/>
  <c r="L701" i="37" s="1"/>
  <c r="F701" i="37"/>
  <c r="C637" i="37"/>
  <c r="J637" i="37" s="1"/>
  <c r="B637" i="37"/>
  <c r="J643" i="37"/>
  <c r="B701" i="37"/>
  <c r="B601" i="37"/>
  <c r="I601" i="37" s="1"/>
  <c r="J618" i="37"/>
  <c r="F623" i="37"/>
  <c r="O623" i="37"/>
  <c r="F631" i="37"/>
  <c r="H631" i="37" s="1"/>
  <c r="O631" i="37"/>
  <c r="O637" i="37"/>
  <c r="K643" i="37"/>
  <c r="I651" i="37"/>
  <c r="G651" i="37"/>
  <c r="O651" i="37"/>
  <c r="B657" i="37"/>
  <c r="F657" i="37"/>
  <c r="O657" i="37"/>
  <c r="F664" i="37"/>
  <c r="M643" i="37"/>
  <c r="C657" i="37"/>
  <c r="K661" i="37"/>
  <c r="I661" i="37"/>
  <c r="F669" i="37"/>
  <c r="C669" i="37"/>
  <c r="N669" i="37" s="1"/>
  <c r="F622" i="37"/>
  <c r="F630" i="37"/>
  <c r="O645" i="37"/>
  <c r="C645" i="37"/>
  <c r="B645" i="37"/>
  <c r="B669" i="37"/>
  <c r="O672" i="37"/>
  <c r="B672" i="37"/>
  <c r="F672" i="37"/>
  <c r="E674" i="37"/>
  <c r="F674" i="37"/>
  <c r="H674" i="37" s="1"/>
  <c r="K590" i="37"/>
  <c r="M614" i="37"/>
  <c r="M618" i="37"/>
  <c r="B622" i="37"/>
  <c r="B630" i="37"/>
  <c r="O640" i="37"/>
  <c r="B640" i="37"/>
  <c r="F640" i="37"/>
  <c r="F645" i="37"/>
  <c r="E648" i="37"/>
  <c r="O669" i="37"/>
  <c r="C672" i="37"/>
  <c r="B674" i="37"/>
  <c r="G674" i="37" s="1"/>
  <c r="V675" i="37"/>
  <c r="F697" i="37"/>
  <c r="O697" i="37"/>
  <c r="C697" i="37"/>
  <c r="B697" i="37"/>
  <c r="O706" i="37"/>
  <c r="B706" i="37"/>
  <c r="F706" i="37"/>
  <c r="V605" i="37"/>
  <c r="L615" i="37"/>
  <c r="O618" i="37"/>
  <c r="C622" i="37"/>
  <c r="O626" i="37"/>
  <c r="I629" i="37"/>
  <c r="C630" i="37"/>
  <c r="C640" i="37"/>
  <c r="N650" i="37"/>
  <c r="O650" i="37"/>
  <c r="F651" i="37"/>
  <c r="H651" i="37" s="1"/>
  <c r="M653" i="37"/>
  <c r="K679" i="37"/>
  <c r="M679" i="37"/>
  <c r="L679" i="37"/>
  <c r="J679" i="37"/>
  <c r="I679" i="37"/>
  <c r="G679" i="37"/>
  <c r="C706" i="37"/>
  <c r="E706" i="37" s="1"/>
  <c r="O648" i="37"/>
  <c r="B648" i="37"/>
  <c r="B681" i="37"/>
  <c r="M681" i="37" s="1"/>
  <c r="V688" i="37"/>
  <c r="O709" i="37"/>
  <c r="F709" i="37"/>
  <c r="E724" i="37"/>
  <c r="B689" i="37"/>
  <c r="F700" i="37"/>
  <c r="B700" i="37"/>
  <c r="B705" i="37"/>
  <c r="B709" i="37"/>
  <c r="F648" i="37"/>
  <c r="N648" i="37" s="1"/>
  <c r="M655" i="37"/>
  <c r="B680" i="37"/>
  <c r="E681" i="37"/>
  <c r="K684" i="37"/>
  <c r="C689" i="37"/>
  <c r="O690" i="37"/>
  <c r="C700" i="37"/>
  <c r="C705" i="37"/>
  <c r="C709" i="37"/>
  <c r="L709" i="37" s="1"/>
  <c r="C715" i="37"/>
  <c r="F715" i="37"/>
  <c r="O715" i="37"/>
  <c r="B715" i="37"/>
  <c r="J724" i="37"/>
  <c r="N642" i="37"/>
  <c r="K642" i="37"/>
  <c r="N643" i="37"/>
  <c r="L643" i="37"/>
  <c r="I643" i="37"/>
  <c r="B644" i="37"/>
  <c r="J661" i="37"/>
  <c r="E661" i="37"/>
  <c r="O661" i="37"/>
  <c r="F670" i="37"/>
  <c r="C670" i="37"/>
  <c r="M670" i="37" s="1"/>
  <c r="C680" i="37"/>
  <c r="F681" i="37"/>
  <c r="L681" i="37" s="1"/>
  <c r="M684" i="37"/>
  <c r="O689" i="37"/>
  <c r="F690" i="37"/>
  <c r="H696" i="37"/>
  <c r="E696" i="37"/>
  <c r="O700" i="37"/>
  <c r="O705" i="37"/>
  <c r="F721" i="37"/>
  <c r="C721" i="37"/>
  <c r="B721" i="37"/>
  <c r="K724" i="37"/>
  <c r="B641" i="37"/>
  <c r="V656" i="37"/>
  <c r="L660" i="37"/>
  <c r="O688" i="37"/>
  <c r="B688" i="37"/>
  <c r="K688" i="37" s="1"/>
  <c r="O721" i="37"/>
  <c r="F705" i="37"/>
  <c r="C717" i="37"/>
  <c r="M724" i="37"/>
  <c r="O729" i="37"/>
  <c r="F729" i="37"/>
  <c r="B729" i="37"/>
  <c r="F686" i="37"/>
  <c r="C686" i="37"/>
  <c r="I686" i="37" s="1"/>
  <c r="K687" i="37"/>
  <c r="V697" i="37"/>
  <c r="V709" i="37"/>
  <c r="F717" i="37"/>
  <c r="C729" i="37"/>
  <c r="C702" i="37"/>
  <c r="B702" i="37"/>
  <c r="B714" i="37"/>
  <c r="V632" i="37"/>
  <c r="G636" i="37"/>
  <c r="F654" i="37"/>
  <c r="C654" i="37"/>
  <c r="M654" i="37" s="1"/>
  <c r="V664" i="37"/>
  <c r="L671" i="37"/>
  <c r="C677" i="37"/>
  <c r="E677" i="37" s="1"/>
  <c r="H688" i="37"/>
  <c r="L696" i="37"/>
  <c r="F698" i="37"/>
  <c r="H698" i="37" s="1"/>
  <c r="E699" i="37"/>
  <c r="O702" i="37"/>
  <c r="C714" i="37"/>
  <c r="N634" i="37"/>
  <c r="H653" i="37"/>
  <c r="E653" i="37"/>
  <c r="C675" i="37"/>
  <c r="L675" i="37" s="1"/>
  <c r="L684" i="37"/>
  <c r="F702" i="37"/>
  <c r="O714" i="37"/>
  <c r="M720" i="37"/>
  <c r="F677" i="37"/>
  <c r="F692" i="37"/>
  <c r="O692" i="37"/>
  <c r="C692" i="37"/>
  <c r="L692" i="37" s="1"/>
  <c r="F714" i="37"/>
  <c r="C683" i="37"/>
  <c r="E683" i="37" s="1"/>
  <c r="B692" i="37"/>
  <c r="C722" i="37"/>
  <c r="K722" i="37" s="1"/>
  <c r="F722" i="37"/>
  <c r="K699" i="37"/>
  <c r="I699" i="37"/>
  <c r="H699" i="37"/>
  <c r="M736" i="37"/>
  <c r="K736" i="37"/>
  <c r="I736" i="37"/>
  <c r="H736" i="37"/>
  <c r="G736" i="37"/>
  <c r="B756" i="37"/>
  <c r="C756" i="37"/>
  <c r="F756" i="37"/>
  <c r="B819" i="37"/>
  <c r="O819" i="37"/>
  <c r="F819" i="37"/>
  <c r="C819" i="37"/>
  <c r="K732" i="37"/>
  <c r="E736" i="37"/>
  <c r="C738" i="37"/>
  <c r="L738" i="37" s="1"/>
  <c r="B738" i="37"/>
  <c r="O744" i="37"/>
  <c r="O756" i="37"/>
  <c r="B764" i="37"/>
  <c r="O764" i="37"/>
  <c r="C764" i="37"/>
  <c r="F764" i="37"/>
  <c r="G660" i="37"/>
  <c r="G668" i="37"/>
  <c r="G684" i="37"/>
  <c r="G699" i="37"/>
  <c r="C707" i="37"/>
  <c r="K707" i="37" s="1"/>
  <c r="J736" i="37"/>
  <c r="C792" i="37"/>
  <c r="B792" i="37"/>
  <c r="O792" i="37"/>
  <c r="F792" i="37"/>
  <c r="O768" i="37"/>
  <c r="B768" i="37"/>
  <c r="F768" i="37"/>
  <c r="C768" i="37"/>
  <c r="O746" i="37"/>
  <c r="C746" i="37"/>
  <c r="B746" i="37"/>
  <c r="F798" i="37"/>
  <c r="O798" i="37"/>
  <c r="C798" i="37"/>
  <c r="B798" i="37"/>
  <c r="O647" i="37"/>
  <c r="J660" i="37"/>
  <c r="O663" i="37"/>
  <c r="J668" i="37"/>
  <c r="O679" i="37"/>
  <c r="J684" i="37"/>
  <c r="O687" i="37"/>
  <c r="M699" i="37"/>
  <c r="O725" i="37"/>
  <c r="C725" i="37"/>
  <c r="F746" i="37"/>
  <c r="O699" i="37"/>
  <c r="O733" i="37"/>
  <c r="C733" i="37"/>
  <c r="N733" i="37" s="1"/>
  <c r="F737" i="37"/>
  <c r="O737" i="37"/>
  <c r="V746" i="37"/>
  <c r="V751" i="37"/>
  <c r="F807" i="37"/>
  <c r="O807" i="37"/>
  <c r="C807" i="37"/>
  <c r="B807" i="37"/>
  <c r="B772" i="37"/>
  <c r="O772" i="37"/>
  <c r="C772" i="37"/>
  <c r="N772" i="37" s="1"/>
  <c r="J776" i="37"/>
  <c r="H776" i="37"/>
  <c r="E776" i="37"/>
  <c r="B776" i="37"/>
  <c r="I776" i="37" s="1"/>
  <c r="L776" i="37"/>
  <c r="K776" i="37"/>
  <c r="V784" i="37"/>
  <c r="B804" i="37"/>
  <c r="C804" i="37"/>
  <c r="C816" i="37"/>
  <c r="G816" i="37" s="1"/>
  <c r="B816" i="37"/>
  <c r="O760" i="37"/>
  <c r="B760" i="37"/>
  <c r="B795" i="37"/>
  <c r="O795" i="37"/>
  <c r="F795" i="37"/>
  <c r="C760" i="37"/>
  <c r="J760" i="37" s="1"/>
  <c r="B779" i="37"/>
  <c r="O779" i="37"/>
  <c r="F779" i="37"/>
  <c r="C795" i="37"/>
  <c r="G744" i="37"/>
  <c r="E745" i="37"/>
  <c r="V753" i="37"/>
  <c r="F760" i="37"/>
  <c r="V769" i="37"/>
  <c r="C779" i="37"/>
  <c r="F782" i="37"/>
  <c r="O782" i="37"/>
  <c r="B788" i="37"/>
  <c r="C788" i="37"/>
  <c r="F745" i="37"/>
  <c r="N745" i="37" s="1"/>
  <c r="L775" i="37"/>
  <c r="F775" i="37"/>
  <c r="N775" i="37" s="1"/>
  <c r="M776" i="37"/>
  <c r="B782" i="37"/>
  <c r="B812" i="37"/>
  <c r="C812" i="37"/>
  <c r="H812" i="37" s="1"/>
  <c r="C723" i="37"/>
  <c r="I723" i="37" s="1"/>
  <c r="C731" i="37"/>
  <c r="K731" i="37" s="1"/>
  <c r="C739" i="37"/>
  <c r="I744" i="37"/>
  <c r="G745" i="37"/>
  <c r="C747" i="37"/>
  <c r="H747" i="37" s="1"/>
  <c r="V752" i="37"/>
  <c r="B755" i="37"/>
  <c r="M755" i="37" s="1"/>
  <c r="L755" i="37"/>
  <c r="E755" i="37"/>
  <c r="F767" i="37"/>
  <c r="J767" i="37" s="1"/>
  <c r="O767" i="37"/>
  <c r="N767" i="37"/>
  <c r="M767" i="37"/>
  <c r="O771" i="37"/>
  <c r="B771" i="37"/>
  <c r="K771" i="37" s="1"/>
  <c r="F771" i="37"/>
  <c r="L771" i="37" s="1"/>
  <c r="E771" i="37"/>
  <c r="B775" i="37"/>
  <c r="M775" i="37" s="1"/>
  <c r="N776" i="37"/>
  <c r="C782" i="37"/>
  <c r="E782" i="37" s="1"/>
  <c r="F788" i="37"/>
  <c r="C800" i="37"/>
  <c r="I800" i="37" s="1"/>
  <c r="B800" i="37"/>
  <c r="L806" i="37"/>
  <c r="I806" i="37"/>
  <c r="G806" i="37"/>
  <c r="F806" i="37"/>
  <c r="N806" i="37" s="1"/>
  <c r="O806" i="37"/>
  <c r="J815" i="37"/>
  <c r="G815" i="37"/>
  <c r="F815" i="37"/>
  <c r="L815" i="37" s="1"/>
  <c r="E815" i="37"/>
  <c r="N815" i="37"/>
  <c r="M815" i="37"/>
  <c r="O816" i="37"/>
  <c r="F759" i="37"/>
  <c r="N759" i="37" s="1"/>
  <c r="O759" i="37"/>
  <c r="O763" i="37"/>
  <c r="B763" i="37"/>
  <c r="F763" i="37"/>
  <c r="F791" i="37"/>
  <c r="L791" i="37" s="1"/>
  <c r="E791" i="37"/>
  <c r="N791" i="37"/>
  <c r="M791" i="37"/>
  <c r="B803" i="37"/>
  <c r="O803" i="37"/>
  <c r="F803" i="37"/>
  <c r="K744" i="37"/>
  <c r="I745" i="37"/>
  <c r="F753" i="37"/>
  <c r="C753" i="37"/>
  <c r="B753" i="37"/>
  <c r="B759" i="37"/>
  <c r="M759" i="37" s="1"/>
  <c r="C763" i="37"/>
  <c r="V776" i="37"/>
  <c r="B791" i="37"/>
  <c r="G791" i="37" s="1"/>
  <c r="V792" i="37"/>
  <c r="C803" i="37"/>
  <c r="V804" i="37"/>
  <c r="V819" i="37"/>
  <c r="F774" i="37"/>
  <c r="C784" i="37"/>
  <c r="B784" i="37"/>
  <c r="C741" i="37"/>
  <c r="N741" i="37" s="1"/>
  <c r="K745" i="37"/>
  <c r="C749" i="37"/>
  <c r="L749" i="37" s="1"/>
  <c r="E759" i="37"/>
  <c r="F766" i="37"/>
  <c r="O766" i="37"/>
  <c r="B774" i="37"/>
  <c r="F777" i="37"/>
  <c r="C777" i="37"/>
  <c r="B777" i="37"/>
  <c r="F784" i="37"/>
  <c r="E806" i="37"/>
  <c r="I812" i="37"/>
  <c r="I815" i="37"/>
  <c r="B820" i="37"/>
  <c r="C820" i="37"/>
  <c r="N820" i="37" s="1"/>
  <c r="N696" i="37"/>
  <c r="N704" i="37"/>
  <c r="F708" i="37"/>
  <c r="B710" i="37"/>
  <c r="F716" i="37"/>
  <c r="B718" i="37"/>
  <c r="N720" i="37"/>
  <c r="F724" i="37"/>
  <c r="H724" i="37" s="1"/>
  <c r="B726" i="37"/>
  <c r="F732" i="37"/>
  <c r="B734" i="37"/>
  <c r="F740" i="37"/>
  <c r="N740" i="37" s="1"/>
  <c r="B742" i="37"/>
  <c r="N744" i="37"/>
  <c r="F748" i="37"/>
  <c r="L748" i="37" s="1"/>
  <c r="O749" i="37"/>
  <c r="B750" i="37"/>
  <c r="O752" i="37"/>
  <c r="B752" i="37"/>
  <c r="F758" i="37"/>
  <c r="B766" i="37"/>
  <c r="I767" i="37"/>
  <c r="F769" i="37"/>
  <c r="C769" i="37"/>
  <c r="B769" i="37"/>
  <c r="C774" i="37"/>
  <c r="K775" i="37"/>
  <c r="B787" i="37"/>
  <c r="O787" i="37"/>
  <c r="F787" i="37"/>
  <c r="O788" i="37"/>
  <c r="I791" i="37"/>
  <c r="B796" i="37"/>
  <c r="C796" i="37"/>
  <c r="H796" i="37" s="1"/>
  <c r="C808" i="37"/>
  <c r="B808" i="37"/>
  <c r="N814" i="37"/>
  <c r="I814" i="37"/>
  <c r="F814" i="37"/>
  <c r="L814" i="37" s="1"/>
  <c r="O814" i="37"/>
  <c r="K815" i="37"/>
  <c r="C710" i="37"/>
  <c r="C718" i="37"/>
  <c r="G724" i="37"/>
  <c r="C726" i="37"/>
  <c r="C734" i="37"/>
  <c r="G740" i="37"/>
  <c r="C742" i="37"/>
  <c r="M745" i="37"/>
  <c r="C750" i="37"/>
  <c r="E750" i="37" s="1"/>
  <c r="G751" i="37"/>
  <c r="F751" i="37"/>
  <c r="N751" i="37" s="1"/>
  <c r="C752" i="37"/>
  <c r="H752" i="37" s="1"/>
  <c r="J755" i="37"/>
  <c r="B758" i="37"/>
  <c r="F761" i="37"/>
  <c r="C761" i="37"/>
  <c r="B761" i="37"/>
  <c r="C766" i="37"/>
  <c r="E766" i="37" s="1"/>
  <c r="K767" i="37"/>
  <c r="O769" i="37"/>
  <c r="O774" i="37"/>
  <c r="B780" i="37"/>
  <c r="C780" i="37"/>
  <c r="C787" i="37"/>
  <c r="V788" i="37"/>
  <c r="F790" i="37"/>
  <c r="O790" i="37"/>
  <c r="F799" i="37"/>
  <c r="O800" i="37"/>
  <c r="K806" i="37"/>
  <c r="F808" i="37"/>
  <c r="B811" i="37"/>
  <c r="G811" i="37" s="1"/>
  <c r="O811" i="37"/>
  <c r="L811" i="37"/>
  <c r="F811" i="37"/>
  <c r="N811" i="37" s="1"/>
  <c r="E811" i="37"/>
  <c r="O812" i="37"/>
  <c r="B814" i="37"/>
  <c r="K814" i="37" s="1"/>
  <c r="O815" i="37"/>
  <c r="F820" i="37"/>
  <c r="M806" i="37"/>
  <c r="O758" i="37"/>
  <c r="V771" i="37"/>
  <c r="F780" i="37"/>
  <c r="C790" i="37"/>
  <c r="K790" i="37" s="1"/>
  <c r="C799" i="37"/>
  <c r="V803" i="37"/>
  <c r="V755" i="37"/>
  <c r="V763" i="37"/>
  <c r="G783" i="37"/>
  <c r="F783" i="37"/>
  <c r="L783" i="37" s="1"/>
  <c r="E783" i="37"/>
  <c r="N783" i="37"/>
  <c r="M783" i="37"/>
  <c r="O784" i="37"/>
  <c r="E814" i="37"/>
  <c r="V844" i="37"/>
  <c r="G794" i="37"/>
  <c r="G810" i="37"/>
  <c r="H794" i="37"/>
  <c r="B797" i="37"/>
  <c r="K797" i="37" s="1"/>
  <c r="B805" i="37"/>
  <c r="H810" i="37"/>
  <c r="B813" i="37"/>
  <c r="H757" i="37"/>
  <c r="H765" i="37"/>
  <c r="N786" i="37"/>
  <c r="H789" i="37"/>
  <c r="N794" i="37"/>
  <c r="H797" i="37"/>
  <c r="N810" i="37"/>
  <c r="H813" i="37"/>
  <c r="J757" i="37"/>
  <c r="J781" i="37"/>
  <c r="B785" i="37"/>
  <c r="J789" i="37"/>
  <c r="B793" i="37"/>
  <c r="J797" i="37"/>
  <c r="B801" i="37"/>
  <c r="J805" i="37"/>
  <c r="B809" i="37"/>
  <c r="B817" i="37"/>
  <c r="K765" i="37"/>
  <c r="K781" i="37"/>
  <c r="C785" i="37"/>
  <c r="L785" i="37" s="1"/>
  <c r="K789" i="37"/>
  <c r="C793" i="37"/>
  <c r="C801" i="37"/>
  <c r="C809" i="37"/>
  <c r="J809" i="37" s="1"/>
  <c r="C817" i="37"/>
  <c r="F785" i="37"/>
  <c r="F793" i="37"/>
  <c r="F801" i="37"/>
  <c r="F809" i="37"/>
  <c r="F817" i="37"/>
  <c r="I623" i="37" l="1"/>
  <c r="H23" i="37"/>
  <c r="E737" i="37"/>
  <c r="I759" i="37"/>
  <c r="J791" i="37"/>
  <c r="M737" i="37"/>
  <c r="G650" i="37"/>
  <c r="M617" i="37"/>
  <c r="I376" i="37"/>
  <c r="I54" i="37"/>
  <c r="J247" i="37"/>
  <c r="L247" i="37"/>
  <c r="G737" i="37"/>
  <c r="H817" i="37"/>
  <c r="G814" i="37"/>
  <c r="H806" i="37"/>
  <c r="I650" i="37"/>
  <c r="J623" i="37"/>
  <c r="J561" i="37"/>
  <c r="E530" i="37"/>
  <c r="G418" i="37"/>
  <c r="I247" i="37"/>
  <c r="N754" i="37"/>
  <c r="J377" i="37"/>
  <c r="G786" i="37"/>
  <c r="H295" i="37"/>
  <c r="H617" i="37"/>
  <c r="J617" i="37"/>
  <c r="L648" i="37"/>
  <c r="J376" i="37"/>
  <c r="L295" i="37"/>
  <c r="K74" i="37"/>
  <c r="L728" i="37"/>
  <c r="N615" i="37"/>
  <c r="G615" i="37"/>
  <c r="K264" i="37"/>
  <c r="E617" i="37"/>
  <c r="G437" i="37"/>
  <c r="G623" i="37"/>
  <c r="I615" i="37"/>
  <c r="L570" i="37"/>
  <c r="J295" i="37"/>
  <c r="J369" i="37"/>
  <c r="M264" i="37"/>
  <c r="J48" i="37"/>
  <c r="N25" i="37"/>
  <c r="J811" i="37"/>
  <c r="K445" i="37"/>
  <c r="L37" i="37"/>
  <c r="N617" i="37"/>
  <c r="M295" i="37"/>
  <c r="M330" i="37"/>
  <c r="M441" i="37"/>
  <c r="L157" i="37"/>
  <c r="L737" i="37"/>
  <c r="J650" i="37"/>
  <c r="G17" i="37"/>
  <c r="M408" i="37"/>
  <c r="N361" i="37"/>
  <c r="E650" i="37"/>
  <c r="K295" i="37"/>
  <c r="M650" i="37"/>
  <c r="I577" i="37"/>
  <c r="K435" i="37"/>
  <c r="L445" i="37"/>
  <c r="M68" i="37"/>
  <c r="E578" i="37"/>
  <c r="M578" i="37"/>
  <c r="K578" i="37"/>
  <c r="I758" i="37"/>
  <c r="N68" i="37"/>
  <c r="M265" i="37"/>
  <c r="G172" i="37"/>
  <c r="K89" i="37"/>
  <c r="J806" i="37"/>
  <c r="L568" i="37"/>
  <c r="H170" i="37"/>
  <c r="J575" i="37"/>
  <c r="L495" i="37"/>
  <c r="K172" i="37"/>
  <c r="M142" i="37"/>
  <c r="J16" i="37"/>
  <c r="L409" i="37"/>
  <c r="J170" i="37"/>
  <c r="I739" i="37"/>
  <c r="G569" i="37"/>
  <c r="I578" i="37"/>
  <c r="M495" i="37"/>
  <c r="H495" i="37"/>
  <c r="H328" i="37"/>
  <c r="I595" i="37"/>
  <c r="J745" i="37"/>
  <c r="N818" i="37"/>
  <c r="L569" i="37"/>
  <c r="I516" i="37"/>
  <c r="J328" i="37"/>
  <c r="H218" i="37"/>
  <c r="L72" i="37"/>
  <c r="G213" i="37"/>
  <c r="L708" i="37"/>
  <c r="H818" i="37"/>
  <c r="G495" i="37"/>
  <c r="N172" i="37"/>
  <c r="K652" i="37"/>
  <c r="G818" i="37"/>
  <c r="E516" i="37"/>
  <c r="K146" i="37"/>
  <c r="K72" i="37"/>
  <c r="M25" i="37"/>
  <c r="N121" i="37"/>
  <c r="G46" i="37"/>
  <c r="E172" i="37"/>
  <c r="J644" i="37"/>
  <c r="G23" i="37"/>
  <c r="M594" i="37"/>
  <c r="N495" i="37"/>
  <c r="I142" i="37"/>
  <c r="H172" i="37"/>
  <c r="I346" i="37"/>
  <c r="N152" i="37"/>
  <c r="K90" i="37"/>
  <c r="I495" i="37"/>
  <c r="G237" i="37"/>
  <c r="I172" i="37"/>
  <c r="N819" i="37"/>
  <c r="L516" i="37"/>
  <c r="I489" i="37"/>
  <c r="J172" i="37"/>
  <c r="N694" i="37"/>
  <c r="H814" i="37"/>
  <c r="M432" i="37"/>
  <c r="K157" i="37"/>
  <c r="N29" i="37"/>
  <c r="H820" i="37"/>
  <c r="K820" i="37"/>
  <c r="L820" i="37"/>
  <c r="M820" i="37"/>
  <c r="I820" i="37"/>
  <c r="E820" i="37"/>
  <c r="J820" i="37"/>
  <c r="G820" i="37"/>
  <c r="L421" i="37"/>
  <c r="G379" i="37"/>
  <c r="N812" i="37"/>
  <c r="M811" i="37"/>
  <c r="G221" i="37"/>
  <c r="H815" i="37"/>
  <c r="K71" i="37"/>
  <c r="H184" i="37"/>
  <c r="L653" i="37"/>
  <c r="K498" i="37"/>
  <c r="M359" i="37"/>
  <c r="G778" i="37"/>
  <c r="J427" i="37"/>
  <c r="K818" i="37"/>
  <c r="G240" i="37"/>
  <c r="N147" i="37"/>
  <c r="M147" i="37"/>
  <c r="L563" i="37"/>
  <c r="M819" i="37"/>
  <c r="G819" i="37"/>
  <c r="H819" i="37"/>
  <c r="I819" i="37"/>
  <c r="J819" i="37"/>
  <c r="K819" i="37"/>
  <c r="E819" i="37"/>
  <c r="L819" i="37"/>
  <c r="J818" i="37"/>
  <c r="E818" i="37"/>
  <c r="I818" i="37"/>
  <c r="M818" i="37"/>
  <c r="G817" i="37"/>
  <c r="I817" i="37"/>
  <c r="J817" i="37"/>
  <c r="K817" i="37"/>
  <c r="E817" i="37"/>
  <c r="M817" i="37"/>
  <c r="N817" i="37"/>
  <c r="L817" i="37"/>
  <c r="L816" i="37"/>
  <c r="N816" i="37"/>
  <c r="K816" i="37"/>
  <c r="H816" i="37"/>
  <c r="I816" i="37"/>
  <c r="M816" i="37"/>
  <c r="E816" i="37"/>
  <c r="J816" i="37"/>
  <c r="K408" i="37"/>
  <c r="L592" i="37"/>
  <c r="I355" i="37"/>
  <c r="E355" i="37"/>
  <c r="J687" i="37"/>
  <c r="N651" i="37"/>
  <c r="N559" i="37"/>
  <c r="K580" i="37"/>
  <c r="N388" i="37"/>
  <c r="G355" i="37"/>
  <c r="K257" i="37"/>
  <c r="L767" i="37"/>
  <c r="G618" i="37"/>
  <c r="M355" i="37"/>
  <c r="K209" i="37"/>
  <c r="L581" i="37"/>
  <c r="K199" i="37"/>
  <c r="N129" i="37"/>
  <c r="J93" i="37"/>
  <c r="G72" i="37"/>
  <c r="M659" i="37"/>
  <c r="K323" i="37"/>
  <c r="L209" i="37"/>
  <c r="I811" i="37"/>
  <c r="H720" i="37"/>
  <c r="H660" i="37"/>
  <c r="L618" i="37"/>
  <c r="I423" i="37"/>
  <c r="H247" i="37"/>
  <c r="I93" i="37"/>
  <c r="K805" i="37"/>
  <c r="I659" i="37"/>
  <c r="H551" i="37"/>
  <c r="K326" i="37"/>
  <c r="K359" i="37"/>
  <c r="I163" i="37"/>
  <c r="J135" i="37"/>
  <c r="J52" i="37"/>
  <c r="M209" i="37"/>
  <c r="I59" i="37"/>
  <c r="N188" i="37"/>
  <c r="H687" i="37"/>
  <c r="N724" i="37"/>
  <c r="J633" i="37"/>
  <c r="E239" i="37"/>
  <c r="N126" i="37"/>
  <c r="J64" i="37"/>
  <c r="K425" i="37"/>
  <c r="I52" i="37"/>
  <c r="M813" i="37"/>
  <c r="G813" i="37"/>
  <c r="J813" i="37"/>
  <c r="K813" i="37"/>
  <c r="E813" i="37"/>
  <c r="I813" i="37"/>
  <c r="L813" i="37"/>
  <c r="E812" i="37"/>
  <c r="J812" i="37"/>
  <c r="K812" i="37"/>
  <c r="L812" i="37"/>
  <c r="M812" i="37"/>
  <c r="G812" i="37"/>
  <c r="H811" i="37"/>
  <c r="J530" i="37"/>
  <c r="J478" i="37"/>
  <c r="E126" i="37"/>
  <c r="K47" i="37"/>
  <c r="E659" i="37"/>
  <c r="I390" i="37"/>
  <c r="H7" i="37"/>
  <c r="M47" i="37"/>
  <c r="J780" i="37"/>
  <c r="H712" i="37"/>
  <c r="N659" i="37"/>
  <c r="I257" i="37"/>
  <c r="E255" i="37"/>
  <c r="K39" i="37"/>
  <c r="M387" i="37"/>
  <c r="K712" i="37"/>
  <c r="M547" i="37"/>
  <c r="E331" i="37"/>
  <c r="K327" i="37"/>
  <c r="H264" i="37"/>
  <c r="G255" i="37"/>
  <c r="K86" i="37"/>
  <c r="N47" i="37"/>
  <c r="G526" i="37"/>
  <c r="I631" i="37"/>
  <c r="J327" i="37"/>
  <c r="H255" i="37"/>
  <c r="J126" i="37"/>
  <c r="E712" i="37"/>
  <c r="I712" i="37"/>
  <c r="E694" i="37"/>
  <c r="G408" i="37"/>
  <c r="K303" i="37"/>
  <c r="H211" i="37"/>
  <c r="I255" i="37"/>
  <c r="J20" i="37"/>
  <c r="M539" i="37"/>
  <c r="M505" i="37"/>
  <c r="K112" i="37"/>
  <c r="G578" i="37"/>
  <c r="M186" i="37"/>
  <c r="M810" i="37"/>
  <c r="L712" i="37"/>
  <c r="N778" i="37"/>
  <c r="M353" i="37"/>
  <c r="M327" i="37"/>
  <c r="J303" i="37"/>
  <c r="H327" i="37"/>
  <c r="L255" i="37"/>
  <c r="L161" i="37"/>
  <c r="N255" i="37"/>
  <c r="K737" i="37"/>
  <c r="I810" i="37"/>
  <c r="N712" i="37"/>
  <c r="M712" i="37"/>
  <c r="H622" i="37"/>
  <c r="G327" i="37"/>
  <c r="L153" i="37"/>
  <c r="K255" i="37"/>
  <c r="E47" i="37"/>
  <c r="I424" i="37"/>
  <c r="G695" i="37"/>
  <c r="N746" i="37"/>
  <c r="M255" i="37"/>
  <c r="H126" i="37"/>
  <c r="M117" i="37"/>
  <c r="G47" i="37"/>
  <c r="M88" i="37"/>
  <c r="N530" i="37"/>
  <c r="H574" i="37"/>
  <c r="H530" i="37"/>
  <c r="G303" i="37"/>
  <c r="H161" i="37"/>
  <c r="G6" i="37"/>
  <c r="J526" i="37"/>
  <c r="K791" i="37"/>
  <c r="G574" i="37"/>
  <c r="I530" i="37"/>
  <c r="N45" i="37"/>
  <c r="I567" i="37"/>
  <c r="L810" i="37"/>
  <c r="E810" i="37"/>
  <c r="K810" i="37"/>
  <c r="I779" i="37"/>
  <c r="G500" i="37"/>
  <c r="G502" i="37"/>
  <c r="N146" i="37"/>
  <c r="G37" i="37"/>
  <c r="J520" i="37"/>
  <c r="K636" i="37"/>
  <c r="K414" i="37"/>
  <c r="L639" i="37"/>
  <c r="G551" i="37"/>
  <c r="L539" i="37"/>
  <c r="N249" i="37"/>
  <c r="E49" i="37"/>
  <c r="E639" i="37"/>
  <c r="K524" i="37"/>
  <c r="N755" i="37"/>
  <c r="L807" i="37"/>
  <c r="M639" i="37"/>
  <c r="L500" i="37"/>
  <c r="J421" i="37"/>
  <c r="M313" i="37"/>
  <c r="K265" i="37"/>
  <c r="M297" i="37"/>
  <c r="M314" i="37"/>
  <c r="J574" i="37"/>
  <c r="I497" i="37"/>
  <c r="J511" i="37"/>
  <c r="N313" i="37"/>
  <c r="N297" i="37"/>
  <c r="N407" i="37"/>
  <c r="J784" i="37"/>
  <c r="G804" i="37"/>
  <c r="N511" i="37"/>
  <c r="L433" i="37"/>
  <c r="G139" i="37"/>
  <c r="J410" i="37"/>
  <c r="J567" i="37"/>
  <c r="N382" i="37"/>
  <c r="J37" i="37"/>
  <c r="J123" i="37"/>
  <c r="M242" i="37"/>
  <c r="I110" i="37"/>
  <c r="M37" i="37"/>
  <c r="M734" i="37"/>
  <c r="L808" i="37"/>
  <c r="J716" i="37"/>
  <c r="N673" i="37"/>
  <c r="L513" i="37"/>
  <c r="M662" i="37"/>
  <c r="K673" i="37"/>
  <c r="L659" i="37"/>
  <c r="J584" i="37"/>
  <c r="I410" i="37"/>
  <c r="L265" i="37"/>
  <c r="L129" i="37"/>
  <c r="H548" i="37"/>
  <c r="H809" i="37"/>
  <c r="I809" i="37"/>
  <c r="M809" i="37"/>
  <c r="G809" i="37"/>
  <c r="L809" i="37"/>
  <c r="E809" i="37"/>
  <c r="K809" i="37"/>
  <c r="N809" i="37"/>
  <c r="J808" i="37"/>
  <c r="H808" i="37"/>
  <c r="E808" i="37"/>
  <c r="N808" i="37"/>
  <c r="M808" i="37"/>
  <c r="I808" i="37"/>
  <c r="K808" i="37"/>
  <c r="G808" i="37"/>
  <c r="H807" i="37"/>
  <c r="I807" i="37"/>
  <c r="K807" i="37"/>
  <c r="M807" i="37"/>
  <c r="N807" i="37"/>
  <c r="E807" i="37"/>
  <c r="G807" i="37"/>
  <c r="J807" i="37"/>
  <c r="H805" i="37"/>
  <c r="K759" i="37"/>
  <c r="I775" i="37"/>
  <c r="G728" i="37"/>
  <c r="J635" i="37"/>
  <c r="H615" i="37"/>
  <c r="L471" i="37"/>
  <c r="J367" i="37"/>
  <c r="N379" i="37"/>
  <c r="M296" i="37"/>
  <c r="K306" i="37"/>
  <c r="J110" i="37"/>
  <c r="N350" i="37"/>
  <c r="N42" i="37"/>
  <c r="L60" i="37"/>
  <c r="E615" i="37"/>
  <c r="I367" i="37"/>
  <c r="H15" i="37"/>
  <c r="M742" i="37"/>
  <c r="L257" i="37"/>
  <c r="J90" i="37"/>
  <c r="J614" i="37"/>
  <c r="N348" i="37"/>
  <c r="M90" i="37"/>
  <c r="L39" i="37"/>
  <c r="M258" i="37"/>
  <c r="H801" i="37"/>
  <c r="I635" i="37"/>
  <c r="H377" i="37"/>
  <c r="E377" i="37"/>
  <c r="G94" i="37"/>
  <c r="N117" i="37"/>
  <c r="L92" i="37"/>
  <c r="I78" i="37"/>
  <c r="I653" i="37"/>
  <c r="M24" i="37"/>
  <c r="G377" i="37"/>
  <c r="K653" i="37"/>
  <c r="L474" i="37"/>
  <c r="L211" i="37"/>
  <c r="M100" i="37"/>
  <c r="I44" i="37"/>
  <c r="J775" i="37"/>
  <c r="H758" i="37"/>
  <c r="N798" i="37"/>
  <c r="N653" i="37"/>
  <c r="H379" i="37"/>
  <c r="E90" i="37"/>
  <c r="L86" i="37"/>
  <c r="H630" i="37"/>
  <c r="K681" i="37"/>
  <c r="I377" i="37"/>
  <c r="M377" i="37"/>
  <c r="N213" i="37"/>
  <c r="L200" i="37"/>
  <c r="N100" i="37"/>
  <c r="K80" i="37"/>
  <c r="H121" i="37"/>
  <c r="H52" i="37"/>
  <c r="G382" i="37"/>
  <c r="I211" i="37"/>
  <c r="N92" i="37"/>
  <c r="H17" i="37"/>
  <c r="K60" i="37"/>
  <c r="N658" i="37"/>
  <c r="K667" i="37"/>
  <c r="E211" i="37"/>
  <c r="E213" i="37"/>
  <c r="I92" i="37"/>
  <c r="H139" i="37"/>
  <c r="K50" i="37"/>
  <c r="G264" i="37"/>
  <c r="L15" i="37"/>
  <c r="K751" i="37"/>
  <c r="G40" i="37"/>
  <c r="G805" i="37"/>
  <c r="L805" i="37"/>
  <c r="E805" i="37"/>
  <c r="I805" i="37"/>
  <c r="M805" i="37"/>
  <c r="J288" i="37"/>
  <c r="L148" i="37"/>
  <c r="K533" i="37"/>
  <c r="J671" i="37"/>
  <c r="N425" i="37"/>
  <c r="M184" i="37"/>
  <c r="K666" i="37"/>
  <c r="M361" i="37"/>
  <c r="G716" i="37"/>
  <c r="G671" i="37"/>
  <c r="I358" i="37"/>
  <c r="N287" i="37"/>
  <c r="I223" i="37"/>
  <c r="G775" i="37"/>
  <c r="J610" i="37"/>
  <c r="H671" i="37"/>
  <c r="G319" i="37"/>
  <c r="J559" i="37"/>
  <c r="G598" i="37"/>
  <c r="M282" i="37"/>
  <c r="M392" i="37"/>
  <c r="I719" i="37"/>
  <c r="I306" i="37"/>
  <c r="K640" i="37"/>
  <c r="M551" i="37"/>
  <c r="J306" i="37"/>
  <c r="I209" i="37"/>
  <c r="J783" i="37"/>
  <c r="M657" i="37"/>
  <c r="K473" i="37"/>
  <c r="L355" i="37"/>
  <c r="N367" i="37"/>
  <c r="G149" i="37"/>
  <c r="J211" i="37"/>
  <c r="G115" i="37"/>
  <c r="K15" i="37"/>
  <c r="J29" i="37"/>
  <c r="N282" i="37"/>
  <c r="I610" i="37"/>
  <c r="N771" i="37"/>
  <c r="I612" i="37"/>
  <c r="E29" i="37"/>
  <c r="J355" i="37"/>
  <c r="L473" i="37"/>
  <c r="L290" i="37"/>
  <c r="H115" i="37"/>
  <c r="E153" i="37"/>
  <c r="I783" i="37"/>
  <c r="M445" i="37"/>
  <c r="J771" i="37"/>
  <c r="H650" i="37"/>
  <c r="M326" i="37"/>
  <c r="H539" i="37"/>
  <c r="N14" i="37"/>
  <c r="N618" i="37"/>
  <c r="H14" i="37"/>
  <c r="M696" i="37"/>
  <c r="I330" i="37"/>
  <c r="J128" i="37"/>
  <c r="N128" i="37"/>
  <c r="K493" i="37"/>
  <c r="H763" i="37"/>
  <c r="I264" i="37"/>
  <c r="E326" i="37"/>
  <c r="K84" i="37"/>
  <c r="G137" i="37"/>
  <c r="G661" i="37"/>
  <c r="N416" i="37"/>
  <c r="L220" i="37"/>
  <c r="M367" i="37"/>
  <c r="G585" i="37"/>
  <c r="M636" i="37"/>
  <c r="J664" i="37"/>
  <c r="M607" i="37"/>
  <c r="G326" i="37"/>
  <c r="J50" i="37"/>
  <c r="L44" i="37"/>
  <c r="M66" i="37"/>
  <c r="G128" i="37"/>
  <c r="H157" i="37"/>
  <c r="N636" i="37"/>
  <c r="E600" i="37"/>
  <c r="G211" i="37"/>
  <c r="I210" i="37"/>
  <c r="H66" i="37"/>
  <c r="L50" i="37"/>
  <c r="G492" i="37"/>
  <c r="L47" i="37"/>
  <c r="N684" i="37"/>
  <c r="N208" i="37"/>
  <c r="N326" i="37"/>
  <c r="H759" i="37"/>
  <c r="M577" i="37"/>
  <c r="L109" i="37"/>
  <c r="K44" i="37"/>
  <c r="M374" i="37"/>
  <c r="J636" i="37"/>
  <c r="L636" i="37"/>
  <c r="L668" i="37"/>
  <c r="G200" i="37"/>
  <c r="I50" i="37"/>
  <c r="K66" i="37"/>
  <c r="G465" i="37"/>
  <c r="L38" i="37"/>
  <c r="J659" i="37"/>
  <c r="G600" i="37"/>
  <c r="L508" i="37"/>
  <c r="N383" i="37"/>
  <c r="M210" i="37"/>
  <c r="H44" i="37"/>
  <c r="M58" i="37"/>
  <c r="H435" i="37"/>
  <c r="G792" i="37"/>
  <c r="H600" i="37"/>
  <c r="N210" i="37"/>
  <c r="E210" i="37"/>
  <c r="G50" i="37"/>
  <c r="N66" i="37"/>
  <c r="M561" i="37"/>
  <c r="L704" i="37"/>
  <c r="H210" i="37"/>
  <c r="N109" i="37"/>
  <c r="H504" i="37"/>
  <c r="M50" i="37"/>
  <c r="G435" i="37"/>
  <c r="G443" i="37"/>
  <c r="K729" i="37"/>
  <c r="J266" i="37"/>
  <c r="H50" i="37"/>
  <c r="M713" i="37"/>
  <c r="J77" i="37"/>
  <c r="L797" i="37"/>
  <c r="G759" i="37"/>
  <c r="N725" i="37"/>
  <c r="J66" i="37"/>
  <c r="J57" i="37"/>
  <c r="L66" i="37"/>
  <c r="E66" i="37"/>
  <c r="M310" i="37"/>
  <c r="N116" i="37"/>
  <c r="E50" i="37"/>
  <c r="H804" i="37"/>
  <c r="K804" i="37"/>
  <c r="J804" i="37"/>
  <c r="L804" i="37"/>
  <c r="I804" i="37"/>
  <c r="M804" i="37"/>
  <c r="N804" i="37"/>
  <c r="E804" i="37"/>
  <c r="N727" i="37"/>
  <c r="M795" i="37"/>
  <c r="I764" i="37"/>
  <c r="I389" i="37"/>
  <c r="M274" i="37"/>
  <c r="H93" i="37"/>
  <c r="K49" i="37"/>
  <c r="I794" i="37"/>
  <c r="H799" i="37"/>
  <c r="M352" i="37"/>
  <c r="M726" i="37"/>
  <c r="J569" i="37"/>
  <c r="N450" i="37"/>
  <c r="J473" i="37"/>
  <c r="I91" i="37"/>
  <c r="H336" i="37"/>
  <c r="N607" i="37"/>
  <c r="L381" i="37"/>
  <c r="M97" i="37"/>
  <c r="I77" i="37"/>
  <c r="H106" i="37"/>
  <c r="N107" i="37"/>
  <c r="K358" i="37"/>
  <c r="J141" i="37"/>
  <c r="K448" i="37"/>
  <c r="H376" i="37"/>
  <c r="L177" i="37"/>
  <c r="H393" i="37"/>
  <c r="I765" i="37"/>
  <c r="K126" i="37"/>
  <c r="G131" i="37"/>
  <c r="M631" i="37"/>
  <c r="J719" i="37"/>
  <c r="K617" i="37"/>
  <c r="M116" i="37"/>
  <c r="H791" i="37"/>
  <c r="I714" i="37"/>
  <c r="G93" i="37"/>
  <c r="J416" i="37"/>
  <c r="M341" i="37"/>
  <c r="L410" i="37"/>
  <c r="L440" i="37"/>
  <c r="J787" i="37"/>
  <c r="N803" i="37"/>
  <c r="N631" i="37"/>
  <c r="N319" i="37"/>
  <c r="I569" i="37"/>
  <c r="E358" i="37"/>
  <c r="L493" i="37"/>
  <c r="H595" i="37"/>
  <c r="K128" i="37"/>
  <c r="H781" i="37"/>
  <c r="G803" i="37"/>
  <c r="K803" i="37"/>
  <c r="J803" i="37"/>
  <c r="E803" i="37"/>
  <c r="M803" i="37"/>
  <c r="I803" i="37"/>
  <c r="H803" i="37"/>
  <c r="L803" i="37"/>
  <c r="N802" i="37"/>
  <c r="G802" i="37"/>
  <c r="H802" i="37"/>
  <c r="L802" i="37"/>
  <c r="I802" i="37"/>
  <c r="E802" i="37"/>
  <c r="J802" i="37"/>
  <c r="K802" i="37"/>
  <c r="J801" i="37"/>
  <c r="K801" i="37"/>
  <c r="N801" i="37"/>
  <c r="G801" i="37"/>
  <c r="I801" i="37"/>
  <c r="L801" i="37"/>
  <c r="E801" i="37"/>
  <c r="M801" i="37"/>
  <c r="J800" i="37"/>
  <c r="N800" i="37"/>
  <c r="M800" i="37"/>
  <c r="L800" i="37"/>
  <c r="K800" i="37"/>
  <c r="G800" i="37"/>
  <c r="E800" i="37"/>
  <c r="H800" i="37"/>
  <c r="M799" i="37"/>
  <c r="N799" i="37"/>
  <c r="E799" i="37"/>
  <c r="J799" i="37"/>
  <c r="L799" i="37"/>
  <c r="K799" i="37"/>
  <c r="G799" i="37"/>
  <c r="I799" i="37"/>
  <c r="E798" i="37"/>
  <c r="J798" i="37"/>
  <c r="K798" i="37"/>
  <c r="M798" i="37"/>
  <c r="G798" i="37"/>
  <c r="H798" i="37"/>
  <c r="I798" i="37"/>
  <c r="L798" i="37"/>
  <c r="N182" i="37"/>
  <c r="N377" i="37"/>
  <c r="L171" i="37"/>
  <c r="L577" i="37"/>
  <c r="K273" i="37"/>
  <c r="M711" i="37"/>
  <c r="M600" i="37"/>
  <c r="H553" i="37"/>
  <c r="H661" i="37"/>
  <c r="L339" i="37"/>
  <c r="K711" i="37"/>
  <c r="K349" i="37"/>
  <c r="L635" i="37"/>
  <c r="L765" i="37"/>
  <c r="K794" i="37"/>
  <c r="I414" i="37"/>
  <c r="N688" i="37"/>
  <c r="H642" i="37"/>
  <c r="N421" i="37"/>
  <c r="I711" i="37"/>
  <c r="J759" i="37"/>
  <c r="M787" i="37"/>
  <c r="E765" i="37"/>
  <c r="G416" i="37"/>
  <c r="K689" i="37"/>
  <c r="L661" i="37"/>
  <c r="E349" i="37"/>
  <c r="G417" i="37"/>
  <c r="J539" i="37"/>
  <c r="M512" i="37"/>
  <c r="I471" i="37"/>
  <c r="G765" i="37"/>
  <c r="J794" i="37"/>
  <c r="H663" i="37"/>
  <c r="K443" i="37"/>
  <c r="M418" i="37"/>
  <c r="H451" i="37"/>
  <c r="E418" i="37"/>
  <c r="I171" i="37"/>
  <c r="H118" i="37"/>
  <c r="K663" i="37"/>
  <c r="L587" i="37"/>
  <c r="I573" i="37"/>
  <c r="I505" i="37"/>
  <c r="H38" i="37"/>
  <c r="N40" i="37"/>
  <c r="H505" i="37"/>
  <c r="K774" i="37"/>
  <c r="J557" i="37"/>
  <c r="N531" i="37"/>
  <c r="K427" i="37"/>
  <c r="G429" i="37"/>
  <c r="J465" i="37"/>
  <c r="M263" i="37"/>
  <c r="N301" i="37"/>
  <c r="L303" i="37"/>
  <c r="M38" i="37"/>
  <c r="J118" i="37"/>
  <c r="J424" i="37"/>
  <c r="I120" i="37"/>
  <c r="L644" i="37"/>
  <c r="K587" i="37"/>
  <c r="N523" i="37"/>
  <c r="N505" i="37"/>
  <c r="I453" i="37"/>
  <c r="J443" i="37"/>
  <c r="I418" i="37"/>
  <c r="E263" i="37"/>
  <c r="L298" i="37"/>
  <c r="L46" i="37"/>
  <c r="E105" i="37"/>
  <c r="N38" i="37"/>
  <c r="M118" i="37"/>
  <c r="G698" i="37"/>
  <c r="H424" i="37"/>
  <c r="M7" i="37"/>
  <c r="L69" i="37"/>
  <c r="G453" i="37"/>
  <c r="G334" i="37"/>
  <c r="G293" i="37"/>
  <c r="E465" i="37"/>
  <c r="M616" i="37"/>
  <c r="L453" i="37"/>
  <c r="H465" i="37"/>
  <c r="L118" i="37"/>
  <c r="I46" i="37"/>
  <c r="I105" i="37"/>
  <c r="N453" i="37"/>
  <c r="J353" i="37"/>
  <c r="L187" i="37"/>
  <c r="J171" i="37"/>
  <c r="N187" i="37"/>
  <c r="N118" i="37"/>
  <c r="K40" i="37"/>
  <c r="H40" i="37"/>
  <c r="I69" i="37"/>
  <c r="M541" i="37"/>
  <c r="H531" i="37"/>
  <c r="M394" i="37"/>
  <c r="L206" i="37"/>
  <c r="K206" i="37"/>
  <c r="M187" i="37"/>
  <c r="I118" i="37"/>
  <c r="G38" i="37"/>
  <c r="J7" i="37"/>
  <c r="H788" i="37"/>
  <c r="N674" i="37"/>
  <c r="I587" i="37"/>
  <c r="E520" i="37"/>
  <c r="M427" i="37"/>
  <c r="G753" i="37"/>
  <c r="I720" i="37"/>
  <c r="N717" i="37"/>
  <c r="I520" i="37"/>
  <c r="G394" i="37"/>
  <c r="K465" i="37"/>
  <c r="J395" i="37"/>
  <c r="J263" i="37"/>
  <c r="G263" i="37"/>
  <c r="H359" i="37"/>
  <c r="E206" i="37"/>
  <c r="M195" i="37"/>
  <c r="G171" i="37"/>
  <c r="H195" i="37"/>
  <c r="G154" i="37"/>
  <c r="J38" i="37"/>
  <c r="L146" i="37"/>
  <c r="G644" i="37"/>
  <c r="I663" i="37"/>
  <c r="L520" i="37"/>
  <c r="I465" i="37"/>
  <c r="J195" i="37"/>
  <c r="J187" i="37"/>
  <c r="L154" i="37"/>
  <c r="E69" i="37"/>
  <c r="I443" i="37"/>
  <c r="M557" i="37"/>
  <c r="J531" i="37"/>
  <c r="K520" i="37"/>
  <c r="H171" i="37"/>
  <c r="J663" i="37"/>
  <c r="H557" i="37"/>
  <c r="M520" i="37"/>
  <c r="J453" i="37"/>
  <c r="I305" i="37"/>
  <c r="L263" i="37"/>
  <c r="G195" i="37"/>
  <c r="M69" i="37"/>
  <c r="N69" i="37"/>
  <c r="E616" i="37"/>
  <c r="L574" i="37"/>
  <c r="L663" i="37"/>
  <c r="J108" i="37"/>
  <c r="I40" i="37"/>
  <c r="J69" i="37"/>
  <c r="H361" i="37"/>
  <c r="M5" i="37"/>
  <c r="N765" i="37"/>
  <c r="E794" i="37"/>
  <c r="G789" i="37"/>
  <c r="I195" i="37"/>
  <c r="E505" i="37"/>
  <c r="E511" i="37"/>
  <c r="E453" i="37"/>
  <c r="M287" i="37"/>
  <c r="E195" i="37"/>
  <c r="M154" i="37"/>
  <c r="J154" i="37"/>
  <c r="E171" i="37"/>
  <c r="E40" i="37"/>
  <c r="K695" i="37"/>
  <c r="M663" i="37"/>
  <c r="H511" i="37"/>
  <c r="N465" i="37"/>
  <c r="N427" i="37"/>
  <c r="E427" i="37"/>
  <c r="H453" i="37"/>
  <c r="I265" i="37"/>
  <c r="I154" i="37"/>
  <c r="J40" i="37"/>
  <c r="M40" i="37"/>
  <c r="M671" i="37"/>
  <c r="H301" i="37"/>
  <c r="L325" i="37"/>
  <c r="H783" i="37"/>
  <c r="K783" i="37"/>
  <c r="M794" i="37"/>
  <c r="L427" i="37"/>
  <c r="H616" i="37"/>
  <c r="N394" i="37"/>
  <c r="K154" i="37"/>
  <c r="I755" i="37"/>
  <c r="G648" i="37"/>
  <c r="M587" i="37"/>
  <c r="K451" i="37"/>
  <c r="I382" i="37"/>
  <c r="L105" i="37"/>
  <c r="K38" i="37"/>
  <c r="G69" i="37"/>
  <c r="E797" i="37"/>
  <c r="I797" i="37"/>
  <c r="M797" i="37"/>
  <c r="G797" i="37"/>
  <c r="N797" i="37"/>
  <c r="G796" i="37"/>
  <c r="E796" i="37"/>
  <c r="L796" i="37"/>
  <c r="M796" i="37"/>
  <c r="J796" i="37"/>
  <c r="K796" i="37"/>
  <c r="I796" i="37"/>
  <c r="N796" i="37"/>
  <c r="G795" i="37"/>
  <c r="I795" i="37"/>
  <c r="E795" i="37"/>
  <c r="H795" i="37"/>
  <c r="N795" i="37"/>
  <c r="K795" i="37"/>
  <c r="J795" i="37"/>
  <c r="L795" i="37"/>
  <c r="H756" i="37"/>
  <c r="M718" i="37"/>
  <c r="M715" i="37"/>
  <c r="N569" i="37"/>
  <c r="I761" i="37"/>
  <c r="L787" i="37"/>
  <c r="M691" i="37"/>
  <c r="E569" i="37"/>
  <c r="G687" i="37"/>
  <c r="H263" i="37"/>
  <c r="H341" i="37"/>
  <c r="H185" i="37"/>
  <c r="G373" i="37"/>
  <c r="K110" i="37"/>
  <c r="K298" i="37"/>
  <c r="M211" i="37"/>
  <c r="K118" i="37"/>
  <c r="I152" i="37"/>
  <c r="L788" i="37"/>
  <c r="J777" i="37"/>
  <c r="G672" i="37"/>
  <c r="G390" i="37"/>
  <c r="E762" i="37"/>
  <c r="E44" i="37"/>
  <c r="M590" i="37"/>
  <c r="J727" i="37"/>
  <c r="E295" i="37"/>
  <c r="I349" i="37"/>
  <c r="K152" i="37"/>
  <c r="J253" i="37"/>
  <c r="G590" i="37"/>
  <c r="L435" i="37"/>
  <c r="H459" i="37"/>
  <c r="M44" i="37"/>
  <c r="N736" i="37"/>
  <c r="M765" i="37"/>
  <c r="H775" i="37"/>
  <c r="L496" i="37"/>
  <c r="N349" i="37"/>
  <c r="G663" i="37"/>
  <c r="G136" i="37"/>
  <c r="N380" i="37"/>
  <c r="J573" i="37"/>
  <c r="J786" i="37"/>
  <c r="I786" i="37"/>
  <c r="L567" i="37"/>
  <c r="N263" i="37"/>
  <c r="M610" i="37"/>
  <c r="J768" i="37"/>
  <c r="L631" i="37"/>
  <c r="I581" i="37"/>
  <c r="K574" i="37"/>
  <c r="J296" i="37"/>
  <c r="M22" i="37"/>
  <c r="L590" i="37"/>
  <c r="N443" i="37"/>
  <c r="G449" i="37"/>
  <c r="M674" i="37"/>
  <c r="I157" i="37"/>
  <c r="G184" i="37"/>
  <c r="M727" i="37"/>
  <c r="G271" i="37"/>
  <c r="L526" i="37"/>
  <c r="N306" i="37"/>
  <c r="M434" i="37"/>
  <c r="K313" i="37"/>
  <c r="K200" i="37"/>
  <c r="K569" i="37"/>
  <c r="H493" i="37"/>
  <c r="N477" i="37"/>
  <c r="N307" i="37"/>
  <c r="M306" i="37"/>
  <c r="L68" i="37"/>
  <c r="H547" i="37"/>
  <c r="G776" i="37"/>
  <c r="K202" i="37"/>
  <c r="G489" i="37"/>
  <c r="K149" i="37"/>
  <c r="H590" i="37"/>
  <c r="N737" i="37"/>
  <c r="L449" i="37"/>
  <c r="M388" i="37"/>
  <c r="J418" i="37"/>
  <c r="M245" i="37"/>
  <c r="L152" i="37"/>
  <c r="L273" i="37"/>
  <c r="E786" i="37"/>
  <c r="L789" i="37"/>
  <c r="M786" i="37"/>
  <c r="N44" i="37"/>
  <c r="G424" i="37"/>
  <c r="I590" i="37"/>
  <c r="K577" i="37"/>
  <c r="H786" i="37"/>
  <c r="M789" i="37"/>
  <c r="L240" i="37"/>
  <c r="K671" i="37"/>
  <c r="N610" i="37"/>
  <c r="M391" i="37"/>
  <c r="J265" i="37"/>
  <c r="M212" i="37"/>
  <c r="J163" i="37"/>
  <c r="I158" i="37"/>
  <c r="G44" i="37"/>
  <c r="K392" i="37"/>
  <c r="G247" i="37"/>
  <c r="N207" i="37"/>
  <c r="H5" i="37"/>
  <c r="K778" i="37"/>
  <c r="L792" i="37"/>
  <c r="M453" i="37"/>
  <c r="L505" i="37"/>
  <c r="N283" i="37"/>
  <c r="N178" i="37"/>
  <c r="L110" i="37"/>
  <c r="G102" i="37"/>
  <c r="L349" i="37"/>
  <c r="J412" i="37"/>
  <c r="M126" i="37"/>
  <c r="G493" i="37"/>
  <c r="K793" i="37"/>
  <c r="I793" i="37"/>
  <c r="G793" i="37"/>
  <c r="J793" i="37"/>
  <c r="L793" i="37"/>
  <c r="N793" i="37"/>
  <c r="M793" i="37"/>
  <c r="E793" i="37"/>
  <c r="H793" i="37"/>
  <c r="H792" i="37"/>
  <c r="E792" i="37"/>
  <c r="J792" i="37"/>
  <c r="M792" i="37"/>
  <c r="N792" i="37"/>
  <c r="I792" i="37"/>
  <c r="K792" i="37"/>
  <c r="I790" i="37"/>
  <c r="L790" i="37"/>
  <c r="N790" i="37"/>
  <c r="E789" i="37"/>
  <c r="J790" i="37"/>
  <c r="G790" i="37"/>
  <c r="M790" i="37"/>
  <c r="H790" i="37"/>
  <c r="E790" i="37"/>
  <c r="I789" i="37"/>
  <c r="N788" i="37"/>
  <c r="E788" i="37"/>
  <c r="J788" i="37"/>
  <c r="K788" i="37"/>
  <c r="M788" i="37"/>
  <c r="G788" i="37"/>
  <c r="I788" i="37"/>
  <c r="N787" i="37"/>
  <c r="H787" i="37"/>
  <c r="E787" i="37"/>
  <c r="I787" i="37"/>
  <c r="G787" i="37"/>
  <c r="K787" i="37"/>
  <c r="K786" i="37"/>
  <c r="M785" i="37"/>
  <c r="J785" i="37"/>
  <c r="E785" i="37"/>
  <c r="G785" i="37"/>
  <c r="K785" i="37"/>
  <c r="N785" i="37"/>
  <c r="I785" i="37"/>
  <c r="H785" i="37"/>
  <c r="N784" i="37"/>
  <c r="K784" i="37"/>
  <c r="M784" i="37"/>
  <c r="L784" i="37"/>
  <c r="G784" i="37"/>
  <c r="E784" i="37"/>
  <c r="I784" i="37"/>
  <c r="H784" i="37"/>
  <c r="H782" i="37"/>
  <c r="G782" i="37"/>
  <c r="L782" i="37"/>
  <c r="I782" i="37"/>
  <c r="N782" i="37"/>
  <c r="M782" i="37"/>
  <c r="K782" i="37"/>
  <c r="J782" i="37"/>
  <c r="N241" i="37"/>
  <c r="E531" i="37"/>
  <c r="M465" i="37"/>
  <c r="J165" i="37"/>
  <c r="G105" i="37"/>
  <c r="M49" i="37"/>
  <c r="G711" i="37"/>
  <c r="J349" i="37"/>
  <c r="H303" i="37"/>
  <c r="M105" i="37"/>
  <c r="L711" i="37"/>
  <c r="N743" i="37"/>
  <c r="I539" i="37"/>
  <c r="M247" i="37"/>
  <c r="L727" i="37"/>
  <c r="G720" i="37"/>
  <c r="M416" i="37"/>
  <c r="G16" i="37"/>
  <c r="H105" i="37"/>
  <c r="M498" i="37"/>
  <c r="I16" i="37"/>
  <c r="I735" i="37"/>
  <c r="E743" i="37"/>
  <c r="I379" i="37"/>
  <c r="M554" i="37"/>
  <c r="J735" i="37"/>
  <c r="L296" i="37"/>
  <c r="L116" i="37"/>
  <c r="N97" i="37"/>
  <c r="H49" i="37"/>
  <c r="M735" i="37"/>
  <c r="M459" i="37"/>
  <c r="E416" i="37"/>
  <c r="K416" i="37"/>
  <c r="H416" i="37"/>
  <c r="H449" i="37"/>
  <c r="H349" i="37"/>
  <c r="L781" i="37"/>
  <c r="K530" i="37"/>
  <c r="L312" i="37"/>
  <c r="N94" i="37"/>
  <c r="M743" i="37"/>
  <c r="J449" i="37"/>
  <c r="N459" i="37"/>
  <c r="K743" i="37"/>
  <c r="I449" i="37"/>
  <c r="I416" i="37"/>
  <c r="I781" i="37"/>
  <c r="K531" i="37"/>
  <c r="I519" i="37"/>
  <c r="N449" i="37"/>
  <c r="K161" i="37"/>
  <c r="L465" i="37"/>
  <c r="G781" i="37"/>
  <c r="H618" i="37"/>
  <c r="G459" i="37"/>
  <c r="K770" i="37"/>
  <c r="N781" i="37"/>
  <c r="N16" i="37"/>
  <c r="N136" i="37"/>
  <c r="L341" i="37"/>
  <c r="G14" i="37"/>
  <c r="K757" i="37"/>
  <c r="K735" i="37"/>
  <c r="H427" i="37"/>
  <c r="I374" i="37"/>
  <c r="N161" i="37"/>
  <c r="G349" i="37"/>
  <c r="G743" i="37"/>
  <c r="I639" i="37"/>
  <c r="J274" i="37"/>
  <c r="I49" i="37"/>
  <c r="J743" i="37"/>
  <c r="G712" i="37"/>
  <c r="H744" i="37"/>
  <c r="L128" i="37"/>
  <c r="G631" i="37"/>
  <c r="G367" i="37"/>
  <c r="M781" i="37"/>
  <c r="L49" i="37"/>
  <c r="G593" i="37"/>
  <c r="I161" i="37"/>
  <c r="G617" i="37"/>
  <c r="I311" i="37"/>
  <c r="L226" i="37"/>
  <c r="L237" i="37"/>
  <c r="K237" i="37"/>
  <c r="L246" i="37"/>
  <c r="J97" i="37"/>
  <c r="N89" i="37"/>
  <c r="N719" i="37"/>
  <c r="M748" i="37"/>
  <c r="J205" i="37"/>
  <c r="J305" i="37"/>
  <c r="G261" i="37"/>
  <c r="J393" i="37"/>
  <c r="G735" i="37"/>
  <c r="E727" i="37"/>
  <c r="J598" i="37"/>
  <c r="I89" i="37"/>
  <c r="K396" i="37"/>
  <c r="I411" i="37"/>
  <c r="K338" i="37"/>
  <c r="N250" i="37"/>
  <c r="M250" i="37"/>
  <c r="L97" i="37"/>
  <c r="G110" i="37"/>
  <c r="K83" i="37"/>
  <c r="E89" i="37"/>
  <c r="G441" i="37"/>
  <c r="K68" i="37"/>
  <c r="N237" i="37"/>
  <c r="H205" i="37"/>
  <c r="M697" i="37"/>
  <c r="I125" i="37"/>
  <c r="N83" i="37"/>
  <c r="J698" i="37"/>
  <c r="K698" i="37"/>
  <c r="K700" i="37"/>
  <c r="K598" i="37"/>
  <c r="M508" i="37"/>
  <c r="K394" i="37"/>
  <c r="L411" i="37"/>
  <c r="L356" i="37"/>
  <c r="E201" i="37"/>
  <c r="I237" i="37"/>
  <c r="L89" i="37"/>
  <c r="K719" i="37"/>
  <c r="H533" i="37"/>
  <c r="M317" i="37"/>
  <c r="G425" i="37"/>
  <c r="E205" i="37"/>
  <c r="J343" i="37"/>
  <c r="M698" i="37"/>
  <c r="G603" i="37"/>
  <c r="M356" i="37"/>
  <c r="G266" i="37"/>
  <c r="J208" i="37"/>
  <c r="M226" i="37"/>
  <c r="L183" i="37"/>
  <c r="H129" i="37"/>
  <c r="N74" i="37"/>
  <c r="E719" i="37"/>
  <c r="M719" i="37"/>
  <c r="H561" i="37"/>
  <c r="I524" i="37"/>
  <c r="H550" i="37"/>
  <c r="M694" i="37"/>
  <c r="M261" i="37"/>
  <c r="M89" i="37"/>
  <c r="N311" i="37"/>
  <c r="I508" i="37"/>
  <c r="E508" i="37"/>
  <c r="H514" i="37"/>
  <c r="K411" i="37"/>
  <c r="N391" i="37"/>
  <c r="J237" i="37"/>
  <c r="G694" i="37"/>
  <c r="K514" i="37"/>
  <c r="M234" i="37"/>
  <c r="K208" i="37"/>
  <c r="L205" i="37"/>
  <c r="M237" i="37"/>
  <c r="J129" i="37"/>
  <c r="H578" i="37"/>
  <c r="I261" i="37"/>
  <c r="K5" i="37"/>
  <c r="L125" i="37"/>
  <c r="L91" i="37"/>
  <c r="J89" i="37"/>
  <c r="N561" i="37"/>
  <c r="J503" i="37"/>
  <c r="M113" i="37"/>
  <c r="I694" i="37"/>
  <c r="H598" i="37"/>
  <c r="G581" i="37"/>
  <c r="J694" i="37"/>
  <c r="E598" i="37"/>
  <c r="K551" i="37"/>
  <c r="G508" i="37"/>
  <c r="L603" i="37"/>
  <c r="K441" i="37"/>
  <c r="M457" i="37"/>
  <c r="M411" i="37"/>
  <c r="K311" i="37"/>
  <c r="G311" i="37"/>
  <c r="J183" i="37"/>
  <c r="L199" i="37"/>
  <c r="K226" i="37"/>
  <c r="K222" i="37"/>
  <c r="K174" i="37"/>
  <c r="L598" i="37"/>
  <c r="L261" i="37"/>
  <c r="L441" i="37"/>
  <c r="J120" i="37"/>
  <c r="K603" i="37"/>
  <c r="K694" i="37"/>
  <c r="H694" i="37"/>
  <c r="E690" i="37"/>
  <c r="E620" i="37"/>
  <c r="J603" i="37"/>
  <c r="J471" i="37"/>
  <c r="J593" i="37"/>
  <c r="E457" i="37"/>
  <c r="N338" i="37"/>
  <c r="H237" i="37"/>
  <c r="E250" i="37"/>
  <c r="I200" i="37"/>
  <c r="E183" i="37"/>
  <c r="J61" i="37"/>
  <c r="M661" i="37"/>
  <c r="K205" i="37"/>
  <c r="H441" i="37"/>
  <c r="K720" i="37"/>
  <c r="I90" i="37"/>
  <c r="G205" i="37"/>
  <c r="K593" i="37"/>
  <c r="E546" i="37"/>
  <c r="E603" i="37"/>
  <c r="M311" i="37"/>
  <c r="J311" i="37"/>
  <c r="G244" i="37"/>
  <c r="J250" i="37"/>
  <c r="G183" i="37"/>
  <c r="H508" i="37"/>
  <c r="J676" i="37"/>
  <c r="G457" i="37"/>
  <c r="M598" i="37"/>
  <c r="E441" i="37"/>
  <c r="H418" i="37"/>
  <c r="N603" i="37"/>
  <c r="E125" i="37"/>
  <c r="J83" i="37"/>
  <c r="H690" i="37"/>
  <c r="L533" i="37"/>
  <c r="M603" i="37"/>
  <c r="N533" i="37"/>
  <c r="G250" i="37"/>
  <c r="I227" i="37"/>
  <c r="H311" i="37"/>
  <c r="J231" i="37"/>
  <c r="E226" i="37"/>
  <c r="J125" i="37"/>
  <c r="I500" i="37"/>
  <c r="H229" i="37"/>
  <c r="K508" i="37"/>
  <c r="G161" i="37"/>
  <c r="I698" i="37"/>
  <c r="I226" i="37"/>
  <c r="N698" i="37"/>
  <c r="E231" i="37"/>
  <c r="G690" i="37"/>
  <c r="N706" i="37"/>
  <c r="J611" i="37"/>
  <c r="I396" i="37"/>
  <c r="J457" i="37"/>
  <c r="G338" i="37"/>
  <c r="K250" i="37"/>
  <c r="H226" i="37"/>
  <c r="L311" i="37"/>
  <c r="N125" i="37"/>
  <c r="L98" i="37"/>
  <c r="N120" i="37"/>
  <c r="J322" i="37"/>
  <c r="J441" i="37"/>
  <c r="N441" i="37"/>
  <c r="H250" i="37"/>
  <c r="N226" i="37"/>
  <c r="H183" i="37"/>
  <c r="N396" i="37"/>
  <c r="L250" i="37"/>
  <c r="K125" i="37"/>
  <c r="I97" i="37"/>
  <c r="H89" i="37"/>
  <c r="J720" i="37"/>
  <c r="G621" i="37"/>
  <c r="K261" i="37"/>
  <c r="M623" i="37"/>
  <c r="G207" i="37"/>
  <c r="G770" i="37"/>
  <c r="I245" i="37"/>
  <c r="E6" i="37"/>
  <c r="E330" i="37"/>
  <c r="H745" i="37"/>
  <c r="H629" i="37"/>
  <c r="M629" i="37"/>
  <c r="M634" i="37"/>
  <c r="E593" i="37"/>
  <c r="G616" i="37"/>
  <c r="E550" i="37"/>
  <c r="M550" i="37"/>
  <c r="L560" i="37"/>
  <c r="G397" i="37"/>
  <c r="J403" i="37"/>
  <c r="N433" i="37"/>
  <c r="M343" i="37"/>
  <c r="N330" i="37"/>
  <c r="L330" i="37"/>
  <c r="N285" i="37"/>
  <c r="K376" i="37"/>
  <c r="J264" i="37"/>
  <c r="L343" i="37"/>
  <c r="H245" i="37"/>
  <c r="J245" i="37"/>
  <c r="G241" i="37"/>
  <c r="E142" i="37"/>
  <c r="J109" i="37"/>
  <c r="L34" i="37"/>
  <c r="J8" i="37"/>
  <c r="H36" i="37"/>
  <c r="E75" i="37"/>
  <c r="K45" i="37"/>
  <c r="M666" i="37"/>
  <c r="N448" i="37"/>
  <c r="M566" i="37"/>
  <c r="M145" i="37"/>
  <c r="M34" i="37"/>
  <c r="K31" i="37"/>
  <c r="J31" i="37"/>
  <c r="E31" i="37"/>
  <c r="K322" i="37"/>
  <c r="K183" i="37"/>
  <c r="G626" i="37"/>
  <c r="E241" i="37"/>
  <c r="M6" i="37"/>
  <c r="E70" i="37"/>
  <c r="E21" i="37"/>
  <c r="I31" i="37"/>
  <c r="L732" i="37"/>
  <c r="L666" i="37"/>
  <c r="J629" i="37"/>
  <c r="H673" i="37"/>
  <c r="N621" i="37"/>
  <c r="L629" i="37"/>
  <c r="M593" i="37"/>
  <c r="G634" i="37"/>
  <c r="E634" i="37"/>
  <c r="H593" i="37"/>
  <c r="I616" i="37"/>
  <c r="G522" i="37"/>
  <c r="L397" i="37"/>
  <c r="N397" i="37"/>
  <c r="H433" i="37"/>
  <c r="H343" i="37"/>
  <c r="L328" i="37"/>
  <c r="G340" i="37"/>
  <c r="M376" i="37"/>
  <c r="E287" i="37"/>
  <c r="E234" i="37"/>
  <c r="E245" i="37"/>
  <c r="N245" i="37"/>
  <c r="G142" i="37"/>
  <c r="N180" i="37"/>
  <c r="N70" i="37"/>
  <c r="N31" i="37"/>
  <c r="M31" i="37"/>
  <c r="J34" i="37"/>
  <c r="N59" i="37"/>
  <c r="G119" i="37"/>
  <c r="L45" i="37"/>
  <c r="K600" i="37"/>
  <c r="J685" i="37"/>
  <c r="J647" i="37"/>
  <c r="G31" i="37"/>
  <c r="H309" i="37"/>
  <c r="M96" i="37"/>
  <c r="J703" i="37"/>
  <c r="H285" i="37"/>
  <c r="K773" i="37"/>
  <c r="I626" i="37"/>
  <c r="N293" i="37"/>
  <c r="G245" i="37"/>
  <c r="I748" i="37"/>
  <c r="E325" i="37"/>
  <c r="N728" i="37"/>
  <c r="J673" i="37"/>
  <c r="L616" i="37"/>
  <c r="E647" i="37"/>
  <c r="I550" i="37"/>
  <c r="L524" i="37"/>
  <c r="K397" i="37"/>
  <c r="J397" i="37"/>
  <c r="I433" i="37"/>
  <c r="G343" i="37"/>
  <c r="N376" i="37"/>
  <c r="G305" i="37"/>
  <c r="L245" i="37"/>
  <c r="J234" i="37"/>
  <c r="K241" i="37"/>
  <c r="N243" i="37"/>
  <c r="J115" i="37"/>
  <c r="I177" i="37"/>
  <c r="L31" i="37"/>
  <c r="L6" i="37"/>
  <c r="L754" i="37"/>
  <c r="N524" i="37"/>
  <c r="L647" i="37"/>
  <c r="E448" i="37"/>
  <c r="L88" i="37"/>
  <c r="L364" i="37"/>
  <c r="I285" i="37"/>
  <c r="G185" i="37"/>
  <c r="J261" i="37"/>
  <c r="J44" i="37"/>
  <c r="G681" i="37"/>
  <c r="K616" i="37"/>
  <c r="M673" i="37"/>
  <c r="H647" i="37"/>
  <c r="H503" i="37"/>
  <c r="N420" i="37"/>
  <c r="K433" i="37"/>
  <c r="I404" i="37"/>
  <c r="G330" i="37"/>
  <c r="J375" i="37"/>
  <c r="H260" i="37"/>
  <c r="K330" i="37"/>
  <c r="N269" i="37"/>
  <c r="H305" i="37"/>
  <c r="H231" i="37"/>
  <c r="K162" i="37"/>
  <c r="N86" i="37"/>
  <c r="H748" i="37"/>
  <c r="M451" i="37"/>
  <c r="H331" i="37"/>
  <c r="H526" i="37"/>
  <c r="M15" i="37"/>
  <c r="N671" i="37"/>
  <c r="I263" i="37"/>
  <c r="H261" i="37"/>
  <c r="M379" i="37"/>
  <c r="E229" i="37"/>
  <c r="I598" i="37"/>
  <c r="H120" i="37"/>
  <c r="M365" i="37"/>
  <c r="K703" i="37"/>
  <c r="K727" i="37"/>
  <c r="K377" i="37"/>
  <c r="E161" i="37"/>
  <c r="E397" i="37"/>
  <c r="M231" i="37"/>
  <c r="G141" i="37"/>
  <c r="K115" i="37"/>
  <c r="I51" i="37"/>
  <c r="J142" i="37"/>
  <c r="K647" i="37"/>
  <c r="I561" i="37"/>
  <c r="K309" i="37"/>
  <c r="I671" i="37"/>
  <c r="J96" i="37"/>
  <c r="K398" i="37"/>
  <c r="E379" i="37"/>
  <c r="J70" i="37"/>
  <c r="N598" i="37"/>
  <c r="E621" i="37"/>
  <c r="M641" i="37"/>
  <c r="H621" i="37"/>
  <c r="H691" i="37"/>
  <c r="I647" i="37"/>
  <c r="J634" i="37"/>
  <c r="L621" i="37"/>
  <c r="I584" i="37"/>
  <c r="G451" i="37"/>
  <c r="L375" i="37"/>
  <c r="J366" i="37"/>
  <c r="E328" i="37"/>
  <c r="L380" i="37"/>
  <c r="M305" i="37"/>
  <c r="E243" i="37"/>
  <c r="K234" i="37"/>
  <c r="M162" i="37"/>
  <c r="I231" i="37"/>
  <c r="N141" i="37"/>
  <c r="I162" i="37"/>
  <c r="M115" i="37"/>
  <c r="M109" i="37"/>
  <c r="G56" i="37"/>
  <c r="E46" i="37"/>
  <c r="N46" i="37"/>
  <c r="N703" i="37"/>
  <c r="M703" i="37"/>
  <c r="L561" i="37"/>
  <c r="G448" i="37"/>
  <c r="E309" i="37"/>
  <c r="J285" i="37"/>
  <c r="G88" i="37"/>
  <c r="L451" i="37"/>
  <c r="K137" i="37"/>
  <c r="K46" i="37"/>
  <c r="H727" i="37"/>
  <c r="N154" i="37"/>
  <c r="N96" i="37"/>
  <c r="H728" i="37"/>
  <c r="H641" i="37"/>
  <c r="I621" i="37"/>
  <c r="G691" i="37"/>
  <c r="K621" i="37"/>
  <c r="L376" i="37"/>
  <c r="E433" i="37"/>
  <c r="K328" i="37"/>
  <c r="L305" i="37"/>
  <c r="L287" i="37"/>
  <c r="J773" i="37"/>
  <c r="G641" i="37"/>
  <c r="J621" i="37"/>
  <c r="M621" i="37"/>
  <c r="K584" i="37"/>
  <c r="J373" i="37"/>
  <c r="M406" i="37"/>
  <c r="L389" i="37"/>
  <c r="N405" i="37"/>
  <c r="E380" i="37"/>
  <c r="J325" i="37"/>
  <c r="J241" i="37"/>
  <c r="J243" i="37"/>
  <c r="G234" i="37"/>
  <c r="J162" i="37"/>
  <c r="I214" i="37"/>
  <c r="E45" i="37"/>
  <c r="M45" i="37"/>
  <c r="E629" i="37"/>
  <c r="L285" i="37"/>
  <c r="I205" i="37"/>
  <c r="I703" i="37"/>
  <c r="M331" i="37"/>
  <c r="H773" i="37"/>
  <c r="H380" i="37"/>
  <c r="E346" i="37"/>
  <c r="G117" i="37"/>
  <c r="I70" i="37"/>
  <c r="H648" i="37"/>
  <c r="G516" i="37"/>
  <c r="N473" i="37"/>
  <c r="G375" i="37"/>
  <c r="G252" i="37"/>
  <c r="M243" i="37"/>
  <c r="G290" i="37"/>
  <c r="G748" i="37"/>
  <c r="E752" i="37"/>
  <c r="I728" i="37"/>
  <c r="E626" i="37"/>
  <c r="M728" i="37"/>
  <c r="I634" i="37"/>
  <c r="J746" i="37"/>
  <c r="K634" i="37"/>
  <c r="H626" i="37"/>
  <c r="K561" i="37"/>
  <c r="G561" i="37"/>
  <c r="L584" i="37"/>
  <c r="L413" i="37"/>
  <c r="G406" i="37"/>
  <c r="G376" i="37"/>
  <c r="G380" i="37"/>
  <c r="N317" i="37"/>
  <c r="I241" i="37"/>
  <c r="I234" i="37"/>
  <c r="I248" i="37"/>
  <c r="L234" i="37"/>
  <c r="N231" i="37"/>
  <c r="I109" i="37"/>
  <c r="L36" i="37"/>
  <c r="G8" i="37"/>
  <c r="H70" i="37"/>
  <c r="I96" i="37"/>
  <c r="J330" i="37"/>
  <c r="L566" i="37"/>
  <c r="H770" i="37"/>
  <c r="I380" i="37"/>
  <c r="M241" i="37"/>
  <c r="M70" i="37"/>
  <c r="N748" i="37"/>
  <c r="E666" i="37"/>
  <c r="N616" i="37"/>
  <c r="N626" i="37"/>
  <c r="I593" i="37"/>
  <c r="N582" i="37"/>
  <c r="K626" i="37"/>
  <c r="N574" i="37"/>
  <c r="J516" i="37"/>
  <c r="J406" i="37"/>
  <c r="H375" i="37"/>
  <c r="I375" i="37"/>
  <c r="I406" i="37"/>
  <c r="N309" i="37"/>
  <c r="K357" i="37"/>
  <c r="G229" i="37"/>
  <c r="I141" i="37"/>
  <c r="H45" i="37"/>
  <c r="K70" i="37"/>
  <c r="J45" i="37"/>
  <c r="H46" i="37"/>
  <c r="I21" i="37"/>
  <c r="K109" i="37"/>
  <c r="K34" i="37"/>
  <c r="H6" i="37"/>
  <c r="J666" i="37"/>
  <c r="J524" i="37"/>
  <c r="K566" i="37"/>
  <c r="E748" i="37"/>
  <c r="L184" i="37"/>
  <c r="M325" i="37"/>
  <c r="E88" i="37"/>
  <c r="J21" i="37"/>
  <c r="H524" i="37"/>
  <c r="K325" i="37"/>
  <c r="H319" i="37"/>
  <c r="G589" i="37"/>
  <c r="M732" i="37"/>
  <c r="N666" i="37"/>
  <c r="I674" i="37"/>
  <c r="J626" i="37"/>
  <c r="M626" i="37"/>
  <c r="M524" i="37"/>
  <c r="H516" i="37"/>
  <c r="N516" i="37"/>
  <c r="L373" i="37"/>
  <c r="E375" i="37"/>
  <c r="G335" i="37"/>
  <c r="I343" i="37"/>
  <c r="L162" i="37"/>
  <c r="L142" i="37"/>
  <c r="E141" i="37"/>
  <c r="I8" i="37"/>
  <c r="H142" i="37"/>
  <c r="K373" i="37"/>
  <c r="G15" i="37"/>
  <c r="L317" i="37"/>
  <c r="N325" i="37"/>
  <c r="G301" i="37"/>
  <c r="E137" i="37"/>
  <c r="K96" i="37"/>
  <c r="I427" i="37"/>
  <c r="I397" i="37"/>
  <c r="N584" i="37"/>
  <c r="K516" i="37"/>
  <c r="I413" i="37"/>
  <c r="H397" i="37"/>
  <c r="H346" i="37"/>
  <c r="E320" i="37"/>
  <c r="N346" i="37"/>
  <c r="N234" i="37"/>
  <c r="E343" i="37"/>
  <c r="N204" i="37"/>
  <c r="N162" i="37"/>
  <c r="M46" i="37"/>
  <c r="E34" i="37"/>
  <c r="G766" i="37"/>
  <c r="J728" i="37"/>
  <c r="G629" i="37"/>
  <c r="L706" i="37"/>
  <c r="E673" i="37"/>
  <c r="H584" i="37"/>
  <c r="K612" i="37"/>
  <c r="M584" i="37"/>
  <c r="I560" i="37"/>
  <c r="G483" i="37"/>
  <c r="G276" i="37"/>
  <c r="J72" i="37"/>
  <c r="I451" i="37"/>
  <c r="K88" i="37"/>
  <c r="H330" i="37"/>
  <c r="H88" i="37"/>
  <c r="I325" i="37"/>
  <c r="M285" i="37"/>
  <c r="G285" i="37"/>
  <c r="K780" i="37"/>
  <c r="L780" i="37"/>
  <c r="I780" i="37"/>
  <c r="H780" i="37"/>
  <c r="M780" i="37"/>
  <c r="E780" i="37"/>
  <c r="N780" i="37"/>
  <c r="G780" i="37"/>
  <c r="E779" i="37"/>
  <c r="L779" i="37"/>
  <c r="M779" i="37"/>
  <c r="N779" i="37"/>
  <c r="H779" i="37"/>
  <c r="J779" i="37"/>
  <c r="K779" i="37"/>
  <c r="G779" i="37"/>
  <c r="M778" i="37"/>
  <c r="L778" i="37"/>
  <c r="J778" i="37"/>
  <c r="I778" i="37"/>
  <c r="H778" i="37"/>
  <c r="E778" i="37"/>
  <c r="K777" i="37"/>
  <c r="E777" i="37"/>
  <c r="L777" i="37"/>
  <c r="I777" i="37"/>
  <c r="M777" i="37"/>
  <c r="G777" i="37"/>
  <c r="H777" i="37"/>
  <c r="N777" i="37"/>
  <c r="N303" i="37"/>
  <c r="I774" i="37"/>
  <c r="L774" i="37"/>
  <c r="N774" i="37"/>
  <c r="J774" i="37"/>
  <c r="G774" i="37"/>
  <c r="E774" i="37"/>
  <c r="H774" i="37"/>
  <c r="M774" i="37"/>
  <c r="N773" i="37"/>
  <c r="M773" i="37"/>
  <c r="L773" i="37"/>
  <c r="I773" i="37"/>
  <c r="G773" i="37"/>
  <c r="I692" i="37"/>
  <c r="L686" i="37"/>
  <c r="L651" i="37"/>
  <c r="I555" i="37"/>
  <c r="I452" i="37"/>
  <c r="K305" i="37"/>
  <c r="N124" i="37"/>
  <c r="N716" i="37"/>
  <c r="M362" i="37"/>
  <c r="E97" i="37"/>
  <c r="G134" i="37"/>
  <c r="G365" i="37"/>
  <c r="I566" i="37"/>
  <c r="N10" i="37"/>
  <c r="N464" i="37"/>
  <c r="G752" i="37"/>
  <c r="L724" i="37"/>
  <c r="I665" i="37"/>
  <c r="G608" i="37"/>
  <c r="H613" i="37"/>
  <c r="I540" i="37"/>
  <c r="I259" i="37"/>
  <c r="H334" i="37"/>
  <c r="L147" i="37"/>
  <c r="I115" i="37"/>
  <c r="H335" i="37"/>
  <c r="N711" i="37"/>
  <c r="M120" i="37"/>
  <c r="E96" i="37"/>
  <c r="J161" i="37"/>
  <c r="M86" i="37"/>
  <c r="G34" i="37"/>
  <c r="K403" i="37"/>
  <c r="K449" i="37"/>
  <c r="G243" i="37"/>
  <c r="H117" i="37"/>
  <c r="K641" i="37"/>
  <c r="L770" i="37"/>
  <c r="J674" i="37"/>
  <c r="I611" i="37"/>
  <c r="K143" i="37"/>
  <c r="G109" i="37"/>
  <c r="G754" i="37"/>
  <c r="K36" i="37"/>
  <c r="N578" i="37"/>
  <c r="K489" i="37"/>
  <c r="L382" i="37"/>
  <c r="H154" i="37"/>
  <c r="H56" i="37"/>
  <c r="G70" i="37"/>
  <c r="K198" i="37"/>
  <c r="L120" i="37"/>
  <c r="N298" i="37"/>
  <c r="J690" i="37"/>
  <c r="M390" i="37"/>
  <c r="M298" i="37"/>
  <c r="K116" i="37"/>
  <c r="H110" i="37"/>
  <c r="I119" i="37"/>
  <c r="I676" i="37"/>
  <c r="G392" i="37"/>
  <c r="M526" i="37"/>
  <c r="H681" i="37"/>
  <c r="K280" i="37"/>
  <c r="L280" i="37"/>
  <c r="N209" i="37"/>
  <c r="J228" i="37"/>
  <c r="K211" i="37"/>
  <c r="G118" i="37"/>
  <c r="K147" i="37"/>
  <c r="L511" i="37"/>
  <c r="M769" i="37"/>
  <c r="G688" i="37"/>
  <c r="H610" i="37"/>
  <c r="L572" i="37"/>
  <c r="N494" i="37"/>
  <c r="K490" i="37"/>
  <c r="N468" i="37"/>
  <c r="J200" i="37"/>
  <c r="M143" i="37"/>
  <c r="L84" i="37"/>
  <c r="G653" i="37"/>
  <c r="N240" i="37"/>
  <c r="K245" i="37"/>
  <c r="L136" i="37"/>
  <c r="G143" i="37"/>
  <c r="L557" i="37"/>
  <c r="I128" i="37"/>
  <c r="H767" i="37"/>
  <c r="L627" i="37"/>
  <c r="K395" i="37"/>
  <c r="G100" i="37"/>
  <c r="I751" i="37"/>
  <c r="G210" i="37"/>
  <c r="G541" i="37"/>
  <c r="I673" i="37"/>
  <c r="L198" i="37"/>
  <c r="H74" i="37"/>
  <c r="G584" i="37"/>
  <c r="H92" i="37"/>
  <c r="L197" i="37"/>
  <c r="M364" i="37"/>
  <c r="L365" i="37"/>
  <c r="G7" i="37"/>
  <c r="G96" i="37"/>
  <c r="J770" i="37"/>
  <c r="K680" i="37"/>
  <c r="J751" i="37"/>
  <c r="L759" i="37"/>
  <c r="N624" i="37"/>
  <c r="G550" i="37"/>
  <c r="G570" i="37"/>
  <c r="I438" i="37"/>
  <c r="N485" i="37"/>
  <c r="I155" i="37"/>
  <c r="G202" i="37"/>
  <c r="G336" i="37"/>
  <c r="L762" i="37"/>
  <c r="L744" i="37"/>
  <c r="H354" i="37"/>
  <c r="G89" i="37"/>
  <c r="I770" i="37"/>
  <c r="H570" i="37"/>
  <c r="E437" i="37"/>
  <c r="G378" i="37"/>
  <c r="J155" i="37"/>
  <c r="K173" i="37"/>
  <c r="H772" i="37"/>
  <c r="J772" i="37"/>
  <c r="G772" i="37"/>
  <c r="L772" i="37"/>
  <c r="I772" i="37"/>
  <c r="M772" i="37"/>
  <c r="K772" i="37"/>
  <c r="E772" i="37"/>
  <c r="G771" i="37"/>
  <c r="I771" i="37"/>
  <c r="H771" i="37"/>
  <c r="M771" i="37"/>
  <c r="M770" i="37"/>
  <c r="I769" i="37"/>
  <c r="G769" i="37"/>
  <c r="H769" i="37"/>
  <c r="J769" i="37"/>
  <c r="N769" i="37"/>
  <c r="L769" i="37"/>
  <c r="K769" i="37"/>
  <c r="E769" i="37"/>
  <c r="G768" i="37"/>
  <c r="I768" i="37"/>
  <c r="M768" i="37"/>
  <c r="N768" i="37"/>
  <c r="E768" i="37"/>
  <c r="H768" i="37"/>
  <c r="K768" i="37"/>
  <c r="L768" i="37"/>
  <c r="E767" i="37"/>
  <c r="I314" i="37"/>
  <c r="L766" i="37"/>
  <c r="I766" i="37"/>
  <c r="N766" i="37"/>
  <c r="K766" i="37"/>
  <c r="J766" i="37"/>
  <c r="H766" i="37"/>
  <c r="M766" i="37"/>
  <c r="K114" i="37"/>
  <c r="H519" i="37"/>
  <c r="M320" i="37"/>
  <c r="N588" i="37"/>
  <c r="K319" i="37"/>
  <c r="G163" i="37"/>
  <c r="H163" i="37"/>
  <c r="G401" i="37"/>
  <c r="G156" i="37"/>
  <c r="H197" i="37"/>
  <c r="J319" i="37"/>
  <c r="M21" i="37"/>
  <c r="H160" i="37"/>
  <c r="H304" i="37"/>
  <c r="K182" i="37"/>
  <c r="G611" i="37"/>
  <c r="I609" i="37"/>
  <c r="I514" i="37"/>
  <c r="J505" i="37"/>
  <c r="M494" i="37"/>
  <c r="G413" i="37"/>
  <c r="M439" i="37"/>
  <c r="M480" i="37"/>
  <c r="G487" i="37"/>
  <c r="J417" i="37"/>
  <c r="I417" i="37"/>
  <c r="N398" i="37"/>
  <c r="J346" i="37"/>
  <c r="H382" i="37"/>
  <c r="N305" i="37"/>
  <c r="L239" i="37"/>
  <c r="N202" i="37"/>
  <c r="I225" i="37"/>
  <c r="M208" i="37"/>
  <c r="I183" i="37"/>
  <c r="N171" i="37"/>
  <c r="N413" i="37"/>
  <c r="J197" i="37"/>
  <c r="K16" i="37"/>
  <c r="J371" i="37"/>
  <c r="H149" i="37"/>
  <c r="L719" i="37"/>
  <c r="J46" i="37"/>
  <c r="I625" i="37"/>
  <c r="N467" i="37"/>
  <c r="M478" i="37"/>
  <c r="I487" i="37"/>
  <c r="N281" i="37"/>
  <c r="L202" i="37"/>
  <c r="E208" i="37"/>
  <c r="I184" i="37"/>
  <c r="J320" i="37"/>
  <c r="G320" i="37"/>
  <c r="H716" i="37"/>
  <c r="M301" i="37"/>
  <c r="L758" i="37"/>
  <c r="M648" i="37"/>
  <c r="G705" i="37"/>
  <c r="K650" i="37"/>
  <c r="N623" i="37"/>
  <c r="G620" i="37"/>
  <c r="J646" i="37"/>
  <c r="N504" i="37"/>
  <c r="J487" i="37"/>
  <c r="I361" i="37"/>
  <c r="H367" i="37"/>
  <c r="K331" i="37"/>
  <c r="K346" i="37"/>
  <c r="M183" i="37"/>
  <c r="N143" i="37"/>
  <c r="M108" i="37"/>
  <c r="M14" i="37"/>
  <c r="J13" i="37"/>
  <c r="I13" i="37"/>
  <c r="E83" i="37"/>
  <c r="E319" i="37"/>
  <c r="G511" i="37"/>
  <c r="J136" i="37"/>
  <c r="E136" i="37"/>
  <c r="N689" i="37"/>
  <c r="I644" i="37"/>
  <c r="H632" i="37"/>
  <c r="N547" i="37"/>
  <c r="E514" i="37"/>
  <c r="G587" i="37"/>
  <c r="L487" i="37"/>
  <c r="K418" i="37"/>
  <c r="L367" i="37"/>
  <c r="K320" i="37"/>
  <c r="L281" i="37"/>
  <c r="J281" i="37"/>
  <c r="H208" i="37"/>
  <c r="N296" i="37"/>
  <c r="J198" i="37"/>
  <c r="J196" i="37"/>
  <c r="E202" i="37"/>
  <c r="J138" i="37"/>
  <c r="I58" i="37"/>
  <c r="I98" i="37"/>
  <c r="M751" i="37"/>
  <c r="H604" i="37"/>
  <c r="G384" i="37"/>
  <c r="J413" i="37"/>
  <c r="E440" i="37"/>
  <c r="K440" i="37"/>
  <c r="N153" i="37"/>
  <c r="K21" i="37"/>
  <c r="J551" i="37"/>
  <c r="M487" i="37"/>
  <c r="M239" i="37"/>
  <c r="J232" i="37"/>
  <c r="N108" i="37"/>
  <c r="K98" i="37"/>
  <c r="N373" i="37"/>
  <c r="H384" i="37"/>
  <c r="E408" i="37"/>
  <c r="M152" i="37"/>
  <c r="M440" i="37"/>
  <c r="N205" i="37"/>
  <c r="K243" i="37"/>
  <c r="H448" i="37"/>
  <c r="K285" i="37"/>
  <c r="I695" i="37"/>
  <c r="I672" i="37"/>
  <c r="K691" i="37"/>
  <c r="H730" i="37"/>
  <c r="E547" i="37"/>
  <c r="M514" i="37"/>
  <c r="L398" i="37"/>
  <c r="N487" i="37"/>
  <c r="I454" i="37"/>
  <c r="G331" i="37"/>
  <c r="M346" i="37"/>
  <c r="J213" i="37"/>
  <c r="M228" i="37"/>
  <c r="G314" i="37"/>
  <c r="H130" i="37"/>
  <c r="K108" i="37"/>
  <c r="G98" i="37"/>
  <c r="E695" i="37"/>
  <c r="I603" i="37"/>
  <c r="L751" i="37"/>
  <c r="K614" i="37"/>
  <c r="K457" i="37"/>
  <c r="I36" i="37"/>
  <c r="H413" i="37"/>
  <c r="N334" i="37"/>
  <c r="E197" i="37"/>
  <c r="N440" i="37"/>
  <c r="L21" i="37"/>
  <c r="N206" i="37"/>
  <c r="K487" i="37"/>
  <c r="I398" i="37"/>
  <c r="H398" i="37"/>
  <c r="E337" i="37"/>
  <c r="L208" i="37"/>
  <c r="L180" i="37"/>
  <c r="L108" i="37"/>
  <c r="E98" i="37"/>
  <c r="E58" i="37"/>
  <c r="I440" i="37"/>
  <c r="G588" i="37"/>
  <c r="K160" i="37"/>
  <c r="N457" i="37"/>
  <c r="K500" i="37"/>
  <c r="I187" i="37"/>
  <c r="I153" i="37"/>
  <c r="H21" i="37"/>
  <c r="N690" i="37"/>
  <c r="I258" i="37"/>
  <c r="L297" i="37"/>
  <c r="E314" i="37"/>
  <c r="M202" i="37"/>
  <c r="N134" i="37"/>
  <c r="J98" i="37"/>
  <c r="J440" i="37"/>
  <c r="M588" i="37"/>
  <c r="H13" i="37"/>
  <c r="I319" i="37"/>
  <c r="N239" i="37"/>
  <c r="G36" i="37"/>
  <c r="E152" i="37"/>
  <c r="J451" i="37"/>
  <c r="I309" i="37"/>
  <c r="J435" i="37"/>
  <c r="J744" i="37"/>
  <c r="J226" i="37"/>
  <c r="J695" i="37"/>
  <c r="M504" i="37"/>
  <c r="L695" i="37"/>
  <c r="G673" i="37"/>
  <c r="H569" i="37"/>
  <c r="L593" i="37"/>
  <c r="K367" i="37"/>
  <c r="H356" i="37"/>
  <c r="J239" i="37"/>
  <c r="G358" i="37"/>
  <c r="H187" i="37"/>
  <c r="H314" i="37"/>
  <c r="I202" i="37"/>
  <c r="H241" i="37"/>
  <c r="I203" i="37"/>
  <c r="I134" i="37"/>
  <c r="L156" i="37"/>
  <c r="H83" i="37"/>
  <c r="G91" i="37"/>
  <c r="G21" i="37"/>
  <c r="K91" i="37"/>
  <c r="K588" i="37"/>
  <c r="N577" i="37"/>
  <c r="H579" i="37"/>
  <c r="M342" i="37"/>
  <c r="K364" i="37"/>
  <c r="J364" i="37"/>
  <c r="G317" i="37"/>
  <c r="N451" i="37"/>
  <c r="E735" i="37"/>
  <c r="G703" i="37"/>
  <c r="L691" i="37"/>
  <c r="J514" i="37"/>
  <c r="G505" i="37"/>
  <c r="H213" i="37"/>
  <c r="E134" i="37"/>
  <c r="H98" i="37"/>
  <c r="G58" i="37"/>
  <c r="G13" i="37"/>
  <c r="G83" i="37"/>
  <c r="H239" i="37"/>
  <c r="I331" i="37"/>
  <c r="M762" i="37"/>
  <c r="K753" i="37"/>
  <c r="H708" i="37"/>
  <c r="M702" i="37"/>
  <c r="N691" i="37"/>
  <c r="I633" i="37"/>
  <c r="E606" i="37"/>
  <c r="I475" i="37"/>
  <c r="E398" i="37"/>
  <c r="E564" i="37"/>
  <c r="G346" i="37"/>
  <c r="L264" i="37"/>
  <c r="K290" i="37"/>
  <c r="J249" i="37"/>
  <c r="G208" i="37"/>
  <c r="J225" i="37"/>
  <c r="J314" i="37"/>
  <c r="H153" i="37"/>
  <c r="M178" i="37"/>
  <c r="J134" i="37"/>
  <c r="M83" i="37"/>
  <c r="E56" i="37"/>
  <c r="N336" i="37"/>
  <c r="L165" i="37"/>
  <c r="L623" i="37"/>
  <c r="K651" i="37"/>
  <c r="N37" i="37"/>
  <c r="G186" i="37"/>
  <c r="H128" i="37"/>
  <c r="N418" i="37"/>
  <c r="J717" i="37"/>
  <c r="J501" i="37"/>
  <c r="J425" i="37"/>
  <c r="G398" i="37"/>
  <c r="M385" i="37"/>
  <c r="K352" i="37"/>
  <c r="I208" i="37"/>
  <c r="J566" i="37"/>
  <c r="J748" i="37"/>
  <c r="K413" i="37"/>
  <c r="N331" i="37"/>
  <c r="K764" i="37"/>
  <c r="N764" i="37"/>
  <c r="J764" i="37"/>
  <c r="L764" i="37"/>
  <c r="M764" i="37"/>
  <c r="E764" i="37"/>
  <c r="G764" i="37"/>
  <c r="H764" i="37"/>
  <c r="I541" i="37"/>
  <c r="L549" i="37"/>
  <c r="I290" i="37"/>
  <c r="J577" i="37"/>
  <c r="E370" i="37"/>
  <c r="G260" i="37"/>
  <c r="L195" i="37"/>
  <c r="E10" i="37"/>
  <c r="J86" i="37"/>
  <c r="H374" i="37"/>
  <c r="J202" i="37"/>
  <c r="I459" i="37"/>
  <c r="J459" i="37"/>
  <c r="N546" i="37"/>
  <c r="N375" i="37"/>
  <c r="G164" i="37"/>
  <c r="G73" i="37"/>
  <c r="H42" i="37"/>
  <c r="J42" i="37"/>
  <c r="H220" i="37"/>
  <c r="H608" i="37"/>
  <c r="M581" i="37"/>
  <c r="L538" i="37"/>
  <c r="G129" i="37"/>
  <c r="H325" i="37"/>
  <c r="E7" i="37"/>
  <c r="E717" i="37"/>
  <c r="L690" i="37"/>
  <c r="H606" i="37"/>
  <c r="J537" i="37"/>
  <c r="J446" i="37"/>
  <c r="H476" i="37"/>
  <c r="I353" i="37"/>
  <c r="G356" i="37"/>
  <c r="I363" i="37"/>
  <c r="N225" i="37"/>
  <c r="I275" i="37"/>
  <c r="M139" i="37"/>
  <c r="L134" i="37"/>
  <c r="M32" i="37"/>
  <c r="M708" i="37"/>
  <c r="J388" i="37"/>
  <c r="L42" i="37"/>
  <c r="G90" i="37"/>
  <c r="E741" i="37"/>
  <c r="M754" i="37"/>
  <c r="M42" i="37"/>
  <c r="N403" i="37"/>
  <c r="I185" i="37"/>
  <c r="G160" i="37"/>
  <c r="J102" i="37"/>
  <c r="M128" i="37"/>
  <c r="E744" i="37"/>
  <c r="H707" i="37"/>
  <c r="N713" i="37"/>
  <c r="K606" i="37"/>
  <c r="E434" i="37"/>
  <c r="H230" i="37"/>
  <c r="L244" i="37"/>
  <c r="J256" i="37"/>
  <c r="K314" i="37"/>
  <c r="K175" i="37"/>
  <c r="G133" i="37"/>
  <c r="M740" i="37"/>
  <c r="I708" i="37"/>
  <c r="H457" i="37"/>
  <c r="G152" i="37"/>
  <c r="K762" i="37"/>
  <c r="N137" i="37"/>
  <c r="L720" i="37"/>
  <c r="G719" i="37"/>
  <c r="G309" i="37"/>
  <c r="I707" i="37"/>
  <c r="I691" i="37"/>
  <c r="M688" i="37"/>
  <c r="J604" i="37"/>
  <c r="G707" i="37"/>
  <c r="G676" i="37"/>
  <c r="J691" i="37"/>
  <c r="J632" i="37"/>
  <c r="L606" i="37"/>
  <c r="J502" i="37"/>
  <c r="E501" i="37"/>
  <c r="G478" i="37"/>
  <c r="I434" i="37"/>
  <c r="N356" i="37"/>
  <c r="M273" i="37"/>
  <c r="I230" i="37"/>
  <c r="M203" i="37"/>
  <c r="L314" i="37"/>
  <c r="K131" i="37"/>
  <c r="E55" i="37"/>
  <c r="M98" i="37"/>
  <c r="I133" i="37"/>
  <c r="L58" i="37"/>
  <c r="I457" i="37"/>
  <c r="H425" i="37"/>
  <c r="J317" i="37"/>
  <c r="I364" i="37"/>
  <c r="I137" i="37"/>
  <c r="N102" i="37"/>
  <c r="H206" i="37"/>
  <c r="M404" i="37"/>
  <c r="N606" i="37"/>
  <c r="K482" i="37"/>
  <c r="H468" i="37"/>
  <c r="H389" i="37"/>
  <c r="K434" i="37"/>
  <c r="K337" i="37"/>
  <c r="N248" i="37"/>
  <c r="N273" i="37"/>
  <c r="H204" i="37"/>
  <c r="H162" i="37"/>
  <c r="M158" i="37"/>
  <c r="N223" i="37"/>
  <c r="I43" i="37"/>
  <c r="K424" i="37"/>
  <c r="L698" i="37"/>
  <c r="M615" i="37"/>
  <c r="J615" i="37"/>
  <c r="J693" i="37"/>
  <c r="H472" i="37"/>
  <c r="N560" i="37"/>
  <c r="L377" i="37"/>
  <c r="G337" i="37"/>
  <c r="K356" i="37"/>
  <c r="M280" i="37"/>
  <c r="I204" i="37"/>
  <c r="H209" i="37"/>
  <c r="L259" i="37"/>
  <c r="J147" i="37"/>
  <c r="L131" i="37"/>
  <c r="I690" i="37"/>
  <c r="J92" i="37"/>
  <c r="L424" i="37"/>
  <c r="G389" i="37"/>
  <c r="M131" i="37"/>
  <c r="N43" i="37"/>
  <c r="I135" i="37"/>
  <c r="M690" i="37"/>
  <c r="H136" i="37"/>
  <c r="G762" i="37"/>
  <c r="N50" i="37"/>
  <c r="H365" i="37"/>
  <c r="E115" i="37"/>
  <c r="L90" i="37"/>
  <c r="I206" i="37"/>
  <c r="J331" i="37"/>
  <c r="E459" i="37"/>
  <c r="J469" i="37"/>
  <c r="N462" i="37"/>
  <c r="G259" i="37"/>
  <c r="K106" i="37"/>
  <c r="H566" i="37"/>
  <c r="I277" i="37"/>
  <c r="M8" i="37"/>
  <c r="I207" i="37"/>
  <c r="H90" i="37"/>
  <c r="N333" i="37"/>
  <c r="M493" i="37"/>
  <c r="J715" i="37"/>
  <c r="G645" i="37"/>
  <c r="I606" i="37"/>
  <c r="K554" i="37"/>
  <c r="G546" i="37"/>
  <c r="L528" i="37"/>
  <c r="I472" i="37"/>
  <c r="H549" i="37"/>
  <c r="K469" i="37"/>
  <c r="E462" i="37"/>
  <c r="N471" i="37"/>
  <c r="M348" i="37"/>
  <c r="G395" i="37"/>
  <c r="K288" i="37"/>
  <c r="H224" i="37"/>
  <c r="H181" i="37"/>
  <c r="G177" i="37"/>
  <c r="J43" i="37"/>
  <c r="I86" i="37"/>
  <c r="I648" i="37"/>
  <c r="N687" i="37"/>
  <c r="N280" i="37"/>
  <c r="I45" i="37"/>
  <c r="L96" i="37"/>
  <c r="J625" i="37"/>
  <c r="L729" i="37"/>
  <c r="H517" i="37"/>
  <c r="E463" i="37"/>
  <c r="G549" i="37"/>
  <c r="K462" i="37"/>
  <c r="M458" i="37"/>
  <c r="K385" i="37"/>
  <c r="H391" i="37"/>
  <c r="H240" i="37"/>
  <c r="M288" i="37"/>
  <c r="N304" i="37"/>
  <c r="G92" i="37"/>
  <c r="K42" i="37"/>
  <c r="L103" i="37"/>
  <c r="N6" i="37"/>
  <c r="I56" i="37"/>
  <c r="N119" i="37"/>
  <c r="H467" i="37"/>
  <c r="H112" i="37"/>
  <c r="M500" i="37"/>
  <c r="I317" i="37"/>
  <c r="E92" i="37"/>
  <c r="I47" i="37"/>
  <c r="E334" i="37"/>
  <c r="G97" i="37"/>
  <c r="N229" i="37"/>
  <c r="N365" i="37"/>
  <c r="K692" i="37"/>
  <c r="H546" i="37"/>
  <c r="G746" i="37"/>
  <c r="E707" i="37"/>
  <c r="I746" i="37"/>
  <c r="H677" i="37"/>
  <c r="J651" i="37"/>
  <c r="G713" i="37"/>
  <c r="G619" i="37"/>
  <c r="E638" i="37"/>
  <c r="J513" i="37"/>
  <c r="M546" i="37"/>
  <c r="I549" i="37"/>
  <c r="H560" i="37"/>
  <c r="M450" i="37"/>
  <c r="J340" i="37"/>
  <c r="G166" i="37"/>
  <c r="N314" i="37"/>
  <c r="K195" i="37"/>
  <c r="E175" i="37"/>
  <c r="G178" i="37"/>
  <c r="N103" i="37"/>
  <c r="H43" i="37"/>
  <c r="N19" i="37"/>
  <c r="M435" i="37"/>
  <c r="E614" i="37"/>
  <c r="K317" i="37"/>
  <c r="J500" i="37"/>
  <c r="E36" i="37"/>
  <c r="M92" i="37"/>
  <c r="H703" i="37"/>
  <c r="M309" i="37"/>
  <c r="K37" i="37"/>
  <c r="I604" i="37"/>
  <c r="G427" i="37"/>
  <c r="J257" i="37"/>
  <c r="L763" i="37"/>
  <c r="G763" i="37"/>
  <c r="N763" i="37"/>
  <c r="M763" i="37"/>
  <c r="K763" i="37"/>
  <c r="I763" i="37"/>
  <c r="J763" i="37"/>
  <c r="E763" i="37"/>
  <c r="G496" i="37"/>
  <c r="I337" i="37"/>
  <c r="M132" i="37"/>
  <c r="E754" i="37"/>
  <c r="G467" i="37"/>
  <c r="I740" i="37"/>
  <c r="M413" i="37"/>
  <c r="M165" i="37"/>
  <c r="M424" i="37"/>
  <c r="H534" i="37"/>
  <c r="G341" i="37"/>
  <c r="E185" i="37"/>
  <c r="H333" i="37"/>
  <c r="K380" i="37"/>
  <c r="J380" i="37"/>
  <c r="H69" i="37"/>
  <c r="G580" i="37"/>
  <c r="N580" i="37"/>
  <c r="E333" i="37"/>
  <c r="E323" i="37"/>
  <c r="E362" i="37"/>
  <c r="E222" i="37"/>
  <c r="J275" i="37"/>
  <c r="E87" i="37"/>
  <c r="H71" i="37"/>
  <c r="H132" i="37"/>
  <c r="N579" i="37"/>
  <c r="E503" i="37"/>
  <c r="N362" i="37"/>
  <c r="N341" i="37"/>
  <c r="M93" i="37"/>
  <c r="J273" i="37"/>
  <c r="I632" i="37"/>
  <c r="L497" i="37"/>
  <c r="N497" i="37"/>
  <c r="E438" i="37"/>
  <c r="E299" i="37"/>
  <c r="H290" i="37"/>
  <c r="E227" i="37"/>
  <c r="J151" i="37"/>
  <c r="N122" i="37"/>
  <c r="K35" i="37"/>
  <c r="G456" i="37"/>
  <c r="L579" i="37"/>
  <c r="K728" i="37"/>
  <c r="J708" i="37"/>
  <c r="E464" i="37"/>
  <c r="N354" i="37"/>
  <c r="I220" i="37"/>
  <c r="M220" i="37"/>
  <c r="I221" i="37"/>
  <c r="N78" i="37"/>
  <c r="K253" i="37"/>
  <c r="L253" i="37"/>
  <c r="M253" i="37"/>
  <c r="G84" i="37"/>
  <c r="J468" i="37"/>
  <c r="L703" i="37"/>
  <c r="K608" i="37"/>
  <c r="L741" i="37"/>
  <c r="G739" i="37"/>
  <c r="M589" i="37"/>
  <c r="L601" i="37"/>
  <c r="J538" i="37"/>
  <c r="J753" i="37"/>
  <c r="H731" i="37"/>
  <c r="G731" i="37"/>
  <c r="G741" i="37"/>
  <c r="N635" i="37"/>
  <c r="H654" i="37"/>
  <c r="I689" i="37"/>
  <c r="L674" i="37"/>
  <c r="G601" i="37"/>
  <c r="M693" i="37"/>
  <c r="E579" i="37"/>
  <c r="G632" i="37"/>
  <c r="G624" i="37"/>
  <c r="M601" i="37"/>
  <c r="J580" i="37"/>
  <c r="K496" i="37"/>
  <c r="E496" i="37"/>
  <c r="I496" i="37"/>
  <c r="J512" i="37"/>
  <c r="M462" i="37"/>
  <c r="G438" i="37"/>
  <c r="G480" i="37"/>
  <c r="L485" i="37"/>
  <c r="G299" i="37"/>
  <c r="L313" i="37"/>
  <c r="E159" i="37"/>
  <c r="L188" i="37"/>
  <c r="E99" i="37"/>
  <c r="H178" i="37"/>
  <c r="E174" i="37"/>
  <c r="I57" i="37"/>
  <c r="G80" i="37"/>
  <c r="J33" i="37"/>
  <c r="E82" i="37"/>
  <c r="N139" i="37"/>
  <c r="J754" i="37"/>
  <c r="J681" i="37"/>
  <c r="E443" i="37"/>
  <c r="N708" i="37"/>
  <c r="H464" i="37"/>
  <c r="G371" i="37"/>
  <c r="I341" i="37"/>
  <c r="H84" i="37"/>
  <c r="G548" i="37"/>
  <c r="J548" i="37"/>
  <c r="I548" i="37"/>
  <c r="M548" i="37"/>
  <c r="L354" i="37"/>
  <c r="E548" i="37"/>
  <c r="K709" i="37"/>
  <c r="K632" i="37"/>
  <c r="I624" i="37"/>
  <c r="N538" i="37"/>
  <c r="L450" i="37"/>
  <c r="J438" i="37"/>
  <c r="G450" i="37"/>
  <c r="K362" i="37"/>
  <c r="G227" i="37"/>
  <c r="N265" i="37"/>
  <c r="H188" i="37"/>
  <c r="N266" i="37"/>
  <c r="H202" i="37"/>
  <c r="J188" i="37"/>
  <c r="J174" i="37"/>
  <c r="E158" i="37"/>
  <c r="M122" i="37"/>
  <c r="L33" i="37"/>
  <c r="N55" i="37"/>
  <c r="I132" i="37"/>
  <c r="J579" i="37"/>
  <c r="N493" i="37"/>
  <c r="I464" i="37"/>
  <c r="G357" i="37"/>
  <c r="M160" i="37"/>
  <c r="E186" i="37"/>
  <c r="I253" i="37"/>
  <c r="L319" i="37"/>
  <c r="G155" i="37"/>
  <c r="I760" i="37"/>
  <c r="G723" i="37"/>
  <c r="M685" i="37"/>
  <c r="H620" i="37"/>
  <c r="E482" i="37"/>
  <c r="H414" i="37"/>
  <c r="H471" i="37"/>
  <c r="J381" i="37"/>
  <c r="M381" i="37"/>
  <c r="I273" i="37"/>
  <c r="G225" i="37"/>
  <c r="J209" i="37"/>
  <c r="K188" i="37"/>
  <c r="K275" i="37"/>
  <c r="G130" i="37"/>
  <c r="J181" i="37"/>
  <c r="M174" i="37"/>
  <c r="G158" i="37"/>
  <c r="J71" i="37"/>
  <c r="K78" i="37"/>
  <c r="H116" i="37"/>
  <c r="K132" i="37"/>
  <c r="I335" i="37"/>
  <c r="J464" i="37"/>
  <c r="H357" i="37"/>
  <c r="G168" i="37"/>
  <c r="L334" i="37"/>
  <c r="L16" i="37"/>
  <c r="J336" i="37"/>
  <c r="J341" i="37"/>
  <c r="K141" i="37"/>
  <c r="J277" i="37"/>
  <c r="J334" i="37"/>
  <c r="H207" i="37"/>
  <c r="M149" i="37"/>
  <c r="M137" i="37"/>
  <c r="M612" i="37"/>
  <c r="M354" i="37"/>
  <c r="H638" i="37"/>
  <c r="H702" i="37"/>
  <c r="L716" i="37"/>
  <c r="I717" i="37"/>
  <c r="G717" i="37"/>
  <c r="E689" i="37"/>
  <c r="J631" i="37"/>
  <c r="K662" i="37"/>
  <c r="I662" i="37"/>
  <c r="L620" i="37"/>
  <c r="M574" i="37"/>
  <c r="K568" i="37"/>
  <c r="H605" i="37"/>
  <c r="J491" i="37"/>
  <c r="M389" i="37"/>
  <c r="K361" i="37"/>
  <c r="J347" i="37"/>
  <c r="L363" i="37"/>
  <c r="G300" i="37"/>
  <c r="G362" i="37"/>
  <c r="I243" i="37"/>
  <c r="H296" i="37"/>
  <c r="G297" i="37"/>
  <c r="H274" i="37"/>
  <c r="K225" i="37"/>
  <c r="H244" i="37"/>
  <c r="I169" i="37"/>
  <c r="H232" i="37"/>
  <c r="N174" i="37"/>
  <c r="G126" i="37"/>
  <c r="H78" i="37"/>
  <c r="I61" i="37"/>
  <c r="N106" i="37"/>
  <c r="G55" i="37"/>
  <c r="L119" i="37"/>
  <c r="L78" i="37"/>
  <c r="G114" i="37"/>
  <c r="N135" i="37"/>
  <c r="G758" i="37"/>
  <c r="G287" i="37"/>
  <c r="J546" i="37"/>
  <c r="I197" i="37"/>
  <c r="E708" i="37"/>
  <c r="K464" i="37"/>
  <c r="M357" i="37"/>
  <c r="I333" i="37"/>
  <c r="J221" i="37"/>
  <c r="L338" i="37"/>
  <c r="L394" i="37"/>
  <c r="N424" i="37"/>
  <c r="K186" i="37"/>
  <c r="J711" i="37"/>
  <c r="E711" i="37"/>
  <c r="H320" i="37"/>
  <c r="N320" i="37"/>
  <c r="I320" i="37"/>
  <c r="M449" i="37"/>
  <c r="L689" i="37"/>
  <c r="H686" i="37"/>
  <c r="N697" i="37"/>
  <c r="G697" i="37"/>
  <c r="H659" i="37"/>
  <c r="H678" i="37"/>
  <c r="K693" i="37"/>
  <c r="M575" i="37"/>
  <c r="E538" i="37"/>
  <c r="L586" i="37"/>
  <c r="J605" i="37"/>
  <c r="H596" i="37"/>
  <c r="G538" i="37"/>
  <c r="K497" i="37"/>
  <c r="G521" i="37"/>
  <c r="G560" i="37"/>
  <c r="H438" i="37"/>
  <c r="J450" i="37"/>
  <c r="I444" i="37"/>
  <c r="K353" i="37"/>
  <c r="J362" i="37"/>
  <c r="I362" i="37"/>
  <c r="N344" i="37"/>
  <c r="H289" i="37"/>
  <c r="I156" i="37"/>
  <c r="K100" i="37"/>
  <c r="M78" i="37"/>
  <c r="K33" i="37"/>
  <c r="M71" i="37"/>
  <c r="E59" i="37"/>
  <c r="J354" i="37"/>
  <c r="H168" i="37"/>
  <c r="L464" i="37"/>
  <c r="J333" i="37"/>
  <c r="K168" i="37"/>
  <c r="K165" i="37"/>
  <c r="M573" i="37"/>
  <c r="N7" i="37"/>
  <c r="M741" i="37"/>
  <c r="K746" i="37"/>
  <c r="J622" i="37"/>
  <c r="E685" i="37"/>
  <c r="I680" i="37"/>
  <c r="M689" i="37"/>
  <c r="K697" i="37"/>
  <c r="N654" i="37"/>
  <c r="H585" i="37"/>
  <c r="N605" i="37"/>
  <c r="I596" i="37"/>
  <c r="K504" i="37"/>
  <c r="J496" i="37"/>
  <c r="J497" i="37"/>
  <c r="K467" i="37"/>
  <c r="M483" i="37"/>
  <c r="G434" i="37"/>
  <c r="I407" i="37"/>
  <c r="H362" i="37"/>
  <c r="G342" i="37"/>
  <c r="L294" i="37"/>
  <c r="E363" i="37"/>
  <c r="M289" i="37"/>
  <c r="G188" i="37"/>
  <c r="I249" i="37"/>
  <c r="H80" i="37"/>
  <c r="N71" i="37"/>
  <c r="J106" i="37"/>
  <c r="H55" i="37"/>
  <c r="H179" i="37"/>
  <c r="E676" i="37"/>
  <c r="L443" i="37"/>
  <c r="N160" i="37"/>
  <c r="M464" i="37"/>
  <c r="G333" i="37"/>
  <c r="I287" i="37"/>
  <c r="J210" i="37"/>
  <c r="L100" i="37"/>
  <c r="H165" i="37"/>
  <c r="N220" i="37"/>
  <c r="I365" i="37"/>
  <c r="H373" i="37"/>
  <c r="H253" i="37"/>
  <c r="N90" i="37"/>
  <c r="G363" i="37"/>
  <c r="N289" i="37"/>
  <c r="E188" i="37"/>
  <c r="G78" i="37"/>
  <c r="H65" i="37"/>
  <c r="M106" i="37"/>
  <c r="E119" i="37"/>
  <c r="L107" i="37"/>
  <c r="H73" i="37"/>
  <c r="I395" i="37"/>
  <c r="L333" i="37"/>
  <c r="G197" i="37"/>
  <c r="K97" i="37"/>
  <c r="K371" i="37"/>
  <c r="H293" i="37"/>
  <c r="L160" i="37"/>
  <c r="J762" i="37"/>
  <c r="J578" i="37"/>
  <c r="L5" i="37"/>
  <c r="N735" i="37"/>
  <c r="I88" i="37"/>
  <c r="K481" i="37"/>
  <c r="K120" i="37"/>
  <c r="E120" i="37"/>
  <c r="H646" i="37"/>
  <c r="G497" i="37"/>
  <c r="N705" i="37"/>
  <c r="H685" i="37"/>
  <c r="N527" i="37"/>
  <c r="H496" i="37"/>
  <c r="K601" i="37"/>
  <c r="G599" i="37"/>
  <c r="G610" i="37"/>
  <c r="K605" i="37"/>
  <c r="G523" i="37"/>
  <c r="H478" i="37"/>
  <c r="G407" i="37"/>
  <c r="J287" i="37"/>
  <c r="M363" i="37"/>
  <c r="M340" i="37"/>
  <c r="H249" i="37"/>
  <c r="H166" i="37"/>
  <c r="L241" i="37"/>
  <c r="H275" i="37"/>
  <c r="H175" i="37"/>
  <c r="I122" i="37"/>
  <c r="N177" i="37"/>
  <c r="L140" i="37"/>
  <c r="E18" i="37"/>
  <c r="M101" i="37"/>
  <c r="E78" i="37"/>
  <c r="K754" i="37"/>
  <c r="I681" i="37"/>
  <c r="K740" i="37"/>
  <c r="I687" i="37"/>
  <c r="J467" i="37"/>
  <c r="H614" i="37"/>
  <c r="J144" i="37"/>
  <c r="K333" i="37"/>
  <c r="J88" i="37"/>
  <c r="G440" i="37"/>
  <c r="I94" i="37"/>
  <c r="N88" i="37"/>
  <c r="E338" i="37"/>
  <c r="E365" i="37"/>
  <c r="J365" i="37"/>
  <c r="H735" i="37"/>
  <c r="H666" i="37"/>
  <c r="I666" i="37"/>
  <c r="E354" i="37"/>
  <c r="J84" i="37"/>
  <c r="E435" i="37"/>
  <c r="E635" i="37"/>
  <c r="I605" i="37"/>
  <c r="E742" i="37"/>
  <c r="E601" i="37"/>
  <c r="E749" i="37"/>
  <c r="L746" i="37"/>
  <c r="H746" i="37"/>
  <c r="G715" i="37"/>
  <c r="E662" i="37"/>
  <c r="M580" i="37"/>
  <c r="L605" i="37"/>
  <c r="I523" i="37"/>
  <c r="J549" i="37"/>
  <c r="E414" i="37"/>
  <c r="K488" i="37"/>
  <c r="I478" i="37"/>
  <c r="K406" i="37"/>
  <c r="E360" i="37"/>
  <c r="J359" i="37"/>
  <c r="M249" i="37"/>
  <c r="G198" i="37"/>
  <c r="L275" i="37"/>
  <c r="J259" i="37"/>
  <c r="I175" i="37"/>
  <c r="G140" i="37"/>
  <c r="I140" i="37"/>
  <c r="L182" i="37"/>
  <c r="N93" i="37"/>
  <c r="L77" i="37"/>
  <c r="E179" i="37"/>
  <c r="I754" i="37"/>
  <c r="M687" i="37"/>
  <c r="H580" i="37"/>
  <c r="N500" i="37"/>
  <c r="L168" i="37"/>
  <c r="H277" i="37"/>
  <c r="H440" i="37"/>
  <c r="K623" i="37"/>
  <c r="H364" i="37"/>
  <c r="G42" i="37"/>
  <c r="J15" i="37"/>
  <c r="K335" i="37"/>
  <c r="I15" i="37"/>
  <c r="I762" i="37"/>
  <c r="N295" i="37"/>
  <c r="I295" i="37"/>
  <c r="G253" i="37"/>
  <c r="K631" i="37"/>
  <c r="G721" i="37"/>
  <c r="L662" i="37"/>
  <c r="M620" i="37"/>
  <c r="K579" i="37"/>
  <c r="G579" i="37"/>
  <c r="K586" i="37"/>
  <c r="L521" i="37"/>
  <c r="M496" i="37"/>
  <c r="J414" i="37"/>
  <c r="K480" i="37"/>
  <c r="L488" i="37"/>
  <c r="E407" i="37"/>
  <c r="M337" i="37"/>
  <c r="G354" i="37"/>
  <c r="I340" i="37"/>
  <c r="M254" i="37"/>
  <c r="N168" i="37"/>
  <c r="M275" i="37"/>
  <c r="J78" i="37"/>
  <c r="E684" i="37"/>
  <c r="I336" i="37"/>
  <c r="J335" i="37"/>
  <c r="I373" i="37"/>
  <c r="H326" i="37"/>
  <c r="E729" i="37"/>
  <c r="N662" i="37"/>
  <c r="M570" i="37"/>
  <c r="K538" i="37"/>
  <c r="I579" i="37"/>
  <c r="N496" i="37"/>
  <c r="I445" i="37"/>
  <c r="K404" i="37"/>
  <c r="L362" i="37"/>
  <c r="J405" i="37"/>
  <c r="I354" i="37"/>
  <c r="H340" i="37"/>
  <c r="I242" i="37"/>
  <c r="K231" i="37"/>
  <c r="K169" i="37"/>
  <c r="N275" i="37"/>
  <c r="H155" i="37"/>
  <c r="L175" i="37"/>
  <c r="J130" i="37"/>
  <c r="I147" i="37"/>
  <c r="H131" i="37"/>
  <c r="M177" i="37"/>
  <c r="K75" i="37"/>
  <c r="K94" i="37"/>
  <c r="K142" i="37"/>
  <c r="J519" i="37"/>
  <c r="K354" i="37"/>
  <c r="L13" i="37"/>
  <c r="M333" i="37"/>
  <c r="H762" i="37"/>
  <c r="M448" i="37"/>
  <c r="I448" i="37"/>
  <c r="L186" i="37"/>
  <c r="N590" i="37"/>
  <c r="J206" i="37"/>
  <c r="G206" i="37"/>
  <c r="H186" i="37"/>
  <c r="K723" i="37"/>
  <c r="N632" i="37"/>
  <c r="M579" i="37"/>
  <c r="G646" i="37"/>
  <c r="I467" i="37"/>
  <c r="G360" i="37"/>
  <c r="H287" i="37"/>
  <c r="L289" i="37"/>
  <c r="J242" i="37"/>
  <c r="H225" i="37"/>
  <c r="G275" i="37"/>
  <c r="M175" i="37"/>
  <c r="M130" i="37"/>
  <c r="I65" i="37"/>
  <c r="G71" i="37"/>
  <c r="L580" i="37"/>
  <c r="G635" i="37"/>
  <c r="J740" i="37"/>
  <c r="G659" i="37"/>
  <c r="I716" i="37"/>
  <c r="L346" i="37"/>
  <c r="E168" i="37"/>
  <c r="H394" i="37"/>
  <c r="H97" i="37"/>
  <c r="H322" i="37"/>
  <c r="I186" i="37"/>
  <c r="M380" i="37"/>
  <c r="G666" i="37"/>
  <c r="N761" i="37"/>
  <c r="L761" i="37"/>
  <c r="E761" i="37"/>
  <c r="H761" i="37"/>
  <c r="M761" i="37"/>
  <c r="J761" i="37"/>
  <c r="K761" i="37"/>
  <c r="G761" i="37"/>
  <c r="G760" i="37"/>
  <c r="M760" i="37"/>
  <c r="L760" i="37"/>
  <c r="N760" i="37"/>
  <c r="K760" i="37"/>
  <c r="E760" i="37"/>
  <c r="H760" i="37"/>
  <c r="K672" i="37"/>
  <c r="I682" i="37"/>
  <c r="E682" i="37"/>
  <c r="N665" i="37"/>
  <c r="J585" i="37"/>
  <c r="J499" i="37"/>
  <c r="L469" i="37"/>
  <c r="I420" i="37"/>
  <c r="M488" i="37"/>
  <c r="N411" i="37"/>
  <c r="H411" i="37"/>
  <c r="N351" i="37"/>
  <c r="K351" i="37"/>
  <c r="J351" i="37"/>
  <c r="L351" i="37"/>
  <c r="G351" i="37"/>
  <c r="K675" i="37"/>
  <c r="N672" i="37"/>
  <c r="E713" i="37"/>
  <c r="G638" i="37"/>
  <c r="E665" i="37"/>
  <c r="K627" i="37"/>
  <c r="E730" i="37"/>
  <c r="K420" i="37"/>
  <c r="L564" i="37"/>
  <c r="H308" i="37"/>
  <c r="G308" i="37"/>
  <c r="E315" i="37"/>
  <c r="H193" i="37"/>
  <c r="E193" i="37"/>
  <c r="K193" i="37"/>
  <c r="J217" i="37"/>
  <c r="G217" i="37"/>
  <c r="N217" i="37"/>
  <c r="K217" i="37"/>
  <c r="E217" i="37"/>
  <c r="L217" i="37"/>
  <c r="N343" i="37"/>
  <c r="K461" i="37"/>
  <c r="I461" i="37"/>
  <c r="G669" i="37"/>
  <c r="L658" i="37"/>
  <c r="E658" i="37"/>
  <c r="G682" i="37"/>
  <c r="E589" i="37"/>
  <c r="H665" i="37"/>
  <c r="K638" i="37"/>
  <c r="G627" i="37"/>
  <c r="I730" i="37"/>
  <c r="I535" i="37"/>
  <c r="J562" i="37"/>
  <c r="H469" i="37"/>
  <c r="G469" i="37"/>
  <c r="G460" i="37"/>
  <c r="K426" i="37"/>
  <c r="M426" i="37"/>
  <c r="G714" i="37"/>
  <c r="M686" i="37"/>
  <c r="E700" i="37"/>
  <c r="K706" i="37"/>
  <c r="M658" i="37"/>
  <c r="H669" i="37"/>
  <c r="H713" i="37"/>
  <c r="M682" i="37"/>
  <c r="L638" i="37"/>
  <c r="N627" i="37"/>
  <c r="J730" i="37"/>
  <c r="E565" i="37"/>
  <c r="G565" i="37"/>
  <c r="I565" i="37"/>
  <c r="J517" i="37"/>
  <c r="I494" i="37"/>
  <c r="M515" i="37"/>
  <c r="N549" i="37"/>
  <c r="I521" i="37"/>
  <c r="K562" i="37"/>
  <c r="J461" i="37"/>
  <c r="K419" i="37"/>
  <c r="E446" i="37"/>
  <c r="J564" i="37"/>
  <c r="K439" i="37"/>
  <c r="E439" i="37"/>
  <c r="E483" i="37"/>
  <c r="J452" i="37"/>
  <c r="I339" i="37"/>
  <c r="K339" i="37"/>
  <c r="M339" i="37"/>
  <c r="I193" i="37"/>
  <c r="G509" i="37"/>
  <c r="J509" i="37"/>
  <c r="H723" i="37"/>
  <c r="I675" i="37"/>
  <c r="N675" i="37"/>
  <c r="E725" i="37"/>
  <c r="N681" i="37"/>
  <c r="H717" i="37"/>
  <c r="H670" i="37"/>
  <c r="M706" i="37"/>
  <c r="I713" i="37"/>
  <c r="J667" i="37"/>
  <c r="H619" i="37"/>
  <c r="J665" i="37"/>
  <c r="M638" i="37"/>
  <c r="K730" i="37"/>
  <c r="L624" i="37"/>
  <c r="I574" i="37"/>
  <c r="J521" i="37"/>
  <c r="L562" i="37"/>
  <c r="G482" i="37"/>
  <c r="M419" i="37"/>
  <c r="E461" i="37"/>
  <c r="N483" i="37"/>
  <c r="I460" i="37"/>
  <c r="N452" i="37"/>
  <c r="G421" i="37"/>
  <c r="M421" i="37"/>
  <c r="E426" i="37"/>
  <c r="J706" i="37"/>
  <c r="N664" i="37"/>
  <c r="H737" i="37"/>
  <c r="J737" i="37"/>
  <c r="L745" i="37"/>
  <c r="E746" i="37"/>
  <c r="K717" i="37"/>
  <c r="L664" i="37"/>
  <c r="E691" i="37"/>
  <c r="J713" i="37"/>
  <c r="M675" i="37"/>
  <c r="J658" i="37"/>
  <c r="J638" i="37"/>
  <c r="K619" i="37"/>
  <c r="K665" i="37"/>
  <c r="N638" i="37"/>
  <c r="L604" i="37"/>
  <c r="K620" i="37"/>
  <c r="M730" i="37"/>
  <c r="I544" i="37"/>
  <c r="L544" i="37"/>
  <c r="K494" i="37"/>
  <c r="K521" i="37"/>
  <c r="H562" i="37"/>
  <c r="I482" i="37"/>
  <c r="H450" i="37"/>
  <c r="E450" i="37"/>
  <c r="H483" i="37"/>
  <c r="K460" i="37"/>
  <c r="K347" i="37"/>
  <c r="M347" i="37"/>
  <c r="H347" i="37"/>
  <c r="L274" i="37"/>
  <c r="K274" i="37"/>
  <c r="I274" i="37"/>
  <c r="G274" i="37"/>
  <c r="E274" i="37"/>
  <c r="N274" i="37"/>
  <c r="E714" i="37"/>
  <c r="G692" i="37"/>
  <c r="I658" i="37"/>
  <c r="L682" i="37"/>
  <c r="K658" i="37"/>
  <c r="M619" i="37"/>
  <c r="L665" i="37"/>
  <c r="N620" i="37"/>
  <c r="N535" i="37"/>
  <c r="I463" i="37"/>
  <c r="J494" i="37"/>
  <c r="H509" i="37"/>
  <c r="M521" i="37"/>
  <c r="N562" i="37"/>
  <c r="I437" i="37"/>
  <c r="E485" i="37"/>
  <c r="H485" i="37"/>
  <c r="G485" i="37"/>
  <c r="K483" i="37"/>
  <c r="M644" i="37"/>
  <c r="G665" i="37"/>
  <c r="M602" i="37"/>
  <c r="K602" i="37"/>
  <c r="M562" i="37"/>
  <c r="L437" i="37"/>
  <c r="J483" i="37"/>
  <c r="H445" i="37"/>
  <c r="J445" i="37"/>
  <c r="L442" i="37"/>
  <c r="N442" i="37"/>
  <c r="H227" i="37"/>
  <c r="J227" i="37"/>
  <c r="G41" i="37"/>
  <c r="J41" i="37"/>
  <c r="I41" i="37"/>
  <c r="K41" i="37"/>
  <c r="J714" i="37"/>
  <c r="M664" i="37"/>
  <c r="K713" i="37"/>
  <c r="I667" i="37"/>
  <c r="L619" i="37"/>
  <c r="M665" i="37"/>
  <c r="E649" i="37"/>
  <c r="M649" i="37"/>
  <c r="I533" i="37"/>
  <c r="G533" i="37"/>
  <c r="H586" i="37"/>
  <c r="J586" i="37"/>
  <c r="N563" i="37"/>
  <c r="H563" i="37"/>
  <c r="G513" i="37"/>
  <c r="E494" i="37"/>
  <c r="L494" i="37"/>
  <c r="K505" i="37"/>
  <c r="N515" i="37"/>
  <c r="M437" i="37"/>
  <c r="I473" i="37"/>
  <c r="G473" i="37"/>
  <c r="E344" i="37"/>
  <c r="M344" i="37"/>
  <c r="G353" i="37"/>
  <c r="L740" i="37"/>
  <c r="H740" i="37"/>
  <c r="H714" i="37"/>
  <c r="I738" i="37"/>
  <c r="G702" i="37"/>
  <c r="I688" i="37"/>
  <c r="L645" i="37"/>
  <c r="I664" i="37"/>
  <c r="L713" i="37"/>
  <c r="L667" i="37"/>
  <c r="M606" i="37"/>
  <c r="G606" i="37"/>
  <c r="H513" i="37"/>
  <c r="J481" i="37"/>
  <c r="H481" i="37"/>
  <c r="L556" i="37"/>
  <c r="N556" i="37"/>
  <c r="J556" i="37"/>
  <c r="J463" i="37"/>
  <c r="I348" i="37"/>
  <c r="J348" i="37"/>
  <c r="L348" i="37"/>
  <c r="H348" i="37"/>
  <c r="K348" i="37"/>
  <c r="E348" i="37"/>
  <c r="G348" i="37"/>
  <c r="H267" i="37"/>
  <c r="I267" i="37"/>
  <c r="E267" i="37"/>
  <c r="H738" i="37"/>
  <c r="N738" i="37"/>
  <c r="J738" i="37"/>
  <c r="I669" i="37"/>
  <c r="M667" i="37"/>
  <c r="K664" i="37"/>
  <c r="N667" i="37"/>
  <c r="H611" i="37"/>
  <c r="N633" i="37"/>
  <c r="K613" i="37"/>
  <c r="N613" i="37"/>
  <c r="L613" i="37"/>
  <c r="I515" i="37"/>
  <c r="G515" i="37"/>
  <c r="E385" i="37"/>
  <c r="H385" i="37"/>
  <c r="L385" i="37"/>
  <c r="L236" i="37"/>
  <c r="G236" i="37"/>
  <c r="M189" i="37"/>
  <c r="N189" i="37"/>
  <c r="K189" i="37"/>
  <c r="L189" i="37"/>
  <c r="G30" i="37"/>
  <c r="H30" i="37"/>
  <c r="M30" i="37"/>
  <c r="N30" i="37"/>
  <c r="E30" i="37"/>
  <c r="H645" i="37"/>
  <c r="J649" i="37"/>
  <c r="E697" i="37"/>
  <c r="K674" i="37"/>
  <c r="N693" i="37"/>
  <c r="H693" i="37"/>
  <c r="G730" i="37"/>
  <c r="L649" i="37"/>
  <c r="G557" i="37"/>
  <c r="I557" i="37"/>
  <c r="I586" i="37"/>
  <c r="L547" i="37"/>
  <c r="J547" i="37"/>
  <c r="M646" i="37"/>
  <c r="I513" i="37"/>
  <c r="M509" i="37"/>
  <c r="N570" i="37"/>
  <c r="E502" i="37"/>
  <c r="H502" i="37"/>
  <c r="I556" i="37"/>
  <c r="J515" i="37"/>
  <c r="G470" i="37"/>
  <c r="K476" i="37"/>
  <c r="L426" i="37"/>
  <c r="E422" i="37"/>
  <c r="G385" i="37"/>
  <c r="L318" i="37"/>
  <c r="N299" i="37"/>
  <c r="J299" i="37"/>
  <c r="H299" i="37"/>
  <c r="K738" i="37"/>
  <c r="J692" i="37"/>
  <c r="E702" i="37"/>
  <c r="M738" i="37"/>
  <c r="M692" i="37"/>
  <c r="H729" i="37"/>
  <c r="G706" i="37"/>
  <c r="J697" i="37"/>
  <c r="I622" i="37"/>
  <c r="E667" i="37"/>
  <c r="E693" i="37"/>
  <c r="H609" i="37"/>
  <c r="E632" i="37"/>
  <c r="N730" i="37"/>
  <c r="N543" i="37"/>
  <c r="G530" i="37"/>
  <c r="M530" i="37"/>
  <c r="N646" i="37"/>
  <c r="M502" i="37"/>
  <c r="E469" i="37"/>
  <c r="L439" i="37"/>
  <c r="M466" i="37"/>
  <c r="K466" i="37"/>
  <c r="I470" i="37"/>
  <c r="J422" i="37"/>
  <c r="I385" i="37"/>
  <c r="I321" i="37"/>
  <c r="M321" i="37"/>
  <c r="M714" i="37"/>
  <c r="G747" i="37"/>
  <c r="H753" i="37"/>
  <c r="G700" i="37"/>
  <c r="H657" i="37"/>
  <c r="I706" i="37"/>
  <c r="E672" i="37"/>
  <c r="H658" i="37"/>
  <c r="G658" i="37"/>
  <c r="M633" i="37"/>
  <c r="H649" i="37"/>
  <c r="N593" i="37"/>
  <c r="G494" i="37"/>
  <c r="J455" i="37"/>
  <c r="E455" i="37"/>
  <c r="I469" i="37"/>
  <c r="E488" i="37"/>
  <c r="H474" i="37"/>
  <c r="J401" i="37"/>
  <c r="J385" i="37"/>
  <c r="I366" i="37"/>
  <c r="N366" i="37"/>
  <c r="G410" i="37"/>
  <c r="M410" i="37"/>
  <c r="M564" i="37"/>
  <c r="N564" i="37"/>
  <c r="K564" i="37"/>
  <c r="N363" i="37"/>
  <c r="G222" i="37"/>
  <c r="L232" i="37"/>
  <c r="H173" i="37"/>
  <c r="M27" i="37"/>
  <c r="M456" i="37"/>
  <c r="J456" i="37"/>
  <c r="M384" i="37"/>
  <c r="L384" i="37"/>
  <c r="J384" i="37"/>
  <c r="L29" i="37"/>
  <c r="G396" i="37"/>
  <c r="K136" i="37"/>
  <c r="I136" i="37"/>
  <c r="K187" i="37"/>
  <c r="N600" i="37"/>
  <c r="L600" i="37"/>
  <c r="I600" i="37"/>
  <c r="E732" i="37"/>
  <c r="N732" i="37"/>
  <c r="J732" i="37"/>
  <c r="L550" i="37"/>
  <c r="M134" i="37"/>
  <c r="K134" i="37"/>
  <c r="H134" i="37"/>
  <c r="H363" i="37"/>
  <c r="G218" i="37"/>
  <c r="H164" i="37"/>
  <c r="L173" i="37"/>
  <c r="L179" i="37"/>
  <c r="N676" i="37"/>
  <c r="K676" i="37"/>
  <c r="N432" i="37"/>
  <c r="J432" i="37"/>
  <c r="G432" i="37"/>
  <c r="J392" i="37"/>
  <c r="E636" i="37"/>
  <c r="E371" i="37"/>
  <c r="J396" i="37"/>
  <c r="N145" i="37"/>
  <c r="H497" i="37"/>
  <c r="E340" i="37"/>
  <c r="G289" i="37"/>
  <c r="M291" i="37"/>
  <c r="G201" i="37"/>
  <c r="K218" i="37"/>
  <c r="G181" i="37"/>
  <c r="H99" i="37"/>
  <c r="J143" i="37"/>
  <c r="M180" i="37"/>
  <c r="L164" i="37"/>
  <c r="M173" i="37"/>
  <c r="G59" i="37"/>
  <c r="L32" i="37"/>
  <c r="K32" i="37"/>
  <c r="J32" i="37"/>
  <c r="G148" i="37"/>
  <c r="N114" i="37"/>
  <c r="G179" i="37"/>
  <c r="I74" i="37"/>
  <c r="J10" i="37"/>
  <c r="N655" i="37"/>
  <c r="J655" i="37"/>
  <c r="L655" i="37"/>
  <c r="K655" i="37"/>
  <c r="G655" i="37"/>
  <c r="E655" i="37"/>
  <c r="H655" i="37"/>
  <c r="K648" i="37"/>
  <c r="H636" i="37"/>
  <c r="I384" i="37"/>
  <c r="M328" i="37"/>
  <c r="G328" i="37"/>
  <c r="I371" i="37"/>
  <c r="L396" i="37"/>
  <c r="M414" i="37"/>
  <c r="L335" i="37"/>
  <c r="I620" i="37"/>
  <c r="L730" i="37"/>
  <c r="J480" i="37"/>
  <c r="K478" i="37"/>
  <c r="E389" i="37"/>
  <c r="K442" i="37"/>
  <c r="H405" i="37"/>
  <c r="E352" i="37"/>
  <c r="L340" i="37"/>
  <c r="H283" i="37"/>
  <c r="G267" i="37"/>
  <c r="N233" i="37"/>
  <c r="H201" i="37"/>
  <c r="N259" i="37"/>
  <c r="L235" i="37"/>
  <c r="M218" i="37"/>
  <c r="I181" i="37"/>
  <c r="M99" i="37"/>
  <c r="L143" i="37"/>
  <c r="H59" i="37"/>
  <c r="G103" i="37"/>
  <c r="H57" i="37"/>
  <c r="L71" i="37"/>
  <c r="K55" i="37"/>
  <c r="I85" i="37"/>
  <c r="I148" i="37"/>
  <c r="J111" i="37"/>
  <c r="I179" i="37"/>
  <c r="K639" i="37"/>
  <c r="J639" i="37"/>
  <c r="H751" i="37"/>
  <c r="H732" i="37"/>
  <c r="I732" i="37"/>
  <c r="L531" i="37"/>
  <c r="I531" i="37"/>
  <c r="I432" i="37"/>
  <c r="H676" i="37"/>
  <c r="H432" i="37"/>
  <c r="L687" i="37"/>
  <c r="H679" i="37"/>
  <c r="I636" i="37"/>
  <c r="N328" i="37"/>
  <c r="K170" i="37"/>
  <c r="I170" i="37"/>
  <c r="G170" i="37"/>
  <c r="N170" i="37"/>
  <c r="M569" i="37"/>
  <c r="K221" i="37"/>
  <c r="H221" i="37"/>
  <c r="M221" i="37"/>
  <c r="L141" i="37"/>
  <c r="M141" i="37"/>
  <c r="I394" i="37"/>
  <c r="L371" i="37"/>
  <c r="N414" i="37"/>
  <c r="N201" i="37"/>
  <c r="L228" i="37"/>
  <c r="M235" i="37"/>
  <c r="N218" i="37"/>
  <c r="J180" i="37"/>
  <c r="K148" i="37"/>
  <c r="J179" i="37"/>
  <c r="M400" i="37"/>
  <c r="L400" i="37"/>
  <c r="G400" i="37"/>
  <c r="E400" i="37"/>
  <c r="K247" i="37"/>
  <c r="E247" i="37"/>
  <c r="M396" i="37"/>
  <c r="L414" i="37"/>
  <c r="M13" i="37"/>
  <c r="L210" i="37"/>
  <c r="K363" i="37"/>
  <c r="J363" i="37"/>
  <c r="H248" i="37"/>
  <c r="M3" i="37"/>
  <c r="M148" i="37"/>
  <c r="K179" i="37"/>
  <c r="G27" i="37"/>
  <c r="H743" i="37"/>
  <c r="L743" i="37"/>
  <c r="N514" i="37"/>
  <c r="G514" i="37"/>
  <c r="H635" i="37"/>
  <c r="J400" i="37"/>
  <c r="M676" i="37"/>
  <c r="E641" i="37"/>
  <c r="N503" i="37"/>
  <c r="N641" i="37"/>
  <c r="N679" i="37"/>
  <c r="G547" i="37"/>
  <c r="I547" i="37"/>
  <c r="H500" i="37"/>
  <c r="I145" i="37"/>
  <c r="G144" i="37"/>
  <c r="E144" i="37"/>
  <c r="K144" i="37"/>
  <c r="M144" i="37"/>
  <c r="H144" i="37"/>
  <c r="N112" i="37"/>
  <c r="K379" i="37"/>
  <c r="L379" i="37"/>
  <c r="J379" i="37"/>
  <c r="N406" i="37"/>
  <c r="L357" i="37"/>
  <c r="L322" i="37"/>
  <c r="N322" i="37"/>
  <c r="M322" i="37"/>
  <c r="I289" i="37"/>
  <c r="K248" i="37"/>
  <c r="K230" i="37"/>
  <c r="H259" i="37"/>
  <c r="I235" i="37"/>
  <c r="E218" i="37"/>
  <c r="H174" i="37"/>
  <c r="E177" i="37"/>
  <c r="G238" i="37"/>
  <c r="G182" i="37"/>
  <c r="G87" i="37"/>
  <c r="L82" i="37"/>
  <c r="I71" i="37"/>
  <c r="N80" i="37"/>
  <c r="K105" i="37"/>
  <c r="K135" i="37"/>
  <c r="M179" i="37"/>
  <c r="L114" i="37"/>
  <c r="K65" i="37"/>
  <c r="L432" i="37"/>
  <c r="L676" i="37"/>
  <c r="I400" i="37"/>
  <c r="E467" i="37"/>
  <c r="K503" i="37"/>
  <c r="I503" i="37"/>
  <c r="G503" i="37"/>
  <c r="E221" i="37"/>
  <c r="H141" i="37"/>
  <c r="N374" i="37"/>
  <c r="H16" i="37"/>
  <c r="M16" i="37"/>
  <c r="G364" i="37"/>
  <c r="H58" i="37"/>
  <c r="J58" i="37"/>
  <c r="G414" i="37"/>
  <c r="K58" i="37"/>
  <c r="H396" i="37"/>
  <c r="I357" i="37"/>
  <c r="I229" i="37"/>
  <c r="L229" i="37"/>
  <c r="K229" i="37"/>
  <c r="J229" i="37"/>
  <c r="I188" i="37"/>
  <c r="M188" i="37"/>
  <c r="J94" i="37"/>
  <c r="G391" i="37"/>
  <c r="K289" i="37"/>
  <c r="I251" i="37"/>
  <c r="M281" i="37"/>
  <c r="G230" i="37"/>
  <c r="M225" i="37"/>
  <c r="L224" i="37"/>
  <c r="K190" i="37"/>
  <c r="E225" i="37"/>
  <c r="N169" i="37"/>
  <c r="K259" i="37"/>
  <c r="K235" i="37"/>
  <c r="I174" i="37"/>
  <c r="H177" i="37"/>
  <c r="H156" i="37"/>
  <c r="H238" i="37"/>
  <c r="H182" i="37"/>
  <c r="G53" i="37"/>
  <c r="M135" i="37"/>
  <c r="L135" i="37"/>
  <c r="N64" i="37"/>
  <c r="N179" i="37"/>
  <c r="N111" i="37"/>
  <c r="K57" i="37"/>
  <c r="M553" i="37"/>
  <c r="N553" i="37"/>
  <c r="E492" i="37"/>
  <c r="N492" i="37"/>
  <c r="I492" i="37"/>
  <c r="J492" i="37"/>
  <c r="H684" i="37"/>
  <c r="N557" i="37"/>
  <c r="K557" i="37"/>
  <c r="H400" i="37"/>
  <c r="K145" i="37"/>
  <c r="L138" i="37"/>
  <c r="N138" i="37"/>
  <c r="K138" i="37"/>
  <c r="M371" i="37"/>
  <c r="I322" i="37"/>
  <c r="N357" i="37"/>
  <c r="L170" i="37"/>
  <c r="G169" i="37"/>
  <c r="L158" i="37"/>
  <c r="J133" i="37"/>
  <c r="K11" i="37"/>
  <c r="M59" i="37"/>
  <c r="K56" i="37"/>
  <c r="E751" i="37"/>
  <c r="G531" i="37"/>
  <c r="E581" i="37"/>
  <c r="J648" i="37"/>
  <c r="I684" i="37"/>
  <c r="K635" i="37"/>
  <c r="M467" i="37"/>
  <c r="N550" i="37"/>
  <c r="E388" i="37"/>
  <c r="G388" i="37"/>
  <c r="H520" i="37"/>
  <c r="I129" i="37"/>
  <c r="E129" i="37"/>
  <c r="M129" i="37"/>
  <c r="K129" i="37"/>
  <c r="K492" i="37"/>
  <c r="N364" i="37"/>
  <c r="K334" i="37"/>
  <c r="E403" i="37"/>
  <c r="N185" i="37"/>
  <c r="K185" i="37"/>
  <c r="J185" i="37"/>
  <c r="N36" i="37"/>
  <c r="M136" i="37"/>
  <c r="J244" i="37"/>
  <c r="I246" i="37"/>
  <c r="H190" i="37"/>
  <c r="G246" i="37"/>
  <c r="J167" i="37"/>
  <c r="E235" i="37"/>
  <c r="H158" i="37"/>
  <c r="L174" i="37"/>
  <c r="N158" i="37"/>
  <c r="J177" i="37"/>
  <c r="K156" i="37"/>
  <c r="M182" i="37"/>
  <c r="E57" i="37"/>
  <c r="L106" i="37"/>
  <c r="L133" i="37"/>
  <c r="M91" i="37"/>
  <c r="H754" i="37"/>
  <c r="N685" i="37"/>
  <c r="L685" i="37"/>
  <c r="K685" i="37"/>
  <c r="G685" i="37"/>
  <c r="J479" i="37"/>
  <c r="K644" i="37"/>
  <c r="N644" i="37"/>
  <c r="M503" i="37"/>
  <c r="L503" i="37"/>
  <c r="M538" i="37"/>
  <c r="I538" i="37"/>
  <c r="J489" i="37"/>
  <c r="E489" i="37"/>
  <c r="G520" i="37"/>
  <c r="N410" i="37"/>
  <c r="M213" i="37"/>
  <c r="L213" i="37"/>
  <c r="I34" i="37"/>
  <c r="G239" i="37"/>
  <c r="E145" i="37"/>
  <c r="N456" i="37"/>
  <c r="N221" i="37"/>
  <c r="H29" i="37"/>
  <c r="M651" i="37"/>
  <c r="H403" i="37"/>
  <c r="K13" i="37"/>
  <c r="J168" i="37"/>
  <c r="L221" i="37"/>
  <c r="L40" i="37"/>
  <c r="J289" i="37"/>
  <c r="E224" i="37"/>
  <c r="K244" i="37"/>
  <c r="G256" i="37"/>
  <c r="J246" i="37"/>
  <c r="K177" i="37"/>
  <c r="E173" i="37"/>
  <c r="G176" i="37"/>
  <c r="H114" i="37"/>
  <c r="H719" i="37"/>
  <c r="I655" i="37"/>
  <c r="M492" i="37"/>
  <c r="L641" i="37"/>
  <c r="E432" i="37"/>
  <c r="E716" i="37"/>
  <c r="K716" i="37"/>
  <c r="L694" i="37"/>
  <c r="L448" i="37"/>
  <c r="J448" i="37"/>
  <c r="N520" i="37"/>
  <c r="M398" i="37"/>
  <c r="I144" i="37"/>
  <c r="M170" i="37"/>
  <c r="M197" i="37"/>
  <c r="H317" i="37"/>
  <c r="K341" i="37"/>
  <c r="I403" i="37"/>
  <c r="H353" i="37"/>
  <c r="N353" i="37"/>
  <c r="L353" i="37"/>
  <c r="J357" i="37"/>
  <c r="E301" i="37"/>
  <c r="K301" i="37"/>
  <c r="J301" i="37"/>
  <c r="I301" i="37"/>
  <c r="N258" i="37"/>
  <c r="E148" i="37"/>
  <c r="E133" i="37"/>
  <c r="L3" i="37"/>
  <c r="E11" i="37"/>
  <c r="H492" i="37"/>
  <c r="N400" i="37"/>
  <c r="H479" i="37"/>
  <c r="E479" i="37"/>
  <c r="N479" i="37"/>
  <c r="M479" i="37"/>
  <c r="K479" i="37"/>
  <c r="L479" i="37"/>
  <c r="G479" i="37"/>
  <c r="E495" i="37"/>
  <c r="L374" i="37"/>
  <c r="E269" i="37"/>
  <c r="G269" i="37"/>
  <c r="L269" i="37"/>
  <c r="K269" i="37"/>
  <c r="J269" i="37"/>
  <c r="I269" i="37"/>
  <c r="G112" i="37"/>
  <c r="E112" i="37"/>
  <c r="J112" i="37"/>
  <c r="M112" i="37"/>
  <c r="L112" i="37"/>
  <c r="I112" i="37"/>
  <c r="L336" i="37"/>
  <c r="N197" i="37"/>
  <c r="I338" i="37"/>
  <c r="M338" i="37"/>
  <c r="H338" i="37"/>
  <c r="G403" i="37"/>
  <c r="K432" i="37"/>
  <c r="J160" i="37"/>
  <c r="I160" i="37"/>
  <c r="I168" i="37"/>
  <c r="H212" i="37"/>
  <c r="L203" i="37"/>
  <c r="H203" i="37"/>
  <c r="J148" i="37"/>
  <c r="N133" i="37"/>
  <c r="L57" i="37"/>
  <c r="E19" i="37"/>
  <c r="I456" i="37"/>
  <c r="G481" i="37"/>
  <c r="I479" i="37"/>
  <c r="H644" i="37"/>
  <c r="K456" i="37"/>
  <c r="H581" i="37"/>
  <c r="M443" i="37"/>
  <c r="N614" i="37"/>
  <c r="L614" i="37"/>
  <c r="L456" i="37"/>
  <c r="J411" i="37"/>
  <c r="G411" i="37"/>
  <c r="K708" i="37"/>
  <c r="H489" i="37"/>
  <c r="K388" i="37"/>
  <c r="N371" i="37"/>
  <c r="G138" i="37"/>
  <c r="H34" i="37"/>
  <c r="H371" i="37"/>
  <c r="M403" i="37"/>
  <c r="I435" i="37"/>
  <c r="J153" i="37"/>
  <c r="M153" i="37"/>
  <c r="K153" i="37"/>
  <c r="L144" i="37"/>
  <c r="J193" i="37"/>
  <c r="N148" i="37"/>
  <c r="L30" i="37"/>
  <c r="K3" i="37"/>
  <c r="N695" i="37"/>
  <c r="M695" i="37"/>
  <c r="I546" i="37"/>
  <c r="J641" i="37"/>
  <c r="H456" i="37"/>
  <c r="J581" i="37"/>
  <c r="G464" i="37"/>
  <c r="N384" i="37"/>
  <c r="M29" i="37"/>
  <c r="M425" i="37"/>
  <c r="L425" i="37"/>
  <c r="H100" i="37"/>
  <c r="E277" i="37"/>
  <c r="M277" i="37"/>
  <c r="L277" i="37"/>
  <c r="L83" i="37"/>
  <c r="G277" i="37"/>
  <c r="K29" i="37"/>
  <c r="H152" i="37"/>
  <c r="L327" i="37"/>
  <c r="E327" i="37"/>
  <c r="H8" i="37"/>
  <c r="L8" i="37"/>
  <c r="E8" i="37"/>
  <c r="K8" i="37"/>
  <c r="I42" i="37"/>
  <c r="G231" i="37"/>
  <c r="I138" i="37"/>
  <c r="N115" i="37"/>
  <c r="M36" i="37"/>
  <c r="H91" i="37"/>
  <c r="J105" i="37"/>
  <c r="M80" i="37"/>
  <c r="G727" i="37"/>
  <c r="I727" i="37"/>
  <c r="K581" i="37"/>
  <c r="K384" i="37"/>
  <c r="M269" i="37"/>
  <c r="H623" i="37"/>
  <c r="J152" i="37"/>
  <c r="E394" i="37"/>
  <c r="G145" i="37"/>
  <c r="H406" i="37"/>
  <c r="E293" i="37"/>
  <c r="M293" i="37"/>
  <c r="L293" i="37"/>
  <c r="K293" i="37"/>
  <c r="J293" i="37"/>
  <c r="I293" i="37"/>
  <c r="J100" i="37"/>
  <c r="K197" i="37"/>
  <c r="K207" i="37"/>
  <c r="N15" i="37"/>
  <c r="M758" i="37"/>
  <c r="J758" i="37"/>
  <c r="E758" i="37"/>
  <c r="K758" i="37"/>
  <c r="G757" i="37"/>
  <c r="E757" i="37"/>
  <c r="M757" i="37"/>
  <c r="I757" i="37"/>
  <c r="N757" i="37"/>
  <c r="L757" i="37"/>
  <c r="K756" i="37"/>
  <c r="I756" i="37"/>
  <c r="N756" i="37"/>
  <c r="J756" i="37"/>
  <c r="L756" i="37"/>
  <c r="M756" i="37"/>
  <c r="E756" i="37"/>
  <c r="G756" i="37"/>
  <c r="G755" i="37"/>
  <c r="K755" i="37"/>
  <c r="T10" i="1"/>
  <c r="T15" i="1"/>
  <c r="E701" i="37"/>
  <c r="I656" i="37"/>
  <c r="H656" i="37"/>
  <c r="G656" i="37"/>
  <c r="K656" i="37"/>
  <c r="M652" i="37"/>
  <c r="N525" i="37"/>
  <c r="M525" i="37"/>
  <c r="I525" i="37"/>
  <c r="G525" i="37"/>
  <c r="H525" i="37"/>
  <c r="E596" i="37"/>
  <c r="J568" i="37"/>
  <c r="I568" i="37"/>
  <c r="J555" i="37"/>
  <c r="N490" i="37"/>
  <c r="M476" i="37"/>
  <c r="K452" i="37"/>
  <c r="L402" i="37"/>
  <c r="L430" i="37"/>
  <c r="M329" i="37"/>
  <c r="L329" i="37"/>
  <c r="H329" i="37"/>
  <c r="J329" i="37"/>
  <c r="G329" i="37"/>
  <c r="E329" i="37"/>
  <c r="N286" i="37"/>
  <c r="J286" i="37"/>
  <c r="H286" i="37"/>
  <c r="K286" i="37"/>
  <c r="I286" i="37"/>
  <c r="G286" i="37"/>
  <c r="E286" i="37"/>
  <c r="E284" i="37"/>
  <c r="N284" i="37"/>
  <c r="M284" i="37"/>
  <c r="L284" i="37"/>
  <c r="K284" i="37"/>
  <c r="J284" i="37"/>
  <c r="I284" i="37"/>
  <c r="E383" i="37"/>
  <c r="N339" i="37"/>
  <c r="I283" i="37"/>
  <c r="K215" i="37"/>
  <c r="J219" i="37"/>
  <c r="M219" i="37"/>
  <c r="N219" i="37"/>
  <c r="K219" i="37"/>
  <c r="K228" i="37"/>
  <c r="J214" i="37"/>
  <c r="H176" i="37"/>
  <c r="F8" i="1"/>
  <c r="F6" i="1"/>
  <c r="F10" i="1"/>
  <c r="B8" i="1"/>
  <c r="B10" i="1"/>
  <c r="F12" i="1"/>
  <c r="F9" i="1"/>
  <c r="F7" i="1"/>
  <c r="F5" i="1"/>
  <c r="B9" i="1"/>
  <c r="F11" i="1"/>
  <c r="B11" i="1"/>
  <c r="F13" i="1"/>
  <c r="H54" i="37"/>
  <c r="G101" i="37"/>
  <c r="N26" i="37"/>
  <c r="T12" i="1"/>
  <c r="L710" i="37"/>
  <c r="K710" i="37"/>
  <c r="I710" i="37"/>
  <c r="G710" i="37"/>
  <c r="N710" i="37"/>
  <c r="J710" i="37"/>
  <c r="H710" i="37"/>
  <c r="G652" i="37"/>
  <c r="N594" i="37"/>
  <c r="I545" i="37"/>
  <c r="I529" i="37"/>
  <c r="K555" i="37"/>
  <c r="M507" i="37"/>
  <c r="L507" i="37"/>
  <c r="K507" i="37"/>
  <c r="H507" i="37"/>
  <c r="E507" i="37"/>
  <c r="N423" i="37"/>
  <c r="M423" i="37"/>
  <c r="K423" i="37"/>
  <c r="G423" i="37"/>
  <c r="H402" i="37"/>
  <c r="G402" i="37"/>
  <c r="K402" i="37"/>
  <c r="I402" i="37"/>
  <c r="J378" i="37"/>
  <c r="N378" i="37"/>
  <c r="M378" i="37"/>
  <c r="K378" i="37"/>
  <c r="N430" i="37"/>
  <c r="N332" i="37"/>
  <c r="J332" i="37"/>
  <c r="I332" i="37"/>
  <c r="H332" i="37"/>
  <c r="K332" i="37"/>
  <c r="G332" i="37"/>
  <c r="L302" i="37"/>
  <c r="J283" i="37"/>
  <c r="K212" i="37"/>
  <c r="J212" i="37"/>
  <c r="E212" i="37"/>
  <c r="N212" i="37"/>
  <c r="L212" i="37"/>
  <c r="K151" i="37"/>
  <c r="I151" i="37"/>
  <c r="H151" i="37"/>
  <c r="N194" i="37"/>
  <c r="L194" i="37"/>
  <c r="K194" i="37"/>
  <c r="M95" i="37"/>
  <c r="N95" i="37"/>
  <c r="K95" i="37"/>
  <c r="J95" i="37"/>
  <c r="I95" i="37"/>
  <c r="H95" i="37"/>
  <c r="I176" i="37"/>
  <c r="L79" i="37"/>
  <c r="H79" i="37"/>
  <c r="G79" i="37"/>
  <c r="M54" i="37"/>
  <c r="I124" i="37"/>
  <c r="I101" i="37"/>
  <c r="H82" i="37"/>
  <c r="N54" i="37"/>
  <c r="L74" i="37"/>
  <c r="I722" i="37"/>
  <c r="H692" i="37"/>
  <c r="E692" i="37"/>
  <c r="J721" i="37"/>
  <c r="E721" i="37"/>
  <c r="M700" i="37"/>
  <c r="J700" i="37"/>
  <c r="N700" i="37"/>
  <c r="E709" i="37"/>
  <c r="H706" i="37"/>
  <c r="I697" i="37"/>
  <c r="M645" i="37"/>
  <c r="K657" i="37"/>
  <c r="E637" i="37"/>
  <c r="J682" i="37"/>
  <c r="K682" i="37"/>
  <c r="H591" i="37"/>
  <c r="L609" i="37"/>
  <c r="M583" i="37"/>
  <c r="I583" i="37"/>
  <c r="N583" i="37"/>
  <c r="K583" i="37"/>
  <c r="H583" i="37"/>
  <c r="G583" i="37"/>
  <c r="N571" i="37"/>
  <c r="G571" i="37"/>
  <c r="E571" i="37"/>
  <c r="L571" i="37"/>
  <c r="H571" i="37"/>
  <c r="J571" i="37"/>
  <c r="I571" i="37"/>
  <c r="L602" i="37"/>
  <c r="J652" i="37"/>
  <c r="M540" i="37"/>
  <c r="J540" i="37"/>
  <c r="L540" i="37"/>
  <c r="K540" i="37"/>
  <c r="H540" i="37"/>
  <c r="G540" i="37"/>
  <c r="H624" i="37"/>
  <c r="J545" i="37"/>
  <c r="K585" i="37"/>
  <c r="H568" i="37"/>
  <c r="N555" i="37"/>
  <c r="I502" i="37"/>
  <c r="J523" i="37"/>
  <c r="G507" i="37"/>
  <c r="J484" i="37"/>
  <c r="L509" i="37"/>
  <c r="N552" i="37"/>
  <c r="M560" i="37"/>
  <c r="N482" i="37"/>
  <c r="J482" i="37"/>
  <c r="M482" i="37"/>
  <c r="L482" i="37"/>
  <c r="J488" i="37"/>
  <c r="G488" i="37"/>
  <c r="G446" i="37"/>
  <c r="M474" i="37"/>
  <c r="H480" i="37"/>
  <c r="L399" i="37"/>
  <c r="I485" i="37"/>
  <c r="G462" i="37"/>
  <c r="N460" i="37"/>
  <c r="E423" i="37"/>
  <c r="M402" i="37"/>
  <c r="H454" i="37"/>
  <c r="E378" i="37"/>
  <c r="E430" i="37"/>
  <c r="H387" i="37"/>
  <c r="M405" i="37"/>
  <c r="E332" i="37"/>
  <c r="N278" i="37"/>
  <c r="J278" i="37"/>
  <c r="K278" i="37"/>
  <c r="I278" i="37"/>
  <c r="H278" i="37"/>
  <c r="G278" i="37"/>
  <c r="E278" i="37"/>
  <c r="G383" i="37"/>
  <c r="L251" i="37"/>
  <c r="K251" i="37"/>
  <c r="H251" i="37"/>
  <c r="G251" i="37"/>
  <c r="N251" i="37"/>
  <c r="H272" i="37"/>
  <c r="H268" i="37"/>
  <c r="H312" i="37"/>
  <c r="M204" i="37"/>
  <c r="K204" i="37"/>
  <c r="J204" i="37"/>
  <c r="E204" i="37"/>
  <c r="G204" i="37"/>
  <c r="N224" i="37"/>
  <c r="M224" i="37"/>
  <c r="I224" i="37"/>
  <c r="J224" i="37"/>
  <c r="G224" i="37"/>
  <c r="N214" i="37"/>
  <c r="J222" i="37"/>
  <c r="L256" i="37"/>
  <c r="E189" i="37"/>
  <c r="H228" i="37"/>
  <c r="H189" i="37"/>
  <c r="I217" i="37"/>
  <c r="I194" i="37"/>
  <c r="L167" i="37"/>
  <c r="K246" i="37"/>
  <c r="J235" i="37"/>
  <c r="I218" i="37"/>
  <c r="N175" i="37"/>
  <c r="E181" i="37"/>
  <c r="E95" i="37"/>
  <c r="J223" i="37"/>
  <c r="E156" i="37"/>
  <c r="M156" i="37"/>
  <c r="L150" i="37"/>
  <c r="K238" i="37"/>
  <c r="J176" i="37"/>
  <c r="N173" i="37"/>
  <c r="H103" i="37"/>
  <c r="E65" i="37"/>
  <c r="M75" i="37"/>
  <c r="J53" i="37"/>
  <c r="K124" i="37"/>
  <c r="J74" i="37"/>
  <c r="N11" i="37"/>
  <c r="G43" i="37"/>
  <c r="E43" i="37"/>
  <c r="L43" i="37"/>
  <c r="K43" i="37"/>
  <c r="G22" i="37"/>
  <c r="N2" i="37"/>
  <c r="G75" i="37"/>
  <c r="K27" i="37"/>
  <c r="K82" i="37"/>
  <c r="M53" i="37"/>
  <c r="M65" i="37"/>
  <c r="K14" i="37"/>
  <c r="J14" i="37"/>
  <c r="I14" i="37"/>
  <c r="L55" i="37"/>
  <c r="J55" i="37"/>
  <c r="I26" i="37"/>
  <c r="E74" i="37"/>
  <c r="T6" i="1"/>
  <c r="M731" i="37"/>
  <c r="L731" i="37"/>
  <c r="E731" i="37"/>
  <c r="N731" i="37"/>
  <c r="J731" i="37"/>
  <c r="G749" i="37"/>
  <c r="J722" i="37"/>
  <c r="G677" i="37"/>
  <c r="I677" i="37"/>
  <c r="N677" i="37"/>
  <c r="M677" i="37"/>
  <c r="K677" i="37"/>
  <c r="J677" i="37"/>
  <c r="M709" i="37"/>
  <c r="G709" i="37"/>
  <c r="E645" i="37"/>
  <c r="E669" i="37"/>
  <c r="H637" i="37"/>
  <c r="E678" i="37"/>
  <c r="N682" i="37"/>
  <c r="N609" i="37"/>
  <c r="L652" i="37"/>
  <c r="L630" i="37"/>
  <c r="K624" i="37"/>
  <c r="M605" i="37"/>
  <c r="N565" i="37"/>
  <c r="M572" i="37"/>
  <c r="L583" i="37"/>
  <c r="I543" i="37"/>
  <c r="I507" i="37"/>
  <c r="J486" i="37"/>
  <c r="N463" i="37"/>
  <c r="M463" i="37"/>
  <c r="L463" i="37"/>
  <c r="K463" i="37"/>
  <c r="G463" i="37"/>
  <c r="E497" i="37"/>
  <c r="E556" i="37"/>
  <c r="I490" i="37"/>
  <c r="M477" i="37"/>
  <c r="L477" i="37"/>
  <c r="L480" i="37"/>
  <c r="I462" i="37"/>
  <c r="K431" i="37"/>
  <c r="I480" i="37"/>
  <c r="E470" i="37"/>
  <c r="K485" i="37"/>
  <c r="I483" i="37"/>
  <c r="J462" i="37"/>
  <c r="N458" i="37"/>
  <c r="L458" i="37"/>
  <c r="I458" i="37"/>
  <c r="G458" i="37"/>
  <c r="E458" i="37"/>
  <c r="L407" i="37"/>
  <c r="H423" i="37"/>
  <c r="E454" i="37"/>
  <c r="J426" i="37"/>
  <c r="G430" i="37"/>
  <c r="N370" i="37"/>
  <c r="L370" i="37"/>
  <c r="J370" i="37"/>
  <c r="I370" i="37"/>
  <c r="G370" i="37"/>
  <c r="H370" i="37"/>
  <c r="M370" i="37"/>
  <c r="M332" i="37"/>
  <c r="I345" i="37"/>
  <c r="K381" i="37"/>
  <c r="I356" i="37"/>
  <c r="E276" i="37"/>
  <c r="N276" i="37"/>
  <c r="M276" i="37"/>
  <c r="L276" i="37"/>
  <c r="K276" i="37"/>
  <c r="I276" i="37"/>
  <c r="J276" i="37"/>
  <c r="I383" i="37"/>
  <c r="L332" i="37"/>
  <c r="K307" i="37"/>
  <c r="E251" i="37"/>
  <c r="I272" i="37"/>
  <c r="L267" i="37"/>
  <c r="M267" i="37"/>
  <c r="H284" i="37"/>
  <c r="H291" i="37"/>
  <c r="E291" i="37"/>
  <c r="I312" i="37"/>
  <c r="E215" i="37"/>
  <c r="N267" i="37"/>
  <c r="L219" i="37"/>
  <c r="N256" i="37"/>
  <c r="H222" i="37"/>
  <c r="I222" i="37"/>
  <c r="I189" i="37"/>
  <c r="L215" i="37"/>
  <c r="E214" i="37"/>
  <c r="K203" i="37"/>
  <c r="G203" i="37"/>
  <c r="J194" i="37"/>
  <c r="J218" i="37"/>
  <c r="M223" i="37"/>
  <c r="J156" i="37"/>
  <c r="M238" i="37"/>
  <c r="K176" i="37"/>
  <c r="E54" i="37"/>
  <c r="E64" i="37"/>
  <c r="L10" i="37"/>
  <c r="H10" i="37"/>
  <c r="M74" i="37"/>
  <c r="N65" i="37"/>
  <c r="G74" i="37"/>
  <c r="M26" i="37"/>
  <c r="E135" i="37"/>
  <c r="J82" i="37"/>
  <c r="M64" i="37"/>
  <c r="K54" i="37"/>
  <c r="H3" i="37"/>
  <c r="J54" i="37"/>
  <c r="M87" i="37"/>
  <c r="G10" i="37"/>
  <c r="T8" i="1"/>
  <c r="G26" i="37"/>
  <c r="N749" i="37"/>
  <c r="N721" i="37"/>
  <c r="I721" i="37"/>
  <c r="H721" i="37"/>
  <c r="K721" i="37"/>
  <c r="J683" i="37"/>
  <c r="L702" i="37"/>
  <c r="E657" i="37"/>
  <c r="L678" i="37"/>
  <c r="N599" i="37"/>
  <c r="M599" i="37"/>
  <c r="L599" i="37"/>
  <c r="K599" i="37"/>
  <c r="H599" i="37"/>
  <c r="E599" i="37"/>
  <c r="I518" i="37"/>
  <c r="N518" i="37"/>
  <c r="L518" i="37"/>
  <c r="K518" i="37"/>
  <c r="J518" i="37"/>
  <c r="G518" i="37"/>
  <c r="E518" i="37"/>
  <c r="J572" i="37"/>
  <c r="E585" i="37"/>
  <c r="I585" i="37"/>
  <c r="M585" i="37"/>
  <c r="L585" i="37"/>
  <c r="L499" i="37"/>
  <c r="K499" i="37"/>
  <c r="H499" i="37"/>
  <c r="G499" i="37"/>
  <c r="E499" i="37"/>
  <c r="M499" i="37"/>
  <c r="J507" i="37"/>
  <c r="N517" i="37"/>
  <c r="M517" i="37"/>
  <c r="L517" i="37"/>
  <c r="I517" i="37"/>
  <c r="H486" i="37"/>
  <c r="N475" i="37"/>
  <c r="L475" i="37"/>
  <c r="M475" i="37"/>
  <c r="M436" i="37"/>
  <c r="L436" i="37"/>
  <c r="J436" i="37"/>
  <c r="H436" i="37"/>
  <c r="G436" i="37"/>
  <c r="E436" i="37"/>
  <c r="N446" i="37"/>
  <c r="M446" i="37"/>
  <c r="I446" i="37"/>
  <c r="H446" i="37"/>
  <c r="M399" i="37"/>
  <c r="K399" i="37"/>
  <c r="J399" i="37"/>
  <c r="I399" i="37"/>
  <c r="G399" i="37"/>
  <c r="E399" i="37"/>
  <c r="G477" i="37"/>
  <c r="N474" i="37"/>
  <c r="K446" i="37"/>
  <c r="K429" i="37"/>
  <c r="H429" i="37"/>
  <c r="E429" i="37"/>
  <c r="N401" i="37"/>
  <c r="M401" i="37"/>
  <c r="K401" i="37"/>
  <c r="H401" i="37"/>
  <c r="E401" i="37"/>
  <c r="I378" i="37"/>
  <c r="G454" i="37"/>
  <c r="J430" i="37"/>
  <c r="G405" i="37"/>
  <c r="N324" i="37"/>
  <c r="I324" i="37"/>
  <c r="G324" i="37"/>
  <c r="E324" i="37"/>
  <c r="J324" i="37"/>
  <c r="H324" i="37"/>
  <c r="N270" i="37"/>
  <c r="K270" i="37"/>
  <c r="J270" i="37"/>
  <c r="I270" i="37"/>
  <c r="H270" i="37"/>
  <c r="G270" i="37"/>
  <c r="E270" i="37"/>
  <c r="E316" i="37"/>
  <c r="N316" i="37"/>
  <c r="L316" i="37"/>
  <c r="M316" i="37"/>
  <c r="K316" i="37"/>
  <c r="J316" i="37"/>
  <c r="I316" i="37"/>
  <c r="K383" i="37"/>
  <c r="L324" i="37"/>
  <c r="K329" i="37"/>
  <c r="K272" i="37"/>
  <c r="M315" i="37"/>
  <c r="L315" i="37"/>
  <c r="K315" i="37"/>
  <c r="G291" i="37"/>
  <c r="J312" i="37"/>
  <c r="J215" i="37"/>
  <c r="H242" i="37"/>
  <c r="N242" i="37"/>
  <c r="M192" i="37"/>
  <c r="J192" i="37"/>
  <c r="H256" i="37"/>
  <c r="L214" i="37"/>
  <c r="L176" i="37"/>
  <c r="G54" i="37"/>
  <c r="N22" i="37"/>
  <c r="E53" i="37"/>
  <c r="M63" i="37"/>
  <c r="I63" i="37"/>
  <c r="H63" i="37"/>
  <c r="L2" i="37"/>
  <c r="H2" i="37"/>
  <c r="M19" i="37"/>
  <c r="H148" i="37"/>
  <c r="M82" i="37"/>
  <c r="J27" i="37"/>
  <c r="L63" i="37"/>
  <c r="I11" i="37"/>
  <c r="E123" i="37"/>
  <c r="K53" i="37"/>
  <c r="J2" i="37"/>
  <c r="I53" i="37"/>
  <c r="G19" i="37"/>
  <c r="T11" i="1"/>
  <c r="N722" i="37"/>
  <c r="M729" i="37"/>
  <c r="K705" i="37"/>
  <c r="I705" i="37"/>
  <c r="G637" i="37"/>
  <c r="M637" i="37"/>
  <c r="L637" i="37"/>
  <c r="E718" i="37"/>
  <c r="N572" i="37"/>
  <c r="M723" i="37"/>
  <c r="N723" i="37"/>
  <c r="L723" i="37"/>
  <c r="J723" i="37"/>
  <c r="E723" i="37"/>
  <c r="M746" i="37"/>
  <c r="M722" i="37"/>
  <c r="E686" i="37"/>
  <c r="J670" i="37"/>
  <c r="L717" i="37"/>
  <c r="H700" i="37"/>
  <c r="L721" i="37"/>
  <c r="J689" i="37"/>
  <c r="H689" i="37"/>
  <c r="I700" i="37"/>
  <c r="N692" i="37"/>
  <c r="H697" i="37"/>
  <c r="G640" i="37"/>
  <c r="M672" i="37"/>
  <c r="J645" i="37"/>
  <c r="J669" i="37"/>
  <c r="N678" i="37"/>
  <c r="H667" i="37"/>
  <c r="G667" i="37"/>
  <c r="G678" i="37"/>
  <c r="J662" i="37"/>
  <c r="G662" i="37"/>
  <c r="G693" i="37"/>
  <c r="I619" i="37"/>
  <c r="E619" i="37"/>
  <c r="E583" i="37"/>
  <c r="J602" i="37"/>
  <c r="G625" i="37"/>
  <c r="K649" i="37"/>
  <c r="E532" i="37"/>
  <c r="N537" i="37"/>
  <c r="K537" i="37"/>
  <c r="M537" i="37"/>
  <c r="L537" i="37"/>
  <c r="H537" i="37"/>
  <c r="G537" i="37"/>
  <c r="J624" i="37"/>
  <c r="M571" i="37"/>
  <c r="E594" i="37"/>
  <c r="J565" i="37"/>
  <c r="I646" i="37"/>
  <c r="J525" i="37"/>
  <c r="H565" i="37"/>
  <c r="L555" i="37"/>
  <c r="I499" i="37"/>
  <c r="G552" i="37"/>
  <c r="E517" i="37"/>
  <c r="H556" i="37"/>
  <c r="N429" i="37"/>
  <c r="M469" i="37"/>
  <c r="H399" i="37"/>
  <c r="H477" i="37"/>
  <c r="N470" i="37"/>
  <c r="L446" i="37"/>
  <c r="N476" i="37"/>
  <c r="L476" i="37"/>
  <c r="H470" i="37"/>
  <c r="G431" i="37"/>
  <c r="M485" i="37"/>
  <c r="L462" i="37"/>
  <c r="J434" i="37"/>
  <c r="H426" i="37"/>
  <c r="J454" i="37"/>
  <c r="G426" i="37"/>
  <c r="J423" i="37"/>
  <c r="E405" i="37"/>
  <c r="M323" i="37"/>
  <c r="I323" i="37"/>
  <c r="G323" i="37"/>
  <c r="J323" i="37"/>
  <c r="H323" i="37"/>
  <c r="L405" i="37"/>
  <c r="M324" i="37"/>
  <c r="G347" i="37"/>
  <c r="L323" i="37"/>
  <c r="N389" i="37"/>
  <c r="J251" i="37"/>
  <c r="L307" i="37"/>
  <c r="M307" i="37"/>
  <c r="M272" i="37"/>
  <c r="E288" i="37"/>
  <c r="K291" i="37"/>
  <c r="I291" i="37"/>
  <c r="K312" i="37"/>
  <c r="M215" i="37"/>
  <c r="I236" i="37"/>
  <c r="E242" i="37"/>
  <c r="G192" i="37"/>
  <c r="I256" i="37"/>
  <c r="G194" i="37"/>
  <c r="I238" i="37"/>
  <c r="M176" i="37"/>
  <c r="L62" i="37"/>
  <c r="I62" i="37"/>
  <c r="G62" i="37"/>
  <c r="G65" i="37"/>
  <c r="I75" i="37"/>
  <c r="L19" i="37"/>
  <c r="E22" i="37"/>
  <c r="L26" i="37"/>
  <c r="K62" i="37"/>
  <c r="K10" i="37"/>
  <c r="G123" i="37"/>
  <c r="H27" i="37"/>
  <c r="I18" i="37"/>
  <c r="G127" i="37"/>
  <c r="T13" i="1"/>
  <c r="E747" i="37"/>
  <c r="M747" i="37"/>
  <c r="N747" i="37"/>
  <c r="L747" i="37"/>
  <c r="J747" i="37"/>
  <c r="E739" i="37"/>
  <c r="N739" i="37"/>
  <c r="M739" i="37"/>
  <c r="J739" i="37"/>
  <c r="L739" i="37"/>
  <c r="E722" i="37"/>
  <c r="L734" i="37"/>
  <c r="K734" i="37"/>
  <c r="N734" i="37"/>
  <c r="J734" i="37"/>
  <c r="I734" i="37"/>
  <c r="G734" i="37"/>
  <c r="H734" i="37"/>
  <c r="M555" i="37"/>
  <c r="H552" i="37"/>
  <c r="L455" i="37"/>
  <c r="K455" i="37"/>
  <c r="G455" i="37"/>
  <c r="M455" i="37"/>
  <c r="N455" i="37"/>
  <c r="N486" i="37"/>
  <c r="G486" i="37"/>
  <c r="E486" i="37"/>
  <c r="I477" i="37"/>
  <c r="J474" i="37"/>
  <c r="G387" i="37"/>
  <c r="E387" i="37"/>
  <c r="N387" i="37"/>
  <c r="I387" i="37"/>
  <c r="L387" i="37"/>
  <c r="K454" i="37"/>
  <c r="E262" i="37"/>
  <c r="N262" i="37"/>
  <c r="J262" i="37"/>
  <c r="I262" i="37"/>
  <c r="H262" i="37"/>
  <c r="K262" i="37"/>
  <c r="G262" i="37"/>
  <c r="I401" i="37"/>
  <c r="E345" i="37"/>
  <c r="N345" i="37"/>
  <c r="M345" i="37"/>
  <c r="L345" i="37"/>
  <c r="H345" i="37"/>
  <c r="J345" i="37"/>
  <c r="E268" i="37"/>
  <c r="N268" i="37"/>
  <c r="M268" i="37"/>
  <c r="L268" i="37"/>
  <c r="K268" i="37"/>
  <c r="J268" i="37"/>
  <c r="I268" i="37"/>
  <c r="M383" i="37"/>
  <c r="J383" i="37"/>
  <c r="J291" i="37"/>
  <c r="M312" i="37"/>
  <c r="J233" i="37"/>
  <c r="H233" i="37"/>
  <c r="M251" i="37"/>
  <c r="G233" i="37"/>
  <c r="G219" i="37"/>
  <c r="I192" i="37"/>
  <c r="K256" i="37"/>
  <c r="J216" i="37"/>
  <c r="I216" i="37"/>
  <c r="N216" i="37"/>
  <c r="M216" i="37"/>
  <c r="M166" i="37"/>
  <c r="K166" i="37"/>
  <c r="J166" i="37"/>
  <c r="N159" i="37"/>
  <c r="L159" i="37"/>
  <c r="N246" i="37"/>
  <c r="E246" i="37"/>
  <c r="L166" i="37"/>
  <c r="G232" i="37"/>
  <c r="E223" i="37"/>
  <c r="L122" i="37"/>
  <c r="G122" i="37"/>
  <c r="M150" i="37"/>
  <c r="K150" i="37"/>
  <c r="J150" i="37"/>
  <c r="H150" i="37"/>
  <c r="J238" i="37"/>
  <c r="M103" i="37"/>
  <c r="K103" i="37"/>
  <c r="I103" i="37"/>
  <c r="H67" i="37"/>
  <c r="L61" i="37"/>
  <c r="H61" i="37"/>
  <c r="G61" i="37"/>
  <c r="L22" i="37"/>
  <c r="H108" i="37"/>
  <c r="E108" i="37"/>
  <c r="N27" i="37"/>
  <c r="N18" i="37"/>
  <c r="K61" i="37"/>
  <c r="K30" i="37"/>
  <c r="J30" i="37"/>
  <c r="I30" i="37"/>
  <c r="I123" i="37"/>
  <c r="J114" i="37"/>
  <c r="J26" i="37"/>
  <c r="L95" i="37"/>
  <c r="H127" i="37"/>
  <c r="G18" i="37"/>
  <c r="N61" i="37"/>
  <c r="T14" i="1"/>
  <c r="L742" i="37"/>
  <c r="K742" i="37"/>
  <c r="J742" i="37"/>
  <c r="G742" i="37"/>
  <c r="I742" i="37"/>
  <c r="N742" i="37"/>
  <c r="H742" i="37"/>
  <c r="G701" i="37"/>
  <c r="M721" i="37"/>
  <c r="N680" i="37"/>
  <c r="M680" i="37"/>
  <c r="L680" i="37"/>
  <c r="H680" i="37"/>
  <c r="E680" i="37"/>
  <c r="J680" i="37"/>
  <c r="G680" i="37"/>
  <c r="G622" i="37"/>
  <c r="E622" i="37"/>
  <c r="N622" i="37"/>
  <c r="K622" i="37"/>
  <c r="M622" i="37"/>
  <c r="I630" i="37"/>
  <c r="H701" i="37"/>
  <c r="I678" i="37"/>
  <c r="N645" i="37"/>
  <c r="M609" i="37"/>
  <c r="G609" i="37"/>
  <c r="E609" i="37"/>
  <c r="K609" i="37"/>
  <c r="H625" i="37"/>
  <c r="M558" i="37"/>
  <c r="L558" i="37"/>
  <c r="E558" i="37"/>
  <c r="N558" i="37"/>
  <c r="I558" i="37"/>
  <c r="H558" i="37"/>
  <c r="N536" i="37"/>
  <c r="J536" i="37"/>
  <c r="K536" i="37"/>
  <c r="H536" i="37"/>
  <c r="G536" i="37"/>
  <c r="E536" i="37"/>
  <c r="M536" i="37"/>
  <c r="G594" i="37"/>
  <c r="H594" i="37"/>
  <c r="I752" i="37"/>
  <c r="N752" i="37"/>
  <c r="M752" i="37"/>
  <c r="J752" i="37"/>
  <c r="L752" i="37"/>
  <c r="K752" i="37"/>
  <c r="L726" i="37"/>
  <c r="K726" i="37"/>
  <c r="N726" i="37"/>
  <c r="I726" i="37"/>
  <c r="H726" i="37"/>
  <c r="J726" i="37"/>
  <c r="G726" i="37"/>
  <c r="M710" i="37"/>
  <c r="M725" i="37"/>
  <c r="I702" i="37"/>
  <c r="I729" i="37"/>
  <c r="J705" i="37"/>
  <c r="M717" i="37"/>
  <c r="E726" i="37"/>
  <c r="G689" i="37"/>
  <c r="L697" i="37"/>
  <c r="J630" i="37"/>
  <c r="I701" i="37"/>
  <c r="G664" i="37"/>
  <c r="J678" i="37"/>
  <c r="H662" i="37"/>
  <c r="I693" i="37"/>
  <c r="J619" i="37"/>
  <c r="N602" i="37"/>
  <c r="J599" i="37"/>
  <c r="K625" i="37"/>
  <c r="N649" i="37"/>
  <c r="I602" i="37"/>
  <c r="M535" i="37"/>
  <c r="J535" i="37"/>
  <c r="L535" i="37"/>
  <c r="K535" i="37"/>
  <c r="G535" i="37"/>
  <c r="E535" i="37"/>
  <c r="I510" i="37"/>
  <c r="N510" i="37"/>
  <c r="L510" i="37"/>
  <c r="K510" i="37"/>
  <c r="G510" i="37"/>
  <c r="E510" i="37"/>
  <c r="J510" i="37"/>
  <c r="E613" i="37"/>
  <c r="J594" i="37"/>
  <c r="K646" i="37"/>
  <c r="H518" i="37"/>
  <c r="L565" i="37"/>
  <c r="H455" i="37"/>
  <c r="I552" i="37"/>
  <c r="K486" i="37"/>
  <c r="K513" i="37"/>
  <c r="M549" i="37"/>
  <c r="K549" i="37"/>
  <c r="H521" i="37"/>
  <c r="E521" i="37"/>
  <c r="M556" i="37"/>
  <c r="L420" i="37"/>
  <c r="G420" i="37"/>
  <c r="E420" i="37"/>
  <c r="M420" i="37"/>
  <c r="H420" i="37"/>
  <c r="J420" i="37"/>
  <c r="E475" i="37"/>
  <c r="H461" i="37"/>
  <c r="J477" i="37"/>
  <c r="G439" i="37"/>
  <c r="H439" i="37"/>
  <c r="J470" i="37"/>
  <c r="I429" i="37"/>
  <c r="J485" i="37"/>
  <c r="E431" i="37"/>
  <c r="E460" i="37"/>
  <c r="G444" i="37"/>
  <c r="K387" i="37"/>
  <c r="L434" i="37"/>
  <c r="K407" i="37"/>
  <c r="L454" i="37"/>
  <c r="N422" i="37"/>
  <c r="M422" i="37"/>
  <c r="L422" i="37"/>
  <c r="K422" i="37"/>
  <c r="I422" i="37"/>
  <c r="H422" i="37"/>
  <c r="E442" i="37"/>
  <c r="E391" i="37"/>
  <c r="L337" i="37"/>
  <c r="N381" i="37"/>
  <c r="E308" i="37"/>
  <c r="N308" i="37"/>
  <c r="L308" i="37"/>
  <c r="M308" i="37"/>
  <c r="K308" i="37"/>
  <c r="J308" i="37"/>
  <c r="I308" i="37"/>
  <c r="H383" i="37"/>
  <c r="N347" i="37"/>
  <c r="L286" i="37"/>
  <c r="E307" i="37"/>
  <c r="J267" i="37"/>
  <c r="G315" i="37"/>
  <c r="N312" i="37"/>
  <c r="G191" i="37"/>
  <c r="G242" i="37"/>
  <c r="M222" i="37"/>
  <c r="E249" i="37"/>
  <c r="K233" i="37"/>
  <c r="G249" i="37"/>
  <c r="H192" i="37"/>
  <c r="M256" i="37"/>
  <c r="G228" i="37"/>
  <c r="G214" i="37"/>
  <c r="H194" i="37"/>
  <c r="L222" i="37"/>
  <c r="L204" i="37"/>
  <c r="H246" i="37"/>
  <c r="E203" i="37"/>
  <c r="M259" i="37"/>
  <c r="G235" i="37"/>
  <c r="I232" i="37"/>
  <c r="K181" i="37"/>
  <c r="N156" i="37"/>
  <c r="N192" i="37"/>
  <c r="E180" i="37"/>
  <c r="I143" i="37"/>
  <c r="H143" i="37"/>
  <c r="I166" i="37"/>
  <c r="E150" i="37"/>
  <c r="N238" i="37"/>
  <c r="N176" i="37"/>
  <c r="E182" i="37"/>
  <c r="K67" i="37"/>
  <c r="E103" i="37"/>
  <c r="G64" i="37"/>
  <c r="E106" i="37"/>
  <c r="G108" i="37"/>
  <c r="I64" i="37"/>
  <c r="H85" i="37"/>
  <c r="M133" i="37"/>
  <c r="H133" i="37"/>
  <c r="K19" i="37"/>
  <c r="L18" i="37"/>
  <c r="H111" i="37"/>
  <c r="L59" i="37"/>
  <c r="L123" i="37"/>
  <c r="M114" i="37"/>
  <c r="E132" i="37"/>
  <c r="G11" i="37"/>
  <c r="K127" i="37"/>
  <c r="T9" i="1"/>
  <c r="N715" i="37"/>
  <c r="L700" i="37"/>
  <c r="E715" i="37"/>
  <c r="K670" i="37"/>
  <c r="G670" i="37"/>
  <c r="N670" i="37"/>
  <c r="L670" i="37"/>
  <c r="I670" i="37"/>
  <c r="E670" i="37"/>
  <c r="H683" i="37"/>
  <c r="E664" i="37"/>
  <c r="J701" i="37"/>
  <c r="H664" i="37"/>
  <c r="K678" i="37"/>
  <c r="L693" i="37"/>
  <c r="G630" i="37"/>
  <c r="I627" i="37"/>
  <c r="L625" i="37"/>
  <c r="E529" i="37"/>
  <c r="L525" i="37"/>
  <c r="K594" i="37"/>
  <c r="I572" i="37"/>
  <c r="L646" i="37"/>
  <c r="M484" i="37"/>
  <c r="E490" i="37"/>
  <c r="J552" i="37"/>
  <c r="E513" i="37"/>
  <c r="E491" i="37"/>
  <c r="L491" i="37"/>
  <c r="M491" i="37"/>
  <c r="K491" i="37"/>
  <c r="H491" i="37"/>
  <c r="G491" i="37"/>
  <c r="E484" i="37"/>
  <c r="M513" i="37"/>
  <c r="G562" i="37"/>
  <c r="K560" i="37"/>
  <c r="L515" i="37"/>
  <c r="E515" i="37"/>
  <c r="H515" i="37"/>
  <c r="J419" i="37"/>
  <c r="L419" i="37"/>
  <c r="I419" i="37"/>
  <c r="H419" i="37"/>
  <c r="G419" i="37"/>
  <c r="E419" i="37"/>
  <c r="J437" i="37"/>
  <c r="N437" i="37"/>
  <c r="K437" i="37"/>
  <c r="H437" i="37"/>
  <c r="K477" i="37"/>
  <c r="N438" i="37"/>
  <c r="M438" i="37"/>
  <c r="L438" i="37"/>
  <c r="G564" i="37"/>
  <c r="L431" i="37"/>
  <c r="J458" i="37"/>
  <c r="I439" i="37"/>
  <c r="K470" i="37"/>
  <c r="L429" i="37"/>
  <c r="E476" i="37"/>
  <c r="N478" i="37"/>
  <c r="L478" i="37"/>
  <c r="E478" i="37"/>
  <c r="H431" i="37"/>
  <c r="H460" i="37"/>
  <c r="H444" i="37"/>
  <c r="E452" i="37"/>
  <c r="E402" i="37"/>
  <c r="I426" i="37"/>
  <c r="M407" i="37"/>
  <c r="I391" i="37"/>
  <c r="N352" i="37"/>
  <c r="L352" i="37"/>
  <c r="J352" i="37"/>
  <c r="I352" i="37"/>
  <c r="G352" i="37"/>
  <c r="H352" i="37"/>
  <c r="N318" i="37"/>
  <c r="J318" i="37"/>
  <c r="H318" i="37"/>
  <c r="G318" i="37"/>
  <c r="E318" i="37"/>
  <c r="I318" i="37"/>
  <c r="K318" i="37"/>
  <c r="K254" i="37"/>
  <c r="J254" i="37"/>
  <c r="I254" i="37"/>
  <c r="G254" i="37"/>
  <c r="E254" i="37"/>
  <c r="H254" i="37"/>
  <c r="N254" i="37"/>
  <c r="K360" i="37"/>
  <c r="N340" i="37"/>
  <c r="J356" i="37"/>
  <c r="H381" i="37"/>
  <c r="E381" i="37"/>
  <c r="I351" i="37"/>
  <c r="H351" i="37"/>
  <c r="M351" i="37"/>
  <c r="K283" i="37"/>
  <c r="G307" i="37"/>
  <c r="H315" i="37"/>
  <c r="G281" i="37"/>
  <c r="L291" i="37"/>
  <c r="J272" i="37"/>
  <c r="M283" i="37"/>
  <c r="H191" i="37"/>
  <c r="K242" i="37"/>
  <c r="H219" i="37"/>
  <c r="L233" i="37"/>
  <c r="K249" i="37"/>
  <c r="E219" i="37"/>
  <c r="K192" i="37"/>
  <c r="E216" i="37"/>
  <c r="E236" i="37"/>
  <c r="M190" i="37"/>
  <c r="J190" i="37"/>
  <c r="I190" i="37"/>
  <c r="E190" i="37"/>
  <c r="H235" i="37"/>
  <c r="N232" i="37"/>
  <c r="L218" i="37"/>
  <c r="L181" i="37"/>
  <c r="K122" i="37"/>
  <c r="G223" i="37"/>
  <c r="G180" i="37"/>
  <c r="G150" i="37"/>
  <c r="L238" i="37"/>
  <c r="N101" i="37"/>
  <c r="E63" i="37"/>
  <c r="G82" i="37"/>
  <c r="N3" i="37"/>
  <c r="N85" i="37"/>
  <c r="M11" i="37"/>
  <c r="J35" i="37"/>
  <c r="I35" i="37"/>
  <c r="H35" i="37"/>
  <c r="G35" i="37"/>
  <c r="E35" i="37"/>
  <c r="M35" i="37"/>
  <c r="L35" i="37"/>
  <c r="G111" i="37"/>
  <c r="M18" i="37"/>
  <c r="I111" i="37"/>
  <c r="I27" i="37"/>
  <c r="K6" i="37"/>
  <c r="J6" i="37"/>
  <c r="I6" i="37"/>
  <c r="N123" i="37"/>
  <c r="L65" i="37"/>
  <c r="G132" i="37"/>
  <c r="I10" i="37"/>
  <c r="M127" i="37"/>
  <c r="T5" i="1"/>
  <c r="L753" i="37"/>
  <c r="N753" i="37"/>
  <c r="M753" i="37"/>
  <c r="I731" i="37"/>
  <c r="E734" i="37"/>
  <c r="M733" i="37"/>
  <c r="E738" i="37"/>
  <c r="I753" i="37"/>
  <c r="H739" i="37"/>
  <c r="J707" i="37"/>
  <c r="N707" i="37"/>
  <c r="M707" i="37"/>
  <c r="L707" i="37"/>
  <c r="G738" i="37"/>
  <c r="N729" i="37"/>
  <c r="G675" i="37"/>
  <c r="J675" i="37"/>
  <c r="H675" i="37"/>
  <c r="E675" i="37"/>
  <c r="N714" i="37"/>
  <c r="L714" i="37"/>
  <c r="K714" i="37"/>
  <c r="N709" i="37"/>
  <c r="I637" i="37"/>
  <c r="L677" i="37"/>
  <c r="K701" i="37"/>
  <c r="L656" i="37"/>
  <c r="L622" i="37"/>
  <c r="N625" i="37"/>
  <c r="M625" i="37"/>
  <c r="J627" i="37"/>
  <c r="G649" i="37"/>
  <c r="G558" i="37"/>
  <c r="H572" i="37"/>
  <c r="G572" i="37"/>
  <c r="G613" i="37"/>
  <c r="L594" i="37"/>
  <c r="K565" i="37"/>
  <c r="I537" i="37"/>
  <c r="H510" i="37"/>
  <c r="E555" i="37"/>
  <c r="J472" i="37"/>
  <c r="G501" i="37"/>
  <c r="N501" i="37"/>
  <c r="M501" i="37"/>
  <c r="L501" i="37"/>
  <c r="K501" i="37"/>
  <c r="I501" i="37"/>
  <c r="H501" i="37"/>
  <c r="K552" i="37"/>
  <c r="I509" i="37"/>
  <c r="I491" i="37"/>
  <c r="N513" i="37"/>
  <c r="I562" i="37"/>
  <c r="G475" i="37"/>
  <c r="I436" i="37"/>
  <c r="E477" i="37"/>
  <c r="H564" i="37"/>
  <c r="H462" i="37"/>
  <c r="E474" i="37"/>
  <c r="J439" i="37"/>
  <c r="L470" i="37"/>
  <c r="M429" i="37"/>
  <c r="I450" i="37"/>
  <c r="K450" i="37"/>
  <c r="I431" i="37"/>
  <c r="J460" i="37"/>
  <c r="J444" i="37"/>
  <c r="L378" i="37"/>
  <c r="G442" i="37"/>
  <c r="J391" i="37"/>
  <c r="G316" i="37"/>
  <c r="J339" i="37"/>
  <c r="E260" i="37"/>
  <c r="N260" i="37"/>
  <c r="M260" i="37"/>
  <c r="L260" i="37"/>
  <c r="K260" i="37"/>
  <c r="I260" i="37"/>
  <c r="J260" i="37"/>
  <c r="K324" i="37"/>
  <c r="M299" i="37"/>
  <c r="L299" i="37"/>
  <c r="K299" i="37"/>
  <c r="L283" i="37"/>
  <c r="H307" i="37"/>
  <c r="L288" i="37"/>
  <c r="N227" i="37"/>
  <c r="L227" i="37"/>
  <c r="M227" i="37"/>
  <c r="K227" i="37"/>
  <c r="I315" i="37"/>
  <c r="H281" i="37"/>
  <c r="N323" i="37"/>
  <c r="E272" i="37"/>
  <c r="J230" i="37"/>
  <c r="E230" i="37"/>
  <c r="J191" i="37"/>
  <c r="N222" i="37"/>
  <c r="L242" i="37"/>
  <c r="M233" i="37"/>
  <c r="L249" i="37"/>
  <c r="M214" i="37"/>
  <c r="G189" i="37"/>
  <c r="H216" i="37"/>
  <c r="K236" i="37"/>
  <c r="J203" i="37"/>
  <c r="N193" i="37"/>
  <c r="M193" i="37"/>
  <c r="L193" i="37"/>
  <c r="G193" i="37"/>
  <c r="N215" i="37"/>
  <c r="N151" i="37"/>
  <c r="I191" i="37"/>
  <c r="G190" i="37"/>
  <c r="L151" i="37"/>
  <c r="J159" i="37"/>
  <c r="L130" i="37"/>
  <c r="K130" i="37"/>
  <c r="E130" i="37"/>
  <c r="N99" i="37"/>
  <c r="J99" i="37"/>
  <c r="I99" i="37"/>
  <c r="G99" i="37"/>
  <c r="M181" i="37"/>
  <c r="H223" i="37"/>
  <c r="J140" i="37"/>
  <c r="H140" i="37"/>
  <c r="N140" i="37"/>
  <c r="E140" i="37"/>
  <c r="H180" i="37"/>
  <c r="N164" i="37"/>
  <c r="J164" i="37"/>
  <c r="E164" i="37"/>
  <c r="I150" i="37"/>
  <c r="E26" i="37"/>
  <c r="N82" i="37"/>
  <c r="K63" i="37"/>
  <c r="M124" i="37"/>
  <c r="G151" i="37"/>
  <c r="E71" i="37"/>
  <c r="E91" i="37"/>
  <c r="K111" i="37"/>
  <c r="M57" i="37"/>
  <c r="K26" i="37"/>
  <c r="L64" i="37"/>
  <c r="J132" i="37"/>
  <c r="J127" i="37"/>
  <c r="T7" i="1"/>
  <c r="K718" i="37"/>
  <c r="G718" i="37"/>
  <c r="N718" i="37"/>
  <c r="L718" i="37"/>
  <c r="J718" i="37"/>
  <c r="I718" i="37"/>
  <c r="H718" i="37"/>
  <c r="E753" i="37"/>
  <c r="M750" i="37"/>
  <c r="M749" i="37"/>
  <c r="L725" i="37"/>
  <c r="K725" i="37"/>
  <c r="J725" i="37"/>
  <c r="I725" i="37"/>
  <c r="H725" i="37"/>
  <c r="J654" i="37"/>
  <c r="I654" i="37"/>
  <c r="G654" i="37"/>
  <c r="E654" i="37"/>
  <c r="L654" i="37"/>
  <c r="K654" i="37"/>
  <c r="H709" i="37"/>
  <c r="H705" i="37"/>
  <c r="I640" i="37"/>
  <c r="J640" i="37"/>
  <c r="H640" i="37"/>
  <c r="E640" i="37"/>
  <c r="N640" i="37"/>
  <c r="M640" i="37"/>
  <c r="L640" i="37"/>
  <c r="K683" i="37"/>
  <c r="G657" i="37"/>
  <c r="N657" i="37"/>
  <c r="L657" i="37"/>
  <c r="J657" i="37"/>
  <c r="I657" i="37"/>
  <c r="M701" i="37"/>
  <c r="H652" i="37"/>
  <c r="H602" i="37"/>
  <c r="G602" i="37"/>
  <c r="M532" i="37"/>
  <c r="J532" i="37"/>
  <c r="L532" i="37"/>
  <c r="K532" i="37"/>
  <c r="H532" i="37"/>
  <c r="G532" i="37"/>
  <c r="K572" i="37"/>
  <c r="J558" i="37"/>
  <c r="J596" i="37"/>
  <c r="I613" i="37"/>
  <c r="I594" i="37"/>
  <c r="M565" i="37"/>
  <c r="I536" i="37"/>
  <c r="H490" i="37"/>
  <c r="G490" i="37"/>
  <c r="J490" i="37"/>
  <c r="M490" i="37"/>
  <c r="L490" i="37"/>
  <c r="M552" i="37"/>
  <c r="L484" i="37"/>
  <c r="H475" i="37"/>
  <c r="K436" i="37"/>
  <c r="H466" i="37"/>
  <c r="G466" i="37"/>
  <c r="E466" i="37"/>
  <c r="N466" i="37"/>
  <c r="L466" i="37"/>
  <c r="I466" i="37"/>
  <c r="J466" i="37"/>
  <c r="J431" i="37"/>
  <c r="I476" i="37"/>
  <c r="L444" i="37"/>
  <c r="G452" i="37"/>
  <c r="H442" i="37"/>
  <c r="G345" i="37"/>
  <c r="H366" i="37"/>
  <c r="K391" i="37"/>
  <c r="N310" i="37"/>
  <c r="J310" i="37"/>
  <c r="H310" i="37"/>
  <c r="K310" i="37"/>
  <c r="I310" i="37"/>
  <c r="G310" i="37"/>
  <c r="E310" i="37"/>
  <c r="J387" i="37"/>
  <c r="N360" i="37"/>
  <c r="L360" i="37"/>
  <c r="J360" i="37"/>
  <c r="H360" i="37"/>
  <c r="I360" i="37"/>
  <c r="I347" i="37"/>
  <c r="L347" i="37"/>
  <c r="E300" i="37"/>
  <c r="N300" i="37"/>
  <c r="L300" i="37"/>
  <c r="M300" i="37"/>
  <c r="K300" i="37"/>
  <c r="J300" i="37"/>
  <c r="I300" i="37"/>
  <c r="L278" i="37"/>
  <c r="G381" i="37"/>
  <c r="I307" i="37"/>
  <c r="N288" i="37"/>
  <c r="J315" i="37"/>
  <c r="I281" i="37"/>
  <c r="M191" i="37"/>
  <c r="I219" i="37"/>
  <c r="G216" i="37"/>
  <c r="J201" i="37"/>
  <c r="M201" i="37"/>
  <c r="K201" i="37"/>
  <c r="K216" i="37"/>
  <c r="E196" i="37"/>
  <c r="I167" i="37"/>
  <c r="H167" i="37"/>
  <c r="K167" i="37"/>
  <c r="E232" i="37"/>
  <c r="G174" i="37"/>
  <c r="K223" i="37"/>
  <c r="I180" i="37"/>
  <c r="I182" i="37"/>
  <c r="H64" i="37"/>
  <c r="E61" i="37"/>
  <c r="E80" i="37"/>
  <c r="G106" i="37"/>
  <c r="N91" i="37"/>
  <c r="J56" i="37"/>
  <c r="H62" i="37"/>
  <c r="I80" i="37"/>
  <c r="M119" i="37"/>
  <c r="K119" i="37"/>
  <c r="H119" i="37"/>
  <c r="G85" i="37"/>
  <c r="J67" i="37"/>
  <c r="I33" i="37"/>
  <c r="H33" i="37"/>
  <c r="G33" i="37"/>
  <c r="N33" i="37"/>
  <c r="M33" i="37"/>
  <c r="N63" i="37"/>
  <c r="E14" i="37"/>
  <c r="G135" i="37"/>
  <c r="N130" i="37"/>
  <c r="M111" i="37"/>
  <c r="M56" i="37"/>
  <c r="I3" i="37"/>
  <c r="J63" i="37"/>
  <c r="H19" i="37"/>
  <c r="L132" i="37"/>
  <c r="G3" i="37"/>
  <c r="L127" i="37"/>
  <c r="E27" i="37"/>
  <c r="B15" i="1"/>
  <c r="N750" i="37"/>
  <c r="L750" i="37"/>
  <c r="K750" i="37"/>
  <c r="J750" i="37"/>
  <c r="G750" i="37"/>
  <c r="I750" i="37"/>
  <c r="H750" i="37"/>
  <c r="I749" i="37"/>
  <c r="K749" i="37"/>
  <c r="J749" i="37"/>
  <c r="H749" i="37"/>
  <c r="L733" i="37"/>
  <c r="J733" i="37"/>
  <c r="K733" i="37"/>
  <c r="I733" i="37"/>
  <c r="H733" i="37"/>
  <c r="K747" i="37"/>
  <c r="E710" i="37"/>
  <c r="J729" i="37"/>
  <c r="K637" i="37"/>
  <c r="N701" i="37"/>
  <c r="J589" i="37"/>
  <c r="K589" i="37"/>
  <c r="I589" i="37"/>
  <c r="H589" i="37"/>
  <c r="E627" i="37"/>
  <c r="M632" i="37"/>
  <c r="L632" i="37"/>
  <c r="N652" i="37"/>
  <c r="M627" i="37"/>
  <c r="I649" i="37"/>
  <c r="M624" i="37"/>
  <c r="N540" i="37"/>
  <c r="G568" i="37"/>
  <c r="E568" i="37"/>
  <c r="G605" i="37"/>
  <c r="M613" i="37"/>
  <c r="G596" i="37"/>
  <c r="L589" i="37"/>
  <c r="G517" i="37"/>
  <c r="K484" i="37"/>
  <c r="L552" i="37"/>
  <c r="L486" i="37"/>
  <c r="I486" i="37"/>
  <c r="K509" i="37"/>
  <c r="K556" i="37"/>
  <c r="E560" i="37"/>
  <c r="K475" i="37"/>
  <c r="N436" i="37"/>
  <c r="H488" i="37"/>
  <c r="G461" i="37"/>
  <c r="L483" i="37"/>
  <c r="G474" i="37"/>
  <c r="J476" i="37"/>
  <c r="M460" i="37"/>
  <c r="M444" i="37"/>
  <c r="J407" i="37"/>
  <c r="H452" i="37"/>
  <c r="H434" i="37"/>
  <c r="N434" i="37"/>
  <c r="K389" i="37"/>
  <c r="J389" i="37"/>
  <c r="H407" i="37"/>
  <c r="I442" i="37"/>
  <c r="L344" i="37"/>
  <c r="J344" i="37"/>
  <c r="I344" i="37"/>
  <c r="H344" i="37"/>
  <c r="G344" i="37"/>
  <c r="L391" i="37"/>
  <c r="L383" i="37"/>
  <c r="I381" i="37"/>
  <c r="K267" i="37"/>
  <c r="N329" i="37"/>
  <c r="J307" i="37"/>
  <c r="K281" i="37"/>
  <c r="H316" i="37"/>
  <c r="M169" i="37"/>
  <c r="H169" i="37"/>
  <c r="E169" i="37"/>
  <c r="I233" i="37"/>
  <c r="E167" i="37"/>
  <c r="L169" i="37"/>
  <c r="K214" i="37"/>
  <c r="E166" i="37"/>
  <c r="M230" i="37"/>
  <c r="M167" i="37"/>
  <c r="L190" i="37"/>
  <c r="L201" i="37"/>
  <c r="E259" i="37"/>
  <c r="G175" i="37"/>
  <c r="L223" i="37"/>
  <c r="I131" i="37"/>
  <c r="N131" i="37"/>
  <c r="J131" i="37"/>
  <c r="E131" i="37"/>
  <c r="K180" i="37"/>
  <c r="N230" i="37"/>
  <c r="G173" i="37"/>
  <c r="J182" i="37"/>
  <c r="G63" i="37"/>
  <c r="N87" i="37"/>
  <c r="L87" i="37"/>
  <c r="J87" i="37"/>
  <c r="I87" i="37"/>
  <c r="H87" i="37"/>
  <c r="E2" i="37"/>
  <c r="I106" i="37"/>
  <c r="I108" i="37"/>
  <c r="M62" i="37"/>
  <c r="G57" i="37"/>
  <c r="H41" i="37"/>
  <c r="E41" i="37"/>
  <c r="M41" i="37"/>
  <c r="L41" i="37"/>
  <c r="H75" i="37"/>
  <c r="I32" i="37"/>
  <c r="H32" i="37"/>
  <c r="G32" i="37"/>
  <c r="N32" i="37"/>
  <c r="L11" i="37"/>
  <c r="N62" i="37"/>
  <c r="H135" i="37"/>
  <c r="J91" i="37"/>
  <c r="I127" i="37"/>
  <c r="L111" i="37"/>
  <c r="M55" i="37"/>
  <c r="K2" i="37"/>
  <c r="J62" i="37"/>
  <c r="J18" i="37"/>
  <c r="I2" i="37"/>
  <c r="N127" i="37"/>
  <c r="T17" i="1"/>
  <c r="N591" i="37"/>
  <c r="L591" i="37"/>
  <c r="K591" i="37"/>
  <c r="G591" i="37"/>
  <c r="M591" i="37"/>
  <c r="I484" i="37"/>
  <c r="N484" i="37"/>
  <c r="H484" i="37"/>
  <c r="K415" i="37"/>
  <c r="N415" i="37"/>
  <c r="L415" i="37"/>
  <c r="J415" i="37"/>
  <c r="I415" i="37"/>
  <c r="G415" i="37"/>
  <c r="L447" i="37"/>
  <c r="K447" i="37"/>
  <c r="N447" i="37"/>
  <c r="G447" i="37"/>
  <c r="M430" i="37"/>
  <c r="I430" i="37"/>
  <c r="N386" i="37"/>
  <c r="K386" i="37"/>
  <c r="J386" i="37"/>
  <c r="G386" i="37"/>
  <c r="E386" i="37"/>
  <c r="I386" i="37"/>
  <c r="H386" i="37"/>
  <c r="N302" i="37"/>
  <c r="J302" i="37"/>
  <c r="H302" i="37"/>
  <c r="K302" i="37"/>
  <c r="I302" i="37"/>
  <c r="G302" i="37"/>
  <c r="E302" i="37"/>
  <c r="J252" i="37"/>
  <c r="I252" i="37"/>
  <c r="N252" i="37"/>
  <c r="M252" i="37"/>
  <c r="L252" i="37"/>
  <c r="K252" i="37"/>
  <c r="E252" i="37"/>
  <c r="J236" i="37"/>
  <c r="N236" i="37"/>
  <c r="M236" i="37"/>
  <c r="N191" i="37"/>
  <c r="L124" i="37"/>
  <c r="J124" i="37"/>
  <c r="H124" i="37"/>
  <c r="E124" i="37"/>
  <c r="K85" i="37"/>
  <c r="J85" i="37"/>
  <c r="E85" i="37"/>
  <c r="L101" i="37"/>
  <c r="K101" i="37"/>
  <c r="H101" i="37"/>
  <c r="E101" i="37"/>
  <c r="I67" i="37"/>
  <c r="G67" i="37"/>
  <c r="E67" i="37"/>
  <c r="M67" i="37"/>
  <c r="L67" i="37"/>
  <c r="J79" i="37"/>
  <c r="L54" i="37"/>
  <c r="K22" i="37"/>
  <c r="J22" i="37"/>
  <c r="I22" i="37"/>
  <c r="H123" i="37"/>
  <c r="B13" i="1"/>
  <c r="G683" i="37"/>
  <c r="M683" i="37"/>
  <c r="J597" i="37"/>
  <c r="I597" i="37"/>
  <c r="H597" i="37"/>
  <c r="L597" i="37"/>
  <c r="K597" i="37"/>
  <c r="E597" i="37"/>
  <c r="H722" i="37"/>
  <c r="I683" i="37"/>
  <c r="L705" i="37"/>
  <c r="I709" i="37"/>
  <c r="J656" i="37"/>
  <c r="G597" i="37"/>
  <c r="I591" i="37"/>
  <c r="E652" i="37"/>
  <c r="E602" i="37"/>
  <c r="N545" i="37"/>
  <c r="K545" i="37"/>
  <c r="M545" i="37"/>
  <c r="L545" i="37"/>
  <c r="H545" i="37"/>
  <c r="G545" i="37"/>
  <c r="N529" i="37"/>
  <c r="K529" i="37"/>
  <c r="M529" i="37"/>
  <c r="L529" i="37"/>
  <c r="H529" i="37"/>
  <c r="G529" i="37"/>
  <c r="L596" i="37"/>
  <c r="M568" i="37"/>
  <c r="M523" i="37"/>
  <c r="L523" i="37"/>
  <c r="K523" i="37"/>
  <c r="H523" i="37"/>
  <c r="M447" i="37"/>
  <c r="E415" i="37"/>
  <c r="J475" i="37"/>
  <c r="J429" i="37"/>
  <c r="L461" i="37"/>
  <c r="E447" i="37"/>
  <c r="I474" i="37"/>
  <c r="G476" i="37"/>
  <c r="K444" i="37"/>
  <c r="L401" i="37"/>
  <c r="L452" i="37"/>
  <c r="M454" i="37"/>
  <c r="M386" i="37"/>
  <c r="I405" i="37"/>
  <c r="E321" i="37"/>
  <c r="N321" i="37"/>
  <c r="K321" i="37"/>
  <c r="H321" i="37"/>
  <c r="L321" i="37"/>
  <c r="J321" i="37"/>
  <c r="G321" i="37"/>
  <c r="H339" i="37"/>
  <c r="E292" i="37"/>
  <c r="N292" i="37"/>
  <c r="L292" i="37"/>
  <c r="K292" i="37"/>
  <c r="J292" i="37"/>
  <c r="I292" i="37"/>
  <c r="M292" i="37"/>
  <c r="L270" i="37"/>
  <c r="G288" i="37"/>
  <c r="H252" i="37"/>
  <c r="H288" i="37"/>
  <c r="E312" i="37"/>
  <c r="I212" i="37"/>
  <c r="N228" i="37"/>
  <c r="H196" i="37"/>
  <c r="G196" i="37"/>
  <c r="N196" i="37"/>
  <c r="L196" i="37"/>
  <c r="M196" i="37"/>
  <c r="K196" i="37"/>
  <c r="H236" i="37"/>
  <c r="E228" i="37"/>
  <c r="K191" i="37"/>
  <c r="H215" i="37"/>
  <c r="G95" i="37"/>
  <c r="E176" i="37"/>
  <c r="L85" i="37"/>
  <c r="K79" i="37"/>
  <c r="H53" i="37"/>
  <c r="G124" i="37"/>
  <c r="K81" i="37"/>
  <c r="G81" i="37"/>
  <c r="E81" i="37"/>
  <c r="N81" i="37"/>
  <c r="O2" i="37"/>
  <c r="L53" i="37"/>
  <c r="K123" i="37"/>
  <c r="I79" i="37"/>
  <c r="B14" i="1"/>
  <c r="K739" i="37"/>
  <c r="E733" i="37"/>
  <c r="G725" i="37"/>
  <c r="G686" i="37"/>
  <c r="J686" i="37"/>
  <c r="N686" i="37"/>
  <c r="K686" i="37"/>
  <c r="L715" i="37"/>
  <c r="E705" i="37"/>
  <c r="H715" i="37"/>
  <c r="I747" i="37"/>
  <c r="I741" i="37"/>
  <c r="K741" i="37"/>
  <c r="H741" i="37"/>
  <c r="J741" i="37"/>
  <c r="G733" i="37"/>
  <c r="L722" i="37"/>
  <c r="L683" i="37"/>
  <c r="G729" i="37"/>
  <c r="I715" i="37"/>
  <c r="M705" i="37"/>
  <c r="J709" i="37"/>
  <c r="H672" i="37"/>
  <c r="J672" i="37"/>
  <c r="L672" i="37"/>
  <c r="N637" i="37"/>
  <c r="H682" i="37"/>
  <c r="M656" i="37"/>
  <c r="M597" i="37"/>
  <c r="N589" i="37"/>
  <c r="N575" i="37"/>
  <c r="K575" i="37"/>
  <c r="I575" i="37"/>
  <c r="H575" i="37"/>
  <c r="G575" i="37"/>
  <c r="E575" i="37"/>
  <c r="L575" i="37"/>
  <c r="J591" i="37"/>
  <c r="I652" i="37"/>
  <c r="H627" i="37"/>
  <c r="N544" i="37"/>
  <c r="J544" i="37"/>
  <c r="E544" i="37"/>
  <c r="M544" i="37"/>
  <c r="K544" i="37"/>
  <c r="H544" i="37"/>
  <c r="G544" i="37"/>
  <c r="N528" i="37"/>
  <c r="J528" i="37"/>
  <c r="M528" i="37"/>
  <c r="K528" i="37"/>
  <c r="H528" i="37"/>
  <c r="G528" i="37"/>
  <c r="E528" i="37"/>
  <c r="J613" i="37"/>
  <c r="M596" i="37"/>
  <c r="N568" i="37"/>
  <c r="I532" i="37"/>
  <c r="G555" i="37"/>
  <c r="N512" i="37"/>
  <c r="L512" i="37"/>
  <c r="K512" i="37"/>
  <c r="G512" i="37"/>
  <c r="H512" i="37"/>
  <c r="E523" i="37"/>
  <c r="E512" i="37"/>
  <c r="N502" i="37"/>
  <c r="L502" i="37"/>
  <c r="K502" i="37"/>
  <c r="E509" i="37"/>
  <c r="H415" i="37"/>
  <c r="N431" i="37"/>
  <c r="M461" i="37"/>
  <c r="H447" i="37"/>
  <c r="K474" i="37"/>
  <c r="N444" i="37"/>
  <c r="M452" i="37"/>
  <c r="L366" i="37"/>
  <c r="K366" i="37"/>
  <c r="G366" i="37"/>
  <c r="E366" i="37"/>
  <c r="M366" i="37"/>
  <c r="K405" i="37"/>
  <c r="N294" i="37"/>
  <c r="J294" i="37"/>
  <c r="H294" i="37"/>
  <c r="K294" i="37"/>
  <c r="I294" i="37"/>
  <c r="G294" i="37"/>
  <c r="E294" i="37"/>
  <c r="M270" i="37"/>
  <c r="L310" i="37"/>
  <c r="E339" i="37"/>
  <c r="E283" i="37"/>
  <c r="L423" i="37"/>
  <c r="I288" i="37"/>
  <c r="G272" i="37"/>
  <c r="G312" i="37"/>
  <c r="M194" i="37"/>
  <c r="K159" i="37"/>
  <c r="I159" i="37"/>
  <c r="H159" i="37"/>
  <c r="I228" i="37"/>
  <c r="M217" i="37"/>
  <c r="H217" i="37"/>
  <c r="M151" i="37"/>
  <c r="L192" i="37"/>
  <c r="M232" i="37"/>
  <c r="G167" i="37"/>
  <c r="K99" i="37"/>
  <c r="K158" i="37"/>
  <c r="J158" i="37"/>
  <c r="K140" i="37"/>
  <c r="I164" i="37"/>
  <c r="H122" i="37"/>
  <c r="J173" i="37"/>
  <c r="M81" i="37"/>
  <c r="M79" i="37"/>
  <c r="L80" i="37"/>
  <c r="J80" i="37"/>
  <c r="H51" i="37"/>
  <c r="G51" i="37"/>
  <c r="E51" i="37"/>
  <c r="M51" i="37"/>
  <c r="L51" i="37"/>
  <c r="K51" i="37"/>
  <c r="J51" i="37"/>
  <c r="J101" i="37"/>
  <c r="H81" i="37"/>
  <c r="N79" i="37"/>
  <c r="N57" i="37"/>
  <c r="I19" i="37"/>
  <c r="M123" i="37"/>
  <c r="K59" i="37"/>
  <c r="N41" i="37"/>
  <c r="K64" i="37"/>
  <c r="J75" i="37"/>
  <c r="T16" i="1"/>
  <c r="N683" i="37"/>
  <c r="N702" i="37"/>
  <c r="K702" i="37"/>
  <c r="J702" i="37"/>
  <c r="K715" i="37"/>
  <c r="N630" i="37"/>
  <c r="M630" i="37"/>
  <c r="K630" i="37"/>
  <c r="E630" i="37"/>
  <c r="K645" i="37"/>
  <c r="I645" i="37"/>
  <c r="M669" i="37"/>
  <c r="L669" i="37"/>
  <c r="K669" i="37"/>
  <c r="G722" i="37"/>
  <c r="N656" i="37"/>
  <c r="N597" i="37"/>
  <c r="M543" i="37"/>
  <c r="J543" i="37"/>
  <c r="E543" i="37"/>
  <c r="L543" i="37"/>
  <c r="K543" i="37"/>
  <c r="G543" i="37"/>
  <c r="M527" i="37"/>
  <c r="J527" i="37"/>
  <c r="L527" i="37"/>
  <c r="K527" i="37"/>
  <c r="G527" i="37"/>
  <c r="E527" i="37"/>
  <c r="H527" i="37"/>
  <c r="N596" i="37"/>
  <c r="N586" i="37"/>
  <c r="G586" i="37"/>
  <c r="E586" i="37"/>
  <c r="H555" i="37"/>
  <c r="N509" i="37"/>
  <c r="I455" i="37"/>
  <c r="N507" i="37"/>
  <c r="I512" i="37"/>
  <c r="G472" i="37"/>
  <c r="N472" i="37"/>
  <c r="M472" i="37"/>
  <c r="L472" i="37"/>
  <c r="K472" i="37"/>
  <c r="K525" i="37"/>
  <c r="J560" i="37"/>
  <c r="M497" i="37"/>
  <c r="H482" i="37"/>
  <c r="N488" i="37"/>
  <c r="N461" i="37"/>
  <c r="I447" i="37"/>
  <c r="E480" i="37"/>
  <c r="K458" i="37"/>
  <c r="N426" i="37"/>
  <c r="J402" i="37"/>
  <c r="H430" i="37"/>
  <c r="M442" i="37"/>
  <c r="I329" i="37"/>
  <c r="G292" i="37"/>
  <c r="J337" i="37"/>
  <c r="N337" i="37"/>
  <c r="M262" i="37"/>
  <c r="G339" i="37"/>
  <c r="G283" i="37"/>
  <c r="E248" i="37"/>
  <c r="M248" i="37"/>
  <c r="L248" i="37"/>
  <c r="G248" i="37"/>
  <c r="N291" i="37"/>
  <c r="I244" i="37"/>
  <c r="N244" i="37"/>
  <c r="M244" i="37"/>
  <c r="J189" i="37"/>
  <c r="G212" i="37"/>
  <c r="L191" i="37"/>
  <c r="I215" i="37"/>
  <c r="G159" i="37"/>
  <c r="L272" i="37"/>
  <c r="M140" i="37"/>
  <c r="K164" i="37"/>
  <c r="J122" i="37"/>
  <c r="I81" i="37"/>
  <c r="L75" i="37"/>
  <c r="J81" i="37"/>
  <c r="N56" i="37"/>
  <c r="K18" i="37"/>
  <c r="I114" i="37"/>
  <c r="H11" i="37"/>
  <c r="J59" i="37"/>
  <c r="E3" i="37"/>
  <c r="G2" i="37"/>
  <c r="M23" i="1" l="1"/>
  <c r="M22" i="1"/>
  <c r="M21" i="1"/>
  <c r="M20" i="1"/>
  <c r="M24" i="1"/>
  <c r="L24" i="1"/>
  <c r="L23" i="1"/>
  <c r="L22" i="1"/>
  <c r="L21" i="1"/>
  <c r="L20" i="1"/>
  <c r="B12" i="1"/>
  <c r="M18" i="1"/>
  <c r="L18" i="1"/>
  <c r="L15" i="1"/>
  <c r="M9" i="1"/>
  <c r="L10" i="1"/>
  <c r="L12" i="1"/>
  <c r="M12" i="1"/>
  <c r="M17" i="1"/>
  <c r="L17" i="1"/>
  <c r="M14" i="1"/>
  <c r="L9" i="1"/>
  <c r="L14" i="1"/>
  <c r="L7" i="1"/>
  <c r="L5" i="1"/>
  <c r="M16" i="1"/>
  <c r="M11" i="1"/>
  <c r="L16" i="1"/>
  <c r="L11" i="1"/>
  <c r="M15" i="1"/>
  <c r="M19" i="1"/>
  <c r="L19" i="1"/>
  <c r="M13" i="1"/>
  <c r="M8" i="1"/>
  <c r="M6" i="1"/>
  <c r="L8" i="1"/>
  <c r="M10" i="1"/>
  <c r="L13" i="1"/>
  <c r="L6" i="1"/>
  <c r="M7" i="1"/>
  <c r="M5" i="1"/>
</calcChain>
</file>

<file path=xl/sharedStrings.xml><?xml version="1.0" encoding="utf-8"?>
<sst xmlns="http://schemas.openxmlformats.org/spreadsheetml/2006/main" count="18356" uniqueCount="6720">
  <si>
    <t>Influence Graph — live analysis</t>
  </si>
  <si>
    <t>Every figure is a formula over the games and connections sheets. Add a row to either and these update on open.</t>
  </si>
  <si>
    <t>Measure</t>
  </si>
  <si>
    <t>Value</t>
  </si>
  <si>
    <t>What it means</t>
  </si>
  <si>
    <t>Degree</t>
  </si>
  <si>
    <t>Games</t>
  </si>
  <si>
    <t>Genre</t>
  </si>
  <si>
    <t>Rank</t>
  </si>
  <si>
    <t>Game</t>
  </si>
  <si>
    <t>Year</t>
  </si>
  <si>
    <t>Connections</t>
  </si>
  <si>
    <t>Edge span</t>
  </si>
  <si>
    <t>Nodes in the graph</t>
  </si>
  <si>
    <t>0</t>
  </si>
  <si>
    <t>Action</t>
  </si>
  <si>
    <t>Authored influence edges</t>
  </si>
  <si>
    <t>1</t>
  </si>
  <si>
    <t>Strategy</t>
  </si>
  <si>
    <t>Average degree</t>
  </si>
  <si>
    <t>Connections per game — under 3 means a sparse graph</t>
  </si>
  <si>
    <t>2</t>
  </si>
  <si>
    <t>Deckbuilder</t>
  </si>
  <si>
    <t>Median degree</t>
  </si>
  <si>
    <t>Half of all games sit at or below this</t>
  </si>
  <si>
    <t>3</t>
  </si>
  <si>
    <t>Traditional</t>
  </si>
  <si>
    <t>Largest hub</t>
  </si>
  <si>
    <t>Degree of the single most connected game</t>
  </si>
  <si>
    <t>4</t>
  </si>
  <si>
    <t>Leaves (degree 1)</t>
  </si>
  <si>
    <t>Dead ends — one way in, the same way out</t>
  </si>
  <si>
    <t>5</t>
  </si>
  <si>
    <t>Isolated (degree 0)</t>
  </si>
  <si>
    <t>Unreachable; can never appear on a route</t>
  </si>
  <si>
    <t>6-9</t>
  </si>
  <si>
    <t>Leaves + isolated</t>
  </si>
  <si>
    <t>Share of the map that carries no routing information</t>
  </si>
  <si>
    <t>10-24</t>
  </si>
  <si>
    <t>Backward in time</t>
  </si>
  <si>
    <t>MUST BE 0 — an influence cannot point at an older game</t>
  </si>
  <si>
    <t>25+</t>
  </si>
  <si>
    <t>Same year</t>
  </si>
  <si>
    <t>Legal: a demo influencing something shipped the same year</t>
  </si>
  <si>
    <t>Median edge span</t>
  </si>
  <si>
    <t>Years between an influencer and what it influenced</t>
  </si>
  <si>
    <t>Dev/Series flagged</t>
  </si>
  <si>
    <t>Sequel / same-devs links, distinct from plain influence</t>
  </si>
  <si>
    <t>11-20</t>
  </si>
  <si>
    <t>With a source</t>
  </si>
  <si>
    <t>Connections carrying a URL or note as evidence</t>
  </si>
  <si>
    <t>21+</t>
  </si>
  <si>
    <t>Name</t>
  </si>
  <si>
    <t>Type</t>
  </si>
  <si>
    <t>Connected?</t>
  </si>
  <si>
    <t>Influencer?</t>
  </si>
  <si>
    <t>Tags</t>
  </si>
  <si>
    <t>File</t>
  </si>
  <si>
    <t>Owned</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</si>
  <si>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</si>
  <si>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</si>
  <si>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</si>
  <si>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</si>
  <si>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</si>
  <si>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</si>
  <si>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</si>
  <si>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</si>
  <si>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</si>
  <si>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</si>
  <si>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</si>
  <si>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</si>
  <si>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</si>
  <si>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</si>
  <si>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</si>
  <si>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</si>
  <si>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</si>
  <si>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</si>
  <si>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</si>
  <si>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</si>
  <si>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</si>
  <si>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</si>
  <si>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</si>
  <si>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</si>
  <si>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</si>
  <si>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</si>
  <si>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</si>
  <si>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</si>
  <si>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</si>
  <si>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</si>
  <si>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</si>
  <si>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</si>
  <si>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</si>
  <si>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</si>
  <si>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</si>
  <si>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</si>
  <si>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</si>
  <si>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</si>
  <si>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</si>
  <si>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</si>
  <si>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</si>
  <si>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</si>
  <si>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</si>
  <si>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</si>
  <si>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</si>
  <si>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</si>
  <si>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</si>
  <si>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</si>
  <si>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</si>
  <si>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</si>
  <si>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</si>
  <si>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</si>
  <si>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</si>
  <si>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</si>
  <si>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</si>
  <si>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</si>
  <si>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</si>
  <si>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</si>
  <si>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</si>
  <si>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</si>
  <si>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</si>
  <si>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</si>
  <si>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</si>
  <si>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</si>
  <si>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</si>
  <si>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</si>
  <si>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</si>
  <si>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</si>
  <si>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</si>
  <si>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</si>
  <si>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</si>
  <si>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</si>
  <si>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</si>
  <si>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</si>
  <si>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</si>
  <si>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</si>
  <si>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</si>
  <si>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</si>
  <si>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</si>
  <si>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</si>
  <si>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</si>
  <si>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</si>
  <si>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</si>
  <si>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</si>
  <si>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</si>
  <si>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</si>
  <si>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</si>
  <si>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</si>
  <si>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</si>
  <si>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</si>
  <si>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</si>
  <si>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</si>
  <si>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</si>
  <si>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</si>
  <si>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</si>
  <si>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</si>
  <si>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</si>
  <si>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</si>
  <si>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</si>
  <si>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</si>
  <si>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</si>
  <si>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</si>
  <si>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</si>
  <si>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</si>
  <si>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</si>
  <si>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</si>
  <si>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</si>
  <si>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</si>
  <si>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</si>
  <si>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</si>
  <si>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</si>
  <si>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</si>
  <si>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</si>
  <si>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</si>
  <si>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</si>
  <si>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</si>
  <si>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</si>
  <si>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</si>
  <si>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</si>
  <si>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</si>
  <si>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</si>
  <si>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</si>
  <si>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</si>
  <si>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</si>
  <si>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</si>
  <si>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</si>
  <si>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</si>
  <si>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</si>
  <si>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</si>
  <si>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</si>
  <si>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</si>
  <si>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</si>
  <si>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</si>
  <si>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</si>
  <si>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</si>
  <si>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</si>
  <si>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</si>
  <si>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</si>
  <si>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</si>
  <si>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</si>
  <si>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</si>
  <si>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</si>
  <si>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</si>
  <si>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</si>
  <si>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</si>
  <si>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</si>
  <si>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</si>
  <si>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</si>
  <si>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</si>
  <si>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</si>
  <si>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</si>
  <si>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</si>
  <si>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</si>
  <si>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</si>
  <si>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</si>
  <si>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</si>
  <si>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</si>
  <si>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</si>
  <si>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</si>
  <si>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</si>
  <si>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</si>
  <si>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</si>
  <si>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</si>
  <si>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</si>
  <si>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</si>
  <si>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</si>
  <si>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</si>
  <si>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</si>
  <si>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</si>
  <si>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</si>
  <si>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</si>
  <si>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</si>
  <si>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</si>
  <si>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</si>
  <si>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</si>
  <si>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</si>
  <si>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</si>
  <si>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</si>
  <si>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</si>
  <si>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</si>
  <si>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</si>
  <si>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</si>
  <si>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</si>
  <si>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</si>
  <si>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</si>
  <si>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</si>
  <si>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</si>
  <si>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</si>
  <si>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</si>
  <si>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</si>
  <si>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</si>
  <si>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</si>
  <si>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</si>
  <si>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</si>
  <si>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</si>
  <si>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</si>
  <si>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</si>
  <si>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</si>
  <si>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</si>
  <si>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</si>
  <si>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</si>
  <si>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</si>
  <si>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</si>
  <si>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</si>
  <si>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</si>
  <si>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</si>
  <si>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</si>
  <si>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</si>
  <si>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</si>
  <si>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</si>
  <si>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</si>
  <si>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</si>
  <si>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</si>
  <si>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</si>
  <si>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</si>
  <si>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</si>
  <si>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</si>
  <si>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</si>
  <si>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</si>
  <si>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</si>
  <si>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</si>
  <si>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</si>
  <si>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</si>
  <si>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</si>
  <si>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</si>
  <si>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</si>
  <si>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</si>
  <si>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</si>
  <si>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</si>
  <si>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</si>
  <si>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</si>
  <si>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</si>
  <si>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</si>
  <si>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</si>
  <si>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</si>
  <si>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</si>
  <si>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</si>
  <si>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</si>
  <si>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</si>
  <si>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</si>
  <si>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</si>
  <si>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</si>
  <si>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</si>
  <si>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</si>
  <si>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</si>
  <si>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</si>
  <si>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</si>
  <si>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</si>
  <si>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</si>
  <si>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</si>
  <si>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</si>
  <si>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</si>
  <si>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</si>
  <si>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</si>
  <si>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</si>
  <si>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</si>
  <si>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</si>
  <si>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</si>
  <si>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</si>
  <si>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</si>
  <si>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</si>
  <si>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</si>
  <si>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</si>
  <si>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</si>
  <si>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</si>
  <si>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</si>
  <si>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</si>
  <si>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</si>
  <si>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</si>
  <si>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</si>
  <si>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</si>
  <si>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</si>
  <si>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</si>
  <si>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</si>
  <si>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</si>
  <si>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</si>
  <si>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</si>
  <si>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</si>
  <si>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</si>
  <si>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</si>
  <si>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</si>
  <si>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</si>
  <si>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</si>
  <si>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</si>
  <si>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</si>
  <si>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</si>
  <si>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</si>
  <si>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</si>
  <si>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</si>
  <si>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</si>
  <si>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</si>
  <si>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</si>
  <si>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</si>
  <si>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</si>
  <si>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</si>
  <si>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</si>
  <si>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</si>
  <si>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</si>
  <si>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</si>
  <si>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</si>
  <si>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</si>
  <si>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</si>
  <si>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</si>
  <si>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</si>
  <si>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</si>
  <si>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</si>
  <si>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</si>
  <si>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</si>
  <si>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</si>
  <si>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</si>
  <si>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</si>
  <si>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</si>
  <si>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</si>
  <si>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</si>
  <si>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</si>
  <si>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</si>
  <si>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</si>
  <si>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</si>
  <si>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</si>
  <si>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</si>
  <si>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</si>
  <si>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</si>
  <si>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</si>
  <si>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</si>
  <si>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</si>
  <si>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</si>
  <si>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</si>
  <si>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</si>
  <si>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</si>
  <si>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</si>
  <si>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</si>
  <si>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</si>
  <si>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</si>
  <si>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</si>
  <si>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</si>
  <si>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</si>
  <si>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</si>
  <si>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</si>
  <si>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</si>
  <si>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</si>
  <si>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</si>
  <si>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</si>
  <si>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</si>
  <si>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</si>
  <si>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</si>
  <si>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</si>
  <si>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</si>
  <si>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</si>
  <si>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</si>
  <si>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</si>
  <si>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</si>
  <si>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</si>
  <si>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</si>
  <si>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</si>
  <si>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</si>
  <si>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</si>
  <si>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</si>
  <si>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</si>
  <si>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</si>
  <si>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</si>
  <si>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</si>
  <si>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</si>
  <si>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</si>
  <si>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</si>
  <si>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</si>
  <si>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</si>
  <si>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</si>
  <si>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</si>
  <si>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</si>
  <si>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</si>
  <si>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</si>
  <si>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</si>
  <si>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</si>
  <si>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</si>
  <si>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</si>
  <si>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</si>
  <si>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</si>
  <si>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</si>
  <si>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</si>
  <si>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</si>
  <si>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</si>
  <si>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</si>
  <si>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</si>
  <si>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</si>
  <si>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</si>
  <si>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</si>
  <si>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</si>
  <si>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</si>
  <si>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</si>
  <si>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</si>
  <si>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</si>
  <si>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</si>
  <si>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</si>
  <si>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</si>
  <si>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</si>
  <si>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</si>
  <si>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</si>
  <si>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</si>
  <si>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</si>
  <si>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</si>
  <si>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</si>
  <si>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</si>
  <si>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</si>
  <si>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</si>
  <si>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</si>
  <si>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</si>
  <si>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</si>
  <si>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</si>
  <si>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</si>
  <si>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</si>
  <si>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</si>
  <si>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</si>
  <si>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</si>
  <si>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</si>
  <si>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</si>
  <si>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</si>
  <si>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</si>
  <si>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</si>
  <si>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</si>
  <si>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</si>
  <si>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</si>
  <si>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</si>
  <si>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</si>
  <si>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</si>
  <si>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</si>
  <si>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</si>
  <si>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</si>
  <si>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</si>
  <si>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</si>
  <si>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</si>
  <si>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</si>
  <si>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</si>
  <si>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</si>
  <si>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</si>
  <si>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</si>
  <si>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</si>
  <si>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</si>
  <si>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</si>
  <si>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</si>
  <si>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</si>
  <si>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</si>
  <si>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</si>
  <si>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</si>
  <si>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</si>
  <si>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</si>
  <si>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</si>
  <si>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</si>
  <si>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</si>
  <si>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</si>
  <si>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</si>
  <si>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</si>
  <si>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</si>
  <si>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</si>
  <si>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</si>
  <si>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</si>
  <si>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</si>
  <si>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</si>
  <si>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</si>
  <si>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</si>
  <si>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</si>
  <si>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</si>
  <si>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</si>
  <si>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</si>
  <si>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</si>
  <si>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</si>
  <si>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</si>
  <si>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</si>
  <si>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</si>
  <si>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</si>
  <si>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</si>
  <si>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</si>
  <si>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</si>
  <si>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</si>
  <si>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</si>
  <si>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</si>
  <si>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</si>
  <si>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</si>
  <si>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</si>
  <si>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</si>
  <si>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</si>
  <si>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</si>
  <si>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</si>
  <si>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</si>
  <si>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</si>
  <si>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</si>
  <si>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</si>
  <si>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</si>
  <si>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</si>
  <si>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</si>
  <si>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</si>
  <si>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</si>
  <si>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</si>
  <si>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</si>
  <si>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</si>
  <si>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</si>
  <si>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</si>
  <si>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</si>
  <si>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</si>
  <si>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</si>
  <si>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</si>
  <si>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</si>
  <si>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</si>
  <si>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</si>
  <si>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</si>
  <si>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</si>
  <si>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</si>
  <si>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</si>
  <si>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</si>
  <si>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</si>
  <si>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</si>
  <si>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</si>
  <si>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</si>
  <si>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</si>
  <si>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</si>
  <si>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</si>
  <si>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</si>
  <si>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</si>
  <si>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</si>
  <si>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</si>
  <si>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</si>
  <si>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</si>
  <si>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</si>
  <si>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</si>
  <si>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</si>
  <si>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</si>
  <si>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</si>
  <si>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</si>
  <si>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</si>
  <si>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</si>
  <si>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</si>
  <si>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</si>
  <si>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</si>
  <si>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</si>
  <si>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</si>
  <si>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</si>
  <si>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</si>
  <si>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</si>
  <si>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</si>
  <si>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</si>
  <si>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</si>
  <si>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</si>
  <si>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</si>
  <si>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</si>
  <si>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</si>
  <si>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</si>
  <si>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</si>
  <si>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</si>
  <si>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</si>
  <si>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</si>
  <si>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</si>
  <si>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</si>
  <si>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</si>
  <si>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</si>
  <si>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</si>
  <si>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</si>
  <si>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</si>
  <si>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</si>
  <si>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</si>
  <si>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</si>
  <si>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</si>
  <si>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</si>
  <si>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</si>
  <si>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</si>
  <si>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</si>
  <si>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</si>
  <si>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</si>
  <si>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</si>
  <si>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</si>
  <si>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</si>
  <si>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</si>
  <si>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</si>
  <si>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</si>
  <si>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</si>
  <si>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</si>
  <si>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</si>
  <si>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</si>
  <si>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</si>
  <si>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</si>
  <si>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</si>
  <si>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</si>
  <si>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</si>
  <si>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</si>
  <si>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</si>
  <si>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</si>
  <si>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</si>
  <si>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</si>
  <si>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</si>
  <si>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</si>
  <si>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</si>
  <si>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</si>
  <si>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</si>
  <si>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</si>
  <si>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</si>
  <si>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</si>
  <si>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</si>
  <si>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</si>
  <si>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</si>
  <si>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</si>
  <si>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</si>
  <si>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</si>
  <si>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</si>
  <si>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</si>
  <si>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</si>
  <si>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</si>
  <si>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</si>
  <si>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</si>
  <si>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</si>
  <si>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</si>
  <si>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</si>
  <si>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</si>
  <si>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</si>
  <si>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</si>
  <si>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</si>
  <si>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</si>
  <si>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</si>
  <si>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</si>
  <si>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</si>
  <si>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</si>
  <si>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</si>
  <si>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</si>
  <si>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</si>
  <si>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</si>
  <si>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</si>
  <si>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</si>
  <si>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</si>
  <si>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</si>
  <si>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</si>
  <si>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</si>
  <si>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</si>
  <si>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</si>
  <si>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</si>
  <si>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</si>
  <si>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</si>
  <si>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</si>
  <si>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</si>
  <si>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</si>
  <si>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</si>
  <si>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</si>
  <si>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</si>
  <si>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</si>
  <si>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</si>
  <si>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</si>
  <si>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</si>
  <si>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</si>
  <si>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</si>
  <si>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</si>
  <si>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</si>
  <si>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</si>
  <si>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</si>
  <si>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</si>
  <si>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</si>
  <si>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</si>
  <si>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</si>
  <si>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</si>
  <si>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</si>
  <si>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</si>
  <si>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</si>
  <si>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</si>
  <si>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</si>
  <si>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</si>
  <si>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</si>
  <si>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</si>
  <si>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</si>
  <si>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</si>
  <si>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</si>
  <si>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</si>
  <si>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</si>
  <si>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</si>
  <si>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</si>
  <si>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</si>
  <si>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</si>
  <si>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</si>
  <si>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</si>
  <si>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</si>
  <si>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</si>
  <si>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</si>
  <si>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</si>
  <si>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</si>
  <si>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</si>
  <si>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</si>
  <si>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</si>
  <si>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</si>
  <si>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</si>
  <si>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</si>
  <si>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</si>
  <si>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</si>
  <si>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</si>
  <si>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</si>
  <si>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</si>
  <si>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</si>
  <si>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</si>
  <si>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</si>
  <si>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</si>
  <si>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</si>
  <si>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</si>
  <si>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</si>
  <si>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</si>
  <si>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</si>
  <si>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</si>
  <si>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</si>
  <si>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</si>
  <si>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</si>
  <si>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</si>
  <si>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</si>
  <si>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</si>
  <si>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</si>
  <si>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</si>
  <si>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</si>
  <si>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</si>
  <si>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</si>
  <si>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</si>
  <si>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</si>
  <si>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</si>
  <si>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</si>
  <si>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</si>
  <si>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</si>
  <si>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</si>
  <si>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</si>
  <si>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</si>
  <si>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</si>
  <si>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</si>
  <si>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</si>
  <si>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</si>
  <si>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</si>
  <si>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</si>
  <si>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</si>
  <si>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</si>
  <si>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</si>
  <si>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</si>
  <si>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</si>
  <si>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</si>
  <si>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</si>
  <si>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</si>
  <si>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</si>
  <si>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</si>
  <si>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</si>
  <si>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</si>
  <si>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</si>
  <si>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</si>
  <si>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</si>
  <si>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</si>
  <si>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</si>
  <si>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</si>
  <si>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</si>
  <si>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</si>
  <si>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</si>
  <si>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</si>
  <si>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</si>
  <si>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</si>
  <si>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</si>
  <si>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</si>
  <si>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</si>
  <si>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</si>
  <si>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</si>
  <si>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</si>
  <si>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</si>
  <si>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</si>
  <si>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</si>
  <si>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</si>
  <si>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</si>
  <si>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</si>
  <si>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</si>
  <si>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</si>
  <si>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</si>
  <si>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</si>
  <si>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</si>
  <si>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</si>
  <si>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</si>
  <si>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</si>
  <si>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</si>
  <si>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</si>
  <si>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</si>
  <si>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</si>
  <si>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</si>
  <si>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</si>
  <si>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</si>
  <si>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</si>
  <si>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</si>
  <si>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</si>
  <si>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</si>
  <si>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</si>
  <si>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</si>
  <si>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</si>
  <si>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</si>
  <si>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</si>
  <si>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</si>
  <si>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</si>
  <si>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</si>
  <si>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</si>
  <si>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</si>
  <si>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</si>
  <si>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</si>
  <si>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</si>
  <si>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</si>
  <si>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</si>
  <si>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</si>
  <si>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</si>
  <si>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</si>
  <si>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</si>
  <si>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</si>
  <si>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</si>
  <si>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</si>
  <si>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</si>
  <si>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</si>
  <si>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</si>
  <si>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</si>
  <si>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</si>
  <si>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</si>
  <si>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</si>
  <si>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</si>
  <si>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</si>
  <si>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</si>
  <si>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</si>
  <si>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</si>
  <si>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</si>
  <si>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</si>
  <si>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</si>
  <si>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</si>
  <si>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</si>
  <si>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</si>
  <si>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</si>
  <si>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</si>
  <si>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</si>
  <si>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</si>
  <si>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</si>
  <si>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</si>
  <si>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</si>
  <si>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</si>
  <si>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</si>
  <si>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</si>
  <si>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</si>
  <si>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</si>
  <si>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</si>
  <si>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</si>
  <si>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</si>
  <si>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</si>
  <si>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</si>
  <si>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</si>
  <si>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</si>
  <si>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</si>
  <si>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</si>
  <si>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</si>
  <si>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</si>
  <si>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</si>
  <si>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</si>
  <si>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</si>
  <si>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</si>
  <si>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</si>
  <si>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</si>
  <si>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</si>
  <si>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</si>
  <si>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</si>
  <si>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</si>
  <si>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</si>
  <si>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</si>
  <si>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</si>
  <si>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</si>
  <si>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</si>
  <si>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</si>
  <si>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</si>
  <si>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</si>
  <si>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</si>
  <si>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</si>
  <si>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</si>
  <si>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</si>
  <si>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</si>
  <si>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</si>
  <si>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</si>
  <si>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</si>
  <si>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</si>
  <si>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</si>
  <si>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</si>
  <si>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</si>
  <si>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</si>
  <si>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</si>
  <si>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mecha</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</si>
  <si>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</si>
  <si>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</si>
  <si>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</si>
  <si>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</si>
  <si>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</si>
  <si>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</si>
  <si>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</si>
  <si>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</si>
  <si>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</si>
  <si>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</si>
  <si>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</si>
  <si>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</si>
  <si>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</si>
  <si>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</si>
  <si>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</si>
  <si>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</si>
  <si>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</si>
  <si>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</si>
  <si>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</si>
  <si>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</si>
  <si>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</si>
  <si>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</si>
  <si>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</si>
  <si>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</si>
  <si>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</si>
  <si>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</si>
  <si>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</si>
  <si>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</si>
  <si>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</si>
  <si>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</si>
  <si>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</si>
  <si>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</si>
  <si>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</si>
  <si>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</si>
  <si>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</si>
  <si>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</si>
  <si>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</si>
  <si>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</si>
  <si>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</si>
  <si>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</si>
  <si>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</si>
  <si>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</si>
  <si>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</si>
  <si>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</si>
  <si>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</si>
  <si>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</si>
  <si>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</si>
  <si>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</si>
  <si>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</si>
  <si>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</si>
  <si>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</si>
  <si>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</si>
  <si>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</si>
  <si>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</si>
  <si>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</si>
  <si>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</si>
  <si>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</si>
  <si>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</si>
  <si>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</si>
  <si>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</si>
  <si>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</si>
  <si>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</si>
  <si>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</si>
  <si>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</si>
  <si>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</si>
  <si>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</si>
  <si>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</si>
  <si>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</si>
  <si>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</si>
  <si>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</si>
  <si>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</si>
  <si>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</si>
  <si>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</si>
  <si>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</si>
  <si>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</si>
  <si>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</si>
  <si>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</si>
  <si>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</si>
  <si>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</si>
  <si>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</si>
  <si>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</si>
  <si>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</si>
  <si>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</si>
  <si>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</si>
  <si>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</si>
  <si>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</si>
  <si>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</si>
  <si>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</si>
  <si>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</si>
  <si>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</si>
  <si>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</si>
  <si>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</si>
  <si>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</si>
  <si>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</si>
  <si>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</si>
  <si>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</si>
  <si>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</si>
  <si>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</si>
  <si>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</si>
  <si>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</si>
  <si>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</si>
  <si>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</si>
  <si>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</si>
  <si>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</si>
  <si>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</si>
  <si>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</si>
  <si>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</si>
  <si>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</si>
  <si>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</si>
  <si>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</si>
  <si>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</si>
  <si>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</si>
  <si>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</si>
  <si>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</si>
  <si>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</si>
  <si>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</si>
  <si>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</si>
  <si>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</si>
  <si>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</si>
  <si>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</si>
  <si>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</si>
  <si>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</si>
  <si>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</si>
  <si>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</si>
  <si>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</si>
  <si>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</si>
  <si>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</si>
  <si>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</si>
  <si>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</si>
  <si>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</si>
  <si>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</si>
  <si>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</si>
  <si>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</si>
  <si>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</si>
  <si>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</si>
  <si>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</si>
  <si>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</si>
  <si>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</si>
  <si>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</si>
  <si>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</si>
  <si>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</si>
  <si>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</si>
  <si>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</si>
  <si>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</si>
  <si>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</si>
  <si>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</si>
  <si>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</si>
  <si>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</si>
  <si>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</si>
  <si>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</si>
  <si>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</si>
  <si>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</si>
  <si>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</si>
  <si>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</si>
  <si>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</si>
  <si>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</si>
  <si>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</si>
  <si>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</si>
  <si>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</si>
  <si>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</si>
  <si>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</si>
  <si>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</si>
  <si>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</si>
  <si>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</si>
  <si>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</si>
  <si>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</si>
  <si>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</si>
  <si>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</si>
  <si>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</si>
  <si>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</si>
  <si>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</si>
  <si>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</si>
  <si>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</si>
  <si>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</si>
  <si>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</si>
  <si>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</si>
  <si>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</si>
  <si>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</si>
  <si>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</si>
  <si>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</si>
  <si>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</si>
  <si>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</si>
  <si>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</si>
  <si>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</si>
  <si>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</si>
  <si>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</si>
  <si>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</si>
  <si>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</si>
  <si>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</si>
  <si>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</si>
  <si>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</si>
  <si>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</si>
  <si>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</si>
  <si>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</si>
  <si>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</si>
  <si>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</si>
  <si>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</si>
  <si>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</si>
  <si>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</si>
  <si>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</si>
  <si>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</si>
  <si>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</si>
  <si>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</si>
  <si>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</si>
  <si>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</si>
  <si>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</si>
  <si>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</si>
  <si>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</si>
  <si>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</si>
  <si>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</si>
  <si>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</si>
  <si>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</si>
  <si>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</si>
  <si>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</si>
  <si>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</si>
  <si>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</si>
  <si>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</si>
  <si>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</si>
  <si>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</si>
  <si>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</si>
  <si>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</si>
  <si>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</si>
  <si>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</si>
  <si>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</si>
  <si>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</si>
  <si>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</si>
  <si>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</si>
  <si>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</si>
  <si>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</si>
  <si>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</si>
  <si>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</si>
  <si>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</si>
  <si>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</si>
  <si>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</si>
  <si>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</si>
  <si>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</si>
  <si>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</si>
  <si>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</si>
  <si>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</si>
  <si>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</si>
  <si>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</si>
  <si>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</si>
  <si>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</si>
  <si>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</si>
  <si>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</si>
  <si>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</si>
  <si>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</si>
  <si>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</si>
  <si>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</si>
  <si>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</si>
  <si>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</si>
  <si>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</si>
  <si>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</si>
  <si>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</si>
  <si>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</si>
  <si>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</si>
  <si>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</si>
  <si>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</si>
  <si>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</si>
  <si>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</si>
  <si>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</si>
  <si>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</si>
  <si>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</si>
  <si>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</si>
  <si>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</si>
  <si>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</si>
  <si>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</si>
  <si>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</si>
  <si>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</si>
  <si>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</si>
  <si>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</si>
  <si>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</si>
  <si>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</si>
  <si>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</si>
  <si>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</si>
  <si>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</si>
  <si>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</si>
  <si>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</si>
  <si>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</si>
  <si>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</si>
  <si>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</si>
  <si>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</si>
  <si>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</si>
  <si>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</si>
  <si>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</si>
  <si>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</si>
  <si>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</si>
  <si>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</si>
  <si>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</si>
  <si>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</si>
  <si>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</si>
  <si>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</si>
  <si>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</si>
  <si>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</si>
  <si>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</si>
  <si>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</si>
  <si>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</si>
  <si>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</si>
  <si>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</si>
  <si>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</si>
  <si>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</si>
  <si>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</si>
  <si>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</si>
  <si>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</si>
  <si>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</si>
  <si>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</si>
  <si>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</si>
  <si>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</si>
  <si>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</si>
  <si>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</si>
  <si>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</si>
  <si>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</si>
  <si>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</si>
  <si>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</si>
  <si>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</si>
  <si>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</si>
  <si>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</si>
  <si>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</si>
  <si>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</si>
  <si>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</si>
  <si>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</si>
  <si>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</si>
  <si>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</si>
  <si>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</si>
  <si>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</si>
  <si>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</si>
  <si>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</si>
  <si>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</si>
  <si>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</si>
  <si>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</si>
  <si>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</si>
  <si>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</si>
  <si>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</si>
  <si>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</si>
  <si>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</si>
  <si>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</si>
  <si>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</si>
  <si>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</si>
  <si>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</si>
  <si>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</si>
  <si>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</si>
  <si>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</si>
  <si>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</si>
  <si>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</si>
  <si>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</si>
  <si>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</si>
  <si>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</si>
  <si>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</si>
  <si>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</si>
  <si>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</si>
  <si>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</si>
  <si>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</si>
  <si>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</si>
  <si>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</si>
  <si>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</si>
  <si>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</si>
  <si>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</si>
  <si>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</si>
  <si>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</si>
  <si>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</si>
  <si>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</si>
  <si>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</si>
  <si>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</si>
  <si>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</si>
  <si>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</si>
  <si>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</si>
  <si>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</si>
  <si>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</si>
  <si>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</si>
  <si>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</si>
  <si>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</si>
  <si>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</si>
  <si>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</si>
  <si>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</si>
  <si>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</si>
  <si>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</si>
  <si>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</si>
  <si>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</si>
  <si>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</si>
  <si>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</si>
  <si>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</si>
  <si>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</si>
  <si>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</si>
  <si>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</si>
  <si>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</si>
  <si>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</si>
  <si>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</si>
  <si>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</si>
  <si>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</si>
  <si>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</si>
  <si>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</si>
  <si>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</si>
  <si>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</si>
  <si>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</si>
  <si>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</si>
  <si>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</si>
  <si>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</si>
  <si>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</si>
  <si>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</si>
  <si>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</si>
  <si>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</si>
  <si>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</si>
  <si>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</si>
  <si>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</si>
  <si>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</si>
  <si>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</si>
  <si>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</si>
  <si>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</si>
  <si>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</si>
  <si>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</si>
  <si>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</si>
  <si>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</si>
  <si>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</si>
  <si>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</si>
  <si>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</si>
  <si>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</si>
  <si>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</si>
  <si>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</si>
  <si>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</si>
  <si>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</si>
  <si>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</si>
  <si>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</si>
  <si>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</si>
  <si>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</si>
  <si>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</si>
  <si>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</si>
  <si>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</si>
  <si>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</si>
  <si>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</si>
  <si>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</si>
  <si>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</si>
  <si>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</si>
  <si>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</si>
  <si>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</si>
  <si>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</si>
  <si>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</si>
  <si>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</si>
  <si>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</si>
  <si>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</si>
  <si>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</si>
  <si>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</si>
  <si>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</si>
  <si>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</si>
  <si>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</si>
  <si>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</si>
  <si>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</si>
  <si>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</si>
  <si>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</si>
  <si>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</si>
  <si>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</si>
  <si>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</si>
  <si>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</si>
  <si>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</si>
  <si>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</si>
  <si>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</si>
  <si>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</si>
  <si>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</si>
  <si>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</si>
  <si>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</si>
  <si>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</si>
  <si>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</si>
  <si>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</si>
  <si>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</si>
  <si>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</si>
  <si>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</si>
  <si>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</si>
  <si>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</si>
  <si>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</si>
  <si>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</si>
  <si>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</si>
  <si>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</si>
  <si>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</si>
  <si>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</si>
  <si>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</si>
  <si>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</si>
  <si>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</si>
  <si>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</si>
  <si>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</si>
  <si>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</si>
  <si>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</si>
  <si>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</si>
  <si>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</si>
  <si>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</si>
  <si>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</si>
  <si>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</si>
  <si>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</si>
  <si>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</si>
  <si>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</si>
  <si>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</si>
  <si>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</si>
  <si>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</si>
  <si>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</si>
  <si>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</si>
  <si>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</si>
  <si>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</si>
  <si>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</si>
  <si>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</si>
  <si>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</si>
  <si>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</si>
  <si>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</si>
  <si>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</si>
  <si>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</si>
  <si>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</si>
  <si>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</si>
  <si>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</si>
  <si>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</si>
  <si>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</si>
  <si>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</si>
  <si>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</si>
  <si>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</si>
  <si>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</si>
  <si>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</si>
  <si>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</si>
  <si>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</si>
  <si>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</si>
  <si>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</si>
  <si>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</si>
  <si>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</si>
  <si>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</si>
  <si>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</si>
  <si>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</si>
  <si>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</si>
  <si>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</si>
  <si>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</si>
  <si>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</si>
  <si>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</si>
  <si>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</si>
  <si>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</si>
  <si>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</si>
  <si>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</si>
  <si>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</si>
  <si>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</si>
  <si>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</si>
  <si>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</si>
  <si>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</si>
  <si>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</si>
  <si>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</si>
  <si>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</si>
  <si>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</si>
  <si>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</si>
  <si>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</si>
  <si>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</si>
  <si>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</si>
  <si>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</si>
  <si>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</si>
  <si>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</si>
  <si>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</si>
  <si>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</si>
  <si>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</si>
  <si>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</si>
  <si>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</si>
  <si>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</si>
  <si>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</si>
  <si>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</si>
  <si>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</si>
  <si>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</si>
  <si>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</si>
  <si>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</si>
  <si>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</si>
  <si>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</si>
  <si>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</si>
  <si>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</si>
  <si>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</si>
  <si>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</si>
  <si>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</si>
  <si>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</si>
  <si>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</si>
  <si>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</si>
  <si>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</si>
  <si>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</si>
  <si>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</si>
  <si>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</si>
  <si>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</si>
  <si>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</si>
  <si>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</si>
  <si>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</si>
  <si>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</si>
  <si>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</si>
  <si>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</si>
  <si>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</si>
  <si>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</si>
  <si>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</si>
  <si>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</si>
  <si>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</si>
  <si>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</si>
  <si>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</si>
  <si>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</si>
  <si>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</si>
  <si>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</si>
  <si>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</si>
  <si>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</si>
  <si>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</si>
  <si>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</si>
  <si>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</si>
  <si>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</si>
  <si>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</si>
  <si>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</si>
  <si>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</si>
  <si>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</si>
  <si>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</si>
  <si>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</si>
  <si>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</si>
  <si>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</si>
  <si>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</si>
  <si>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</si>
  <si>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</si>
  <si>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</si>
  <si>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</si>
  <si>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</si>
  <si>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</si>
  <si>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</si>
  <si>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</si>
  <si>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</si>
  <si>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</si>
  <si>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</si>
  <si>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</si>
  <si>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</si>
  <si>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</si>
  <si>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</si>
  <si>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</si>
  <si>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</si>
  <si>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</si>
  <si>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</si>
  <si>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</si>
  <si>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</si>
  <si>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</si>
  <si>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</si>
  <si>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</si>
  <si>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</si>
  <si>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</si>
  <si>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</si>
  <si>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</si>
  <si>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</si>
  <si>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</si>
  <si>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</si>
  <si>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</si>
  <si>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</si>
  <si>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</si>
  <si>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</si>
  <si>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</si>
  <si>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</si>
  <si>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</si>
  <si>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</si>
  <si>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</si>
  <si>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</si>
  <si>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</si>
  <si>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</si>
  <si>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</si>
  <si>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</si>
  <si>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</si>
  <si>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</si>
  <si>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</si>
  <si>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</si>
  <si>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</si>
  <si>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</si>
  <si>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</si>
  <si>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</si>
  <si>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</si>
  <si>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</si>
  <si>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</si>
  <si>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</si>
  <si>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</si>
  <si>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</si>
  <si>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</si>
  <si>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</si>
  <si>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</si>
  <si>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</si>
  <si>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</si>
  <si>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</si>
  <si>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</si>
  <si>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</si>
  <si>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</si>
  <si>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</si>
  <si>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</si>
  <si>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</si>
  <si>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</si>
  <si>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</si>
  <si>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</si>
  <si>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</si>
  <si>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</si>
  <si>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</si>
  <si>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</si>
  <si>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</si>
  <si>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</si>
  <si>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</si>
  <si>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</si>
  <si>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</si>
  <si>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</si>
  <si>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</si>
  <si>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</si>
  <si>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</si>
  <si>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</si>
  <si>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</si>
  <si>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</si>
  <si>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</si>
  <si>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</si>
  <si>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</si>
  <si>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</si>
  <si>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</si>
  <si>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</si>
  <si>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</si>
  <si>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</si>
  <si>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</si>
  <si>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</si>
  <si>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</si>
  <si>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</si>
  <si>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</si>
  <si>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</si>
  <si>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</si>
  <si>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</si>
  <si>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</si>
  <si>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</si>
  <si>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</si>
  <si>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</si>
  <si>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</si>
  <si>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</si>
  <si>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</si>
  <si>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</si>
  <si>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</si>
  <si>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</si>
  <si>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</si>
  <si>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</si>
  <si>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</si>
  <si>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</si>
  <si>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</si>
  <si>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</si>
  <si>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</si>
  <si>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</si>
  <si>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</si>
  <si>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</si>
  <si>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</si>
  <si>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</si>
  <si>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</si>
  <si>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</si>
  <si>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</si>
  <si>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</si>
  <si>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</si>
  <si>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</si>
  <si>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</si>
  <si>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</si>
  <si>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</si>
  <si>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</si>
  <si>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</si>
  <si>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</si>
  <si>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</si>
  <si>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</si>
  <si>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</si>
  <si>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</si>
  <si>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</si>
  <si>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</si>
  <si>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</si>
  <si>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</si>
  <si>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</si>
  <si>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</si>
  <si>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</si>
  <si>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</si>
  <si>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</si>
  <si>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</si>
  <si>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</si>
  <si>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</si>
  <si>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</si>
  <si>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</si>
  <si>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</si>
  <si>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</si>
  <si>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</si>
  <si>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</si>
  <si>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</si>
  <si>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</si>
  <si>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</si>
  <si>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</si>
  <si>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</si>
  <si>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</si>
  <si>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</si>
  <si>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</si>
  <si>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</si>
  <si>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</si>
  <si>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</si>
  <si>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</si>
  <si>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</si>
  <si>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</si>
  <si>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</si>
  <si>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</si>
  <si>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</si>
  <si>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</si>
  <si>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</si>
  <si>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</si>
  <si>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</si>
  <si>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</si>
  <si>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</si>
  <si>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</si>
  <si>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</si>
  <si>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</si>
  <si>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</si>
  <si>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</si>
  <si>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</si>
  <si>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</si>
  <si>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</si>
  <si>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</si>
  <si>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</si>
  <si>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</si>
  <si>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</si>
  <si>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</si>
  <si>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</si>
  <si>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</si>
  <si>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</si>
  <si>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</si>
  <si>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</si>
  <si>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</si>
  <si>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</si>
  <si>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</si>
  <si>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</si>
  <si>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</si>
  <si>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</si>
  <si>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</si>
  <si>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</si>
  <si>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</si>
  <si>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</si>
  <si>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</si>
  <si>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</si>
  <si>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</si>
  <si>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</si>
  <si>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</si>
  <si>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</si>
  <si>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</si>
  <si>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</si>
  <si>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</si>
  <si>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</si>
  <si>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</si>
  <si>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</si>
  <si>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</si>
  <si>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</si>
  <si>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</si>
  <si>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</si>
  <si>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</si>
  <si>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</si>
  <si>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</si>
  <si>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</si>
  <si>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</si>
  <si>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</si>
  <si>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</si>
  <si>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</si>
  <si>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</si>
  <si>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</si>
  <si>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</si>
  <si>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</si>
  <si>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</si>
  <si>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</si>
  <si>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</si>
  <si>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</si>
  <si>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</si>
  <si>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</si>
  <si>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</si>
  <si>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</si>
  <si>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</si>
  <si>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</si>
  <si>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</si>
  <si>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</si>
  <si>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</si>
  <si>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</si>
  <si>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</si>
  <si>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</si>
  <si>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</si>
  <si>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</si>
  <si>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</si>
  <si>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</si>
  <si>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</si>
  <si>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</si>
  <si>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</si>
  <si>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</si>
  <si>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</si>
  <si>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</si>
  <si>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</si>
  <si>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</si>
  <si>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</si>
  <si>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</si>
  <si>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</si>
  <si>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</si>
  <si>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</si>
  <si>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</si>
  <si>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</si>
  <si>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</si>
  <si>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</si>
  <si>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</si>
  <si>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</si>
  <si>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</si>
  <si>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</si>
  <si>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</si>
  <si>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</si>
  <si>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</si>
  <si>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</si>
  <si>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</si>
  <si>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</si>
  <si>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</si>
  <si>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</si>
  <si>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</si>
  <si>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</si>
  <si>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</si>
  <si>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</si>
  <si>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</si>
  <si>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</si>
  <si>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</si>
  <si>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</si>
  <si>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</si>
  <si>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</si>
  <si>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</si>
  <si>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</si>
  <si>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</si>
  <si>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</si>
  <si>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</si>
  <si>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</si>
  <si>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</si>
  <si>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</si>
  <si>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</si>
  <si>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</si>
  <si>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</si>
  <si>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</si>
  <si>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</si>
  <si>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</si>
  <si>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</si>
  <si>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</si>
  <si>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</si>
  <si>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</si>
  <si>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</si>
  <si>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</si>
  <si>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</si>
  <si>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</si>
  <si>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</si>
  <si>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</si>
  <si>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</si>
  <si>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</si>
  <si>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</si>
  <si>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</si>
  <si>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</si>
  <si>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</si>
  <si>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</si>
  <si>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</si>
  <si>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</si>
  <si>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</si>
  <si>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</si>
  <si>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</si>
  <si>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</si>
  <si>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</si>
  <si>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</si>
  <si>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</si>
  <si>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</si>
  <si>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</si>
  <si>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</si>
  <si>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</si>
  <si>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</si>
  <si>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</si>
  <si>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</si>
  <si>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</si>
  <si>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</si>
  <si>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</si>
  <si>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</si>
  <si>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</si>
  <si>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</si>
  <si>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</si>
  <si>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</si>
  <si>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</si>
  <si>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</si>
  <si>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</si>
  <si>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</si>
  <si>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</si>
  <si>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</si>
  <si>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</si>
  <si>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</si>
  <si>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</si>
  <si>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</si>
  <si>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</si>
  <si>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</si>
  <si>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</si>
  <si>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</si>
  <si>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</si>
  <si>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</si>
  <si>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</si>
  <si>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</si>
  <si>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</si>
  <si>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</si>
  <si>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</si>
  <si>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</si>
  <si>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</si>
  <si>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</si>
  <si>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</si>
  <si>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</si>
  <si>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</si>
  <si>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</si>
  <si>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</si>
  <si>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</si>
  <si>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</si>
  <si>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</si>
  <si>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</si>
  <si>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</si>
  <si>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</si>
  <si>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</si>
  <si>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</si>
  <si>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</si>
  <si>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</si>
  <si>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</si>
  <si>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</si>
  <si>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</si>
  <si>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</si>
  <si>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</si>
  <si>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</si>
  <si>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</si>
  <si>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</si>
  <si>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</si>
  <si>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</si>
  <si>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</si>
  <si>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</si>
  <si>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</si>
  <si>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</si>
  <si>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</si>
  <si>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</si>
  <si>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</si>
  <si>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</si>
  <si>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</si>
  <si>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</si>
  <si>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</si>
  <si>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</si>
  <si>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</si>
  <si>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</si>
  <si>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</si>
  <si>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</si>
  <si>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</si>
  <si>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</si>
  <si>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</si>
  <si>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</si>
  <si>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</si>
  <si>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</si>
  <si>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</si>
  <si>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</si>
  <si>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</si>
  <si>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</si>
  <si>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</si>
  <si>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</si>
  <si>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</si>
  <si>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</si>
  <si>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</si>
  <si>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</si>
  <si>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</si>
  <si>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</si>
  <si>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</si>
  <si>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</si>
  <si>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</si>
  <si>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</si>
  <si>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</si>
  <si>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</si>
  <si>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</si>
  <si>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</si>
  <si>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</si>
  <si>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</si>
  <si>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</si>
  <si>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</si>
  <si>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</si>
  <si>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</si>
  <si>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</si>
  <si>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</si>
  <si>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</si>
  <si>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</si>
  <si>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</si>
  <si>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</si>
  <si>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</si>
  <si>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</si>
  <si>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</si>
  <si>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</si>
  <si>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</si>
  <si>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</si>
  <si>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</si>
  <si>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</si>
  <si>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</si>
  <si>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</si>
  <si>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</si>
  <si>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</si>
  <si>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</si>
  <si>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</si>
  <si>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</si>
  <si>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</si>
  <si>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</si>
  <si>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</si>
  <si>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</si>
  <si>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</si>
  <si>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</si>
  <si>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</si>
  <si>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</si>
  <si>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</si>
  <si>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</si>
  <si>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</si>
  <si>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</si>
  <si>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</si>
  <si>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</si>
  <si>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</si>
  <si>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</si>
  <si>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</si>
  <si>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</si>
  <si>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</si>
  <si>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</si>
  <si>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</si>
  <si>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</si>
  <si>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</si>
  <si>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</si>
  <si>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</si>
  <si>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</si>
  <si>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</si>
  <si>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</si>
  <si>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</si>
  <si>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</si>
  <si>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</si>
  <si>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</si>
  <si>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</si>
  <si>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</si>
  <si>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</si>
  <si>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</si>
  <si>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</si>
  <si>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</si>
  <si>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</si>
  <si>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</si>
  <si>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</si>
  <si>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</si>
  <si>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</si>
  <si>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</si>
  <si>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</si>
  <si>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</si>
  <si>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</si>
  <si>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</si>
  <si>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</si>
  <si>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</si>
  <si>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</si>
  <si>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</si>
  <si>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</si>
  <si>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</si>
  <si>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</si>
  <si>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</si>
  <si>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</si>
  <si>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</si>
  <si>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</si>
  <si>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</si>
  <si>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</si>
  <si>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</si>
  <si>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</si>
  <si>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</si>
  <si>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</si>
  <si>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</si>
  <si>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</si>
  <si>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</si>
  <si>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</si>
  <si>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</si>
  <si>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</si>
  <si>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</si>
  <si>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</si>
  <si>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</si>
  <si>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</si>
  <si>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</si>
  <si>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</si>
  <si>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</si>
  <si>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</si>
  <si>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</si>
  <si>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</si>
  <si>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</si>
  <si>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</si>
  <si>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</si>
  <si>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</si>
  <si>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</si>
  <si>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</si>
  <si>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</si>
  <si>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</si>
  <si>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</si>
  <si>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</si>
  <si>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</si>
  <si>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</si>
  <si>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</si>
  <si>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</si>
  <si>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</si>
  <si>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</si>
  <si>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</si>
  <si>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</si>
  <si>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</si>
  <si>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</si>
  <si>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</si>
  <si>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</si>
  <si>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</si>
  <si>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</si>
  <si>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</si>
  <si>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</si>
  <si>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</si>
  <si>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</si>
  <si>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</si>
  <si>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</si>
  <si>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</si>
  <si>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</si>
  <si>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</si>
  <si>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</si>
  <si>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</si>
  <si>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</si>
  <si>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</si>
  <si>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</si>
  <si>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</si>
  <si>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</si>
  <si>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</si>
  <si>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</si>
  <si>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</si>
  <si>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</si>
  <si>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</si>
  <si>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</si>
  <si>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</si>
  <si>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</si>
  <si>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</si>
  <si>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</si>
  <si>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</si>
  <si>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</si>
  <si>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</si>
  <si>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</si>
  <si>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</si>
  <si>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</si>
  <si>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</si>
  <si>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</si>
  <si>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</si>
  <si>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</si>
  <si>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</si>
  <si>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</si>
  <si>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</si>
  <si>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</si>
  <si>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</si>
  <si>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</si>
  <si>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</si>
  <si>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</si>
  <si>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</si>
  <si>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</si>
  <si>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</si>
  <si>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</si>
  <si>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</si>
  <si>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</si>
  <si>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</si>
  <si>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</si>
  <si>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</si>
  <si>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</si>
  <si>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</si>
  <si>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</si>
  <si>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</si>
  <si>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</si>
  <si>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</si>
  <si>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</si>
  <si>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</si>
  <si>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</si>
  <si>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</si>
  <si>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</si>
  <si>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</si>
  <si>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</si>
  <si>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</si>
  <si>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</si>
  <si>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</si>
  <si>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</si>
  <si>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</si>
  <si>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</si>
  <si>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</si>
  <si>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</si>
  <si>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</si>
  <si>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</si>
  <si>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</si>
  <si>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</si>
  <si>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</si>
  <si>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</si>
  <si>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</si>
  <si>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</si>
  <si>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</si>
  <si>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</si>
  <si>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</si>
  <si>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</si>
  <si>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</si>
  <si>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</si>
  <si>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</si>
  <si>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</si>
  <si>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</si>
  <si>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</si>
  <si>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</si>
  <si>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</si>
  <si>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</si>
  <si>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</si>
  <si>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</si>
  <si>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</si>
  <si>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</si>
  <si>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</si>
  <si>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</si>
  <si>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</si>
  <si>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</si>
  <si>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</si>
  <si>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</si>
  <si>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</si>
  <si>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</si>
  <si>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</si>
  <si>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</si>
  <si>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</si>
  <si>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</si>
  <si>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</si>
  <si>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</si>
  <si>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</si>
  <si>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</si>
  <si>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</si>
  <si>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</si>
  <si>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</si>
  <si>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</si>
  <si>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</si>
  <si>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</si>
  <si>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</si>
  <si>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</si>
  <si>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</si>
  <si>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</si>
  <si>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</si>
  <si>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</si>
  <si>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</si>
  <si>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</si>
  <si>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</si>
  <si>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</si>
  <si>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</si>
  <si>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</si>
  <si>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</si>
  <si>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</si>
  <si>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</si>
  <si>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</si>
  <si>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</si>
  <si>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</si>
  <si>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</si>
  <si>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</si>
  <si>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</si>
  <si>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</si>
  <si>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</si>
  <si>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</si>
  <si>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</si>
  <si>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</si>
  <si>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</si>
  <si>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</si>
  <si>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</si>
  <si>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</si>
  <si>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</si>
  <si>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</si>
  <si>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</si>
  <si>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</si>
  <si>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</si>
  <si>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</si>
  <si>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</si>
  <si>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</si>
  <si>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</si>
  <si>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</si>
  <si>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</si>
  <si>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</si>
  <si>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</si>
  <si>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</si>
  <si>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</si>
  <si>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</si>
  <si>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</si>
  <si>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</si>
  <si>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</si>
  <si>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</si>
  <si>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</si>
  <si>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</si>
  <si>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</si>
  <si>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</si>
  <si>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</si>
  <si>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</si>
  <si>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</si>
  <si>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</si>
  <si>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</si>
  <si>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</si>
  <si>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</si>
  <si>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</si>
  <si>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</si>
  <si>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</si>
  <si>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</si>
  <si>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</si>
  <si>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</si>
  <si>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</si>
  <si>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</si>
  <si>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</si>
  <si>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</si>
  <si>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</si>
  <si>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</si>
  <si>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</si>
  <si>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</si>
  <si>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</si>
  <si>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</si>
  <si>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</si>
  <si>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</si>
  <si>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</si>
  <si>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</si>
  <si>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</si>
  <si>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</si>
  <si>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</si>
  <si>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</si>
  <si>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</si>
  <si>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</si>
  <si>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</si>
  <si>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</si>
  <si>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</si>
  <si>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</si>
  <si>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</si>
  <si>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</si>
  <si>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</si>
  <si>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</si>
  <si>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</si>
  <si>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</si>
  <si>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</si>
  <si>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</si>
  <si>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</si>
  <si>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</si>
  <si>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</si>
  <si>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</si>
  <si>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</si>
  <si>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</si>
  <si>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</si>
  <si>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</si>
  <si>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</si>
  <si>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</si>
  <si>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</si>
  <si>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</si>
  <si>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</si>
  <si>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</si>
  <si>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</si>
  <si>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</si>
  <si>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</si>
  <si>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</si>
  <si>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</si>
  <si>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</si>
  <si>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</si>
  <si>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</si>
  <si>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</si>
  <si>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</si>
  <si>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</si>
  <si>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</si>
  <si>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</si>
  <si>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</si>
  <si>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</si>
  <si>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</si>
  <si>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</si>
  <si>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</si>
  <si>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</si>
  <si>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</si>
  <si>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</si>
  <si>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</si>
  <si>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</si>
  <si>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</si>
  <si>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</si>
  <si>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</si>
  <si>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</si>
  <si>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</si>
  <si>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</si>
  <si>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</si>
  <si>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</si>
  <si>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</si>
  <si>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</si>
  <si>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</si>
  <si>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</si>
  <si>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</si>
  <si>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</si>
  <si>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</si>
  <si>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</si>
  <si>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</si>
  <si>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</si>
  <si>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</si>
  <si>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</si>
  <si>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</si>
  <si>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</si>
  <si>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</si>
  <si>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</si>
  <si>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</si>
  <si>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</si>
  <si>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</si>
  <si>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</si>
  <si>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</si>
  <si>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</si>
  <si>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</si>
  <si>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</si>
  <si>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</si>
  <si>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</si>
  <si>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</si>
  <si>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</si>
  <si>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</si>
  <si>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</si>
  <si>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</si>
  <si>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</si>
  <si>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</si>
  <si>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</si>
  <si>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</si>
  <si>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</si>
  <si>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</si>
  <si>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</si>
  <si>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</si>
  <si>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</si>
  <si>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</si>
  <si>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</si>
  <si>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</si>
  <si>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</si>
  <si>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</si>
  <si>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</si>
  <si>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</si>
  <si>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</si>
  <si>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</si>
  <si>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</si>
  <si>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</si>
  <si>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</si>
  <si>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</si>
  <si>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</si>
  <si>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</si>
  <si>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</si>
  <si>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</si>
  <si>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</si>
  <si>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</si>
  <si>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</si>
  <si>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</si>
  <si>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</si>
  <si>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</si>
  <si>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</si>
  <si>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</si>
  <si>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</si>
  <si>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</si>
  <si>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</si>
  <si>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</si>
  <si>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</si>
  <si>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</si>
  <si>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</si>
  <si>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</si>
  <si>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</si>
  <si>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</si>
  <si>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</si>
  <si>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</si>
  <si>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</si>
  <si>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</si>
  <si>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</si>
  <si>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</si>
  <si>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</si>
  <si>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</si>
  <si>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</si>
  <si>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</si>
  <si>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</si>
  <si>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</si>
  <si>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</si>
  <si>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</si>
  <si>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</si>
  <si>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</si>
  <si>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</si>
  <si>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</si>
  <si>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</si>
  <si>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</si>
  <si>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</si>
  <si>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</si>
  <si>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</si>
  <si>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</si>
  <si>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</si>
  <si>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</si>
  <si>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</si>
  <si>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</si>
  <si>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</si>
  <si>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</si>
  <si>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</si>
  <si>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</si>
  <si>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</si>
  <si>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</si>
  <si>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</si>
  <si>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</si>
  <si>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</si>
  <si>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</si>
  <si>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</si>
  <si>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</si>
  <si>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</si>
  <si>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</si>
  <si>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</si>
  <si>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</si>
  <si>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</si>
  <si>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</si>
  <si>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</si>
  <si>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</si>
  <si>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</si>
  <si>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</si>
  <si>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</si>
  <si>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</si>
  <si>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</si>
  <si>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</si>
  <si>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</si>
  <si>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</si>
  <si>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</si>
  <si>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</si>
  <si>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</si>
  <si>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</si>
  <si>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</si>
  <si>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</si>
  <si>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</si>
  <si>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</si>
  <si>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</si>
  <si>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https://roguebasin.com/index.php/GearHead_Caramel</t>
  </si>
  <si>
    <t>game credits</t>
  </si>
  <si>
    <t>https://roguebasin.com/index.php/LambdaRogue</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</si>
  <si>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</si>
  <si>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</si>
  <si>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</si>
  <si>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</si>
  <si>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</si>
  <si>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</si>
  <si>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</si>
  <si>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</si>
  <si>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</si>
  <si>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</si>
  <si>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</si>
  <si>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</si>
  <si>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</si>
  <si>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</si>
  <si>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</si>
  <si>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</si>
  <si>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https://steamcommunity.com/app/1494560/discussions/0/4335355681660890217/#c4335355681661031211</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</si>
  <si>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</si>
  <si>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</si>
  <si>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</si>
  <si>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</si>
  <si>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</si>
  <si>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</si>
  <si>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</si>
  <si>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</si>
  <si>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</si>
  <si>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</si>
  <si>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</si>
  <si>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</si>
  <si>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</si>
  <si>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</si>
  <si>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</si>
  <si>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</si>
  <si>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</si>
  <si>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</si>
  <si>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</si>
  <si>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</si>
  <si>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</si>
  <si>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</si>
  <si>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</si>
  <si>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</si>
  <si>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</si>
  <si>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</si>
  <si>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</si>
  <si>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</si>
  <si>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</si>
  <si>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</si>
  <si>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</si>
  <si>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</si>
  <si>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</si>
  <si>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</si>
  <si>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</si>
  <si>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</si>
  <si>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</si>
  <si>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</si>
  <si>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</si>
  <si>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</si>
  <si>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</si>
  <si>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</si>
  <si>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</si>
  <si>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</si>
  <si>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</si>
  <si>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</si>
  <si>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</si>
  <si>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</si>
  <si>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</si>
  <si>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</si>
  <si>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</si>
  <si>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</si>
  <si>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</si>
  <si>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</si>
  <si>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</si>
  <si>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</si>
  <si>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</si>
  <si>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</si>
  <si>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</si>
  <si>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</si>
  <si>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</si>
  <si>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</si>
  <si>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</si>
  <si>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</si>
  <si>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</si>
  <si>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</si>
  <si>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</si>
  <si>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</si>
  <si>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</si>
  <si>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</si>
  <si>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</si>
  <si>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</si>
  <si>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</si>
  <si>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</si>
  <si>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</si>
  <si>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</si>
  <si>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</si>
  <si>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</si>
  <si>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</si>
  <si>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</si>
  <si>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</si>
  <si>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</si>
  <si>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</si>
  <si>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</si>
  <si>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</si>
  <si>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https://www.youtube.com/watch?v=-X_QYumQQGk</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</si>
  <si>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</si>
  <si>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</si>
  <si>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</si>
  <si>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</si>
  <si>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</si>
  <si>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</si>
  <si>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</si>
  <si>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</si>
  <si>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</si>
  <si>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</si>
  <si>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</si>
  <si>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</si>
  <si>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</si>
  <si>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</si>
  <si>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</si>
  <si>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</si>
  <si>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</si>
  <si>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</si>
  <si>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</si>
  <si>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</si>
  <si>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</si>
  <si>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</si>
  <si>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</si>
  <si>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</si>
  <si>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</si>
  <si>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</si>
  <si>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</si>
  <si>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</si>
  <si>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</si>
  <si>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</si>
  <si>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</si>
  <si>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</si>
  <si>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</si>
  <si>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</si>
  <si>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</si>
  <si>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</si>
  <si>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</si>
  <si>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</si>
  <si>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</si>
  <si>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</si>
  <si>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</si>
  <si>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</si>
  <si>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</si>
  <si>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</si>
  <si>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</si>
  <si>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</si>
  <si>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</si>
  <si>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</si>
  <si>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</si>
  <si>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</si>
  <si>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</si>
  <si>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</si>
  <si>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</si>
  <si>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</si>
  <si>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</si>
  <si>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</si>
  <si>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</si>
  <si>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</si>
  <si>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</si>
  <si>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</si>
  <si>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</si>
  <si>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</si>
  <si>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</si>
  <si>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</si>
  <si>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</si>
  <si>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</si>
  <si>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</si>
  <si>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</si>
  <si>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</si>
  <si>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</si>
  <si>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</si>
  <si>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</si>
  <si>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</si>
  <si>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</si>
  <si>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</si>
  <si>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</si>
  <si>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</si>
  <si>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</si>
  <si>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</si>
  <si>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</si>
  <si>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</si>
  <si>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</si>
  <si>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</si>
  <si>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</si>
  <si>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</si>
  <si>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</si>
  <si>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</si>
  <si>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</si>
  <si>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</si>
  <si>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</si>
  <si>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</si>
  <si>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</si>
  <si>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</si>
  <si>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</si>
  <si>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</si>
  <si>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</si>
  <si>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</si>
  <si>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</si>
  <si>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</si>
  <si>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</si>
  <si>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</si>
  <si>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</si>
  <si>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</si>
  <si>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</si>
  <si>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</si>
  <si>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</si>
  <si>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</si>
  <si>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</si>
  <si>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</si>
  <si>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</si>
  <si>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</si>
  <si>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</si>
  <si>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</si>
  <si>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</si>
  <si>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</si>
  <si>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</si>
  <si>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</si>
  <si>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</si>
  <si>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</si>
  <si>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</si>
  <si>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</si>
  <si>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</si>
  <si>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</si>
  <si>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</si>
  <si>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</si>
  <si>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</si>
  <si>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</si>
  <si>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</si>
  <si>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</si>
  <si>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</si>
  <si>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</si>
  <si>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</si>
  <si>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</si>
  <si>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</si>
  <si>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</si>
  <si>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</si>
  <si>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</si>
  <si>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</si>
  <si>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</si>
  <si>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</si>
  <si>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</si>
  <si>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</si>
  <si>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</si>
  <si>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</si>
  <si>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</si>
  <si>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</si>
  <si>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</si>
  <si>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</si>
  <si>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</si>
  <si>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</si>
  <si>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</si>
  <si>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</si>
  <si>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</si>
  <si>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</si>
  <si>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</si>
  <si>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</si>
  <si>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</si>
  <si>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</si>
  <si>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</si>
  <si>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</si>
  <si>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</si>
  <si>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</si>
  <si>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</si>
  <si>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</si>
  <si>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</si>
  <si>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</si>
  <si>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</si>
  <si>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</si>
  <si>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</si>
  <si>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</si>
  <si>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</si>
  <si>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</si>
  <si>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</si>
  <si>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</si>
  <si>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</si>
  <si>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</si>
  <si>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</si>
  <si>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</si>
  <si>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</si>
  <si>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</si>
  <si>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</si>
  <si>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</si>
  <si>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</si>
  <si>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</si>
  <si>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</si>
  <si>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</si>
  <si>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</si>
  <si>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</si>
  <si>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</si>
  <si>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</si>
  <si>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</si>
  <si>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</si>
  <si>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</si>
  <si>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</si>
  <si>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</si>
  <si>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</si>
  <si>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</si>
  <si>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</si>
  <si>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</si>
  <si>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</si>
  <si>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</si>
  <si>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</si>
  <si>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</si>
  <si>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</si>
  <si>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</si>
  <si>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</si>
  <si>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</si>
  <si>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</si>
  <si>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</si>
  <si>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</si>
  <si>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</si>
  <si>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</si>
  <si>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</si>
  <si>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</si>
  <si>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</si>
  <si>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</si>
  <si>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</si>
  <si>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</si>
  <si>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</si>
  <si>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</si>
  <si>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</si>
  <si>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</si>
  <si>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</si>
  <si>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</si>
  <si>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</si>
  <si>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</si>
  <si>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</si>
  <si>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</si>
  <si>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</si>
  <si>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</si>
  <si>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</si>
  <si>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</si>
  <si>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</si>
  <si>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</si>
  <si>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</si>
  <si>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</si>
  <si>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</si>
  <si>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</si>
  <si>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</si>
  <si>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</si>
  <si>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</si>
  <si>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</si>
  <si>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</si>
  <si>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</si>
  <si>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</si>
  <si>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</si>
  <si>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</si>
  <si>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</si>
  <si>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</si>
  <si>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</si>
  <si>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</si>
  <si>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</si>
  <si>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</si>
  <si>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</si>
  <si>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</si>
  <si>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</si>
  <si>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</si>
  <si>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</si>
  <si>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</si>
  <si>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</si>
  <si>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https://bscotch.itch.io/how-many-dudes</t>
  </si>
  <si>
    <t>Health</t>
  </si>
  <si>
    <t>Bash</t>
  </si>
  <si>
    <t>Dash</t>
  </si>
  <si>
    <t>Push</t>
  </si>
  <si>
    <t>Transmute</t>
  </si>
  <si>
    <t>Scramble</t>
  </si>
  <si>
    <t>Bombs</t>
  </si>
  <si>
    <t>Keys</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</si>
  <si>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</si>
  <si>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</si>
  <si>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</si>
  <si>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</si>
  <si>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</si>
  <si>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</si>
  <si>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</si>
  <si>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</si>
  <si>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</si>
  <si>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</si>
  <si>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</si>
  <si>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</si>
  <si>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</si>
  <si>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</si>
  <si>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</si>
  <si>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</si>
  <si>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Unlock a new difficulty</t>
  </si>
  <si>
    <t>Gain +1 Small Chest</t>
  </si>
  <si>
    <t>The remaining soldier of the Ironclads. Sold his soul to harness demonic energies.</t>
  </si>
  <si>
    <t>Burning Blood</t>
  </si>
  <si>
    <t>Isaac</t>
  </si>
  <si>
    <t>Unlock a new Item</t>
  </si>
  <si>
    <t>Who am I?</t>
  </si>
  <si>
    <t>D6</t>
  </si>
  <si>
    <t>Manager</t>
  </si>
  <si>
    <t>Collect 3+ different types of currency</t>
  </si>
  <si>
    <t>Gain +1 Push</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</si>
  <si>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</si>
  <si>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</si>
  <si>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</si>
  <si>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</si>
  <si>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</si>
  <si>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</si>
  <si>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</si>
  <si>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</si>
  <si>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</si>
  <si>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</si>
  <si>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</si>
  <si>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</si>
  <si>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</si>
  <si>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</si>
  <si>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</si>
  <si>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</si>
  <si>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</si>
  <si>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</si>
  <si>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</si>
  <si>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</si>
  <si>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</si>
  <si>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</si>
  <si>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</si>
  <si>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</si>
  <si>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</si>
  <si>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</si>
  <si>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</si>
  <si>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</si>
  <si>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</si>
  <si>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</si>
  <si>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</si>
  <si>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</si>
  <si>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</si>
  <si>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</si>
  <si>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</si>
  <si>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</si>
  <si>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</si>
  <si>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</si>
  <si>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</si>
  <si>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</si>
  <si>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</si>
  <si>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</si>
  <si>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</si>
  <si>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</si>
  <si>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</si>
  <si>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</si>
  <si>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</si>
  <si>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</si>
  <si>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</si>
  <si>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</si>
  <si>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</si>
  <si>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</si>
  <si>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</si>
  <si>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</si>
  <si>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</si>
  <si>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</si>
  <si>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</si>
  <si>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</si>
  <si>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</si>
  <si>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Starter</t>
  </si>
  <si>
    <t>After beating a game, Gain +1 Health</t>
  </si>
  <si>
    <t>game_beaten: gain_hp 1</t>
  </si>
  <si>
    <t>BurningBlood</t>
  </si>
  <si>
    <t>Crown</t>
  </si>
  <si>
    <t>When Levelling Up, 50% chance to Level Up an additional time</t>
  </si>
  <si>
    <t>level_up: 50%</t>
  </si>
  <si>
    <t>wearable, hat, crown</t>
  </si>
  <si>
    <t>Economy</t>
  </si>
  <si>
    <t>Charged, 2</t>
  </si>
  <si>
    <t>item_used: gain_stat scramble 1</t>
  </si>
  <si>
    <t>Hollow Heart</t>
  </si>
  <si>
    <t>Pickup</t>
  </si>
  <si>
    <t>Gain +4 Max Health</t>
  </si>
  <si>
    <t>item_acquired: gain_max_hp 4</t>
  </si>
  <si>
    <t>heart</t>
  </si>
  <si>
    <t>HollowHeart</t>
  </si>
  <si>
    <t>Lunch</t>
  </si>
  <si>
    <t>Gain +2 Max Health and +2 Health</t>
  </si>
  <si>
    <t>item_acquired: gain_max_hp 2, gain_hp 2</t>
  </si>
  <si>
    <t>Mango</t>
  </si>
  <si>
    <t>Gain +4 Max Health and +4 Health</t>
  </si>
  <si>
    <t>item_acquired: gain_max_hp 4, gain_hp 4</t>
  </si>
  <si>
    <t>food, fruit</t>
  </si>
  <si>
    <t>Meat on the Bone</t>
  </si>
  <si>
    <t>When your Health is at 50% or below Max Health after beating a game, gain +2 Health</t>
  </si>
  <si>
    <t>game_beaten: if_hp below 0.5 -&gt; gain_hp 2</t>
  </si>
  <si>
    <t>food, meat</t>
  </si>
  <si>
    <t>MeatOnTheBone</t>
  </si>
  <si>
    <t>Ride the Bus</t>
  </si>
  <si>
    <t>Usable</t>
  </si>
  <si>
    <t>Teleport to a random Deckbuilder Game</t>
  </si>
  <si>
    <t>item_used: teleport_type deckbuilder</t>
  </si>
  <si>
    <t>RideTheBus</t>
  </si>
  <si>
    <t>Movement</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</si>
  <si>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</si>
  <si>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</si>
  <si>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</si>
  <si>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</si>
  <si>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</si>
  <si>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</si>
  <si>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</si>
  <si>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</si>
  <si>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</si>
  <si>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</si>
  <si>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</si>
  <si>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</si>
  <si>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</si>
  <si>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</si>
  <si>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</si>
  <si>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Wand of Wishing</t>
  </si>
  <si>
    <t>Legendary</t>
  </si>
  <si>
    <t>Charged, 6</t>
  </si>
  <si>
    <t>Obtain any one item in the game</t>
  </si>
  <si>
    <t>item_used: obtain_item any</t>
  </si>
  <si>
    <t>wand</t>
  </si>
  <si>
    <t>WandOfWishing</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</si>
  <si>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</si>
  <si>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</si>
  <si>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</si>
  <si>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</si>
  <si>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</si>
  <si>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</si>
  <si>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</si>
  <si>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</si>
  <si>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</si>
  <si>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</si>
  <si>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</si>
  <si>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</si>
  <si>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</si>
  <si>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</si>
  <si>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</si>
  <si>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</si>
  <si>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</si>
  <si>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Keybullet Kin</t>
  </si>
  <si>
    <t>Fetch</t>
  </si>
  <si>
    <t>Obtain 1 key</t>
  </si>
  <si>
    <t>KeybulletKin</t>
  </si>
  <si>
    <t>Lil Dave</t>
  </si>
  <si>
    <t>Feat</t>
  </si>
  <si>
    <t>Destroy a wooden structure</t>
  </si>
  <si>
    <t>LilDave</t>
  </si>
  <si>
    <t>Psychic Horf</t>
  </si>
  <si>
    <t>Use a homing attack</t>
  </si>
  <si>
    <t>PsychicHorf</t>
  </si>
  <si>
    <t>Skeleton Warrior</t>
  </si>
  <si>
    <t>Defeat a skeleton with a ball</t>
  </si>
  <si>
    <t>SkeletonWarrior</t>
  </si>
  <si>
    <t>undead, skeleton</t>
  </si>
  <si>
    <t>Spider</t>
  </si>
  <si>
    <t>Defeat 10+ spiders</t>
  </si>
  <si>
    <t>bug, spider</t>
  </si>
  <si>
    <t>Bony</t>
  </si>
  <si>
    <t>2-Medium</t>
  </si>
  <si>
    <t>Defeat 10+ skeletons</t>
  </si>
  <si>
    <t>Child</t>
  </si>
  <si>
    <t>Defeat a child</t>
  </si>
  <si>
    <t>Skeletal Brute</t>
  </si>
  <si>
    <t>1x2</t>
  </si>
  <si>
    <t>SkeletalBrute</t>
  </si>
  <si>
    <t>Bishop</t>
  </si>
  <si>
    <t>3-High</t>
  </si>
  <si>
    <t>Give a shield to another unit</t>
  </si>
  <si>
    <t>Skeletal Bastion</t>
  </si>
  <si>
    <t>2x3 L 90 CC</t>
  </si>
  <si>
    <t>SkeletalBastion</t>
  </si>
  <si>
    <t>Cultist</t>
  </si>
  <si>
    <t>Perform a religious act</t>
  </si>
  <si>
    <t>Fungi Beast</t>
  </si>
  <si>
    <t>Get infected</t>
  </si>
  <si>
    <t>FungiBeast</t>
  </si>
  <si>
    <t>mushroom</t>
  </si>
  <si>
    <t>Lava Slime</t>
  </si>
  <si>
    <t>Touch lava</t>
  </si>
  <si>
    <t>LavaSlime</t>
  </si>
  <si>
    <t>slime, lava</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</si>
  <si>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</si>
  <si>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</si>
  <si>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</si>
  <si>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</si>
  <si>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</si>
  <si>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</si>
  <si>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</si>
  <si>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</si>
  <si>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</si>
  <si>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</si>
  <si>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</si>
  <si>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</si>
  <si>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</si>
  <si>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</si>
  <si>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</si>
  <si>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</si>
  <si>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</si>
  <si>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</si>
  <si>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</si>
  <si>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</si>
  <si>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2x2</t>
  </si>
  <si>
    <t>Discovery</t>
  </si>
  <si>
    <t>Witness an enemy kill itself</t>
  </si>
  <si>
    <t>Carcass</t>
  </si>
  <si>
    <t>Destroy an enemy spawner</t>
  </si>
  <si>
    <t>Goblin</t>
  </si>
  <si>
    <t>Defeat 10+ goblins</t>
  </si>
  <si>
    <t>goblin</t>
  </si>
  <si>
    <t>Mung</t>
  </si>
  <si>
    <t>Obtain 1 fish</t>
  </si>
  <si>
    <t>fish</t>
  </si>
  <si>
    <t>Host</t>
  </si>
  <si>
    <t>Reflect a projectile</t>
  </si>
  <si>
    <t>Revola</t>
  </si>
  <si>
    <t>Body slam an enemy</t>
  </si>
  <si>
    <t>Sharky</t>
  </si>
  <si>
    <t>Bleed an enemy to death</t>
  </si>
  <si>
    <t>cat, fish</t>
  </si>
  <si>
    <t>Spiked Cat</t>
  </si>
  <si>
    <t>Break glass</t>
  </si>
  <si>
    <t>SpikedCat</t>
  </si>
  <si>
    <t>cat</t>
  </si>
  <si>
    <t>Tornado</t>
  </si>
  <si>
    <t>Find a Tornado</t>
  </si>
  <si>
    <t>Giggling Minister</t>
  </si>
  <si>
    <t>Get something stolen from you</t>
  </si>
  <si>
    <t>GigglingMinister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</si>
  <si>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</si>
  <si>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</si>
  <si>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</si>
  <si>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</si>
  <si>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</si>
  <si>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</si>
  <si>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</si>
  <si>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</si>
  <si>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</si>
  <si>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</si>
  <si>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</si>
  <si>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</si>
  <si>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</si>
  <si>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</si>
  <si>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</si>
  <si>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</si>
  <si>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</si>
  <si>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</si>
  <si>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</si>
  <si>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</si>
  <si>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</si>
  <si>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</si>
  <si>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</si>
  <si>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</si>
  <si>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</si>
  <si>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</si>
  <si>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</si>
  <si>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</si>
  <si>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</si>
  <si>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Royal Phalanx</t>
  </si>
  <si>
    <t>Block an attack with an element</t>
  </si>
  <si>
    <t>RoyalPhalanx</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</si>
  <si>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</si>
  <si>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</si>
  <si>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</si>
  <si>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</si>
  <si>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</si>
  <si>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</si>
  <si>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</si>
  <si>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</si>
  <si>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</si>
  <si>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</si>
  <si>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</si>
  <si>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</si>
  <si>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</si>
  <si>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</si>
  <si>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</si>
  <si>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</si>
  <si>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</si>
  <si>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</si>
  <si>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</si>
  <si>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</si>
  <si>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</si>
  <si>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</si>
  <si>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</si>
  <si>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</si>
  <si>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</si>
  <si>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</si>
  <si>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</si>
  <si>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</si>
  <si>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</si>
  <si>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</si>
  <si>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</si>
  <si>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CorruptHeart</t>
  </si>
  <si>
    <t>Giant Spider</t>
  </si>
  <si>
    <t>Defeat a bug larger than you</t>
  </si>
  <si>
    <t>GiantSpider</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</si>
  <si>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</si>
  <si>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</si>
  <si>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</si>
  <si>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</si>
  <si>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</si>
  <si>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</si>
  <si>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</si>
  <si>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</si>
  <si>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</si>
  <si>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</si>
  <si>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</si>
  <si>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</si>
  <si>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</si>
  <si>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</si>
  <si>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</si>
  <si>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</si>
  <si>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</si>
  <si>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</si>
  <si>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</si>
  <si>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</si>
  <si>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</si>
  <si>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</si>
  <si>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</si>
  <si>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</si>
  <si>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</si>
  <si>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</si>
  <si>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</si>
  <si>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</si>
  <si>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</si>
  <si>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</si>
  <si>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Mom's Heart</t>
  </si>
  <si>
    <t>Break a Heart</t>
  </si>
  <si>
    <t>MomsHeart</t>
  </si>
  <si>
    <t>Scrolls</t>
  </si>
  <si>
    <t>Preference</t>
  </si>
  <si>
    <t>Scroll of Aggravate Monsters</t>
  </si>
  <si>
    <t>Negative</t>
  </si>
  <si>
    <t>Enemies deal +1 damage for one game.</t>
  </si>
  <si>
    <t>buff_enemies damage 1 games 1</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</si>
  <si>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</si>
  <si>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</si>
  <si>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</si>
  <si>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</si>
  <si>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</si>
  <si>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</si>
  <si>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</si>
  <si>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</si>
  <si>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</si>
  <si>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</si>
  <si>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</si>
  <si>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</si>
  <si>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</si>
  <si>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</si>
  <si>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</si>
  <si>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</si>
  <si>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</si>
  <si>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- 1)</t>
  </si>
  <si>
    <t>teleport same 1</t>
  </si>
  <si>
    <t>Teleportation</t>
  </si>
  <si>
    <t>Requirement</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</si>
  <si>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</si>
  <si>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</si>
  <si>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</si>
  <si>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</si>
  <si>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</si>
  <si>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</si>
  <si>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</si>
  <si>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</si>
  <si>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</si>
  <si>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</si>
  <si>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</si>
  <si>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</si>
  <si>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</si>
  <si>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</si>
  <si>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</si>
  <si>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</si>
  <si>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</si>
  <si>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</si>
  <si>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</si>
  <si>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</si>
  <si>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</si>
  <si>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</si>
  <si>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</si>
  <si>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</si>
  <si>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</si>
  <si>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</si>
  <si>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</si>
  <si>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</si>
  <si>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</si>
  <si>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</si>
  <si>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</si>
  <si>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</si>
  <si>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</si>
  <si>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</si>
  <si>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</si>
  <si>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</si>
  <si>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</si>
  <si>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</si>
  <si>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</si>
  <si>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</si>
  <si>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</si>
  <si>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</si>
  <si>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</si>
  <si>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</si>
  <si>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</si>
  <si>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</si>
  <si>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</si>
  <si>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</si>
  <si>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</si>
  <si>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</si>
  <si>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</si>
  <si>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</si>
  <si>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</si>
  <si>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</si>
  <si>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</si>
  <si>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</si>
  <si>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</si>
  <si>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</si>
  <si>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</si>
  <si>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</si>
  <si>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</si>
  <si>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</si>
  <si>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</si>
  <si>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</si>
  <si>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</si>
  <si>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</si>
  <si>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</si>
  <si>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</si>
  <si>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</si>
  <si>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</si>
  <si>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</si>
  <si>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</si>
  <si>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</si>
  <si>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</si>
  <si>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</si>
  <si>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</si>
  <si>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</si>
  <si>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</si>
  <si>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</si>
  <si>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</si>
  <si>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</si>
  <si>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</si>
  <si>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</si>
  <si>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</si>
  <si>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</si>
  <si>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</si>
  <si>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</si>
  <si>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</si>
  <si>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</si>
  <si>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</si>
  <si>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</si>
  <si>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</si>
  <si>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</si>
  <si>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</si>
  <si>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</si>
  <si>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</si>
  <si>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</si>
  <si>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</si>
  <si>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</si>
  <si>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</si>
  <si>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</si>
  <si>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</si>
  <si>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</si>
  <si>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</si>
  <si>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</si>
  <si>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</si>
  <si>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</si>
  <si>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</si>
  <si>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</si>
  <si>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</si>
  <si>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</si>
  <si>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</si>
  <si>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</si>
  <si>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</si>
  <si>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</si>
  <si>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</si>
  <si>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</si>
  <si>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</si>
  <si>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</si>
  <si>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</si>
  <si>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</si>
  <si>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</si>
  <si>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</si>
  <si>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</si>
  <si>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</si>
  <si>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</si>
  <si>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</si>
  <si>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</si>
  <si>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</si>
  <si>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</si>
  <si>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</si>
  <si>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</si>
  <si>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</si>
  <si>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</si>
  <si>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</si>
  <si>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</si>
  <si>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</si>
  <si>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</si>
  <si>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</si>
  <si>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</si>
  <si>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</si>
  <si>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</si>
  <si>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</si>
  <si>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</si>
  <si>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</si>
  <si>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</si>
  <si>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</si>
  <si>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</si>
  <si>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</si>
  <si>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</si>
  <si>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</si>
  <si>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</si>
  <si>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</si>
  <si>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</si>
  <si>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</si>
  <si>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</si>
  <si>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</si>
  <si>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</si>
  <si>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</si>
  <si>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</si>
  <si>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</si>
  <si>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</si>
  <si>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</si>
  <si>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</si>
  <si>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</si>
  <si>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</si>
  <si>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</si>
  <si>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</si>
  <si>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</si>
  <si>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</si>
  <si>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</si>
  <si>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</si>
  <si>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</si>
  <si>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</si>
  <si>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</si>
  <si>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</si>
  <si>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</si>
  <si>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</si>
  <si>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</si>
  <si>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</si>
  <si>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</si>
  <si>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</si>
  <si>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</si>
  <si>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</si>
  <si>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</si>
  <si>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</si>
  <si>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</si>
  <si>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</si>
  <si>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</si>
  <si>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</si>
  <si>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</si>
  <si>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</si>
  <si>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</si>
  <si>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</si>
  <si>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</si>
  <si>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</si>
  <si>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</si>
  <si>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</si>
  <si>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</si>
  <si>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</si>
  <si>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</si>
  <si>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</si>
  <si>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</si>
  <si>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</si>
  <si>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</si>
  <si>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</si>
  <si>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</si>
  <si>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</si>
  <si>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</si>
  <si>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</si>
  <si>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</si>
  <si>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</si>
  <si>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</si>
  <si>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</si>
  <si>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</si>
  <si>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</si>
  <si>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</si>
  <si>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</si>
  <si>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</si>
  <si>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</si>
  <si>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</si>
  <si>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</si>
  <si>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</si>
  <si>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</si>
  <si>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</si>
  <si>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</si>
  <si>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</si>
  <si>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</si>
  <si>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</si>
  <si>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</si>
  <si>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</si>
  <si>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</si>
  <si>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</si>
  <si>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</si>
  <si>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</si>
  <si>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</si>
  <si>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</si>
  <si>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</si>
  <si>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</si>
  <si>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</si>
  <si>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</si>
  <si>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</si>
  <si>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</si>
  <si>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</si>
  <si>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</si>
  <si>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</si>
  <si>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</si>
  <si>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</si>
  <si>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</si>
  <si>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</si>
  <si>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</si>
  <si>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</si>
  <si>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</si>
  <si>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</si>
  <si>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</si>
  <si>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</si>
  <si>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</si>
  <si>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</si>
  <si>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</si>
  <si>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</si>
  <si>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</si>
  <si>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</si>
  <si>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</si>
  <si>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</si>
  <si>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</si>
  <si>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</si>
  <si>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</si>
  <si>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</si>
  <si>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</si>
  <si>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</si>
  <si>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</si>
  <si>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</si>
  <si>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</si>
  <si>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</si>
  <si>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</si>
  <si>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</si>
  <si>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</si>
  <si>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</si>
  <si>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</si>
  <si>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</si>
  <si>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</si>
  <si>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</si>
  <si>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</si>
  <si>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</si>
  <si>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</si>
  <si>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</si>
  <si>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</si>
  <si>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</si>
  <si>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</si>
  <si>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</si>
  <si>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</si>
  <si>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</si>
  <si>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</si>
  <si>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</si>
  <si>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</si>
  <si>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</si>
  <si>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</si>
  <si>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</si>
  <si>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</si>
  <si>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</si>
  <si>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</si>
  <si>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</si>
  <si>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</si>
  <si>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</si>
  <si>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</si>
  <si>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</si>
  <si>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</si>
  <si>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</si>
  <si>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</si>
  <si>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</si>
  <si>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</si>
  <si>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</si>
  <si>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</si>
  <si>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</si>
  <si>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</si>
  <si>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</si>
  <si>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</si>
  <si>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</si>
  <si>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</si>
  <si>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</si>
  <si>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</si>
  <si>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</si>
  <si>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</si>
  <si>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</si>
  <si>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</si>
  <si>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</si>
  <si>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</si>
  <si>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</si>
  <si>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</si>
  <si>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</si>
  <si>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</si>
  <si>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</si>
  <si>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</si>
  <si>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</si>
  <si>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</si>
  <si>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</si>
  <si>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</si>
  <si>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</si>
  <si>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</si>
  <si>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</si>
  <si>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</si>
  <si>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</si>
  <si>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</si>
  <si>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</si>
  <si>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</si>
  <si>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</si>
  <si>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</si>
  <si>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</si>
  <si>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</si>
  <si>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</si>
  <si>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</si>
  <si>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</si>
  <si>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</si>
  <si>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</si>
  <si>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</si>
  <si>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</si>
  <si>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</si>
  <si>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</si>
  <si>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</si>
  <si>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</si>
  <si>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</si>
  <si>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</si>
  <si>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</si>
  <si>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</si>
  <si>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</si>
  <si>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</si>
  <si>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</si>
  <si>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</si>
  <si>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</si>
  <si>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</si>
  <si>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</si>
  <si>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</si>
  <si>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</si>
  <si>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</si>
  <si>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</si>
  <si>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</si>
  <si>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</si>
  <si>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</si>
  <si>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</si>
  <si>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</si>
  <si>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</si>
  <si>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</si>
  <si>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</si>
  <si>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</si>
  <si>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</si>
  <si>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</si>
  <si>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</si>
  <si>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</si>
  <si>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</si>
  <si>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</si>
  <si>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</si>
  <si>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</si>
  <si>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</si>
  <si>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</si>
  <si>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</si>
  <si>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</si>
  <si>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</si>
  <si>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</si>
  <si>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</si>
  <si>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</si>
  <si>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</si>
  <si>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</si>
  <si>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</si>
  <si>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</si>
  <si>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</si>
  <si>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</si>
  <si>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</si>
  <si>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</si>
  <si>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</si>
  <si>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</si>
  <si>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</si>
  <si>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</si>
  <si>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</si>
  <si>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</si>
  <si>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</si>
  <si>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</si>
  <si>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</si>
  <si>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</si>
  <si>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</si>
  <si>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</si>
  <si>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</si>
  <si>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</si>
  <si>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</si>
  <si>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</si>
  <si>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</si>
  <si>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</si>
  <si>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</si>
  <si>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</si>
  <si>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</si>
  <si>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</si>
  <si>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</si>
  <si>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</si>
  <si>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</si>
  <si>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</si>
  <si>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</si>
  <si>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</si>
  <si>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</si>
  <si>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</si>
  <si>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</si>
  <si>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</si>
  <si>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</si>
  <si>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</si>
  <si>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</si>
  <si>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</si>
  <si>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</si>
  <si>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</si>
  <si>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</si>
  <si>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</si>
  <si>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</si>
  <si>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</si>
  <si>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</si>
  <si>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</si>
  <si>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</si>
  <si>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</si>
  <si>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</si>
  <si>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</si>
  <si>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</si>
  <si>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</si>
  <si>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</si>
  <si>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</si>
  <si>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</si>
  <si>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</si>
  <si>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</si>
  <si>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</si>
  <si>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</si>
  <si>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</si>
  <si>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</si>
  <si>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</si>
  <si>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</si>
  <si>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</si>
  <si>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</si>
  <si>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</si>
  <si>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</si>
  <si>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</si>
  <si>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</si>
  <si>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</si>
  <si>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</si>
  <si>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</si>
  <si>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</si>
  <si>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</si>
  <si>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</si>
  <si>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</si>
  <si>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</si>
  <si>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</si>
  <si>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</si>
  <si>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</si>
  <si>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</si>
  <si>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</si>
  <si>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</si>
  <si>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</si>
  <si>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</si>
  <si>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</si>
  <si>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</si>
  <si>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</si>
  <si>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</si>
  <si>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</si>
  <si>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</si>
  <si>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</si>
  <si>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</si>
  <si>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</si>
  <si>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</si>
  <si>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</si>
  <si>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</si>
  <si>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</si>
  <si>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</si>
  <si>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</si>
  <si>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</si>
  <si>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</si>
  <si>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</si>
  <si>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</si>
  <si>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</si>
  <si>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</si>
  <si>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</si>
  <si>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</si>
  <si>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</si>
  <si>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</si>
  <si>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</si>
  <si>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</si>
  <si>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</si>
  <si>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</si>
  <si>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</si>
  <si>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</si>
  <si>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</si>
  <si>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</si>
  <si>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</si>
  <si>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</si>
  <si>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</si>
  <si>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</si>
  <si>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</si>
  <si>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</si>
  <si>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</si>
  <si>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</si>
  <si>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</si>
  <si>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</si>
  <si>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</si>
  <si>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</si>
  <si>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</si>
  <si>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</si>
  <si>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</si>
  <si>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</si>
  <si>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</si>
  <si>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</si>
  <si>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</si>
  <si>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</si>
  <si>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</si>
  <si>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</si>
  <si>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</si>
  <si>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</si>
  <si>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</si>
  <si>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</si>
  <si>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</si>
  <si>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</si>
  <si>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</si>
  <si>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</si>
  <si>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</si>
  <si>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</si>
  <si>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</si>
  <si>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</si>
  <si>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</si>
  <si>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</si>
  <si>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</si>
  <si>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</si>
  <si>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</si>
  <si>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</si>
  <si>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</si>
  <si>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</si>
  <si>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</si>
  <si>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</si>
  <si>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</si>
  <si>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</si>
  <si>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</si>
  <si>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</si>
  <si>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</si>
  <si>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</si>
  <si>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</si>
  <si>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</si>
  <si>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</si>
  <si>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</si>
  <si>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</si>
  <si>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</si>
  <si>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</si>
  <si>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</si>
  <si>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</si>
  <si>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</si>
  <si>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</si>
  <si>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</si>
  <si>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</si>
  <si>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</si>
  <si>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</si>
  <si>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</si>
  <si>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</si>
  <si>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</si>
  <si>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</si>
  <si>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</si>
  <si>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</si>
  <si>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</si>
  <si>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</si>
  <si>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</si>
  <si>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</si>
  <si>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</si>
  <si>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</si>
  <si>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</si>
  <si>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</si>
  <si>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</si>
  <si>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</si>
  <si>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</si>
  <si>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</si>
  <si>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</si>
  <si>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</si>
  <si>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</si>
  <si>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</si>
  <si>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</si>
  <si>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</si>
  <si>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</si>
  <si>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</si>
  <si>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</si>
  <si>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</si>
  <si>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</si>
  <si>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</si>
  <si>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</si>
  <si>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</si>
  <si>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</si>
  <si>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</si>
  <si>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</si>
  <si>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Low</t>
  </si>
  <si>
    <t>General</t>
  </si>
  <si>
    <t>t1 @ 0 | Ritualize (+3 Ritual) | gain:ritual:3;;
any @ 100 | Dark Strike (6) | dmg:6</t>
  </si>
  <si>
    <t>Medium</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</si>
  <si>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</si>
  <si>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</si>
  <si>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</si>
  <si>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</si>
  <si>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</si>
  <si>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</si>
  <si>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</si>
  <si>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</si>
  <si>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</si>
  <si>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</si>
  <si>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</si>
  <si>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</si>
  <si>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</si>
  <si>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</si>
  <si>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</si>
  <si>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</si>
  <si>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</si>
  <si>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</si>
  <si>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</si>
  <si>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</si>
  <si>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</si>
  <si>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</si>
  <si>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</si>
  <si>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</si>
  <si>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</si>
  <si>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</si>
  <si>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</si>
  <si>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</si>
  <si>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</si>
  <si>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</si>
  <si>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</si>
  <si>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</si>
  <si>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</si>
  <si>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</si>
  <si>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</si>
  <si>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</si>
  <si>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</si>
  <si>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</si>
  <si>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</si>
  <si>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</si>
  <si>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</si>
  <si>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</si>
  <si>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</si>
  <si>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</si>
  <si>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</si>
  <si>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</si>
  <si>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</si>
  <si>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</si>
  <si>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</si>
  <si>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</si>
  <si>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</si>
  <si>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</si>
  <si>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</si>
  <si>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</si>
  <si>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</si>
  <si>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</si>
  <si>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</si>
  <si>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</si>
  <si>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</si>
  <si>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</si>
  <si>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</si>
  <si>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</si>
  <si>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</si>
  <si>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</si>
  <si>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</si>
  <si>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</si>
  <si>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</si>
  <si>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</si>
  <si>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</si>
  <si>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</si>
  <si>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</si>
  <si>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</si>
  <si>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</si>
  <si>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</si>
  <si>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</si>
  <si>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</si>
  <si>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</si>
  <si>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</si>
  <si>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</si>
  <si>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</si>
  <si>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</si>
  <si>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</si>
  <si>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</si>
  <si>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</si>
  <si>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</si>
  <si>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</si>
  <si>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</si>
  <si>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</si>
  <si>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</si>
  <si>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</si>
  <si>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</si>
  <si>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</si>
  <si>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</si>
  <si>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</si>
  <si>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</si>
  <si>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</si>
  <si>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</si>
  <si>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</si>
  <si>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</si>
  <si>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</si>
  <si>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</si>
  <si>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</si>
  <si>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</si>
  <si>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</si>
  <si>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</si>
  <si>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</si>
  <si>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</si>
  <si>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</si>
  <si>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</si>
  <si>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</si>
  <si>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</si>
  <si>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</si>
  <si>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</si>
  <si>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</si>
  <si>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</si>
  <si>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</si>
  <si>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</si>
  <si>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</si>
  <si>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</si>
  <si>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</si>
  <si>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</si>
  <si>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</si>
  <si>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</si>
  <si>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</si>
  <si>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</si>
  <si>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</si>
  <si>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File2</t>
  </si>
  <si>
    <t>Arcane</t>
  </si>
  <si>
    <t>Raise or Lower the Magic damage dealt by this target by X</t>
  </si>
  <si>
    <t>Buff</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</si>
  <si>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</si>
  <si>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</si>
  <si>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</si>
  <si>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</si>
  <si>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</si>
  <si>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</si>
  <si>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</si>
  <si>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</si>
  <si>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</si>
  <si>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</si>
  <si>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</si>
  <si>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</si>
  <si>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</si>
  <si>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</si>
  <si>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</si>
  <si>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</si>
  <si>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</si>
  <si>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</si>
  <si>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</si>
  <si>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</si>
  <si>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</si>
  <si>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</si>
  <si>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</si>
  <si>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</si>
  <si>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</si>
  <si>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</si>
  <si>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</si>
  <si>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</si>
  <si>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</si>
  <si>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</si>
  <si>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</si>
  <si>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</si>
  <si>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</si>
  <si>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</si>
  <si>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</si>
  <si>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</si>
  <si>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</si>
  <si>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</si>
  <si>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</si>
  <si>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</si>
  <si>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</si>
  <si>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</si>
  <si>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</si>
  <si>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</si>
  <si>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</si>
  <si>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</si>
  <si>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</si>
  <si>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</si>
  <si>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</si>
  <si>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</si>
  <si>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</si>
  <si>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</si>
  <si>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</si>
  <si>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</si>
  <si>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</si>
  <si>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</si>
  <si>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</si>
  <si>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</si>
  <si>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</si>
  <si>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</si>
  <si>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</si>
  <si>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</si>
  <si>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</si>
  <si>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</si>
  <si>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</si>
  <si>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</si>
  <si>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</si>
  <si>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</si>
  <si>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</si>
  <si>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</si>
  <si>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</si>
  <si>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</si>
  <si>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</si>
  <si>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</si>
  <si>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</si>
  <si>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</si>
  <si>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</si>
  <si>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</si>
  <si>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</si>
  <si>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</si>
  <si>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</si>
  <si>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</si>
  <si>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</si>
  <si>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</si>
  <si>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</si>
  <si>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</si>
  <si>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</si>
  <si>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</si>
  <si>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</si>
  <si>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</si>
  <si>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</si>
  <si>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</si>
  <si>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</si>
  <si>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</si>
  <si>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</si>
  <si>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</si>
  <si>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</si>
  <si>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</si>
  <si>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</si>
  <si>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</si>
  <si>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</si>
  <si>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</si>
  <si>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</si>
  <si>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</si>
  <si>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</si>
  <si>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</si>
  <si>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</si>
  <si>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</si>
  <si>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</si>
  <si>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</si>
  <si>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</si>
  <si>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</si>
  <si>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</si>
  <si>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</si>
  <si>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</si>
  <si>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</si>
  <si>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</si>
  <si>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</si>
  <si>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</si>
  <si>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</si>
  <si>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</si>
  <si>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</si>
  <si>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</si>
  <si>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</si>
  <si>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</si>
  <si>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</si>
  <si>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</si>
  <si>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</si>
  <si>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</si>
  <si>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</si>
  <si>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</si>
  <si>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</si>
  <si>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</si>
  <si>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</si>
  <si>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</si>
  <si>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</si>
  <si>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</si>
  <si>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</si>
  <si>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</si>
  <si>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</si>
  <si>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</si>
  <si>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</si>
  <si>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</si>
  <si>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</si>
  <si>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</si>
  <si>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</si>
  <si>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</si>
  <si>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</si>
  <si>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</si>
  <si>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</si>
  <si>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</si>
  <si>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</si>
  <si>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</si>
  <si>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</si>
  <si>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</si>
  <si>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</si>
  <si>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</si>
  <si>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</si>
  <si>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</si>
  <si>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</si>
  <si>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</si>
  <si>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</si>
  <si>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</si>
  <si>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</si>
  <si>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</si>
  <si>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</si>
  <si>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</si>
  <si>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</si>
  <si>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</si>
  <si>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</si>
  <si>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</si>
  <si>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</si>
  <si>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</si>
  <si>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</si>
  <si>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</si>
  <si>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</si>
  <si>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</si>
  <si>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</si>
  <si>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</si>
  <si>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</si>
  <si>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</si>
  <si>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</si>
  <si>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</si>
  <si>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</si>
  <si>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</si>
  <si>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</si>
  <si>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</si>
  <si>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</si>
  <si>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</si>
  <si>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</si>
  <si>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</si>
  <si>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</si>
  <si>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</si>
  <si>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</si>
  <si>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</si>
  <si>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</si>
  <si>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</si>
  <si>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</si>
  <si>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</si>
  <si>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</si>
  <si>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</si>
  <si>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</si>
  <si>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</si>
  <si>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</si>
  <si>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</si>
  <si>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</si>
  <si>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</si>
  <si>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</si>
  <si>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</si>
  <si>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</si>
  <si>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</si>
  <si>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</si>
  <si>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</si>
  <si>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</si>
  <si>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</si>
  <si>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</si>
  <si>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</si>
  <si>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</si>
  <si>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</si>
  <si>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</si>
  <si>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</si>
  <si>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</si>
  <si>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</si>
  <si>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</si>
  <si>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</si>
  <si>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</si>
  <si>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</si>
  <si>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</si>
  <si>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</si>
  <si>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</si>
  <si>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</si>
  <si>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</si>
  <si>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</si>
  <si>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</si>
  <si>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</si>
  <si>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</si>
  <si>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</si>
  <si>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</si>
  <si>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</si>
  <si>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</si>
  <si>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</si>
  <si>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</si>
  <si>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</si>
  <si>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</si>
  <si>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</si>
  <si>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</si>
  <si>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</si>
  <si>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</si>
  <si>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</si>
  <si>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</si>
  <si>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</si>
  <si>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</si>
  <si>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</si>
  <si>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</si>
  <si>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</si>
  <si>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</si>
  <si>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</si>
  <si>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</si>
  <si>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</si>
  <si>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</si>
  <si>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</si>
  <si>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</si>
  <si>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</si>
  <si>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</si>
  <si>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</si>
  <si>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</si>
  <si>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</si>
  <si>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</si>
  <si>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</si>
  <si>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</si>
  <si>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</si>
  <si>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</si>
  <si>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</si>
  <si>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</si>
  <si>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</si>
  <si>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</si>
  <si>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</si>
  <si>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</si>
  <si>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</si>
  <si>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</si>
  <si>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</si>
  <si>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</si>
  <si>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</si>
  <si>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</si>
  <si>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</si>
  <si>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</si>
  <si>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</si>
  <si>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</si>
  <si>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</si>
  <si>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</si>
  <si>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</si>
  <si>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</si>
  <si>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</si>
  <si>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</si>
  <si>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</si>
  <si>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</si>
  <si>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</si>
  <si>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</si>
  <si>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</si>
  <si>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</si>
  <si>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</si>
  <si>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</si>
  <si>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</si>
  <si>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</si>
  <si>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</si>
  <si>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</si>
  <si>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</si>
  <si>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</si>
  <si>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</si>
  <si>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</si>
  <si>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</si>
  <si>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</si>
  <si>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</si>
  <si>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</si>
  <si>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</si>
  <si>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</si>
  <si>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</si>
  <si>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</si>
  <si>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</si>
  <si>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</si>
  <si>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</si>
  <si>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</si>
  <si>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</si>
  <si>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</si>
  <si>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</si>
  <si>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</si>
  <si>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</si>
  <si>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</si>
  <si>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</si>
  <si>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</si>
  <si>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</si>
  <si>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</si>
  <si>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</si>
  <si>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</si>
  <si>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</si>
  <si>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</si>
  <si>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</si>
  <si>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</si>
  <si>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</si>
  <si>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</si>
  <si>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</si>
  <si>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</si>
  <si>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</si>
  <si>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</si>
  <si>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</si>
  <si>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</si>
  <si>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</si>
  <si>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</si>
  <si>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</si>
  <si>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</si>
  <si>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</si>
  <si>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</si>
  <si>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</si>
  <si>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</si>
  <si>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</si>
  <si>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</si>
  <si>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</si>
  <si>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</si>
  <si>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</si>
  <si>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</si>
  <si>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</si>
  <si>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</si>
  <si>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</si>
  <si>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</si>
  <si>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</si>
  <si>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</si>
  <si>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</si>
  <si>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</si>
  <si>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</si>
  <si>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</si>
  <si>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</si>
  <si>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</si>
  <si>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</si>
  <si>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</si>
  <si>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</si>
  <si>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</si>
  <si>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</si>
  <si>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</si>
  <si>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</si>
  <si>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</si>
  <si>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</si>
  <si>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</si>
  <si>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</si>
  <si>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</si>
  <si>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</si>
  <si>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</si>
  <si>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</si>
  <si>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</si>
  <si>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</si>
  <si>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</si>
  <si>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</si>
  <si>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</si>
  <si>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</si>
  <si>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</si>
  <si>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</si>
  <si>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</si>
  <si>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</si>
  <si>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</si>
  <si>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</si>
  <si>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</si>
  <si>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</si>
  <si>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</si>
  <si>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</si>
  <si>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</si>
  <si>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</si>
  <si>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</si>
  <si>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</si>
  <si>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</si>
  <si>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</si>
  <si>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</si>
  <si>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</si>
  <si>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</si>
  <si>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</si>
  <si>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</si>
  <si>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</si>
  <si>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</si>
  <si>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</si>
  <si>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</si>
  <si>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</si>
  <si>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</si>
  <si>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</si>
  <si>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</si>
  <si>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</si>
  <si>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</si>
  <si>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</si>
  <si>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</si>
  <si>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</si>
  <si>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</si>
  <si>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</si>
  <si>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</si>
  <si>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</si>
  <si>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</si>
  <si>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</si>
  <si>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</si>
  <si>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</si>
  <si>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</si>
  <si>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</si>
  <si>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</si>
  <si>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</si>
  <si>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</si>
  <si>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</si>
  <si>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</si>
  <si>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</si>
  <si>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</si>
  <si>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</si>
  <si>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</si>
  <si>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</si>
  <si>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</si>
  <si>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</si>
  <si>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</si>
  <si>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</si>
  <si>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</si>
  <si>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</si>
  <si>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</si>
  <si>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</si>
  <si>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</si>
  <si>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</si>
  <si>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</si>
  <si>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</si>
  <si>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</si>
  <si>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</si>
  <si>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</si>
  <si>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</si>
  <si>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</si>
  <si>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</si>
  <si>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</si>
  <si>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</si>
  <si>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</si>
  <si>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</si>
  <si>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</si>
  <si>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</si>
  <si>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</si>
  <si>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</si>
  <si>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</si>
  <si>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</si>
  <si>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</si>
  <si>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</si>
  <si>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</si>
  <si>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</si>
  <si>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</si>
  <si>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</si>
  <si>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</si>
  <si>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</si>
  <si>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</si>
  <si>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</si>
  <si>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</si>
  <si>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</si>
  <si>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</si>
  <si>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</si>
  <si>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</si>
  <si>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</si>
  <si>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</si>
  <si>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</si>
  <si>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</si>
  <si>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</si>
  <si>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</si>
  <si>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</si>
  <si>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</si>
  <si>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</si>
  <si>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</si>
  <si>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</si>
  <si>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</si>
  <si>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</si>
  <si>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</si>
  <si>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</si>
  <si>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</si>
  <si>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</si>
  <si>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</si>
  <si>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</si>
  <si>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</si>
  <si>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</si>
  <si>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</si>
  <si>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</si>
  <si>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</si>
  <si>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</si>
  <si>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</si>
  <si>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</si>
  <si>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</si>
  <si>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</si>
  <si>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</si>
  <si>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</si>
  <si>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</si>
  <si>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</si>
  <si>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</si>
  <si>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</si>
  <si>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</si>
  <si>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</si>
  <si>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</si>
  <si>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</si>
  <si>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</si>
  <si>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</si>
  <si>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</si>
  <si>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</si>
  <si>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</si>
  <si>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</si>
  <si>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</si>
  <si>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</si>
  <si>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</si>
  <si>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</si>
  <si>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</si>
  <si>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</si>
  <si>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</si>
  <si>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</si>
  <si>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</si>
  <si>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</si>
  <si>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</si>
  <si>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</si>
  <si>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</si>
  <si>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</si>
  <si>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</si>
  <si>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</si>
  <si>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</si>
  <si>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</si>
  <si>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</si>
  <si>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1 Small Chest</t>
  </si>
  <si>
    <t>Isaac's D6</t>
  </si>
  <si>
    <t>50 Gold</t>
  </si>
  <si>
    <t>1 Spell</t>
  </si>
  <si>
    <t>Spells</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</si>
  <si>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</si>
  <si>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</si>
  <si>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</si>
  <si>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</si>
  <si>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</si>
  <si>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</si>
  <si>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</si>
  <si>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</si>
  <si>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</si>
  <si>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</si>
  <si>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</si>
  <si>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</si>
  <si>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</si>
  <si>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</si>
  <si>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</si>
  <si>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</si>
  <si>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</si>
  <si>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</si>
  <si>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</si>
  <si>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</si>
  <si>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</si>
  <si>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</si>
  <si>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</si>
  <si>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</si>
  <si>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</si>
  <si>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</si>
  <si>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</si>
  <si>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</si>
  <si>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</si>
  <si>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</si>
  <si>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</si>
  <si>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</si>
  <si>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</si>
  <si>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</si>
  <si>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</si>
  <si>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</si>
  <si>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</si>
  <si>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</si>
  <si>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</si>
  <si>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</si>
  <si>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</si>
  <si>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</si>
  <si>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</si>
  <si>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</si>
  <si>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</si>
  <si>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</si>
  <si>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</si>
  <si>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</si>
  <si>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</si>
  <si>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</si>
  <si>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</si>
  <si>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</si>
  <si>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</si>
  <si>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</si>
  <si>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</si>
  <si>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</si>
  <si>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</si>
  <si>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</si>
  <si>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</si>
  <si>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</si>
  <si>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</si>
  <si>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</si>
  <si>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</si>
  <si>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</si>
  <si>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</si>
  <si>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</si>
  <si>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</si>
  <si>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</si>
  <si>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</si>
  <si>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</si>
  <si>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</si>
  <si>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</si>
  <si>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</si>
  <si>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</si>
  <si>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</si>
  <si>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</si>
  <si>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</si>
  <si>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</si>
  <si>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</si>
  <si>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</si>
  <si>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</si>
  <si>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</si>
  <si>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</si>
  <si>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</si>
  <si>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</si>
  <si>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</si>
  <si>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</si>
  <si>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</si>
  <si>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</si>
  <si>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</si>
  <si>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</si>
  <si>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</si>
  <si>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</si>
  <si>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</si>
  <si>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</si>
  <si>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</si>
  <si>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</si>
  <si>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</si>
  <si>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</si>
  <si>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</si>
  <si>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</si>
  <si>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</si>
  <si>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</si>
  <si>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</si>
  <si>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</si>
  <si>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</si>
  <si>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</si>
  <si>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</si>
  <si>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</si>
  <si>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</si>
  <si>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</si>
  <si>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</si>
  <si>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</si>
  <si>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</si>
  <si>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</si>
  <si>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</si>
  <si>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</si>
  <si>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</si>
  <si>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</si>
  <si>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</si>
  <si>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</si>
  <si>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</si>
  <si>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</si>
  <si>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</si>
  <si>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</si>
  <si>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</si>
  <si>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</si>
  <si>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</si>
  <si>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</si>
  <si>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</si>
  <si>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</si>
  <si>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</si>
  <si>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</si>
  <si>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</si>
  <si>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</si>
  <si>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</si>
  <si>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</si>
  <si>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</si>
  <si>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</si>
  <si>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</si>
  <si>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</si>
  <si>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</si>
  <si>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</si>
  <si>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</si>
  <si>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</si>
  <si>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</si>
  <si>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</si>
  <si>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</si>
  <si>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</si>
  <si>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</si>
  <si>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</si>
  <si>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</si>
  <si>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</si>
  <si>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</si>
  <si>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</si>
  <si>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</si>
  <si>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</si>
  <si>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</si>
  <si>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</si>
  <si>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</si>
  <si>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</si>
  <si>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</si>
  <si>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</si>
  <si>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</si>
  <si>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</si>
  <si>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</si>
  <si>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</si>
  <si>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</si>
  <si>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</si>
  <si>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</si>
  <si>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</si>
  <si>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</si>
  <si>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</si>
  <si>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</si>
  <si>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</si>
  <si>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</si>
  <si>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</si>
  <si>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</si>
  <si>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</si>
  <si>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</si>
  <si>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</si>
  <si>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</si>
  <si>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</si>
  <si>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</si>
  <si>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</si>
  <si>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</si>
  <si>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</si>
  <si>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</si>
  <si>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</si>
  <si>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</si>
  <si>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</si>
  <si>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</si>
  <si>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</si>
  <si>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</si>
  <si>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</si>
  <si>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</si>
  <si>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</si>
  <si>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</si>
  <si>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</si>
  <si>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</si>
  <si>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</si>
  <si>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</si>
  <si>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</si>
  <si>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</si>
  <si>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</si>
  <si>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</si>
  <si>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</si>
  <si>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</si>
  <si>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</si>
  <si>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</si>
  <si>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</si>
  <si>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</si>
  <si>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</si>
  <si>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</si>
  <si>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</si>
  <si>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</si>
  <si>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</si>
  <si>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</si>
  <si>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</si>
  <si>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</si>
  <si>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</si>
  <si>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</si>
  <si>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</si>
  <si>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</si>
  <si>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</si>
  <si>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</si>
  <si>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</si>
  <si>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</si>
  <si>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</si>
  <si>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</si>
  <si>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</si>
  <si>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</si>
  <si>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</si>
  <si>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</si>
  <si>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</si>
  <si>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</si>
  <si>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</si>
  <si>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</si>
  <si>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</si>
  <si>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</si>
  <si>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</si>
  <si>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</si>
  <si>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</si>
  <si>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</si>
  <si>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</si>
  <si>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</si>
  <si>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</si>
  <si>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</si>
  <si>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</si>
  <si>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</si>
  <si>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</si>
  <si>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</si>
  <si>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</si>
  <si>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</si>
  <si>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</si>
  <si>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</si>
  <si>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</si>
  <si>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</si>
  <si>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</si>
  <si>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</si>
  <si>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</si>
  <si>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</si>
  <si>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</si>
  <si>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</si>
  <si>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</si>
  <si>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</si>
  <si>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</si>
  <si>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</si>
  <si>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</si>
  <si>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</si>
  <si>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</si>
  <si>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</si>
  <si>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</si>
  <si>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</si>
  <si>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</si>
  <si>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</si>
  <si>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</si>
  <si>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</si>
  <si>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</si>
  <si>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</si>
  <si>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</si>
  <si>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</si>
  <si>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</si>
  <si>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</si>
  <si>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</si>
  <si>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</si>
  <si>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</si>
  <si>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</si>
  <si>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</si>
  <si>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</si>
  <si>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</si>
  <si>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</si>
  <si>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</si>
  <si>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</si>
  <si>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</si>
  <si>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</si>
  <si>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</si>
  <si>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</si>
  <si>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</si>
  <si>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</si>
  <si>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</si>
  <si>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</si>
  <si>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</si>
  <si>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</si>
  <si>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</si>
  <si>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</si>
  <si>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</si>
  <si>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</si>
  <si>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</si>
  <si>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</si>
  <si>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</si>
  <si>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</si>
  <si>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</si>
  <si>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</si>
  <si>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</si>
  <si>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</si>
  <si>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</si>
  <si>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</si>
  <si>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</si>
  <si>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</si>
  <si>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</si>
  <si>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</si>
  <si>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</si>
  <si>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</si>
  <si>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</si>
  <si>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</si>
  <si>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</si>
  <si>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</si>
  <si>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</si>
  <si>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</si>
  <si>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</si>
  <si>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</si>
  <si>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</si>
  <si>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</si>
  <si>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</si>
  <si>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</si>
  <si>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</si>
  <si>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</si>
  <si>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</si>
  <si>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</si>
  <si>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</si>
  <si>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</si>
  <si>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</si>
  <si>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</si>
  <si>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</si>
  <si>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</si>
  <si>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</si>
  <si>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</si>
  <si>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</si>
  <si>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</si>
  <si>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</si>
  <si>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</si>
  <si>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</si>
  <si>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</si>
  <si>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</si>
  <si>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</si>
  <si>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</si>
  <si>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</si>
  <si>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</si>
  <si>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</si>
  <si>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</si>
  <si>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</si>
  <si>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</si>
  <si>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</si>
  <si>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</si>
  <si>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</si>
  <si>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</si>
  <si>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</si>
  <si>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</si>
  <si>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</si>
  <si>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</si>
  <si>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</si>
  <si>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</si>
  <si>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</si>
  <si>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</si>
  <si>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</si>
  <si>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</si>
  <si>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</si>
  <si>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</si>
  <si>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</si>
  <si>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</si>
  <si>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</si>
  <si>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</si>
  <si>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</si>
  <si>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</si>
  <si>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</si>
  <si>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</si>
  <si>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</si>
  <si>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</si>
  <si>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</si>
  <si>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</si>
  <si>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</si>
  <si>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</si>
  <si>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</si>
  <si>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</si>
  <si>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</si>
  <si>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</si>
  <si>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</si>
  <si>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</si>
  <si>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</si>
  <si>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</si>
  <si>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</si>
  <si>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</si>
  <si>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</si>
  <si>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</si>
  <si>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</si>
  <si>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</si>
  <si>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</si>
  <si>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</si>
  <si>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</si>
  <si>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</si>
  <si>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</si>
  <si>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</si>
  <si>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</si>
  <si>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</si>
  <si>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</si>
  <si>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</si>
  <si>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</si>
  <si>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</si>
  <si>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</si>
  <si>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</si>
  <si>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</si>
  <si>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</si>
  <si>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</si>
  <si>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</si>
  <si>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</si>
  <si>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</si>
  <si>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</si>
  <si>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</si>
  <si>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</si>
  <si>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</si>
  <si>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</si>
  <si>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</si>
  <si>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</si>
  <si>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</si>
  <si>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</si>
  <si>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</si>
  <si>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</si>
  <si>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</si>
  <si>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</si>
  <si>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</si>
  <si>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</si>
  <si>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</si>
  <si>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</si>
  <si>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</si>
  <si>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</si>
  <si>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</si>
  <si>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</si>
  <si>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</si>
  <si>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</si>
  <si>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</si>
  <si>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</si>
  <si>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</si>
  <si>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</si>
  <si>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</si>
  <si>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</si>
  <si>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</si>
  <si>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</si>
  <si>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</si>
  <si>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</si>
  <si>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</si>
  <si>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</si>
  <si>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</si>
  <si>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</si>
  <si>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</si>
  <si>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</si>
  <si>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</si>
  <si>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</si>
  <si>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</si>
  <si>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</si>
  <si>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</si>
  <si>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</si>
  <si>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</si>
  <si>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</si>
  <si>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</si>
  <si>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</si>
  <si>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</si>
  <si>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</si>
  <si>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</si>
  <si>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</si>
  <si>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</si>
  <si>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</si>
  <si>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</si>
  <si>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</si>
  <si>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</si>
  <si>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</si>
  <si>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</si>
  <si>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</si>
  <si>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</si>
  <si>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</si>
  <si>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</si>
  <si>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</si>
  <si>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</si>
  <si>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</si>
  <si>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</si>
  <si>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</si>
  <si>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</si>
  <si>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</si>
  <si>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</si>
  <si>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</si>
  <si>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</si>
  <si>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</si>
  <si>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</si>
  <si>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</si>
  <si>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</si>
  <si>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</si>
  <si>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</si>
  <si>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</si>
  <si>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</si>
  <si>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</si>
  <si>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</si>
  <si>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</si>
  <si>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</si>
  <si>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</si>
  <si>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</si>
  <si>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</si>
  <si>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</si>
  <si>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</si>
  <si>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</si>
  <si>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</si>
  <si>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</si>
  <si>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</si>
  <si>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</si>
  <si>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</si>
  <si>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</si>
  <si>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</si>
  <si>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</si>
  <si>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</si>
  <si>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</si>
  <si>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</si>
  <si>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</si>
  <si>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</si>
  <si>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</si>
  <si>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</si>
  <si>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</si>
  <si>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</si>
  <si>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</si>
  <si>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</si>
  <si>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</si>
  <si>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</si>
  <si>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</si>
  <si>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</si>
  <si>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</si>
  <si>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</si>
  <si>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</si>
  <si>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</si>
  <si>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</si>
  <si>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</si>
  <si>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</si>
  <si>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</si>
  <si>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</si>
  <si>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</si>
  <si>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</si>
  <si>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</si>
  <si>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</si>
  <si>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</si>
  <si>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</si>
  <si>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</si>
  <si>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</si>
  <si>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</si>
  <si>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</si>
  <si>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</si>
  <si>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</si>
  <si>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</si>
  <si>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</si>
  <si>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</si>
  <si>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</si>
  <si>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</si>
  <si>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</si>
  <si>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</si>
  <si>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</si>
  <si>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</si>
  <si>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</si>
  <si>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</si>
  <si>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</si>
  <si>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</si>
  <si>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</si>
  <si>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</si>
  <si>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</si>
  <si>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</si>
  <si>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</si>
  <si>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</si>
  <si>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</si>
  <si>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</si>
  <si>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</si>
  <si>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</si>
  <si>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</si>
  <si>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</si>
  <si>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</si>
  <si>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</si>
  <si>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</si>
  <si>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</si>
  <si>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</si>
  <si>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</si>
  <si>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</si>
  <si>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</si>
  <si>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</si>
  <si>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</si>
  <si>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</si>
  <si>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</si>
  <si>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</si>
  <si>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</si>
  <si>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</si>
  <si>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</si>
  <si>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</si>
  <si>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</si>
  <si>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</si>
  <si>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</si>
  <si>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</si>
  <si>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</si>
  <si>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</si>
  <si>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</si>
  <si>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</si>
  <si>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</si>
  <si>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</si>
  <si>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</si>
  <si>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</si>
  <si>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</si>
  <si>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</si>
  <si>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</si>
  <si>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</si>
  <si>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</si>
  <si>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</si>
  <si>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</si>
  <si>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</si>
  <si>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</si>
  <si>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</si>
  <si>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</si>
  <si>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</si>
  <si>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</si>
  <si>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</si>
  <si>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</si>
  <si>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</si>
  <si>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</si>
  <si>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</si>
  <si>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</si>
  <si>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</si>
  <si>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</si>
  <si>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</si>
  <si>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</si>
  <si>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</si>
  <si>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</si>
  <si>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</si>
  <si>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</si>
  <si>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</si>
  <si>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</si>
  <si>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</si>
  <si>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</si>
  <si>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</si>
  <si>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</si>
  <si>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</si>
  <si>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</si>
  <si>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</si>
  <si>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</si>
  <si>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</si>
  <si>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</si>
  <si>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</si>
  <si>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</si>
  <si>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</si>
  <si>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</si>
  <si>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</si>
  <si>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</si>
  <si>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</si>
  <si>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</si>
  <si>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</si>
  <si>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</si>
  <si>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</si>
  <si>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</si>
  <si>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</si>
  <si>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</si>
  <si>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</si>
  <si>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</si>
  <si>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</si>
  <si>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</si>
  <si>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</si>
  <si>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</si>
  <si>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</si>
  <si>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</si>
  <si>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</si>
  <si>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</si>
  <si>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</si>
  <si>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</si>
  <si>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</si>
  <si>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</si>
  <si>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</si>
  <si>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</si>
  <si>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</si>
  <si>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</si>
  <si>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</si>
  <si>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</si>
  <si>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</si>
  <si>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</si>
  <si>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</si>
  <si>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</si>
  <si>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</si>
  <si>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</si>
  <si>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</si>
  <si>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</si>
  <si>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</si>
  <si>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</si>
  <si>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</si>
  <si>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</si>
  <si>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</si>
  <si>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</si>
  <si>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</si>
  <si>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</si>
  <si>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</si>
  <si>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</si>
  <si>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</si>
  <si>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</si>
  <si>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</si>
  <si>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</si>
  <si>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</si>
  <si>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</si>
  <si>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</si>
  <si>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</si>
  <si>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</si>
  <si>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</si>
  <si>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</si>
  <si>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</si>
  <si>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</si>
  <si>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</si>
  <si>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</si>
  <si>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</si>
  <si>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</si>
  <si>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</si>
  <si>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</si>
  <si>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</si>
  <si>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</si>
  <si>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</si>
  <si>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</si>
  <si>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</si>
  <si>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</si>
  <si>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</si>
  <si>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</si>
  <si>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</si>
  <si>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</si>
  <si>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</si>
  <si>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</si>
  <si>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</si>
  <si>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</si>
  <si>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</si>
  <si>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</si>
  <si>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</si>
  <si>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</si>
  <si>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</si>
  <si>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</si>
  <si>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</si>
  <si>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</si>
  <si>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</si>
  <si>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</si>
  <si>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</si>
  <si>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</si>
  <si>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</si>
  <si>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</si>
  <si>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</si>
  <si>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</si>
  <si>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</si>
  <si>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</si>
  <si>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</si>
  <si>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</si>
  <si>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</si>
  <si>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</si>
  <si>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</si>
  <si>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</si>
  <si>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</si>
  <si>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</si>
  <si>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</si>
  <si>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</si>
  <si>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</si>
  <si>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</si>
  <si>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</si>
  <si>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</si>
  <si>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</si>
  <si>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</si>
  <si>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</si>
  <si>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</si>
  <si>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</si>
  <si>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</si>
  <si>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</si>
  <si>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</si>
  <si>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</si>
  <si>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</si>
  <si>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</si>
  <si>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</si>
  <si>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</si>
  <si>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</si>
  <si>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</si>
  <si>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</si>
  <si>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</si>
  <si>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</si>
  <si>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</si>
  <si>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</si>
  <si>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</si>
  <si>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</si>
  <si>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</si>
  <si>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</si>
  <si>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</si>
  <si>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</si>
  <si>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</si>
  <si>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</si>
  <si>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</si>
  <si>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</si>
  <si>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</si>
  <si>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</si>
  <si>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</si>
  <si>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</si>
  <si>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</si>
  <si>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</si>
  <si>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</si>
  <si>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</si>
  <si>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</si>
  <si>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</si>
  <si>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</si>
  <si>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</si>
  <si>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</si>
  <si>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</si>
  <si>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</si>
  <si>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</si>
  <si>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</si>
  <si>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</si>
  <si>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</si>
  <si>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</si>
  <si>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</si>
  <si>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</si>
  <si>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</si>
  <si>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</si>
  <si>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</si>
  <si>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</si>
  <si>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</si>
  <si>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</si>
  <si>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</si>
  <si>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</si>
  <si>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</si>
  <si>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</si>
  <si>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</si>
  <si>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</si>
  <si>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</si>
  <si>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</si>
  <si>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</si>
  <si>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</si>
  <si>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</si>
  <si>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</si>
  <si>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</si>
  <si>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</si>
  <si>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</si>
  <si>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</si>
  <si>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</si>
  <si>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</si>
  <si>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</si>
  <si>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</si>
  <si>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</si>
  <si>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</si>
  <si>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</si>
  <si>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</si>
  <si>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</si>
  <si>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</si>
  <si>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</si>
  <si>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</si>
  <si>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</si>
  <si>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</si>
  <si>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</si>
  <si>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</si>
  <si>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</si>
  <si>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</si>
  <si>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</si>
  <si>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</si>
  <si>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</si>
  <si>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</si>
  <si>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</si>
  <si>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</si>
  <si>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</si>
  <si>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</si>
  <si>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</si>
  <si>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</si>
  <si>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</si>
  <si>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</si>
  <si>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</si>
  <si>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</si>
  <si>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</si>
  <si>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</si>
  <si>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</si>
  <si>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</si>
  <si>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</si>
  <si>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</si>
  <si>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</si>
  <si>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</si>
  <si>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</si>
  <si>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</si>
  <si>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</si>
  <si>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</si>
  <si>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</si>
  <si>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</si>
  <si>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</si>
  <si>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</si>
  <si>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</si>
  <si>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</si>
  <si>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</si>
  <si>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</si>
  <si>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</si>
  <si>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</si>
  <si>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</si>
  <si>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</si>
  <si>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</si>
  <si>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</si>
  <si>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</si>
  <si>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</si>
  <si>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</si>
  <si>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</si>
  <si>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</si>
  <si>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</si>
  <si>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</si>
  <si>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</si>
  <si>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</si>
  <si>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</si>
  <si>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</si>
  <si>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</si>
  <si>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</si>
  <si>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</si>
  <si>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</si>
  <si>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</si>
  <si>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</si>
  <si>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</si>
  <si>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</si>
  <si>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</si>
  <si>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</si>
  <si>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</si>
  <si>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</si>
  <si>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</si>
  <si>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</si>
  <si>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</si>
  <si>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</si>
  <si>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</si>
  <si>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</si>
  <si>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</si>
  <si>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</si>
  <si>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</si>
  <si>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</si>
  <si>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</si>
  <si>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</si>
  <si>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</si>
  <si>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</si>
  <si>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</si>
  <si>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</si>
  <si>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</si>
  <si>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</si>
  <si>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</si>
  <si>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</si>
  <si>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</si>
  <si>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</si>
  <si>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</si>
  <si>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</si>
  <si>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</si>
  <si>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</si>
  <si>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</si>
  <si>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</si>
  <si>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</si>
  <si>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</si>
  <si>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</si>
  <si>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</si>
  <si>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</si>
  <si>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</si>
  <si>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</si>
  <si>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</si>
  <si>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</si>
  <si>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</si>
  <si>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</si>
  <si>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</si>
  <si>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</si>
  <si>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</si>
  <si>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</si>
  <si>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</si>
  <si>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</si>
  <si>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</si>
  <si>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</si>
  <si>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</si>
  <si>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</si>
  <si>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</si>
  <si>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</si>
  <si>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</si>
  <si>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</si>
  <si>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</si>
  <si>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</si>
  <si>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</si>
  <si>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</si>
  <si>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</si>
  <si>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</si>
  <si>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</si>
  <si>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</si>
  <si>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</si>
  <si>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</si>
  <si>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</si>
  <si>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</si>
  <si>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</si>
  <si>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</si>
  <si>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</si>
  <si>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</si>
  <si>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</si>
  <si>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</si>
  <si>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</si>
  <si>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</si>
  <si>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</si>
  <si>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</si>
  <si>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</si>
  <si>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</si>
  <si>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</si>
  <si>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</si>
  <si>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</si>
  <si>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</si>
  <si>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</si>
  <si>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</si>
  <si>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</si>
  <si>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</si>
  <si>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</si>
  <si>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</si>
  <si>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</si>
  <si>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</si>
  <si>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</si>
  <si>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</si>
  <si>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</si>
  <si>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</si>
  <si>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</si>
  <si>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</si>
  <si>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</si>
  <si>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</si>
  <si>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</si>
  <si>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</si>
  <si>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</si>
  <si>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</si>
  <si>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</si>
  <si>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</si>
  <si>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</si>
  <si>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</si>
  <si>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</si>
  <si>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</si>
  <si>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</si>
  <si>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</si>
  <si>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</si>
  <si>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</si>
  <si>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</si>
  <si>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</si>
  <si>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</si>
  <si>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</si>
  <si>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</si>
  <si>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</si>
  <si>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</si>
  <si>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</si>
  <si>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</si>
  <si>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</si>
  <si>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</si>
  <si>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</si>
  <si>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</si>
  <si>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</si>
  <si>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</si>
  <si>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</si>
  <si>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</si>
  <si>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</si>
  <si>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</si>
  <si>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</si>
  <si>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</si>
  <si>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</si>
  <si>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</si>
  <si>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</si>
  <si>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</si>
  <si>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</si>
  <si>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</si>
  <si>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</si>
  <si>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</si>
  <si>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</si>
  <si>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</si>
  <si>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</si>
  <si>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</si>
  <si>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</si>
  <si>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</si>
  <si>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</si>
  <si>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</si>
  <si>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</si>
  <si>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</si>
  <si>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</si>
  <si>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</si>
  <si>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</si>
  <si>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</si>
  <si>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</si>
  <si>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</si>
  <si>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</si>
  <si>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</si>
  <si>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</si>
  <si>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</si>
  <si>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</si>
  <si>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</si>
  <si>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</si>
  <si>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</si>
  <si>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</si>
  <si>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</si>
  <si>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</si>
  <si>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</si>
  <si>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</si>
  <si>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</si>
  <si>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</si>
  <si>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</si>
  <si>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</si>
  <si>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</si>
  <si>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</si>
  <si>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</si>
  <si>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</si>
  <si>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</si>
  <si>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</si>
  <si>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</si>
  <si>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</si>
  <si>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</si>
  <si>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</si>
  <si>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</si>
  <si>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</si>
  <si>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</si>
  <si>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</si>
  <si>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</si>
  <si>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</si>
  <si>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</si>
  <si>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</si>
  <si>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</si>
  <si>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</si>
  <si>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</si>
  <si>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</si>
  <si>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</si>
  <si>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</si>
  <si>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</si>
  <si>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</si>
  <si>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</si>
  <si>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</si>
  <si>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</si>
  <si>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</si>
  <si>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</si>
  <si>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</si>
  <si>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</si>
  <si>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</si>
  <si>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</si>
  <si>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</si>
  <si>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</si>
  <si>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</si>
  <si>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</si>
  <si>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</si>
  <si>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</si>
  <si>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</si>
  <si>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</si>
  <si>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</si>
  <si>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</si>
  <si>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</si>
  <si>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</si>
  <si>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</si>
  <si>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</si>
  <si>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</si>
  <si>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</si>
  <si>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</si>
  <si>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</si>
  <si>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</si>
  <si>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</si>
  <si>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</si>
  <si>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</si>
  <si>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</si>
  <si>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</si>
  <si>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</si>
  <si>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</si>
  <si>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</si>
  <si>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</si>
  <si>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</si>
  <si>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</si>
  <si>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</si>
  <si>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</si>
  <si>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</si>
  <si>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</si>
  <si>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</si>
  <si>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</si>
  <si>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</si>
  <si>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</si>
  <si>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</si>
  <si>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</si>
  <si>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</si>
  <si>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</si>
  <si>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</si>
  <si>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</si>
  <si>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</si>
  <si>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</si>
  <si>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</si>
  <si>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</si>
  <si>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</si>
  <si>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</si>
  <si>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</si>
  <si>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</si>
  <si>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</si>
  <si>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</si>
  <si>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</si>
  <si>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</si>
  <si>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</si>
  <si>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</si>
  <si>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</si>
  <si>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</si>
  <si>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</si>
  <si>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</si>
  <si>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</si>
  <si>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</si>
  <si>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</si>
  <si>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</si>
  <si>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</si>
  <si>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</si>
  <si>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</si>
  <si>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</si>
  <si>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</si>
  <si>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</si>
  <si>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</si>
  <si>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</si>
  <si>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</si>
  <si>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</si>
  <si>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</si>
  <si>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</si>
  <si>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</si>
  <si>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</si>
  <si>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</si>
  <si>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</si>
  <si>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</si>
  <si>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</si>
  <si>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</si>
  <si>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</si>
  <si>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</si>
  <si>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</si>
  <si>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</si>
  <si>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</si>
  <si>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</si>
  <si>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</si>
  <si>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</si>
  <si>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</si>
  <si>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</si>
  <si>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</si>
  <si>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</si>
  <si>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</si>
  <si>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</si>
  <si>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</si>
  <si>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</si>
  <si>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</si>
  <si>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</si>
  <si>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</si>
  <si>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</si>
  <si>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</si>
  <si>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</si>
  <si>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</si>
  <si>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</si>
  <si>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</si>
  <si>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</si>
  <si>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</si>
  <si>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</si>
  <si>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</si>
  <si>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</si>
  <si>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</si>
  <si>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</si>
  <si>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</si>
  <si>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</si>
  <si>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</si>
  <si>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</si>
  <si>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</si>
  <si>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</si>
  <si>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</si>
  <si>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</si>
  <si>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</si>
  <si>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</si>
  <si>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</si>
  <si>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</si>
  <si>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</si>
  <si>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</si>
  <si>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</si>
  <si>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</si>
  <si>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</si>
  <si>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</si>
  <si>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</si>
  <si>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</si>
  <si>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</si>
  <si>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</si>
  <si>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</si>
  <si>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</si>
  <si>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</si>
  <si>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</si>
  <si>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</si>
  <si>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</si>
  <si>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</si>
  <si>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</si>
  <si>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</si>
  <si>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</si>
  <si>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</si>
  <si>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</si>
  <si>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</si>
  <si>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</si>
  <si>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</si>
  <si>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</si>
  <si>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</si>
  <si>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</si>
  <si>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</si>
  <si>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</si>
  <si>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</si>
  <si>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</si>
  <si>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</si>
  <si>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</si>
  <si>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</si>
  <si>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</si>
  <si>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</si>
  <si>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</si>
  <si>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</si>
  <si>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</si>
  <si>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</si>
  <si>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</si>
  <si>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</si>
  <si>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</si>
  <si>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</si>
  <si>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</si>
  <si>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</si>
  <si>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</si>
  <si>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</si>
  <si>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</si>
  <si>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</si>
  <si>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</si>
  <si>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</si>
  <si>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</si>
  <si>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</si>
  <si>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</si>
  <si>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</si>
  <si>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</si>
  <si>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</si>
  <si>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</si>
  <si>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</si>
  <si>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</si>
  <si>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</si>
  <si>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</si>
  <si>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</si>
  <si>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</si>
  <si>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</si>
  <si>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</si>
  <si>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</si>
  <si>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</si>
  <si>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</si>
  <si>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</si>
  <si>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</si>
  <si>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</si>
  <si>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</si>
  <si>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</si>
  <si>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</si>
  <si>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</si>
  <si>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</si>
  <si>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</si>
  <si>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</si>
  <si>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</si>
  <si>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</si>
  <si>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</si>
  <si>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</si>
  <si>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</si>
  <si>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</si>
  <si>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</si>
  <si>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</si>
  <si>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</si>
  <si>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</si>
  <si>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</si>
  <si>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</si>
  <si>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</si>
  <si>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</si>
  <si>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</si>
  <si>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</si>
  <si>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</si>
  <si>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</si>
  <si>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</si>
  <si>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</si>
  <si>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</si>
  <si>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</si>
  <si>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</si>
  <si>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</si>
  <si>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</si>
  <si>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</si>
  <si>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</si>
  <si>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</si>
  <si>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</si>
  <si>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</si>
  <si>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</si>
  <si>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</si>
  <si>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</si>
  <si>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</si>
  <si>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</si>
  <si>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</si>
  <si>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</si>
  <si>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</si>
  <si>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</si>
  <si>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</si>
  <si>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</si>
  <si>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</si>
  <si>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</si>
  <si>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</si>
  <si>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</si>
  <si>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</si>
  <si>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</si>
  <si>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Gold</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</si>
  <si>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</si>
  <si>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</si>
  <si>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</si>
  <si>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</si>
  <si>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</si>
  <si>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</si>
  <si>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</si>
  <si>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</si>
  <si>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</si>
  <si>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</si>
  <si>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</si>
  <si>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</si>
  <si>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</si>
  <si>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</si>
  <si>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</si>
  <si>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</si>
  <si>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</si>
  <si>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</si>
  <si>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</si>
  <si>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</si>
  <si>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</si>
  <si>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</si>
  <si>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</si>
  <si>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</si>
  <si>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</si>
  <si>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</si>
  <si>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</si>
  <si>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</si>
  <si>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</si>
  <si>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</si>
  <si>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</si>
  <si>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</si>
  <si>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</si>
  <si>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</si>
  <si>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</si>
  <si>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</si>
  <si>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</si>
  <si>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</si>
  <si>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</si>
  <si>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</si>
  <si>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</si>
  <si>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</si>
  <si>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</si>
  <si>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</si>
  <si>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</si>
  <si>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</si>
  <si>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</si>
  <si>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</si>
  <si>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</si>
  <si>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</si>
  <si>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</si>
  <si>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</si>
  <si>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</si>
  <si>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</si>
  <si>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</si>
  <si>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</si>
  <si>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</si>
  <si>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</si>
  <si>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</si>
  <si>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</si>
  <si>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</si>
  <si>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</si>
  <si>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</si>
  <si>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</si>
  <si>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</si>
  <si>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</si>
  <si>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</si>
  <si>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</si>
  <si>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</si>
  <si>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</si>
  <si>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</si>
  <si>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</si>
  <si>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</si>
  <si>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</si>
  <si>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</si>
  <si>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</si>
  <si>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</si>
  <si>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</si>
  <si>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</si>
  <si>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</si>
  <si>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</si>
  <si>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</si>
  <si>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</si>
  <si>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</si>
  <si>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</si>
  <si>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</si>
  <si>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</si>
  <si>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</si>
  <si>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</si>
  <si>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</si>
  <si>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</si>
  <si>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</si>
  <si>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</si>
  <si>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</si>
  <si>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</si>
  <si>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</si>
  <si>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</si>
  <si>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</si>
  <si>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</si>
  <si>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</si>
  <si>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</si>
  <si>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</si>
  <si>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</si>
  <si>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</si>
  <si>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</si>
  <si>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</si>
  <si>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</si>
  <si>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</si>
  <si>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</si>
  <si>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</si>
  <si>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</si>
  <si>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</si>
  <si>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</si>
  <si>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</si>
  <si>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</si>
  <si>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</si>
  <si>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</si>
  <si>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</si>
  <si>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</si>
  <si>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</si>
  <si>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</si>
  <si>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</si>
  <si>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</si>
  <si>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</si>
  <si>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</si>
  <si>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</si>
  <si>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</si>
  <si>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</si>
  <si>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</si>
  <si>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</si>
  <si>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</si>
  <si>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</si>
  <si>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</si>
  <si>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</si>
  <si>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</si>
  <si>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</si>
  <si>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</si>
  <si>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</si>
  <si>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</si>
  <si>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</si>
  <si>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</si>
  <si>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</si>
  <si>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</si>
  <si>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</si>
  <si>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</si>
  <si>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</si>
  <si>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</si>
  <si>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</si>
  <si>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</si>
  <si>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</si>
  <si>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</si>
  <si>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</si>
  <si>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</si>
  <si>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</si>
  <si>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</si>
  <si>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</si>
  <si>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</si>
  <si>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</si>
  <si>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</si>
  <si>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</si>
  <si>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</si>
  <si>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</si>
  <si>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</si>
  <si>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</si>
  <si>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</si>
  <si>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</si>
  <si>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</si>
  <si>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</si>
  <si>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</si>
  <si>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</si>
  <si>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</si>
  <si>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</si>
  <si>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</si>
  <si>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</si>
  <si>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</si>
  <si>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</si>
  <si>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</si>
  <si>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</si>
  <si>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</si>
  <si>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</si>
  <si>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</si>
  <si>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</si>
  <si>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</si>
  <si>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</si>
  <si>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</si>
  <si>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</si>
  <si>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</si>
  <si>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</si>
  <si>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</si>
  <si>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</si>
  <si>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</si>
  <si>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</si>
  <si>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</si>
  <si>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</si>
  <si>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</si>
  <si>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</si>
  <si>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</si>
  <si>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</si>
  <si>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</si>
  <si>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</si>
  <si>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</si>
  <si>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</si>
  <si>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</si>
  <si>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</si>
  <si>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</si>
  <si>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</si>
  <si>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</si>
  <si>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</si>
  <si>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</si>
  <si>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</si>
  <si>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</si>
  <si>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</si>
  <si>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</si>
  <si>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</si>
  <si>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</si>
  <si>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</si>
  <si>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</si>
  <si>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</si>
  <si>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</si>
  <si>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</si>
  <si>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</si>
  <si>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</si>
  <si>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</si>
  <si>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</si>
  <si>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</si>
  <si>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</si>
  <si>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</si>
  <si>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</si>
  <si>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</si>
  <si>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</si>
  <si>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</si>
  <si>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</si>
  <si>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</si>
  <si>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</si>
  <si>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</si>
  <si>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</si>
  <si>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</si>
  <si>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</si>
  <si>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</si>
  <si>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</si>
  <si>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</si>
  <si>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</si>
  <si>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</si>
  <si>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</si>
  <si>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</si>
  <si>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</si>
  <si>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</si>
  <si>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</si>
  <si>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</si>
  <si>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</si>
  <si>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</si>
  <si>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</si>
  <si>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</si>
  <si>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</si>
  <si>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</si>
  <si>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</si>
  <si>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</si>
  <si>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</si>
  <si>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</si>
  <si>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</si>
  <si>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</si>
  <si>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</si>
  <si>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</si>
  <si>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</si>
  <si>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</si>
  <si>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</si>
  <si>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</si>
  <si>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</si>
  <si>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</si>
  <si>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</si>
  <si>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</si>
  <si>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</si>
  <si>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</si>
  <si>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</si>
  <si>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</si>
  <si>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</si>
  <si>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</si>
  <si>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</si>
  <si>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</si>
  <si>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</si>
  <si>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</si>
  <si>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</si>
  <si>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</si>
  <si>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</si>
  <si>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</si>
  <si>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</si>
  <si>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</si>
  <si>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</si>
  <si>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</si>
  <si>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</si>
  <si>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</si>
  <si>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</si>
  <si>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</si>
  <si>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</si>
  <si>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</si>
  <si>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</si>
  <si>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</si>
  <si>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</si>
  <si>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</si>
  <si>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</si>
  <si>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</si>
  <si>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</si>
  <si>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</si>
  <si>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</si>
  <si>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</si>
  <si>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</si>
  <si>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</si>
  <si>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</si>
  <si>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</si>
  <si>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</si>
  <si>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</si>
  <si>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</si>
  <si>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</si>
  <si>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</si>
  <si>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</si>
  <si>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</si>
  <si>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</si>
  <si>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</si>
  <si>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</si>
  <si>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</si>
  <si>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</si>
  <si>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</si>
  <si>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</si>
  <si>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</si>
  <si>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</si>
  <si>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</si>
  <si>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</si>
  <si>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</si>
  <si>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</si>
  <si>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</si>
  <si>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</si>
  <si>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</si>
  <si>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Influencer yr</t>
  </si>
  <si>
    <t>Influencee yr</t>
  </si>
  <si>
    <t>Span (yrs)</t>
  </si>
  <si>
    <t>Zoominoes</t>
  </si>
  <si>
    <t>zoominoes</t>
  </si>
  <si>
    <t>https://store.steampowered.com/app/3282420/Zoominoes/</t>
  </si>
  <si>
    <t>https://www.youtube.com/watch?v=9MTnAtXsJn0</t>
  </si>
  <si>
    <t>Runeveil</t>
  </si>
  <si>
    <t>runeveil</t>
  </si>
  <si>
    <t>https://store.steampowered.com/app/3656560/Runeveil/</t>
  </si>
  <si>
    <t>https://www.reddit.com/r/deckbuildingroguelike/comments/1qszp8o/runeveil_sts_meets_balatro_is_on_steam/</t>
  </si>
  <si>
    <t>Inkbound</t>
  </si>
  <si>
    <t>inkbound</t>
  </si>
  <si>
    <t>https://store.steampowered.com/app/1062810/Inkbound/</t>
  </si>
  <si>
    <t>C:\Users\Owner\Documents\Roguelike Roguelike\Roguelikes\Inkbound.url</t>
  </si>
  <si>
    <t>C:\Users\Owner\Documents\Roguelike Roguelike\Roguelikes\Dice With Death.url</t>
  </si>
  <si>
    <t>https://store.steampowered.com/app/3435260/Dice_With_Death/</t>
  </si>
  <si>
    <t>https://www.moguragames.com/smokingwolfinterview/</t>
  </si>
  <si>
    <t>https://store.steampowered.com/app/266210/One_Way_Heroics/</t>
  </si>
  <si>
    <t>One Way Heroics</t>
  </si>
  <si>
    <t>one-way-heroics</t>
  </si>
  <si>
    <t>C:\Users\Owner\Documents\Roguelike Roguelike\Roguelikes\One Way Heroics.url</t>
  </si>
  <si>
    <t>Mystery Chronicle: One Way Heroics</t>
  </si>
  <si>
    <t>mystery-chronicle-one-way-heroics</t>
  </si>
  <si>
    <t>https://store.steampowered.com/app/409000/Mystery_Chronicle_One_Way_Heroics/</t>
  </si>
  <si>
    <t>Mine-r Construction</t>
  </si>
  <si>
    <t xml:space="preserve">Increase the Grid length and width by 1 </t>
  </si>
  <si>
    <t>MinerConstruction</t>
  </si>
  <si>
    <t>Grid</t>
  </si>
  <si>
    <t>Bomb, Grid</t>
  </si>
  <si>
    <t>Spider Kitten</t>
  </si>
  <si>
    <t>SpiderKitten</t>
  </si>
  <si>
    <t>cat, bug, spider</t>
  </si>
  <si>
    <t>Trap an enemy in place</t>
  </si>
  <si>
    <t>Get the true ending on the hardest difficulty possible</t>
  </si>
  <si>
    <t>https://youtu.be/HyhYA69y62c</t>
  </si>
  <si>
    <t>Black Jacket</t>
  </si>
  <si>
    <t>black-jacket</t>
  </si>
  <si>
    <t>https://store.steampowered.com/app/3100370/Black_Jacket/</t>
  </si>
  <si>
    <t>Cluckmech Oasis</t>
  </si>
  <si>
    <t>Cupiclaw</t>
  </si>
  <si>
    <t>cupiclaw</t>
  </si>
  <si>
    <t>https://store.steampowered.com/app/2967670/Cupiclaw/</t>
  </si>
  <si>
    <t>https://store.steampowered.com/app/2453360/Cluckmech_Oasis/</t>
  </si>
  <si>
    <t>cluckmech-oasis</t>
  </si>
  <si>
    <t>https://caifuhao.eastmoney.com/news/20260725235351583816280</t>
  </si>
  <si>
    <t>https://x.com/Typin_/status/2033598772677140518?s=20</t>
  </si>
  <si>
    <t>Rune Dice</t>
  </si>
  <si>
    <t>https://www.reddit.com/r/Games/comments/1ker0jk/rune_dice_smart_raven_studio_peglininspired/</t>
  </si>
  <si>
    <t>https://store.steampowered.com/app/3542380/Rune_Dice/</t>
  </si>
  <si>
    <t>rune-dice</t>
  </si>
  <si>
    <t>Dive or Die: Children of Rain</t>
  </si>
  <si>
    <t>https://store.steampowered.com/news/app/3590290/view/508482584447025703</t>
  </si>
  <si>
    <t>dive-or-die-children-of-rain</t>
  </si>
  <si>
    <t>https://store.steampowered.com/app/3590290/DIVE_or_DIE__Children_of_Rain/</t>
  </si>
  <si>
    <t>https://x.com/Klukva_Games/status/1750485532868522090</t>
  </si>
  <si>
    <t>Dead Weight</t>
  </si>
  <si>
    <t>dead-weight</t>
  </si>
  <si>
    <t>https://store.steampowered.com/app/2646720/Dead_Weight/</t>
  </si>
  <si>
    <t>Ice Slime</t>
  </si>
  <si>
    <t>IceSlime</t>
  </si>
  <si>
    <t>Freeze an enemy</t>
  </si>
  <si>
    <t>slime, ice</t>
  </si>
  <si>
    <t>Numbskull</t>
  </si>
  <si>
    <t>Defeat an animated body part</t>
  </si>
  <si>
    <t>Scylla</t>
  </si>
  <si>
    <t>Perform a song</t>
  </si>
  <si>
    <t>Nemean Chariot</t>
  </si>
  <si>
    <t>Hit an enemy with a vehicle</t>
  </si>
  <si>
    <t>NemeanChariot</t>
  </si>
  <si>
    <t>Gigantic Vermin</t>
  </si>
  <si>
    <t>Defeat a large rodent</t>
  </si>
  <si>
    <t>GiganticVermin</t>
  </si>
  <si>
    <t>rodent, rat</t>
  </si>
  <si>
    <t>Wringer</t>
  </si>
  <si>
    <t>Grab an enemy</t>
  </si>
  <si>
    <t>https://store.steampowered.com/news/app/3372060/view/600783816474231378?l=english</t>
  </si>
  <si>
    <t>Hell Maiden</t>
  </si>
  <si>
    <t>https://www.indie-games.eu/hell-maiden-touhou-meets-vampire-survivors-interview/</t>
  </si>
  <si>
    <t>https://x.com/hellmaidengame/status/1929946431311241324</t>
  </si>
  <si>
    <t>hell-maiden</t>
  </si>
  <si>
    <t>https://store.steampowered.com/app/3372060/Hell_Maiden/</t>
  </si>
  <si>
    <t>West of Dead</t>
  </si>
  <si>
    <t>west-of-dead</t>
  </si>
  <si>
    <t>https://store.steampowered.com/app/1016790/West_of_Dead/</t>
  </si>
  <si>
    <t>https://www.youtube.com/watch?v=dfLSGkKC2ug</t>
  </si>
  <si>
    <t>Chess Survivors</t>
  </si>
  <si>
    <t>https://www.youtube.com/watch?v=SI0_xHvFIKM</t>
  </si>
  <si>
    <t>Hexagod</t>
  </si>
  <si>
    <t>chess-survivors</t>
  </si>
  <si>
    <t>hexagod</t>
  </si>
  <si>
    <t>https://store.steampowered.com/app/2065000/Chess_Survivors/</t>
  </si>
  <si>
    <t>https://store.steampowered.com/app/3059390/Hexagod/</t>
  </si>
  <si>
    <t>Bioprototype</t>
  </si>
  <si>
    <t>bioprototype</t>
  </si>
  <si>
    <t>https://store.steampowered.com/app/3689520/Bioprototype/</t>
  </si>
  <si>
    <t>https://www.reddit.com/r/DestroyMyGame/comments/119wet3/looking_for_feedback_on_this_vs_inspired/</t>
  </si>
  <si>
    <t>Time Survivors</t>
  </si>
  <si>
    <t>time-survivors</t>
  </si>
  <si>
    <t>https://store.steampowered.com/app/2211390/Time_Survivors/</t>
  </si>
  <si>
    <t>https://www.reddit.com/r/Games/comments/16x0fkk/shape_shifter_formations_castec_studios_an_action/</t>
  </si>
  <si>
    <t>Shape Shifter: Formations</t>
  </si>
  <si>
    <t>shape-shifter-formations</t>
  </si>
  <si>
    <t>https://store.steampowered.com/app/2202590/Shape_Shifter_Formations/</t>
  </si>
  <si>
    <t>Elewar: Fused Survivors</t>
  </si>
  <si>
    <t>elewar-fused-survivors</t>
  </si>
  <si>
    <t>https://store.steampowered.com/app/2489560/Elewar_Fused_Survivors/</t>
  </si>
  <si>
    <t>C:\Users\Owner\Documents\Roguelike Roguelike\Roguelikes\Elewar Fused Survivors.url</t>
  </si>
  <si>
    <t>HyperRogue</t>
  </si>
  <si>
    <t>hyperrogue</t>
  </si>
  <si>
    <t>https://store.steampowered.com/app/342610/HyperRogue/</t>
  </si>
  <si>
    <t>https://zenorogue.blogspot.com/search/label/sources</t>
  </si>
  <si>
    <t>http://www.zincland.com/powder/?pagename=about</t>
  </si>
  <si>
    <t>C:\Users\Owner\Documents\Roguelike Roguelike\Roguelikes\powder.lnk</t>
  </si>
  <si>
    <t>Diablo</t>
  </si>
  <si>
    <t>diablo</t>
  </si>
  <si>
    <t>https://roguebasin.com/index.php?title=Diablo</t>
  </si>
  <si>
    <t>https://roguebasin.com/index.php/Sword_of_the_Stars:_The_Pit</t>
  </si>
  <si>
    <t>https://www.w4games.com/blog/w4-games-news-1/interview-with-chasing-carrots-developer-of-halls-of-torment-120</t>
  </si>
  <si>
    <t>https://www.youtube.com/watch?v=mGVNTEOoBXc</t>
  </si>
  <si>
    <t>https://roguebasin.com/index.php?title=LambdaRogue</t>
  </si>
  <si>
    <t>https://roguebasin.com/index.php?title=Wayward</t>
  </si>
  <si>
    <t>https://steamcommunity.com/app/449960/discussions/0/352788917765198084/?ctp=2#c353915309337431749</t>
  </si>
  <si>
    <t>https://steamcommunity.com/app/1823390/discussions/2/6893400166994423780/</t>
  </si>
  <si>
    <t>https://www.youtube.com/watch?v=JXv8hQguGCI</t>
  </si>
  <si>
    <t>https://www.youtube.com/watch?v=xsmbVWflwpw</t>
  </si>
  <si>
    <t>https://roguesnail.com/hell-clock-our-new-roguelike-arpg-in-a-dark-fantasy-twist-on-brazils-war-of-canudos/</t>
  </si>
  <si>
    <t>Frozen Depths</t>
  </si>
  <si>
    <t>frozen-depths</t>
  </si>
  <si>
    <t>C:\Users\Owner\Documents\Roguelike Roguelike\Roguelikes\Frozen Depths.lnk</t>
  </si>
  <si>
    <t>https://frozendepths.net/roguelike/info.php</t>
  </si>
  <si>
    <t>Cardinal Quest</t>
  </si>
  <si>
    <t>Cardinal Quest 2</t>
  </si>
  <si>
    <t>cardinal-quest</t>
  </si>
  <si>
    <t>cardinal-quest-2</t>
  </si>
  <si>
    <t>https://x.com/tametick/status/1202248124221272064</t>
  </si>
  <si>
    <t>https://store.steampowered.com/app/378030/Cardinal_Quest_2/</t>
  </si>
  <si>
    <t>https://www.roguelikeradio.com/2011/10/interview-with-ido-yehieli.html</t>
  </si>
  <si>
    <t>Space Grunts</t>
  </si>
  <si>
    <t>space-grunts</t>
  </si>
  <si>
    <t>https://store.steampowered.com/app/371430/Space_Grunts/</t>
  </si>
  <si>
    <t>https://steamcommunity.com/app/371430/discussions/0/494631967651210890/#c494631967651765393</t>
  </si>
  <si>
    <t>https://www.youtube.com/watch?v=DASCE8BbvOI&amp;t=1s</t>
  </si>
  <si>
    <t>Red Rogue</t>
  </si>
  <si>
    <t>red-rogue</t>
  </si>
  <si>
    <t>https://www.youtube.com/watch?v=DASCE8BbvOI&amp;t=1s (Got to play the kickstarter version early)</t>
  </si>
  <si>
    <t>C:\Users\Owner\Documents\Roguelike Roguelike\Roguelikes\redrogue.lnk</t>
  </si>
  <si>
    <t>Sky Rogue</t>
  </si>
  <si>
    <t>https://store.steampowered.com/app/381020/Sky_Rogue/</t>
  </si>
  <si>
    <t>sky-rogue</t>
  </si>
  <si>
    <t>https://www.youtube.com/watch?v=ZVQBDWbGPIg</t>
  </si>
  <si>
    <t>https://www.gameskinny.com/culture/interview-with-colin-day-creator-of-rogue-wizards-and-founder-of-spellbind-studios/</t>
  </si>
  <si>
    <t>Sword of Fargoal</t>
  </si>
  <si>
    <t>sword-of-fargoal</t>
  </si>
  <si>
    <t>https://store.steampowered.com/app/2231080/Sword_of_Fargoal/</t>
  </si>
  <si>
    <t>https://youtu.be/j6rOHgGxdHY</t>
  </si>
  <si>
    <t>https://x.com/kagaya_wqy/status/1152559201945677825</t>
  </si>
  <si>
    <t>The World is Your Weapon</t>
  </si>
  <si>
    <t>the-world-is-your-weapon</t>
  </si>
  <si>
    <t>https://store.steampowered.com/app/1056490/The_World_is_Your_Weapon/</t>
  </si>
  <si>
    <t>Dungeon Drafters</t>
  </si>
  <si>
    <t>dungeon-drafters</t>
  </si>
  <si>
    <t>https://store.steampowered.com/app/1824580/Dungeon_Drafters/</t>
  </si>
  <si>
    <t>Monster Gate</t>
  </si>
  <si>
    <t>monster-gate</t>
  </si>
  <si>
    <t>Monster Gate: Ooinaru Dungeon - Fuuin no Orb</t>
  </si>
  <si>
    <t>monster-gate-ooinaru-dungeon-fuuin-no-orb</t>
  </si>
  <si>
    <t>https://steamcommunity.com/app/225280/discussions/0/846961716374404705/#c846961716375428005</t>
  </si>
  <si>
    <t>Full Mojo Rampage</t>
  </si>
  <si>
    <t>full-mojo-rampage</t>
  </si>
  <si>
    <t>https://store.steampowered.com/app/225280/Full_Mojo_Rampage/</t>
  </si>
  <si>
    <t>https://store.steampowered.com/app/4215730/HoloDungeon_Koyori_vs_HollowLive_in_Honsha_Tower/</t>
  </si>
  <si>
    <t>HoloDungeon: Koyori vs HollowLive in Honsha Tower</t>
  </si>
  <si>
    <t>holodungeon-koyori-vs-hollowlive-in-honsha-tower</t>
  </si>
  <si>
    <t>Omega Labyrinth</t>
  </si>
  <si>
    <t>omega-labyrinth</t>
  </si>
  <si>
    <t>Omega Labyrinth Z</t>
  </si>
  <si>
    <t>Omega Labyrinth Life</t>
  </si>
  <si>
    <t>https://store.steampowered.com/app/1163600/Omega_Labyrinth_Life/</t>
  </si>
  <si>
    <t>omega-labyrinth-z</t>
  </si>
  <si>
    <t>omega-labyrinth-life</t>
  </si>
  <si>
    <t>Guidus</t>
  </si>
  <si>
    <t>guidus</t>
  </si>
  <si>
    <t>Guidus Zero</t>
  </si>
  <si>
    <t>guidus-zero</t>
  </si>
  <si>
    <t>https://store.steampowered.com/app/3072640/Guidus_Zero/</t>
  </si>
  <si>
    <t>C:\Users\Owner\Documents\Roguelike Roguelike\Roguelikes\Guidus  Pixel Roguelike RPG.lnk</t>
  </si>
  <si>
    <t>Rungore</t>
  </si>
  <si>
    <t>rungore</t>
  </si>
  <si>
    <t>https://store.steampowered.com/app/2113040/RUNGORE/</t>
  </si>
  <si>
    <t>https://store.steampowered.com/app/1732070/ZHP_Unlosing_Ranger_vs_Darkdeath_Evilman/</t>
  </si>
  <si>
    <t>https://games.tiscali.cz/novinky/cesky-tym-rake-in-grass-se-hlasi-se-slibnou-arkadou-rampage-knights-240475</t>
  </si>
  <si>
    <t>Rampage Knights</t>
  </si>
  <si>
    <t>rampage-knights</t>
  </si>
  <si>
    <t>https://store.steampowered.com/app/314410/Rampage_Knights/</t>
  </si>
  <si>
    <t>https://www.dualshockers.com/touhou-genso-wanderer-interview-director-jyunya-talks-about-the-best-rouge-like-game-in-japan/</t>
  </si>
  <si>
    <t>Fushigi no Gensoukyou</t>
  </si>
  <si>
    <t>fushigi-no-gensoukyou</t>
  </si>
  <si>
    <t>Sanae no Chou Tokkyuu: The Express Trial</t>
  </si>
  <si>
    <t>sanae-no-chou-tokkyuu-the-express-trial</t>
  </si>
  <si>
    <t>Atai no Gensoukyou</t>
  </si>
  <si>
    <t>atai-no-gensoukyou</t>
  </si>
  <si>
    <t>Motto!? Fushigi no Gensoukyou: Under the Moonlight</t>
  </si>
  <si>
    <t>motto-fushigi-no-gensoukyou-under-the-moon</t>
  </si>
  <si>
    <t>Fushigi no Gensoukyou 3</t>
  </si>
  <si>
    <t>fushigi-no-gensoukyou-3</t>
  </si>
  <si>
    <t>Miracle Party: Fushigi no Gensoukyou 2</t>
  </si>
  <si>
    <t>miracle-party-fushigi-no-gensoukyou-2</t>
  </si>
  <si>
    <t>Miracle Chou Party: Sanae to Tenshi no Gensou Labyrinth</t>
  </si>
  <si>
    <t>miracle-chou-party-sanae-to-tenshi-no-gensou-labyrinth</t>
  </si>
  <si>
    <t>touhou</t>
  </si>
  <si>
    <t>https://store.steampowered.com/app/1005120/Touhou_Genso_Wanderer_Lotus_Labyrinth_R/</t>
  </si>
  <si>
    <t>Touhou Genso Wanderer: Lotus Labyrinth R</t>
  </si>
  <si>
    <t>touhou-genso-wanderer-lotus-labyrinth-r</t>
  </si>
  <si>
    <t>https://store.steampowered.com/app/1847150/Touhou_Genso_Wanderer_FORESIGHT/</t>
  </si>
  <si>
    <t>Touhou Genso Wanderer: Foresight</t>
  </si>
  <si>
    <t>touhou-genso-wanderer-foresight</t>
  </si>
  <si>
    <t>Crablike</t>
  </si>
  <si>
    <t>crablike</t>
  </si>
  <si>
    <t>C:\Users\Owner\Documents\Roguelike Roguelike\Roguelikes\Crablike.lnk</t>
  </si>
  <si>
    <t>https://www.reddit.com/r/roguelikes/comments/1kanmof/crablike_an_underwater_dungeon_crawler/</t>
  </si>
  <si>
    <t>https://roguebasin.com/index.php/Crablike</t>
  </si>
  <si>
    <t>Abandon Ship</t>
  </si>
  <si>
    <t>abandon-ship</t>
  </si>
  <si>
    <t>https://store.steampowered.com/app/551860/Abandon_Ship/</t>
  </si>
  <si>
    <t>https://bigbossbattle.com/abandon-ship-interview-fireblade-softwares-gary-burchell/</t>
  </si>
  <si>
    <t>C:\Users\Owner\Documents\Roguelike Roguelike\Roguelikes\Abandon Ship.url</t>
  </si>
  <si>
    <t>grid_grow</t>
  </si>
  <si>
    <t>https://store.steampowered.com/app/365900/Pixel_Dungeon/</t>
  </si>
  <si>
    <t>https://steamcommunity.com/app/429620/discussions/0/352788552271906911/#c352788917764129482</t>
  </si>
  <si>
    <t>Dungeon Rushers</t>
  </si>
  <si>
    <t>dungeon-rushers</t>
  </si>
  <si>
    <t>https://store.steampowered.com/app/429620/Dungeon_Rushers/</t>
  </si>
  <si>
    <t>C:\Users\Owner\Documents\Roguelike Roguelike\Roguelikes\Dungeon Rushers.url</t>
  </si>
  <si>
    <t>C:\Users\Owner\Documents\Roguelike Roguelike\Roguelikes\Cthangband.lnk</t>
  </si>
  <si>
    <t>Cthangband</t>
  </si>
  <si>
    <t>cthangband</t>
  </si>
  <si>
    <t>https://www.roguebasin.com/index.php/Cthangband</t>
  </si>
  <si>
    <t>Shadow of the Wyrm</t>
  </si>
  <si>
    <t>shadow-of-the-wyrm</t>
  </si>
  <si>
    <t>https://www.shadowofthewyrm.org/about.html</t>
  </si>
  <si>
    <t>C:\Users\Owner\Documents\Roguelike Roguelike\Roguelikes\sotw.lnk</t>
  </si>
  <si>
    <t>Nigate Tale</t>
  </si>
  <si>
    <t>nigate-tale</t>
  </si>
  <si>
    <t>https://store.steampowered.com/app/1048350/Nigate_Tale/</t>
  </si>
  <si>
    <t>Make a Faustian bargain</t>
  </si>
  <si>
    <t>Make a friend</t>
  </si>
  <si>
    <t>Gain +1 Small Chest and +1 Scramble</t>
  </si>
  <si>
    <t>Use sorrow or self-inflicted pain as a weapon</t>
  </si>
  <si>
    <t>Regent</t>
  </si>
  <si>
    <t>Heir to the Throne of Stars. Wields cosmic powers but his minions do the work.</t>
  </si>
  <si>
    <t>TumbleSeed</t>
  </si>
  <si>
    <t>tumbleseed</t>
  </si>
  <si>
    <t>https://store.steampowered.com/app/457890/TumbleSeed/</t>
  </si>
  <si>
    <t>https://www.reddit.com/r/nintendo/comments/691a58/we_are_team_tumbleseed_and_we_launched_tumbleseed/</t>
  </si>
  <si>
    <t>https://x.com/TheFeebleMinds/status/2027340299630989393</t>
  </si>
  <si>
    <t>Serpent's Gaze</t>
  </si>
  <si>
    <t>serpents-gaze</t>
  </si>
  <si>
    <t>https://store.steampowered.com/app/3069050/Serpents_Gaze/</t>
  </si>
  <si>
    <t>https://steamcommunity.com/app/3088070/discussions/0/562532756309055685/#c562532756309107833</t>
  </si>
  <si>
    <t>https://x.com/search?q=from%3AMiraricogames%20survivors&amp;src=typed_query</t>
  </si>
  <si>
    <t>Dark Light: Survivor</t>
  </si>
  <si>
    <t>dark-light-survivor</t>
  </si>
  <si>
    <t>https://store.steampowered.com/app/3088070/Dark_Light_Survivor/</t>
  </si>
  <si>
    <t>https://store.steampowered.com/app/2576200/Into_The_Grid/</t>
  </si>
  <si>
    <t>Into The Grid</t>
  </si>
  <si>
    <t>into-the-grid</t>
  </si>
  <si>
    <t>https://www.reddit.com/r/NintendoSwitch/comments/trax0e/hi_im_the_developer_of_for_the_warp_a_scifi/</t>
  </si>
  <si>
    <t>For The Warp</t>
  </si>
  <si>
    <t>for-the-warp</t>
  </si>
  <si>
    <t>https://store.steampowered.com/app/1201830/For_The_Warp/</t>
  </si>
  <si>
    <t>https://store.steampowered.com/app/2332970/ARC_SEED/</t>
  </si>
  <si>
    <t>Arc Seed</t>
  </si>
  <si>
    <t>arc-seed</t>
  </si>
  <si>
    <t>C:\Users\Owner\Documents\Roguelike Roguelike\Roguelikes\ARC SEED.url</t>
  </si>
  <si>
    <t>Bunco</t>
  </si>
  <si>
    <t>https://firch.github.io/BuncoWeb/</t>
  </si>
  <si>
    <t>Link</t>
  </si>
  <si>
    <t>Goal Effect</t>
  </si>
  <si>
    <t>Enemy Type</t>
  </si>
  <si>
    <t>Hickory</t>
  </si>
  <si>
    <t>Light a liquid on fire</t>
  </si>
  <si>
    <t>fire</t>
  </si>
  <si>
    <t>Extra Effect</t>
  </si>
  <si>
    <t>Limit</t>
  </si>
  <si>
    <t>Set 10+ enemies on fire</t>
  </si>
  <si>
    <t>When entered, spawn 1 random enemy with the fire tag</t>
  </si>
  <si>
    <t>Coal Spider</t>
  </si>
  <si>
    <t>CoalSpider</t>
  </si>
  <si>
    <t>spider, rock, fire</t>
  </si>
  <si>
    <t>rock</t>
  </si>
  <si>
    <t>Set a rock on fire</t>
  </si>
  <si>
    <t>Flaming Fatty</t>
  </si>
  <si>
    <t>Push an enemy into fire</t>
  </si>
  <si>
    <t>FlamingFatty</t>
  </si>
  <si>
    <t>Flaming Hopper</t>
  </si>
  <si>
    <t>Defeat an enemy while on fire</t>
  </si>
  <si>
    <t>FlamingHopper</t>
  </si>
  <si>
    <t>Wisp</t>
  </si>
  <si>
    <t>Defeat an enemy made of fire</t>
  </si>
  <si>
    <t>Defeat a stinky enemy</t>
  </si>
  <si>
    <t>stinky</t>
  </si>
  <si>
    <t>Talespinner</t>
  </si>
  <si>
    <t>https://x.com/Talespinner_/status/1925872666474401877?s=20</t>
  </si>
  <si>
    <t>talespinner</t>
  </si>
  <si>
    <t>https://store.steampowered.com/app/1725410/Talespinner/</t>
  </si>
  <si>
    <t>https://x.com/MirariRelics/status/2083184893182489017?s=20</t>
  </si>
  <si>
    <t>https://x.com/sparklewing925/status/1926056500113346640</t>
  </si>
  <si>
    <t>Lost For Swords</t>
  </si>
  <si>
    <t>lost-for-swords</t>
  </si>
  <si>
    <t>https://store.steampowered.com/app/2638050/Lost_For_Swords/</t>
  </si>
  <si>
    <t>https://www.reddit.com/r/iosgaming/comments/1hjehh9/lost_for_swords_a_dungeon_crawler_focusing_on/</t>
  </si>
  <si>
    <t>Replicat</t>
  </si>
  <si>
    <t>replicat</t>
  </si>
  <si>
    <t>https://store.steampowered.com/app/3509430/Replicat/?curator_clanid=45876201</t>
  </si>
  <si>
    <t>https://x.com/brainoidgames/status/1925653290278121609</t>
  </si>
  <si>
    <t>Master of Piece</t>
  </si>
  <si>
    <t>master-of-piece</t>
  </si>
  <si>
    <t>https://store.steampowered.com/app/3009310/Master_of_Piece/</t>
  </si>
  <si>
    <t>https://x.com/imgame_official/status/1925464077654249724</t>
  </si>
  <si>
    <t>Tower Fortress</t>
  </si>
  <si>
    <t>tower-fortress</t>
  </si>
  <si>
    <t>https://store.steampowered.com/app/593700/Tower_Fortress/</t>
  </si>
  <si>
    <t>https://x.com/Nitrome/status/931133911408828421?s=20</t>
  </si>
  <si>
    <t>https://x.com/cleanfallgame/status/1958500517597876299?s=20</t>
  </si>
  <si>
    <t>https://x.com/CLLC_studio/status/1925866594078453892</t>
  </si>
  <si>
    <t>Roulette Hero</t>
  </si>
  <si>
    <t>roulette-hero</t>
  </si>
  <si>
    <t>https://store.steampowered.com/app/3371510/Roulette_Hero/</t>
  </si>
  <si>
    <t>Tiny Auto Knights</t>
  </si>
  <si>
    <t>tiny-auto-knights</t>
  </si>
  <si>
    <t>https://store.steampowered.com/app/3405540/Tiny_Auto_Knights</t>
  </si>
  <si>
    <t>https://x.com/mumpitzgames/status/1925572756806017381</t>
  </si>
  <si>
    <t>https://store.steampowered.com/app/4594150/Sir_We_Have_an_Orc_Problem</t>
  </si>
  <si>
    <t>Sir, We Have an Orc Problem</t>
  </si>
  <si>
    <t>sir-we-have-an-orc-problem</t>
  </si>
  <si>
    <t>Barda</t>
  </si>
  <si>
    <t>barda</t>
  </si>
  <si>
    <t>https://store.steampowered.com/app/3664320/BARDA_Backpack_Roguelike/</t>
  </si>
  <si>
    <t>https://x.com/Mudita_Games/status/1988179400454500794</t>
  </si>
  <si>
    <t>https://x.com/TeamWoodGames/status/1383470923156647938?s=20</t>
  </si>
  <si>
    <t>Katanaut</t>
  </si>
  <si>
    <t>https://store.steampowered.com/app/3032830/Katanaut/</t>
  </si>
  <si>
    <t>katanaut</t>
  </si>
  <si>
    <t>https://x.com/VoidmawGames/status/2024503993805000848?s=20</t>
  </si>
  <si>
    <t>https://x.com/monstertheaterx/status/1819715822203355558?s=20</t>
  </si>
  <si>
    <t>Atomic Owl</t>
  </si>
  <si>
    <t>atomic-owl</t>
  </si>
  <si>
    <t>https://store.steampowered.com/app/2228490/Atomic_Owl/</t>
  </si>
  <si>
    <t>https://gonintendo.com/contents/37637-tmnt-splintered-fate-devs-say-they-were-inspired-by-hades-dead-cells-and-more</t>
  </si>
  <si>
    <t>An Amazing Wizard</t>
  </si>
  <si>
    <t>an-amazing-wizard</t>
  </si>
  <si>
    <t>https://store.steampowered.com/app/1372660/An_Amazing_Wizard/</t>
  </si>
  <si>
    <t>https://x.com/AnAmazingWizard/status/1489554155597352962?s=20</t>
  </si>
  <si>
    <t>https://x.com/pathogenicgame/status/2085041700716654606?s=20</t>
  </si>
  <si>
    <t>Sandwalkers</t>
  </si>
  <si>
    <t>https://x.com/studio_goblinz/status/1703121970680807815?s=20</t>
  </si>
  <si>
    <t>https://store.steampowered.com/app/1639080/Sandwalkers/</t>
  </si>
  <si>
    <t>sandwalkers</t>
  </si>
  <si>
    <t>Nadir</t>
  </si>
  <si>
    <t>nadir</t>
  </si>
  <si>
    <t>https://store.steampowered.com/app/1535100/Nadir_A_Grimdark_Deckbuilder/</t>
  </si>
  <si>
    <t>https://x.com/NadirTheGame/status/1585925975115702273?s=20</t>
  </si>
  <si>
    <t>Sword of the Necromancer</t>
  </si>
  <si>
    <t>sword-of-the-necromancer</t>
  </si>
  <si>
    <t>https://store.steampowered.com/app/1243890/Sword_of_the_Necromancer/</t>
  </si>
  <si>
    <t>https://x.com/GrimorioG/status/1213196249509376001?s=20</t>
  </si>
  <si>
    <t>Sword of the Necromancer: Resurrection</t>
  </si>
  <si>
    <t>sword-of-the-necromancer-resurrection</t>
  </si>
  <si>
    <t>https://store.steampowered.com/app/2782880/Sword_of_the_Necromancer_Resurrection/</t>
  </si>
  <si>
    <t>On Enemy</t>
  </si>
  <si>
    <t>On Player</t>
  </si>
  <si>
    <t>Intensity</t>
  </si>
  <si>
    <t>Gains "and must be beaten in (1+(1/2)^X-2)) hours or less"</t>
  </si>
  <si>
    <t>Gains "and the difficulty must be increased X times"</t>
  </si>
  <si>
    <t xml:space="preserve">Gains "and if you get X achivements, Gain +X Small Chests" to all enemies. </t>
  </si>
  <si>
    <t>Apply "and you must get X achivements" to all enemies. Decrease stack by 1 when completed.</t>
  </si>
  <si>
    <t>Gain "If the difficuly is increased X times, Gain +X Small Chests and X Bashes"</t>
  </si>
  <si>
    <t>Gain "If beaten in (1+(1/2)^X-2)) hours or less, Gain +X Small Chests and X Dashes"</t>
  </si>
  <si>
    <t>On Player Effect</t>
  </si>
  <si>
    <t>On Enemy Effect</t>
  </si>
  <si>
    <t>goal "the difficulty is increased {X} [time|times]" -&gt; gain_chest small {X}; gain_stat bash {X}</t>
  </si>
  <si>
    <t>clause "the difficulty must be increased {X} [time|times]"</t>
  </si>
  <si>
    <t>goal "beaten in {1+(1/2)^(X-2):hours} or less" -&gt; gain_chest small {X}; gain_stat dash {X}</t>
  </si>
  <si>
    <t>clause "must be beaten in {1+(1/2)^(X-2):hours} or less"</t>
  </si>
  <si>
    <t>clause "you must get {X} [achievement|achievements]" decay</t>
  </si>
  <si>
    <t>bonus "you get {X} [achievement|achievements]" decay -&gt; gain_chest small {X}</t>
  </si>
  <si>
    <t>Gain +1 Dexterity</t>
  </si>
  <si>
    <t>item_acquired: apply_status dexterity 1</t>
  </si>
  <si>
    <t>Gain +1 Strength</t>
  </si>
  <si>
    <t>item_acquired: apply_status strength 1</t>
  </si>
  <si>
    <t>https://bsky.app/profile/dphrygian.com/post/3mgga4hmbg22r</t>
  </si>
  <si>
    <t>Eldritch</t>
  </si>
  <si>
    <t>https://store.steampowered.com/app/252630/Eldritch/</t>
  </si>
  <si>
    <t>https://store.steampowered.com/app/2542350/Masks_of_the_Void_Origins/</t>
  </si>
  <si>
    <t>Masks of the Void: Origins</t>
  </si>
  <si>
    <t>masks-of-the-void-origins</t>
  </si>
  <si>
    <t>https://x.com/MasksOfTheVoid/status/2084174185505448157?s=20</t>
  </si>
  <si>
    <t>https://x.com/edmundmcmillen/status/2073665726712614938?s=20</t>
  </si>
  <si>
    <t>https://steamcommunity.com/app/2563800/discussions/0/4756451565242385846/#c592882772895432824</t>
  </si>
  <si>
    <t>The Last Game</t>
  </si>
  <si>
    <t>the-last-game</t>
  </si>
  <si>
    <t>https://store.steampowered.com/app/2563800/The_Last_Game/</t>
  </si>
  <si>
    <t>eldritch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</si>
</sst>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b/>
      <sz val="10"/>
      <color rgb="FF1D1812"/>
      <name val="Arial"/>
    </font>
    <font>
      <sz val="10"/>
      <name val="Arial"/>
    </font>
    <font>
      <b/>
      <sz val="16"/>
      <color rgb="FF1D1812"/>
      <name val="Arial"/>
    </font>
    <font>
      <i/>
      <sz val="10"/>
      <color rgb="FF5F5340"/>
      <name val="Arial"/>
    </font>
    <font>
      <b/>
      <sz val="10"/>
      <name val="Arial"/>
    </font>
    <font>
      <sz val="10"/>
      <color rgb="FF5F5340"/>
      <name val="Arial"/>
    </font>
    <font>
      <b/>
      <sz val="10"/>
      <color rgb="FFC0392B"/>
      <name val="Arial"/>
    </font>
    <font>
      <sz val="11"/>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4">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4" fillId="0" borderId="0" xfId="0" applyFont="1"/>
    <xf numFmtId="0" fontId="5" fillId="0" borderId="0" xfId="0" applyFont="1"/>
    <xf numFmtId="0" fontId="2" fillId="3" borderId="5" xfId="0" applyFont="1" applyFill="1" applyBorder="1" applyAlignment="1">
      <alignment horizontal="center" vertical="center" wrapText="1"/>
    </xf>
    <xf numFmtId="0" fontId="6" fillId="0" borderId="5" xfId="0" applyFont="1" applyBorder="1"/>
    <xf numFmtId="0" fontId="3" fillId="4" borderId="5" xfId="0" applyFont="1" applyFill="1" applyBorder="1"/>
    <xf numFmtId="0" fontId="7" fillId="0" borderId="5" xfId="0" applyFont="1" applyBorder="1"/>
    <xf numFmtId="2" fontId="3" fillId="4" borderId="5" xfId="0" applyNumberFormat="1" applyFont="1" applyFill="1" applyBorder="1"/>
    <xf numFmtId="0" fontId="8" fillId="4" borderId="5" xfId="0" applyFont="1" applyFill="1" applyBorder="1"/>
    <xf numFmtId="164" fontId="3" fillId="4" borderId="5" xfId="0" applyNumberFormat="1" applyFont="1" applyFill="1" applyBorder="1"/>
    <xf numFmtId="0" fontId="3" fillId="0" borderId="0" xfId="0" applyFont="1"/>
    <xf numFmtId="0" fontId="0" fillId="4" borderId="5" xfId="0" applyFill="1" applyBorder="1"/>
    <xf numFmtId="0" fontId="9" fillId="0" borderId="0" xfId="1" applyFont="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a:t>
            </a:r>
          </a:p>
        </c:rich>
      </c:tx>
      <c:overlay val="1"/>
    </c:title>
    <c:autoTitleDeleted val="0"/>
    <c:plotArea>
      <c:layout/>
      <c:barChart>
        <c:barDir val="col"/>
        <c:grouping val="clustered"/>
        <c:varyColors val="1"/>
        <c:ser>
          <c:idx val="0"/>
          <c:order val="0"/>
          <c:tx>
            <c:strRef>
              <c:f>'Map Analysis'!$P$4</c:f>
              <c:strCache>
                <c:ptCount val="1"/>
                <c:pt idx="0">
                  <c:v>Games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Analysis'!$P$5:$P$53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2</c:v>
                </c:pt>
                <c:pt idx="13">
                  <c:v>2</c:v>
                </c:pt>
                <c:pt idx="14">
                  <c:v>2</c:v>
                </c:pt>
                <c:pt idx="15">
                  <c:v>2</c:v>
                </c:pt>
                <c:pt idx="16">
                  <c:v>3</c:v>
                </c:pt>
                <c:pt idx="17">
                  <c:v>2</c:v>
                </c:pt>
                <c:pt idx="18">
                  <c:v>2</c:v>
                </c:pt>
                <c:pt idx="19">
                  <c:v>2</c:v>
                </c:pt>
                <c:pt idx="20">
                  <c:v>4</c:v>
                </c:pt>
                <c:pt idx="21">
                  <c:v>1</c:v>
                </c:pt>
                <c:pt idx="22">
                  <c:v>1</c:v>
                </c:pt>
                <c:pt idx="23">
                  <c:v>3</c:v>
                </c:pt>
                <c:pt idx="24">
                  <c:v>6</c:v>
                </c:pt>
                <c:pt idx="25">
                  <c:v>3</c:v>
                </c:pt>
                <c:pt idx="26">
                  <c:v>1</c:v>
                </c:pt>
                <c:pt idx="27">
                  <c:v>3</c:v>
                </c:pt>
                <c:pt idx="28">
                  <c:v>8</c:v>
                </c:pt>
                <c:pt idx="29">
                  <c:v>6</c:v>
                </c:pt>
                <c:pt idx="30">
                  <c:v>4</c:v>
                </c:pt>
                <c:pt idx="31">
                  <c:v>2</c:v>
                </c:pt>
                <c:pt idx="32">
                  <c:v>14</c:v>
                </c:pt>
                <c:pt idx="33">
                  <c:v>6</c:v>
                </c:pt>
                <c:pt idx="34">
                  <c:v>11</c:v>
                </c:pt>
                <c:pt idx="35">
                  <c:v>12</c:v>
                </c:pt>
                <c:pt idx="36">
                  <c:v>23</c:v>
                </c:pt>
                <c:pt idx="37">
                  <c:v>20</c:v>
                </c:pt>
                <c:pt idx="38">
                  <c:v>15</c:v>
                </c:pt>
                <c:pt idx="39">
                  <c:v>32</c:v>
                </c:pt>
                <c:pt idx="40">
                  <c:v>22</c:v>
                </c:pt>
                <c:pt idx="41">
                  <c:v>37</c:v>
                </c:pt>
                <c:pt idx="42">
                  <c:v>49</c:v>
                </c:pt>
                <c:pt idx="43">
                  <c:v>44</c:v>
                </c:pt>
                <c:pt idx="44">
                  <c:v>68</c:v>
                </c:pt>
                <c:pt idx="45">
                  <c:v>96</c:v>
                </c:pt>
                <c:pt idx="46">
                  <c:v>96</c:v>
                </c:pt>
                <c:pt idx="47">
                  <c:v>148</c:v>
                </c:pt>
                <c:pt idx="48">
                  <c:v>72</c:v>
                </c:pt>
              </c:numCache>
            </c:numRef>
          </c:val>
          <c:extLst>
            <c:ext xmlns:c16="http://schemas.microsoft.com/office/drawing/2014/chart" uri="{C3380CC4-5D6E-409C-BE32-E72D297353CC}">
              <c16:uniqueId val="{00000000-C8AD-466F-8F91-094E3DFE585C}"/>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Analysis'!$Q$4</c:f>
              <c:strCache>
                <c:ptCount val="1"/>
                <c:pt idx="0">
                  <c:v>Connections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Analysis'!$Q$5:$Q$53</c:f>
              <c:numCache>
                <c:formatCode>General</c:formatCode>
                <c:ptCount val="49"/>
                <c:pt idx="0">
                  <c:v>0</c:v>
                </c:pt>
                <c:pt idx="1">
                  <c:v>0</c:v>
                </c:pt>
                <c:pt idx="2">
                  <c:v>21</c:v>
                </c:pt>
                <c:pt idx="3">
                  <c:v>0</c:v>
                </c:pt>
                <c:pt idx="4">
                  <c:v>1</c:v>
                </c:pt>
                <c:pt idx="5">
                  <c:v>3</c:v>
                </c:pt>
                <c:pt idx="6">
                  <c:v>6</c:v>
                </c:pt>
                <c:pt idx="7">
                  <c:v>0</c:v>
                </c:pt>
                <c:pt idx="8">
                  <c:v>0</c:v>
                </c:pt>
                <c:pt idx="9">
                  <c:v>31</c:v>
                </c:pt>
                <c:pt idx="10">
                  <c:v>0</c:v>
                </c:pt>
                <c:pt idx="11">
                  <c:v>0</c:v>
                </c:pt>
                <c:pt idx="12">
                  <c:v>14</c:v>
                </c:pt>
                <c:pt idx="13">
                  <c:v>2</c:v>
                </c:pt>
                <c:pt idx="14">
                  <c:v>2</c:v>
                </c:pt>
                <c:pt idx="15">
                  <c:v>23</c:v>
                </c:pt>
                <c:pt idx="16">
                  <c:v>19</c:v>
                </c:pt>
                <c:pt idx="17">
                  <c:v>11</c:v>
                </c:pt>
                <c:pt idx="18">
                  <c:v>13</c:v>
                </c:pt>
                <c:pt idx="19">
                  <c:v>3</c:v>
                </c:pt>
                <c:pt idx="20">
                  <c:v>10</c:v>
                </c:pt>
                <c:pt idx="21">
                  <c:v>1</c:v>
                </c:pt>
                <c:pt idx="22">
                  <c:v>2</c:v>
                </c:pt>
                <c:pt idx="23">
                  <c:v>2</c:v>
                </c:pt>
                <c:pt idx="24">
                  <c:v>12</c:v>
                </c:pt>
                <c:pt idx="25">
                  <c:v>5</c:v>
                </c:pt>
                <c:pt idx="26">
                  <c:v>0</c:v>
                </c:pt>
                <c:pt idx="27">
                  <c:v>6</c:v>
                </c:pt>
                <c:pt idx="28">
                  <c:v>21</c:v>
                </c:pt>
                <c:pt idx="29">
                  <c:v>4</c:v>
                </c:pt>
                <c:pt idx="30">
                  <c:v>37</c:v>
                </c:pt>
                <c:pt idx="31">
                  <c:v>8</c:v>
                </c:pt>
                <c:pt idx="32">
                  <c:v>18</c:v>
                </c:pt>
                <c:pt idx="33">
                  <c:v>71</c:v>
                </c:pt>
                <c:pt idx="34">
                  <c:v>39</c:v>
                </c:pt>
                <c:pt idx="35">
                  <c:v>29</c:v>
                </c:pt>
                <c:pt idx="36">
                  <c:v>12</c:v>
                </c:pt>
                <c:pt idx="37">
                  <c:v>63</c:v>
                </c:pt>
                <c:pt idx="38">
                  <c:v>28</c:v>
                </c:pt>
                <c:pt idx="39">
                  <c:v>143</c:v>
                </c:pt>
                <c:pt idx="40">
                  <c:v>54</c:v>
                </c:pt>
                <c:pt idx="41">
                  <c:v>76</c:v>
                </c:pt>
                <c:pt idx="42">
                  <c:v>45</c:v>
                </c:pt>
                <c:pt idx="43">
                  <c:v>92</c:v>
                </c:pt>
                <c:pt idx="44">
                  <c:v>46</c:v>
                </c:pt>
                <c:pt idx="45">
                  <c:v>69</c:v>
                </c:pt>
                <c:pt idx="46">
                  <c:v>12</c:v>
                </c:pt>
                <c:pt idx="47">
                  <c:v>4</c:v>
                </c:pt>
                <c:pt idx="48">
                  <c:v>0</c:v>
                </c:pt>
              </c:numCache>
            </c:numRef>
          </c:val>
          <c:extLst>
            <c:ext xmlns:c16="http://schemas.microsoft.com/office/drawing/2014/chart" uri="{C3380CC4-5D6E-409C-BE32-E72D297353CC}">
              <c16:uniqueId val="{00000000-C7A6-4AEA-B35D-C569B1E0D8AE}"/>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322</c:v>
                </c:pt>
                <c:pt idx="2">
                  <c:v>196</c:v>
                </c:pt>
                <c:pt idx="3">
                  <c:v>96</c:v>
                </c:pt>
                <c:pt idx="4">
                  <c:v>42</c:v>
                </c:pt>
                <c:pt idx="5">
                  <c:v>25</c:v>
                </c:pt>
                <c:pt idx="6">
                  <c:v>26</c:v>
                </c:pt>
                <c:pt idx="7">
                  <c:v>21</c:v>
                </c:pt>
                <c:pt idx="8">
                  <c:v>10</c:v>
                </c:pt>
              </c:numCache>
            </c:numRef>
          </c:val>
          <c:extLst>
            <c:ext xmlns:c16="http://schemas.microsoft.com/office/drawing/2014/chart" uri="{C3380CC4-5D6E-409C-BE32-E72D297353CC}">
              <c16:uniqueId val="{00000000-0BDE-481F-BB76-951AE8E460EF}"/>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Analysis'!$M$4</c:f>
              <c:strCache>
                <c:ptCount val="1"/>
                <c:pt idx="0">
                  <c:v>Degree</c:v>
                </c:pt>
              </c:strCache>
            </c:strRef>
          </c:tx>
          <c:spPr>
            <a:ln>
              <a:prstDash val="solid"/>
            </a:ln>
          </c:spPr>
          <c:invertIfNegative val="1"/>
          <c:cat>
            <c:strRef>
              <c:f>'Map Analysis'!$L$5:$L$19</c:f>
              <c:strCache>
                <c:ptCount val="15"/>
                <c:pt idx="0">
                  <c:v>Slay the Spire</c:v>
                </c:pt>
                <c:pt idx="1">
                  <c:v>Vampire Survivors</c:v>
                </c:pt>
                <c:pt idx="2">
                  <c:v>The Binding of Isaac</c:v>
                </c:pt>
                <c:pt idx="3">
                  <c:v>Hades</c:v>
                </c:pt>
                <c:pt idx="4">
                  <c:v>Balatro</c:v>
                </c:pt>
                <c:pt idx="5">
                  <c:v>Spelunky Classic</c:v>
                </c:pt>
                <c:pt idx="6">
                  <c:v>FTL</c:v>
                </c:pt>
                <c:pt idx="7">
                  <c:v>NetHack</c:v>
                </c:pt>
                <c:pt idx="8">
                  <c:v>Dead Cells</c:v>
                </c:pt>
                <c:pt idx="9">
                  <c:v>Enter the Gungeon</c:v>
                </c:pt>
                <c:pt idx="10">
                  <c:v>Torneko's Great Adventure: Mystery Dungeon</c:v>
                </c:pt>
                <c:pt idx="11">
                  <c:v>Darkest Dungeon</c:v>
                </c:pt>
                <c:pt idx="12">
                  <c:v>Luck be a Landlord</c:v>
                </c:pt>
                <c:pt idx="13">
                  <c:v>Rogue</c:v>
                </c:pt>
                <c:pt idx="14">
                  <c:v>Nuclear Throne</c:v>
                </c:pt>
              </c:strCache>
            </c:strRef>
          </c:cat>
          <c:val>
            <c:numRef>
              <c:f>'Map Analysis'!$M$5:$M$19</c:f>
              <c:numCache>
                <c:formatCode>General</c:formatCode>
                <c:ptCount val="15"/>
                <c:pt idx="0">
                  <c:v>141</c:v>
                </c:pt>
                <c:pt idx="1">
                  <c:v>85</c:v>
                </c:pt>
                <c:pt idx="2">
                  <c:v>69</c:v>
                </c:pt>
                <c:pt idx="3">
                  <c:v>46</c:v>
                </c:pt>
                <c:pt idx="4">
                  <c:v>46</c:v>
                </c:pt>
                <c:pt idx="5">
                  <c:v>37</c:v>
                </c:pt>
                <c:pt idx="6">
                  <c:v>36</c:v>
                </c:pt>
                <c:pt idx="7">
                  <c:v>29</c:v>
                </c:pt>
                <c:pt idx="8">
                  <c:v>28</c:v>
                </c:pt>
                <c:pt idx="9">
                  <c:v>26</c:v>
                </c:pt>
                <c:pt idx="10">
                  <c:v>24</c:v>
                </c:pt>
                <c:pt idx="11">
                  <c:v>24</c:v>
                </c:pt>
                <c:pt idx="12">
                  <c:v>22</c:v>
                </c:pt>
                <c:pt idx="13">
                  <c:v>21</c:v>
                </c:pt>
                <c:pt idx="14">
                  <c:v>21</c:v>
                </c:pt>
              </c:numCache>
            </c:numRef>
          </c:val>
          <c:extLst>
            <c:ext xmlns:c16="http://schemas.microsoft.com/office/drawing/2014/chart" uri="{C3380CC4-5D6E-409C-BE32-E72D297353CC}">
              <c16:uniqueId val="{00000000-8774-4CFF-846A-90A48C9D00A1}"/>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a:t>
            </a:r>
          </a:p>
        </c:rich>
      </c:tx>
      <c:overlay val="1"/>
    </c:title>
    <c:autoTitleDeleted val="0"/>
    <c:plotArea>
      <c:layout/>
      <c:barChart>
        <c:barDir val="col"/>
        <c:grouping val="clustered"/>
        <c:varyColors val="1"/>
        <c:ser>
          <c:idx val="0"/>
          <c:order val="0"/>
          <c:tx>
            <c:strRef>
              <c:f>'Map Analysis'!$I$4</c:f>
              <c:strCache>
                <c:ptCount val="1"/>
                <c:pt idx="0">
                  <c:v>Games</c:v>
                </c:pt>
              </c:strCache>
            </c:strRef>
          </c:tx>
          <c:spPr>
            <a:ln>
              <a:prstDash val="solid"/>
            </a:ln>
          </c:spPr>
          <c:invertIfNegative val="1"/>
          <c:cat>
            <c:strRef>
              <c:f>'Map Analysis'!$H$5:$H$8</c:f>
              <c:strCache>
                <c:ptCount val="4"/>
                <c:pt idx="0">
                  <c:v>Action</c:v>
                </c:pt>
                <c:pt idx="1">
                  <c:v>Strategy</c:v>
                </c:pt>
                <c:pt idx="2">
                  <c:v>Deckbuilder</c:v>
                </c:pt>
                <c:pt idx="3">
                  <c:v>Traditional</c:v>
                </c:pt>
              </c:strCache>
            </c:strRef>
          </c:cat>
          <c:val>
            <c:numRef>
              <c:f>'Map Analysis'!$I$5:$I$8</c:f>
              <c:numCache>
                <c:formatCode>General</c:formatCode>
                <c:ptCount val="4"/>
                <c:pt idx="0">
                  <c:v>361</c:v>
                </c:pt>
                <c:pt idx="1">
                  <c:v>146</c:v>
                </c:pt>
                <c:pt idx="2">
                  <c:v>169</c:v>
                </c:pt>
                <c:pt idx="3">
                  <c:v>157</c:v>
                </c:pt>
              </c:numCache>
            </c:numRef>
          </c:val>
          <c:extLst>
            <c:ext xmlns:c16="http://schemas.microsoft.com/office/drawing/2014/chart" uri="{C3380CC4-5D6E-409C-BE32-E72D297353CC}">
              <c16:uniqueId val="{00000000-01CD-4636-8BC1-CBC3450F1B63}"/>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Analysis'!$T$4</c:f>
              <c:strCache>
                <c:ptCount val="1"/>
                <c:pt idx="0">
                  <c:v>Connections</c:v>
                </c:pt>
              </c:strCache>
            </c:strRef>
          </c:tx>
          <c:spPr>
            <a:ln>
              <a:prstDash val="solid"/>
            </a:ln>
          </c:spPr>
          <c:invertIfNegative val="1"/>
          <c:cat>
            <c:strRef>
              <c:f>'Map Analysis'!$S$5:$S$17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Analysis'!$T$5:$T$17</c:f>
              <c:numCache>
                <c:formatCode>General</c:formatCode>
                <c:ptCount val="13"/>
                <c:pt idx="0">
                  <c:v>9</c:v>
                </c:pt>
                <c:pt idx="1">
                  <c:v>59</c:v>
                </c:pt>
                <c:pt idx="2">
                  <c:v>130</c:v>
                </c:pt>
                <c:pt idx="3">
                  <c:v>129</c:v>
                </c:pt>
                <c:pt idx="4">
                  <c:v>108</c:v>
                </c:pt>
                <c:pt idx="5">
                  <c:v>100</c:v>
                </c:pt>
                <c:pt idx="6">
                  <c:v>84</c:v>
                </c:pt>
                <c:pt idx="7">
                  <c:v>76</c:v>
                </c:pt>
                <c:pt idx="8">
                  <c:v>65</c:v>
                </c:pt>
                <c:pt idx="9">
                  <c:v>56</c:v>
                </c:pt>
                <c:pt idx="10">
                  <c:v>27</c:v>
                </c:pt>
                <c:pt idx="11">
                  <c:v>135</c:v>
                </c:pt>
                <c:pt idx="12">
                  <c:v>75</c:v>
                </c:pt>
              </c:numCache>
            </c:numRef>
          </c:val>
          <c:extLst>
            <c:ext xmlns:c16="http://schemas.microsoft.com/office/drawing/2014/chart" uri="{C3380CC4-5D6E-409C-BE32-E72D297353CC}">
              <c16:uniqueId val="{00000000-FB6B-480B-BE96-6D70FAC215E0}"/>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Calc'!$G$2:$G$820</c:f>
              <c:numCache>
                <c:formatCode>General</c:formatCode>
                <c:ptCount val="81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2022</c:v>
                </c:pt>
                <c:pt idx="34">
                  <c:v>#N/A</c:v>
                </c:pt>
                <c:pt idx="35">
                  <c:v>#N/A</c:v>
                </c:pt>
                <c:pt idx="36">
                  <c:v>2025</c:v>
                </c:pt>
                <c:pt idx="37">
                  <c:v>2023</c:v>
                </c:pt>
                <c:pt idx="38">
                  <c:v>2022</c:v>
                </c:pt>
                <c:pt idx="39">
                  <c:v>#N/A</c:v>
                </c:pt>
                <c:pt idx="40">
                  <c:v>2025</c:v>
                </c:pt>
                <c:pt idx="41">
                  <c:v>#N/A</c:v>
                </c:pt>
                <c:pt idx="42">
                  <c:v>#N/A</c:v>
                </c:pt>
                <c:pt idx="43">
                  <c:v>2025</c:v>
                </c:pt>
                <c:pt idx="44">
                  <c:v>2020</c:v>
                </c:pt>
                <c:pt idx="45">
                  <c:v>#N/A</c:v>
                </c:pt>
                <c:pt idx="46">
                  <c:v>#N/A</c:v>
                </c:pt>
                <c:pt idx="47">
                  <c:v>#N/A</c:v>
                </c:pt>
                <c:pt idx="48">
                  <c:v>#N/A</c:v>
                </c:pt>
                <c:pt idx="49">
                  <c:v>#N/A</c:v>
                </c:pt>
                <c:pt idx="50">
                  <c:v>#N/A</c:v>
                </c:pt>
                <c:pt idx="51">
                  <c:v>#N/A</c:v>
                </c:pt>
                <c:pt idx="52">
                  <c:v>#N/A</c:v>
                </c:pt>
                <c:pt idx="53">
                  <c:v>2025</c:v>
                </c:pt>
                <c:pt idx="54">
                  <c:v>#N/A</c:v>
                </c:pt>
                <c:pt idx="55">
                  <c:v>#N/A</c:v>
                </c:pt>
                <c:pt idx="56">
                  <c:v>#N/A</c:v>
                </c:pt>
                <c:pt idx="57">
                  <c:v>2015</c:v>
                </c:pt>
                <c:pt idx="58">
                  <c:v>1998</c:v>
                </c:pt>
                <c:pt idx="59">
                  <c:v>2007</c:v>
                </c:pt>
                <c:pt idx="60">
                  <c:v>#N/A</c:v>
                </c:pt>
                <c:pt idx="61">
                  <c:v>2023</c:v>
                </c:pt>
                <c:pt idx="62">
                  <c:v>#N/A</c:v>
                </c:pt>
                <c:pt idx="63">
                  <c:v>2024</c:v>
                </c:pt>
                <c:pt idx="64">
                  <c:v>2020</c:v>
                </c:pt>
                <c:pt idx="65">
                  <c:v>#N/A</c:v>
                </c:pt>
                <c:pt idx="66">
                  <c:v>#N/A</c:v>
                </c:pt>
                <c:pt idx="67">
                  <c:v>#N/A</c:v>
                </c:pt>
                <c:pt idx="68">
                  <c:v>2023</c:v>
                </c:pt>
                <c:pt idx="69">
                  <c:v>#N/A</c:v>
                </c:pt>
                <c:pt idx="70">
                  <c:v>#N/A</c:v>
                </c:pt>
                <c:pt idx="71">
                  <c:v>2022</c:v>
                </c:pt>
                <c:pt idx="72">
                  <c:v>#N/A</c:v>
                </c:pt>
                <c:pt idx="73">
                  <c:v>2019</c:v>
                </c:pt>
                <c:pt idx="74">
                  <c:v>2019</c:v>
                </c:pt>
                <c:pt idx="75">
                  <c:v>#N/A</c:v>
                </c:pt>
                <c:pt idx="76">
                  <c:v>#N/A</c:v>
                </c:pt>
                <c:pt idx="77">
                  <c:v>2023</c:v>
                </c:pt>
                <c:pt idx="78">
                  <c:v>2024</c:v>
                </c:pt>
                <c:pt idx="79">
                  <c:v>#N/A</c:v>
                </c:pt>
                <c:pt idx="80">
                  <c:v>#N/A</c:v>
                </c:pt>
                <c:pt idx="81">
                  <c:v>2022</c:v>
                </c:pt>
                <c:pt idx="82">
                  <c:v>#N/A</c:v>
                </c:pt>
                <c:pt idx="83">
                  <c:v>2022</c:v>
                </c:pt>
                <c:pt idx="84">
                  <c:v>2021</c:v>
                </c:pt>
                <c:pt idx="85">
                  <c:v>2020</c:v>
                </c:pt>
                <c:pt idx="86">
                  <c:v>#N/A</c:v>
                </c:pt>
                <c:pt idx="87">
                  <c:v>#N/A</c:v>
                </c:pt>
                <c:pt idx="88">
                  <c:v>#N/A</c:v>
                </c:pt>
                <c:pt idx="89">
                  <c:v>2025</c:v>
                </c:pt>
                <c:pt idx="90">
                  <c:v>#N/A</c:v>
                </c:pt>
                <c:pt idx="91">
                  <c:v>#N/A</c:v>
                </c:pt>
                <c:pt idx="92">
                  <c:v>2022</c:v>
                </c:pt>
                <c:pt idx="93">
                  <c:v>#N/A</c:v>
                </c:pt>
                <c:pt idx="94">
                  <c:v>#N/A</c:v>
                </c:pt>
                <c:pt idx="95">
                  <c:v>2018</c:v>
                </c:pt>
                <c:pt idx="96">
                  <c:v>2016</c:v>
                </c:pt>
                <c:pt idx="97">
                  <c:v>#N/A</c:v>
                </c:pt>
                <c:pt idx="98">
                  <c:v>#N/A</c:v>
                </c:pt>
                <c:pt idx="99">
                  <c:v>#N/A</c:v>
                </c:pt>
                <c:pt idx="100">
                  <c:v>#N/A</c:v>
                </c:pt>
                <c:pt idx="101">
                  <c:v>#N/A</c:v>
                </c:pt>
                <c:pt idx="102">
                  <c:v>#N/A</c:v>
                </c:pt>
                <c:pt idx="103">
                  <c:v>#N/A</c:v>
                </c:pt>
                <c:pt idx="104">
                  <c:v>#N/A</c:v>
                </c:pt>
                <c:pt idx="105">
                  <c:v>#N/A</c:v>
                </c:pt>
                <c:pt idx="106">
                  <c:v>2015</c:v>
                </c:pt>
                <c:pt idx="107">
                  <c:v>#N/A</c:v>
                </c:pt>
                <c:pt idx="108">
                  <c:v>#N/A</c:v>
                </c:pt>
                <c:pt idx="109">
                  <c:v>2017</c:v>
                </c:pt>
                <c:pt idx="110">
                  <c:v>#N/A</c:v>
                </c:pt>
                <c:pt idx="111">
                  <c:v>2020</c:v>
                </c:pt>
                <c:pt idx="112">
                  <c:v>#N/A</c:v>
                </c:pt>
                <c:pt idx="113">
                  <c:v>2023</c:v>
                </c:pt>
                <c:pt idx="114">
                  <c:v>#N/A</c:v>
                </c:pt>
                <c:pt idx="115">
                  <c:v>2022</c:v>
                </c:pt>
                <c:pt idx="116">
                  <c:v>2019</c:v>
                </c:pt>
                <c:pt idx="117">
                  <c:v>#N/A</c:v>
                </c:pt>
                <c:pt idx="118">
                  <c:v>#N/A</c:v>
                </c:pt>
                <c:pt idx="119">
                  <c:v>#N/A</c:v>
                </c:pt>
                <c:pt idx="120">
                  <c:v>2023</c:v>
                </c:pt>
                <c:pt idx="121">
                  <c:v>2025</c:v>
                </c:pt>
                <c:pt idx="122">
                  <c:v>#N/A</c:v>
                </c:pt>
                <c:pt idx="123">
                  <c:v>2026</c:v>
                </c:pt>
                <c:pt idx="124">
                  <c:v>2025</c:v>
                </c:pt>
                <c:pt idx="125">
                  <c:v>#N/A</c:v>
                </c:pt>
                <c:pt idx="126">
                  <c:v>#N/A</c:v>
                </c:pt>
                <c:pt idx="127">
                  <c:v>#N/A</c:v>
                </c:pt>
                <c:pt idx="128">
                  <c:v>#N/A</c:v>
                </c:pt>
                <c:pt idx="129">
                  <c:v>#N/A</c:v>
                </c:pt>
                <c:pt idx="130">
                  <c:v>#N/A</c:v>
                </c:pt>
                <c:pt idx="131">
                  <c:v>#N/A</c:v>
                </c:pt>
                <c:pt idx="132">
                  <c:v>2020</c:v>
                </c:pt>
                <c:pt idx="133">
                  <c:v>#N/A</c:v>
                </c:pt>
                <c:pt idx="134">
                  <c:v>2022</c:v>
                </c:pt>
                <c:pt idx="135">
                  <c:v>#N/A</c:v>
                </c:pt>
                <c:pt idx="136">
                  <c:v>#N/A</c:v>
                </c:pt>
                <c:pt idx="137">
                  <c:v>2023</c:v>
                </c:pt>
                <c:pt idx="138">
                  <c:v>2023</c:v>
                </c:pt>
                <c:pt idx="139">
                  <c:v>#N/A</c:v>
                </c:pt>
                <c:pt idx="140">
                  <c:v>2023</c:v>
                </c:pt>
                <c:pt idx="141">
                  <c:v>2017</c:v>
                </c:pt>
                <c:pt idx="142">
                  <c:v>#N/A</c:v>
                </c:pt>
                <c:pt idx="143">
                  <c:v>#N/A</c:v>
                </c:pt>
                <c:pt idx="144">
                  <c:v>#N/A</c:v>
                </c:pt>
                <c:pt idx="145">
                  <c:v>#N/A</c:v>
                </c:pt>
                <c:pt idx="146">
                  <c:v>#N/A</c:v>
                </c:pt>
                <c:pt idx="147">
                  <c:v>#N/A</c:v>
                </c:pt>
                <c:pt idx="148">
                  <c:v>#N/A</c:v>
                </c:pt>
                <c:pt idx="149">
                  <c:v>2017</c:v>
                </c:pt>
                <c:pt idx="150">
                  <c:v>#N/A</c:v>
                </c:pt>
                <c:pt idx="151">
                  <c:v>#N/A</c:v>
                </c:pt>
                <c:pt idx="152">
                  <c:v>#N/A</c:v>
                </c:pt>
                <c:pt idx="153">
                  <c:v>2022</c:v>
                </c:pt>
                <c:pt idx="154">
                  <c:v>#N/A</c:v>
                </c:pt>
                <c:pt idx="155">
                  <c:v>#N/A</c:v>
                </c:pt>
                <c:pt idx="156">
                  <c:v>#N/A</c:v>
                </c:pt>
                <c:pt idx="157">
                  <c:v>#N/A</c:v>
                </c:pt>
                <c:pt idx="158">
                  <c:v>2020</c:v>
                </c:pt>
                <c:pt idx="159">
                  <c:v>#N/A</c:v>
                </c:pt>
                <c:pt idx="160">
                  <c:v>2023</c:v>
                </c:pt>
                <c:pt idx="161">
                  <c:v>2019</c:v>
                </c:pt>
                <c:pt idx="162">
                  <c:v>2026</c:v>
                </c:pt>
                <c:pt idx="163">
                  <c:v>2025</c:v>
                </c:pt>
                <c:pt idx="164">
                  <c:v>#N/A</c:v>
                </c:pt>
                <c:pt idx="165">
                  <c:v>#N/A</c:v>
                </c:pt>
                <c:pt idx="166">
                  <c:v>2022</c:v>
                </c:pt>
                <c:pt idx="167">
                  <c:v>2018</c:v>
                </c:pt>
                <c:pt idx="168">
                  <c:v>2020</c:v>
                </c:pt>
                <c:pt idx="169">
                  <c:v>#N/A</c:v>
                </c:pt>
                <c:pt idx="170">
                  <c:v>#N/A</c:v>
                </c:pt>
                <c:pt idx="171">
                  <c:v>2025</c:v>
                </c:pt>
                <c:pt idx="172">
                  <c:v>2025</c:v>
                </c:pt>
                <c:pt idx="173">
                  <c:v>2023</c:v>
                </c:pt>
                <c:pt idx="174">
                  <c:v>2016</c:v>
                </c:pt>
                <c:pt idx="175">
                  <c:v>#N/A</c:v>
                </c:pt>
                <c:pt idx="176">
                  <c:v>2014</c:v>
                </c:pt>
                <c:pt idx="177">
                  <c:v>#N/A</c:v>
                </c:pt>
                <c:pt idx="178">
                  <c:v>#N/A</c:v>
                </c:pt>
                <c:pt idx="179">
                  <c:v>#N/A</c:v>
                </c:pt>
                <c:pt idx="180">
                  <c:v>2014</c:v>
                </c:pt>
                <c:pt idx="181">
                  <c:v>2024</c:v>
                </c:pt>
                <c:pt idx="182">
                  <c:v>#N/A</c:v>
                </c:pt>
                <c:pt idx="183">
                  <c:v>#N/A</c:v>
                </c:pt>
                <c:pt idx="184">
                  <c:v>2012</c:v>
                </c:pt>
                <c:pt idx="185">
                  <c:v>#N/A</c:v>
                </c:pt>
                <c:pt idx="186">
                  <c:v>#N/A</c:v>
                </c:pt>
                <c:pt idx="187">
                  <c:v>#N/A</c:v>
                </c:pt>
                <c:pt idx="188">
                  <c:v>#N/A</c:v>
                </c:pt>
                <c:pt idx="189">
                  <c:v>#N/A</c:v>
                </c:pt>
                <c:pt idx="190">
                  <c:v>2025</c:v>
                </c:pt>
                <c:pt idx="191">
                  <c:v>2021</c:v>
                </c:pt>
                <c:pt idx="192">
                  <c:v>2019</c:v>
                </c:pt>
                <c:pt idx="193">
                  <c:v>1996</c:v>
                </c:pt>
                <c:pt idx="194">
                  <c:v>#N/A</c:v>
                </c:pt>
                <c:pt idx="195">
                  <c:v>#N/A</c:v>
                </c:pt>
                <c:pt idx="196">
                  <c:v>#N/A</c:v>
                </c:pt>
                <c:pt idx="197">
                  <c:v>#N/A</c:v>
                </c:pt>
                <c:pt idx="198">
                  <c:v>#N/A</c:v>
                </c:pt>
                <c:pt idx="199">
                  <c:v>#N/A</c:v>
                </c:pt>
                <c:pt idx="200">
                  <c:v>#N/A</c:v>
                </c:pt>
                <c:pt idx="201">
                  <c:v>#N/A</c:v>
                </c:pt>
                <c:pt idx="202">
                  <c:v>#N/A</c:v>
                </c:pt>
                <c:pt idx="203">
                  <c:v>2021</c:v>
                </c:pt>
                <c:pt idx="204">
                  <c:v>#N/A</c:v>
                </c:pt>
                <c:pt idx="205">
                  <c:v>2023</c:v>
                </c:pt>
                <c:pt idx="206">
                  <c:v>2026</c:v>
                </c:pt>
                <c:pt idx="207">
                  <c:v>#N/A</c:v>
                </c:pt>
                <c:pt idx="208">
                  <c:v>#N/A</c:v>
                </c:pt>
                <c:pt idx="209">
                  <c:v>#N/A</c:v>
                </c:pt>
                <c:pt idx="210">
                  <c:v>#N/A</c:v>
                </c:pt>
                <c:pt idx="211">
                  <c:v>2026</c:v>
                </c:pt>
                <c:pt idx="212">
                  <c:v>2013</c:v>
                </c:pt>
                <c:pt idx="213">
                  <c:v>2014</c:v>
                </c:pt>
                <c:pt idx="214">
                  <c:v>#N/A</c:v>
                </c:pt>
                <c:pt idx="215">
                  <c:v>#N/A</c:v>
                </c:pt>
                <c:pt idx="216">
                  <c:v>2023</c:v>
                </c:pt>
                <c:pt idx="217">
                  <c:v>2015</c:v>
                </c:pt>
                <c:pt idx="218">
                  <c:v>#N/A</c:v>
                </c:pt>
                <c:pt idx="219">
                  <c:v>#N/A</c:v>
                </c:pt>
                <c:pt idx="220">
                  <c:v>#N/A</c:v>
                </c:pt>
                <c:pt idx="221">
                  <c:v>#N/A</c:v>
                </c:pt>
                <c:pt idx="222">
                  <c:v>2020</c:v>
                </c:pt>
                <c:pt idx="223">
                  <c:v>#N/A</c:v>
                </c:pt>
                <c:pt idx="224">
                  <c:v>#N/A</c:v>
                </c:pt>
                <c:pt idx="225">
                  <c:v>#N/A</c:v>
                </c:pt>
                <c:pt idx="226">
                  <c:v>#N/A</c:v>
                </c:pt>
                <c:pt idx="227">
                  <c:v>#N/A</c:v>
                </c:pt>
                <c:pt idx="228">
                  <c:v>#N/A</c:v>
                </c:pt>
                <c:pt idx="229">
                  <c:v>#N/A</c:v>
                </c:pt>
                <c:pt idx="230">
                  <c:v>1993</c:v>
                </c:pt>
                <c:pt idx="231">
                  <c:v>#N/A</c:v>
                </c:pt>
                <c:pt idx="232">
                  <c:v>#N/A</c:v>
                </c:pt>
                <c:pt idx="233">
                  <c:v>#N/A</c:v>
                </c:pt>
                <c:pt idx="234">
                  <c:v>#N/A</c:v>
                </c:pt>
                <c:pt idx="235">
                  <c:v>2024</c:v>
                </c:pt>
                <c:pt idx="236">
                  <c:v>#N/A</c:v>
                </c:pt>
                <c:pt idx="237">
                  <c:v>2018</c:v>
                </c:pt>
                <c:pt idx="238">
                  <c:v>2025</c:v>
                </c:pt>
                <c:pt idx="239">
                  <c:v>#N/A</c:v>
                </c:pt>
                <c:pt idx="240">
                  <c:v>#N/A</c:v>
                </c:pt>
                <c:pt idx="241">
                  <c:v>2025</c:v>
                </c:pt>
                <c:pt idx="242">
                  <c:v>2013</c:v>
                </c:pt>
                <c:pt idx="243">
                  <c:v>2023</c:v>
                </c:pt>
                <c:pt idx="244">
                  <c:v>2023</c:v>
                </c:pt>
                <c:pt idx="245">
                  <c:v>#N/A</c:v>
                </c:pt>
                <c:pt idx="246">
                  <c:v>#N/A</c:v>
                </c:pt>
                <c:pt idx="247">
                  <c:v>2022</c:v>
                </c:pt>
                <c:pt idx="248">
                  <c:v>#N/A</c:v>
                </c:pt>
                <c:pt idx="249">
                  <c:v>#N/A</c:v>
                </c:pt>
                <c:pt idx="250">
                  <c:v>2025</c:v>
                </c:pt>
                <c:pt idx="251">
                  <c:v>2016</c:v>
                </c:pt>
                <c:pt idx="252">
                  <c:v>#N/A</c:v>
                </c:pt>
                <c:pt idx="253">
                  <c:v>#N/A</c:v>
                </c:pt>
                <c:pt idx="254">
                  <c:v>#N/A</c:v>
                </c:pt>
                <c:pt idx="255">
                  <c:v>2026</c:v>
                </c:pt>
                <c:pt idx="256">
                  <c:v>2023</c:v>
                </c:pt>
                <c:pt idx="257">
                  <c:v>2020</c:v>
                </c:pt>
                <c:pt idx="258">
                  <c:v>#N/A</c:v>
                </c:pt>
                <c:pt idx="259">
                  <c:v>#N/A</c:v>
                </c:pt>
                <c:pt idx="260">
                  <c:v>#N/A</c:v>
                </c:pt>
                <c:pt idx="261">
                  <c:v>#N/A</c:v>
                </c:pt>
                <c:pt idx="262">
                  <c:v>#N/A</c:v>
                </c:pt>
                <c:pt idx="263">
                  <c:v>#N/A</c:v>
                </c:pt>
                <c:pt idx="264">
                  <c:v>#N/A</c:v>
                </c:pt>
                <c:pt idx="265">
                  <c:v>2024</c:v>
                </c:pt>
                <c:pt idx="266">
                  <c:v>2022</c:v>
                </c:pt>
                <c:pt idx="267">
                  <c:v>#N/A</c:v>
                </c:pt>
                <c:pt idx="268">
                  <c:v>2017</c:v>
                </c:pt>
                <c:pt idx="269">
                  <c:v>#N/A</c:v>
                </c:pt>
                <c:pt idx="270">
                  <c:v>2024</c:v>
                </c:pt>
                <c:pt idx="271">
                  <c:v>#N/A</c:v>
                </c:pt>
                <c:pt idx="272">
                  <c:v>#N/A</c:v>
                </c:pt>
                <c:pt idx="273">
                  <c:v>#N/A</c:v>
                </c:pt>
                <c:pt idx="274">
                  <c:v>2025</c:v>
                </c:pt>
                <c:pt idx="275">
                  <c:v>#N/A</c:v>
                </c:pt>
                <c:pt idx="276">
                  <c:v>2017</c:v>
                </c:pt>
                <c:pt idx="277">
                  <c:v>2025</c:v>
                </c:pt>
                <c:pt idx="278">
                  <c:v>#N/A</c:v>
                </c:pt>
                <c:pt idx="279">
                  <c:v>#N/A</c:v>
                </c:pt>
                <c:pt idx="280">
                  <c:v>2013</c:v>
                </c:pt>
                <c:pt idx="281">
                  <c:v>2020</c:v>
                </c:pt>
                <c:pt idx="282">
                  <c:v>#N/A</c:v>
                </c:pt>
                <c:pt idx="283">
                  <c:v>#N/A</c:v>
                </c:pt>
                <c:pt idx="284">
                  <c:v>2024</c:v>
                </c:pt>
                <c:pt idx="285">
                  <c:v>#N/A</c:v>
                </c:pt>
                <c:pt idx="286">
                  <c:v>2025</c:v>
                </c:pt>
                <c:pt idx="287">
                  <c:v>2024</c:v>
                </c:pt>
                <c:pt idx="288">
                  <c:v>#N/A</c:v>
                </c:pt>
                <c:pt idx="289">
                  <c:v>#N/A</c:v>
                </c:pt>
                <c:pt idx="290">
                  <c:v>#N/A</c:v>
                </c:pt>
                <c:pt idx="291">
                  <c:v>2024</c:v>
                </c:pt>
                <c:pt idx="292">
                  <c:v>2020</c:v>
                </c:pt>
                <c:pt idx="293">
                  <c:v>2023</c:v>
                </c:pt>
                <c:pt idx="294">
                  <c:v>2024</c:v>
                </c:pt>
                <c:pt idx="295">
                  <c:v>#N/A</c:v>
                </c:pt>
                <c:pt idx="296">
                  <c:v>#N/A</c:v>
                </c:pt>
                <c:pt idx="297">
                  <c:v>2024</c:v>
                </c:pt>
                <c:pt idx="298">
                  <c:v>#N/A</c:v>
                </c:pt>
                <c:pt idx="299">
                  <c:v>2023</c:v>
                </c:pt>
                <c:pt idx="300">
                  <c:v>2025</c:v>
                </c:pt>
                <c:pt idx="301">
                  <c:v>2020</c:v>
                </c:pt>
                <c:pt idx="302">
                  <c:v>#N/A</c:v>
                </c:pt>
                <c:pt idx="303">
                  <c:v>2020</c:v>
                </c:pt>
                <c:pt idx="304">
                  <c:v>2022</c:v>
                </c:pt>
                <c:pt idx="305">
                  <c:v>2016</c:v>
                </c:pt>
                <c:pt idx="306">
                  <c:v>2020</c:v>
                </c:pt>
                <c:pt idx="307">
                  <c:v>2023</c:v>
                </c:pt>
                <c:pt idx="308">
                  <c:v>2025</c:v>
                </c:pt>
                <c:pt idx="309">
                  <c:v>2023</c:v>
                </c:pt>
                <c:pt idx="310">
                  <c:v>#N/A</c:v>
                </c:pt>
                <c:pt idx="311">
                  <c:v>2021</c:v>
                </c:pt>
                <c:pt idx="312">
                  <c:v>2024</c:v>
                </c:pt>
                <c:pt idx="313">
                  <c:v>#N/A</c:v>
                </c:pt>
                <c:pt idx="314">
                  <c:v>#N/A</c:v>
                </c:pt>
                <c:pt idx="315">
                  <c:v>2020</c:v>
                </c:pt>
                <c:pt idx="316">
                  <c:v>2022</c:v>
                </c:pt>
                <c:pt idx="317">
                  <c:v>2025</c:v>
                </c:pt>
                <c:pt idx="318">
                  <c:v>#N/A</c:v>
                </c:pt>
                <c:pt idx="319">
                  <c:v>#N/A</c:v>
                </c:pt>
                <c:pt idx="320">
                  <c:v>#N/A</c:v>
                </c:pt>
                <c:pt idx="321">
                  <c:v>2019</c:v>
                </c:pt>
                <c:pt idx="322">
                  <c:v>2024</c:v>
                </c:pt>
                <c:pt idx="323">
                  <c:v>2023</c:v>
                </c:pt>
                <c:pt idx="324">
                  <c:v>#N/A</c:v>
                </c:pt>
                <c:pt idx="325">
                  <c:v>#N/A</c:v>
                </c:pt>
                <c:pt idx="326">
                  <c:v>2026</c:v>
                </c:pt>
                <c:pt idx="327">
                  <c:v>2025</c:v>
                </c:pt>
                <c:pt idx="328">
                  <c:v>#N/A</c:v>
                </c:pt>
                <c:pt idx="329">
                  <c:v>2017</c:v>
                </c:pt>
                <c:pt idx="330">
                  <c:v>2025</c:v>
                </c:pt>
                <c:pt idx="331">
                  <c:v>2022</c:v>
                </c:pt>
                <c:pt idx="332">
                  <c:v>#N/A</c:v>
                </c:pt>
                <c:pt idx="333">
                  <c:v>2023</c:v>
                </c:pt>
                <c:pt idx="334">
                  <c:v>2017</c:v>
                </c:pt>
                <c:pt idx="335">
                  <c:v>2014</c:v>
                </c:pt>
                <c:pt idx="336">
                  <c:v>2025</c:v>
                </c:pt>
                <c:pt idx="337">
                  <c:v>2026</c:v>
                </c:pt>
                <c:pt idx="338">
                  <c:v>2023</c:v>
                </c:pt>
                <c:pt idx="339">
                  <c:v>#N/A</c:v>
                </c:pt>
                <c:pt idx="340">
                  <c:v>2025</c:v>
                </c:pt>
                <c:pt idx="341">
                  <c:v>2023</c:v>
                </c:pt>
                <c:pt idx="342">
                  <c:v>2018</c:v>
                </c:pt>
                <c:pt idx="343">
                  <c:v>2025</c:v>
                </c:pt>
                <c:pt idx="344">
                  <c:v>#N/A</c:v>
                </c:pt>
                <c:pt idx="345">
                  <c:v>#N/A</c:v>
                </c:pt>
                <c:pt idx="346">
                  <c:v>2023</c:v>
                </c:pt>
                <c:pt idx="347">
                  <c:v>#N/A</c:v>
                </c:pt>
                <c:pt idx="348">
                  <c:v>#N/A</c:v>
                </c:pt>
                <c:pt idx="349">
                  <c:v>#N/A</c:v>
                </c:pt>
                <c:pt idx="350">
                  <c:v>2026</c:v>
                </c:pt>
                <c:pt idx="351">
                  <c:v>#N/A</c:v>
                </c:pt>
                <c:pt idx="352">
                  <c:v>2026</c:v>
                </c:pt>
                <c:pt idx="353">
                  <c:v>#N/A</c:v>
                </c:pt>
                <c:pt idx="354">
                  <c:v>2025</c:v>
                </c:pt>
                <c:pt idx="355">
                  <c:v>#N/A</c:v>
                </c:pt>
                <c:pt idx="356">
                  <c:v>2022</c:v>
                </c:pt>
                <c:pt idx="357">
                  <c:v>2017</c:v>
                </c:pt>
                <c:pt idx="358">
                  <c:v>2016</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2025</c:v>
                </c:pt>
                <c:pt idx="372">
                  <c:v>2018</c:v>
                </c:pt>
                <c:pt idx="373">
                  <c:v>#N/A</c:v>
                </c:pt>
                <c:pt idx="374">
                  <c:v>2023</c:v>
                </c:pt>
                <c:pt idx="375">
                  <c:v>#N/A</c:v>
                </c:pt>
                <c:pt idx="376">
                  <c:v>2025</c:v>
                </c:pt>
                <c:pt idx="377">
                  <c:v>#N/A</c:v>
                </c:pt>
                <c:pt idx="378">
                  <c:v>2023</c:v>
                </c:pt>
                <c:pt idx="379">
                  <c:v>#N/A</c:v>
                </c:pt>
                <c:pt idx="380">
                  <c:v>2025</c:v>
                </c:pt>
                <c:pt idx="381">
                  <c:v>#N/A</c:v>
                </c:pt>
                <c:pt idx="382">
                  <c:v>2023</c:v>
                </c:pt>
                <c:pt idx="383">
                  <c:v>#N/A</c:v>
                </c:pt>
                <c:pt idx="384">
                  <c:v>#N/A</c:v>
                </c:pt>
                <c:pt idx="385">
                  <c:v>#N/A</c:v>
                </c:pt>
                <c:pt idx="386">
                  <c:v>#N/A</c:v>
                </c:pt>
                <c:pt idx="387">
                  <c:v>2024</c:v>
                </c:pt>
                <c:pt idx="388">
                  <c:v>#N/A</c:v>
                </c:pt>
                <c:pt idx="389">
                  <c:v>#N/A</c:v>
                </c:pt>
                <c:pt idx="390">
                  <c:v>#N/A</c:v>
                </c:pt>
                <c:pt idx="391">
                  <c:v>2024</c:v>
                </c:pt>
                <c:pt idx="392">
                  <c:v>#N/A</c:v>
                </c:pt>
                <c:pt idx="393">
                  <c:v>#N/A</c:v>
                </c:pt>
                <c:pt idx="394">
                  <c:v>#N/A</c:v>
                </c:pt>
                <c:pt idx="395">
                  <c:v>2023</c:v>
                </c:pt>
                <c:pt idx="396">
                  <c:v>#N/A</c:v>
                </c:pt>
                <c:pt idx="397">
                  <c:v>#N/A</c:v>
                </c:pt>
                <c:pt idx="398">
                  <c:v>#N/A</c:v>
                </c:pt>
                <c:pt idx="399">
                  <c:v>#N/A</c:v>
                </c:pt>
                <c:pt idx="400">
                  <c:v>#N/A</c:v>
                </c:pt>
                <c:pt idx="401">
                  <c:v>2026</c:v>
                </c:pt>
                <c:pt idx="402">
                  <c:v>#N/A</c:v>
                </c:pt>
                <c:pt idx="403">
                  <c:v>#N/A</c:v>
                </c:pt>
                <c:pt idx="404">
                  <c:v>#N/A</c:v>
                </c:pt>
                <c:pt idx="405">
                  <c:v>2025</c:v>
                </c:pt>
                <c:pt idx="406">
                  <c:v>#N/A</c:v>
                </c:pt>
                <c:pt idx="407">
                  <c:v>#N/A</c:v>
                </c:pt>
                <c:pt idx="408">
                  <c:v>#N/A</c:v>
                </c:pt>
                <c:pt idx="409">
                  <c:v>#N/A</c:v>
                </c:pt>
                <c:pt idx="410">
                  <c:v>#N/A</c:v>
                </c:pt>
                <c:pt idx="411">
                  <c:v>2026</c:v>
                </c:pt>
                <c:pt idx="412">
                  <c:v>2019</c:v>
                </c:pt>
                <c:pt idx="413">
                  <c:v>2023</c:v>
                </c:pt>
                <c:pt idx="414">
                  <c:v>2025</c:v>
                </c:pt>
                <c:pt idx="415">
                  <c:v>#N/A</c:v>
                </c:pt>
                <c:pt idx="416">
                  <c:v>2018</c:v>
                </c:pt>
                <c:pt idx="417">
                  <c:v>2025</c:v>
                </c:pt>
                <c:pt idx="418">
                  <c:v>#N/A</c:v>
                </c:pt>
                <c:pt idx="419">
                  <c:v>2025</c:v>
                </c:pt>
                <c:pt idx="420">
                  <c:v>#N/A</c:v>
                </c:pt>
                <c:pt idx="421">
                  <c:v>2025</c:v>
                </c:pt>
                <c:pt idx="422">
                  <c:v>#N/A</c:v>
                </c:pt>
                <c:pt idx="423">
                  <c:v>#N/A</c:v>
                </c:pt>
                <c:pt idx="424">
                  <c:v>#N/A</c:v>
                </c:pt>
                <c:pt idx="425">
                  <c:v>#N/A</c:v>
                </c:pt>
                <c:pt idx="426">
                  <c:v>#N/A</c:v>
                </c:pt>
                <c:pt idx="427">
                  <c:v>2020</c:v>
                </c:pt>
                <c:pt idx="428">
                  <c:v>2021</c:v>
                </c:pt>
                <c:pt idx="429">
                  <c:v>#N/A</c:v>
                </c:pt>
                <c:pt idx="430">
                  <c:v>2025</c:v>
                </c:pt>
                <c:pt idx="431">
                  <c:v>#N/A</c:v>
                </c:pt>
                <c:pt idx="432">
                  <c:v>#N/A</c:v>
                </c:pt>
                <c:pt idx="433">
                  <c:v>#N/A</c:v>
                </c:pt>
                <c:pt idx="434">
                  <c:v>#N/A</c:v>
                </c:pt>
                <c:pt idx="435">
                  <c:v>2023</c:v>
                </c:pt>
                <c:pt idx="436">
                  <c:v>2022</c:v>
                </c:pt>
                <c:pt idx="437">
                  <c:v>#N/A</c:v>
                </c:pt>
                <c:pt idx="438">
                  <c:v>#N/A</c:v>
                </c:pt>
                <c:pt idx="439">
                  <c:v>#N/A</c:v>
                </c:pt>
                <c:pt idx="440">
                  <c:v>#N/A</c:v>
                </c:pt>
                <c:pt idx="441">
                  <c:v>#N/A</c:v>
                </c:pt>
                <c:pt idx="442">
                  <c:v>#N/A</c:v>
                </c:pt>
                <c:pt idx="443">
                  <c:v>#N/A</c:v>
                </c:pt>
                <c:pt idx="444">
                  <c:v>#N/A</c:v>
                </c:pt>
                <c:pt idx="445">
                  <c:v>2025</c:v>
                </c:pt>
                <c:pt idx="446">
                  <c:v>2015</c:v>
                </c:pt>
                <c:pt idx="447">
                  <c:v>2016</c:v>
                </c:pt>
                <c:pt idx="448">
                  <c:v>2024</c:v>
                </c:pt>
                <c:pt idx="449">
                  <c:v>2018</c:v>
                </c:pt>
                <c:pt idx="450">
                  <c:v>2025</c:v>
                </c:pt>
                <c:pt idx="451">
                  <c:v>#N/A</c:v>
                </c:pt>
                <c:pt idx="452">
                  <c:v>2026</c:v>
                </c:pt>
                <c:pt idx="453">
                  <c:v>#N/A</c:v>
                </c:pt>
                <c:pt idx="454">
                  <c:v>#N/A</c:v>
                </c:pt>
                <c:pt idx="455">
                  <c:v>2025</c:v>
                </c:pt>
                <c:pt idx="456">
                  <c:v>2023</c:v>
                </c:pt>
                <c:pt idx="457">
                  <c:v>2018</c:v>
                </c:pt>
                <c:pt idx="458">
                  <c:v>2022</c:v>
                </c:pt>
                <c:pt idx="459">
                  <c:v>#N/A</c:v>
                </c:pt>
                <c:pt idx="460">
                  <c:v>2023</c:v>
                </c:pt>
                <c:pt idx="461">
                  <c:v>2021</c:v>
                </c:pt>
                <c:pt idx="462">
                  <c:v>#N/A</c:v>
                </c:pt>
                <c:pt idx="463">
                  <c:v>#N/A</c:v>
                </c:pt>
                <c:pt idx="464">
                  <c:v>#N/A</c:v>
                </c:pt>
                <c:pt idx="465">
                  <c:v>2024</c:v>
                </c:pt>
                <c:pt idx="466">
                  <c:v>#N/A</c:v>
                </c:pt>
                <c:pt idx="467">
                  <c:v>2022</c:v>
                </c:pt>
                <c:pt idx="468">
                  <c:v>#N/A</c:v>
                </c:pt>
                <c:pt idx="469">
                  <c:v>2022</c:v>
                </c:pt>
                <c:pt idx="470">
                  <c:v>2024</c:v>
                </c:pt>
                <c:pt idx="471">
                  <c:v>2019</c:v>
                </c:pt>
                <c:pt idx="472">
                  <c:v>2025</c:v>
                </c:pt>
                <c:pt idx="473">
                  <c:v>2022</c:v>
                </c:pt>
                <c:pt idx="474">
                  <c:v>#N/A</c:v>
                </c:pt>
                <c:pt idx="475">
                  <c:v>2021</c:v>
                </c:pt>
                <c:pt idx="476">
                  <c:v>2025</c:v>
                </c:pt>
                <c:pt idx="477">
                  <c:v>2024</c:v>
                </c:pt>
                <c:pt idx="478">
                  <c:v>#N/A</c:v>
                </c:pt>
                <c:pt idx="479">
                  <c:v>#N/A</c:v>
                </c:pt>
                <c:pt idx="480">
                  <c:v>2019</c:v>
                </c:pt>
                <c:pt idx="481">
                  <c:v>2022</c:v>
                </c:pt>
                <c:pt idx="482">
                  <c:v>2025</c:v>
                </c:pt>
                <c:pt idx="483">
                  <c:v>2023</c:v>
                </c:pt>
                <c:pt idx="484">
                  <c:v>#N/A</c:v>
                </c:pt>
                <c:pt idx="485">
                  <c:v>2022</c:v>
                </c:pt>
                <c:pt idx="486">
                  <c:v>#N/A</c:v>
                </c:pt>
                <c:pt idx="487">
                  <c:v>2019</c:v>
                </c:pt>
                <c:pt idx="488">
                  <c:v>#N/A</c:v>
                </c:pt>
                <c:pt idx="489">
                  <c:v>#N/A</c:v>
                </c:pt>
                <c:pt idx="490">
                  <c:v>2015</c:v>
                </c:pt>
                <c:pt idx="491">
                  <c:v>2025</c:v>
                </c:pt>
                <c:pt idx="492">
                  <c:v>#N/A</c:v>
                </c:pt>
                <c:pt idx="493">
                  <c:v>2023</c:v>
                </c:pt>
                <c:pt idx="494">
                  <c:v>#N/A</c:v>
                </c:pt>
                <c:pt idx="495">
                  <c:v>2018</c:v>
                </c:pt>
                <c:pt idx="496">
                  <c:v>2026</c:v>
                </c:pt>
                <c:pt idx="497">
                  <c:v>2025</c:v>
                </c:pt>
                <c:pt idx="498">
                  <c:v>#N/A</c:v>
                </c:pt>
                <c:pt idx="499">
                  <c:v>#N/A</c:v>
                </c:pt>
                <c:pt idx="500">
                  <c:v>#N/A</c:v>
                </c:pt>
                <c:pt idx="501">
                  <c:v>#N/A</c:v>
                </c:pt>
                <c:pt idx="502">
                  <c:v>#N/A</c:v>
                </c:pt>
                <c:pt idx="503">
                  <c:v>2020</c:v>
                </c:pt>
                <c:pt idx="504">
                  <c:v>#N/A</c:v>
                </c:pt>
                <c:pt idx="505">
                  <c:v>#N/A</c:v>
                </c:pt>
                <c:pt idx="506">
                  <c:v>2023</c:v>
                </c:pt>
                <c:pt idx="507">
                  <c:v>2014</c:v>
                </c:pt>
                <c:pt idx="508">
                  <c:v>#N/A</c:v>
                </c:pt>
                <c:pt idx="509">
                  <c:v>#N/A</c:v>
                </c:pt>
                <c:pt idx="510">
                  <c:v>#N/A</c:v>
                </c:pt>
                <c:pt idx="511">
                  <c:v>2023</c:v>
                </c:pt>
                <c:pt idx="512">
                  <c:v>#N/A</c:v>
                </c:pt>
                <c:pt idx="513">
                  <c:v>2021</c:v>
                </c:pt>
                <c:pt idx="514">
                  <c:v>#N/A</c:v>
                </c:pt>
                <c:pt idx="515">
                  <c:v>2026</c:v>
                </c:pt>
                <c:pt idx="516">
                  <c:v>#N/A</c:v>
                </c:pt>
                <c:pt idx="517">
                  <c:v>#N/A</c:v>
                </c:pt>
                <c:pt idx="518">
                  <c:v>#N/A</c:v>
                </c:pt>
                <c:pt idx="519">
                  <c:v>2024</c:v>
                </c:pt>
                <c:pt idx="520">
                  <c:v>2023</c:v>
                </c:pt>
                <c:pt idx="521">
                  <c:v>#N/A</c:v>
                </c:pt>
                <c:pt idx="522">
                  <c:v>#N/A</c:v>
                </c:pt>
                <c:pt idx="523">
                  <c:v>#N/A</c:v>
                </c:pt>
                <c:pt idx="524">
                  <c:v>#N/A</c:v>
                </c:pt>
                <c:pt idx="525">
                  <c:v>#N/A</c:v>
                </c:pt>
                <c:pt idx="526">
                  <c:v>#N/A</c:v>
                </c:pt>
                <c:pt idx="527">
                  <c:v>#N/A</c:v>
                </c:pt>
                <c:pt idx="528">
                  <c:v>2024</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2024</c:v>
                </c:pt>
                <c:pt idx="543">
                  <c:v>#N/A</c:v>
                </c:pt>
                <c:pt idx="544">
                  <c:v>2022</c:v>
                </c:pt>
                <c:pt idx="545">
                  <c:v>#N/A</c:v>
                </c:pt>
                <c:pt idx="546">
                  <c:v>#N/A</c:v>
                </c:pt>
                <c:pt idx="547">
                  <c:v>2024</c:v>
                </c:pt>
                <c:pt idx="548">
                  <c:v>#N/A</c:v>
                </c:pt>
                <c:pt idx="549">
                  <c:v>#N/A</c:v>
                </c:pt>
                <c:pt idx="550">
                  <c:v>#N/A</c:v>
                </c:pt>
                <c:pt idx="551">
                  <c:v>2024</c:v>
                </c:pt>
                <c:pt idx="552">
                  <c:v>2015</c:v>
                </c:pt>
                <c:pt idx="553">
                  <c:v>#N/A</c:v>
                </c:pt>
                <c:pt idx="554">
                  <c:v>2023</c:v>
                </c:pt>
                <c:pt idx="555">
                  <c:v>2025</c:v>
                </c:pt>
                <c:pt idx="556">
                  <c:v>2024</c:v>
                </c:pt>
                <c:pt idx="557">
                  <c:v>2010</c:v>
                </c:pt>
                <c:pt idx="558">
                  <c:v>2012</c:v>
                </c:pt>
                <c:pt idx="559">
                  <c:v>2022</c:v>
                </c:pt>
                <c:pt idx="560">
                  <c:v>#N/A</c:v>
                </c:pt>
                <c:pt idx="561">
                  <c:v>2023</c:v>
                </c:pt>
                <c:pt idx="562">
                  <c:v>2023</c:v>
                </c:pt>
                <c:pt idx="563">
                  <c:v>2021</c:v>
                </c:pt>
                <c:pt idx="564">
                  <c:v>2025</c:v>
                </c:pt>
                <c:pt idx="565">
                  <c:v>#N/A</c:v>
                </c:pt>
                <c:pt idx="566">
                  <c:v>#N/A</c:v>
                </c:pt>
                <c:pt idx="567">
                  <c:v>#N/A</c:v>
                </c:pt>
                <c:pt idx="568">
                  <c:v>#N/A</c:v>
                </c:pt>
                <c:pt idx="569">
                  <c:v>#N/A</c:v>
                </c:pt>
                <c:pt idx="570">
                  <c:v>#N/A</c:v>
                </c:pt>
                <c:pt idx="571">
                  <c:v>2017</c:v>
                </c:pt>
                <c:pt idx="572">
                  <c:v>2013</c:v>
                </c:pt>
                <c:pt idx="573">
                  <c:v>2020</c:v>
                </c:pt>
                <c:pt idx="574">
                  <c:v>2023</c:v>
                </c:pt>
                <c:pt idx="575">
                  <c:v>#N/A</c:v>
                </c:pt>
                <c:pt idx="576">
                  <c:v>2020</c:v>
                </c:pt>
                <c:pt idx="577">
                  <c:v>2024</c:v>
                </c:pt>
                <c:pt idx="578">
                  <c:v>#N/A</c:v>
                </c:pt>
                <c:pt idx="579">
                  <c:v>#N/A</c:v>
                </c:pt>
                <c:pt idx="580">
                  <c:v>#N/A</c:v>
                </c:pt>
                <c:pt idx="581">
                  <c:v>2026</c:v>
                </c:pt>
                <c:pt idx="582">
                  <c:v>2024</c:v>
                </c:pt>
                <c:pt idx="583">
                  <c:v>2021</c:v>
                </c:pt>
                <c:pt idx="584">
                  <c:v>2013</c:v>
                </c:pt>
                <c:pt idx="585">
                  <c:v>2020</c:v>
                </c:pt>
                <c:pt idx="586">
                  <c:v>#N/A</c:v>
                </c:pt>
                <c:pt idx="587">
                  <c:v>#N/A</c:v>
                </c:pt>
                <c:pt idx="588">
                  <c:v>#N/A</c:v>
                </c:pt>
                <c:pt idx="589">
                  <c:v>#N/A</c:v>
                </c:pt>
                <c:pt idx="590">
                  <c:v>2022</c:v>
                </c:pt>
                <c:pt idx="591">
                  <c:v>#N/A</c:v>
                </c:pt>
                <c:pt idx="592">
                  <c:v>#N/A</c:v>
                </c:pt>
                <c:pt idx="593">
                  <c:v>#N/A</c:v>
                </c:pt>
                <c:pt idx="594">
                  <c:v>#N/A</c:v>
                </c:pt>
                <c:pt idx="595">
                  <c:v>#N/A</c:v>
                </c:pt>
                <c:pt idx="596">
                  <c:v>#N/A</c:v>
                </c:pt>
                <c:pt idx="597">
                  <c:v>#N/A</c:v>
                </c:pt>
                <c:pt idx="598">
                  <c:v>#N/A</c:v>
                </c:pt>
                <c:pt idx="599">
                  <c:v>#N/A</c:v>
                </c:pt>
                <c:pt idx="600">
                  <c:v>2021</c:v>
                </c:pt>
                <c:pt idx="601">
                  <c:v>#N/A</c:v>
                </c:pt>
                <c:pt idx="602">
                  <c:v>#N/A</c:v>
                </c:pt>
                <c:pt idx="603">
                  <c:v>#N/A</c:v>
                </c:pt>
                <c:pt idx="604">
                  <c:v>#N/A</c:v>
                </c:pt>
                <c:pt idx="605">
                  <c:v>#N/A</c:v>
                </c:pt>
                <c:pt idx="606">
                  <c:v>2024</c:v>
                </c:pt>
                <c:pt idx="607">
                  <c:v>2022</c:v>
                </c:pt>
                <c:pt idx="608">
                  <c:v>2023</c:v>
                </c:pt>
                <c:pt idx="609">
                  <c:v>2020</c:v>
                </c:pt>
                <c:pt idx="610">
                  <c:v>2023</c:v>
                </c:pt>
                <c:pt idx="611">
                  <c:v>2023</c:v>
                </c:pt>
                <c:pt idx="612">
                  <c:v>#N/A</c:v>
                </c:pt>
                <c:pt idx="613">
                  <c:v>2025</c:v>
                </c:pt>
                <c:pt idx="614">
                  <c:v>2022</c:v>
                </c:pt>
                <c:pt idx="615">
                  <c:v>2026</c:v>
                </c:pt>
                <c:pt idx="616">
                  <c:v>#N/A</c:v>
                </c:pt>
                <c:pt idx="617">
                  <c:v>#N/A</c:v>
                </c:pt>
                <c:pt idx="618">
                  <c:v>2025</c:v>
                </c:pt>
                <c:pt idx="619">
                  <c:v>2023</c:v>
                </c:pt>
                <c:pt idx="620">
                  <c:v>#N/A</c:v>
                </c:pt>
                <c:pt idx="621">
                  <c:v>2022</c:v>
                </c:pt>
                <c:pt idx="622">
                  <c:v>#N/A</c:v>
                </c:pt>
                <c:pt idx="623">
                  <c:v>#N/A</c:v>
                </c:pt>
                <c:pt idx="624">
                  <c:v>#N/A</c:v>
                </c:pt>
                <c:pt idx="625">
                  <c:v>#N/A</c:v>
                </c:pt>
                <c:pt idx="626">
                  <c:v>#N/A</c:v>
                </c:pt>
                <c:pt idx="627">
                  <c:v>#N/A</c:v>
                </c:pt>
                <c:pt idx="628">
                  <c:v>#N/A</c:v>
                </c:pt>
                <c:pt idx="629">
                  <c:v>#N/A</c:v>
                </c:pt>
                <c:pt idx="630">
                  <c:v>#N/A</c:v>
                </c:pt>
                <c:pt idx="631">
                  <c:v>2010</c:v>
                </c:pt>
                <c:pt idx="632">
                  <c:v>#N/A</c:v>
                </c:pt>
                <c:pt idx="633">
                  <c:v>2022</c:v>
                </c:pt>
                <c:pt idx="634">
                  <c:v>#N/A</c:v>
                </c:pt>
                <c:pt idx="635">
                  <c:v>#N/A</c:v>
                </c:pt>
                <c:pt idx="636">
                  <c:v>2020</c:v>
                </c:pt>
                <c:pt idx="637">
                  <c:v>2026</c:v>
                </c:pt>
                <c:pt idx="638">
                  <c:v>2014</c:v>
                </c:pt>
                <c:pt idx="639">
                  <c:v>#N/A</c:v>
                </c:pt>
                <c:pt idx="640">
                  <c:v>#N/A</c:v>
                </c:pt>
                <c:pt idx="641">
                  <c:v>2018</c:v>
                </c:pt>
                <c:pt idx="642">
                  <c:v>#N/A</c:v>
                </c:pt>
                <c:pt idx="643">
                  <c:v>#N/A</c:v>
                </c:pt>
                <c:pt idx="644">
                  <c:v>#N/A</c:v>
                </c:pt>
                <c:pt idx="645">
                  <c:v>2023</c:v>
                </c:pt>
                <c:pt idx="646">
                  <c:v>#N/A</c:v>
                </c:pt>
                <c:pt idx="647">
                  <c:v>#N/A</c:v>
                </c:pt>
                <c:pt idx="648">
                  <c:v>#N/A</c:v>
                </c:pt>
                <c:pt idx="649">
                  <c:v>2021</c:v>
                </c:pt>
                <c:pt idx="650">
                  <c:v>2025</c:v>
                </c:pt>
                <c:pt idx="651">
                  <c:v>#N/A</c:v>
                </c:pt>
                <c:pt idx="652">
                  <c:v>#N/A</c:v>
                </c:pt>
                <c:pt idx="653">
                  <c:v>#N/A</c:v>
                </c:pt>
                <c:pt idx="654">
                  <c:v>#N/A</c:v>
                </c:pt>
                <c:pt idx="655">
                  <c:v>2022</c:v>
                </c:pt>
                <c:pt idx="656">
                  <c:v>2015</c:v>
                </c:pt>
                <c:pt idx="657">
                  <c:v>2019</c:v>
                </c:pt>
                <c:pt idx="658">
                  <c:v>#N/A</c:v>
                </c:pt>
                <c:pt idx="659">
                  <c:v>2022</c:v>
                </c:pt>
                <c:pt idx="660">
                  <c:v>#N/A</c:v>
                </c:pt>
                <c:pt idx="661">
                  <c:v>#N/A</c:v>
                </c:pt>
                <c:pt idx="662">
                  <c:v>2012</c:v>
                </c:pt>
                <c:pt idx="663">
                  <c:v>2020</c:v>
                </c:pt>
                <c:pt idx="664">
                  <c:v>2008</c:v>
                </c:pt>
                <c:pt idx="665">
                  <c:v>#N/A</c:v>
                </c:pt>
                <c:pt idx="666">
                  <c:v>2022</c:v>
                </c:pt>
                <c:pt idx="667">
                  <c:v>2023</c:v>
                </c:pt>
                <c:pt idx="668">
                  <c:v>2019</c:v>
                </c:pt>
                <c:pt idx="669">
                  <c:v>#N/A</c:v>
                </c:pt>
                <c:pt idx="670">
                  <c:v>2024</c:v>
                </c:pt>
                <c:pt idx="671">
                  <c:v>#N/A</c:v>
                </c:pt>
                <c:pt idx="672">
                  <c:v>2017</c:v>
                </c:pt>
                <c:pt idx="673">
                  <c:v>2023</c:v>
                </c:pt>
                <c:pt idx="674">
                  <c:v>2025</c:v>
                </c:pt>
                <c:pt idx="675">
                  <c:v>#N/A</c:v>
                </c:pt>
                <c:pt idx="676">
                  <c:v>#N/A</c:v>
                </c:pt>
                <c:pt idx="677">
                  <c:v>2025</c:v>
                </c:pt>
                <c:pt idx="678">
                  <c:v>#N/A</c:v>
                </c:pt>
                <c:pt idx="679">
                  <c:v>#N/A</c:v>
                </c:pt>
                <c:pt idx="680">
                  <c:v>2017</c:v>
                </c:pt>
                <c:pt idx="681">
                  <c:v>#N/A</c:v>
                </c:pt>
                <c:pt idx="682">
                  <c:v>2019</c:v>
                </c:pt>
                <c:pt idx="683">
                  <c:v>2024</c:v>
                </c:pt>
                <c:pt idx="684">
                  <c:v>2017</c:v>
                </c:pt>
                <c:pt idx="685">
                  <c:v>#N/A</c:v>
                </c:pt>
                <c:pt idx="686">
                  <c:v>#N/A</c:v>
                </c:pt>
                <c:pt idx="687">
                  <c:v>#N/A</c:v>
                </c:pt>
                <c:pt idx="688">
                  <c:v>#N/A</c:v>
                </c:pt>
                <c:pt idx="689">
                  <c:v>2013</c:v>
                </c:pt>
                <c:pt idx="690">
                  <c:v>#N/A</c:v>
                </c:pt>
                <c:pt idx="691">
                  <c:v>2025</c:v>
                </c:pt>
                <c:pt idx="692">
                  <c:v>2023</c:v>
                </c:pt>
                <c:pt idx="693">
                  <c:v>2016</c:v>
                </c:pt>
                <c:pt idx="694">
                  <c:v>#N/A</c:v>
                </c:pt>
                <c:pt idx="695">
                  <c:v>2021</c:v>
                </c:pt>
                <c:pt idx="696">
                  <c:v>2025</c:v>
                </c:pt>
                <c:pt idx="697">
                  <c:v>#N/A</c:v>
                </c:pt>
                <c:pt idx="698">
                  <c:v>2022</c:v>
                </c:pt>
                <c:pt idx="699">
                  <c:v>2025</c:v>
                </c:pt>
                <c:pt idx="700">
                  <c:v>2021</c:v>
                </c:pt>
                <c:pt idx="701">
                  <c:v>2018</c:v>
                </c:pt>
                <c:pt idx="702">
                  <c:v>#N/A</c:v>
                </c:pt>
                <c:pt idx="703">
                  <c:v>#N/A</c:v>
                </c:pt>
                <c:pt idx="704">
                  <c:v>2023</c:v>
                </c:pt>
                <c:pt idx="705">
                  <c:v>#N/A</c:v>
                </c:pt>
                <c:pt idx="706">
                  <c:v>#N/A</c:v>
                </c:pt>
                <c:pt idx="707">
                  <c:v>#N/A</c:v>
                </c:pt>
                <c:pt idx="708">
                  <c:v>#N/A</c:v>
                </c:pt>
                <c:pt idx="709">
                  <c:v>#N/A</c:v>
                </c:pt>
                <c:pt idx="710">
                  <c:v>2023</c:v>
                </c:pt>
                <c:pt idx="711">
                  <c:v>#N/A</c:v>
                </c:pt>
                <c:pt idx="712">
                  <c:v>2026</c:v>
                </c:pt>
                <c:pt idx="713">
                  <c:v>2024</c:v>
                </c:pt>
                <c:pt idx="714">
                  <c:v>2024</c:v>
                </c:pt>
                <c:pt idx="715">
                  <c:v>#N/A</c:v>
                </c:pt>
                <c:pt idx="716">
                  <c:v>2026</c:v>
                </c:pt>
                <c:pt idx="717">
                  <c:v>2024</c:v>
                </c:pt>
                <c:pt idx="718">
                  <c:v>#N/A</c:v>
                </c:pt>
                <c:pt idx="719">
                  <c:v>2011</c:v>
                </c:pt>
                <c:pt idx="720">
                  <c:v>2014</c:v>
                </c:pt>
                <c:pt idx="721">
                  <c:v>#N/A</c:v>
                </c:pt>
                <c:pt idx="722">
                  <c:v>#N/A</c:v>
                </c:pt>
                <c:pt idx="723">
                  <c:v>2016</c:v>
                </c:pt>
                <c:pt idx="724">
                  <c:v>#N/A</c:v>
                </c:pt>
                <c:pt idx="725">
                  <c:v>#N/A</c:v>
                </c:pt>
                <c:pt idx="726">
                  <c:v>#N/A</c:v>
                </c:pt>
                <c:pt idx="727">
                  <c:v>#N/A</c:v>
                </c:pt>
                <c:pt idx="728">
                  <c:v>2023</c:v>
                </c:pt>
                <c:pt idx="729">
                  <c:v>#N/A</c:v>
                </c:pt>
                <c:pt idx="730">
                  <c:v>#N/A</c:v>
                </c:pt>
                <c:pt idx="731">
                  <c:v>#N/A</c:v>
                </c:pt>
                <c:pt idx="732">
                  <c:v>#N/A</c:v>
                </c:pt>
                <c:pt idx="733">
                  <c:v>2024</c:v>
                </c:pt>
                <c:pt idx="734">
                  <c:v>#N/A</c:v>
                </c:pt>
                <c:pt idx="735">
                  <c:v>2024</c:v>
                </c:pt>
                <c:pt idx="736">
                  <c:v>#N/A</c:v>
                </c:pt>
                <c:pt idx="737">
                  <c:v>2022</c:v>
                </c:pt>
                <c:pt idx="738">
                  <c:v>2018</c:v>
                </c:pt>
                <c:pt idx="739">
                  <c:v>#N/A</c:v>
                </c:pt>
                <c:pt idx="740">
                  <c:v>#N/A</c:v>
                </c:pt>
                <c:pt idx="741">
                  <c:v>#N/A</c:v>
                </c:pt>
                <c:pt idx="742">
                  <c:v>2023</c:v>
                </c:pt>
                <c:pt idx="743">
                  <c:v>2023</c:v>
                </c:pt>
                <c:pt idx="744">
                  <c:v>#N/A</c:v>
                </c:pt>
                <c:pt idx="745">
                  <c:v>2022</c:v>
                </c:pt>
                <c:pt idx="746">
                  <c:v>#N/A</c:v>
                </c:pt>
                <c:pt idx="747">
                  <c:v>1991</c:v>
                </c:pt>
                <c:pt idx="748">
                  <c:v>2019</c:v>
                </c:pt>
                <c:pt idx="749">
                  <c:v>2022</c:v>
                </c:pt>
                <c:pt idx="750">
                  <c:v>#N/A</c:v>
                </c:pt>
                <c:pt idx="751">
                  <c:v>#N/A</c:v>
                </c:pt>
                <c:pt idx="752">
                  <c:v>#N/A</c:v>
                </c:pt>
                <c:pt idx="753">
                  <c:v>#N/A</c:v>
                </c:pt>
                <c:pt idx="754">
                  <c:v>#N/A</c:v>
                </c:pt>
                <c:pt idx="755">
                  <c:v>#N/A</c:v>
                </c:pt>
                <c:pt idx="756">
                  <c:v>#N/A</c:v>
                </c:pt>
                <c:pt idx="757">
                  <c:v>#N/A</c:v>
                </c:pt>
                <c:pt idx="758">
                  <c:v>#N/A</c:v>
                </c:pt>
                <c:pt idx="759">
                  <c:v>#N/A</c:v>
                </c:pt>
                <c:pt idx="760">
                  <c:v>2017</c:v>
                </c:pt>
                <c:pt idx="761">
                  <c:v>2014</c:v>
                </c:pt>
                <c:pt idx="762">
                  <c:v>#N/A</c:v>
                </c:pt>
                <c:pt idx="763">
                  <c:v>#N/A</c:v>
                </c:pt>
                <c:pt idx="764">
                  <c:v>#N/A</c:v>
                </c:pt>
                <c:pt idx="765">
                  <c:v>2017</c:v>
                </c:pt>
                <c:pt idx="766">
                  <c:v>#N/A</c:v>
                </c:pt>
                <c:pt idx="767">
                  <c:v>2025</c:v>
                </c:pt>
                <c:pt idx="768">
                  <c:v>#N/A</c:v>
                </c:pt>
                <c:pt idx="769">
                  <c:v>#N/A</c:v>
                </c:pt>
                <c:pt idx="770">
                  <c:v>#N/A</c:v>
                </c:pt>
                <c:pt idx="771">
                  <c:v>2024</c:v>
                </c:pt>
                <c:pt idx="772">
                  <c:v>2019</c:v>
                </c:pt>
                <c:pt idx="773">
                  <c:v>2025</c:v>
                </c:pt>
                <c:pt idx="774">
                  <c:v>2017</c:v>
                </c:pt>
                <c:pt idx="775">
                  <c:v>2022</c:v>
                </c:pt>
                <c:pt idx="776">
                  <c:v>#N/A</c:v>
                </c:pt>
                <c:pt idx="777">
                  <c:v>2018</c:v>
                </c:pt>
                <c:pt idx="778">
                  <c:v>#N/A</c:v>
                </c:pt>
                <c:pt idx="779">
                  <c:v>2023</c:v>
                </c:pt>
                <c:pt idx="780">
                  <c:v>2021</c:v>
                </c:pt>
                <c:pt idx="781">
                  <c:v>#N/A</c:v>
                </c:pt>
                <c:pt idx="782">
                  <c:v>2024</c:v>
                </c:pt>
                <c:pt idx="783">
                  <c:v>2026</c:v>
                </c:pt>
                <c:pt idx="784">
                  <c:v>#N/A</c:v>
                </c:pt>
                <c:pt idx="785">
                  <c:v>#N/A</c:v>
                </c:pt>
                <c:pt idx="786">
                  <c:v>#N/A</c:v>
                </c:pt>
                <c:pt idx="787">
                  <c:v>2019</c:v>
                </c:pt>
                <c:pt idx="788">
                  <c:v>2022</c:v>
                </c:pt>
                <c:pt idx="789">
                  <c:v>#N/A</c:v>
                </c:pt>
                <c:pt idx="790">
                  <c:v>2023</c:v>
                </c:pt>
                <c:pt idx="791">
                  <c:v>2024</c:v>
                </c:pt>
                <c:pt idx="792">
                  <c:v>2024</c:v>
                </c:pt>
                <c:pt idx="793">
                  <c:v>#N/A</c:v>
                </c:pt>
                <c:pt idx="794">
                  <c:v>#N/A</c:v>
                </c:pt>
                <c:pt idx="795">
                  <c:v>2026</c:v>
                </c:pt>
                <c:pt idx="796">
                  <c:v>#N/A</c:v>
                </c:pt>
                <c:pt idx="797">
                  <c:v>2025</c:v>
                </c:pt>
                <c:pt idx="798">
                  <c:v>#N/A</c:v>
                </c:pt>
                <c:pt idx="799">
                  <c:v>#N/A</c:v>
                </c:pt>
                <c:pt idx="800">
                  <c:v>#N/A</c:v>
                </c:pt>
                <c:pt idx="801">
                  <c:v>2017</c:v>
                </c:pt>
                <c:pt idx="802">
                  <c:v>#N/A</c:v>
                </c:pt>
                <c:pt idx="803">
                  <c:v>2020</c:v>
                </c:pt>
                <c:pt idx="804">
                  <c:v>2025</c:v>
                </c:pt>
                <c:pt idx="805">
                  <c:v>2025</c:v>
                </c:pt>
                <c:pt idx="806">
                  <c:v>2024</c:v>
                </c:pt>
                <c:pt idx="807">
                  <c:v>#N/A</c:v>
                </c:pt>
                <c:pt idx="808">
                  <c:v>#N/A</c:v>
                </c:pt>
                <c:pt idx="809">
                  <c:v>2024</c:v>
                </c:pt>
                <c:pt idx="810">
                  <c:v>#N/A</c:v>
                </c:pt>
                <c:pt idx="811">
                  <c:v>#N/A</c:v>
                </c:pt>
                <c:pt idx="812">
                  <c:v>2024</c:v>
                </c:pt>
                <c:pt idx="813">
                  <c:v>#N/A</c:v>
                </c:pt>
                <c:pt idx="814">
                  <c:v>2018</c:v>
                </c:pt>
                <c:pt idx="815">
                  <c:v>2024</c:v>
                </c:pt>
                <c:pt idx="816">
                  <c:v>#N/A</c:v>
                </c:pt>
                <c:pt idx="817">
                  <c:v>#N/A</c:v>
                </c:pt>
                <c:pt idx="818">
                  <c:v>#N/A</c:v>
                </c:pt>
              </c:numCache>
            </c:numRef>
          </c:xVal>
          <c:yVal>
            <c:numRef>
              <c:f>'Map Calc'!$H$1:$H$820</c:f>
              <c:numCache>
                <c:formatCode>General</c:formatCode>
                <c:ptCount val="82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#N/A</c:v>
                </c:pt>
                <c:pt idx="36">
                  <c:v>#N/A</c:v>
                </c:pt>
                <c:pt idx="37">
                  <c:v>1.0920000000000001</c:v>
                </c:pt>
                <c:pt idx="38">
                  <c:v>1.115</c:v>
                </c:pt>
                <c:pt idx="39">
                  <c:v>1.1379999999999999</c:v>
                </c:pt>
                <c:pt idx="40">
                  <c:v>#N/A</c:v>
                </c:pt>
                <c:pt idx="41">
                  <c:v>1.1839999999999999</c:v>
                </c:pt>
                <c:pt idx="42">
                  <c:v>#N/A</c:v>
                </c:pt>
                <c:pt idx="43">
                  <c:v>#N/A</c:v>
                </c:pt>
                <c:pt idx="44">
                  <c:v>1.2530000000000001</c:v>
                </c:pt>
                <c:pt idx="45">
                  <c:v>1.276</c:v>
                </c:pt>
                <c:pt idx="46">
                  <c:v>#N/A</c:v>
                </c:pt>
                <c:pt idx="47">
                  <c:v>#N/A</c:v>
                </c:pt>
                <c:pt idx="48">
                  <c:v>#N/A</c:v>
                </c:pt>
                <c:pt idx="49">
                  <c:v>#N/A</c:v>
                </c:pt>
                <c:pt idx="50">
                  <c:v>#N/A</c:v>
                </c:pt>
                <c:pt idx="51">
                  <c:v>#N/A</c:v>
                </c:pt>
                <c:pt idx="52">
                  <c:v>#N/A</c:v>
                </c:pt>
                <c:pt idx="53">
                  <c:v>#N/A</c:v>
                </c:pt>
                <c:pt idx="54">
                  <c:v>1.4830000000000001</c:v>
                </c:pt>
                <c:pt idx="55">
                  <c:v>#N/A</c:v>
                </c:pt>
                <c:pt idx="56">
                  <c:v>#N/A</c:v>
                </c:pt>
                <c:pt idx="57">
                  <c:v>#N/A</c:v>
                </c:pt>
                <c:pt idx="58">
                  <c:v>1.575</c:v>
                </c:pt>
                <c:pt idx="59">
                  <c:v>1.5979999999999999</c:v>
                </c:pt>
                <c:pt idx="60">
                  <c:v>1.621</c:v>
                </c:pt>
                <c:pt idx="61">
                  <c:v>#N/A</c:v>
                </c:pt>
                <c:pt idx="62">
                  <c:v>1.667</c:v>
                </c:pt>
                <c:pt idx="63">
                  <c:v>#N/A</c:v>
                </c:pt>
                <c:pt idx="64">
                  <c:v>1.7130000000000001</c:v>
                </c:pt>
                <c:pt idx="65">
                  <c:v>1.736</c:v>
                </c:pt>
                <c:pt idx="66">
                  <c:v>#N/A</c:v>
                </c:pt>
                <c:pt idx="67">
                  <c:v>#N/A</c:v>
                </c:pt>
                <c:pt idx="68">
                  <c:v>#N/A</c:v>
                </c:pt>
                <c:pt idx="69">
                  <c:v>1.046</c:v>
                </c:pt>
                <c:pt idx="70">
                  <c:v>#N/A</c:v>
                </c:pt>
                <c:pt idx="71">
                  <c:v>#N/A</c:v>
                </c:pt>
                <c:pt idx="72">
                  <c:v>1.115</c:v>
                </c:pt>
                <c:pt idx="73">
                  <c:v>#N/A</c:v>
                </c:pt>
                <c:pt idx="74">
                  <c:v>1.161</c:v>
                </c:pt>
                <c:pt idx="75">
                  <c:v>1.1839999999999999</c:v>
                </c:pt>
                <c:pt idx="76">
                  <c:v>#N/A</c:v>
                </c:pt>
                <c:pt idx="77">
                  <c:v>#N/A</c:v>
                </c:pt>
                <c:pt idx="78">
                  <c:v>1.2530000000000001</c:v>
                </c:pt>
                <c:pt idx="79">
                  <c:v>1.276</c:v>
                </c:pt>
                <c:pt idx="80">
                  <c:v>#N/A</c:v>
                </c:pt>
                <c:pt idx="81">
                  <c:v>#N/A</c:v>
                </c:pt>
                <c:pt idx="82">
                  <c:v>1.345</c:v>
                </c:pt>
                <c:pt idx="83">
                  <c:v>#N/A</c:v>
                </c:pt>
                <c:pt idx="84">
                  <c:v>1.391</c:v>
                </c:pt>
                <c:pt idx="85">
                  <c:v>1.4139999999999999</c:v>
                </c:pt>
                <c:pt idx="86">
                  <c:v>1.4370000000000001</c:v>
                </c:pt>
                <c:pt idx="87">
                  <c:v>#N/A</c:v>
                </c:pt>
                <c:pt idx="88">
                  <c:v>#N/A</c:v>
                </c:pt>
                <c:pt idx="89">
                  <c:v>#N/A</c:v>
                </c:pt>
                <c:pt idx="90">
                  <c:v>1.5289999999999999</c:v>
                </c:pt>
                <c:pt idx="91">
                  <c:v>#N/A</c:v>
                </c:pt>
                <c:pt idx="92">
                  <c:v>#N/A</c:v>
                </c:pt>
                <c:pt idx="93">
                  <c:v>1.5979999999999999</c:v>
                </c:pt>
                <c:pt idx="94">
                  <c:v>#N/A</c:v>
                </c:pt>
                <c:pt idx="95">
                  <c:v>#N/A</c:v>
                </c:pt>
                <c:pt idx="96">
                  <c:v>1.667</c:v>
                </c:pt>
                <c:pt idx="97">
                  <c:v>1.69</c:v>
                </c:pt>
                <c:pt idx="98">
                  <c:v>#N/A</c:v>
                </c:pt>
                <c:pt idx="99">
                  <c:v>#N/A</c:v>
                </c:pt>
                <c:pt idx="100">
                  <c:v>#N/A</c:v>
                </c:pt>
                <c:pt idx="101">
                  <c:v>#N/A</c:v>
                </c:pt>
                <c:pt idx="102">
                  <c:v>#N/A</c:v>
                </c:pt>
                <c:pt idx="103">
                  <c:v>#N/A</c:v>
                </c:pt>
                <c:pt idx="104">
                  <c:v>#N/A</c:v>
                </c:pt>
                <c:pt idx="105">
                  <c:v>#N/A</c:v>
                </c:pt>
                <c:pt idx="106">
                  <c:v>#N/A</c:v>
                </c:pt>
                <c:pt idx="107">
                  <c:v>1.1379999999999999</c:v>
                </c:pt>
                <c:pt idx="108">
                  <c:v>#N/A</c:v>
                </c:pt>
                <c:pt idx="109">
                  <c:v>#N/A</c:v>
                </c:pt>
                <c:pt idx="110">
                  <c:v>1.2070000000000001</c:v>
                </c:pt>
                <c:pt idx="111">
                  <c:v>#N/A</c:v>
                </c:pt>
                <c:pt idx="112">
                  <c:v>1.2530000000000001</c:v>
                </c:pt>
                <c:pt idx="113">
                  <c:v>#N/A</c:v>
                </c:pt>
                <c:pt idx="114">
                  <c:v>1.2989999999999999</c:v>
                </c:pt>
                <c:pt idx="115">
                  <c:v>#N/A</c:v>
                </c:pt>
                <c:pt idx="116">
                  <c:v>1.345</c:v>
                </c:pt>
                <c:pt idx="117">
                  <c:v>1.3679999999999999</c:v>
                </c:pt>
                <c:pt idx="118">
                  <c:v>#N/A</c:v>
                </c:pt>
                <c:pt idx="119">
                  <c:v>#N/A</c:v>
                </c:pt>
                <c:pt idx="120">
                  <c:v>#N/A</c:v>
                </c:pt>
                <c:pt idx="121">
                  <c:v>1.46</c:v>
                </c:pt>
                <c:pt idx="122">
                  <c:v>1.4830000000000001</c:v>
                </c:pt>
                <c:pt idx="123">
                  <c:v>#N/A</c:v>
                </c:pt>
                <c:pt idx="124">
                  <c:v>1.5289999999999999</c:v>
                </c:pt>
                <c:pt idx="125">
                  <c:v>1.552</c:v>
                </c:pt>
                <c:pt idx="126">
                  <c:v>#N/A</c:v>
                </c:pt>
                <c:pt idx="127">
                  <c:v>#N/A</c:v>
                </c:pt>
                <c:pt idx="128">
                  <c:v>#N/A</c:v>
                </c:pt>
                <c:pt idx="129">
                  <c:v>#N/A</c:v>
                </c:pt>
                <c:pt idx="130">
                  <c:v>#N/A</c:v>
                </c:pt>
                <c:pt idx="131">
                  <c:v>#N/A</c:v>
                </c:pt>
                <c:pt idx="132">
                  <c:v>#N/A</c:v>
                </c:pt>
                <c:pt idx="133">
                  <c:v>1.736</c:v>
                </c:pt>
                <c:pt idx="134">
                  <c:v>#N/A</c:v>
                </c:pt>
                <c:pt idx="135">
                  <c:v>1</c:v>
                </c:pt>
                <c:pt idx="136">
                  <c:v>#N/A</c:v>
                </c:pt>
                <c:pt idx="137">
                  <c:v>#N/A</c:v>
                </c:pt>
                <c:pt idx="138">
                  <c:v>1.069</c:v>
                </c:pt>
                <c:pt idx="139">
                  <c:v>1.0920000000000001</c:v>
                </c:pt>
                <c:pt idx="140">
                  <c:v>#N/A</c:v>
                </c:pt>
                <c:pt idx="141">
                  <c:v>1.1379999999999999</c:v>
                </c:pt>
                <c:pt idx="142">
                  <c:v>1.161</c:v>
                </c:pt>
                <c:pt idx="143">
                  <c:v>#N/A</c:v>
                </c:pt>
                <c:pt idx="144">
                  <c:v>#N/A</c:v>
                </c:pt>
                <c:pt idx="145">
                  <c:v>#N/A</c:v>
                </c:pt>
                <c:pt idx="146">
                  <c:v>#N/A</c:v>
                </c:pt>
                <c:pt idx="147">
                  <c:v>#N/A</c:v>
                </c:pt>
                <c:pt idx="148">
                  <c:v>#N/A</c:v>
                </c:pt>
                <c:pt idx="149">
                  <c:v>#N/A</c:v>
                </c:pt>
                <c:pt idx="150">
                  <c:v>1.345</c:v>
                </c:pt>
                <c:pt idx="151">
                  <c:v>#N/A</c:v>
                </c:pt>
                <c:pt idx="152">
                  <c:v>#N/A</c:v>
                </c:pt>
                <c:pt idx="153">
                  <c:v>#N/A</c:v>
                </c:pt>
                <c:pt idx="154">
                  <c:v>1.4370000000000001</c:v>
                </c:pt>
                <c:pt idx="155">
                  <c:v>#N/A</c:v>
                </c:pt>
                <c:pt idx="156">
                  <c:v>#N/A</c:v>
                </c:pt>
                <c:pt idx="157">
                  <c:v>#N/A</c:v>
                </c:pt>
                <c:pt idx="158">
                  <c:v>#N/A</c:v>
                </c:pt>
                <c:pt idx="159">
                  <c:v>1.552</c:v>
                </c:pt>
                <c:pt idx="160">
                  <c:v>#N/A</c:v>
                </c:pt>
                <c:pt idx="161">
                  <c:v>1.5979999999999999</c:v>
                </c:pt>
                <c:pt idx="162">
                  <c:v>1.621</c:v>
                </c:pt>
                <c:pt idx="163">
                  <c:v>1.6440000000000001</c:v>
                </c:pt>
                <c:pt idx="164">
                  <c:v>1.667</c:v>
                </c:pt>
                <c:pt idx="165">
                  <c:v>#N/A</c:v>
                </c:pt>
                <c:pt idx="166">
                  <c:v>#N/A</c:v>
                </c:pt>
                <c:pt idx="167">
                  <c:v>1.736</c:v>
                </c:pt>
                <c:pt idx="168">
                  <c:v>1.7589999999999999</c:v>
                </c:pt>
                <c:pt idx="169">
                  <c:v>1</c:v>
                </c:pt>
                <c:pt idx="170">
                  <c:v>#N/A</c:v>
                </c:pt>
                <c:pt idx="171">
                  <c:v>#N/A</c:v>
                </c:pt>
                <c:pt idx="172">
                  <c:v>1.069</c:v>
                </c:pt>
                <c:pt idx="173">
                  <c:v>1.0920000000000001</c:v>
                </c:pt>
                <c:pt idx="174">
                  <c:v>1.115</c:v>
                </c:pt>
                <c:pt idx="175">
                  <c:v>1.1379999999999999</c:v>
                </c:pt>
                <c:pt idx="176">
                  <c:v>#N/A</c:v>
                </c:pt>
                <c:pt idx="177">
                  <c:v>1.1839999999999999</c:v>
                </c:pt>
                <c:pt idx="178">
                  <c:v>#N/A</c:v>
                </c:pt>
                <c:pt idx="179">
                  <c:v>#N/A</c:v>
                </c:pt>
                <c:pt idx="180">
                  <c:v>#N/A</c:v>
                </c:pt>
                <c:pt idx="181">
                  <c:v>1.276</c:v>
                </c:pt>
                <c:pt idx="182">
                  <c:v>1.2989999999999999</c:v>
                </c:pt>
                <c:pt idx="183">
                  <c:v>#N/A</c:v>
                </c:pt>
                <c:pt idx="184">
                  <c:v>#N/A</c:v>
                </c:pt>
                <c:pt idx="185">
                  <c:v>1.3679999999999999</c:v>
                </c:pt>
                <c:pt idx="186">
                  <c:v>#N/A</c:v>
                </c:pt>
                <c:pt idx="187">
                  <c:v>#N/A</c:v>
                </c:pt>
                <c:pt idx="188">
                  <c:v>#N/A</c:v>
                </c:pt>
                <c:pt idx="189">
                  <c:v>#N/A</c:v>
                </c:pt>
                <c:pt idx="190">
                  <c:v>#N/A</c:v>
                </c:pt>
                <c:pt idx="191">
                  <c:v>1.506</c:v>
                </c:pt>
                <c:pt idx="192">
                  <c:v>1.5289999999999999</c:v>
                </c:pt>
                <c:pt idx="193">
                  <c:v>1.552</c:v>
                </c:pt>
                <c:pt idx="194">
                  <c:v>1.575</c:v>
                </c:pt>
                <c:pt idx="195">
                  <c:v>#N/A</c:v>
                </c:pt>
                <c:pt idx="196">
                  <c:v>#N/A</c:v>
                </c:pt>
                <c:pt idx="197">
                  <c:v>#N/A</c:v>
                </c:pt>
                <c:pt idx="198">
                  <c:v>#N/A</c:v>
                </c:pt>
                <c:pt idx="199">
                  <c:v>#N/A</c:v>
                </c:pt>
                <c:pt idx="200">
                  <c:v>#N/A</c:v>
                </c:pt>
                <c:pt idx="201">
                  <c:v>#N/A</c:v>
                </c:pt>
                <c:pt idx="202">
                  <c:v>#N/A</c:v>
                </c:pt>
                <c:pt idx="203">
                  <c:v>#N/A</c:v>
                </c:pt>
                <c:pt idx="204">
                  <c:v>1.0229999999999999</c:v>
                </c:pt>
                <c:pt idx="205">
                  <c:v>#N/A</c:v>
                </c:pt>
                <c:pt idx="206">
                  <c:v>1.069</c:v>
                </c:pt>
                <c:pt idx="207">
                  <c:v>1.0920000000000001</c:v>
                </c:pt>
                <c:pt idx="208">
                  <c:v>#N/A</c:v>
                </c:pt>
                <c:pt idx="209">
                  <c:v>#N/A</c:v>
                </c:pt>
                <c:pt idx="210">
                  <c:v>#N/A</c:v>
                </c:pt>
                <c:pt idx="211">
                  <c:v>#N/A</c:v>
                </c:pt>
                <c:pt idx="212">
                  <c:v>1.2070000000000001</c:v>
                </c:pt>
                <c:pt idx="213">
                  <c:v>1.23</c:v>
                </c:pt>
                <c:pt idx="214">
                  <c:v>1.2530000000000001</c:v>
                </c:pt>
                <c:pt idx="215">
                  <c:v>#N/A</c:v>
                </c:pt>
                <c:pt idx="216">
                  <c:v>#N/A</c:v>
                </c:pt>
                <c:pt idx="217">
                  <c:v>1.3220000000000001</c:v>
                </c:pt>
                <c:pt idx="218">
                  <c:v>1.345</c:v>
                </c:pt>
                <c:pt idx="219">
                  <c:v>#N/A</c:v>
                </c:pt>
                <c:pt idx="220">
                  <c:v>#N/A</c:v>
                </c:pt>
                <c:pt idx="221">
                  <c:v>#N/A</c:v>
                </c:pt>
                <c:pt idx="222">
                  <c:v>#N/A</c:v>
                </c:pt>
                <c:pt idx="223">
                  <c:v>1.46</c:v>
                </c:pt>
                <c:pt idx="224">
                  <c:v>#N/A</c:v>
                </c:pt>
                <c:pt idx="225">
                  <c:v>#N/A</c:v>
                </c:pt>
                <c:pt idx="226">
                  <c:v>#N/A</c:v>
                </c:pt>
                <c:pt idx="227">
                  <c:v>#N/A</c:v>
                </c:pt>
                <c:pt idx="228">
                  <c:v>#N/A</c:v>
                </c:pt>
                <c:pt idx="229">
                  <c:v>#N/A</c:v>
                </c:pt>
                <c:pt idx="230">
                  <c:v>#N/A</c:v>
                </c:pt>
                <c:pt idx="231">
                  <c:v>1.6440000000000001</c:v>
                </c:pt>
                <c:pt idx="232">
                  <c:v>#N/A</c:v>
                </c:pt>
                <c:pt idx="233">
                  <c:v>#N/A</c:v>
                </c:pt>
                <c:pt idx="234">
                  <c:v>#N/A</c:v>
                </c:pt>
                <c:pt idx="235">
                  <c:v>#N/A</c:v>
                </c:pt>
                <c:pt idx="236">
                  <c:v>1.7589999999999999</c:v>
                </c:pt>
                <c:pt idx="237">
                  <c:v>#N/A</c:v>
                </c:pt>
                <c:pt idx="238">
                  <c:v>1.0229999999999999</c:v>
                </c:pt>
                <c:pt idx="239">
                  <c:v>1.046</c:v>
                </c:pt>
                <c:pt idx="240">
                  <c:v>#N/A</c:v>
                </c:pt>
                <c:pt idx="241">
                  <c:v>#N/A</c:v>
                </c:pt>
                <c:pt idx="242">
                  <c:v>1.115</c:v>
                </c:pt>
                <c:pt idx="243">
                  <c:v>1.1379999999999999</c:v>
                </c:pt>
                <c:pt idx="244">
                  <c:v>1.161</c:v>
                </c:pt>
                <c:pt idx="245">
                  <c:v>1.1839999999999999</c:v>
                </c:pt>
                <c:pt idx="246">
                  <c:v>#N/A</c:v>
                </c:pt>
                <c:pt idx="247">
                  <c:v>#N/A</c:v>
                </c:pt>
                <c:pt idx="248">
                  <c:v>1.2530000000000001</c:v>
                </c:pt>
                <c:pt idx="249">
                  <c:v>#N/A</c:v>
                </c:pt>
                <c:pt idx="250">
                  <c:v>#N/A</c:v>
                </c:pt>
                <c:pt idx="251">
                  <c:v>1.3220000000000001</c:v>
                </c:pt>
                <c:pt idx="252">
                  <c:v>1.345</c:v>
                </c:pt>
                <c:pt idx="253">
                  <c:v>#N/A</c:v>
                </c:pt>
                <c:pt idx="254">
                  <c:v>#N/A</c:v>
                </c:pt>
                <c:pt idx="255">
                  <c:v>#N/A</c:v>
                </c:pt>
                <c:pt idx="256">
                  <c:v>1.4370000000000001</c:v>
                </c:pt>
                <c:pt idx="257">
                  <c:v>1.46</c:v>
                </c:pt>
                <c:pt idx="258">
                  <c:v>1.4830000000000001</c:v>
                </c:pt>
                <c:pt idx="259">
                  <c:v>#N/A</c:v>
                </c:pt>
                <c:pt idx="260">
                  <c:v>#N/A</c:v>
                </c:pt>
                <c:pt idx="261">
                  <c:v>#N/A</c:v>
                </c:pt>
                <c:pt idx="262">
                  <c:v>#N/A</c:v>
                </c:pt>
                <c:pt idx="263">
                  <c:v>#N/A</c:v>
                </c:pt>
                <c:pt idx="264">
                  <c:v>#N/A</c:v>
                </c:pt>
                <c:pt idx="265">
                  <c:v>#N/A</c:v>
                </c:pt>
                <c:pt idx="266">
                  <c:v>1.667</c:v>
                </c:pt>
                <c:pt idx="267">
                  <c:v>1.69</c:v>
                </c:pt>
                <c:pt idx="268">
                  <c:v>#N/A</c:v>
                </c:pt>
                <c:pt idx="269">
                  <c:v>1.736</c:v>
                </c:pt>
                <c:pt idx="270">
                  <c:v>#N/A</c:v>
                </c:pt>
                <c:pt idx="271">
                  <c:v>1</c:v>
                </c:pt>
                <c:pt idx="272">
                  <c:v>#N/A</c:v>
                </c:pt>
                <c:pt idx="273">
                  <c:v>#N/A</c:v>
                </c:pt>
                <c:pt idx="274">
                  <c:v>#N/A</c:v>
                </c:pt>
                <c:pt idx="275">
                  <c:v>1.0920000000000001</c:v>
                </c:pt>
                <c:pt idx="276">
                  <c:v>#N/A</c:v>
                </c:pt>
                <c:pt idx="277">
                  <c:v>1.1379999999999999</c:v>
                </c:pt>
                <c:pt idx="278">
                  <c:v>1.161</c:v>
                </c:pt>
                <c:pt idx="279">
                  <c:v>#N/A</c:v>
                </c:pt>
                <c:pt idx="280">
                  <c:v>#N/A</c:v>
                </c:pt>
                <c:pt idx="281">
                  <c:v>1.23</c:v>
                </c:pt>
                <c:pt idx="282">
                  <c:v>1.2530000000000001</c:v>
                </c:pt>
                <c:pt idx="283">
                  <c:v>#N/A</c:v>
                </c:pt>
                <c:pt idx="284">
                  <c:v>#N/A</c:v>
                </c:pt>
                <c:pt idx="285">
                  <c:v>1.3220000000000001</c:v>
                </c:pt>
                <c:pt idx="286">
                  <c:v>#N/A</c:v>
                </c:pt>
                <c:pt idx="287">
                  <c:v>1.3679999999999999</c:v>
                </c:pt>
                <c:pt idx="288">
                  <c:v>1.391</c:v>
                </c:pt>
                <c:pt idx="289">
                  <c:v>#N/A</c:v>
                </c:pt>
                <c:pt idx="290">
                  <c:v>#N/A</c:v>
                </c:pt>
                <c:pt idx="291">
                  <c:v>#N/A</c:v>
                </c:pt>
                <c:pt idx="292">
                  <c:v>1.4830000000000001</c:v>
                </c:pt>
                <c:pt idx="293">
                  <c:v>1.506</c:v>
                </c:pt>
                <c:pt idx="294">
                  <c:v>1.5289999999999999</c:v>
                </c:pt>
                <c:pt idx="295">
                  <c:v>1.552</c:v>
                </c:pt>
                <c:pt idx="296">
                  <c:v>#N/A</c:v>
                </c:pt>
                <c:pt idx="297">
                  <c:v>#N/A</c:v>
                </c:pt>
                <c:pt idx="298">
                  <c:v>1.621</c:v>
                </c:pt>
                <c:pt idx="299">
                  <c:v>#N/A</c:v>
                </c:pt>
                <c:pt idx="300">
                  <c:v>1.667</c:v>
                </c:pt>
                <c:pt idx="301">
                  <c:v>1.69</c:v>
                </c:pt>
                <c:pt idx="302">
                  <c:v>1.7130000000000001</c:v>
                </c:pt>
                <c:pt idx="303">
                  <c:v>#N/A</c:v>
                </c:pt>
                <c:pt idx="304">
                  <c:v>1.7589999999999999</c:v>
                </c:pt>
                <c:pt idx="305">
                  <c:v>1</c:v>
                </c:pt>
                <c:pt idx="306">
                  <c:v>1.0229999999999999</c:v>
                </c:pt>
                <c:pt idx="307">
                  <c:v>1.046</c:v>
                </c:pt>
                <c:pt idx="308">
                  <c:v>1.069</c:v>
                </c:pt>
                <c:pt idx="309">
                  <c:v>1.0920000000000001</c:v>
                </c:pt>
                <c:pt idx="310">
                  <c:v>1.115</c:v>
                </c:pt>
                <c:pt idx="311">
                  <c:v>#N/A</c:v>
                </c:pt>
                <c:pt idx="312">
                  <c:v>1.161</c:v>
                </c:pt>
                <c:pt idx="313">
                  <c:v>1.1839999999999999</c:v>
                </c:pt>
                <c:pt idx="314">
                  <c:v>#N/A</c:v>
                </c:pt>
                <c:pt idx="315">
                  <c:v>#N/A</c:v>
                </c:pt>
                <c:pt idx="316">
                  <c:v>1.2530000000000001</c:v>
                </c:pt>
                <c:pt idx="317">
                  <c:v>1.276</c:v>
                </c:pt>
                <c:pt idx="318">
                  <c:v>1.2989999999999999</c:v>
                </c:pt>
                <c:pt idx="319">
                  <c:v>#N/A</c:v>
                </c:pt>
                <c:pt idx="320">
                  <c:v>#N/A</c:v>
                </c:pt>
                <c:pt idx="321">
                  <c:v>#N/A</c:v>
                </c:pt>
                <c:pt idx="322">
                  <c:v>1.391</c:v>
                </c:pt>
                <c:pt idx="323">
                  <c:v>1.4139999999999999</c:v>
                </c:pt>
                <c:pt idx="324">
                  <c:v>1.4370000000000001</c:v>
                </c:pt>
                <c:pt idx="325">
                  <c:v>#N/A</c:v>
                </c:pt>
                <c:pt idx="326">
                  <c:v>#N/A</c:v>
                </c:pt>
                <c:pt idx="327">
                  <c:v>1.506</c:v>
                </c:pt>
                <c:pt idx="328">
                  <c:v>1.5289999999999999</c:v>
                </c:pt>
                <c:pt idx="329">
                  <c:v>#N/A</c:v>
                </c:pt>
                <c:pt idx="330">
                  <c:v>1.575</c:v>
                </c:pt>
                <c:pt idx="331">
                  <c:v>1.5979999999999999</c:v>
                </c:pt>
                <c:pt idx="332">
                  <c:v>1.621</c:v>
                </c:pt>
                <c:pt idx="333">
                  <c:v>#N/A</c:v>
                </c:pt>
                <c:pt idx="334">
                  <c:v>1.667</c:v>
                </c:pt>
                <c:pt idx="335">
                  <c:v>1.69</c:v>
                </c:pt>
                <c:pt idx="336">
                  <c:v>1.7130000000000001</c:v>
                </c:pt>
                <c:pt idx="337">
                  <c:v>1.736</c:v>
                </c:pt>
                <c:pt idx="338">
                  <c:v>1.7589999999999999</c:v>
                </c:pt>
                <c:pt idx="339">
                  <c:v>1</c:v>
                </c:pt>
                <c:pt idx="340">
                  <c:v>#N/A</c:v>
                </c:pt>
                <c:pt idx="341">
                  <c:v>1.046</c:v>
                </c:pt>
                <c:pt idx="342">
                  <c:v>1.069</c:v>
                </c:pt>
                <c:pt idx="343">
                  <c:v>1.0920000000000001</c:v>
                </c:pt>
                <c:pt idx="344">
                  <c:v>1.115</c:v>
                </c:pt>
                <c:pt idx="345">
                  <c:v>#N/A</c:v>
                </c:pt>
                <c:pt idx="346">
                  <c:v>#N/A</c:v>
                </c:pt>
                <c:pt idx="347">
                  <c:v>1.1839999999999999</c:v>
                </c:pt>
                <c:pt idx="348">
                  <c:v>#N/A</c:v>
                </c:pt>
                <c:pt idx="349">
                  <c:v>#N/A</c:v>
                </c:pt>
                <c:pt idx="350">
                  <c:v>#N/A</c:v>
                </c:pt>
                <c:pt idx="351">
                  <c:v>1.276</c:v>
                </c:pt>
                <c:pt idx="352">
                  <c:v>#N/A</c:v>
                </c:pt>
                <c:pt idx="353">
                  <c:v>1.3220000000000001</c:v>
                </c:pt>
                <c:pt idx="354">
                  <c:v>#N/A</c:v>
                </c:pt>
                <c:pt idx="355">
                  <c:v>1.3679999999999999</c:v>
                </c:pt>
                <c:pt idx="356">
                  <c:v>#N/A</c:v>
                </c:pt>
                <c:pt idx="357">
                  <c:v>1.4139999999999999</c:v>
                </c:pt>
                <c:pt idx="358">
                  <c:v>1.4370000000000001</c:v>
                </c:pt>
                <c:pt idx="359">
                  <c:v>1.46</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1.7589999999999999</c:v>
                </c:pt>
                <c:pt idx="373">
                  <c:v>1</c:v>
                </c:pt>
                <c:pt idx="374">
                  <c:v>#N/A</c:v>
                </c:pt>
                <c:pt idx="375">
                  <c:v>1.046</c:v>
                </c:pt>
                <c:pt idx="376">
                  <c:v>#N/A</c:v>
                </c:pt>
                <c:pt idx="377">
                  <c:v>1.0920000000000001</c:v>
                </c:pt>
                <c:pt idx="378">
                  <c:v>#N/A</c:v>
                </c:pt>
                <c:pt idx="379">
                  <c:v>1.1379999999999999</c:v>
                </c:pt>
                <c:pt idx="380">
                  <c:v>#N/A</c:v>
                </c:pt>
                <c:pt idx="381">
                  <c:v>1.1839999999999999</c:v>
                </c:pt>
                <c:pt idx="382">
                  <c:v>#N/A</c:v>
                </c:pt>
                <c:pt idx="383">
                  <c:v>1.23</c:v>
                </c:pt>
                <c:pt idx="384">
                  <c:v>#N/A</c:v>
                </c:pt>
                <c:pt idx="385">
                  <c:v>#N/A</c:v>
                </c:pt>
                <c:pt idx="386">
                  <c:v>#N/A</c:v>
                </c:pt>
                <c:pt idx="387">
                  <c:v>#N/A</c:v>
                </c:pt>
                <c:pt idx="388">
                  <c:v>1.345</c:v>
                </c:pt>
                <c:pt idx="389">
                  <c:v>#N/A</c:v>
                </c:pt>
                <c:pt idx="390">
                  <c:v>#N/A</c:v>
                </c:pt>
                <c:pt idx="391">
                  <c:v>#N/A</c:v>
                </c:pt>
                <c:pt idx="392">
                  <c:v>1.4370000000000001</c:v>
                </c:pt>
                <c:pt idx="393">
                  <c:v>#N/A</c:v>
                </c:pt>
                <c:pt idx="394">
                  <c:v>#N/A</c:v>
                </c:pt>
                <c:pt idx="395">
                  <c:v>#N/A</c:v>
                </c:pt>
                <c:pt idx="396">
                  <c:v>1.5289999999999999</c:v>
                </c:pt>
                <c:pt idx="397">
                  <c:v>#N/A</c:v>
                </c:pt>
                <c:pt idx="398">
                  <c:v>#N/A</c:v>
                </c:pt>
                <c:pt idx="399">
                  <c:v>#N/A</c:v>
                </c:pt>
                <c:pt idx="400">
                  <c:v>#N/A</c:v>
                </c:pt>
                <c:pt idx="401">
                  <c:v>#N/A</c:v>
                </c:pt>
                <c:pt idx="402">
                  <c:v>1.667</c:v>
                </c:pt>
                <c:pt idx="403">
                  <c:v>#N/A</c:v>
                </c:pt>
                <c:pt idx="404">
                  <c:v>#N/A</c:v>
                </c:pt>
                <c:pt idx="405">
                  <c:v>#N/A</c:v>
                </c:pt>
                <c:pt idx="406">
                  <c:v>1.7589999999999999</c:v>
                </c:pt>
                <c:pt idx="407">
                  <c:v>#N/A</c:v>
                </c:pt>
                <c:pt idx="408">
                  <c:v>#N/A</c:v>
                </c:pt>
                <c:pt idx="409">
                  <c:v>#N/A</c:v>
                </c:pt>
                <c:pt idx="410">
                  <c:v>#N/A</c:v>
                </c:pt>
                <c:pt idx="411">
                  <c:v>#N/A</c:v>
                </c:pt>
                <c:pt idx="412">
                  <c:v>1.115</c:v>
                </c:pt>
                <c:pt idx="413">
                  <c:v>1.1379999999999999</c:v>
                </c:pt>
                <c:pt idx="414">
                  <c:v>1.161</c:v>
                </c:pt>
                <c:pt idx="415">
                  <c:v>1.1839999999999999</c:v>
                </c:pt>
                <c:pt idx="416">
                  <c:v>#N/A</c:v>
                </c:pt>
                <c:pt idx="417">
                  <c:v>1.23</c:v>
                </c:pt>
                <c:pt idx="418">
                  <c:v>1.2530000000000001</c:v>
                </c:pt>
                <c:pt idx="419">
                  <c:v>#N/A</c:v>
                </c:pt>
                <c:pt idx="420">
                  <c:v>1.2989999999999999</c:v>
                </c:pt>
                <c:pt idx="421">
                  <c:v>#N/A</c:v>
                </c:pt>
                <c:pt idx="422">
                  <c:v>1.345</c:v>
                </c:pt>
                <c:pt idx="423">
                  <c:v>#N/A</c:v>
                </c:pt>
                <c:pt idx="424">
                  <c:v>#N/A</c:v>
                </c:pt>
                <c:pt idx="425">
                  <c:v>#N/A</c:v>
                </c:pt>
                <c:pt idx="426">
                  <c:v>#N/A</c:v>
                </c:pt>
                <c:pt idx="427">
                  <c:v>#N/A</c:v>
                </c:pt>
                <c:pt idx="428">
                  <c:v>1.4830000000000001</c:v>
                </c:pt>
                <c:pt idx="429">
                  <c:v>1.506</c:v>
                </c:pt>
                <c:pt idx="430">
                  <c:v>#N/A</c:v>
                </c:pt>
                <c:pt idx="431">
                  <c:v>1.552</c:v>
                </c:pt>
                <c:pt idx="432">
                  <c:v>#N/A</c:v>
                </c:pt>
                <c:pt idx="433">
                  <c:v>#N/A</c:v>
                </c:pt>
                <c:pt idx="434">
                  <c:v>#N/A</c:v>
                </c:pt>
                <c:pt idx="435">
                  <c:v>#N/A</c:v>
                </c:pt>
                <c:pt idx="436">
                  <c:v>1.667</c:v>
                </c:pt>
                <c:pt idx="437">
                  <c:v>1.69</c:v>
                </c:pt>
                <c:pt idx="438">
                  <c:v>#N/A</c:v>
                </c:pt>
                <c:pt idx="439">
                  <c:v>#N/A</c:v>
                </c:pt>
                <c:pt idx="440">
                  <c:v>#N/A</c:v>
                </c:pt>
                <c:pt idx="441">
                  <c:v>#N/A</c:v>
                </c:pt>
                <c:pt idx="442">
                  <c:v>#N/A</c:v>
                </c:pt>
                <c:pt idx="443">
                  <c:v>#N/A</c:v>
                </c:pt>
                <c:pt idx="444">
                  <c:v>#N/A</c:v>
                </c:pt>
                <c:pt idx="445">
                  <c:v>#N/A</c:v>
                </c:pt>
                <c:pt idx="446">
                  <c:v>1.115</c:v>
                </c:pt>
                <c:pt idx="447">
                  <c:v>1.1379999999999999</c:v>
                </c:pt>
                <c:pt idx="448">
                  <c:v>1.161</c:v>
                </c:pt>
                <c:pt idx="449">
                  <c:v>1.1839999999999999</c:v>
                </c:pt>
                <c:pt idx="450">
                  <c:v>1.2070000000000001</c:v>
                </c:pt>
                <c:pt idx="451">
                  <c:v>1.23</c:v>
                </c:pt>
                <c:pt idx="452">
                  <c:v>#N/A</c:v>
                </c:pt>
                <c:pt idx="453">
                  <c:v>1.276</c:v>
                </c:pt>
                <c:pt idx="454">
                  <c:v>#N/A</c:v>
                </c:pt>
                <c:pt idx="455">
                  <c:v>#N/A</c:v>
                </c:pt>
                <c:pt idx="456">
                  <c:v>1.345</c:v>
                </c:pt>
                <c:pt idx="457">
                  <c:v>1.3679999999999999</c:v>
                </c:pt>
                <c:pt idx="458">
                  <c:v>1.391</c:v>
                </c:pt>
                <c:pt idx="459">
                  <c:v>1.4139999999999999</c:v>
                </c:pt>
                <c:pt idx="460">
                  <c:v>#N/A</c:v>
                </c:pt>
                <c:pt idx="461">
                  <c:v>1.46</c:v>
                </c:pt>
                <c:pt idx="462">
                  <c:v>1.4830000000000001</c:v>
                </c:pt>
                <c:pt idx="463">
                  <c:v>#N/A</c:v>
                </c:pt>
                <c:pt idx="464">
                  <c:v>#N/A</c:v>
                </c:pt>
                <c:pt idx="465">
                  <c:v>#N/A</c:v>
                </c:pt>
                <c:pt idx="466">
                  <c:v>1.575</c:v>
                </c:pt>
                <c:pt idx="467">
                  <c:v>#N/A</c:v>
                </c:pt>
                <c:pt idx="468">
                  <c:v>1.621</c:v>
                </c:pt>
                <c:pt idx="469">
                  <c:v>#N/A</c:v>
                </c:pt>
                <c:pt idx="470">
                  <c:v>1.667</c:v>
                </c:pt>
                <c:pt idx="471">
                  <c:v>1.69</c:v>
                </c:pt>
                <c:pt idx="472">
                  <c:v>1.7130000000000001</c:v>
                </c:pt>
                <c:pt idx="473">
                  <c:v>1.736</c:v>
                </c:pt>
                <c:pt idx="474">
                  <c:v>1.7589999999999999</c:v>
                </c:pt>
                <c:pt idx="475">
                  <c:v>#N/A</c:v>
                </c:pt>
                <c:pt idx="476">
                  <c:v>1.0229999999999999</c:v>
                </c:pt>
                <c:pt idx="477">
                  <c:v>1.046</c:v>
                </c:pt>
                <c:pt idx="478">
                  <c:v>1.069</c:v>
                </c:pt>
                <c:pt idx="479">
                  <c:v>#N/A</c:v>
                </c:pt>
                <c:pt idx="480">
                  <c:v>#N/A</c:v>
                </c:pt>
                <c:pt idx="481">
                  <c:v>1.1379999999999999</c:v>
                </c:pt>
                <c:pt idx="482">
                  <c:v>1.161</c:v>
                </c:pt>
                <c:pt idx="483">
                  <c:v>1.1839999999999999</c:v>
                </c:pt>
                <c:pt idx="484">
                  <c:v>1.2070000000000001</c:v>
                </c:pt>
                <c:pt idx="485">
                  <c:v>#N/A</c:v>
                </c:pt>
                <c:pt idx="486">
                  <c:v>1.2530000000000001</c:v>
                </c:pt>
                <c:pt idx="487">
                  <c:v>#N/A</c:v>
                </c:pt>
                <c:pt idx="488">
                  <c:v>1.2989999999999999</c:v>
                </c:pt>
                <c:pt idx="489">
                  <c:v>#N/A</c:v>
                </c:pt>
                <c:pt idx="490">
                  <c:v>#N/A</c:v>
                </c:pt>
                <c:pt idx="491">
                  <c:v>1.3679999999999999</c:v>
                </c:pt>
                <c:pt idx="492">
                  <c:v>1.391</c:v>
                </c:pt>
                <c:pt idx="493">
                  <c:v>#N/A</c:v>
                </c:pt>
                <c:pt idx="494">
                  <c:v>1.4370000000000001</c:v>
                </c:pt>
                <c:pt idx="495">
                  <c:v>#N/A</c:v>
                </c:pt>
                <c:pt idx="496">
                  <c:v>1.4830000000000001</c:v>
                </c:pt>
                <c:pt idx="497">
                  <c:v>1.506</c:v>
                </c:pt>
                <c:pt idx="498">
                  <c:v>1.5289999999999999</c:v>
                </c:pt>
                <c:pt idx="499">
                  <c:v>#N/A</c:v>
                </c:pt>
                <c:pt idx="500">
                  <c:v>#N/A</c:v>
                </c:pt>
                <c:pt idx="501">
                  <c:v>#N/A</c:v>
                </c:pt>
                <c:pt idx="502">
                  <c:v>#N/A</c:v>
                </c:pt>
                <c:pt idx="503">
                  <c:v>#N/A</c:v>
                </c:pt>
                <c:pt idx="504">
                  <c:v>1.667</c:v>
                </c:pt>
                <c:pt idx="505">
                  <c:v>#N/A</c:v>
                </c:pt>
                <c:pt idx="506">
                  <c:v>#N/A</c:v>
                </c:pt>
                <c:pt idx="507">
                  <c:v>1.736</c:v>
                </c:pt>
                <c:pt idx="508">
                  <c:v>1.7589999999999999</c:v>
                </c:pt>
                <c:pt idx="509">
                  <c:v>#N/A</c:v>
                </c:pt>
                <c:pt idx="510">
                  <c:v>#N/A</c:v>
                </c:pt>
                <c:pt idx="511">
                  <c:v>#N/A</c:v>
                </c:pt>
                <c:pt idx="512">
                  <c:v>1.069</c:v>
                </c:pt>
                <c:pt idx="513">
                  <c:v>#N/A</c:v>
                </c:pt>
                <c:pt idx="514">
                  <c:v>1.115</c:v>
                </c:pt>
                <c:pt idx="515">
                  <c:v>#N/A</c:v>
                </c:pt>
                <c:pt idx="516">
                  <c:v>1.161</c:v>
                </c:pt>
                <c:pt idx="517">
                  <c:v>#N/A</c:v>
                </c:pt>
                <c:pt idx="518">
                  <c:v>#N/A</c:v>
                </c:pt>
                <c:pt idx="519">
                  <c:v>#N/A</c:v>
                </c:pt>
                <c:pt idx="520">
                  <c:v>1.2530000000000001</c:v>
                </c:pt>
                <c:pt idx="521">
                  <c:v>1.276</c:v>
                </c:pt>
                <c:pt idx="522">
                  <c:v>#N/A</c:v>
                </c:pt>
                <c:pt idx="523">
                  <c:v>#N/A</c:v>
                </c:pt>
                <c:pt idx="524">
                  <c:v>#N/A</c:v>
                </c:pt>
                <c:pt idx="525">
                  <c:v>#N/A</c:v>
                </c:pt>
                <c:pt idx="526">
                  <c:v>#N/A</c:v>
                </c:pt>
                <c:pt idx="527">
                  <c:v>#N/A</c:v>
                </c:pt>
                <c:pt idx="528">
                  <c:v>#N/A</c:v>
                </c:pt>
                <c:pt idx="529">
                  <c:v>1.46</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1</c:v>
                </c:pt>
                <c:pt idx="544">
                  <c:v>#N/A</c:v>
                </c:pt>
                <c:pt idx="545">
                  <c:v>1.046</c:v>
                </c:pt>
                <c:pt idx="546">
                  <c:v>#N/A</c:v>
                </c:pt>
                <c:pt idx="547">
                  <c:v>#N/A</c:v>
                </c:pt>
                <c:pt idx="548">
                  <c:v>1.115</c:v>
                </c:pt>
                <c:pt idx="549">
                  <c:v>#N/A</c:v>
                </c:pt>
                <c:pt idx="550">
                  <c:v>#N/A</c:v>
                </c:pt>
                <c:pt idx="551">
                  <c:v>#N/A</c:v>
                </c:pt>
                <c:pt idx="552">
                  <c:v>1.2070000000000001</c:v>
                </c:pt>
                <c:pt idx="553">
                  <c:v>1.23</c:v>
                </c:pt>
                <c:pt idx="554">
                  <c:v>#N/A</c:v>
                </c:pt>
                <c:pt idx="555">
                  <c:v>1.276</c:v>
                </c:pt>
                <c:pt idx="556">
                  <c:v>1.2989999999999999</c:v>
                </c:pt>
                <c:pt idx="557">
                  <c:v>1.3220000000000001</c:v>
                </c:pt>
                <c:pt idx="558">
                  <c:v>1.345</c:v>
                </c:pt>
                <c:pt idx="559">
                  <c:v>1.3679999999999999</c:v>
                </c:pt>
                <c:pt idx="560">
                  <c:v>1.391</c:v>
                </c:pt>
                <c:pt idx="561">
                  <c:v>#N/A</c:v>
                </c:pt>
                <c:pt idx="562">
                  <c:v>1.4370000000000001</c:v>
                </c:pt>
                <c:pt idx="563">
                  <c:v>1.46</c:v>
                </c:pt>
                <c:pt idx="564">
                  <c:v>1.4830000000000001</c:v>
                </c:pt>
                <c:pt idx="565">
                  <c:v>1.506</c:v>
                </c:pt>
                <c:pt idx="566">
                  <c:v>#N/A</c:v>
                </c:pt>
                <c:pt idx="567">
                  <c:v>#N/A</c:v>
                </c:pt>
                <c:pt idx="568">
                  <c:v>#N/A</c:v>
                </c:pt>
                <c:pt idx="569">
                  <c:v>#N/A</c:v>
                </c:pt>
                <c:pt idx="570">
                  <c:v>#N/A</c:v>
                </c:pt>
                <c:pt idx="571">
                  <c:v>#N/A</c:v>
                </c:pt>
                <c:pt idx="572">
                  <c:v>1.667</c:v>
                </c:pt>
                <c:pt idx="573">
                  <c:v>1.69</c:v>
                </c:pt>
                <c:pt idx="574">
                  <c:v>1.7130000000000001</c:v>
                </c:pt>
                <c:pt idx="575">
                  <c:v>1.736</c:v>
                </c:pt>
                <c:pt idx="576">
                  <c:v>#N/A</c:v>
                </c:pt>
                <c:pt idx="577">
                  <c:v>1</c:v>
                </c:pt>
                <c:pt idx="578">
                  <c:v>1.0229999999999999</c:v>
                </c:pt>
                <c:pt idx="579">
                  <c:v>#N/A</c:v>
                </c:pt>
                <c:pt idx="580">
                  <c:v>#N/A</c:v>
                </c:pt>
                <c:pt idx="581">
                  <c:v>#N/A</c:v>
                </c:pt>
                <c:pt idx="582">
                  <c:v>1.115</c:v>
                </c:pt>
                <c:pt idx="583">
                  <c:v>1.1379999999999999</c:v>
                </c:pt>
                <c:pt idx="584">
                  <c:v>1.161</c:v>
                </c:pt>
                <c:pt idx="585">
                  <c:v>1.1839999999999999</c:v>
                </c:pt>
                <c:pt idx="586">
                  <c:v>1.2070000000000001</c:v>
                </c:pt>
                <c:pt idx="587">
                  <c:v>#N/A</c:v>
                </c:pt>
                <c:pt idx="588">
                  <c:v>#N/A</c:v>
                </c:pt>
                <c:pt idx="589">
                  <c:v>#N/A</c:v>
                </c:pt>
                <c:pt idx="590">
                  <c:v>#N/A</c:v>
                </c:pt>
                <c:pt idx="591">
                  <c:v>1.3220000000000001</c:v>
                </c:pt>
                <c:pt idx="592">
                  <c:v>#N/A</c:v>
                </c:pt>
                <c:pt idx="593">
                  <c:v>#N/A</c:v>
                </c:pt>
                <c:pt idx="594">
                  <c:v>#N/A</c:v>
                </c:pt>
                <c:pt idx="595">
                  <c:v>#N/A</c:v>
                </c:pt>
                <c:pt idx="596">
                  <c:v>#N/A</c:v>
                </c:pt>
                <c:pt idx="597">
                  <c:v>#N/A</c:v>
                </c:pt>
                <c:pt idx="598">
                  <c:v>#N/A</c:v>
                </c:pt>
                <c:pt idx="599">
                  <c:v>#N/A</c:v>
                </c:pt>
                <c:pt idx="600">
                  <c:v>#N/A</c:v>
                </c:pt>
                <c:pt idx="601">
                  <c:v>1.552</c:v>
                </c:pt>
                <c:pt idx="602">
                  <c:v>#N/A</c:v>
                </c:pt>
                <c:pt idx="603">
                  <c:v>#N/A</c:v>
                </c:pt>
                <c:pt idx="604">
                  <c:v>#N/A</c:v>
                </c:pt>
                <c:pt idx="605">
                  <c:v>#N/A</c:v>
                </c:pt>
                <c:pt idx="606">
                  <c:v>#N/A</c:v>
                </c:pt>
                <c:pt idx="607">
                  <c:v>1.69</c:v>
                </c:pt>
                <c:pt idx="608">
                  <c:v>1.7130000000000001</c:v>
                </c:pt>
                <c:pt idx="609">
                  <c:v>1.736</c:v>
                </c:pt>
                <c:pt idx="610">
                  <c:v>1.7589999999999999</c:v>
                </c:pt>
                <c:pt idx="611">
                  <c:v>1</c:v>
                </c:pt>
                <c:pt idx="612">
                  <c:v>1.0229999999999999</c:v>
                </c:pt>
                <c:pt idx="613">
                  <c:v>#N/A</c:v>
                </c:pt>
                <c:pt idx="614">
                  <c:v>1.069</c:v>
                </c:pt>
                <c:pt idx="615">
                  <c:v>1.0920000000000001</c:v>
                </c:pt>
                <c:pt idx="616">
                  <c:v>1.115</c:v>
                </c:pt>
                <c:pt idx="617">
                  <c:v>#N/A</c:v>
                </c:pt>
                <c:pt idx="618">
                  <c:v>#N/A</c:v>
                </c:pt>
                <c:pt idx="619">
                  <c:v>1.1839999999999999</c:v>
                </c:pt>
                <c:pt idx="620">
                  <c:v>1.2070000000000001</c:v>
                </c:pt>
                <c:pt idx="621">
                  <c:v>#N/A</c:v>
                </c:pt>
                <c:pt idx="622">
                  <c:v>1.2530000000000001</c:v>
                </c:pt>
                <c:pt idx="623">
                  <c:v>#N/A</c:v>
                </c:pt>
                <c:pt idx="624">
                  <c:v>#N/A</c:v>
                </c:pt>
                <c:pt idx="625">
                  <c:v>#N/A</c:v>
                </c:pt>
                <c:pt idx="626">
                  <c:v>#N/A</c:v>
                </c:pt>
                <c:pt idx="627">
                  <c:v>#N/A</c:v>
                </c:pt>
                <c:pt idx="628">
                  <c:v>#N/A</c:v>
                </c:pt>
                <c:pt idx="629">
                  <c:v>#N/A</c:v>
                </c:pt>
                <c:pt idx="630">
                  <c:v>#N/A</c:v>
                </c:pt>
                <c:pt idx="631">
                  <c:v>#N/A</c:v>
                </c:pt>
                <c:pt idx="632">
                  <c:v>1.4830000000000001</c:v>
                </c:pt>
                <c:pt idx="633">
                  <c:v>#N/A</c:v>
                </c:pt>
                <c:pt idx="634">
                  <c:v>1.5289999999999999</c:v>
                </c:pt>
                <c:pt idx="635">
                  <c:v>#N/A</c:v>
                </c:pt>
                <c:pt idx="636">
                  <c:v>#N/A</c:v>
                </c:pt>
                <c:pt idx="637">
                  <c:v>1.5979999999999999</c:v>
                </c:pt>
                <c:pt idx="638">
                  <c:v>1.621</c:v>
                </c:pt>
                <c:pt idx="639">
                  <c:v>1.6440000000000001</c:v>
                </c:pt>
                <c:pt idx="640">
                  <c:v>#N/A</c:v>
                </c:pt>
                <c:pt idx="641">
                  <c:v>#N/A</c:v>
                </c:pt>
                <c:pt idx="642">
                  <c:v>1.7130000000000001</c:v>
                </c:pt>
                <c:pt idx="643">
                  <c:v>#N/A</c:v>
                </c:pt>
                <c:pt idx="644">
                  <c:v>#N/A</c:v>
                </c:pt>
                <c:pt idx="645">
                  <c:v>#N/A</c:v>
                </c:pt>
                <c:pt idx="646">
                  <c:v>1.0229999999999999</c:v>
                </c:pt>
                <c:pt idx="647">
                  <c:v>#N/A</c:v>
                </c:pt>
                <c:pt idx="648">
                  <c:v>#N/A</c:v>
                </c:pt>
                <c:pt idx="649">
                  <c:v>#N/A</c:v>
                </c:pt>
                <c:pt idx="650">
                  <c:v>1.115</c:v>
                </c:pt>
                <c:pt idx="651">
                  <c:v>1.1379999999999999</c:v>
                </c:pt>
                <c:pt idx="652">
                  <c:v>#N/A</c:v>
                </c:pt>
                <c:pt idx="653">
                  <c:v>#N/A</c:v>
                </c:pt>
                <c:pt idx="654">
                  <c:v>#N/A</c:v>
                </c:pt>
                <c:pt idx="655">
                  <c:v>#N/A</c:v>
                </c:pt>
                <c:pt idx="656">
                  <c:v>1.2530000000000001</c:v>
                </c:pt>
                <c:pt idx="657">
                  <c:v>1.276</c:v>
                </c:pt>
                <c:pt idx="658">
                  <c:v>1.2989999999999999</c:v>
                </c:pt>
                <c:pt idx="659">
                  <c:v>#N/A</c:v>
                </c:pt>
                <c:pt idx="660">
                  <c:v>1.345</c:v>
                </c:pt>
                <c:pt idx="661">
                  <c:v>#N/A</c:v>
                </c:pt>
                <c:pt idx="662">
                  <c:v>#N/A</c:v>
                </c:pt>
                <c:pt idx="663">
                  <c:v>1.4139999999999999</c:v>
                </c:pt>
                <c:pt idx="664">
                  <c:v>1.4370000000000001</c:v>
                </c:pt>
                <c:pt idx="665">
                  <c:v>1.46</c:v>
                </c:pt>
                <c:pt idx="666">
                  <c:v>#N/A</c:v>
                </c:pt>
                <c:pt idx="667">
                  <c:v>1.506</c:v>
                </c:pt>
                <c:pt idx="668">
                  <c:v>1.5289999999999999</c:v>
                </c:pt>
                <c:pt idx="669">
                  <c:v>1.552</c:v>
                </c:pt>
                <c:pt idx="670">
                  <c:v>#N/A</c:v>
                </c:pt>
                <c:pt idx="671">
                  <c:v>1.5979999999999999</c:v>
                </c:pt>
                <c:pt idx="672">
                  <c:v>#N/A</c:v>
                </c:pt>
                <c:pt idx="673">
                  <c:v>1.6440000000000001</c:v>
                </c:pt>
                <c:pt idx="674">
                  <c:v>1.667</c:v>
                </c:pt>
                <c:pt idx="675">
                  <c:v>1.69</c:v>
                </c:pt>
                <c:pt idx="676">
                  <c:v>#N/A</c:v>
                </c:pt>
                <c:pt idx="677">
                  <c:v>#N/A</c:v>
                </c:pt>
                <c:pt idx="678">
                  <c:v>1.7589999999999999</c:v>
                </c:pt>
                <c:pt idx="679">
                  <c:v>#N/A</c:v>
                </c:pt>
                <c:pt idx="680">
                  <c:v>#N/A</c:v>
                </c:pt>
                <c:pt idx="681">
                  <c:v>1.046</c:v>
                </c:pt>
                <c:pt idx="682">
                  <c:v>#N/A</c:v>
                </c:pt>
                <c:pt idx="683">
                  <c:v>1.0920000000000001</c:v>
                </c:pt>
                <c:pt idx="684">
                  <c:v>1.115</c:v>
                </c:pt>
                <c:pt idx="685">
                  <c:v>1.1379999999999999</c:v>
                </c:pt>
                <c:pt idx="686">
                  <c:v>#N/A</c:v>
                </c:pt>
                <c:pt idx="687">
                  <c:v>#N/A</c:v>
                </c:pt>
                <c:pt idx="688">
                  <c:v>#N/A</c:v>
                </c:pt>
                <c:pt idx="689">
                  <c:v>#N/A</c:v>
                </c:pt>
                <c:pt idx="690">
                  <c:v>1.2530000000000001</c:v>
                </c:pt>
                <c:pt idx="691">
                  <c:v>#N/A</c:v>
                </c:pt>
                <c:pt idx="692">
                  <c:v>1.2989999999999999</c:v>
                </c:pt>
                <c:pt idx="693">
                  <c:v>1.3220000000000001</c:v>
                </c:pt>
                <c:pt idx="694">
                  <c:v>1.345</c:v>
                </c:pt>
                <c:pt idx="695">
                  <c:v>#N/A</c:v>
                </c:pt>
                <c:pt idx="696">
                  <c:v>1.391</c:v>
                </c:pt>
                <c:pt idx="697">
                  <c:v>1.4139999999999999</c:v>
                </c:pt>
                <c:pt idx="698">
                  <c:v>#N/A</c:v>
                </c:pt>
                <c:pt idx="699">
                  <c:v>1.46</c:v>
                </c:pt>
                <c:pt idx="700">
                  <c:v>1.4830000000000001</c:v>
                </c:pt>
                <c:pt idx="701">
                  <c:v>1.506</c:v>
                </c:pt>
                <c:pt idx="702">
                  <c:v>1.5289999999999999</c:v>
                </c:pt>
                <c:pt idx="703">
                  <c:v>#N/A</c:v>
                </c:pt>
                <c:pt idx="704">
                  <c:v>#N/A</c:v>
                </c:pt>
                <c:pt idx="705">
                  <c:v>1.5979999999999999</c:v>
                </c:pt>
                <c:pt idx="706">
                  <c:v>#N/A</c:v>
                </c:pt>
                <c:pt idx="707">
                  <c:v>#N/A</c:v>
                </c:pt>
                <c:pt idx="708">
                  <c:v>#N/A</c:v>
                </c:pt>
                <c:pt idx="709">
                  <c:v>#N/A</c:v>
                </c:pt>
                <c:pt idx="710">
                  <c:v>#N/A</c:v>
                </c:pt>
                <c:pt idx="711">
                  <c:v>1.736</c:v>
                </c:pt>
                <c:pt idx="712">
                  <c:v>#N/A</c:v>
                </c:pt>
                <c:pt idx="713">
                  <c:v>1</c:v>
                </c:pt>
                <c:pt idx="714">
                  <c:v>1.0229999999999999</c:v>
                </c:pt>
                <c:pt idx="715">
                  <c:v>1.046</c:v>
                </c:pt>
                <c:pt idx="716">
                  <c:v>#N/A</c:v>
                </c:pt>
                <c:pt idx="717">
                  <c:v>1.0920000000000001</c:v>
                </c:pt>
                <c:pt idx="718">
                  <c:v>1.115</c:v>
                </c:pt>
                <c:pt idx="719">
                  <c:v>#N/A</c:v>
                </c:pt>
                <c:pt idx="720">
                  <c:v>1.161</c:v>
                </c:pt>
                <c:pt idx="721">
                  <c:v>1.1839999999999999</c:v>
                </c:pt>
                <c:pt idx="722">
                  <c:v>#N/A</c:v>
                </c:pt>
                <c:pt idx="723">
                  <c:v>#N/A</c:v>
                </c:pt>
                <c:pt idx="724">
                  <c:v>1.2530000000000001</c:v>
                </c:pt>
                <c:pt idx="725">
                  <c:v>#N/A</c:v>
                </c:pt>
                <c:pt idx="726">
                  <c:v>#N/A</c:v>
                </c:pt>
                <c:pt idx="727">
                  <c:v>#N/A</c:v>
                </c:pt>
                <c:pt idx="728">
                  <c:v>#N/A</c:v>
                </c:pt>
                <c:pt idx="729">
                  <c:v>1.3679999999999999</c:v>
                </c:pt>
                <c:pt idx="730">
                  <c:v>#N/A</c:v>
                </c:pt>
                <c:pt idx="731">
                  <c:v>#N/A</c:v>
                </c:pt>
                <c:pt idx="732">
                  <c:v>#N/A</c:v>
                </c:pt>
                <c:pt idx="733">
                  <c:v>#N/A</c:v>
                </c:pt>
                <c:pt idx="734">
                  <c:v>1.4830000000000001</c:v>
                </c:pt>
                <c:pt idx="735">
                  <c:v>#N/A</c:v>
                </c:pt>
                <c:pt idx="736">
                  <c:v>1.5289999999999999</c:v>
                </c:pt>
                <c:pt idx="737">
                  <c:v>#N/A</c:v>
                </c:pt>
                <c:pt idx="738">
                  <c:v>1.575</c:v>
                </c:pt>
                <c:pt idx="739">
                  <c:v>1.5979999999999999</c:v>
                </c:pt>
                <c:pt idx="740">
                  <c:v>#N/A</c:v>
                </c:pt>
                <c:pt idx="741">
                  <c:v>#N/A</c:v>
                </c:pt>
                <c:pt idx="742">
                  <c:v>#N/A</c:v>
                </c:pt>
                <c:pt idx="743">
                  <c:v>1.69</c:v>
                </c:pt>
                <c:pt idx="744">
                  <c:v>1.7130000000000001</c:v>
                </c:pt>
                <c:pt idx="745">
                  <c:v>#N/A</c:v>
                </c:pt>
                <c:pt idx="746">
                  <c:v>1.7589999999999999</c:v>
                </c:pt>
                <c:pt idx="747">
                  <c:v>#N/A</c:v>
                </c:pt>
                <c:pt idx="748">
                  <c:v>1.0229999999999999</c:v>
                </c:pt>
                <c:pt idx="749">
                  <c:v>1.046</c:v>
                </c:pt>
                <c:pt idx="750">
                  <c:v>1.069</c:v>
                </c:pt>
                <c:pt idx="751">
                  <c:v>#N/A</c:v>
                </c:pt>
                <c:pt idx="752">
                  <c:v>#N/A</c:v>
                </c:pt>
                <c:pt idx="753">
                  <c:v>#N/A</c:v>
                </c:pt>
                <c:pt idx="754">
                  <c:v>#N/A</c:v>
                </c:pt>
                <c:pt idx="755">
                  <c:v>#N/A</c:v>
                </c:pt>
                <c:pt idx="756">
                  <c:v>#N/A</c:v>
                </c:pt>
                <c:pt idx="757">
                  <c:v>#N/A</c:v>
                </c:pt>
                <c:pt idx="758">
                  <c:v>#N/A</c:v>
                </c:pt>
                <c:pt idx="759">
                  <c:v>#N/A</c:v>
                </c:pt>
                <c:pt idx="760">
                  <c:v>#N/A</c:v>
                </c:pt>
                <c:pt idx="761">
                  <c:v>1.3220000000000001</c:v>
                </c:pt>
                <c:pt idx="762">
                  <c:v>1.345</c:v>
                </c:pt>
                <c:pt idx="763">
                  <c:v>#N/A</c:v>
                </c:pt>
                <c:pt idx="764">
                  <c:v>#N/A</c:v>
                </c:pt>
                <c:pt idx="765">
                  <c:v>#N/A</c:v>
                </c:pt>
                <c:pt idx="766">
                  <c:v>1.4370000000000001</c:v>
                </c:pt>
                <c:pt idx="767">
                  <c:v>#N/A</c:v>
                </c:pt>
                <c:pt idx="768">
                  <c:v>1.4830000000000001</c:v>
                </c:pt>
                <c:pt idx="769">
                  <c:v>#N/A</c:v>
                </c:pt>
                <c:pt idx="770">
                  <c:v>#N/A</c:v>
                </c:pt>
                <c:pt idx="771">
                  <c:v>#N/A</c:v>
                </c:pt>
                <c:pt idx="772">
                  <c:v>1.575</c:v>
                </c:pt>
                <c:pt idx="773">
                  <c:v>1.5979999999999999</c:v>
                </c:pt>
                <c:pt idx="774">
                  <c:v>1.621</c:v>
                </c:pt>
                <c:pt idx="775">
                  <c:v>1.6440000000000001</c:v>
                </c:pt>
                <c:pt idx="776">
                  <c:v>1.667</c:v>
                </c:pt>
                <c:pt idx="777">
                  <c:v>#N/A</c:v>
                </c:pt>
                <c:pt idx="778">
                  <c:v>1.7130000000000001</c:v>
                </c:pt>
                <c:pt idx="779">
                  <c:v>#N/A</c:v>
                </c:pt>
                <c:pt idx="780">
                  <c:v>1.7589999999999999</c:v>
                </c:pt>
                <c:pt idx="781">
                  <c:v>1</c:v>
                </c:pt>
                <c:pt idx="782">
                  <c:v>#N/A</c:v>
                </c:pt>
                <c:pt idx="783">
                  <c:v>1.046</c:v>
                </c:pt>
                <c:pt idx="784">
                  <c:v>1.069</c:v>
                </c:pt>
                <c:pt idx="785">
                  <c:v>#N/A</c:v>
                </c:pt>
                <c:pt idx="786">
                  <c:v>#N/A</c:v>
                </c:pt>
                <c:pt idx="787">
                  <c:v>#N/A</c:v>
                </c:pt>
                <c:pt idx="788">
                  <c:v>1.161</c:v>
                </c:pt>
                <c:pt idx="789">
                  <c:v>1.1839999999999999</c:v>
                </c:pt>
                <c:pt idx="790">
                  <c:v>#N/A</c:v>
                </c:pt>
                <c:pt idx="791">
                  <c:v>1.23</c:v>
                </c:pt>
                <c:pt idx="792">
                  <c:v>1.2530000000000001</c:v>
                </c:pt>
                <c:pt idx="793">
                  <c:v>1.276</c:v>
                </c:pt>
                <c:pt idx="794">
                  <c:v>#N/A</c:v>
                </c:pt>
                <c:pt idx="795">
                  <c:v>#N/A</c:v>
                </c:pt>
                <c:pt idx="796">
                  <c:v>1.345</c:v>
                </c:pt>
                <c:pt idx="797">
                  <c:v>#N/A</c:v>
                </c:pt>
                <c:pt idx="798">
                  <c:v>1.391</c:v>
                </c:pt>
                <c:pt idx="799">
                  <c:v>#N/A</c:v>
                </c:pt>
                <c:pt idx="800">
                  <c:v>#N/A</c:v>
                </c:pt>
                <c:pt idx="801">
                  <c:v>#N/A</c:v>
                </c:pt>
                <c:pt idx="802">
                  <c:v>1.4830000000000001</c:v>
                </c:pt>
                <c:pt idx="803">
                  <c:v>#N/A</c:v>
                </c:pt>
                <c:pt idx="804">
                  <c:v>1.5289999999999999</c:v>
                </c:pt>
                <c:pt idx="805">
                  <c:v>1.552</c:v>
                </c:pt>
                <c:pt idx="806">
                  <c:v>1.575</c:v>
                </c:pt>
                <c:pt idx="807">
                  <c:v>1.5979999999999999</c:v>
                </c:pt>
                <c:pt idx="808">
                  <c:v>#N/A</c:v>
                </c:pt>
                <c:pt idx="809">
                  <c:v>#N/A</c:v>
                </c:pt>
                <c:pt idx="810">
                  <c:v>1.667</c:v>
                </c:pt>
                <c:pt idx="811">
                  <c:v>#N/A</c:v>
                </c:pt>
                <c:pt idx="812">
                  <c:v>#N/A</c:v>
                </c:pt>
                <c:pt idx="813">
                  <c:v>1.736</c:v>
                </c:pt>
                <c:pt idx="814">
                  <c:v>#N/A</c:v>
                </c:pt>
                <c:pt idx="815">
                  <c:v>1</c:v>
                </c:pt>
                <c:pt idx="816">
                  <c:v>1.0229999999999999</c:v>
                </c:pt>
                <c:pt idx="817">
                  <c:v>#N/A</c:v>
                </c:pt>
                <c:pt idx="818">
                  <c:v>#N/A</c:v>
                </c:pt>
                <c:pt idx="819">
                  <c:v>#N/A</c:v>
                </c:pt>
              </c:numCache>
            </c:numRef>
          </c:yVal>
          <c:smooth val="1"/>
          <c:extLst>
            <c:ext xmlns:c16="http://schemas.microsoft.com/office/drawing/2014/chart" uri="{C3380CC4-5D6E-409C-BE32-E72D297353CC}">
              <c16:uniqueId val="{00000000-F9BC-4463-954D-445A1CF39C00}"/>
            </c:ext>
          </c:extLst>
        </c:ser>
        <c:ser>
          <c:idx val="1"/>
          <c:order val="1"/>
          <c:tx>
            <c:v>Strategy</c:v>
          </c:tx>
          <c:spPr>
            <a:ln>
              <a:noFill/>
              <a:prstDash val="solid"/>
            </a:ln>
          </c:spPr>
          <c:marker>
            <c:symbol val="circle"/>
            <c:size val="4"/>
            <c:spPr>
              <a:ln>
                <a:prstDash val="solid"/>
              </a:ln>
            </c:spPr>
          </c:marker>
          <c:xVal>
            <c:numRef>
              <c:f>'Map Calc'!$I$2:$I$820</c:f>
              <c:numCache>
                <c:formatCode>General</c:formatCode>
                <c:ptCount val="81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2020</c:v>
                </c:pt>
                <c:pt idx="42">
                  <c:v>#N/A</c:v>
                </c:pt>
                <c:pt idx="43">
                  <c:v>#N/A</c:v>
                </c:pt>
                <c:pt idx="44">
                  <c:v>#N/A</c:v>
                </c:pt>
                <c:pt idx="45">
                  <c:v>2014</c:v>
                </c:pt>
                <c:pt idx="46">
                  <c:v>2025</c:v>
                </c:pt>
                <c:pt idx="47">
                  <c:v>#N/A</c:v>
                </c:pt>
                <c:pt idx="48">
                  <c:v>2023</c:v>
                </c:pt>
                <c:pt idx="49">
                  <c:v>#N/A</c:v>
                </c:pt>
                <c:pt idx="50">
                  <c:v>2018</c:v>
                </c:pt>
                <c:pt idx="51">
                  <c:v>#N/A</c:v>
                </c:pt>
                <c:pt idx="52">
                  <c:v>2020</c:v>
                </c:pt>
                <c:pt idx="53">
                  <c:v>#N/A</c:v>
                </c:pt>
                <c:pt idx="54">
                  <c:v>#N/A</c:v>
                </c:pt>
                <c:pt idx="55">
                  <c:v>#N/A</c:v>
                </c:pt>
                <c:pt idx="56">
                  <c:v>2026</c:v>
                </c:pt>
                <c:pt idx="57">
                  <c:v>#N/A</c:v>
                </c:pt>
                <c:pt idx="58">
                  <c:v>#N/A</c:v>
                </c:pt>
                <c:pt idx="59">
                  <c:v>#N/A</c:v>
                </c:pt>
                <c:pt idx="60">
                  <c:v>2017</c:v>
                </c:pt>
                <c:pt idx="61">
                  <c:v>#N/A</c:v>
                </c:pt>
                <c:pt idx="62">
                  <c:v>#N/A</c:v>
                </c:pt>
                <c:pt idx="63">
                  <c:v>#N/A</c:v>
                </c:pt>
                <c:pt idx="64">
                  <c:v>#N/A</c:v>
                </c:pt>
                <c:pt idx="65">
                  <c:v>2024</c:v>
                </c:pt>
                <c:pt idx="66">
                  <c:v>#N/A</c:v>
                </c:pt>
                <c:pt idx="67">
                  <c:v>#N/A</c:v>
                </c:pt>
                <c:pt idx="68">
                  <c:v>#N/A</c:v>
                </c:pt>
                <c:pt idx="69">
                  <c:v>#N/A</c:v>
                </c:pt>
                <c:pt idx="70">
                  <c:v>#N/A</c:v>
                </c:pt>
                <c:pt idx="71">
                  <c:v>#N/A</c:v>
                </c:pt>
                <c:pt idx="72">
                  <c:v>#N/A</c:v>
                </c:pt>
                <c:pt idx="73">
                  <c:v>#N/A</c:v>
                </c:pt>
                <c:pt idx="74">
                  <c:v>#N/A</c:v>
                </c:pt>
                <c:pt idx="75">
                  <c:v>2023</c:v>
                </c:pt>
                <c:pt idx="76">
                  <c:v>2024</c:v>
                </c:pt>
                <c:pt idx="77">
                  <c:v>#N/A</c:v>
                </c:pt>
                <c:pt idx="78">
                  <c:v>#N/A</c:v>
                </c:pt>
                <c:pt idx="79">
                  <c:v>2025</c:v>
                </c:pt>
                <c:pt idx="80">
                  <c:v>2025</c:v>
                </c:pt>
                <c:pt idx="81">
                  <c:v>#N/A</c:v>
                </c:pt>
                <c:pt idx="82">
                  <c:v>#N/A</c:v>
                </c:pt>
                <c:pt idx="83">
                  <c:v>#N/A</c:v>
                </c:pt>
                <c:pt idx="84">
                  <c:v>#N/A</c:v>
                </c:pt>
                <c:pt idx="85">
                  <c:v>#N/A</c:v>
                </c:pt>
                <c:pt idx="86">
                  <c:v>#N/A</c:v>
                </c:pt>
                <c:pt idx="87">
                  <c:v>#N/A</c:v>
                </c:pt>
                <c:pt idx="88">
                  <c:v>#N/A</c:v>
                </c:pt>
                <c:pt idx="89">
                  <c:v>#N/A</c:v>
                </c:pt>
                <c:pt idx="90">
                  <c:v>#N/A</c:v>
                </c:pt>
                <c:pt idx="91">
                  <c:v>2026</c:v>
                </c:pt>
                <c:pt idx="92">
                  <c:v>#N/A</c:v>
                </c:pt>
                <c:pt idx="93">
                  <c:v>2021</c:v>
                </c:pt>
                <c:pt idx="94">
                  <c:v>2023</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2025</c:v>
                </c:pt>
                <c:pt idx="126">
                  <c:v>2024</c:v>
                </c:pt>
                <c:pt idx="127">
                  <c:v>#N/A</c:v>
                </c:pt>
                <c:pt idx="128">
                  <c:v>2025</c:v>
                </c:pt>
                <c:pt idx="129">
                  <c:v>#N/A</c:v>
                </c:pt>
                <c:pt idx="130">
                  <c:v>#N/A</c:v>
                </c:pt>
                <c:pt idx="131">
                  <c:v>#N/A</c:v>
                </c:pt>
                <c:pt idx="132">
                  <c:v>#N/A</c:v>
                </c:pt>
                <c:pt idx="133">
                  <c:v>#N/A</c:v>
                </c:pt>
                <c:pt idx="134">
                  <c:v>#N/A</c:v>
                </c:pt>
                <c:pt idx="135">
                  <c:v>2015</c:v>
                </c:pt>
                <c:pt idx="136">
                  <c:v>2020</c:v>
                </c:pt>
                <c:pt idx="137">
                  <c:v>#N/A</c:v>
                </c:pt>
                <c:pt idx="138">
                  <c:v>#N/A</c:v>
                </c:pt>
                <c:pt idx="139">
                  <c:v>#N/A</c:v>
                </c:pt>
                <c:pt idx="140">
                  <c:v>#N/A</c:v>
                </c:pt>
                <c:pt idx="141">
                  <c:v>#N/A</c:v>
                </c:pt>
                <c:pt idx="142">
                  <c:v>#N/A</c:v>
                </c:pt>
                <c:pt idx="143">
                  <c:v>#N/A</c:v>
                </c:pt>
                <c:pt idx="144">
                  <c:v>#N/A</c:v>
                </c:pt>
                <c:pt idx="145">
                  <c:v>2020</c:v>
                </c:pt>
                <c:pt idx="146">
                  <c:v>#N/A</c:v>
                </c:pt>
                <c:pt idx="147">
                  <c:v>2019</c:v>
                </c:pt>
                <c:pt idx="148">
                  <c:v>#N/A</c:v>
                </c:pt>
                <c:pt idx="149">
                  <c:v>#N/A</c:v>
                </c:pt>
                <c:pt idx="150">
                  <c:v>#N/A</c:v>
                </c:pt>
                <c:pt idx="151">
                  <c:v>#N/A</c:v>
                </c:pt>
                <c:pt idx="152">
                  <c:v>#N/A</c:v>
                </c:pt>
                <c:pt idx="153">
                  <c:v>#N/A</c:v>
                </c:pt>
                <c:pt idx="154">
                  <c:v>2018</c:v>
                </c:pt>
                <c:pt idx="155">
                  <c:v>#N/A</c:v>
                </c:pt>
                <c:pt idx="156">
                  <c:v>2016</c:v>
                </c:pt>
                <c:pt idx="157">
                  <c:v>2020</c:v>
                </c:pt>
                <c:pt idx="158">
                  <c:v>#N/A</c:v>
                </c:pt>
                <c:pt idx="159">
                  <c:v>2026</c:v>
                </c:pt>
                <c:pt idx="160">
                  <c:v>#N/A</c:v>
                </c:pt>
                <c:pt idx="161">
                  <c:v>#N/A</c:v>
                </c:pt>
                <c:pt idx="162">
                  <c:v>#N/A</c:v>
                </c:pt>
                <c:pt idx="163">
                  <c:v>#N/A</c:v>
                </c:pt>
                <c:pt idx="164">
                  <c:v>2015</c:v>
                </c:pt>
                <c:pt idx="165">
                  <c:v>2023</c:v>
                </c:pt>
                <c:pt idx="166">
                  <c:v>#N/A</c:v>
                </c:pt>
                <c:pt idx="167">
                  <c:v>#N/A</c:v>
                </c:pt>
                <c:pt idx="168">
                  <c:v>#N/A</c:v>
                </c:pt>
                <c:pt idx="169">
                  <c:v>#N/A</c:v>
                </c:pt>
                <c:pt idx="170">
                  <c:v>2026</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2019</c:v>
                </c:pt>
                <c:pt idx="187">
                  <c:v>#N/A</c:v>
                </c:pt>
                <c:pt idx="188">
                  <c:v>2022</c:v>
                </c:pt>
                <c:pt idx="189">
                  <c:v>#N/A</c:v>
                </c:pt>
                <c:pt idx="190">
                  <c:v>#N/A</c:v>
                </c:pt>
                <c:pt idx="191">
                  <c:v>#N/A</c:v>
                </c:pt>
                <c:pt idx="192">
                  <c:v>#N/A</c:v>
                </c:pt>
                <c:pt idx="193">
                  <c:v>#N/A</c:v>
                </c:pt>
                <c:pt idx="194">
                  <c:v>#N/A</c:v>
                </c:pt>
                <c:pt idx="195">
                  <c:v>#N/A</c:v>
                </c:pt>
                <c:pt idx="196">
                  <c:v>2025</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2022</c:v>
                </c:pt>
                <c:pt idx="211">
                  <c:v>#N/A</c:v>
                </c:pt>
                <c:pt idx="212">
                  <c:v>#N/A</c:v>
                </c:pt>
                <c:pt idx="213">
                  <c:v>#N/A</c:v>
                </c:pt>
                <c:pt idx="214">
                  <c:v>#N/A</c:v>
                </c:pt>
                <c:pt idx="215">
                  <c:v>2019</c:v>
                </c:pt>
                <c:pt idx="216">
                  <c:v>#N/A</c:v>
                </c:pt>
                <c:pt idx="217">
                  <c:v>#N/A</c:v>
                </c:pt>
                <c:pt idx="218">
                  <c:v>#N/A</c:v>
                </c:pt>
                <c:pt idx="219">
                  <c:v>#N/A</c:v>
                </c:pt>
                <c:pt idx="220">
                  <c:v>2025</c:v>
                </c:pt>
                <c:pt idx="221">
                  <c:v>#N/A</c:v>
                </c:pt>
                <c:pt idx="222">
                  <c:v>#N/A</c:v>
                </c:pt>
                <c:pt idx="223">
                  <c:v>2024</c:v>
                </c:pt>
                <c:pt idx="224">
                  <c:v>2025</c:v>
                </c:pt>
                <c:pt idx="225">
                  <c:v>2025</c:v>
                </c:pt>
                <c:pt idx="226">
                  <c:v>#N/A</c:v>
                </c:pt>
                <c:pt idx="227">
                  <c:v>#N/A</c:v>
                </c:pt>
                <c:pt idx="228">
                  <c:v>2021</c:v>
                </c:pt>
                <c:pt idx="229">
                  <c:v>#N/A</c:v>
                </c:pt>
                <c:pt idx="230">
                  <c:v>#N/A</c:v>
                </c:pt>
                <c:pt idx="231">
                  <c:v>#N/A</c:v>
                </c:pt>
                <c:pt idx="232">
                  <c:v>2016</c:v>
                </c:pt>
                <c:pt idx="233">
                  <c:v>#N/A</c:v>
                </c:pt>
                <c:pt idx="234">
                  <c:v>#N/A</c:v>
                </c:pt>
                <c:pt idx="235">
                  <c:v>#N/A</c:v>
                </c:pt>
                <c:pt idx="236">
                  <c:v>#N/A</c:v>
                </c:pt>
                <c:pt idx="237">
                  <c:v>#N/A</c:v>
                </c:pt>
                <c:pt idx="238">
                  <c:v>#N/A</c:v>
                </c:pt>
                <c:pt idx="239">
                  <c:v>2006</c:v>
                </c:pt>
                <c:pt idx="240">
                  <c:v>2023</c:v>
                </c:pt>
                <c:pt idx="241">
                  <c:v>#N/A</c:v>
                </c:pt>
                <c:pt idx="242">
                  <c:v>#N/A</c:v>
                </c:pt>
                <c:pt idx="243">
                  <c:v>#N/A</c:v>
                </c:pt>
                <c:pt idx="244">
                  <c:v>#N/A</c:v>
                </c:pt>
                <c:pt idx="245">
                  <c:v>#N/A</c:v>
                </c:pt>
                <c:pt idx="246">
                  <c:v>#N/A</c:v>
                </c:pt>
                <c:pt idx="247">
                  <c:v>#N/A</c:v>
                </c:pt>
                <c:pt idx="248">
                  <c:v>2024</c:v>
                </c:pt>
                <c:pt idx="249">
                  <c:v>#N/A</c:v>
                </c:pt>
                <c:pt idx="250">
                  <c:v>#N/A</c:v>
                </c:pt>
                <c:pt idx="251">
                  <c:v>#N/A</c:v>
                </c:pt>
                <c:pt idx="252">
                  <c:v>2025</c:v>
                </c:pt>
                <c:pt idx="253">
                  <c:v>#N/A</c:v>
                </c:pt>
                <c:pt idx="254">
                  <c:v>#N/A</c:v>
                </c:pt>
                <c:pt idx="255">
                  <c:v>#N/A</c:v>
                </c:pt>
                <c:pt idx="256">
                  <c:v>#N/A</c:v>
                </c:pt>
                <c:pt idx="257">
                  <c:v>#N/A</c:v>
                </c:pt>
                <c:pt idx="258">
                  <c:v>#N/A</c:v>
                </c:pt>
                <c:pt idx="259">
                  <c:v>#N/A</c:v>
                </c:pt>
                <c:pt idx="260">
                  <c:v>#N/A</c:v>
                </c:pt>
                <c:pt idx="261">
                  <c:v>2018</c:v>
                </c:pt>
                <c:pt idx="262">
                  <c:v>2024</c:v>
                </c:pt>
                <c:pt idx="263">
                  <c:v>#N/A</c:v>
                </c:pt>
                <c:pt idx="264">
                  <c:v>#N/A</c:v>
                </c:pt>
                <c:pt idx="265">
                  <c:v>#N/A</c:v>
                </c:pt>
                <c:pt idx="266">
                  <c:v>#N/A</c:v>
                </c:pt>
                <c:pt idx="267">
                  <c:v>2025</c:v>
                </c:pt>
                <c:pt idx="268">
                  <c:v>#N/A</c:v>
                </c:pt>
                <c:pt idx="269">
                  <c:v>#N/A</c:v>
                </c:pt>
                <c:pt idx="270">
                  <c:v>#N/A</c:v>
                </c:pt>
                <c:pt idx="271">
                  <c:v>2018</c:v>
                </c:pt>
                <c:pt idx="272">
                  <c:v>2023</c:v>
                </c:pt>
                <c:pt idx="273">
                  <c:v>#N/A</c:v>
                </c:pt>
                <c:pt idx="274">
                  <c:v>#N/A</c:v>
                </c:pt>
                <c:pt idx="275">
                  <c:v>2022</c:v>
                </c:pt>
                <c:pt idx="276">
                  <c:v>#N/A</c:v>
                </c:pt>
                <c:pt idx="277">
                  <c:v>#N/A</c:v>
                </c:pt>
                <c:pt idx="278">
                  <c:v>#N/A</c:v>
                </c:pt>
                <c:pt idx="279">
                  <c:v>2012</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2025</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2017</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2025</c:v>
                </c:pt>
                <c:pt idx="345">
                  <c:v>2026</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2015</c:v>
                </c:pt>
                <c:pt idx="361">
                  <c:v>#N/A</c:v>
                </c:pt>
                <c:pt idx="362">
                  <c:v>2023</c:v>
                </c:pt>
                <c:pt idx="363">
                  <c:v>#N/A</c:v>
                </c:pt>
                <c:pt idx="364">
                  <c:v>2021</c:v>
                </c:pt>
                <c:pt idx="365">
                  <c:v>2018</c:v>
                </c:pt>
                <c:pt idx="366">
                  <c:v>#N/A</c:v>
                </c:pt>
                <c:pt idx="367">
                  <c:v>2019</c:v>
                </c:pt>
                <c:pt idx="368">
                  <c:v>#N/A</c:v>
                </c:pt>
                <c:pt idx="369">
                  <c:v>#N/A</c:v>
                </c:pt>
                <c:pt idx="370">
                  <c:v>#N/A</c:v>
                </c:pt>
                <c:pt idx="371">
                  <c:v>#N/A</c:v>
                </c:pt>
                <c:pt idx="372">
                  <c:v>#N/A</c:v>
                </c:pt>
                <c:pt idx="373">
                  <c:v>#N/A</c:v>
                </c:pt>
                <c:pt idx="374">
                  <c:v>#N/A</c:v>
                </c:pt>
                <c:pt idx="375">
                  <c:v>2024</c:v>
                </c:pt>
                <c:pt idx="376">
                  <c:v>#N/A</c:v>
                </c:pt>
                <c:pt idx="377">
                  <c:v>#N/A</c:v>
                </c:pt>
                <c:pt idx="378">
                  <c:v>#N/A</c:v>
                </c:pt>
                <c:pt idx="379">
                  <c:v>2025</c:v>
                </c:pt>
                <c:pt idx="380">
                  <c:v>#N/A</c:v>
                </c:pt>
                <c:pt idx="381">
                  <c:v>2016</c:v>
                </c:pt>
                <c:pt idx="382">
                  <c:v>#N/A</c:v>
                </c:pt>
                <c:pt idx="383">
                  <c:v>2025</c:v>
                </c:pt>
                <c:pt idx="384">
                  <c:v>#N/A</c:v>
                </c:pt>
                <c:pt idx="385">
                  <c:v>#N/A</c:v>
                </c:pt>
                <c:pt idx="386">
                  <c:v>#N/A</c:v>
                </c:pt>
                <c:pt idx="387">
                  <c:v>#N/A</c:v>
                </c:pt>
                <c:pt idx="388">
                  <c:v>#N/A</c:v>
                </c:pt>
                <c:pt idx="389">
                  <c:v>#N/A</c:v>
                </c:pt>
                <c:pt idx="390">
                  <c:v>2019</c:v>
                </c:pt>
                <c:pt idx="391">
                  <c:v>#N/A</c:v>
                </c:pt>
                <c:pt idx="392">
                  <c:v>#N/A</c:v>
                </c:pt>
                <c:pt idx="393">
                  <c:v>2023</c:v>
                </c:pt>
                <c:pt idx="394">
                  <c:v>#N/A</c:v>
                </c:pt>
                <c:pt idx="395">
                  <c:v>#N/A</c:v>
                </c:pt>
                <c:pt idx="396">
                  <c:v>2024</c:v>
                </c:pt>
                <c:pt idx="397">
                  <c:v>2021</c:v>
                </c:pt>
                <c:pt idx="398">
                  <c:v>2017</c:v>
                </c:pt>
                <c:pt idx="399">
                  <c:v>2022</c:v>
                </c:pt>
                <c:pt idx="400">
                  <c:v>2025</c:v>
                </c:pt>
                <c:pt idx="401">
                  <c:v>#N/A</c:v>
                </c:pt>
                <c:pt idx="402">
                  <c:v>#N/A</c:v>
                </c:pt>
                <c:pt idx="403">
                  <c:v>#N/A</c:v>
                </c:pt>
                <c:pt idx="404">
                  <c:v>#N/A</c:v>
                </c:pt>
                <c:pt idx="405">
                  <c:v>#N/A</c:v>
                </c:pt>
                <c:pt idx="406">
                  <c:v>#N/A</c:v>
                </c:pt>
                <c:pt idx="407">
                  <c:v>#N/A</c:v>
                </c:pt>
                <c:pt idx="408">
                  <c:v>#N/A</c:v>
                </c:pt>
                <c:pt idx="409">
                  <c:v>#N/A</c:v>
                </c:pt>
                <c:pt idx="410">
                  <c:v>2026</c:v>
                </c:pt>
                <c:pt idx="411">
                  <c:v>#N/A</c:v>
                </c:pt>
                <c:pt idx="412">
                  <c:v>#N/A</c:v>
                </c:pt>
                <c:pt idx="413">
                  <c:v>#N/A</c:v>
                </c:pt>
                <c:pt idx="414">
                  <c:v>#N/A</c:v>
                </c:pt>
                <c:pt idx="415">
                  <c:v>#N/A</c:v>
                </c:pt>
                <c:pt idx="416">
                  <c:v>#N/A</c:v>
                </c:pt>
                <c:pt idx="417">
                  <c:v>#N/A</c:v>
                </c:pt>
                <c:pt idx="418">
                  <c:v>#N/A</c:v>
                </c:pt>
                <c:pt idx="419">
                  <c:v>#N/A</c:v>
                </c:pt>
                <c:pt idx="420">
                  <c:v>2022</c:v>
                </c:pt>
                <c:pt idx="421">
                  <c:v>#N/A</c:v>
                </c:pt>
                <c:pt idx="422">
                  <c:v>#N/A</c:v>
                </c:pt>
                <c:pt idx="423">
                  <c:v>#N/A</c:v>
                </c:pt>
                <c:pt idx="424">
                  <c:v>#N/A</c:v>
                </c:pt>
                <c:pt idx="425">
                  <c:v>#N/A</c:v>
                </c:pt>
                <c:pt idx="426">
                  <c:v>2024</c:v>
                </c:pt>
                <c:pt idx="427">
                  <c:v>#N/A</c:v>
                </c:pt>
                <c:pt idx="428">
                  <c:v>#N/A</c:v>
                </c:pt>
                <c:pt idx="429">
                  <c:v>2026</c:v>
                </c:pt>
                <c:pt idx="430">
                  <c:v>#N/A</c:v>
                </c:pt>
                <c:pt idx="431">
                  <c:v>2024</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2024</c:v>
                </c:pt>
                <c:pt idx="469">
                  <c:v>#N/A</c:v>
                </c:pt>
                <c:pt idx="470">
                  <c:v>#N/A</c:v>
                </c:pt>
                <c:pt idx="471">
                  <c:v>#N/A</c:v>
                </c:pt>
                <c:pt idx="472">
                  <c:v>#N/A</c:v>
                </c:pt>
                <c:pt idx="473">
                  <c:v>#N/A</c:v>
                </c:pt>
                <c:pt idx="474">
                  <c:v>#N/A</c:v>
                </c:pt>
                <c:pt idx="475">
                  <c:v>#N/A</c:v>
                </c:pt>
                <c:pt idx="476">
                  <c:v>#N/A</c:v>
                </c:pt>
                <c:pt idx="477">
                  <c:v>#N/A</c:v>
                </c:pt>
                <c:pt idx="478">
                  <c:v>#N/A</c:v>
                </c:pt>
                <c:pt idx="479">
                  <c:v>2024</c:v>
                </c:pt>
                <c:pt idx="480">
                  <c:v>#N/A</c:v>
                </c:pt>
                <c:pt idx="481">
                  <c:v>#N/A</c:v>
                </c:pt>
                <c:pt idx="482">
                  <c:v>#N/A</c:v>
                </c:pt>
                <c:pt idx="483">
                  <c:v>#N/A</c:v>
                </c:pt>
                <c:pt idx="484">
                  <c:v>2025</c:v>
                </c:pt>
                <c:pt idx="485">
                  <c:v>#N/A</c:v>
                </c:pt>
                <c:pt idx="486">
                  <c:v>2025</c:v>
                </c:pt>
                <c:pt idx="487">
                  <c:v>#N/A</c:v>
                </c:pt>
                <c:pt idx="488">
                  <c:v>#N/A</c:v>
                </c:pt>
                <c:pt idx="489">
                  <c:v>2024</c:v>
                </c:pt>
                <c:pt idx="490">
                  <c:v>#N/A</c:v>
                </c:pt>
                <c:pt idx="491">
                  <c:v>#N/A</c:v>
                </c:pt>
                <c:pt idx="492">
                  <c:v>2026</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2025</c:v>
                </c:pt>
                <c:pt idx="509">
                  <c:v>#N/A</c:v>
                </c:pt>
                <c:pt idx="510">
                  <c:v>#N/A</c:v>
                </c:pt>
                <c:pt idx="511">
                  <c:v>#N/A</c:v>
                </c:pt>
                <c:pt idx="512">
                  <c:v>2025</c:v>
                </c:pt>
                <c:pt idx="513">
                  <c:v>#N/A</c:v>
                </c:pt>
                <c:pt idx="514">
                  <c:v>#N/A</c:v>
                </c:pt>
                <c:pt idx="515">
                  <c:v>#N/A</c:v>
                </c:pt>
                <c:pt idx="516">
                  <c:v>#N/A</c:v>
                </c:pt>
                <c:pt idx="517">
                  <c:v>2021</c:v>
                </c:pt>
                <c:pt idx="518">
                  <c:v>#N/A</c:v>
                </c:pt>
                <c:pt idx="519">
                  <c:v>#N/A</c:v>
                </c:pt>
                <c:pt idx="520">
                  <c:v>#N/A</c:v>
                </c:pt>
                <c:pt idx="521">
                  <c:v>#N/A</c:v>
                </c:pt>
                <c:pt idx="522">
                  <c:v>#N/A</c:v>
                </c:pt>
                <c:pt idx="523">
                  <c:v>2022</c:v>
                </c:pt>
                <c:pt idx="524">
                  <c:v>#N/A</c:v>
                </c:pt>
                <c:pt idx="525">
                  <c:v>#N/A</c:v>
                </c:pt>
                <c:pt idx="526">
                  <c:v>#N/A</c:v>
                </c:pt>
                <c:pt idx="527">
                  <c:v>#N/A</c:v>
                </c:pt>
                <c:pt idx="528">
                  <c:v>#N/A</c:v>
                </c:pt>
                <c:pt idx="529">
                  <c:v>2026</c:v>
                </c:pt>
                <c:pt idx="530">
                  <c:v>2021</c:v>
                </c:pt>
                <c:pt idx="531">
                  <c:v>2026</c:v>
                </c:pt>
                <c:pt idx="532">
                  <c:v>#N/A</c:v>
                </c:pt>
                <c:pt idx="533">
                  <c:v>#N/A</c:v>
                </c:pt>
                <c:pt idx="534">
                  <c:v>#N/A</c:v>
                </c:pt>
                <c:pt idx="535">
                  <c:v>#N/A</c:v>
                </c:pt>
                <c:pt idx="536">
                  <c:v>#N/A</c:v>
                </c:pt>
                <c:pt idx="537">
                  <c:v>#N/A</c:v>
                </c:pt>
                <c:pt idx="538">
                  <c:v>2024</c:v>
                </c:pt>
                <c:pt idx="539">
                  <c:v>2025</c:v>
                </c:pt>
                <c:pt idx="540">
                  <c:v>2020</c:v>
                </c:pt>
                <c:pt idx="541">
                  <c:v>#N/A</c:v>
                </c:pt>
                <c:pt idx="542">
                  <c:v>#N/A</c:v>
                </c:pt>
                <c:pt idx="543">
                  <c:v>2026</c:v>
                </c:pt>
                <c:pt idx="544">
                  <c:v>#N/A</c:v>
                </c:pt>
                <c:pt idx="545">
                  <c:v>#N/A</c:v>
                </c:pt>
                <c:pt idx="546">
                  <c:v>#N/A</c:v>
                </c:pt>
                <c:pt idx="547">
                  <c:v>#N/A</c:v>
                </c:pt>
                <c:pt idx="548">
                  <c:v>#N/A</c:v>
                </c:pt>
                <c:pt idx="549">
                  <c:v>2024</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2020</c:v>
                </c:pt>
                <c:pt idx="570">
                  <c:v>#N/A</c:v>
                </c:pt>
                <c:pt idx="571">
                  <c:v>#N/A</c:v>
                </c:pt>
                <c:pt idx="572">
                  <c:v>#N/A</c:v>
                </c:pt>
                <c:pt idx="573">
                  <c:v>#N/A</c:v>
                </c:pt>
                <c:pt idx="574">
                  <c:v>#N/A</c:v>
                </c:pt>
                <c:pt idx="575">
                  <c:v>2014</c:v>
                </c:pt>
                <c:pt idx="576">
                  <c:v>#N/A</c:v>
                </c:pt>
                <c:pt idx="577">
                  <c:v>#N/A</c:v>
                </c:pt>
                <c:pt idx="578">
                  <c:v>#N/A</c:v>
                </c:pt>
                <c:pt idx="579">
                  <c:v>2024</c:v>
                </c:pt>
                <c:pt idx="580">
                  <c:v>#N/A</c:v>
                </c:pt>
                <c:pt idx="581">
                  <c:v>#N/A</c:v>
                </c:pt>
                <c:pt idx="582">
                  <c:v>#N/A</c:v>
                </c:pt>
                <c:pt idx="583">
                  <c:v>#N/A</c:v>
                </c:pt>
                <c:pt idx="584">
                  <c:v>#N/A</c:v>
                </c:pt>
                <c:pt idx="585">
                  <c:v>#N/A</c:v>
                </c:pt>
                <c:pt idx="586">
                  <c:v>2021</c:v>
                </c:pt>
                <c:pt idx="587">
                  <c:v>2022</c:v>
                </c:pt>
                <c:pt idx="588">
                  <c:v>#N/A</c:v>
                </c:pt>
                <c:pt idx="589">
                  <c:v>2016</c:v>
                </c:pt>
                <c:pt idx="590">
                  <c:v>#N/A</c:v>
                </c:pt>
                <c:pt idx="591">
                  <c:v>#N/A</c:v>
                </c:pt>
                <c:pt idx="592">
                  <c:v>#N/A</c:v>
                </c:pt>
                <c:pt idx="593">
                  <c:v>#N/A</c:v>
                </c:pt>
                <c:pt idx="594">
                  <c:v>#N/A</c:v>
                </c:pt>
                <c:pt idx="595">
                  <c:v>2022</c:v>
                </c:pt>
                <c:pt idx="596">
                  <c:v>2021</c:v>
                </c:pt>
                <c:pt idx="597">
                  <c:v>2024</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2025</c:v>
                </c:pt>
                <c:pt idx="613">
                  <c:v>#N/A</c:v>
                </c:pt>
                <c:pt idx="614">
                  <c:v>#N/A</c:v>
                </c:pt>
                <c:pt idx="615">
                  <c:v>#N/A</c:v>
                </c:pt>
                <c:pt idx="616">
                  <c:v>#N/A</c:v>
                </c:pt>
                <c:pt idx="617">
                  <c:v>2025</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2023</c:v>
                </c:pt>
                <c:pt idx="631">
                  <c:v>#N/A</c:v>
                </c:pt>
                <c:pt idx="632">
                  <c:v>2022</c:v>
                </c:pt>
                <c:pt idx="633">
                  <c:v>#N/A</c:v>
                </c:pt>
                <c:pt idx="634">
                  <c:v>#N/A</c:v>
                </c:pt>
                <c:pt idx="635">
                  <c:v>2026</c:v>
                </c:pt>
                <c:pt idx="636">
                  <c:v>#N/A</c:v>
                </c:pt>
                <c:pt idx="637">
                  <c:v>#N/A</c:v>
                </c:pt>
                <c:pt idx="638">
                  <c:v>#N/A</c:v>
                </c:pt>
                <c:pt idx="639">
                  <c:v>#N/A</c:v>
                </c:pt>
                <c:pt idx="640">
                  <c:v>#N/A</c:v>
                </c:pt>
                <c:pt idx="641">
                  <c:v>#N/A</c:v>
                </c:pt>
                <c:pt idx="642">
                  <c:v>#N/A</c:v>
                </c:pt>
                <c:pt idx="643">
                  <c:v>#N/A</c:v>
                </c:pt>
                <c:pt idx="644">
                  <c:v>2018</c:v>
                </c:pt>
                <c:pt idx="645">
                  <c:v>#N/A</c:v>
                </c:pt>
                <c:pt idx="646">
                  <c:v>#N/A</c:v>
                </c:pt>
                <c:pt idx="647">
                  <c:v>#N/A</c:v>
                </c:pt>
                <c:pt idx="648">
                  <c:v>#N/A</c:v>
                </c:pt>
                <c:pt idx="649">
                  <c:v>#N/A</c:v>
                </c:pt>
                <c:pt idx="650">
                  <c:v>#N/A</c:v>
                </c:pt>
                <c:pt idx="651">
                  <c:v>2025</c:v>
                </c:pt>
                <c:pt idx="652">
                  <c:v>#N/A</c:v>
                </c:pt>
                <c:pt idx="653">
                  <c:v>#N/A</c:v>
                </c:pt>
                <c:pt idx="654">
                  <c:v>#N/A</c:v>
                </c:pt>
                <c:pt idx="655">
                  <c:v>#N/A</c:v>
                </c:pt>
                <c:pt idx="656">
                  <c:v>#N/A</c:v>
                </c:pt>
                <c:pt idx="657">
                  <c:v>#N/A</c:v>
                </c:pt>
                <c:pt idx="658">
                  <c:v>#N/A</c:v>
                </c:pt>
                <c:pt idx="659">
                  <c:v>#N/A</c:v>
                </c:pt>
                <c:pt idx="660">
                  <c:v>2023</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2023</c:v>
                </c:pt>
                <c:pt idx="680">
                  <c:v>#N/A</c:v>
                </c:pt>
                <c:pt idx="681">
                  <c:v>2002</c:v>
                </c:pt>
                <c:pt idx="682">
                  <c:v>#N/A</c:v>
                </c:pt>
                <c:pt idx="683">
                  <c:v>#N/A</c:v>
                </c:pt>
                <c:pt idx="684">
                  <c:v>#N/A</c:v>
                </c:pt>
                <c:pt idx="685">
                  <c:v>2015</c:v>
                </c:pt>
                <c:pt idx="686">
                  <c:v>2021</c:v>
                </c:pt>
                <c:pt idx="687">
                  <c:v>#N/A</c:v>
                </c:pt>
                <c:pt idx="688">
                  <c:v>2025</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2026</c:v>
                </c:pt>
                <c:pt idx="703">
                  <c:v>#N/A</c:v>
                </c:pt>
                <c:pt idx="704">
                  <c:v>#N/A</c:v>
                </c:pt>
                <c:pt idx="705">
                  <c:v>#N/A</c:v>
                </c:pt>
                <c:pt idx="706">
                  <c:v>#N/A</c:v>
                </c:pt>
                <c:pt idx="707">
                  <c:v>#N/A</c:v>
                </c:pt>
                <c:pt idx="708">
                  <c:v>2026</c:v>
                </c:pt>
                <c:pt idx="709">
                  <c:v>#N/A</c:v>
                </c:pt>
                <c:pt idx="710">
                  <c:v>#N/A</c:v>
                </c:pt>
                <c:pt idx="711">
                  <c:v>2019</c:v>
                </c:pt>
                <c:pt idx="712">
                  <c:v>#N/A</c:v>
                </c:pt>
                <c:pt idx="713">
                  <c:v>#N/A</c:v>
                </c:pt>
                <c:pt idx="714">
                  <c:v>#N/A</c:v>
                </c:pt>
                <c:pt idx="715">
                  <c:v>2022</c:v>
                </c:pt>
                <c:pt idx="716">
                  <c:v>#N/A</c:v>
                </c:pt>
                <c:pt idx="717">
                  <c:v>#N/A</c:v>
                </c:pt>
                <c:pt idx="718">
                  <c:v>2025</c:v>
                </c:pt>
                <c:pt idx="719">
                  <c:v>#N/A</c:v>
                </c:pt>
                <c:pt idx="720">
                  <c:v>#N/A</c:v>
                </c:pt>
                <c:pt idx="721">
                  <c:v>#N/A</c:v>
                </c:pt>
                <c:pt idx="722">
                  <c:v>#N/A</c:v>
                </c:pt>
                <c:pt idx="723">
                  <c:v>#N/A</c:v>
                </c:pt>
                <c:pt idx="724">
                  <c:v>#N/A</c:v>
                </c:pt>
                <c:pt idx="725">
                  <c:v>#N/A</c:v>
                </c:pt>
                <c:pt idx="726">
                  <c:v>2025</c:v>
                </c:pt>
                <c:pt idx="727">
                  <c:v>2024</c:v>
                </c:pt>
                <c:pt idx="728">
                  <c:v>#N/A</c:v>
                </c:pt>
                <c:pt idx="729">
                  <c:v>2021</c:v>
                </c:pt>
                <c:pt idx="730">
                  <c:v>2019</c:v>
                </c:pt>
                <c:pt idx="731">
                  <c:v>#N/A</c:v>
                </c:pt>
                <c:pt idx="732">
                  <c:v>2023</c:v>
                </c:pt>
                <c:pt idx="733">
                  <c:v>#N/A</c:v>
                </c:pt>
                <c:pt idx="734">
                  <c:v>#N/A</c:v>
                </c:pt>
                <c:pt idx="735">
                  <c:v>#N/A</c:v>
                </c:pt>
                <c:pt idx="736">
                  <c:v>#N/A</c:v>
                </c:pt>
                <c:pt idx="737">
                  <c:v>#N/A</c:v>
                </c:pt>
                <c:pt idx="738">
                  <c:v>#N/A</c:v>
                </c:pt>
                <c:pt idx="739">
                  <c:v>#N/A</c:v>
                </c:pt>
                <c:pt idx="740">
                  <c:v>2025</c:v>
                </c:pt>
                <c:pt idx="741">
                  <c:v>#N/A</c:v>
                </c:pt>
                <c:pt idx="742">
                  <c:v>#N/A</c:v>
                </c:pt>
                <c:pt idx="743">
                  <c:v>#N/A</c:v>
                </c:pt>
                <c:pt idx="744">
                  <c:v>#N/A</c:v>
                </c:pt>
                <c:pt idx="745">
                  <c:v>#N/A</c:v>
                </c:pt>
                <c:pt idx="746">
                  <c:v>2022</c:v>
                </c:pt>
                <c:pt idx="747">
                  <c:v>#N/A</c:v>
                </c:pt>
                <c:pt idx="748">
                  <c:v>#N/A</c:v>
                </c:pt>
                <c:pt idx="749">
                  <c:v>#N/A</c:v>
                </c:pt>
                <c:pt idx="750">
                  <c:v>#N/A</c:v>
                </c:pt>
                <c:pt idx="751">
                  <c:v>#N/A</c:v>
                </c:pt>
                <c:pt idx="752">
                  <c:v>#N/A</c:v>
                </c:pt>
                <c:pt idx="753">
                  <c:v>#N/A</c:v>
                </c:pt>
                <c:pt idx="754">
                  <c:v>#N/A</c:v>
                </c:pt>
                <c:pt idx="755">
                  <c:v>#N/A</c:v>
                </c:pt>
                <c:pt idx="756">
                  <c:v>#N/A</c:v>
                </c:pt>
                <c:pt idx="757">
                  <c:v>2025</c:v>
                </c:pt>
                <c:pt idx="758">
                  <c:v>#N/A</c:v>
                </c:pt>
                <c:pt idx="759">
                  <c:v>2024</c:v>
                </c:pt>
                <c:pt idx="760">
                  <c:v>#N/A</c:v>
                </c:pt>
                <c:pt idx="761">
                  <c:v>#N/A</c:v>
                </c:pt>
                <c:pt idx="762">
                  <c:v>#N/A</c:v>
                </c:pt>
                <c:pt idx="763">
                  <c:v>#N/A</c:v>
                </c:pt>
                <c:pt idx="764">
                  <c:v>#N/A</c:v>
                </c:pt>
                <c:pt idx="765">
                  <c:v>#N/A</c:v>
                </c:pt>
                <c:pt idx="766">
                  <c:v>#N/A</c:v>
                </c:pt>
                <c:pt idx="767">
                  <c:v>#N/A</c:v>
                </c:pt>
                <c:pt idx="768">
                  <c:v>#N/A</c:v>
                </c:pt>
                <c:pt idx="769">
                  <c:v>#N/A</c:v>
                </c:pt>
                <c:pt idx="770">
                  <c:v>2021</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2024</c:v>
                </c:pt>
                <c:pt idx="790">
                  <c:v>#N/A</c:v>
                </c:pt>
                <c:pt idx="791">
                  <c:v>#N/A</c:v>
                </c:pt>
                <c:pt idx="792">
                  <c:v>#N/A</c:v>
                </c:pt>
                <c:pt idx="793">
                  <c:v>2023</c:v>
                </c:pt>
                <c:pt idx="794">
                  <c:v>2025</c:v>
                </c:pt>
                <c:pt idx="795">
                  <c:v>#N/A</c:v>
                </c:pt>
                <c:pt idx="796">
                  <c:v>#N/A</c:v>
                </c:pt>
                <c:pt idx="797">
                  <c:v>#N/A</c:v>
                </c:pt>
                <c:pt idx="798">
                  <c:v>2017</c:v>
                </c:pt>
                <c:pt idx="799">
                  <c:v>#N/A</c:v>
                </c:pt>
                <c:pt idx="800">
                  <c:v>2012</c:v>
                </c:pt>
                <c:pt idx="801">
                  <c:v>#N/A</c:v>
                </c:pt>
                <c:pt idx="802">
                  <c:v>2005</c:v>
                </c:pt>
                <c:pt idx="803">
                  <c:v>#N/A</c:v>
                </c:pt>
                <c:pt idx="804">
                  <c:v>#N/A</c:v>
                </c:pt>
                <c:pt idx="805">
                  <c:v>#N/A</c:v>
                </c:pt>
                <c:pt idx="806">
                  <c:v>#N/A</c:v>
                </c:pt>
                <c:pt idx="807">
                  <c:v>2019</c:v>
                </c:pt>
                <c:pt idx="808">
                  <c:v>#N/A</c:v>
                </c:pt>
                <c:pt idx="809">
                  <c:v>#N/A</c:v>
                </c:pt>
                <c:pt idx="810">
                  <c:v>#N/A</c:v>
                </c:pt>
                <c:pt idx="811">
                  <c:v>2026</c:v>
                </c:pt>
                <c:pt idx="812">
                  <c:v>#N/A</c:v>
                </c:pt>
                <c:pt idx="813">
                  <c:v>#N/A</c:v>
                </c:pt>
                <c:pt idx="814">
                  <c:v>#N/A</c:v>
                </c:pt>
                <c:pt idx="815">
                  <c:v>#N/A</c:v>
                </c:pt>
                <c:pt idx="816">
                  <c:v>2021</c:v>
                </c:pt>
                <c:pt idx="817">
                  <c:v>#N/A</c:v>
                </c:pt>
                <c:pt idx="818">
                  <c:v>#N/A</c:v>
                </c:pt>
              </c:numCache>
            </c:numRef>
          </c:xVal>
          <c:yVal>
            <c:numRef>
              <c:f>'Map Calc'!$J$1:$J$820</c:f>
              <c:numCache>
                <c:formatCode>General</c:formatCode>
                <c:ptCount val="82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2.2069999999999999</c:v>
                </c:pt>
                <c:pt idx="43">
                  <c:v>#N/A</c:v>
                </c:pt>
                <c:pt idx="44">
                  <c:v>#N/A</c:v>
                </c:pt>
                <c:pt idx="45">
                  <c:v>#N/A</c:v>
                </c:pt>
                <c:pt idx="46">
                  <c:v>2.2989999999999999</c:v>
                </c:pt>
                <c:pt idx="47">
                  <c:v>2.3220000000000001</c:v>
                </c:pt>
                <c:pt idx="48">
                  <c:v>#N/A</c:v>
                </c:pt>
                <c:pt idx="49">
                  <c:v>2.3679999999999999</c:v>
                </c:pt>
                <c:pt idx="50">
                  <c:v>#N/A</c:v>
                </c:pt>
                <c:pt idx="51">
                  <c:v>2.4140000000000001</c:v>
                </c:pt>
                <c:pt idx="52">
                  <c:v>#N/A</c:v>
                </c:pt>
                <c:pt idx="53">
                  <c:v>2.46</c:v>
                </c:pt>
                <c:pt idx="54">
                  <c:v>#N/A</c:v>
                </c:pt>
                <c:pt idx="55">
                  <c:v>#N/A</c:v>
                </c:pt>
                <c:pt idx="56">
                  <c:v>#N/A</c:v>
                </c:pt>
                <c:pt idx="57">
                  <c:v>2.552</c:v>
                </c:pt>
                <c:pt idx="58">
                  <c:v>#N/A</c:v>
                </c:pt>
                <c:pt idx="59">
                  <c:v>#N/A</c:v>
                </c:pt>
                <c:pt idx="60">
                  <c:v>#N/A</c:v>
                </c:pt>
                <c:pt idx="61">
                  <c:v>2.6440000000000001</c:v>
                </c:pt>
                <c:pt idx="62">
                  <c:v>#N/A</c:v>
                </c:pt>
                <c:pt idx="63">
                  <c:v>#N/A</c:v>
                </c:pt>
                <c:pt idx="64">
                  <c:v>#N/A</c:v>
                </c:pt>
                <c:pt idx="65">
                  <c:v>#N/A</c:v>
                </c:pt>
                <c:pt idx="66">
                  <c:v>2.7589999999999999</c:v>
                </c:pt>
                <c:pt idx="67">
                  <c:v>#N/A</c:v>
                </c:pt>
                <c:pt idx="68">
                  <c:v>#N/A</c:v>
                </c:pt>
                <c:pt idx="69">
                  <c:v>#N/A</c:v>
                </c:pt>
                <c:pt idx="70">
                  <c:v>#N/A</c:v>
                </c:pt>
                <c:pt idx="71">
                  <c:v>#N/A</c:v>
                </c:pt>
                <c:pt idx="72">
                  <c:v>#N/A</c:v>
                </c:pt>
                <c:pt idx="73">
                  <c:v>#N/A</c:v>
                </c:pt>
                <c:pt idx="74">
                  <c:v>#N/A</c:v>
                </c:pt>
                <c:pt idx="75">
                  <c:v>#N/A</c:v>
                </c:pt>
                <c:pt idx="76">
                  <c:v>2.2069999999999999</c:v>
                </c:pt>
                <c:pt idx="77">
                  <c:v>2.23</c:v>
                </c:pt>
                <c:pt idx="78">
                  <c:v>#N/A</c:v>
                </c:pt>
                <c:pt idx="79">
                  <c:v>#N/A</c:v>
                </c:pt>
                <c:pt idx="80">
                  <c:v>2.2989999999999999</c:v>
                </c:pt>
                <c:pt idx="81">
                  <c:v>2.3220000000000001</c:v>
                </c:pt>
                <c:pt idx="82">
                  <c:v>#N/A</c:v>
                </c:pt>
                <c:pt idx="83">
                  <c:v>#N/A</c:v>
                </c:pt>
                <c:pt idx="84">
                  <c:v>#N/A</c:v>
                </c:pt>
                <c:pt idx="85">
                  <c:v>#N/A</c:v>
                </c:pt>
                <c:pt idx="86">
                  <c:v>#N/A</c:v>
                </c:pt>
                <c:pt idx="87">
                  <c:v>#N/A</c:v>
                </c:pt>
                <c:pt idx="88">
                  <c:v>#N/A</c:v>
                </c:pt>
                <c:pt idx="89">
                  <c:v>#N/A</c:v>
                </c:pt>
                <c:pt idx="90">
                  <c:v>#N/A</c:v>
                </c:pt>
                <c:pt idx="91">
                  <c:v>#N/A</c:v>
                </c:pt>
                <c:pt idx="92">
                  <c:v>2.5750000000000002</c:v>
                </c:pt>
                <c:pt idx="93">
                  <c:v>#N/A</c:v>
                </c:pt>
                <c:pt idx="94">
                  <c:v>2.621</c:v>
                </c:pt>
                <c:pt idx="95">
                  <c:v>2.6440000000000001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2.2759999999999998</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2.5750000000000002</c:v>
                </c:pt>
                <c:pt idx="127">
                  <c:v>2.5979999999999999</c:v>
                </c:pt>
                <c:pt idx="128">
                  <c:v>#N/A</c:v>
                </c:pt>
                <c:pt idx="129">
                  <c:v>2.6440000000000001</c:v>
                </c:pt>
                <c:pt idx="130">
                  <c:v>#N/A</c:v>
                </c:pt>
                <c:pt idx="131">
                  <c:v>#N/A</c:v>
                </c:pt>
                <c:pt idx="132">
                  <c:v>#N/A</c:v>
                </c:pt>
                <c:pt idx="133">
                  <c:v>#N/A</c:v>
                </c:pt>
                <c:pt idx="134">
                  <c:v>#N/A</c:v>
                </c:pt>
                <c:pt idx="135">
                  <c:v>#N/A</c:v>
                </c:pt>
                <c:pt idx="136">
                  <c:v>2.0230000000000001</c:v>
                </c:pt>
                <c:pt idx="137">
                  <c:v>2.0459999999999998</c:v>
                </c:pt>
                <c:pt idx="138">
                  <c:v>#N/A</c:v>
                </c:pt>
                <c:pt idx="139">
                  <c:v>#N/A</c:v>
                </c:pt>
                <c:pt idx="140">
                  <c:v>#N/A</c:v>
                </c:pt>
                <c:pt idx="141">
                  <c:v>#N/A</c:v>
                </c:pt>
                <c:pt idx="142">
                  <c:v>#N/A</c:v>
                </c:pt>
                <c:pt idx="143">
                  <c:v>#N/A</c:v>
                </c:pt>
                <c:pt idx="144">
                  <c:v>#N/A</c:v>
                </c:pt>
                <c:pt idx="145">
                  <c:v>#N/A</c:v>
                </c:pt>
                <c:pt idx="146">
                  <c:v>2.2530000000000001</c:v>
                </c:pt>
                <c:pt idx="147">
                  <c:v>#N/A</c:v>
                </c:pt>
                <c:pt idx="148">
                  <c:v>2.2989999999999999</c:v>
                </c:pt>
                <c:pt idx="149">
                  <c:v>#N/A</c:v>
                </c:pt>
                <c:pt idx="150">
                  <c:v>#N/A</c:v>
                </c:pt>
                <c:pt idx="151">
                  <c:v>#N/A</c:v>
                </c:pt>
                <c:pt idx="152">
                  <c:v>#N/A</c:v>
                </c:pt>
                <c:pt idx="153">
                  <c:v>#N/A</c:v>
                </c:pt>
                <c:pt idx="154">
                  <c:v>#N/A</c:v>
                </c:pt>
                <c:pt idx="155">
                  <c:v>2.46</c:v>
                </c:pt>
                <c:pt idx="156">
                  <c:v>#N/A</c:v>
                </c:pt>
                <c:pt idx="157">
                  <c:v>2.5060000000000002</c:v>
                </c:pt>
                <c:pt idx="158">
                  <c:v>2.5289999999999999</c:v>
                </c:pt>
                <c:pt idx="159">
                  <c:v>#N/A</c:v>
                </c:pt>
                <c:pt idx="160">
                  <c:v>2.5750000000000002</c:v>
                </c:pt>
                <c:pt idx="161">
                  <c:v>#N/A</c:v>
                </c:pt>
                <c:pt idx="162">
                  <c:v>#N/A</c:v>
                </c:pt>
                <c:pt idx="163">
                  <c:v>#N/A</c:v>
                </c:pt>
                <c:pt idx="164">
                  <c:v>#N/A</c:v>
                </c:pt>
                <c:pt idx="165">
                  <c:v>2.69</c:v>
                </c:pt>
                <c:pt idx="166">
                  <c:v>2.7130000000000001</c:v>
                </c:pt>
                <c:pt idx="167">
                  <c:v>#N/A</c:v>
                </c:pt>
                <c:pt idx="168">
                  <c:v>#N/A</c:v>
                </c:pt>
                <c:pt idx="169">
                  <c:v>#N/A</c:v>
                </c:pt>
                <c:pt idx="170">
                  <c:v>#N/A</c:v>
                </c:pt>
                <c:pt idx="171">
                  <c:v>2.0459999999999998</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2.4140000000000001</c:v>
                </c:pt>
                <c:pt idx="188">
                  <c:v>#N/A</c:v>
                </c:pt>
                <c:pt idx="189">
                  <c:v>2.46</c:v>
                </c:pt>
                <c:pt idx="190">
                  <c:v>#N/A</c:v>
                </c:pt>
                <c:pt idx="191">
                  <c:v>#N/A</c:v>
                </c:pt>
                <c:pt idx="192">
                  <c:v>#N/A</c:v>
                </c:pt>
                <c:pt idx="193">
                  <c:v>#N/A</c:v>
                </c:pt>
                <c:pt idx="194">
                  <c:v>#N/A</c:v>
                </c:pt>
                <c:pt idx="195">
                  <c:v>#N/A</c:v>
                </c:pt>
                <c:pt idx="196">
                  <c:v>#N/A</c:v>
                </c:pt>
                <c:pt idx="197">
                  <c:v>2.6440000000000001</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2.1840000000000002</c:v>
                </c:pt>
                <c:pt idx="212">
                  <c:v>#N/A</c:v>
                </c:pt>
                <c:pt idx="213">
                  <c:v>#N/A</c:v>
                </c:pt>
                <c:pt idx="214">
                  <c:v>#N/A</c:v>
                </c:pt>
                <c:pt idx="215">
                  <c:v>#N/A</c:v>
                </c:pt>
                <c:pt idx="216">
                  <c:v>2.2989999999999999</c:v>
                </c:pt>
                <c:pt idx="217">
                  <c:v>#N/A</c:v>
                </c:pt>
                <c:pt idx="218">
                  <c:v>#N/A</c:v>
                </c:pt>
                <c:pt idx="219">
                  <c:v>#N/A</c:v>
                </c:pt>
                <c:pt idx="220">
                  <c:v>#N/A</c:v>
                </c:pt>
                <c:pt idx="221">
                  <c:v>2.4140000000000001</c:v>
                </c:pt>
                <c:pt idx="222">
                  <c:v>#N/A</c:v>
                </c:pt>
                <c:pt idx="223">
                  <c:v>#N/A</c:v>
                </c:pt>
                <c:pt idx="224">
                  <c:v>2.4830000000000001</c:v>
                </c:pt>
                <c:pt idx="225">
                  <c:v>2.5060000000000002</c:v>
                </c:pt>
                <c:pt idx="226">
                  <c:v>2.5289999999999999</c:v>
                </c:pt>
                <c:pt idx="227">
                  <c:v>#N/A</c:v>
                </c:pt>
                <c:pt idx="228">
                  <c:v>#N/A</c:v>
                </c:pt>
                <c:pt idx="229">
                  <c:v>2.5979999999999999</c:v>
                </c:pt>
                <c:pt idx="230">
                  <c:v>#N/A</c:v>
                </c:pt>
                <c:pt idx="231">
                  <c:v>#N/A</c:v>
                </c:pt>
                <c:pt idx="232">
                  <c:v>#N/A</c:v>
                </c:pt>
                <c:pt idx="233">
                  <c:v>2.69</c:v>
                </c:pt>
                <c:pt idx="234">
                  <c:v>#N/A</c:v>
                </c:pt>
                <c:pt idx="235">
                  <c:v>#N/A</c:v>
                </c:pt>
                <c:pt idx="236">
                  <c:v>#N/A</c:v>
                </c:pt>
                <c:pt idx="237">
                  <c:v>#N/A</c:v>
                </c:pt>
                <c:pt idx="238">
                  <c:v>#N/A</c:v>
                </c:pt>
                <c:pt idx="239">
                  <c:v>#N/A</c:v>
                </c:pt>
                <c:pt idx="240">
                  <c:v>2.069</c:v>
                </c:pt>
                <c:pt idx="241">
                  <c:v>2.0920000000000001</c:v>
                </c:pt>
                <c:pt idx="242">
                  <c:v>#N/A</c:v>
                </c:pt>
                <c:pt idx="243">
                  <c:v>#N/A</c:v>
                </c:pt>
                <c:pt idx="244">
                  <c:v>#N/A</c:v>
                </c:pt>
                <c:pt idx="245">
                  <c:v>#N/A</c:v>
                </c:pt>
                <c:pt idx="246">
                  <c:v>#N/A</c:v>
                </c:pt>
                <c:pt idx="247">
                  <c:v>#N/A</c:v>
                </c:pt>
                <c:pt idx="248">
                  <c:v>#N/A</c:v>
                </c:pt>
                <c:pt idx="249">
                  <c:v>2.2759999999999998</c:v>
                </c:pt>
                <c:pt idx="250">
                  <c:v>#N/A</c:v>
                </c:pt>
                <c:pt idx="251">
                  <c:v>#N/A</c:v>
                </c:pt>
                <c:pt idx="252">
                  <c:v>#N/A</c:v>
                </c:pt>
                <c:pt idx="253">
                  <c:v>2.3679999999999999</c:v>
                </c:pt>
                <c:pt idx="254">
                  <c:v>#N/A</c:v>
                </c:pt>
                <c:pt idx="255">
                  <c:v>#N/A</c:v>
                </c:pt>
                <c:pt idx="256">
                  <c:v>#N/A</c:v>
                </c:pt>
                <c:pt idx="257">
                  <c:v>#N/A</c:v>
                </c:pt>
                <c:pt idx="258">
                  <c:v>#N/A</c:v>
                </c:pt>
                <c:pt idx="259">
                  <c:v>#N/A</c:v>
                </c:pt>
                <c:pt idx="260">
                  <c:v>#N/A</c:v>
                </c:pt>
                <c:pt idx="261">
                  <c:v>#N/A</c:v>
                </c:pt>
                <c:pt idx="262">
                  <c:v>2.5750000000000002</c:v>
                </c:pt>
                <c:pt idx="263">
                  <c:v>2.5979999999999999</c:v>
                </c:pt>
                <c:pt idx="264">
                  <c:v>#N/A</c:v>
                </c:pt>
                <c:pt idx="265">
                  <c:v>#N/A</c:v>
                </c:pt>
                <c:pt idx="266">
                  <c:v>#N/A</c:v>
                </c:pt>
                <c:pt idx="267">
                  <c:v>#N/A</c:v>
                </c:pt>
                <c:pt idx="268">
                  <c:v>2.7130000000000001</c:v>
                </c:pt>
                <c:pt idx="269">
                  <c:v>#N/A</c:v>
                </c:pt>
                <c:pt idx="270">
                  <c:v>#N/A</c:v>
                </c:pt>
                <c:pt idx="271">
                  <c:v>#N/A</c:v>
                </c:pt>
                <c:pt idx="272">
                  <c:v>2.0230000000000001</c:v>
                </c:pt>
                <c:pt idx="273">
                  <c:v>2.0459999999999998</c:v>
                </c:pt>
                <c:pt idx="274">
                  <c:v>#N/A</c:v>
                </c:pt>
                <c:pt idx="275">
                  <c:v>#N/A</c:v>
                </c:pt>
                <c:pt idx="276">
                  <c:v>2.1150000000000002</c:v>
                </c:pt>
                <c:pt idx="277">
                  <c:v>#N/A</c:v>
                </c:pt>
                <c:pt idx="278">
                  <c:v>#N/A</c:v>
                </c:pt>
                <c:pt idx="279">
                  <c:v>#N/A</c:v>
                </c:pt>
                <c:pt idx="280">
                  <c:v>2.2069999999999999</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2.5979999999999999</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2.23</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2.1379999999999999</c:v>
                </c:pt>
                <c:pt idx="346">
                  <c:v>2.161</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2.5060000000000002</c:v>
                </c:pt>
                <c:pt idx="362">
                  <c:v>#N/A</c:v>
                </c:pt>
                <c:pt idx="363">
                  <c:v>2.552</c:v>
                </c:pt>
                <c:pt idx="364">
                  <c:v>#N/A</c:v>
                </c:pt>
                <c:pt idx="365">
                  <c:v>2.5979999999999999</c:v>
                </c:pt>
                <c:pt idx="366">
                  <c:v>2.621</c:v>
                </c:pt>
                <c:pt idx="367">
                  <c:v>#N/A</c:v>
                </c:pt>
                <c:pt idx="368">
                  <c:v>2.6669999999999998</c:v>
                </c:pt>
                <c:pt idx="369">
                  <c:v>#N/A</c:v>
                </c:pt>
                <c:pt idx="370">
                  <c:v>#N/A</c:v>
                </c:pt>
                <c:pt idx="371">
                  <c:v>#N/A</c:v>
                </c:pt>
                <c:pt idx="372">
                  <c:v>#N/A</c:v>
                </c:pt>
                <c:pt idx="373">
                  <c:v>#N/A</c:v>
                </c:pt>
                <c:pt idx="374">
                  <c:v>#N/A</c:v>
                </c:pt>
                <c:pt idx="375">
                  <c:v>#N/A</c:v>
                </c:pt>
                <c:pt idx="376">
                  <c:v>2.069</c:v>
                </c:pt>
                <c:pt idx="377">
                  <c:v>#N/A</c:v>
                </c:pt>
                <c:pt idx="378">
                  <c:v>#N/A</c:v>
                </c:pt>
                <c:pt idx="379">
                  <c:v>#N/A</c:v>
                </c:pt>
                <c:pt idx="380">
                  <c:v>2.161</c:v>
                </c:pt>
                <c:pt idx="381">
                  <c:v>#N/A</c:v>
                </c:pt>
                <c:pt idx="382">
                  <c:v>2.2069999999999999</c:v>
                </c:pt>
                <c:pt idx="383">
                  <c:v>#N/A</c:v>
                </c:pt>
                <c:pt idx="384">
                  <c:v>2.2530000000000001</c:v>
                </c:pt>
                <c:pt idx="385">
                  <c:v>#N/A</c:v>
                </c:pt>
                <c:pt idx="386">
                  <c:v>#N/A</c:v>
                </c:pt>
                <c:pt idx="387">
                  <c:v>#N/A</c:v>
                </c:pt>
                <c:pt idx="388">
                  <c:v>#N/A</c:v>
                </c:pt>
                <c:pt idx="389">
                  <c:v>#N/A</c:v>
                </c:pt>
                <c:pt idx="390">
                  <c:v>#N/A</c:v>
                </c:pt>
                <c:pt idx="391">
                  <c:v>2.4140000000000001</c:v>
                </c:pt>
                <c:pt idx="392">
                  <c:v>#N/A</c:v>
                </c:pt>
                <c:pt idx="393">
                  <c:v>#N/A</c:v>
                </c:pt>
                <c:pt idx="394">
                  <c:v>2.4830000000000001</c:v>
                </c:pt>
                <c:pt idx="395">
                  <c:v>#N/A</c:v>
                </c:pt>
                <c:pt idx="396">
                  <c:v>#N/A</c:v>
                </c:pt>
                <c:pt idx="397">
                  <c:v>2.552</c:v>
                </c:pt>
                <c:pt idx="398">
                  <c:v>2.5750000000000002</c:v>
                </c:pt>
                <c:pt idx="399">
                  <c:v>2.5979999999999999</c:v>
                </c:pt>
                <c:pt idx="400">
                  <c:v>2.621</c:v>
                </c:pt>
                <c:pt idx="401">
                  <c:v>2.6440000000000001</c:v>
                </c:pt>
                <c:pt idx="402">
                  <c:v>#N/A</c:v>
                </c:pt>
                <c:pt idx="403">
                  <c:v>#N/A</c:v>
                </c:pt>
                <c:pt idx="404">
                  <c:v>#N/A</c:v>
                </c:pt>
                <c:pt idx="405">
                  <c:v>#N/A</c:v>
                </c:pt>
                <c:pt idx="406">
                  <c:v>#N/A</c:v>
                </c:pt>
                <c:pt idx="407">
                  <c:v>#N/A</c:v>
                </c:pt>
                <c:pt idx="408">
                  <c:v>#N/A</c:v>
                </c:pt>
                <c:pt idx="409">
                  <c:v>#N/A</c:v>
                </c:pt>
                <c:pt idx="410">
                  <c:v>#N/A</c:v>
                </c:pt>
                <c:pt idx="411">
                  <c:v>2.0920000000000001</c:v>
                </c:pt>
                <c:pt idx="412">
                  <c:v>#N/A</c:v>
                </c:pt>
                <c:pt idx="413">
                  <c:v>#N/A</c:v>
                </c:pt>
                <c:pt idx="414">
                  <c:v>#N/A</c:v>
                </c:pt>
                <c:pt idx="415">
                  <c:v>#N/A</c:v>
                </c:pt>
                <c:pt idx="416">
                  <c:v>#N/A</c:v>
                </c:pt>
                <c:pt idx="417">
                  <c:v>#N/A</c:v>
                </c:pt>
                <c:pt idx="418">
                  <c:v>#N/A</c:v>
                </c:pt>
                <c:pt idx="419">
                  <c:v>#N/A</c:v>
                </c:pt>
                <c:pt idx="420">
                  <c:v>#N/A</c:v>
                </c:pt>
                <c:pt idx="421">
                  <c:v>2.3220000000000001</c:v>
                </c:pt>
                <c:pt idx="422">
                  <c:v>#N/A</c:v>
                </c:pt>
                <c:pt idx="423">
                  <c:v>#N/A</c:v>
                </c:pt>
                <c:pt idx="424">
                  <c:v>#N/A</c:v>
                </c:pt>
                <c:pt idx="425">
                  <c:v>#N/A</c:v>
                </c:pt>
                <c:pt idx="426">
                  <c:v>#N/A</c:v>
                </c:pt>
                <c:pt idx="427">
                  <c:v>2.46</c:v>
                </c:pt>
                <c:pt idx="428">
                  <c:v>#N/A</c:v>
                </c:pt>
                <c:pt idx="429">
                  <c:v>#N/A</c:v>
                </c:pt>
                <c:pt idx="430">
                  <c:v>2.5289999999999999</c:v>
                </c:pt>
                <c:pt idx="431">
                  <c:v>#N/A</c:v>
                </c:pt>
                <c:pt idx="432">
                  <c:v>2.5750000000000002</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2.6440000000000001</c:v>
                </c:pt>
                <c:pt idx="470">
                  <c:v>#N/A</c:v>
                </c:pt>
                <c:pt idx="471">
                  <c:v>#N/A</c:v>
                </c:pt>
                <c:pt idx="472">
                  <c:v>#N/A</c:v>
                </c:pt>
                <c:pt idx="473">
                  <c:v>#N/A</c:v>
                </c:pt>
                <c:pt idx="474">
                  <c:v>#N/A</c:v>
                </c:pt>
                <c:pt idx="475">
                  <c:v>#N/A</c:v>
                </c:pt>
                <c:pt idx="476">
                  <c:v>#N/A</c:v>
                </c:pt>
                <c:pt idx="477">
                  <c:v>#N/A</c:v>
                </c:pt>
                <c:pt idx="478">
                  <c:v>#N/A</c:v>
                </c:pt>
                <c:pt idx="479">
                  <c:v>#N/A</c:v>
                </c:pt>
                <c:pt idx="480">
                  <c:v>2.1150000000000002</c:v>
                </c:pt>
                <c:pt idx="481">
                  <c:v>#N/A</c:v>
                </c:pt>
                <c:pt idx="482">
                  <c:v>#N/A</c:v>
                </c:pt>
                <c:pt idx="483">
                  <c:v>#N/A</c:v>
                </c:pt>
                <c:pt idx="484">
                  <c:v>#N/A</c:v>
                </c:pt>
                <c:pt idx="485">
                  <c:v>2.23</c:v>
                </c:pt>
                <c:pt idx="486">
                  <c:v>#N/A</c:v>
                </c:pt>
                <c:pt idx="487">
                  <c:v>2.2759999999999998</c:v>
                </c:pt>
                <c:pt idx="488">
                  <c:v>#N/A</c:v>
                </c:pt>
                <c:pt idx="489">
                  <c:v>#N/A</c:v>
                </c:pt>
                <c:pt idx="490">
                  <c:v>2.3449999999999998</c:v>
                </c:pt>
                <c:pt idx="491">
                  <c:v>#N/A</c:v>
                </c:pt>
                <c:pt idx="492">
                  <c:v>#N/A</c:v>
                </c:pt>
                <c:pt idx="493">
                  <c:v>2.4140000000000001</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2</c:v>
                </c:pt>
                <c:pt idx="510">
                  <c:v>#N/A</c:v>
                </c:pt>
                <c:pt idx="511">
                  <c:v>#N/A</c:v>
                </c:pt>
                <c:pt idx="512">
                  <c:v>#N/A</c:v>
                </c:pt>
                <c:pt idx="513">
                  <c:v>2.0920000000000001</c:v>
                </c:pt>
                <c:pt idx="514">
                  <c:v>#N/A</c:v>
                </c:pt>
                <c:pt idx="515">
                  <c:v>#N/A</c:v>
                </c:pt>
                <c:pt idx="516">
                  <c:v>#N/A</c:v>
                </c:pt>
                <c:pt idx="517">
                  <c:v>#N/A</c:v>
                </c:pt>
                <c:pt idx="518">
                  <c:v>2.2069999999999999</c:v>
                </c:pt>
                <c:pt idx="519">
                  <c:v>#N/A</c:v>
                </c:pt>
                <c:pt idx="520">
                  <c:v>#N/A</c:v>
                </c:pt>
                <c:pt idx="521">
                  <c:v>#N/A</c:v>
                </c:pt>
                <c:pt idx="522">
                  <c:v>#N/A</c:v>
                </c:pt>
                <c:pt idx="523">
                  <c:v>#N/A</c:v>
                </c:pt>
                <c:pt idx="524">
                  <c:v>2.3449999999999998</c:v>
                </c:pt>
                <c:pt idx="525">
                  <c:v>#N/A</c:v>
                </c:pt>
                <c:pt idx="526">
                  <c:v>#N/A</c:v>
                </c:pt>
                <c:pt idx="527">
                  <c:v>#N/A</c:v>
                </c:pt>
                <c:pt idx="528">
                  <c:v>#N/A</c:v>
                </c:pt>
                <c:pt idx="529">
                  <c:v>#N/A</c:v>
                </c:pt>
                <c:pt idx="530">
                  <c:v>2.4830000000000001</c:v>
                </c:pt>
                <c:pt idx="531">
                  <c:v>2.5060000000000002</c:v>
                </c:pt>
                <c:pt idx="532">
                  <c:v>2.5289999999999999</c:v>
                </c:pt>
                <c:pt idx="533">
                  <c:v>#N/A</c:v>
                </c:pt>
                <c:pt idx="534">
                  <c:v>#N/A</c:v>
                </c:pt>
                <c:pt idx="535">
                  <c:v>#N/A</c:v>
                </c:pt>
                <c:pt idx="536">
                  <c:v>#N/A</c:v>
                </c:pt>
                <c:pt idx="537">
                  <c:v>#N/A</c:v>
                </c:pt>
                <c:pt idx="538">
                  <c:v>#N/A</c:v>
                </c:pt>
                <c:pt idx="539">
                  <c:v>2.69</c:v>
                </c:pt>
                <c:pt idx="540">
                  <c:v>2.7130000000000001</c:v>
                </c:pt>
                <c:pt idx="541">
                  <c:v>2.7359999999999998</c:v>
                </c:pt>
                <c:pt idx="542">
                  <c:v>#N/A</c:v>
                </c:pt>
                <c:pt idx="543">
                  <c:v>#N/A</c:v>
                </c:pt>
                <c:pt idx="544">
                  <c:v>2.0230000000000001</c:v>
                </c:pt>
                <c:pt idx="545">
                  <c:v>#N/A</c:v>
                </c:pt>
                <c:pt idx="546">
                  <c:v>#N/A</c:v>
                </c:pt>
                <c:pt idx="547">
                  <c:v>#N/A</c:v>
                </c:pt>
                <c:pt idx="548">
                  <c:v>#N/A</c:v>
                </c:pt>
                <c:pt idx="549">
                  <c:v>#N/A</c:v>
                </c:pt>
                <c:pt idx="550">
                  <c:v>2.161</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2.621</c:v>
                </c:pt>
                <c:pt idx="571">
                  <c:v>#N/A</c:v>
                </c:pt>
                <c:pt idx="572">
                  <c:v>#N/A</c:v>
                </c:pt>
                <c:pt idx="573">
                  <c:v>#N/A</c:v>
                </c:pt>
                <c:pt idx="574">
                  <c:v>#N/A</c:v>
                </c:pt>
                <c:pt idx="575">
                  <c:v>#N/A</c:v>
                </c:pt>
                <c:pt idx="576">
                  <c:v>2.7589999999999999</c:v>
                </c:pt>
                <c:pt idx="577">
                  <c:v>#N/A</c:v>
                </c:pt>
                <c:pt idx="578">
                  <c:v>#N/A</c:v>
                </c:pt>
                <c:pt idx="579">
                  <c:v>#N/A</c:v>
                </c:pt>
                <c:pt idx="580">
                  <c:v>2.069</c:v>
                </c:pt>
                <c:pt idx="581">
                  <c:v>#N/A</c:v>
                </c:pt>
                <c:pt idx="582">
                  <c:v>#N/A</c:v>
                </c:pt>
                <c:pt idx="583">
                  <c:v>#N/A</c:v>
                </c:pt>
                <c:pt idx="584">
                  <c:v>#N/A</c:v>
                </c:pt>
                <c:pt idx="585">
                  <c:v>#N/A</c:v>
                </c:pt>
                <c:pt idx="586">
                  <c:v>#N/A</c:v>
                </c:pt>
                <c:pt idx="587">
                  <c:v>2.23</c:v>
                </c:pt>
                <c:pt idx="588">
                  <c:v>2.2530000000000001</c:v>
                </c:pt>
                <c:pt idx="589">
                  <c:v>#N/A</c:v>
                </c:pt>
                <c:pt idx="590">
                  <c:v>2.2989999999999999</c:v>
                </c:pt>
                <c:pt idx="591">
                  <c:v>#N/A</c:v>
                </c:pt>
                <c:pt idx="592">
                  <c:v>#N/A</c:v>
                </c:pt>
                <c:pt idx="593">
                  <c:v>#N/A</c:v>
                </c:pt>
                <c:pt idx="594">
                  <c:v>#N/A</c:v>
                </c:pt>
                <c:pt idx="595">
                  <c:v>#N/A</c:v>
                </c:pt>
                <c:pt idx="596">
                  <c:v>2.4369999999999998</c:v>
                </c:pt>
                <c:pt idx="597">
                  <c:v>2.46</c:v>
                </c:pt>
                <c:pt idx="598">
                  <c:v>2.4830000000000001</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2.0459999999999998</c:v>
                </c:pt>
                <c:pt idx="614">
                  <c:v>#N/A</c:v>
                </c:pt>
                <c:pt idx="615">
                  <c:v>#N/A</c:v>
                </c:pt>
                <c:pt idx="616">
                  <c:v>#N/A</c:v>
                </c:pt>
                <c:pt idx="617">
                  <c:v>#N/A</c:v>
                </c:pt>
                <c:pt idx="618">
                  <c:v>2.161</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2.46</c:v>
                </c:pt>
                <c:pt idx="632">
                  <c:v>#N/A</c:v>
                </c:pt>
                <c:pt idx="633">
                  <c:v>2.5060000000000002</c:v>
                </c:pt>
                <c:pt idx="634">
                  <c:v>#N/A</c:v>
                </c:pt>
                <c:pt idx="635">
                  <c:v>#N/A</c:v>
                </c:pt>
                <c:pt idx="636">
                  <c:v>2.5750000000000002</c:v>
                </c:pt>
                <c:pt idx="637">
                  <c:v>#N/A</c:v>
                </c:pt>
                <c:pt idx="638">
                  <c:v>#N/A</c:v>
                </c:pt>
                <c:pt idx="639">
                  <c:v>#N/A</c:v>
                </c:pt>
                <c:pt idx="640">
                  <c:v>#N/A</c:v>
                </c:pt>
                <c:pt idx="641">
                  <c:v>#N/A</c:v>
                </c:pt>
                <c:pt idx="642">
                  <c:v>#N/A</c:v>
                </c:pt>
                <c:pt idx="643">
                  <c:v>#N/A</c:v>
                </c:pt>
                <c:pt idx="644">
                  <c:v>#N/A</c:v>
                </c:pt>
                <c:pt idx="645">
                  <c:v>2</c:v>
                </c:pt>
                <c:pt idx="646">
                  <c:v>#N/A</c:v>
                </c:pt>
                <c:pt idx="647">
                  <c:v>#N/A</c:v>
                </c:pt>
                <c:pt idx="648">
                  <c:v>#N/A</c:v>
                </c:pt>
                <c:pt idx="649">
                  <c:v>#N/A</c:v>
                </c:pt>
                <c:pt idx="650">
                  <c:v>#N/A</c:v>
                </c:pt>
                <c:pt idx="651">
                  <c:v>#N/A</c:v>
                </c:pt>
                <c:pt idx="652">
                  <c:v>2.161</c:v>
                </c:pt>
                <c:pt idx="653">
                  <c:v>#N/A</c:v>
                </c:pt>
                <c:pt idx="654">
                  <c:v>#N/A</c:v>
                </c:pt>
                <c:pt idx="655">
                  <c:v>#N/A</c:v>
                </c:pt>
                <c:pt idx="656">
                  <c:v>#N/A</c:v>
                </c:pt>
                <c:pt idx="657">
                  <c:v>#N/A</c:v>
                </c:pt>
                <c:pt idx="658">
                  <c:v>#N/A</c:v>
                </c:pt>
                <c:pt idx="659">
                  <c:v>#N/A</c:v>
                </c:pt>
                <c:pt idx="660">
                  <c:v>#N/A</c:v>
                </c:pt>
                <c:pt idx="661">
                  <c:v>2.3679999999999999</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2.0230000000000001</c:v>
                </c:pt>
                <c:pt idx="681">
                  <c:v>#N/A</c:v>
                </c:pt>
                <c:pt idx="682">
                  <c:v>2.069</c:v>
                </c:pt>
                <c:pt idx="683">
                  <c:v>#N/A</c:v>
                </c:pt>
                <c:pt idx="684">
                  <c:v>#N/A</c:v>
                </c:pt>
                <c:pt idx="685">
                  <c:v>#N/A</c:v>
                </c:pt>
                <c:pt idx="686">
                  <c:v>2.161</c:v>
                </c:pt>
                <c:pt idx="687">
                  <c:v>2.1840000000000002</c:v>
                </c:pt>
                <c:pt idx="688">
                  <c:v>#N/A</c:v>
                </c:pt>
                <c:pt idx="689">
                  <c:v>2.23</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2.552</c:v>
                </c:pt>
                <c:pt idx="704">
                  <c:v>#N/A</c:v>
                </c:pt>
                <c:pt idx="705">
                  <c:v>#N/A</c:v>
                </c:pt>
                <c:pt idx="706">
                  <c:v>#N/A</c:v>
                </c:pt>
                <c:pt idx="707">
                  <c:v>#N/A</c:v>
                </c:pt>
                <c:pt idx="708">
                  <c:v>#N/A</c:v>
                </c:pt>
                <c:pt idx="709">
                  <c:v>2.69</c:v>
                </c:pt>
                <c:pt idx="710">
                  <c:v>#N/A</c:v>
                </c:pt>
                <c:pt idx="711">
                  <c:v>#N/A</c:v>
                </c:pt>
                <c:pt idx="712">
                  <c:v>2.7589999999999999</c:v>
                </c:pt>
                <c:pt idx="713">
                  <c:v>#N/A</c:v>
                </c:pt>
                <c:pt idx="714">
                  <c:v>#N/A</c:v>
                </c:pt>
                <c:pt idx="715">
                  <c:v>#N/A</c:v>
                </c:pt>
                <c:pt idx="716">
                  <c:v>2.069</c:v>
                </c:pt>
                <c:pt idx="717">
                  <c:v>#N/A</c:v>
                </c:pt>
                <c:pt idx="718">
                  <c:v>#N/A</c:v>
                </c:pt>
                <c:pt idx="719">
                  <c:v>2.1379999999999999</c:v>
                </c:pt>
                <c:pt idx="720">
                  <c:v>#N/A</c:v>
                </c:pt>
                <c:pt idx="721">
                  <c:v>#N/A</c:v>
                </c:pt>
                <c:pt idx="722">
                  <c:v>#N/A</c:v>
                </c:pt>
                <c:pt idx="723">
                  <c:v>#N/A</c:v>
                </c:pt>
                <c:pt idx="724">
                  <c:v>#N/A</c:v>
                </c:pt>
                <c:pt idx="725">
                  <c:v>#N/A</c:v>
                </c:pt>
                <c:pt idx="726">
                  <c:v>#N/A</c:v>
                </c:pt>
                <c:pt idx="727">
                  <c:v>2.3220000000000001</c:v>
                </c:pt>
                <c:pt idx="728">
                  <c:v>2.3449999999999998</c:v>
                </c:pt>
                <c:pt idx="729">
                  <c:v>#N/A</c:v>
                </c:pt>
                <c:pt idx="730">
                  <c:v>2.391</c:v>
                </c:pt>
                <c:pt idx="731">
                  <c:v>2.4140000000000001</c:v>
                </c:pt>
                <c:pt idx="732">
                  <c:v>#N/A</c:v>
                </c:pt>
                <c:pt idx="733">
                  <c:v>2.46</c:v>
                </c:pt>
                <c:pt idx="734">
                  <c:v>#N/A</c:v>
                </c:pt>
                <c:pt idx="735">
                  <c:v>#N/A</c:v>
                </c:pt>
                <c:pt idx="736">
                  <c:v>#N/A</c:v>
                </c:pt>
                <c:pt idx="737">
                  <c:v>#N/A</c:v>
                </c:pt>
                <c:pt idx="738">
                  <c:v>#N/A</c:v>
                </c:pt>
                <c:pt idx="739">
                  <c:v>#N/A</c:v>
                </c:pt>
                <c:pt idx="740">
                  <c:v>#N/A</c:v>
                </c:pt>
                <c:pt idx="741">
                  <c:v>2.6440000000000001</c:v>
                </c:pt>
                <c:pt idx="742">
                  <c:v>#N/A</c:v>
                </c:pt>
                <c:pt idx="743">
                  <c:v>#N/A</c:v>
                </c:pt>
                <c:pt idx="744">
                  <c:v>#N/A</c:v>
                </c:pt>
                <c:pt idx="745">
                  <c:v>#N/A</c:v>
                </c:pt>
                <c:pt idx="746">
                  <c:v>#N/A</c:v>
                </c:pt>
                <c:pt idx="747">
                  <c:v>2</c:v>
                </c:pt>
                <c:pt idx="748">
                  <c:v>#N/A</c:v>
                </c:pt>
                <c:pt idx="749">
                  <c:v>#N/A</c:v>
                </c:pt>
                <c:pt idx="750">
                  <c:v>#N/A</c:v>
                </c:pt>
                <c:pt idx="751">
                  <c:v>#N/A</c:v>
                </c:pt>
                <c:pt idx="752">
                  <c:v>#N/A</c:v>
                </c:pt>
                <c:pt idx="753">
                  <c:v>#N/A</c:v>
                </c:pt>
                <c:pt idx="754">
                  <c:v>#N/A</c:v>
                </c:pt>
                <c:pt idx="755">
                  <c:v>#N/A</c:v>
                </c:pt>
                <c:pt idx="756">
                  <c:v>#N/A</c:v>
                </c:pt>
                <c:pt idx="757">
                  <c:v>#N/A</c:v>
                </c:pt>
                <c:pt idx="758">
                  <c:v>2.2530000000000001</c:v>
                </c:pt>
                <c:pt idx="759">
                  <c:v>#N/A</c:v>
                </c:pt>
                <c:pt idx="760">
                  <c:v>2.2989999999999999</c:v>
                </c:pt>
                <c:pt idx="761">
                  <c:v>#N/A</c:v>
                </c:pt>
                <c:pt idx="762">
                  <c:v>#N/A</c:v>
                </c:pt>
                <c:pt idx="763">
                  <c:v>#N/A</c:v>
                </c:pt>
                <c:pt idx="764">
                  <c:v>#N/A</c:v>
                </c:pt>
                <c:pt idx="765">
                  <c:v>#N/A</c:v>
                </c:pt>
                <c:pt idx="766">
                  <c:v>#N/A</c:v>
                </c:pt>
                <c:pt idx="767">
                  <c:v>#N/A</c:v>
                </c:pt>
                <c:pt idx="768">
                  <c:v>#N/A</c:v>
                </c:pt>
                <c:pt idx="769">
                  <c:v>#N/A</c:v>
                </c:pt>
                <c:pt idx="770">
                  <c:v>#N/A</c:v>
                </c:pt>
                <c:pt idx="771">
                  <c:v>2.552</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2.2069999999999999</c:v>
                </c:pt>
                <c:pt idx="791">
                  <c:v>#N/A</c:v>
                </c:pt>
                <c:pt idx="792">
                  <c:v>#N/A</c:v>
                </c:pt>
                <c:pt idx="793">
                  <c:v>#N/A</c:v>
                </c:pt>
                <c:pt idx="794">
                  <c:v>2.2989999999999999</c:v>
                </c:pt>
                <c:pt idx="795">
                  <c:v>2.3220000000000001</c:v>
                </c:pt>
                <c:pt idx="796">
                  <c:v>#N/A</c:v>
                </c:pt>
                <c:pt idx="797">
                  <c:v>#N/A</c:v>
                </c:pt>
                <c:pt idx="798">
                  <c:v>#N/A</c:v>
                </c:pt>
                <c:pt idx="799">
                  <c:v>2.4140000000000001</c:v>
                </c:pt>
                <c:pt idx="800">
                  <c:v>#N/A</c:v>
                </c:pt>
                <c:pt idx="801">
                  <c:v>2.46</c:v>
                </c:pt>
                <c:pt idx="802">
                  <c:v>#N/A</c:v>
                </c:pt>
                <c:pt idx="803">
                  <c:v>2.5060000000000002</c:v>
                </c:pt>
                <c:pt idx="804">
                  <c:v>#N/A</c:v>
                </c:pt>
                <c:pt idx="805">
                  <c:v>#N/A</c:v>
                </c:pt>
                <c:pt idx="806">
                  <c:v>#N/A</c:v>
                </c:pt>
                <c:pt idx="807">
                  <c:v>#N/A</c:v>
                </c:pt>
                <c:pt idx="808">
                  <c:v>2.621</c:v>
                </c:pt>
                <c:pt idx="809">
                  <c:v>#N/A</c:v>
                </c:pt>
                <c:pt idx="810">
                  <c:v>#N/A</c:v>
                </c:pt>
                <c:pt idx="811">
                  <c:v>#N/A</c:v>
                </c:pt>
                <c:pt idx="812">
                  <c:v>2.7130000000000001</c:v>
                </c:pt>
                <c:pt idx="813">
                  <c:v>#N/A</c:v>
                </c:pt>
                <c:pt idx="814">
                  <c:v>#N/A</c:v>
                </c:pt>
                <c:pt idx="815">
                  <c:v>#N/A</c:v>
                </c:pt>
                <c:pt idx="816">
                  <c:v>#N/A</c:v>
                </c:pt>
                <c:pt idx="817">
                  <c:v>2.0459999999999998</c:v>
                </c:pt>
                <c:pt idx="818">
                  <c:v>#N/A</c:v>
                </c:pt>
                <c:pt idx="819">
                  <c:v>#N/A</c:v>
                </c:pt>
              </c:numCache>
            </c:numRef>
          </c:yVal>
          <c:smooth val="1"/>
          <c:extLst>
            <c:ext xmlns:c16="http://schemas.microsoft.com/office/drawing/2014/chart" uri="{C3380CC4-5D6E-409C-BE32-E72D297353CC}">
              <c16:uniqueId val="{00000001-F9BC-4463-954D-445A1CF39C00}"/>
            </c:ext>
          </c:extLst>
        </c:ser>
        <c:ser>
          <c:idx val="2"/>
          <c:order val="2"/>
          <c:tx>
            <c:v>Deckbuilder</c:v>
          </c:tx>
          <c:spPr>
            <a:ln>
              <a:noFill/>
              <a:prstDash val="solid"/>
            </a:ln>
          </c:spPr>
          <c:marker>
            <c:symbol val="circle"/>
            <c:size val="4"/>
            <c:spPr>
              <a:ln>
                <a:prstDash val="solid"/>
              </a:ln>
            </c:spPr>
          </c:marker>
          <c:xVal>
            <c:numRef>
              <c:f>'Map Calc'!$K$2:$K$820</c:f>
              <c:numCache>
                <c:formatCode>General</c:formatCode>
                <c:ptCount val="81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2025</c:v>
                </c:pt>
                <c:pt idx="35">
                  <c:v>2025</c:v>
                </c:pt>
                <c:pt idx="36">
                  <c:v>#N/A</c:v>
                </c:pt>
                <c:pt idx="37">
                  <c:v>#N/A</c:v>
                </c:pt>
                <c:pt idx="38">
                  <c:v>#N/A</c:v>
                </c:pt>
                <c:pt idx="39">
                  <c:v>2023</c:v>
                </c:pt>
                <c:pt idx="40">
                  <c:v>#N/A</c:v>
                </c:pt>
                <c:pt idx="41">
                  <c:v>#N/A</c:v>
                </c:pt>
                <c:pt idx="42">
                  <c:v>#N/A</c:v>
                </c:pt>
                <c:pt idx="43">
                  <c:v>#N/A</c:v>
                </c:pt>
                <c:pt idx="44">
                  <c:v>#N/A</c:v>
                </c:pt>
                <c:pt idx="45">
                  <c:v>#N/A</c:v>
                </c:pt>
                <c:pt idx="46">
                  <c:v>#N/A</c:v>
                </c:pt>
                <c:pt idx="47">
                  <c:v>#N/A</c:v>
                </c:pt>
                <c:pt idx="48">
                  <c:v>#N/A</c:v>
                </c:pt>
                <c:pt idx="49">
                  <c:v>2022</c:v>
                </c:pt>
                <c:pt idx="50">
                  <c:v>#N/A</c:v>
                </c:pt>
                <c:pt idx="51">
                  <c:v>2023</c:v>
                </c:pt>
                <c:pt idx="52">
                  <c:v>#N/A</c:v>
                </c:pt>
                <c:pt idx="53">
                  <c:v>#N/A</c:v>
                </c:pt>
                <c:pt idx="54">
                  <c:v>2024</c:v>
                </c:pt>
                <c:pt idx="55">
                  <c:v>2020</c:v>
                </c:pt>
                <c:pt idx="56">
                  <c:v>#N/A</c:v>
                </c:pt>
                <c:pt idx="57">
                  <c:v>#N/A</c:v>
                </c:pt>
                <c:pt idx="58">
                  <c:v>#N/A</c:v>
                </c:pt>
                <c:pt idx="59">
                  <c:v>#N/A</c:v>
                </c:pt>
                <c:pt idx="60">
                  <c:v>#N/A</c:v>
                </c:pt>
                <c:pt idx="61">
                  <c:v>#N/A</c:v>
                </c:pt>
                <c:pt idx="62">
                  <c:v>2025</c:v>
                </c:pt>
                <c:pt idx="63">
                  <c:v>#N/A</c:v>
                </c:pt>
                <c:pt idx="64">
                  <c:v>#N/A</c:v>
                </c:pt>
                <c:pt idx="65">
                  <c:v>#N/A</c:v>
                </c:pt>
                <c:pt idx="66">
                  <c:v>#N/A</c:v>
                </c:pt>
                <c:pt idx="67">
                  <c:v>2022</c:v>
                </c:pt>
                <c:pt idx="68">
                  <c:v>#N/A</c:v>
                </c:pt>
                <c:pt idx="69">
                  <c:v>2026</c:v>
                </c:pt>
                <c:pt idx="70">
                  <c:v>2024</c:v>
                </c:pt>
                <c:pt idx="71">
                  <c:v>#N/A</c:v>
                </c:pt>
                <c:pt idx="72">
                  <c:v>2026</c:v>
                </c:pt>
                <c:pt idx="73">
                  <c:v>#N/A</c:v>
                </c:pt>
                <c:pt idx="74">
                  <c:v>#N/A</c:v>
                </c:pt>
                <c:pt idx="75">
                  <c:v>#N/A</c:v>
                </c:pt>
                <c:pt idx="76">
                  <c:v>#N/A</c:v>
                </c:pt>
                <c:pt idx="77">
                  <c:v>#N/A</c:v>
                </c:pt>
                <c:pt idx="78">
                  <c:v>#N/A</c:v>
                </c:pt>
                <c:pt idx="79">
                  <c:v>#N/A</c:v>
                </c:pt>
                <c:pt idx="80">
                  <c:v>#N/A</c:v>
                </c:pt>
                <c:pt idx="81">
                  <c:v>#N/A</c:v>
                </c:pt>
                <c:pt idx="82">
                  <c:v>2018</c:v>
                </c:pt>
                <c:pt idx="83">
                  <c:v>#N/A</c:v>
                </c:pt>
                <c:pt idx="84">
                  <c:v>#N/A</c:v>
                </c:pt>
                <c:pt idx="85">
                  <c:v>#N/A</c:v>
                </c:pt>
                <c:pt idx="86">
                  <c:v>2023</c:v>
                </c:pt>
                <c:pt idx="87">
                  <c:v>2021</c:v>
                </c:pt>
                <c:pt idx="88">
                  <c:v>2024</c:v>
                </c:pt>
                <c:pt idx="89">
                  <c:v>#N/A</c:v>
                </c:pt>
                <c:pt idx="90">
                  <c:v>#N/A</c:v>
                </c:pt>
                <c:pt idx="91">
                  <c:v>#N/A</c:v>
                </c:pt>
                <c:pt idx="92">
                  <c:v>#N/A</c:v>
                </c:pt>
                <c:pt idx="93">
                  <c:v>#N/A</c:v>
                </c:pt>
                <c:pt idx="94">
                  <c:v>#N/A</c:v>
                </c:pt>
                <c:pt idx="95">
                  <c:v>#N/A</c:v>
                </c:pt>
                <c:pt idx="96">
                  <c:v>#N/A</c:v>
                </c:pt>
                <c:pt idx="97">
                  <c:v>#N/A</c:v>
                </c:pt>
                <c:pt idx="98">
                  <c:v>#N/A</c:v>
                </c:pt>
                <c:pt idx="99">
                  <c:v>#N/A</c:v>
                </c:pt>
                <c:pt idx="100">
                  <c:v>#N/A</c:v>
                </c:pt>
                <c:pt idx="101">
                  <c:v>2024</c:v>
                </c:pt>
                <c:pt idx="102">
                  <c:v>#N/A</c:v>
                </c:pt>
                <c:pt idx="103">
                  <c:v>#N/A</c:v>
                </c:pt>
                <c:pt idx="104">
                  <c:v>#N/A</c:v>
                </c:pt>
                <c:pt idx="105">
                  <c:v>#N/A</c:v>
                </c:pt>
                <c:pt idx="106">
                  <c:v>#N/A</c:v>
                </c:pt>
                <c:pt idx="107">
                  <c:v>2025</c:v>
                </c:pt>
                <c:pt idx="108">
                  <c:v>#N/A</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2019</c:v>
                </c:pt>
                <c:pt idx="123">
                  <c:v>#N/A</c:v>
                </c:pt>
                <c:pt idx="124">
                  <c:v>#N/A</c:v>
                </c:pt>
                <c:pt idx="125">
                  <c:v>#N/A</c:v>
                </c:pt>
                <c:pt idx="126">
                  <c:v>#N/A</c:v>
                </c:pt>
                <c:pt idx="127">
                  <c:v>2025</c:v>
                </c:pt>
                <c:pt idx="128">
                  <c:v>#N/A</c:v>
                </c:pt>
                <c:pt idx="129">
                  <c:v>2023</c:v>
                </c:pt>
                <c:pt idx="130">
                  <c:v>#N/A</c:v>
                </c:pt>
                <c:pt idx="131">
                  <c:v>2013</c:v>
                </c:pt>
                <c:pt idx="132">
                  <c:v>#N/A</c:v>
                </c:pt>
                <c:pt idx="133">
                  <c:v>2025</c:v>
                </c:pt>
                <c:pt idx="134">
                  <c:v>#N/A</c:v>
                </c:pt>
                <c:pt idx="135">
                  <c:v>#N/A</c:v>
                </c:pt>
                <c:pt idx="136">
                  <c:v>#N/A</c:v>
                </c:pt>
                <c:pt idx="137">
                  <c:v>#N/A</c:v>
                </c:pt>
                <c:pt idx="138">
                  <c:v>#N/A</c:v>
                </c:pt>
                <c:pt idx="139">
                  <c:v>#N/A</c:v>
                </c:pt>
                <c:pt idx="140">
                  <c:v>#N/A</c:v>
                </c:pt>
                <c:pt idx="141">
                  <c:v>#N/A</c:v>
                </c:pt>
                <c:pt idx="142">
                  <c:v>2023</c:v>
                </c:pt>
                <c:pt idx="143">
                  <c:v>2026</c:v>
                </c:pt>
                <c:pt idx="144">
                  <c:v>2023</c:v>
                </c:pt>
                <c:pt idx="145">
                  <c:v>#N/A</c:v>
                </c:pt>
                <c:pt idx="146">
                  <c:v>2025</c:v>
                </c:pt>
                <c:pt idx="147">
                  <c:v>#N/A</c:v>
                </c:pt>
                <c:pt idx="148">
                  <c:v>#N/A</c:v>
                </c:pt>
                <c:pt idx="149">
                  <c:v>#N/A</c:v>
                </c:pt>
                <c:pt idx="150">
                  <c:v>#N/A</c:v>
                </c:pt>
                <c:pt idx="151">
                  <c:v>2023</c:v>
                </c:pt>
                <c:pt idx="152">
                  <c:v>2025</c:v>
                </c:pt>
                <c:pt idx="153">
                  <c:v>#N/A</c:v>
                </c:pt>
                <c:pt idx="154">
                  <c:v>#N/A</c:v>
                </c:pt>
                <c:pt idx="155">
                  <c:v>2024</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2025</c:v>
                </c:pt>
                <c:pt idx="170">
                  <c:v>#N/A</c:v>
                </c:pt>
                <c:pt idx="171">
                  <c:v>#N/A</c:v>
                </c:pt>
                <c:pt idx="172">
                  <c:v>#N/A</c:v>
                </c:pt>
                <c:pt idx="173">
                  <c:v>#N/A</c:v>
                </c:pt>
                <c:pt idx="174">
                  <c:v>#N/A</c:v>
                </c:pt>
                <c:pt idx="175">
                  <c:v>2023</c:v>
                </c:pt>
                <c:pt idx="176">
                  <c:v>#N/A</c:v>
                </c:pt>
                <c:pt idx="177">
                  <c:v>2019</c:v>
                </c:pt>
                <c:pt idx="178">
                  <c:v>2025</c:v>
                </c:pt>
                <c:pt idx="179">
                  <c:v>2025</c:v>
                </c:pt>
                <c:pt idx="180">
                  <c:v>#N/A</c:v>
                </c:pt>
                <c:pt idx="181">
                  <c:v>#N/A</c:v>
                </c:pt>
                <c:pt idx="182">
                  <c:v>2018</c:v>
                </c:pt>
                <c:pt idx="183">
                  <c:v>2021</c:v>
                </c:pt>
                <c:pt idx="184">
                  <c:v>#N/A</c:v>
                </c:pt>
                <c:pt idx="185">
                  <c:v>#N/A</c:v>
                </c:pt>
                <c:pt idx="186">
                  <c:v>#N/A</c:v>
                </c:pt>
                <c:pt idx="187">
                  <c:v>2025</c:v>
                </c:pt>
                <c:pt idx="188">
                  <c:v>#N/A</c:v>
                </c:pt>
                <c:pt idx="189">
                  <c:v>#N/A</c:v>
                </c:pt>
                <c:pt idx="190">
                  <c:v>#N/A</c:v>
                </c:pt>
                <c:pt idx="191">
                  <c:v>#N/A</c:v>
                </c:pt>
                <c:pt idx="192">
                  <c:v>#N/A</c:v>
                </c:pt>
                <c:pt idx="193">
                  <c:v>#N/A</c:v>
                </c:pt>
                <c:pt idx="194">
                  <c:v>2024</c:v>
                </c:pt>
                <c:pt idx="195">
                  <c:v>2026</c:v>
                </c:pt>
                <c:pt idx="196">
                  <c:v>#N/A</c:v>
                </c:pt>
                <c:pt idx="197">
                  <c:v>2025</c:v>
                </c:pt>
                <c:pt idx="198">
                  <c:v>2024</c:v>
                </c:pt>
                <c:pt idx="199">
                  <c:v>2024</c:v>
                </c:pt>
                <c:pt idx="200">
                  <c:v>2019</c:v>
                </c:pt>
                <c:pt idx="201">
                  <c:v>2025</c:v>
                </c:pt>
                <c:pt idx="202">
                  <c:v>2025</c:v>
                </c:pt>
                <c:pt idx="203">
                  <c:v>#N/A</c:v>
                </c:pt>
                <c:pt idx="204">
                  <c:v>2024</c:v>
                </c:pt>
                <c:pt idx="205">
                  <c:v>#N/A</c:v>
                </c:pt>
                <c:pt idx="206">
                  <c:v>#N/A</c:v>
                </c:pt>
                <c:pt idx="207">
                  <c:v>2024</c:v>
                </c:pt>
                <c:pt idx="208">
                  <c:v>2025</c:v>
                </c:pt>
                <c:pt idx="209">
                  <c:v>2025</c:v>
                </c:pt>
                <c:pt idx="210">
                  <c:v>#N/A</c:v>
                </c:pt>
                <c:pt idx="211">
                  <c:v>#N/A</c:v>
                </c:pt>
                <c:pt idx="212">
                  <c:v>#N/A</c:v>
                </c:pt>
                <c:pt idx="213">
                  <c:v>#N/A</c:v>
                </c:pt>
                <c:pt idx="214">
                  <c:v>#N/A</c:v>
                </c:pt>
                <c:pt idx="215">
                  <c:v>#N/A</c:v>
                </c:pt>
                <c:pt idx="216">
                  <c:v>#N/A</c:v>
                </c:pt>
                <c:pt idx="217">
                  <c:v>#N/A</c:v>
                </c:pt>
                <c:pt idx="218">
                  <c:v>#N/A</c:v>
                </c:pt>
                <c:pt idx="219">
                  <c:v>#N/A</c:v>
                </c:pt>
                <c:pt idx="220">
                  <c:v>#N/A</c:v>
                </c:pt>
                <c:pt idx="221">
                  <c:v>2014</c:v>
                </c:pt>
                <c:pt idx="222">
                  <c:v>#N/A</c:v>
                </c:pt>
                <c:pt idx="223">
                  <c:v>#N/A</c:v>
                </c:pt>
                <c:pt idx="224">
                  <c:v>#N/A</c:v>
                </c:pt>
                <c:pt idx="225">
                  <c:v>#N/A</c:v>
                </c:pt>
                <c:pt idx="226">
                  <c:v>2024</c:v>
                </c:pt>
                <c:pt idx="227">
                  <c:v>#N/A</c:v>
                </c:pt>
                <c:pt idx="228">
                  <c:v>#N/A</c:v>
                </c:pt>
                <c:pt idx="229">
                  <c:v>#N/A</c:v>
                </c:pt>
                <c:pt idx="230">
                  <c:v>#N/A</c:v>
                </c:pt>
                <c:pt idx="231">
                  <c:v>#N/A</c:v>
                </c:pt>
                <c:pt idx="232">
                  <c:v>#N/A</c:v>
                </c:pt>
                <c:pt idx="233">
                  <c:v>#N/A</c:v>
                </c:pt>
                <c:pt idx="234">
                  <c:v>2024</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2023</c:v>
                </c:pt>
                <c:pt idx="250">
                  <c:v>#N/A</c:v>
                </c:pt>
                <c:pt idx="251">
                  <c:v>#N/A</c:v>
                </c:pt>
                <c:pt idx="252">
                  <c:v>#N/A</c:v>
                </c:pt>
                <c:pt idx="253">
                  <c:v>#N/A</c:v>
                </c:pt>
                <c:pt idx="254">
                  <c:v>#N/A</c:v>
                </c:pt>
                <c:pt idx="255">
                  <c:v>#N/A</c:v>
                </c:pt>
                <c:pt idx="256">
                  <c:v>#N/A</c:v>
                </c:pt>
                <c:pt idx="257">
                  <c:v>#N/A</c:v>
                </c:pt>
                <c:pt idx="258">
                  <c:v>2024</c:v>
                </c:pt>
                <c:pt idx="259">
                  <c:v>2024</c:v>
                </c:pt>
                <c:pt idx="260">
                  <c:v>#N/A</c:v>
                </c:pt>
                <c:pt idx="261">
                  <c:v>#N/A</c:v>
                </c:pt>
                <c:pt idx="262">
                  <c:v>#N/A</c:v>
                </c:pt>
                <c:pt idx="263">
                  <c:v>2021</c:v>
                </c:pt>
                <c:pt idx="264">
                  <c:v>#N/A</c:v>
                </c:pt>
                <c:pt idx="265">
                  <c:v>#N/A</c:v>
                </c:pt>
                <c:pt idx="266">
                  <c:v>#N/A</c:v>
                </c:pt>
                <c:pt idx="267">
                  <c:v>#N/A</c:v>
                </c:pt>
                <c:pt idx="268">
                  <c:v>#N/A</c:v>
                </c:pt>
                <c:pt idx="269">
                  <c:v>2026</c:v>
                </c:pt>
                <c:pt idx="270">
                  <c:v>#N/A</c:v>
                </c:pt>
                <c:pt idx="271">
                  <c:v>#N/A</c:v>
                </c:pt>
                <c:pt idx="272">
                  <c:v>#N/A</c:v>
                </c:pt>
                <c:pt idx="273">
                  <c:v>2020</c:v>
                </c:pt>
                <c:pt idx="274">
                  <c:v>#N/A</c:v>
                </c:pt>
                <c:pt idx="275">
                  <c:v>#N/A</c:v>
                </c:pt>
                <c:pt idx="276">
                  <c:v>#N/A</c:v>
                </c:pt>
                <c:pt idx="277">
                  <c:v>#N/A</c:v>
                </c:pt>
                <c:pt idx="278">
                  <c:v>#N/A</c:v>
                </c:pt>
                <c:pt idx="279">
                  <c:v>#N/A</c:v>
                </c:pt>
                <c:pt idx="280">
                  <c:v>#N/A</c:v>
                </c:pt>
                <c:pt idx="281">
                  <c:v>#N/A</c:v>
                </c:pt>
                <c:pt idx="282">
                  <c:v>#N/A</c:v>
                </c:pt>
                <c:pt idx="283">
                  <c:v>#N/A</c:v>
                </c:pt>
                <c:pt idx="284">
                  <c:v>#N/A</c:v>
                </c:pt>
                <c:pt idx="285">
                  <c:v>2026</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2026</c:v>
                </c:pt>
                <c:pt idx="299">
                  <c:v>#N/A</c:v>
                </c:pt>
                <c:pt idx="300">
                  <c:v>#N/A</c:v>
                </c:pt>
                <c:pt idx="301">
                  <c:v>#N/A</c:v>
                </c:pt>
                <c:pt idx="302">
                  <c:v>#N/A</c:v>
                </c:pt>
                <c:pt idx="303">
                  <c:v>#N/A</c:v>
                </c:pt>
                <c:pt idx="304">
                  <c:v>#N/A</c:v>
                </c:pt>
                <c:pt idx="305">
                  <c:v>#N/A</c:v>
                </c:pt>
                <c:pt idx="306">
                  <c:v>#N/A</c:v>
                </c:pt>
                <c:pt idx="307">
                  <c:v>#N/A</c:v>
                </c:pt>
                <c:pt idx="308">
                  <c:v>#N/A</c:v>
                </c:pt>
                <c:pt idx="309">
                  <c:v>#N/A</c:v>
                </c:pt>
                <c:pt idx="310">
                  <c:v>2020</c:v>
                </c:pt>
                <c:pt idx="311">
                  <c:v>#N/A</c:v>
                </c:pt>
                <c:pt idx="312">
                  <c:v>#N/A</c:v>
                </c:pt>
                <c:pt idx="313">
                  <c:v>2015</c:v>
                </c:pt>
                <c:pt idx="314">
                  <c:v>#N/A</c:v>
                </c:pt>
                <c:pt idx="315">
                  <c:v>#N/A</c:v>
                </c:pt>
                <c:pt idx="316">
                  <c:v>#N/A</c:v>
                </c:pt>
                <c:pt idx="317">
                  <c:v>#N/A</c:v>
                </c:pt>
                <c:pt idx="318">
                  <c:v>#N/A</c:v>
                </c:pt>
                <c:pt idx="319">
                  <c:v>#N/A</c:v>
                </c:pt>
                <c:pt idx="320">
                  <c:v>2021</c:v>
                </c:pt>
                <c:pt idx="321">
                  <c:v>#N/A</c:v>
                </c:pt>
                <c:pt idx="322">
                  <c:v>#N/A</c:v>
                </c:pt>
                <c:pt idx="323">
                  <c:v>#N/A</c:v>
                </c:pt>
                <c:pt idx="324">
                  <c:v>2014</c:v>
                </c:pt>
                <c:pt idx="325">
                  <c:v>2017</c:v>
                </c:pt>
                <c:pt idx="326">
                  <c:v>#N/A</c:v>
                </c:pt>
                <c:pt idx="327">
                  <c:v>#N/A</c:v>
                </c:pt>
                <c:pt idx="328">
                  <c:v>#N/A</c:v>
                </c:pt>
                <c:pt idx="329">
                  <c:v>#N/A</c:v>
                </c:pt>
                <c:pt idx="330">
                  <c:v>#N/A</c:v>
                </c:pt>
                <c:pt idx="331">
                  <c:v>#N/A</c:v>
                </c:pt>
                <c:pt idx="332">
                  <c:v>2025</c:v>
                </c:pt>
                <c:pt idx="333">
                  <c:v>#N/A</c:v>
                </c:pt>
                <c:pt idx="334">
                  <c:v>#N/A</c:v>
                </c:pt>
                <c:pt idx="335">
                  <c:v>#N/A</c:v>
                </c:pt>
                <c:pt idx="336">
                  <c:v>#N/A</c:v>
                </c:pt>
                <c:pt idx="337">
                  <c:v>#N/A</c:v>
                </c:pt>
                <c:pt idx="338">
                  <c:v>#N/A</c:v>
                </c:pt>
                <c:pt idx="339">
                  <c:v>2023</c:v>
                </c:pt>
                <c:pt idx="340">
                  <c:v>#N/A</c:v>
                </c:pt>
                <c:pt idx="341">
                  <c:v>#N/A</c:v>
                </c:pt>
                <c:pt idx="342">
                  <c:v>#N/A</c:v>
                </c:pt>
                <c:pt idx="343">
                  <c:v>#N/A</c:v>
                </c:pt>
                <c:pt idx="344">
                  <c:v>#N/A</c:v>
                </c:pt>
                <c:pt idx="345">
                  <c:v>#N/A</c:v>
                </c:pt>
                <c:pt idx="346">
                  <c:v>#N/A</c:v>
                </c:pt>
                <c:pt idx="347">
                  <c:v>#N/A</c:v>
                </c:pt>
                <c:pt idx="348">
                  <c:v>#N/A</c:v>
                </c:pt>
                <c:pt idx="349">
                  <c:v>#N/A</c:v>
                </c:pt>
                <c:pt idx="350">
                  <c:v>#N/A</c:v>
                </c:pt>
                <c:pt idx="351">
                  <c:v>2026</c:v>
                </c:pt>
                <c:pt idx="352">
                  <c:v>#N/A</c:v>
                </c:pt>
                <c:pt idx="353">
                  <c:v>#N/A</c:v>
                </c:pt>
                <c:pt idx="354">
                  <c:v>#N/A</c:v>
                </c:pt>
                <c:pt idx="355">
                  <c:v>#N/A</c:v>
                </c:pt>
                <c:pt idx="356">
                  <c:v>#N/A</c:v>
                </c:pt>
                <c:pt idx="357">
                  <c:v>#N/A</c:v>
                </c:pt>
                <c:pt idx="358">
                  <c:v>#N/A</c:v>
                </c:pt>
                <c:pt idx="359">
                  <c:v>#N/A</c:v>
                </c:pt>
                <c:pt idx="360">
                  <c:v>#N/A</c:v>
                </c:pt>
                <c:pt idx="361">
                  <c:v>#N/A</c:v>
                </c:pt>
                <c:pt idx="362">
                  <c:v>#N/A</c:v>
                </c:pt>
                <c:pt idx="363">
                  <c:v>2021</c:v>
                </c:pt>
                <c:pt idx="364">
                  <c:v>#N/A</c:v>
                </c:pt>
                <c:pt idx="365">
                  <c:v>#N/A</c:v>
                </c:pt>
                <c:pt idx="366">
                  <c:v>2025</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2025</c:v>
                </c:pt>
                <c:pt idx="385">
                  <c:v>2020</c:v>
                </c:pt>
                <c:pt idx="386">
                  <c:v>#N/A</c:v>
                </c:pt>
                <c:pt idx="387">
                  <c:v>#N/A</c:v>
                </c:pt>
                <c:pt idx="388">
                  <c:v>#N/A</c:v>
                </c:pt>
                <c:pt idx="389">
                  <c:v>#N/A</c:v>
                </c:pt>
                <c:pt idx="390">
                  <c:v>#N/A</c:v>
                </c:pt>
                <c:pt idx="391">
                  <c:v>#N/A</c:v>
                </c:pt>
                <c:pt idx="392">
                  <c:v>2026</c:v>
                </c:pt>
                <c:pt idx="393">
                  <c:v>#N/A</c:v>
                </c:pt>
                <c:pt idx="394">
                  <c:v>#N/A</c:v>
                </c:pt>
                <c:pt idx="395">
                  <c:v>#N/A</c:v>
                </c:pt>
                <c:pt idx="396">
                  <c:v>#N/A</c:v>
                </c:pt>
                <c:pt idx="397">
                  <c:v>#N/A</c:v>
                </c:pt>
                <c:pt idx="398">
                  <c:v>#N/A</c:v>
                </c:pt>
                <c:pt idx="399">
                  <c:v>#N/A</c:v>
                </c:pt>
                <c:pt idx="400">
                  <c:v>#N/A</c:v>
                </c:pt>
                <c:pt idx="401">
                  <c:v>#N/A</c:v>
                </c:pt>
                <c:pt idx="402">
                  <c:v>#N/A</c:v>
                </c:pt>
                <c:pt idx="403">
                  <c:v>2023</c:v>
                </c:pt>
                <c:pt idx="404">
                  <c:v>2022</c:v>
                </c:pt>
                <c:pt idx="405">
                  <c:v>#N/A</c:v>
                </c:pt>
                <c:pt idx="406">
                  <c:v>#N/A</c:v>
                </c:pt>
                <c:pt idx="407">
                  <c:v>2024</c:v>
                </c:pt>
                <c:pt idx="408">
                  <c:v>2021</c:v>
                </c:pt>
                <c:pt idx="409">
                  <c:v>2023</c:v>
                </c:pt>
                <c:pt idx="410">
                  <c:v>#N/A</c:v>
                </c:pt>
                <c:pt idx="411">
                  <c:v>#N/A</c:v>
                </c:pt>
                <c:pt idx="412">
                  <c:v>#N/A</c:v>
                </c:pt>
                <c:pt idx="413">
                  <c:v>#N/A</c:v>
                </c:pt>
                <c:pt idx="414">
                  <c:v>#N/A</c:v>
                </c:pt>
                <c:pt idx="415">
                  <c:v>#N/A</c:v>
                </c:pt>
                <c:pt idx="416">
                  <c:v>#N/A</c:v>
                </c:pt>
                <c:pt idx="417">
                  <c:v>#N/A</c:v>
                </c:pt>
                <c:pt idx="418">
                  <c:v>2026</c:v>
                </c:pt>
                <c:pt idx="419">
                  <c:v>#N/A</c:v>
                </c:pt>
                <c:pt idx="420">
                  <c:v>#N/A</c:v>
                </c:pt>
                <c:pt idx="421">
                  <c:v>#N/A</c:v>
                </c:pt>
                <c:pt idx="422">
                  <c:v>2024</c:v>
                </c:pt>
                <c:pt idx="423">
                  <c:v>2024</c:v>
                </c:pt>
                <c:pt idx="424">
                  <c:v>2026</c:v>
                </c:pt>
                <c:pt idx="425">
                  <c:v>2025</c:v>
                </c:pt>
                <c:pt idx="426">
                  <c:v>#N/A</c:v>
                </c:pt>
                <c:pt idx="427">
                  <c:v>#N/A</c:v>
                </c:pt>
                <c:pt idx="428">
                  <c:v>#N/A</c:v>
                </c:pt>
                <c:pt idx="429">
                  <c:v>#N/A</c:v>
                </c:pt>
                <c:pt idx="430">
                  <c:v>#N/A</c:v>
                </c:pt>
                <c:pt idx="431">
                  <c:v>#N/A</c:v>
                </c:pt>
                <c:pt idx="432">
                  <c:v>#N/A</c:v>
                </c:pt>
                <c:pt idx="433">
                  <c:v>#N/A</c:v>
                </c:pt>
                <c:pt idx="434">
                  <c:v>#N/A</c:v>
                </c:pt>
                <c:pt idx="435">
                  <c:v>#N/A</c:v>
                </c:pt>
                <c:pt idx="436">
                  <c:v>#N/A</c:v>
                </c:pt>
                <c:pt idx="437">
                  <c:v>2021</c:v>
                </c:pt>
                <c:pt idx="438">
                  <c:v>#N/A</c:v>
                </c:pt>
                <c:pt idx="439">
                  <c:v>#N/A</c:v>
                </c:pt>
                <c:pt idx="440">
                  <c:v>#N/A</c:v>
                </c:pt>
                <c:pt idx="441">
                  <c:v>#N/A</c:v>
                </c:pt>
                <c:pt idx="442">
                  <c:v>2017</c:v>
                </c:pt>
                <c:pt idx="443">
                  <c:v>2020</c:v>
                </c:pt>
                <c:pt idx="444">
                  <c:v>2025</c:v>
                </c:pt>
                <c:pt idx="445">
                  <c:v>#N/A</c:v>
                </c:pt>
                <c:pt idx="446">
                  <c:v>#N/A</c:v>
                </c:pt>
                <c:pt idx="447">
                  <c:v>#N/A</c:v>
                </c:pt>
                <c:pt idx="448">
                  <c:v>#N/A</c:v>
                </c:pt>
                <c:pt idx="449">
                  <c:v>#N/A</c:v>
                </c:pt>
                <c:pt idx="450">
                  <c:v>#N/A</c:v>
                </c:pt>
                <c:pt idx="451">
                  <c:v>#N/A</c:v>
                </c:pt>
                <c:pt idx="452">
                  <c:v>#N/A</c:v>
                </c:pt>
                <c:pt idx="453">
                  <c:v>#N/A</c:v>
                </c:pt>
                <c:pt idx="454">
                  <c:v>2024</c:v>
                </c:pt>
                <c:pt idx="455">
                  <c:v>#N/A</c:v>
                </c:pt>
                <c:pt idx="456">
                  <c:v>#N/A</c:v>
                </c:pt>
                <c:pt idx="457">
                  <c:v>#N/A</c:v>
                </c:pt>
                <c:pt idx="458">
                  <c:v>#N/A</c:v>
                </c:pt>
                <c:pt idx="459">
                  <c:v>#N/A</c:v>
                </c:pt>
                <c:pt idx="460">
                  <c:v>#N/A</c:v>
                </c:pt>
                <c:pt idx="461">
                  <c:v>#N/A</c:v>
                </c:pt>
                <c:pt idx="462">
                  <c:v>2025</c:v>
                </c:pt>
                <c:pt idx="463">
                  <c:v>#N/A</c:v>
                </c:pt>
                <c:pt idx="464">
                  <c:v>#N/A</c:v>
                </c:pt>
                <c:pt idx="465">
                  <c:v>#N/A</c:v>
                </c:pt>
                <c:pt idx="466">
                  <c:v>2022</c:v>
                </c:pt>
                <c:pt idx="467">
                  <c:v>#N/A</c:v>
                </c:pt>
                <c:pt idx="468">
                  <c:v>#N/A</c:v>
                </c:pt>
                <c:pt idx="469">
                  <c:v>#N/A</c:v>
                </c:pt>
                <c:pt idx="470">
                  <c:v>#N/A</c:v>
                </c:pt>
                <c:pt idx="471">
                  <c:v>#N/A</c:v>
                </c:pt>
                <c:pt idx="472">
                  <c:v>#N/A</c:v>
                </c:pt>
                <c:pt idx="473">
                  <c:v>#N/A</c:v>
                </c:pt>
                <c:pt idx="474">
                  <c:v>#N/A</c:v>
                </c:pt>
                <c:pt idx="475">
                  <c:v>#N/A</c:v>
                </c:pt>
                <c:pt idx="476">
                  <c:v>#N/A</c:v>
                </c:pt>
                <c:pt idx="477">
                  <c:v>#N/A</c:v>
                </c:pt>
                <c:pt idx="478">
                  <c:v>2026</c:v>
                </c:pt>
                <c:pt idx="479">
                  <c:v>#N/A</c:v>
                </c:pt>
                <c:pt idx="480">
                  <c:v>#N/A</c:v>
                </c:pt>
                <c:pt idx="481">
                  <c:v>#N/A</c:v>
                </c:pt>
                <c:pt idx="482">
                  <c:v>#N/A</c:v>
                </c:pt>
                <c:pt idx="483">
                  <c:v>#N/A</c:v>
                </c:pt>
                <c:pt idx="484">
                  <c:v>#N/A</c:v>
                </c:pt>
                <c:pt idx="485">
                  <c:v>#N/A</c:v>
                </c:pt>
                <c:pt idx="486">
                  <c:v>#N/A</c:v>
                </c:pt>
                <c:pt idx="487">
                  <c:v>#N/A</c:v>
                </c:pt>
                <c:pt idx="488">
                  <c:v>2019</c:v>
                </c:pt>
                <c:pt idx="489">
                  <c:v>#N/A</c:v>
                </c:pt>
                <c:pt idx="490">
                  <c:v>#N/A</c:v>
                </c:pt>
                <c:pt idx="491">
                  <c:v>#N/A</c:v>
                </c:pt>
                <c:pt idx="492">
                  <c:v>#N/A</c:v>
                </c:pt>
                <c:pt idx="493">
                  <c:v>#N/A</c:v>
                </c:pt>
                <c:pt idx="494">
                  <c:v>2021</c:v>
                </c:pt>
                <c:pt idx="495">
                  <c:v>#N/A</c:v>
                </c:pt>
                <c:pt idx="496">
                  <c:v>#N/A</c:v>
                </c:pt>
                <c:pt idx="497">
                  <c:v>#N/A</c:v>
                </c:pt>
                <c:pt idx="498">
                  <c:v>#N/A</c:v>
                </c:pt>
                <c:pt idx="499">
                  <c:v>#N/A</c:v>
                </c:pt>
                <c:pt idx="500">
                  <c:v>#N/A</c:v>
                </c:pt>
                <c:pt idx="501">
                  <c:v>#N/A</c:v>
                </c:pt>
                <c:pt idx="502">
                  <c:v>2025</c:v>
                </c:pt>
                <c:pt idx="503">
                  <c:v>#N/A</c:v>
                </c:pt>
                <c:pt idx="504">
                  <c:v>#N/A</c:v>
                </c:pt>
                <c:pt idx="505">
                  <c:v>#N/A</c:v>
                </c:pt>
                <c:pt idx="506">
                  <c:v>#N/A</c:v>
                </c:pt>
                <c:pt idx="507">
                  <c:v>#N/A</c:v>
                </c:pt>
                <c:pt idx="508">
                  <c:v>#N/A</c:v>
                </c:pt>
                <c:pt idx="509">
                  <c:v>2025</c:v>
                </c:pt>
                <c:pt idx="510">
                  <c:v>#N/A</c:v>
                </c:pt>
                <c:pt idx="511">
                  <c:v>#N/A</c:v>
                </c:pt>
                <c:pt idx="512">
                  <c:v>#N/A</c:v>
                </c:pt>
                <c:pt idx="513">
                  <c:v>#N/A</c:v>
                </c:pt>
                <c:pt idx="514">
                  <c:v>#N/A</c:v>
                </c:pt>
                <c:pt idx="515">
                  <c:v>#N/A</c:v>
                </c:pt>
                <c:pt idx="516">
                  <c:v>#N/A</c:v>
                </c:pt>
                <c:pt idx="517">
                  <c:v>#N/A</c:v>
                </c:pt>
                <c:pt idx="518">
                  <c:v>2022</c:v>
                </c:pt>
                <c:pt idx="519">
                  <c:v>#N/A</c:v>
                </c:pt>
                <c:pt idx="520">
                  <c:v>#N/A</c:v>
                </c:pt>
                <c:pt idx="521">
                  <c:v>2025</c:v>
                </c:pt>
                <c:pt idx="522">
                  <c:v>#N/A</c:v>
                </c:pt>
                <c:pt idx="523">
                  <c:v>#N/A</c:v>
                </c:pt>
                <c:pt idx="524">
                  <c:v>2026</c:v>
                </c:pt>
                <c:pt idx="525">
                  <c:v>2021</c:v>
                </c:pt>
                <c:pt idx="526">
                  <c:v>2026</c:v>
                </c:pt>
                <c:pt idx="527">
                  <c:v>2022</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2026</c:v>
                </c:pt>
                <c:pt idx="549">
                  <c:v>#N/A</c:v>
                </c:pt>
                <c:pt idx="550">
                  <c:v>#N/A</c:v>
                </c:pt>
                <c:pt idx="551">
                  <c:v>#N/A</c:v>
                </c:pt>
                <c:pt idx="552">
                  <c:v>#N/A</c:v>
                </c:pt>
                <c:pt idx="553">
                  <c:v>2019</c:v>
                </c:pt>
                <c:pt idx="554">
                  <c:v>#N/A</c:v>
                </c:pt>
                <c:pt idx="555">
                  <c:v>#N/A</c:v>
                </c:pt>
                <c:pt idx="556">
                  <c:v>#N/A</c:v>
                </c:pt>
                <c:pt idx="557">
                  <c:v>#N/A</c:v>
                </c:pt>
                <c:pt idx="558">
                  <c:v>#N/A</c:v>
                </c:pt>
                <c:pt idx="559">
                  <c:v>#N/A</c:v>
                </c:pt>
                <c:pt idx="560">
                  <c:v>2025</c:v>
                </c:pt>
                <c:pt idx="561">
                  <c:v>#N/A</c:v>
                </c:pt>
                <c:pt idx="562">
                  <c:v>#N/A</c:v>
                </c:pt>
                <c:pt idx="563">
                  <c:v>#N/A</c:v>
                </c:pt>
                <c:pt idx="564">
                  <c:v>#N/A</c:v>
                </c:pt>
                <c:pt idx="565">
                  <c:v>#N/A</c:v>
                </c:pt>
                <c:pt idx="566">
                  <c:v>#N/A</c:v>
                </c:pt>
                <c:pt idx="567">
                  <c:v>#N/A</c:v>
                </c:pt>
                <c:pt idx="568">
                  <c:v>2022</c:v>
                </c:pt>
                <c:pt idx="569">
                  <c:v>#N/A</c:v>
                </c:pt>
                <c:pt idx="570">
                  <c:v>2025</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2024</c:v>
                </c:pt>
                <c:pt idx="589">
                  <c:v>#N/A</c:v>
                </c:pt>
                <c:pt idx="590">
                  <c:v>#N/A</c:v>
                </c:pt>
                <c:pt idx="591">
                  <c:v>2021</c:v>
                </c:pt>
                <c:pt idx="592">
                  <c:v>#N/A</c:v>
                </c:pt>
                <c:pt idx="593">
                  <c:v>2026</c:v>
                </c:pt>
                <c:pt idx="594">
                  <c:v>#N/A</c:v>
                </c:pt>
                <c:pt idx="595">
                  <c:v>#N/A</c:v>
                </c:pt>
                <c:pt idx="596">
                  <c:v>#N/A</c:v>
                </c:pt>
                <c:pt idx="597">
                  <c:v>#N/A</c:v>
                </c:pt>
                <c:pt idx="598">
                  <c:v>2026</c:v>
                </c:pt>
                <c:pt idx="599">
                  <c:v>2025</c:v>
                </c:pt>
                <c:pt idx="600">
                  <c:v>#N/A</c:v>
                </c:pt>
                <c:pt idx="601">
                  <c:v>2026</c:v>
                </c:pt>
                <c:pt idx="602">
                  <c:v>2025</c:v>
                </c:pt>
                <c:pt idx="603">
                  <c:v>2026</c:v>
                </c:pt>
                <c:pt idx="604">
                  <c:v>2023</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2024</c:v>
                </c:pt>
                <c:pt idx="640">
                  <c:v>#N/A</c:v>
                </c:pt>
                <c:pt idx="641">
                  <c:v>#N/A</c:v>
                </c:pt>
                <c:pt idx="642">
                  <c:v>2017</c:v>
                </c:pt>
                <c:pt idx="643">
                  <c:v>2026</c:v>
                </c:pt>
                <c:pt idx="644">
                  <c:v>#N/A</c:v>
                </c:pt>
                <c:pt idx="645">
                  <c:v>#N/A</c:v>
                </c:pt>
                <c:pt idx="646">
                  <c:v>2025</c:v>
                </c:pt>
                <c:pt idx="647">
                  <c:v>2026</c:v>
                </c:pt>
                <c:pt idx="648">
                  <c:v>2025</c:v>
                </c:pt>
                <c:pt idx="649">
                  <c:v>#N/A</c:v>
                </c:pt>
                <c:pt idx="650">
                  <c:v>#N/A</c:v>
                </c:pt>
                <c:pt idx="651">
                  <c:v>#N/A</c:v>
                </c:pt>
                <c:pt idx="652">
                  <c:v>2016</c:v>
                </c:pt>
                <c:pt idx="653">
                  <c:v>#N/A</c:v>
                </c:pt>
                <c:pt idx="654">
                  <c:v>#N/A</c:v>
                </c:pt>
                <c:pt idx="655">
                  <c:v>#N/A</c:v>
                </c:pt>
                <c:pt idx="656">
                  <c:v>#N/A</c:v>
                </c:pt>
                <c:pt idx="657">
                  <c:v>#N/A</c:v>
                </c:pt>
                <c:pt idx="658">
                  <c:v>#N/A</c:v>
                </c:pt>
                <c:pt idx="659">
                  <c:v>#N/A</c:v>
                </c:pt>
                <c:pt idx="660">
                  <c:v>#N/A</c:v>
                </c:pt>
                <c:pt idx="661">
                  <c:v>2024</c:v>
                </c:pt>
                <c:pt idx="662">
                  <c:v>#N/A</c:v>
                </c:pt>
                <c:pt idx="663">
                  <c:v>#N/A</c:v>
                </c:pt>
                <c:pt idx="664">
                  <c:v>#N/A</c:v>
                </c:pt>
                <c:pt idx="665">
                  <c:v>2024</c:v>
                </c:pt>
                <c:pt idx="666">
                  <c:v>#N/A</c:v>
                </c:pt>
                <c:pt idx="667">
                  <c:v>#N/A</c:v>
                </c:pt>
                <c:pt idx="668">
                  <c:v>#N/A</c:v>
                </c:pt>
                <c:pt idx="669">
                  <c:v>#N/A</c:v>
                </c:pt>
                <c:pt idx="670">
                  <c:v>#N/A</c:v>
                </c:pt>
                <c:pt idx="671">
                  <c:v>2025</c:v>
                </c:pt>
                <c:pt idx="672">
                  <c:v>#N/A</c:v>
                </c:pt>
                <c:pt idx="673">
                  <c:v>#N/A</c:v>
                </c:pt>
                <c:pt idx="674">
                  <c:v>#N/A</c:v>
                </c:pt>
                <c:pt idx="675">
                  <c:v>2025</c:v>
                </c:pt>
                <c:pt idx="676">
                  <c:v>2025</c:v>
                </c:pt>
                <c:pt idx="677">
                  <c:v>#N/A</c:v>
                </c:pt>
                <c:pt idx="678">
                  <c:v>#N/A</c:v>
                </c:pt>
                <c:pt idx="679">
                  <c:v>#N/A</c:v>
                </c:pt>
                <c:pt idx="680">
                  <c:v>#N/A</c:v>
                </c:pt>
                <c:pt idx="681">
                  <c:v>#N/A</c:v>
                </c:pt>
                <c:pt idx="682">
                  <c:v>#N/A</c:v>
                </c:pt>
                <c:pt idx="683">
                  <c:v>#N/A</c:v>
                </c:pt>
                <c:pt idx="684">
                  <c:v>#N/A</c:v>
                </c:pt>
                <c:pt idx="685">
                  <c:v>#N/A</c:v>
                </c:pt>
                <c:pt idx="686">
                  <c:v>#N/A</c:v>
                </c:pt>
                <c:pt idx="687">
                  <c:v>2022</c:v>
                </c:pt>
                <c:pt idx="688">
                  <c:v>#N/A</c:v>
                </c:pt>
                <c:pt idx="689">
                  <c:v>#N/A</c:v>
                </c:pt>
                <c:pt idx="690">
                  <c:v>2025</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2020</c:v>
                </c:pt>
                <c:pt idx="704">
                  <c:v>#N/A</c:v>
                </c:pt>
                <c:pt idx="705">
                  <c:v>#N/A</c:v>
                </c:pt>
                <c:pt idx="706">
                  <c:v>2026</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2025</c:v>
                </c:pt>
                <c:pt idx="723">
                  <c:v>#N/A</c:v>
                </c:pt>
                <c:pt idx="724">
                  <c:v>#N/A</c:v>
                </c:pt>
                <c:pt idx="725">
                  <c:v>#N/A</c:v>
                </c:pt>
                <c:pt idx="726">
                  <c:v>#N/A</c:v>
                </c:pt>
                <c:pt idx="727">
                  <c:v>#N/A</c:v>
                </c:pt>
                <c:pt idx="728">
                  <c:v>#N/A</c:v>
                </c:pt>
                <c:pt idx="729">
                  <c:v>#N/A</c:v>
                </c:pt>
                <c:pt idx="730">
                  <c:v>#N/A</c:v>
                </c:pt>
                <c:pt idx="731">
                  <c:v>#N/A</c:v>
                </c:pt>
                <c:pt idx="732">
                  <c:v>#N/A</c:v>
                </c:pt>
                <c:pt idx="733">
                  <c:v>#N/A</c:v>
                </c:pt>
                <c:pt idx="734">
                  <c:v>2025</c:v>
                </c:pt>
                <c:pt idx="735">
                  <c:v>#N/A</c:v>
                </c:pt>
                <c:pt idx="736">
                  <c:v>2026</c:v>
                </c:pt>
                <c:pt idx="737">
                  <c:v>#N/A</c:v>
                </c:pt>
                <c:pt idx="738">
                  <c:v>#N/A</c:v>
                </c:pt>
                <c:pt idx="739">
                  <c:v>#N/A</c:v>
                </c:pt>
                <c:pt idx="740">
                  <c:v>#N/A</c:v>
                </c:pt>
                <c:pt idx="741">
                  <c:v>2025</c:v>
                </c:pt>
                <c:pt idx="742">
                  <c:v>#N/A</c:v>
                </c:pt>
                <c:pt idx="743">
                  <c:v>#N/A</c:v>
                </c:pt>
                <c:pt idx="744">
                  <c:v>2025</c:v>
                </c:pt>
                <c:pt idx="745">
                  <c:v>#N/A</c:v>
                </c:pt>
                <c:pt idx="746">
                  <c:v>#N/A</c:v>
                </c:pt>
                <c:pt idx="747">
                  <c:v>#N/A</c:v>
                </c:pt>
                <c:pt idx="748">
                  <c:v>#N/A</c:v>
                </c:pt>
                <c:pt idx="749">
                  <c:v>#N/A</c:v>
                </c:pt>
                <c:pt idx="750">
                  <c:v>#N/A</c:v>
                </c:pt>
                <c:pt idx="751">
                  <c:v>#N/A</c:v>
                </c:pt>
                <c:pt idx="752">
                  <c:v>#N/A</c:v>
                </c:pt>
                <c:pt idx="753">
                  <c:v>#N/A</c:v>
                </c:pt>
                <c:pt idx="754">
                  <c:v>#N/A</c:v>
                </c:pt>
                <c:pt idx="755">
                  <c:v>#N/A</c:v>
                </c:pt>
                <c:pt idx="756">
                  <c:v>2022</c:v>
                </c:pt>
                <c:pt idx="757">
                  <c:v>#N/A</c:v>
                </c:pt>
                <c:pt idx="758">
                  <c:v>2023</c:v>
                </c:pt>
                <c:pt idx="759">
                  <c:v>#N/A</c:v>
                </c:pt>
                <c:pt idx="760">
                  <c:v>#N/A</c:v>
                </c:pt>
                <c:pt idx="761">
                  <c:v>#N/A</c:v>
                </c:pt>
                <c:pt idx="762">
                  <c:v>2021</c:v>
                </c:pt>
                <c:pt idx="763">
                  <c:v>2025</c:v>
                </c:pt>
                <c:pt idx="764">
                  <c:v>2019</c:v>
                </c:pt>
                <c:pt idx="765">
                  <c:v>#N/A</c:v>
                </c:pt>
                <c:pt idx="766">
                  <c:v>2026</c:v>
                </c:pt>
                <c:pt idx="767">
                  <c:v>#N/A</c:v>
                </c:pt>
                <c:pt idx="768">
                  <c:v>#N/A</c:v>
                </c:pt>
                <c:pt idx="769">
                  <c:v>#N/A</c:v>
                </c:pt>
                <c:pt idx="770">
                  <c:v>#N/A</c:v>
                </c:pt>
                <c:pt idx="771">
                  <c:v>#N/A</c:v>
                </c:pt>
                <c:pt idx="772">
                  <c:v>#N/A</c:v>
                </c:pt>
                <c:pt idx="773">
                  <c:v>#N/A</c:v>
                </c:pt>
                <c:pt idx="774">
                  <c:v>#N/A</c:v>
                </c:pt>
                <c:pt idx="775">
                  <c:v>#N/A</c:v>
                </c:pt>
                <c:pt idx="776">
                  <c:v>#N/A</c:v>
                </c:pt>
                <c:pt idx="777">
                  <c:v>#N/A</c:v>
                </c:pt>
                <c:pt idx="778">
                  <c:v>2026</c:v>
                </c:pt>
                <c:pt idx="779">
                  <c:v>#N/A</c:v>
                </c:pt>
                <c:pt idx="780">
                  <c:v>#N/A</c:v>
                </c:pt>
                <c:pt idx="781">
                  <c:v>2020</c:v>
                </c:pt>
                <c:pt idx="782">
                  <c:v>#N/A</c:v>
                </c:pt>
                <c:pt idx="783">
                  <c:v>#N/A</c:v>
                </c:pt>
                <c:pt idx="784">
                  <c:v>2021</c:v>
                </c:pt>
                <c:pt idx="785">
                  <c:v>2025</c:v>
                </c:pt>
                <c:pt idx="786">
                  <c:v>2026</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2023</c:v>
                </c:pt>
                <c:pt idx="809">
                  <c:v>#N/A</c:v>
                </c:pt>
                <c:pt idx="810">
                  <c:v>2026</c:v>
                </c:pt>
                <c:pt idx="811">
                  <c:v>#N/A</c:v>
                </c:pt>
                <c:pt idx="812">
                  <c:v>#N/A</c:v>
                </c:pt>
                <c:pt idx="813">
                  <c:v>2026</c:v>
                </c:pt>
                <c:pt idx="814">
                  <c:v>#N/A</c:v>
                </c:pt>
                <c:pt idx="815">
                  <c:v>#N/A</c:v>
                </c:pt>
                <c:pt idx="816">
                  <c:v>#N/A</c:v>
                </c:pt>
                <c:pt idx="817">
                  <c:v>2025</c:v>
                </c:pt>
                <c:pt idx="818">
                  <c:v>2025</c:v>
                </c:pt>
              </c:numCache>
            </c:numRef>
          </c:xVal>
          <c:yVal>
            <c:numRef>
              <c:f>'Map Calc'!$L$1:$L$820</c:f>
              <c:numCache>
                <c:formatCode>General</c:formatCode>
                <c:ptCount val="82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3.0459999999999998</c:v>
                </c:pt>
                <c:pt idx="36">
                  <c:v>3.069</c:v>
                </c:pt>
                <c:pt idx="37">
                  <c:v>#N/A</c:v>
                </c:pt>
                <c:pt idx="38">
                  <c:v>#N/A</c:v>
                </c:pt>
                <c:pt idx="39">
                  <c:v>#N/A</c:v>
                </c:pt>
                <c:pt idx="40">
                  <c:v>3.161</c:v>
                </c:pt>
                <c:pt idx="41">
                  <c:v>#N/A</c:v>
                </c:pt>
                <c:pt idx="42">
                  <c:v>#N/A</c:v>
                </c:pt>
                <c:pt idx="43">
                  <c:v>#N/A</c:v>
                </c:pt>
                <c:pt idx="44">
                  <c:v>#N/A</c:v>
                </c:pt>
                <c:pt idx="45">
                  <c:v>#N/A</c:v>
                </c:pt>
                <c:pt idx="46">
                  <c:v>#N/A</c:v>
                </c:pt>
                <c:pt idx="47">
                  <c:v>#N/A</c:v>
                </c:pt>
                <c:pt idx="48">
                  <c:v>#N/A</c:v>
                </c:pt>
                <c:pt idx="49">
                  <c:v>#N/A</c:v>
                </c:pt>
                <c:pt idx="50">
                  <c:v>3.391</c:v>
                </c:pt>
                <c:pt idx="51">
                  <c:v>#N/A</c:v>
                </c:pt>
                <c:pt idx="52">
                  <c:v>3.4369999999999998</c:v>
                </c:pt>
                <c:pt idx="53">
                  <c:v>#N/A</c:v>
                </c:pt>
                <c:pt idx="54">
                  <c:v>#N/A</c:v>
                </c:pt>
                <c:pt idx="55">
                  <c:v>3.5060000000000002</c:v>
                </c:pt>
                <c:pt idx="56">
                  <c:v>3.5289999999999999</c:v>
                </c:pt>
                <c:pt idx="57">
                  <c:v>#N/A</c:v>
                </c:pt>
                <c:pt idx="58">
                  <c:v>#N/A</c:v>
                </c:pt>
                <c:pt idx="59">
                  <c:v>#N/A</c:v>
                </c:pt>
                <c:pt idx="60">
                  <c:v>#N/A</c:v>
                </c:pt>
                <c:pt idx="61">
                  <c:v>#N/A</c:v>
                </c:pt>
                <c:pt idx="62">
                  <c:v>#N/A</c:v>
                </c:pt>
                <c:pt idx="63">
                  <c:v>3.69</c:v>
                </c:pt>
                <c:pt idx="64">
                  <c:v>#N/A</c:v>
                </c:pt>
                <c:pt idx="65">
                  <c:v>#N/A</c:v>
                </c:pt>
                <c:pt idx="66">
                  <c:v>#N/A</c:v>
                </c:pt>
                <c:pt idx="67">
                  <c:v>#N/A</c:v>
                </c:pt>
                <c:pt idx="68">
                  <c:v>3.0230000000000001</c:v>
                </c:pt>
                <c:pt idx="69">
                  <c:v>#N/A</c:v>
                </c:pt>
                <c:pt idx="70">
                  <c:v>3.069</c:v>
                </c:pt>
                <c:pt idx="71">
                  <c:v>3.0920000000000001</c:v>
                </c:pt>
                <c:pt idx="72">
                  <c:v>#N/A</c:v>
                </c:pt>
                <c:pt idx="73">
                  <c:v>3.1379999999999999</c:v>
                </c:pt>
                <c:pt idx="74">
                  <c:v>#N/A</c:v>
                </c:pt>
                <c:pt idx="75">
                  <c:v>#N/A</c:v>
                </c:pt>
                <c:pt idx="76">
                  <c:v>#N/A</c:v>
                </c:pt>
                <c:pt idx="77">
                  <c:v>#N/A</c:v>
                </c:pt>
                <c:pt idx="78">
                  <c:v>#N/A</c:v>
                </c:pt>
                <c:pt idx="79">
                  <c:v>#N/A</c:v>
                </c:pt>
                <c:pt idx="80">
                  <c:v>#N/A</c:v>
                </c:pt>
                <c:pt idx="81">
                  <c:v>#N/A</c:v>
                </c:pt>
                <c:pt idx="82">
                  <c:v>#N/A</c:v>
                </c:pt>
                <c:pt idx="83">
                  <c:v>3.3679999999999999</c:v>
                </c:pt>
                <c:pt idx="84">
                  <c:v>#N/A</c:v>
                </c:pt>
                <c:pt idx="85">
                  <c:v>#N/A</c:v>
                </c:pt>
                <c:pt idx="86">
                  <c:v>#N/A</c:v>
                </c:pt>
                <c:pt idx="87">
                  <c:v>3.46</c:v>
                </c:pt>
                <c:pt idx="88">
                  <c:v>3.4830000000000001</c:v>
                </c:pt>
                <c:pt idx="89">
                  <c:v>3.5060000000000002</c:v>
                </c:pt>
                <c:pt idx="90">
                  <c:v>#N/A</c:v>
                </c:pt>
                <c:pt idx="91">
                  <c:v>#N/A</c:v>
                </c:pt>
                <c:pt idx="92">
                  <c:v>#N/A</c:v>
                </c:pt>
                <c:pt idx="93">
                  <c:v>#N/A</c:v>
                </c:pt>
                <c:pt idx="94">
                  <c:v>#N/A</c:v>
                </c:pt>
                <c:pt idx="95">
                  <c:v>#N/A</c:v>
                </c:pt>
                <c:pt idx="96">
                  <c:v>#N/A</c:v>
                </c:pt>
                <c:pt idx="97">
                  <c:v>#N/A</c:v>
                </c:pt>
                <c:pt idx="98">
                  <c:v>#N/A</c:v>
                </c:pt>
                <c:pt idx="99">
                  <c:v>#N/A</c:v>
                </c:pt>
                <c:pt idx="100">
                  <c:v>#N/A</c:v>
                </c:pt>
                <c:pt idx="101">
                  <c:v>#N/A</c:v>
                </c:pt>
                <c:pt idx="102">
                  <c:v>3.0230000000000001</c:v>
                </c:pt>
                <c:pt idx="103">
                  <c:v>#N/A</c:v>
                </c:pt>
                <c:pt idx="104">
                  <c:v>#N/A</c:v>
                </c:pt>
                <c:pt idx="105">
                  <c:v>#N/A</c:v>
                </c:pt>
                <c:pt idx="106">
                  <c:v>#N/A</c:v>
                </c:pt>
                <c:pt idx="107">
                  <c:v>#N/A</c:v>
                </c:pt>
                <c:pt idx="108">
                  <c:v>3.161</c:v>
                </c:pt>
                <c:pt idx="109">
                  <c:v>#N/A</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3.621</c:v>
                </c:pt>
                <c:pt idx="129">
                  <c:v>#N/A</c:v>
                </c:pt>
                <c:pt idx="130">
                  <c:v>3.6669999999999998</c:v>
                </c:pt>
                <c:pt idx="131">
                  <c:v>#N/A</c:v>
                </c:pt>
                <c:pt idx="132">
                  <c:v>3.7130000000000001</c:v>
                </c:pt>
                <c:pt idx="133">
                  <c:v>#N/A</c:v>
                </c:pt>
                <c:pt idx="134">
                  <c:v>3.7589999999999999</c:v>
                </c:pt>
                <c:pt idx="135">
                  <c:v>#N/A</c:v>
                </c:pt>
                <c:pt idx="136">
                  <c:v>#N/A</c:v>
                </c:pt>
                <c:pt idx="137">
                  <c:v>#N/A</c:v>
                </c:pt>
                <c:pt idx="138">
                  <c:v>#N/A</c:v>
                </c:pt>
                <c:pt idx="139">
                  <c:v>#N/A</c:v>
                </c:pt>
                <c:pt idx="140">
                  <c:v>#N/A</c:v>
                </c:pt>
                <c:pt idx="141">
                  <c:v>#N/A</c:v>
                </c:pt>
                <c:pt idx="142">
                  <c:v>#N/A</c:v>
                </c:pt>
                <c:pt idx="143">
                  <c:v>3.1840000000000002</c:v>
                </c:pt>
                <c:pt idx="144">
                  <c:v>3.2069999999999999</c:v>
                </c:pt>
                <c:pt idx="145">
                  <c:v>3.23</c:v>
                </c:pt>
                <c:pt idx="146">
                  <c:v>#N/A</c:v>
                </c:pt>
                <c:pt idx="147">
                  <c:v>3.2759999999999998</c:v>
                </c:pt>
                <c:pt idx="148">
                  <c:v>#N/A</c:v>
                </c:pt>
                <c:pt idx="149">
                  <c:v>#N/A</c:v>
                </c:pt>
                <c:pt idx="150">
                  <c:v>#N/A</c:v>
                </c:pt>
                <c:pt idx="151">
                  <c:v>#N/A</c:v>
                </c:pt>
                <c:pt idx="152">
                  <c:v>3.391</c:v>
                </c:pt>
                <c:pt idx="153">
                  <c:v>3.4140000000000001</c:v>
                </c:pt>
                <c:pt idx="154">
                  <c:v>#N/A</c:v>
                </c:pt>
                <c:pt idx="155">
                  <c:v>#N/A</c:v>
                </c:pt>
                <c:pt idx="156">
                  <c:v>3.4830000000000001</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3.0230000000000001</c:v>
                </c:pt>
                <c:pt idx="171">
                  <c:v>#N/A</c:v>
                </c:pt>
                <c:pt idx="172">
                  <c:v>#N/A</c:v>
                </c:pt>
                <c:pt idx="173">
                  <c:v>#N/A</c:v>
                </c:pt>
                <c:pt idx="174">
                  <c:v>#N/A</c:v>
                </c:pt>
                <c:pt idx="175">
                  <c:v>#N/A</c:v>
                </c:pt>
                <c:pt idx="176">
                  <c:v>3.161</c:v>
                </c:pt>
                <c:pt idx="177">
                  <c:v>#N/A</c:v>
                </c:pt>
                <c:pt idx="178">
                  <c:v>3.2069999999999999</c:v>
                </c:pt>
                <c:pt idx="179">
                  <c:v>3.23</c:v>
                </c:pt>
                <c:pt idx="180">
                  <c:v>3.2530000000000001</c:v>
                </c:pt>
                <c:pt idx="181">
                  <c:v>#N/A</c:v>
                </c:pt>
                <c:pt idx="182">
                  <c:v>#N/A</c:v>
                </c:pt>
                <c:pt idx="183">
                  <c:v>3.3220000000000001</c:v>
                </c:pt>
                <c:pt idx="184">
                  <c:v>3.3449999999999998</c:v>
                </c:pt>
                <c:pt idx="185">
                  <c:v>#N/A</c:v>
                </c:pt>
                <c:pt idx="186">
                  <c:v>#N/A</c:v>
                </c:pt>
                <c:pt idx="187">
                  <c:v>#N/A</c:v>
                </c:pt>
                <c:pt idx="188">
                  <c:v>3.4369999999999998</c:v>
                </c:pt>
                <c:pt idx="189">
                  <c:v>#N/A</c:v>
                </c:pt>
                <c:pt idx="190">
                  <c:v>#N/A</c:v>
                </c:pt>
                <c:pt idx="191">
                  <c:v>#N/A</c:v>
                </c:pt>
                <c:pt idx="192">
                  <c:v>#N/A</c:v>
                </c:pt>
                <c:pt idx="193">
                  <c:v>#N/A</c:v>
                </c:pt>
                <c:pt idx="194">
                  <c:v>#N/A</c:v>
                </c:pt>
                <c:pt idx="195">
                  <c:v>3.5979999999999999</c:v>
                </c:pt>
                <c:pt idx="196">
                  <c:v>3.621</c:v>
                </c:pt>
                <c:pt idx="197">
                  <c:v>#N/A</c:v>
                </c:pt>
                <c:pt idx="198">
                  <c:v>3.6669999999999998</c:v>
                </c:pt>
                <c:pt idx="199">
                  <c:v>3.69</c:v>
                </c:pt>
                <c:pt idx="200">
                  <c:v>3.7130000000000001</c:v>
                </c:pt>
                <c:pt idx="201">
                  <c:v>3.7359999999999998</c:v>
                </c:pt>
                <c:pt idx="202">
                  <c:v>3.7589999999999999</c:v>
                </c:pt>
                <c:pt idx="203">
                  <c:v>3</c:v>
                </c:pt>
                <c:pt idx="204">
                  <c:v>#N/A</c:v>
                </c:pt>
                <c:pt idx="205">
                  <c:v>3.0459999999999998</c:v>
                </c:pt>
                <c:pt idx="206">
                  <c:v>#N/A</c:v>
                </c:pt>
                <c:pt idx="207">
                  <c:v>#N/A</c:v>
                </c:pt>
                <c:pt idx="208">
                  <c:v>3.1150000000000002</c:v>
                </c:pt>
                <c:pt idx="209">
                  <c:v>3.1379999999999999</c:v>
                </c:pt>
                <c:pt idx="210">
                  <c:v>3.161</c:v>
                </c:pt>
                <c:pt idx="211">
                  <c:v>#N/A</c:v>
                </c:pt>
                <c:pt idx="212">
                  <c:v>#N/A</c:v>
                </c:pt>
                <c:pt idx="213">
                  <c:v>#N/A</c:v>
                </c:pt>
                <c:pt idx="214">
                  <c:v>#N/A</c:v>
                </c:pt>
                <c:pt idx="215">
                  <c:v>#N/A</c:v>
                </c:pt>
                <c:pt idx="216">
                  <c:v>#N/A</c:v>
                </c:pt>
                <c:pt idx="217">
                  <c:v>#N/A</c:v>
                </c:pt>
                <c:pt idx="218">
                  <c:v>#N/A</c:v>
                </c:pt>
                <c:pt idx="219">
                  <c:v>#N/A</c:v>
                </c:pt>
                <c:pt idx="220">
                  <c:v>#N/A</c:v>
                </c:pt>
                <c:pt idx="221">
                  <c:v>#N/A</c:v>
                </c:pt>
                <c:pt idx="222">
                  <c:v>3.4369999999999998</c:v>
                </c:pt>
                <c:pt idx="223">
                  <c:v>#N/A</c:v>
                </c:pt>
                <c:pt idx="224">
                  <c:v>#N/A</c:v>
                </c:pt>
                <c:pt idx="225">
                  <c:v>#N/A</c:v>
                </c:pt>
                <c:pt idx="226">
                  <c:v>#N/A</c:v>
                </c:pt>
                <c:pt idx="227">
                  <c:v>3.552</c:v>
                </c:pt>
                <c:pt idx="228">
                  <c:v>#N/A</c:v>
                </c:pt>
                <c:pt idx="229">
                  <c:v>#N/A</c:v>
                </c:pt>
                <c:pt idx="230">
                  <c:v>#N/A</c:v>
                </c:pt>
                <c:pt idx="231">
                  <c:v>#N/A</c:v>
                </c:pt>
                <c:pt idx="232">
                  <c:v>#N/A</c:v>
                </c:pt>
                <c:pt idx="233">
                  <c:v>#N/A</c:v>
                </c:pt>
                <c:pt idx="234">
                  <c:v>#N/A</c:v>
                </c:pt>
                <c:pt idx="235">
                  <c:v>3.7359999999999998</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3.2989999999999999</c:v>
                </c:pt>
                <c:pt idx="251">
                  <c:v>#N/A</c:v>
                </c:pt>
                <c:pt idx="252">
                  <c:v>#N/A</c:v>
                </c:pt>
                <c:pt idx="253">
                  <c:v>#N/A</c:v>
                </c:pt>
                <c:pt idx="254">
                  <c:v>#N/A</c:v>
                </c:pt>
                <c:pt idx="255">
                  <c:v>#N/A</c:v>
                </c:pt>
                <c:pt idx="256">
                  <c:v>#N/A</c:v>
                </c:pt>
                <c:pt idx="257">
                  <c:v>#N/A</c:v>
                </c:pt>
                <c:pt idx="258">
                  <c:v>#N/A</c:v>
                </c:pt>
                <c:pt idx="259">
                  <c:v>3.5060000000000002</c:v>
                </c:pt>
                <c:pt idx="260">
                  <c:v>3.5289999999999999</c:v>
                </c:pt>
                <c:pt idx="261">
                  <c:v>#N/A</c:v>
                </c:pt>
                <c:pt idx="262">
                  <c:v>#N/A</c:v>
                </c:pt>
                <c:pt idx="263">
                  <c:v>#N/A</c:v>
                </c:pt>
                <c:pt idx="264">
                  <c:v>3.621</c:v>
                </c:pt>
                <c:pt idx="265">
                  <c:v>#N/A</c:v>
                </c:pt>
                <c:pt idx="266">
                  <c:v>#N/A</c:v>
                </c:pt>
                <c:pt idx="267">
                  <c:v>#N/A</c:v>
                </c:pt>
                <c:pt idx="268">
                  <c:v>#N/A</c:v>
                </c:pt>
                <c:pt idx="269">
                  <c:v>#N/A</c:v>
                </c:pt>
                <c:pt idx="270">
                  <c:v>3.7589999999999999</c:v>
                </c:pt>
                <c:pt idx="271">
                  <c:v>#N/A</c:v>
                </c:pt>
                <c:pt idx="272">
                  <c:v>#N/A</c:v>
                </c:pt>
                <c:pt idx="273">
                  <c:v>#N/A</c:v>
                </c:pt>
                <c:pt idx="274">
                  <c:v>3.069</c:v>
                </c:pt>
                <c:pt idx="275">
                  <c:v>#N/A</c:v>
                </c:pt>
                <c:pt idx="276">
                  <c:v>#N/A</c:v>
                </c:pt>
                <c:pt idx="277">
                  <c:v>#N/A</c:v>
                </c:pt>
                <c:pt idx="278">
                  <c:v>#N/A</c:v>
                </c:pt>
                <c:pt idx="279">
                  <c:v>#N/A</c:v>
                </c:pt>
                <c:pt idx="280">
                  <c:v>#N/A</c:v>
                </c:pt>
                <c:pt idx="281">
                  <c:v>#N/A</c:v>
                </c:pt>
                <c:pt idx="282">
                  <c:v>#N/A</c:v>
                </c:pt>
                <c:pt idx="283">
                  <c:v>#N/A</c:v>
                </c:pt>
                <c:pt idx="284">
                  <c:v>#N/A</c:v>
                </c:pt>
                <c:pt idx="285">
                  <c:v>#N/A</c:v>
                </c:pt>
                <c:pt idx="286">
                  <c:v>3.3449999999999998</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3.6440000000000001</c:v>
                </c:pt>
                <c:pt idx="300">
                  <c:v>#N/A</c:v>
                </c:pt>
                <c:pt idx="301">
                  <c:v>#N/A</c:v>
                </c:pt>
                <c:pt idx="302">
                  <c:v>#N/A</c:v>
                </c:pt>
                <c:pt idx="303">
                  <c:v>#N/A</c:v>
                </c:pt>
                <c:pt idx="304">
                  <c:v>#N/A</c:v>
                </c:pt>
                <c:pt idx="305">
                  <c:v>#N/A</c:v>
                </c:pt>
                <c:pt idx="306">
                  <c:v>#N/A</c:v>
                </c:pt>
                <c:pt idx="307">
                  <c:v>#N/A</c:v>
                </c:pt>
                <c:pt idx="308">
                  <c:v>#N/A</c:v>
                </c:pt>
                <c:pt idx="309">
                  <c:v>#N/A</c:v>
                </c:pt>
                <c:pt idx="310">
                  <c:v>#N/A</c:v>
                </c:pt>
                <c:pt idx="311">
                  <c:v>3.1379999999999999</c:v>
                </c:pt>
                <c:pt idx="312">
                  <c:v>#N/A</c:v>
                </c:pt>
                <c:pt idx="313">
                  <c:v>#N/A</c:v>
                </c:pt>
                <c:pt idx="314">
                  <c:v>3.2069999999999999</c:v>
                </c:pt>
                <c:pt idx="315">
                  <c:v>#N/A</c:v>
                </c:pt>
                <c:pt idx="316">
                  <c:v>#N/A</c:v>
                </c:pt>
                <c:pt idx="317">
                  <c:v>#N/A</c:v>
                </c:pt>
                <c:pt idx="318">
                  <c:v>#N/A</c:v>
                </c:pt>
                <c:pt idx="319">
                  <c:v>#N/A</c:v>
                </c:pt>
                <c:pt idx="320">
                  <c:v>#N/A</c:v>
                </c:pt>
                <c:pt idx="321">
                  <c:v>3.3679999999999999</c:v>
                </c:pt>
                <c:pt idx="322">
                  <c:v>#N/A</c:v>
                </c:pt>
                <c:pt idx="323">
                  <c:v>#N/A</c:v>
                </c:pt>
                <c:pt idx="324">
                  <c:v>#N/A</c:v>
                </c:pt>
                <c:pt idx="325">
                  <c:v>3.46</c:v>
                </c:pt>
                <c:pt idx="326">
                  <c:v>3.4830000000000001</c:v>
                </c:pt>
                <c:pt idx="327">
                  <c:v>#N/A</c:v>
                </c:pt>
                <c:pt idx="328">
                  <c:v>#N/A</c:v>
                </c:pt>
                <c:pt idx="329">
                  <c:v>#N/A</c:v>
                </c:pt>
                <c:pt idx="330">
                  <c:v>#N/A</c:v>
                </c:pt>
                <c:pt idx="331">
                  <c:v>#N/A</c:v>
                </c:pt>
                <c:pt idx="332">
                  <c:v>#N/A</c:v>
                </c:pt>
                <c:pt idx="333">
                  <c:v>3.6440000000000001</c:v>
                </c:pt>
                <c:pt idx="334">
                  <c:v>#N/A</c:v>
                </c:pt>
                <c:pt idx="335">
                  <c:v>#N/A</c:v>
                </c:pt>
                <c:pt idx="336">
                  <c:v>#N/A</c:v>
                </c:pt>
                <c:pt idx="337">
                  <c:v>#N/A</c:v>
                </c:pt>
                <c:pt idx="338">
                  <c:v>#N/A</c:v>
                </c:pt>
                <c:pt idx="339">
                  <c:v>#N/A</c:v>
                </c:pt>
                <c:pt idx="340">
                  <c:v>3.0230000000000001</c:v>
                </c:pt>
                <c:pt idx="341">
                  <c:v>#N/A</c:v>
                </c:pt>
                <c:pt idx="342">
                  <c:v>#N/A</c:v>
                </c:pt>
                <c:pt idx="343">
                  <c:v>#N/A</c:v>
                </c:pt>
                <c:pt idx="344">
                  <c:v>#N/A</c:v>
                </c:pt>
                <c:pt idx="345">
                  <c:v>#N/A</c:v>
                </c:pt>
                <c:pt idx="346">
                  <c:v>#N/A</c:v>
                </c:pt>
                <c:pt idx="347">
                  <c:v>#N/A</c:v>
                </c:pt>
                <c:pt idx="348">
                  <c:v>#N/A</c:v>
                </c:pt>
                <c:pt idx="349">
                  <c:v>#N/A</c:v>
                </c:pt>
                <c:pt idx="350">
                  <c:v>#N/A</c:v>
                </c:pt>
                <c:pt idx="351">
                  <c:v>#N/A</c:v>
                </c:pt>
                <c:pt idx="352">
                  <c:v>3.2989999999999999</c:v>
                </c:pt>
                <c:pt idx="353">
                  <c:v>#N/A</c:v>
                </c:pt>
                <c:pt idx="354">
                  <c:v>#N/A</c:v>
                </c:pt>
                <c:pt idx="355">
                  <c:v>#N/A</c:v>
                </c:pt>
                <c:pt idx="356">
                  <c:v>#N/A</c:v>
                </c:pt>
                <c:pt idx="357">
                  <c:v>#N/A</c:v>
                </c:pt>
                <c:pt idx="358">
                  <c:v>#N/A</c:v>
                </c:pt>
                <c:pt idx="359">
                  <c:v>#N/A</c:v>
                </c:pt>
                <c:pt idx="360">
                  <c:v>#N/A</c:v>
                </c:pt>
                <c:pt idx="361">
                  <c:v>#N/A</c:v>
                </c:pt>
                <c:pt idx="362">
                  <c:v>#N/A</c:v>
                </c:pt>
                <c:pt idx="363">
                  <c:v>#N/A</c:v>
                </c:pt>
                <c:pt idx="364">
                  <c:v>3.5750000000000002</c:v>
                </c:pt>
                <c:pt idx="365">
                  <c:v>#N/A</c:v>
                </c:pt>
                <c:pt idx="366">
                  <c:v>#N/A</c:v>
                </c:pt>
                <c:pt idx="367">
                  <c:v>3.6440000000000001</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3.2759999999999998</c:v>
                </c:pt>
                <c:pt idx="386">
                  <c:v>3.2989999999999999</c:v>
                </c:pt>
                <c:pt idx="387">
                  <c:v>#N/A</c:v>
                </c:pt>
                <c:pt idx="388">
                  <c:v>#N/A</c:v>
                </c:pt>
                <c:pt idx="389">
                  <c:v>#N/A</c:v>
                </c:pt>
                <c:pt idx="390">
                  <c:v>#N/A</c:v>
                </c:pt>
                <c:pt idx="391">
                  <c:v>#N/A</c:v>
                </c:pt>
                <c:pt idx="392">
                  <c:v>#N/A</c:v>
                </c:pt>
                <c:pt idx="393">
                  <c:v>3.46</c:v>
                </c:pt>
                <c:pt idx="394">
                  <c:v>#N/A</c:v>
                </c:pt>
                <c:pt idx="395">
                  <c:v>#N/A</c:v>
                </c:pt>
                <c:pt idx="396">
                  <c:v>#N/A</c:v>
                </c:pt>
                <c:pt idx="397">
                  <c:v>#N/A</c:v>
                </c:pt>
                <c:pt idx="398">
                  <c:v>#N/A</c:v>
                </c:pt>
                <c:pt idx="399">
                  <c:v>#N/A</c:v>
                </c:pt>
                <c:pt idx="400">
                  <c:v>#N/A</c:v>
                </c:pt>
                <c:pt idx="401">
                  <c:v>#N/A</c:v>
                </c:pt>
                <c:pt idx="402">
                  <c:v>#N/A</c:v>
                </c:pt>
                <c:pt idx="403">
                  <c:v>#N/A</c:v>
                </c:pt>
                <c:pt idx="404">
                  <c:v>3.7130000000000001</c:v>
                </c:pt>
                <c:pt idx="405">
                  <c:v>3.7359999999999998</c:v>
                </c:pt>
                <c:pt idx="406">
                  <c:v>#N/A</c:v>
                </c:pt>
                <c:pt idx="407">
                  <c:v>#N/A</c:v>
                </c:pt>
                <c:pt idx="408">
                  <c:v>3.0230000000000001</c:v>
                </c:pt>
                <c:pt idx="409">
                  <c:v>3.0459999999999998</c:v>
                </c:pt>
                <c:pt idx="410">
                  <c:v>3.069</c:v>
                </c:pt>
                <c:pt idx="411">
                  <c:v>#N/A</c:v>
                </c:pt>
                <c:pt idx="412">
                  <c:v>#N/A</c:v>
                </c:pt>
                <c:pt idx="413">
                  <c:v>#N/A</c:v>
                </c:pt>
                <c:pt idx="414">
                  <c:v>#N/A</c:v>
                </c:pt>
                <c:pt idx="415">
                  <c:v>#N/A</c:v>
                </c:pt>
                <c:pt idx="416">
                  <c:v>#N/A</c:v>
                </c:pt>
                <c:pt idx="417">
                  <c:v>#N/A</c:v>
                </c:pt>
                <c:pt idx="418">
                  <c:v>#N/A</c:v>
                </c:pt>
                <c:pt idx="419">
                  <c:v>3.2759999999999998</c:v>
                </c:pt>
                <c:pt idx="420">
                  <c:v>#N/A</c:v>
                </c:pt>
                <c:pt idx="421">
                  <c:v>#N/A</c:v>
                </c:pt>
                <c:pt idx="422">
                  <c:v>#N/A</c:v>
                </c:pt>
                <c:pt idx="423">
                  <c:v>3.3679999999999999</c:v>
                </c:pt>
                <c:pt idx="424">
                  <c:v>3.391</c:v>
                </c:pt>
                <c:pt idx="425">
                  <c:v>3.4140000000000001</c:v>
                </c:pt>
                <c:pt idx="426">
                  <c:v>3.4369999999999998</c:v>
                </c:pt>
                <c:pt idx="427">
                  <c:v>#N/A</c:v>
                </c:pt>
                <c:pt idx="428">
                  <c:v>#N/A</c:v>
                </c:pt>
                <c:pt idx="429">
                  <c:v>#N/A</c:v>
                </c:pt>
                <c:pt idx="430">
                  <c:v>#N/A</c:v>
                </c:pt>
                <c:pt idx="431">
                  <c:v>#N/A</c:v>
                </c:pt>
                <c:pt idx="432">
                  <c:v>#N/A</c:v>
                </c:pt>
                <c:pt idx="433">
                  <c:v>#N/A</c:v>
                </c:pt>
                <c:pt idx="434">
                  <c:v>#N/A</c:v>
                </c:pt>
                <c:pt idx="435">
                  <c:v>#N/A</c:v>
                </c:pt>
                <c:pt idx="436">
                  <c:v>#N/A</c:v>
                </c:pt>
                <c:pt idx="437">
                  <c:v>#N/A</c:v>
                </c:pt>
                <c:pt idx="438">
                  <c:v>3.7130000000000001</c:v>
                </c:pt>
                <c:pt idx="439">
                  <c:v>#N/A</c:v>
                </c:pt>
                <c:pt idx="440">
                  <c:v>#N/A</c:v>
                </c:pt>
                <c:pt idx="441">
                  <c:v>#N/A</c:v>
                </c:pt>
                <c:pt idx="442">
                  <c:v>#N/A</c:v>
                </c:pt>
                <c:pt idx="443">
                  <c:v>3.0459999999999998</c:v>
                </c:pt>
                <c:pt idx="444">
                  <c:v>3.069</c:v>
                </c:pt>
                <c:pt idx="445">
                  <c:v>3.0920000000000001</c:v>
                </c:pt>
                <c:pt idx="446">
                  <c:v>#N/A</c:v>
                </c:pt>
                <c:pt idx="447">
                  <c:v>#N/A</c:v>
                </c:pt>
                <c:pt idx="448">
                  <c:v>#N/A</c:v>
                </c:pt>
                <c:pt idx="449">
                  <c:v>#N/A</c:v>
                </c:pt>
                <c:pt idx="450">
                  <c:v>#N/A</c:v>
                </c:pt>
                <c:pt idx="451">
                  <c:v>#N/A</c:v>
                </c:pt>
                <c:pt idx="452">
                  <c:v>#N/A</c:v>
                </c:pt>
                <c:pt idx="453">
                  <c:v>#N/A</c:v>
                </c:pt>
                <c:pt idx="454">
                  <c:v>#N/A</c:v>
                </c:pt>
                <c:pt idx="455">
                  <c:v>3.3220000000000001</c:v>
                </c:pt>
                <c:pt idx="456">
                  <c:v>#N/A</c:v>
                </c:pt>
                <c:pt idx="457">
                  <c:v>#N/A</c:v>
                </c:pt>
                <c:pt idx="458">
                  <c:v>#N/A</c:v>
                </c:pt>
                <c:pt idx="459">
                  <c:v>#N/A</c:v>
                </c:pt>
                <c:pt idx="460">
                  <c:v>#N/A</c:v>
                </c:pt>
                <c:pt idx="461">
                  <c:v>#N/A</c:v>
                </c:pt>
                <c:pt idx="462">
                  <c:v>#N/A</c:v>
                </c:pt>
                <c:pt idx="463">
                  <c:v>3.5060000000000002</c:v>
                </c:pt>
                <c:pt idx="464">
                  <c:v>#N/A</c:v>
                </c:pt>
                <c:pt idx="465">
                  <c:v>#N/A</c:v>
                </c:pt>
                <c:pt idx="466">
                  <c:v>#N/A</c:v>
                </c:pt>
                <c:pt idx="467">
                  <c:v>3.5979999999999999</c:v>
                </c:pt>
                <c:pt idx="468">
                  <c:v>#N/A</c:v>
                </c:pt>
                <c:pt idx="469">
                  <c:v>#N/A</c:v>
                </c:pt>
                <c:pt idx="470">
                  <c:v>#N/A</c:v>
                </c:pt>
                <c:pt idx="471">
                  <c:v>#N/A</c:v>
                </c:pt>
                <c:pt idx="472">
                  <c:v>#N/A</c:v>
                </c:pt>
                <c:pt idx="473">
                  <c:v>#N/A</c:v>
                </c:pt>
                <c:pt idx="474">
                  <c:v>#N/A</c:v>
                </c:pt>
                <c:pt idx="475">
                  <c:v>#N/A</c:v>
                </c:pt>
                <c:pt idx="476">
                  <c:v>#N/A</c:v>
                </c:pt>
                <c:pt idx="477">
                  <c:v>#N/A</c:v>
                </c:pt>
                <c:pt idx="478">
                  <c:v>#N/A</c:v>
                </c:pt>
                <c:pt idx="479">
                  <c:v>3.0920000000000001</c:v>
                </c:pt>
                <c:pt idx="480">
                  <c:v>#N/A</c:v>
                </c:pt>
                <c:pt idx="481">
                  <c:v>#N/A</c:v>
                </c:pt>
                <c:pt idx="482">
                  <c:v>#N/A</c:v>
                </c:pt>
                <c:pt idx="483">
                  <c:v>#N/A</c:v>
                </c:pt>
                <c:pt idx="484">
                  <c:v>#N/A</c:v>
                </c:pt>
                <c:pt idx="485">
                  <c:v>#N/A</c:v>
                </c:pt>
                <c:pt idx="486">
                  <c:v>#N/A</c:v>
                </c:pt>
                <c:pt idx="487">
                  <c:v>#N/A</c:v>
                </c:pt>
                <c:pt idx="488">
                  <c:v>#N/A</c:v>
                </c:pt>
                <c:pt idx="489">
                  <c:v>3.3220000000000001</c:v>
                </c:pt>
                <c:pt idx="490">
                  <c:v>#N/A</c:v>
                </c:pt>
                <c:pt idx="491">
                  <c:v>#N/A</c:v>
                </c:pt>
                <c:pt idx="492">
                  <c:v>#N/A</c:v>
                </c:pt>
                <c:pt idx="493">
                  <c:v>#N/A</c:v>
                </c:pt>
                <c:pt idx="494">
                  <c:v>#N/A</c:v>
                </c:pt>
                <c:pt idx="495">
                  <c:v>3.46</c:v>
                </c:pt>
                <c:pt idx="496">
                  <c:v>#N/A</c:v>
                </c:pt>
                <c:pt idx="497">
                  <c:v>#N/A</c:v>
                </c:pt>
                <c:pt idx="498">
                  <c:v>#N/A</c:v>
                </c:pt>
                <c:pt idx="499">
                  <c:v>#N/A</c:v>
                </c:pt>
                <c:pt idx="500">
                  <c:v>#N/A</c:v>
                </c:pt>
                <c:pt idx="501">
                  <c:v>#N/A</c:v>
                </c:pt>
                <c:pt idx="502">
                  <c:v>#N/A</c:v>
                </c:pt>
                <c:pt idx="503">
                  <c:v>3.6440000000000001</c:v>
                </c:pt>
                <c:pt idx="504">
                  <c:v>#N/A</c:v>
                </c:pt>
                <c:pt idx="505">
                  <c:v>#N/A</c:v>
                </c:pt>
                <c:pt idx="506">
                  <c:v>#N/A</c:v>
                </c:pt>
                <c:pt idx="507">
                  <c:v>#N/A</c:v>
                </c:pt>
                <c:pt idx="508">
                  <c:v>#N/A</c:v>
                </c:pt>
                <c:pt idx="509">
                  <c:v>#N/A</c:v>
                </c:pt>
                <c:pt idx="510">
                  <c:v>3.0230000000000001</c:v>
                </c:pt>
                <c:pt idx="511">
                  <c:v>#N/A</c:v>
                </c:pt>
                <c:pt idx="512">
                  <c:v>#N/A</c:v>
                </c:pt>
                <c:pt idx="513">
                  <c:v>#N/A</c:v>
                </c:pt>
                <c:pt idx="514">
                  <c:v>#N/A</c:v>
                </c:pt>
                <c:pt idx="515">
                  <c:v>#N/A</c:v>
                </c:pt>
                <c:pt idx="516">
                  <c:v>#N/A</c:v>
                </c:pt>
                <c:pt idx="517">
                  <c:v>#N/A</c:v>
                </c:pt>
                <c:pt idx="518">
                  <c:v>#N/A</c:v>
                </c:pt>
                <c:pt idx="519">
                  <c:v>3.23</c:v>
                </c:pt>
                <c:pt idx="520">
                  <c:v>#N/A</c:v>
                </c:pt>
                <c:pt idx="521">
                  <c:v>#N/A</c:v>
                </c:pt>
                <c:pt idx="522">
                  <c:v>3.2989999999999999</c:v>
                </c:pt>
                <c:pt idx="523">
                  <c:v>#N/A</c:v>
                </c:pt>
                <c:pt idx="524">
                  <c:v>#N/A</c:v>
                </c:pt>
                <c:pt idx="525">
                  <c:v>3.3679999999999999</c:v>
                </c:pt>
                <c:pt idx="526">
                  <c:v>3.391</c:v>
                </c:pt>
                <c:pt idx="527">
                  <c:v>3.4140000000000001</c:v>
                </c:pt>
                <c:pt idx="528">
                  <c:v>3.4369999999999998</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3.1379999999999999</c:v>
                </c:pt>
                <c:pt idx="550">
                  <c:v>#N/A</c:v>
                </c:pt>
                <c:pt idx="551">
                  <c:v>#N/A</c:v>
                </c:pt>
                <c:pt idx="552">
                  <c:v>#N/A</c:v>
                </c:pt>
                <c:pt idx="553">
                  <c:v>#N/A</c:v>
                </c:pt>
                <c:pt idx="554">
                  <c:v>3.2530000000000001</c:v>
                </c:pt>
                <c:pt idx="555">
                  <c:v>#N/A</c:v>
                </c:pt>
                <c:pt idx="556">
                  <c:v>#N/A</c:v>
                </c:pt>
                <c:pt idx="557">
                  <c:v>#N/A</c:v>
                </c:pt>
                <c:pt idx="558">
                  <c:v>#N/A</c:v>
                </c:pt>
                <c:pt idx="559">
                  <c:v>#N/A</c:v>
                </c:pt>
                <c:pt idx="560">
                  <c:v>#N/A</c:v>
                </c:pt>
                <c:pt idx="561">
                  <c:v>3.4140000000000001</c:v>
                </c:pt>
                <c:pt idx="562">
                  <c:v>#N/A</c:v>
                </c:pt>
                <c:pt idx="563">
                  <c:v>#N/A</c:v>
                </c:pt>
                <c:pt idx="564">
                  <c:v>#N/A</c:v>
                </c:pt>
                <c:pt idx="565">
                  <c:v>#N/A</c:v>
                </c:pt>
                <c:pt idx="566">
                  <c:v>#N/A</c:v>
                </c:pt>
                <c:pt idx="567">
                  <c:v>#N/A</c:v>
                </c:pt>
                <c:pt idx="568">
                  <c:v>#N/A</c:v>
                </c:pt>
                <c:pt idx="569">
                  <c:v>3.5979999999999999</c:v>
                </c:pt>
                <c:pt idx="570">
                  <c:v>#N/A</c:v>
                </c:pt>
                <c:pt idx="571">
                  <c:v>3.6440000000000001</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3.2759999999999998</c:v>
                </c:pt>
                <c:pt idx="590">
                  <c:v>#N/A</c:v>
                </c:pt>
                <c:pt idx="591">
                  <c:v>#N/A</c:v>
                </c:pt>
                <c:pt idx="592">
                  <c:v>3.3449999999999998</c:v>
                </c:pt>
                <c:pt idx="593">
                  <c:v>#N/A</c:v>
                </c:pt>
                <c:pt idx="594">
                  <c:v>3.391</c:v>
                </c:pt>
                <c:pt idx="595">
                  <c:v>#N/A</c:v>
                </c:pt>
                <c:pt idx="596">
                  <c:v>#N/A</c:v>
                </c:pt>
                <c:pt idx="597">
                  <c:v>#N/A</c:v>
                </c:pt>
                <c:pt idx="598">
                  <c:v>#N/A</c:v>
                </c:pt>
                <c:pt idx="599">
                  <c:v>3.5060000000000002</c:v>
                </c:pt>
                <c:pt idx="600">
                  <c:v>3.5289999999999999</c:v>
                </c:pt>
                <c:pt idx="601">
                  <c:v>#N/A</c:v>
                </c:pt>
                <c:pt idx="602">
                  <c:v>3.5750000000000002</c:v>
                </c:pt>
                <c:pt idx="603">
                  <c:v>3.5979999999999999</c:v>
                </c:pt>
                <c:pt idx="604">
                  <c:v>3.621</c:v>
                </c:pt>
                <c:pt idx="605">
                  <c:v>3.6440000000000001</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3.6669999999999998</c:v>
                </c:pt>
                <c:pt idx="641">
                  <c:v>#N/A</c:v>
                </c:pt>
                <c:pt idx="642">
                  <c:v>#N/A</c:v>
                </c:pt>
                <c:pt idx="643">
                  <c:v>3.7359999999999998</c:v>
                </c:pt>
                <c:pt idx="644">
                  <c:v>3.7589999999999999</c:v>
                </c:pt>
                <c:pt idx="645">
                  <c:v>#N/A</c:v>
                </c:pt>
                <c:pt idx="646">
                  <c:v>#N/A</c:v>
                </c:pt>
                <c:pt idx="647">
                  <c:v>3.0459999999999998</c:v>
                </c:pt>
                <c:pt idx="648">
                  <c:v>3.069</c:v>
                </c:pt>
                <c:pt idx="649">
                  <c:v>3.0920000000000001</c:v>
                </c:pt>
                <c:pt idx="650">
                  <c:v>#N/A</c:v>
                </c:pt>
                <c:pt idx="651">
                  <c:v>#N/A</c:v>
                </c:pt>
                <c:pt idx="652">
                  <c:v>#N/A</c:v>
                </c:pt>
                <c:pt idx="653">
                  <c:v>3.1840000000000002</c:v>
                </c:pt>
                <c:pt idx="654">
                  <c:v>#N/A</c:v>
                </c:pt>
                <c:pt idx="655">
                  <c:v>#N/A</c:v>
                </c:pt>
                <c:pt idx="656">
                  <c:v>#N/A</c:v>
                </c:pt>
                <c:pt idx="657">
                  <c:v>#N/A</c:v>
                </c:pt>
                <c:pt idx="658">
                  <c:v>#N/A</c:v>
                </c:pt>
                <c:pt idx="659">
                  <c:v>#N/A</c:v>
                </c:pt>
                <c:pt idx="660">
                  <c:v>#N/A</c:v>
                </c:pt>
                <c:pt idx="661">
                  <c:v>#N/A</c:v>
                </c:pt>
                <c:pt idx="662">
                  <c:v>3.391</c:v>
                </c:pt>
                <c:pt idx="663">
                  <c:v>#N/A</c:v>
                </c:pt>
                <c:pt idx="664">
                  <c:v>#N/A</c:v>
                </c:pt>
                <c:pt idx="665">
                  <c:v>#N/A</c:v>
                </c:pt>
                <c:pt idx="666">
                  <c:v>3.4830000000000001</c:v>
                </c:pt>
                <c:pt idx="667">
                  <c:v>#N/A</c:v>
                </c:pt>
                <c:pt idx="668">
                  <c:v>#N/A</c:v>
                </c:pt>
                <c:pt idx="669">
                  <c:v>#N/A</c:v>
                </c:pt>
                <c:pt idx="670">
                  <c:v>#N/A</c:v>
                </c:pt>
                <c:pt idx="671">
                  <c:v>#N/A</c:v>
                </c:pt>
                <c:pt idx="672">
                  <c:v>3.621</c:v>
                </c:pt>
                <c:pt idx="673">
                  <c:v>#N/A</c:v>
                </c:pt>
                <c:pt idx="674">
                  <c:v>#N/A</c:v>
                </c:pt>
                <c:pt idx="675">
                  <c:v>#N/A</c:v>
                </c:pt>
                <c:pt idx="676">
                  <c:v>3.7130000000000001</c:v>
                </c:pt>
                <c:pt idx="677">
                  <c:v>3.7359999999999998</c:v>
                </c:pt>
                <c:pt idx="678">
                  <c:v>#N/A</c:v>
                </c:pt>
                <c:pt idx="679">
                  <c:v>#N/A</c:v>
                </c:pt>
                <c:pt idx="680">
                  <c:v>#N/A</c:v>
                </c:pt>
                <c:pt idx="681">
                  <c:v>#N/A</c:v>
                </c:pt>
                <c:pt idx="682">
                  <c:v>#N/A</c:v>
                </c:pt>
                <c:pt idx="683">
                  <c:v>#N/A</c:v>
                </c:pt>
                <c:pt idx="684">
                  <c:v>#N/A</c:v>
                </c:pt>
                <c:pt idx="685">
                  <c:v>#N/A</c:v>
                </c:pt>
                <c:pt idx="686">
                  <c:v>#N/A</c:v>
                </c:pt>
                <c:pt idx="687">
                  <c:v>#N/A</c:v>
                </c:pt>
                <c:pt idx="688">
                  <c:v>3.2069999999999999</c:v>
                </c:pt>
                <c:pt idx="689">
                  <c:v>#N/A</c:v>
                </c:pt>
                <c:pt idx="690">
                  <c:v>#N/A</c:v>
                </c:pt>
                <c:pt idx="691">
                  <c:v>3.2759999999999998</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3.5750000000000002</c:v>
                </c:pt>
                <c:pt idx="705">
                  <c:v>#N/A</c:v>
                </c:pt>
                <c:pt idx="706">
                  <c:v>#N/A</c:v>
                </c:pt>
                <c:pt idx="707">
                  <c:v>3.6440000000000001</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3.23</c:v>
                </c:pt>
                <c:pt idx="724">
                  <c:v>#N/A</c:v>
                </c:pt>
                <c:pt idx="725">
                  <c:v>#N/A</c:v>
                </c:pt>
                <c:pt idx="726">
                  <c:v>#N/A</c:v>
                </c:pt>
                <c:pt idx="727">
                  <c:v>#N/A</c:v>
                </c:pt>
                <c:pt idx="728">
                  <c:v>#N/A</c:v>
                </c:pt>
                <c:pt idx="729">
                  <c:v>#N/A</c:v>
                </c:pt>
                <c:pt idx="730">
                  <c:v>#N/A</c:v>
                </c:pt>
                <c:pt idx="731">
                  <c:v>#N/A</c:v>
                </c:pt>
                <c:pt idx="732">
                  <c:v>#N/A</c:v>
                </c:pt>
                <c:pt idx="733">
                  <c:v>#N/A</c:v>
                </c:pt>
                <c:pt idx="734">
                  <c:v>#N/A</c:v>
                </c:pt>
                <c:pt idx="735">
                  <c:v>3.5060000000000002</c:v>
                </c:pt>
                <c:pt idx="736">
                  <c:v>#N/A</c:v>
                </c:pt>
                <c:pt idx="737">
                  <c:v>3.552</c:v>
                </c:pt>
                <c:pt idx="738">
                  <c:v>#N/A</c:v>
                </c:pt>
                <c:pt idx="739">
                  <c:v>#N/A</c:v>
                </c:pt>
                <c:pt idx="740">
                  <c:v>#N/A</c:v>
                </c:pt>
                <c:pt idx="741">
                  <c:v>#N/A</c:v>
                </c:pt>
                <c:pt idx="742">
                  <c:v>3.6669999999999998</c:v>
                </c:pt>
                <c:pt idx="743">
                  <c:v>#N/A</c:v>
                </c:pt>
                <c:pt idx="744">
                  <c:v>#N/A</c:v>
                </c:pt>
                <c:pt idx="745">
                  <c:v>3.7359999999999998</c:v>
                </c:pt>
                <c:pt idx="746">
                  <c:v>#N/A</c:v>
                </c:pt>
                <c:pt idx="747">
                  <c:v>#N/A</c:v>
                </c:pt>
                <c:pt idx="748">
                  <c:v>#N/A</c:v>
                </c:pt>
                <c:pt idx="749">
                  <c:v>#N/A</c:v>
                </c:pt>
                <c:pt idx="750">
                  <c:v>#N/A</c:v>
                </c:pt>
                <c:pt idx="751">
                  <c:v>#N/A</c:v>
                </c:pt>
                <c:pt idx="752">
                  <c:v>#N/A</c:v>
                </c:pt>
                <c:pt idx="753">
                  <c:v>#N/A</c:v>
                </c:pt>
                <c:pt idx="754">
                  <c:v>#N/A</c:v>
                </c:pt>
                <c:pt idx="755">
                  <c:v>#N/A</c:v>
                </c:pt>
                <c:pt idx="756">
                  <c:v>#N/A</c:v>
                </c:pt>
                <c:pt idx="757">
                  <c:v>3.23</c:v>
                </c:pt>
                <c:pt idx="758">
                  <c:v>#N/A</c:v>
                </c:pt>
                <c:pt idx="759">
                  <c:v>3.2759999999999998</c:v>
                </c:pt>
                <c:pt idx="760">
                  <c:v>#N/A</c:v>
                </c:pt>
                <c:pt idx="761">
                  <c:v>#N/A</c:v>
                </c:pt>
                <c:pt idx="762">
                  <c:v>#N/A</c:v>
                </c:pt>
                <c:pt idx="763">
                  <c:v>3.3679999999999999</c:v>
                </c:pt>
                <c:pt idx="764">
                  <c:v>3.391</c:v>
                </c:pt>
                <c:pt idx="765">
                  <c:v>3.4140000000000001</c:v>
                </c:pt>
                <c:pt idx="766">
                  <c:v>#N/A</c:v>
                </c:pt>
                <c:pt idx="767">
                  <c:v>3.46</c:v>
                </c:pt>
                <c:pt idx="768">
                  <c:v>#N/A</c:v>
                </c:pt>
                <c:pt idx="769">
                  <c:v>#N/A</c:v>
                </c:pt>
                <c:pt idx="770">
                  <c:v>#N/A</c:v>
                </c:pt>
                <c:pt idx="771">
                  <c:v>#N/A</c:v>
                </c:pt>
                <c:pt idx="772">
                  <c:v>#N/A</c:v>
                </c:pt>
                <c:pt idx="773">
                  <c:v>#N/A</c:v>
                </c:pt>
                <c:pt idx="774">
                  <c:v>#N/A</c:v>
                </c:pt>
                <c:pt idx="775">
                  <c:v>#N/A</c:v>
                </c:pt>
                <c:pt idx="776">
                  <c:v>#N/A</c:v>
                </c:pt>
                <c:pt idx="777">
                  <c:v>#N/A</c:v>
                </c:pt>
                <c:pt idx="778">
                  <c:v>#N/A</c:v>
                </c:pt>
                <c:pt idx="779">
                  <c:v>3.7359999999999998</c:v>
                </c:pt>
                <c:pt idx="780">
                  <c:v>#N/A</c:v>
                </c:pt>
                <c:pt idx="781">
                  <c:v>#N/A</c:v>
                </c:pt>
                <c:pt idx="782">
                  <c:v>3.0230000000000001</c:v>
                </c:pt>
                <c:pt idx="783">
                  <c:v>#N/A</c:v>
                </c:pt>
                <c:pt idx="784">
                  <c:v>#N/A</c:v>
                </c:pt>
                <c:pt idx="785">
                  <c:v>3.0920000000000001</c:v>
                </c:pt>
                <c:pt idx="786">
                  <c:v>3.1150000000000002</c:v>
                </c:pt>
                <c:pt idx="787">
                  <c:v>3.1379999999999999</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3.6440000000000001</c:v>
                </c:pt>
                <c:pt idx="810">
                  <c:v>#N/A</c:v>
                </c:pt>
                <c:pt idx="811">
                  <c:v>3.69</c:v>
                </c:pt>
                <c:pt idx="812">
                  <c:v>#N/A</c:v>
                </c:pt>
                <c:pt idx="813">
                  <c:v>#N/A</c:v>
                </c:pt>
                <c:pt idx="814">
                  <c:v>3.7589999999999999</c:v>
                </c:pt>
                <c:pt idx="815">
                  <c:v>#N/A</c:v>
                </c:pt>
                <c:pt idx="816">
                  <c:v>#N/A</c:v>
                </c:pt>
                <c:pt idx="817">
                  <c:v>#N/A</c:v>
                </c:pt>
                <c:pt idx="818">
                  <c:v>3.069</c:v>
                </c:pt>
                <c:pt idx="819">
                  <c:v>3.0920000000000001</c:v>
                </c:pt>
              </c:numCache>
            </c:numRef>
          </c:yVal>
          <c:smooth val="1"/>
          <c:extLst>
            <c:ext xmlns:c16="http://schemas.microsoft.com/office/drawing/2014/chart" uri="{C3380CC4-5D6E-409C-BE32-E72D297353CC}">
              <c16:uniqueId val="{00000002-F9BC-4463-954D-445A1CF39C00}"/>
            </c:ext>
          </c:extLst>
        </c:ser>
        <c:ser>
          <c:idx val="3"/>
          <c:order val="3"/>
          <c:tx>
            <c:v>Traditional</c:v>
          </c:tx>
          <c:spPr>
            <a:ln>
              <a:noFill/>
              <a:prstDash val="solid"/>
            </a:ln>
          </c:spPr>
          <c:marker>
            <c:symbol val="circle"/>
            <c:size val="4"/>
            <c:spPr>
              <a:ln>
                <a:prstDash val="solid"/>
              </a:ln>
            </c:spPr>
          </c:marker>
          <c:xVal>
            <c:numRef>
              <c:f>'Map Calc'!$M$2:$M$820</c:f>
              <c:numCache>
                <c:formatCode>General</c:formatCode>
                <c:ptCount val="81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2010</c:v>
                </c:pt>
                <c:pt idx="43">
                  <c:v>#N/A</c:v>
                </c:pt>
                <c:pt idx="44">
                  <c:v>#N/A</c:v>
                </c:pt>
                <c:pt idx="45">
                  <c:v>#N/A</c:v>
                </c:pt>
                <c:pt idx="46">
                  <c:v>#N/A</c:v>
                </c:pt>
                <c:pt idx="47">
                  <c:v>1997</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1978</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2009</c:v>
                </c:pt>
                <c:pt idx="91">
                  <c:v>#N/A</c:v>
                </c:pt>
                <c:pt idx="92">
                  <c:v>#N/A</c:v>
                </c:pt>
                <c:pt idx="93">
                  <c:v>#N/A</c:v>
                </c:pt>
                <c:pt idx="94">
                  <c:v>#N/A</c:v>
                </c:pt>
                <c:pt idx="95">
                  <c:v>#N/A</c:v>
                </c:pt>
                <c:pt idx="96">
                  <c:v>#N/A</c:v>
                </c:pt>
                <c:pt idx="97">
                  <c:v>2010</c:v>
                </c:pt>
                <c:pt idx="98">
                  <c:v>2014</c:v>
                </c:pt>
                <c:pt idx="99">
                  <c:v>1994</c:v>
                </c:pt>
                <c:pt idx="100">
                  <c:v>2005</c:v>
                </c:pt>
                <c:pt idx="101">
                  <c:v>#N/A</c:v>
                </c:pt>
                <c:pt idx="102">
                  <c:v>2010</c:v>
                </c:pt>
                <c:pt idx="103">
                  <c:v>2020</c:v>
                </c:pt>
                <c:pt idx="104">
                  <c:v>2013</c:v>
                </c:pt>
                <c:pt idx="105">
                  <c:v>2025</c:v>
                </c:pt>
                <c:pt idx="106">
                  <c:v>#N/A</c:v>
                </c:pt>
                <c:pt idx="107">
                  <c:v>#N/A</c:v>
                </c:pt>
                <c:pt idx="108">
                  <c:v>1991</c:v>
                </c:pt>
                <c:pt idx="109">
                  <c:v>#N/A</c:v>
                </c:pt>
                <c:pt idx="110">
                  <c:v>2010</c:v>
                </c:pt>
                <c:pt idx="111">
                  <c:v>#N/A</c:v>
                </c:pt>
                <c:pt idx="112">
                  <c:v>#N/A</c:v>
                </c:pt>
                <c:pt idx="113">
                  <c:v>#N/A</c:v>
                </c:pt>
                <c:pt idx="114">
                  <c:v>#N/A</c:v>
                </c:pt>
                <c:pt idx="115">
                  <c:v>#N/A</c:v>
                </c:pt>
                <c:pt idx="116">
                  <c:v>#N/A</c:v>
                </c:pt>
                <c:pt idx="117">
                  <c:v>1998</c:v>
                </c:pt>
                <c:pt idx="118">
                  <c:v>1997</c:v>
                </c:pt>
                <c:pt idx="119">
                  <c:v>2019</c:v>
                </c:pt>
                <c:pt idx="120">
                  <c:v>#N/A</c:v>
                </c:pt>
                <c:pt idx="121">
                  <c:v>#N/A</c:v>
                </c:pt>
                <c:pt idx="122">
                  <c:v>#N/A</c:v>
                </c:pt>
                <c:pt idx="123">
                  <c:v>#N/A</c:v>
                </c:pt>
                <c:pt idx="124">
                  <c:v>#N/A</c:v>
                </c:pt>
                <c:pt idx="125">
                  <c:v>#N/A</c:v>
                </c:pt>
                <c:pt idx="126">
                  <c:v>#N/A</c:v>
                </c:pt>
                <c:pt idx="127">
                  <c:v>#N/A</c:v>
                </c:pt>
                <c:pt idx="128">
                  <c:v>#N/A</c:v>
                </c:pt>
                <c:pt idx="129">
                  <c:v>#N/A</c:v>
                </c:pt>
                <c:pt idx="130">
                  <c:v>2017</c:v>
                </c:pt>
                <c:pt idx="131">
                  <c:v>#N/A</c:v>
                </c:pt>
                <c:pt idx="132">
                  <c:v>#N/A</c:v>
                </c:pt>
                <c:pt idx="133">
                  <c:v>#N/A</c:v>
                </c:pt>
                <c:pt idx="134">
                  <c:v>#N/A</c:v>
                </c:pt>
                <c:pt idx="135">
                  <c:v>#N/A</c:v>
                </c:pt>
                <c:pt idx="136">
                  <c:v>#N/A</c:v>
                </c:pt>
                <c:pt idx="137">
                  <c:v>#N/A</c:v>
                </c:pt>
                <c:pt idx="138">
                  <c:v>#N/A</c:v>
                </c:pt>
                <c:pt idx="139">
                  <c:v>2025</c:v>
                </c:pt>
                <c:pt idx="140">
                  <c:v>#N/A</c:v>
                </c:pt>
                <c:pt idx="141">
                  <c:v>#N/A</c:v>
                </c:pt>
                <c:pt idx="142">
                  <c:v>#N/A</c:v>
                </c:pt>
                <c:pt idx="143">
                  <c:v>#N/A</c:v>
                </c:pt>
                <c:pt idx="144">
                  <c:v>#N/A</c:v>
                </c:pt>
                <c:pt idx="145">
                  <c:v>#N/A</c:v>
                </c:pt>
                <c:pt idx="146">
                  <c:v>#N/A</c:v>
                </c:pt>
                <c:pt idx="147">
                  <c:v>#N/A</c:v>
                </c:pt>
                <c:pt idx="148">
                  <c:v>2015</c:v>
                </c:pt>
                <c:pt idx="149">
                  <c:v>#N/A</c:v>
                </c:pt>
                <c:pt idx="150">
                  <c:v>1998</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2026</c:v>
                </c:pt>
                <c:pt idx="186">
                  <c:v>#N/A</c:v>
                </c:pt>
                <c:pt idx="187">
                  <c:v>#N/A</c:v>
                </c:pt>
                <c:pt idx="188">
                  <c:v>#N/A</c:v>
                </c:pt>
                <c:pt idx="189">
                  <c:v>2010</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2002</c:v>
                </c:pt>
                <c:pt idx="215">
                  <c:v>#N/A</c:v>
                </c:pt>
                <c:pt idx="216">
                  <c:v>#N/A</c:v>
                </c:pt>
                <c:pt idx="217">
                  <c:v>#N/A</c:v>
                </c:pt>
                <c:pt idx="218">
                  <c:v>2006</c:v>
                </c:pt>
                <c:pt idx="219">
                  <c:v>2003</c:v>
                </c:pt>
                <c:pt idx="220">
                  <c:v>#N/A</c:v>
                </c:pt>
                <c:pt idx="221">
                  <c:v>#N/A</c:v>
                </c:pt>
                <c:pt idx="222">
                  <c:v>#N/A</c:v>
                </c:pt>
                <c:pt idx="223">
                  <c:v>#N/A</c:v>
                </c:pt>
                <c:pt idx="224">
                  <c:v>#N/A</c:v>
                </c:pt>
                <c:pt idx="225">
                  <c:v>#N/A</c:v>
                </c:pt>
                <c:pt idx="226">
                  <c:v>#N/A</c:v>
                </c:pt>
                <c:pt idx="227">
                  <c:v>2006</c:v>
                </c:pt>
                <c:pt idx="228">
                  <c:v>#N/A</c:v>
                </c:pt>
                <c:pt idx="229">
                  <c:v>2023</c:v>
                </c:pt>
                <c:pt idx="230">
                  <c:v>#N/A</c:v>
                </c:pt>
                <c:pt idx="231">
                  <c:v>2008</c:v>
                </c:pt>
                <c:pt idx="232">
                  <c:v>#N/A</c:v>
                </c:pt>
                <c:pt idx="233">
                  <c:v>2010</c:v>
                </c:pt>
                <c:pt idx="234">
                  <c:v>#N/A</c:v>
                </c:pt>
                <c:pt idx="235">
                  <c:v>#N/A</c:v>
                </c:pt>
                <c:pt idx="236">
                  <c:v>2011</c:v>
                </c:pt>
                <c:pt idx="237">
                  <c:v>#N/A</c:v>
                </c:pt>
                <c:pt idx="238">
                  <c:v>#N/A</c:v>
                </c:pt>
                <c:pt idx="239">
                  <c:v>#N/A</c:v>
                </c:pt>
                <c:pt idx="240">
                  <c:v>#N/A</c:v>
                </c:pt>
                <c:pt idx="241">
                  <c:v>#N/A</c:v>
                </c:pt>
                <c:pt idx="242">
                  <c:v>#N/A</c:v>
                </c:pt>
                <c:pt idx="243">
                  <c:v>#N/A</c:v>
                </c:pt>
                <c:pt idx="244">
                  <c:v>#N/A</c:v>
                </c:pt>
                <c:pt idx="245">
                  <c:v>2024</c:v>
                </c:pt>
                <c:pt idx="246">
                  <c:v>2008</c:v>
                </c:pt>
                <c:pt idx="247">
                  <c:v>#N/A</c:v>
                </c:pt>
                <c:pt idx="248">
                  <c:v>#N/A</c:v>
                </c:pt>
                <c:pt idx="249">
                  <c:v>#N/A</c:v>
                </c:pt>
                <c:pt idx="250">
                  <c:v>#N/A</c:v>
                </c:pt>
                <c:pt idx="251">
                  <c:v>#N/A</c:v>
                </c:pt>
                <c:pt idx="252">
                  <c:v>#N/A</c:v>
                </c:pt>
                <c:pt idx="253">
                  <c:v>2015</c:v>
                </c:pt>
                <c:pt idx="254">
                  <c:v>2017</c:v>
                </c:pt>
                <c:pt idx="255">
                  <c:v>#N/A</c:v>
                </c:pt>
                <c:pt idx="256">
                  <c:v>#N/A</c:v>
                </c:pt>
                <c:pt idx="257">
                  <c:v>#N/A</c:v>
                </c:pt>
                <c:pt idx="258">
                  <c:v>#N/A</c:v>
                </c:pt>
                <c:pt idx="259">
                  <c:v>#N/A</c:v>
                </c:pt>
                <c:pt idx="260">
                  <c:v>1990</c:v>
                </c:pt>
                <c:pt idx="261">
                  <c:v>#N/A</c:v>
                </c:pt>
                <c:pt idx="262">
                  <c:v>#N/A</c:v>
                </c:pt>
                <c:pt idx="263">
                  <c:v>#N/A</c:v>
                </c:pt>
                <c:pt idx="264">
                  <c:v>2007</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2006</c:v>
                </c:pt>
                <c:pt idx="279">
                  <c:v>#N/A</c:v>
                </c:pt>
                <c:pt idx="280">
                  <c:v>#N/A</c:v>
                </c:pt>
                <c:pt idx="281">
                  <c:v>#N/A</c:v>
                </c:pt>
                <c:pt idx="282">
                  <c:v>2010</c:v>
                </c:pt>
                <c:pt idx="283">
                  <c:v>2014</c:v>
                </c:pt>
                <c:pt idx="284">
                  <c:v>#N/A</c:v>
                </c:pt>
                <c:pt idx="285">
                  <c:v>#N/A</c:v>
                </c:pt>
                <c:pt idx="286">
                  <c:v>#N/A</c:v>
                </c:pt>
                <c:pt idx="287">
                  <c:v>#N/A</c:v>
                </c:pt>
                <c:pt idx="288">
                  <c:v>2002</c:v>
                </c:pt>
                <c:pt idx="289">
                  <c:v>2007</c:v>
                </c:pt>
                <c:pt idx="290">
                  <c:v>2022</c:v>
                </c:pt>
                <c:pt idx="291">
                  <c:v>#N/A</c:v>
                </c:pt>
                <c:pt idx="292">
                  <c:v>#N/A</c:v>
                </c:pt>
                <c:pt idx="293">
                  <c:v>#N/A</c:v>
                </c:pt>
                <c:pt idx="294">
                  <c:v>#N/A</c:v>
                </c:pt>
                <c:pt idx="295">
                  <c:v>2020</c:v>
                </c:pt>
                <c:pt idx="296">
                  <c:v>#N/A</c:v>
                </c:pt>
                <c:pt idx="297">
                  <c:v>#N/A</c:v>
                </c:pt>
                <c:pt idx="298">
                  <c:v>#N/A</c:v>
                </c:pt>
                <c:pt idx="299">
                  <c:v>#N/A</c:v>
                </c:pt>
                <c:pt idx="300">
                  <c:v>#N/A</c:v>
                </c:pt>
                <c:pt idx="301">
                  <c:v>#N/A</c:v>
                </c:pt>
                <c:pt idx="302">
                  <c:v>2014</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1984</c:v>
                </c:pt>
                <c:pt idx="319">
                  <c:v>2022</c:v>
                </c:pt>
                <c:pt idx="320">
                  <c:v>#N/A</c:v>
                </c:pt>
                <c:pt idx="321">
                  <c:v>#N/A</c:v>
                </c:pt>
                <c:pt idx="322">
                  <c:v>#N/A</c:v>
                </c:pt>
                <c:pt idx="323">
                  <c:v>#N/A</c:v>
                </c:pt>
                <c:pt idx="324">
                  <c:v>#N/A</c:v>
                </c:pt>
                <c:pt idx="325">
                  <c:v>#N/A</c:v>
                </c:pt>
                <c:pt idx="326">
                  <c:v>#N/A</c:v>
                </c:pt>
                <c:pt idx="327">
                  <c:v>#N/A</c:v>
                </c:pt>
                <c:pt idx="328">
                  <c:v>2017</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2026</c:v>
                </c:pt>
                <c:pt idx="348">
                  <c:v>2013</c:v>
                </c:pt>
                <c:pt idx="349">
                  <c:v>2025</c:v>
                </c:pt>
                <c:pt idx="350">
                  <c:v>#N/A</c:v>
                </c:pt>
                <c:pt idx="351">
                  <c:v>#N/A</c:v>
                </c:pt>
                <c:pt idx="352">
                  <c:v>#N/A</c:v>
                </c:pt>
                <c:pt idx="353">
                  <c:v>2012</c:v>
                </c:pt>
                <c:pt idx="354">
                  <c:v>#N/A</c:v>
                </c:pt>
                <c:pt idx="355">
                  <c:v>2017</c:v>
                </c:pt>
                <c:pt idx="356">
                  <c:v>#N/A</c:v>
                </c:pt>
                <c:pt idx="357">
                  <c:v>#N/A</c:v>
                </c:pt>
                <c:pt idx="358">
                  <c:v>#N/A</c:v>
                </c:pt>
                <c:pt idx="359">
                  <c:v>2007</c:v>
                </c:pt>
                <c:pt idx="360">
                  <c:v>#N/A</c:v>
                </c:pt>
                <c:pt idx="361">
                  <c:v>2011</c:v>
                </c:pt>
                <c:pt idx="362">
                  <c:v>#N/A</c:v>
                </c:pt>
                <c:pt idx="363">
                  <c:v>#N/A</c:v>
                </c:pt>
                <c:pt idx="364">
                  <c:v>#N/A</c:v>
                </c:pt>
                <c:pt idx="365">
                  <c:v>#N/A</c:v>
                </c:pt>
                <c:pt idx="366">
                  <c:v>#N/A</c:v>
                </c:pt>
                <c:pt idx="367">
                  <c:v>#N/A</c:v>
                </c:pt>
                <c:pt idx="368">
                  <c:v>2001</c:v>
                </c:pt>
                <c:pt idx="369">
                  <c:v>2007</c:v>
                </c:pt>
                <c:pt idx="370">
                  <c:v>2006</c:v>
                </c:pt>
                <c:pt idx="371">
                  <c:v>#N/A</c:v>
                </c:pt>
                <c:pt idx="372">
                  <c:v>#N/A</c:v>
                </c:pt>
                <c:pt idx="373">
                  <c:v>2019</c:v>
                </c:pt>
                <c:pt idx="374">
                  <c:v>#N/A</c:v>
                </c:pt>
                <c:pt idx="375">
                  <c:v>#N/A</c:v>
                </c:pt>
                <c:pt idx="376">
                  <c:v>#N/A</c:v>
                </c:pt>
                <c:pt idx="377">
                  <c:v>2015</c:v>
                </c:pt>
                <c:pt idx="378">
                  <c:v>#N/A</c:v>
                </c:pt>
                <c:pt idx="379">
                  <c:v>#N/A</c:v>
                </c:pt>
                <c:pt idx="380">
                  <c:v>#N/A</c:v>
                </c:pt>
                <c:pt idx="381">
                  <c:v>#N/A</c:v>
                </c:pt>
                <c:pt idx="382">
                  <c:v>#N/A</c:v>
                </c:pt>
                <c:pt idx="383">
                  <c:v>#N/A</c:v>
                </c:pt>
                <c:pt idx="384">
                  <c:v>#N/A</c:v>
                </c:pt>
                <c:pt idx="385">
                  <c:v>#N/A</c:v>
                </c:pt>
                <c:pt idx="386">
                  <c:v>2020</c:v>
                </c:pt>
                <c:pt idx="387">
                  <c:v>#N/A</c:v>
                </c:pt>
                <c:pt idx="388">
                  <c:v>2006</c:v>
                </c:pt>
                <c:pt idx="389">
                  <c:v>1986</c:v>
                </c:pt>
                <c:pt idx="390">
                  <c:v>#N/A</c:v>
                </c:pt>
                <c:pt idx="391">
                  <c:v>#N/A</c:v>
                </c:pt>
                <c:pt idx="392">
                  <c:v>#N/A</c:v>
                </c:pt>
                <c:pt idx="393">
                  <c:v>#N/A</c:v>
                </c:pt>
                <c:pt idx="394">
                  <c:v>1995</c:v>
                </c:pt>
                <c:pt idx="395">
                  <c:v>#N/A</c:v>
                </c:pt>
                <c:pt idx="396">
                  <c:v>#N/A</c:v>
                </c:pt>
                <c:pt idx="397">
                  <c:v>#N/A</c:v>
                </c:pt>
                <c:pt idx="398">
                  <c:v>#N/A</c:v>
                </c:pt>
                <c:pt idx="399">
                  <c:v>#N/A</c:v>
                </c:pt>
                <c:pt idx="400">
                  <c:v>#N/A</c:v>
                </c:pt>
                <c:pt idx="401">
                  <c:v>#N/A</c:v>
                </c:pt>
                <c:pt idx="402">
                  <c:v>2019</c:v>
                </c:pt>
                <c:pt idx="403">
                  <c:v>#N/A</c:v>
                </c:pt>
                <c:pt idx="404">
                  <c:v>#N/A</c:v>
                </c:pt>
                <c:pt idx="405">
                  <c:v>#N/A</c:v>
                </c:pt>
                <c:pt idx="406">
                  <c:v>2001</c:v>
                </c:pt>
                <c:pt idx="407">
                  <c:v>#N/A</c:v>
                </c:pt>
                <c:pt idx="408">
                  <c:v>#N/A</c:v>
                </c:pt>
                <c:pt idx="409">
                  <c:v>#N/A</c:v>
                </c:pt>
                <c:pt idx="410">
                  <c:v>#N/A</c:v>
                </c:pt>
                <c:pt idx="411">
                  <c:v>#N/A</c:v>
                </c:pt>
                <c:pt idx="412">
                  <c:v>#N/A</c:v>
                </c:pt>
                <c:pt idx="413">
                  <c:v>#N/A</c:v>
                </c:pt>
                <c:pt idx="414">
                  <c:v>#N/A</c:v>
                </c:pt>
                <c:pt idx="415">
                  <c:v>2020</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2012</c:v>
                </c:pt>
                <c:pt idx="433">
                  <c:v>2011</c:v>
                </c:pt>
                <c:pt idx="434">
                  <c:v>1987</c:v>
                </c:pt>
                <c:pt idx="435">
                  <c:v>#N/A</c:v>
                </c:pt>
                <c:pt idx="436">
                  <c:v>#N/A</c:v>
                </c:pt>
                <c:pt idx="437">
                  <c:v>#N/A</c:v>
                </c:pt>
                <c:pt idx="438">
                  <c:v>2002</c:v>
                </c:pt>
                <c:pt idx="439">
                  <c:v>2003</c:v>
                </c:pt>
                <c:pt idx="440">
                  <c:v>2020</c:v>
                </c:pt>
                <c:pt idx="441">
                  <c:v>2022</c:v>
                </c:pt>
                <c:pt idx="442">
                  <c:v>#N/A</c:v>
                </c:pt>
                <c:pt idx="443">
                  <c:v>#N/A</c:v>
                </c:pt>
                <c:pt idx="444">
                  <c:v>#N/A</c:v>
                </c:pt>
                <c:pt idx="445">
                  <c:v>#N/A</c:v>
                </c:pt>
                <c:pt idx="446">
                  <c:v>#N/A</c:v>
                </c:pt>
                <c:pt idx="447">
                  <c:v>#N/A</c:v>
                </c:pt>
                <c:pt idx="448">
                  <c:v>#N/A</c:v>
                </c:pt>
                <c:pt idx="449">
                  <c:v>#N/A</c:v>
                </c:pt>
                <c:pt idx="450">
                  <c:v>#N/A</c:v>
                </c:pt>
                <c:pt idx="451">
                  <c:v>2023</c:v>
                </c:pt>
                <c:pt idx="452">
                  <c:v>#N/A</c:v>
                </c:pt>
                <c:pt idx="453">
                  <c:v>1983</c:v>
                </c:pt>
                <c:pt idx="454">
                  <c:v>#N/A</c:v>
                </c:pt>
                <c:pt idx="455">
                  <c:v>#N/A</c:v>
                </c:pt>
                <c:pt idx="456">
                  <c:v>#N/A</c:v>
                </c:pt>
                <c:pt idx="457">
                  <c:v>#N/A</c:v>
                </c:pt>
                <c:pt idx="458">
                  <c:v>#N/A</c:v>
                </c:pt>
                <c:pt idx="459">
                  <c:v>2011</c:v>
                </c:pt>
                <c:pt idx="460">
                  <c:v>#N/A</c:v>
                </c:pt>
                <c:pt idx="461">
                  <c:v>#N/A</c:v>
                </c:pt>
                <c:pt idx="462">
                  <c:v>#N/A</c:v>
                </c:pt>
                <c:pt idx="463">
                  <c:v>2016</c:v>
                </c:pt>
                <c:pt idx="464">
                  <c:v>1995</c:v>
                </c:pt>
                <c:pt idx="465">
                  <c:v>#N/A</c:v>
                </c:pt>
                <c:pt idx="466">
                  <c:v>#N/A</c:v>
                </c:pt>
                <c:pt idx="467">
                  <c:v>#N/A</c:v>
                </c:pt>
                <c:pt idx="468">
                  <c:v>#N/A</c:v>
                </c:pt>
                <c:pt idx="469">
                  <c:v>#N/A</c:v>
                </c:pt>
                <c:pt idx="470">
                  <c:v>#N/A</c:v>
                </c:pt>
                <c:pt idx="471">
                  <c:v>#N/A</c:v>
                </c:pt>
                <c:pt idx="472">
                  <c:v>#N/A</c:v>
                </c:pt>
                <c:pt idx="473">
                  <c:v>#N/A</c:v>
                </c:pt>
                <c:pt idx="474">
                  <c:v>1987</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1987</c:v>
                </c:pt>
                <c:pt idx="499">
                  <c:v>2015</c:v>
                </c:pt>
                <c:pt idx="500">
                  <c:v>2019</c:v>
                </c:pt>
                <c:pt idx="501">
                  <c:v>2017</c:v>
                </c:pt>
                <c:pt idx="502">
                  <c:v>#N/A</c:v>
                </c:pt>
                <c:pt idx="503">
                  <c:v>#N/A</c:v>
                </c:pt>
                <c:pt idx="504">
                  <c:v>2014</c:v>
                </c:pt>
                <c:pt idx="505">
                  <c:v>2019</c:v>
                </c:pt>
                <c:pt idx="506">
                  <c:v>#N/A</c:v>
                </c:pt>
                <c:pt idx="507">
                  <c:v>#N/A</c:v>
                </c:pt>
                <c:pt idx="508">
                  <c:v>#N/A</c:v>
                </c:pt>
                <c:pt idx="509">
                  <c:v>#N/A</c:v>
                </c:pt>
                <c:pt idx="510">
                  <c:v>2025</c:v>
                </c:pt>
                <c:pt idx="511">
                  <c:v>#N/A</c:v>
                </c:pt>
                <c:pt idx="512">
                  <c:v>#N/A</c:v>
                </c:pt>
                <c:pt idx="513">
                  <c:v>#N/A</c:v>
                </c:pt>
                <c:pt idx="514">
                  <c:v>2023</c:v>
                </c:pt>
                <c:pt idx="515">
                  <c:v>#N/A</c:v>
                </c:pt>
                <c:pt idx="516">
                  <c:v>2015</c:v>
                </c:pt>
                <c:pt idx="517">
                  <c:v>#N/A</c:v>
                </c:pt>
                <c:pt idx="518">
                  <c:v>#N/A</c:v>
                </c:pt>
                <c:pt idx="519">
                  <c:v>#N/A</c:v>
                </c:pt>
                <c:pt idx="520">
                  <c:v>#N/A</c:v>
                </c:pt>
                <c:pt idx="521">
                  <c:v>#N/A</c:v>
                </c:pt>
                <c:pt idx="522">
                  <c:v>2012</c:v>
                </c:pt>
                <c:pt idx="523">
                  <c:v>#N/A</c:v>
                </c:pt>
                <c:pt idx="524">
                  <c:v>#N/A</c:v>
                </c:pt>
                <c:pt idx="525">
                  <c:v>#N/A</c:v>
                </c:pt>
                <c:pt idx="526">
                  <c:v>#N/A</c:v>
                </c:pt>
                <c:pt idx="527">
                  <c:v>#N/A</c:v>
                </c:pt>
                <c:pt idx="528">
                  <c:v>#N/A</c:v>
                </c:pt>
                <c:pt idx="529">
                  <c:v>#N/A</c:v>
                </c:pt>
                <c:pt idx="530">
                  <c:v>#N/A</c:v>
                </c:pt>
                <c:pt idx="531">
                  <c:v>#N/A</c:v>
                </c:pt>
                <c:pt idx="532">
                  <c:v>2009</c:v>
                </c:pt>
                <c:pt idx="533">
                  <c:v>2007</c:v>
                </c:pt>
                <c:pt idx="534">
                  <c:v>2012</c:v>
                </c:pt>
                <c:pt idx="535">
                  <c:v>2005</c:v>
                </c:pt>
                <c:pt idx="536">
                  <c:v>2020</c:v>
                </c:pt>
                <c:pt idx="537">
                  <c:v>2015</c:v>
                </c:pt>
                <c:pt idx="538">
                  <c:v>#N/A</c:v>
                </c:pt>
                <c:pt idx="539">
                  <c:v>#N/A</c:v>
                </c:pt>
                <c:pt idx="540">
                  <c:v>#N/A</c:v>
                </c:pt>
                <c:pt idx="541">
                  <c:v>2003</c:v>
                </c:pt>
                <c:pt idx="542">
                  <c:v>#N/A</c:v>
                </c:pt>
                <c:pt idx="543">
                  <c:v>#N/A</c:v>
                </c:pt>
                <c:pt idx="544">
                  <c:v>#N/A</c:v>
                </c:pt>
                <c:pt idx="545">
                  <c:v>2023</c:v>
                </c:pt>
                <c:pt idx="546">
                  <c:v>2014</c:v>
                </c:pt>
                <c:pt idx="547">
                  <c:v>#N/A</c:v>
                </c:pt>
                <c:pt idx="548">
                  <c:v>#N/A</c:v>
                </c:pt>
                <c:pt idx="549">
                  <c:v>#N/A</c:v>
                </c:pt>
                <c:pt idx="550">
                  <c:v>1992</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2020</c:v>
                </c:pt>
                <c:pt idx="566">
                  <c:v>2024</c:v>
                </c:pt>
                <c:pt idx="567">
                  <c:v>2026</c:v>
                </c:pt>
                <c:pt idx="568">
                  <c:v>#N/A</c:v>
                </c:pt>
                <c:pt idx="569">
                  <c:v>#N/A</c:v>
                </c:pt>
                <c:pt idx="570">
                  <c:v>#N/A</c:v>
                </c:pt>
                <c:pt idx="571">
                  <c:v>#N/A</c:v>
                </c:pt>
                <c:pt idx="572">
                  <c:v>#N/A</c:v>
                </c:pt>
                <c:pt idx="573">
                  <c:v>#N/A</c:v>
                </c:pt>
                <c:pt idx="574">
                  <c:v>#N/A</c:v>
                </c:pt>
                <c:pt idx="575">
                  <c:v>#N/A</c:v>
                </c:pt>
                <c:pt idx="576">
                  <c:v>#N/A</c:v>
                </c:pt>
                <c:pt idx="577">
                  <c:v>#N/A</c:v>
                </c:pt>
                <c:pt idx="578">
                  <c:v>1980</c:v>
                </c:pt>
                <c:pt idx="579">
                  <c:v>#N/A</c:v>
                </c:pt>
                <c:pt idx="580">
                  <c:v>2019</c:v>
                </c:pt>
                <c:pt idx="581">
                  <c:v>#N/A</c:v>
                </c:pt>
                <c:pt idx="582">
                  <c:v>#N/A</c:v>
                </c:pt>
                <c:pt idx="583">
                  <c:v>#N/A</c:v>
                </c:pt>
                <c:pt idx="584">
                  <c:v>#N/A</c:v>
                </c:pt>
                <c:pt idx="585">
                  <c:v>#N/A</c:v>
                </c:pt>
                <c:pt idx="586">
                  <c:v>#N/A</c:v>
                </c:pt>
                <c:pt idx="587">
                  <c:v>#N/A</c:v>
                </c:pt>
                <c:pt idx="588">
                  <c:v>#N/A</c:v>
                </c:pt>
                <c:pt idx="589">
                  <c:v>#N/A</c:v>
                </c:pt>
                <c:pt idx="590">
                  <c:v>#N/A</c:v>
                </c:pt>
                <c:pt idx="591">
                  <c:v>#N/A</c:v>
                </c:pt>
                <c:pt idx="592">
                  <c:v>2023</c:v>
                </c:pt>
                <c:pt idx="593">
                  <c:v>#N/A</c:v>
                </c:pt>
                <c:pt idx="594">
                  <c:v>2014</c:v>
                </c:pt>
                <c:pt idx="595">
                  <c:v>#N/A</c:v>
                </c:pt>
                <c:pt idx="596">
                  <c:v>#N/A</c:v>
                </c:pt>
                <c:pt idx="597">
                  <c:v>#N/A</c:v>
                </c:pt>
                <c:pt idx="598">
                  <c:v>#N/A</c:v>
                </c:pt>
                <c:pt idx="599">
                  <c:v>#N/A</c:v>
                </c:pt>
                <c:pt idx="600">
                  <c:v>#N/A</c:v>
                </c:pt>
                <c:pt idx="601">
                  <c:v>#N/A</c:v>
                </c:pt>
                <c:pt idx="602">
                  <c:v>#N/A</c:v>
                </c:pt>
                <c:pt idx="603">
                  <c:v>#N/A</c:v>
                </c:pt>
                <c:pt idx="604">
                  <c:v>#N/A</c:v>
                </c:pt>
                <c:pt idx="605">
                  <c:v>2010</c:v>
                </c:pt>
                <c:pt idx="606">
                  <c:v>#N/A</c:v>
                </c:pt>
                <c:pt idx="607">
                  <c:v>#N/A</c:v>
                </c:pt>
                <c:pt idx="608">
                  <c:v>#N/A</c:v>
                </c:pt>
                <c:pt idx="609">
                  <c:v>#N/A</c:v>
                </c:pt>
                <c:pt idx="610">
                  <c:v>#N/A</c:v>
                </c:pt>
                <c:pt idx="611">
                  <c:v>#N/A</c:v>
                </c:pt>
                <c:pt idx="612">
                  <c:v>#N/A</c:v>
                </c:pt>
                <c:pt idx="613">
                  <c:v>#N/A</c:v>
                </c:pt>
                <c:pt idx="614">
                  <c:v>#N/A</c:v>
                </c:pt>
                <c:pt idx="615">
                  <c:v>#N/A</c:v>
                </c:pt>
                <c:pt idx="616">
                  <c:v>2015</c:v>
                </c:pt>
                <c:pt idx="617">
                  <c:v>#N/A</c:v>
                </c:pt>
                <c:pt idx="618">
                  <c:v>#N/A</c:v>
                </c:pt>
                <c:pt idx="619">
                  <c:v>#N/A</c:v>
                </c:pt>
                <c:pt idx="620">
                  <c:v>2014</c:v>
                </c:pt>
                <c:pt idx="621">
                  <c:v>#N/A</c:v>
                </c:pt>
                <c:pt idx="622">
                  <c:v>2008</c:v>
                </c:pt>
                <c:pt idx="623">
                  <c:v>2000</c:v>
                </c:pt>
                <c:pt idx="624">
                  <c:v>2010</c:v>
                </c:pt>
                <c:pt idx="625">
                  <c:v>2002</c:v>
                </c:pt>
                <c:pt idx="626">
                  <c:v>1996</c:v>
                </c:pt>
                <c:pt idx="627">
                  <c:v>2001</c:v>
                </c:pt>
                <c:pt idx="628">
                  <c:v>2024</c:v>
                </c:pt>
                <c:pt idx="629">
                  <c:v>2010</c:v>
                </c:pt>
                <c:pt idx="630">
                  <c:v>#N/A</c:v>
                </c:pt>
                <c:pt idx="631">
                  <c:v>#N/A</c:v>
                </c:pt>
                <c:pt idx="632">
                  <c:v>#N/A</c:v>
                </c:pt>
                <c:pt idx="633">
                  <c:v>#N/A</c:v>
                </c:pt>
                <c:pt idx="634">
                  <c:v>2012</c:v>
                </c:pt>
                <c:pt idx="635">
                  <c:v>#N/A</c:v>
                </c:pt>
                <c:pt idx="636">
                  <c:v>#N/A</c:v>
                </c:pt>
                <c:pt idx="637">
                  <c:v>#N/A</c:v>
                </c:pt>
                <c:pt idx="638">
                  <c:v>#N/A</c:v>
                </c:pt>
                <c:pt idx="639">
                  <c:v>#N/A</c:v>
                </c:pt>
                <c:pt idx="640">
                  <c:v>2006</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2022</c:v>
                </c:pt>
                <c:pt idx="654">
                  <c:v>2023</c:v>
                </c:pt>
                <c:pt idx="655">
                  <c:v>#N/A</c:v>
                </c:pt>
                <c:pt idx="656">
                  <c:v>#N/A</c:v>
                </c:pt>
                <c:pt idx="657">
                  <c:v>#N/A</c:v>
                </c:pt>
                <c:pt idx="658">
                  <c:v>2016</c:v>
                </c:pt>
                <c:pt idx="659">
                  <c:v>#N/A</c:v>
                </c:pt>
                <c:pt idx="660">
                  <c:v>#N/A</c:v>
                </c:pt>
                <c:pt idx="661">
                  <c:v>#N/A</c:v>
                </c:pt>
                <c:pt idx="662">
                  <c:v>#N/A</c:v>
                </c:pt>
                <c:pt idx="663">
                  <c:v>#N/A</c:v>
                </c:pt>
                <c:pt idx="664">
                  <c:v>#N/A</c:v>
                </c:pt>
                <c:pt idx="665">
                  <c:v>#N/A</c:v>
                </c:pt>
                <c:pt idx="666">
                  <c:v>#N/A</c:v>
                </c:pt>
                <c:pt idx="667">
                  <c:v>#N/A</c:v>
                </c:pt>
                <c:pt idx="668">
                  <c:v>#N/A</c:v>
                </c:pt>
                <c:pt idx="669">
                  <c:v>2014</c:v>
                </c:pt>
                <c:pt idx="670">
                  <c:v>#N/A</c:v>
                </c:pt>
                <c:pt idx="671">
                  <c:v>#N/A</c:v>
                </c:pt>
                <c:pt idx="672">
                  <c:v>#N/A</c:v>
                </c:pt>
                <c:pt idx="673">
                  <c:v>#N/A</c:v>
                </c:pt>
                <c:pt idx="674">
                  <c:v>#N/A</c:v>
                </c:pt>
                <c:pt idx="675">
                  <c:v>#N/A</c:v>
                </c:pt>
                <c:pt idx="676">
                  <c:v>#N/A</c:v>
                </c:pt>
                <c:pt idx="677">
                  <c:v>#N/A</c:v>
                </c:pt>
                <c:pt idx="678">
                  <c:v>2020</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1982</c:v>
                </c:pt>
                <c:pt idx="695">
                  <c:v>#N/A</c:v>
                </c:pt>
                <c:pt idx="696">
                  <c:v>#N/A</c:v>
                </c:pt>
                <c:pt idx="697">
                  <c:v>2013</c:v>
                </c:pt>
                <c:pt idx="698">
                  <c:v>#N/A</c:v>
                </c:pt>
                <c:pt idx="699">
                  <c:v>#N/A</c:v>
                </c:pt>
                <c:pt idx="700">
                  <c:v>#N/A</c:v>
                </c:pt>
                <c:pt idx="701">
                  <c:v>#N/A</c:v>
                </c:pt>
                <c:pt idx="702">
                  <c:v>#N/A</c:v>
                </c:pt>
                <c:pt idx="703">
                  <c:v>#N/A</c:v>
                </c:pt>
                <c:pt idx="704">
                  <c:v>#N/A</c:v>
                </c:pt>
                <c:pt idx="705">
                  <c:v>1998</c:v>
                </c:pt>
                <c:pt idx="706">
                  <c:v>#N/A</c:v>
                </c:pt>
                <c:pt idx="707">
                  <c:v>2017</c:v>
                </c:pt>
                <c:pt idx="708">
                  <c:v>#N/A</c:v>
                </c:pt>
                <c:pt idx="709">
                  <c:v>2006</c:v>
                </c:pt>
                <c:pt idx="710">
                  <c:v>#N/A</c:v>
                </c:pt>
                <c:pt idx="711">
                  <c:v>#N/A</c:v>
                </c:pt>
                <c:pt idx="712">
                  <c:v>#N/A</c:v>
                </c:pt>
                <c:pt idx="713">
                  <c:v>#N/A</c:v>
                </c:pt>
                <c:pt idx="714">
                  <c:v>#N/A</c:v>
                </c:pt>
                <c:pt idx="715">
                  <c:v>#N/A</c:v>
                </c:pt>
                <c:pt idx="716">
                  <c:v>#N/A</c:v>
                </c:pt>
                <c:pt idx="717">
                  <c:v>#N/A</c:v>
                </c:pt>
                <c:pt idx="718">
                  <c:v>#N/A</c:v>
                </c:pt>
                <c:pt idx="719">
                  <c:v>#N/A</c:v>
                </c:pt>
                <c:pt idx="720">
                  <c:v>#N/A</c:v>
                </c:pt>
                <c:pt idx="721">
                  <c:v>2021</c:v>
                </c:pt>
                <c:pt idx="722">
                  <c:v>#N/A</c:v>
                </c:pt>
                <c:pt idx="723">
                  <c:v>#N/A</c:v>
                </c:pt>
                <c:pt idx="724">
                  <c:v>2014</c:v>
                </c:pt>
                <c:pt idx="725">
                  <c:v>2013</c:v>
                </c:pt>
                <c:pt idx="726">
                  <c:v>#N/A</c:v>
                </c:pt>
                <c:pt idx="727">
                  <c:v>#N/A</c:v>
                </c:pt>
                <c:pt idx="728">
                  <c:v>#N/A</c:v>
                </c:pt>
                <c:pt idx="729">
                  <c:v>#N/A</c:v>
                </c:pt>
                <c:pt idx="730">
                  <c:v>#N/A</c:v>
                </c:pt>
                <c:pt idx="731">
                  <c:v>2004</c:v>
                </c:pt>
                <c:pt idx="732">
                  <c:v>#N/A</c:v>
                </c:pt>
                <c:pt idx="733">
                  <c:v>#N/A</c:v>
                </c:pt>
                <c:pt idx="734">
                  <c:v>#N/A</c:v>
                </c:pt>
                <c:pt idx="735">
                  <c:v>#N/A</c:v>
                </c:pt>
                <c:pt idx="736">
                  <c:v>#N/A</c:v>
                </c:pt>
                <c:pt idx="737">
                  <c:v>#N/A</c:v>
                </c:pt>
                <c:pt idx="738">
                  <c:v>#N/A</c:v>
                </c:pt>
                <c:pt idx="739">
                  <c:v>2014</c:v>
                </c:pt>
                <c:pt idx="740">
                  <c:v>#N/A</c:v>
                </c:pt>
                <c:pt idx="741">
                  <c:v>#N/A</c:v>
                </c:pt>
                <c:pt idx="742">
                  <c:v>#N/A</c:v>
                </c:pt>
                <c:pt idx="743">
                  <c:v>#N/A</c:v>
                </c:pt>
                <c:pt idx="744">
                  <c:v>#N/A</c:v>
                </c:pt>
                <c:pt idx="745">
                  <c:v>#N/A</c:v>
                </c:pt>
                <c:pt idx="746">
                  <c:v>#N/A</c:v>
                </c:pt>
                <c:pt idx="747">
                  <c:v>#N/A</c:v>
                </c:pt>
                <c:pt idx="748">
                  <c:v>#N/A</c:v>
                </c:pt>
                <c:pt idx="749">
                  <c:v>#N/A</c:v>
                </c:pt>
                <c:pt idx="750">
                  <c:v>1999</c:v>
                </c:pt>
                <c:pt idx="751">
                  <c:v>2002</c:v>
                </c:pt>
                <c:pt idx="752">
                  <c:v>1993</c:v>
                </c:pt>
                <c:pt idx="753">
                  <c:v>2025</c:v>
                </c:pt>
                <c:pt idx="754">
                  <c:v>2024</c:v>
                </c:pt>
                <c:pt idx="755">
                  <c:v>2021</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2012</c:v>
                </c:pt>
                <c:pt idx="769">
                  <c:v>2021</c:v>
                </c:pt>
                <c:pt idx="770">
                  <c:v>#N/A</c:v>
                </c:pt>
                <c:pt idx="771">
                  <c:v>#N/A</c:v>
                </c:pt>
                <c:pt idx="772">
                  <c:v>#N/A</c:v>
                </c:pt>
                <c:pt idx="773">
                  <c:v>#N/A</c:v>
                </c:pt>
                <c:pt idx="774">
                  <c:v>#N/A</c:v>
                </c:pt>
                <c:pt idx="775">
                  <c:v>#N/A</c:v>
                </c:pt>
                <c:pt idx="776">
                  <c:v>1992</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2023</c:v>
                </c:pt>
                <c:pt idx="797">
                  <c:v>#N/A</c:v>
                </c:pt>
                <c:pt idx="798">
                  <c:v>#N/A</c:v>
                </c:pt>
                <c:pt idx="799">
                  <c:v>2011</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Calc'!$N$1:$N$820</c:f>
              <c:numCache>
                <c:formatCode>General</c:formatCode>
                <c:ptCount val="82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4.2300000000000004</c:v>
                </c:pt>
                <c:pt idx="44">
                  <c:v>#N/A</c:v>
                </c:pt>
                <c:pt idx="45">
                  <c:v>#N/A</c:v>
                </c:pt>
                <c:pt idx="46">
                  <c:v>#N/A</c:v>
                </c:pt>
                <c:pt idx="47">
                  <c:v>#N/A</c:v>
                </c:pt>
                <c:pt idx="48">
                  <c:v>4.3449999999999998</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4</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4.5519999999999996</c:v>
                </c:pt>
                <c:pt idx="92">
                  <c:v>#N/A</c:v>
                </c:pt>
                <c:pt idx="93">
                  <c:v>#N/A</c:v>
                </c:pt>
                <c:pt idx="94">
                  <c:v>#N/A</c:v>
                </c:pt>
                <c:pt idx="95">
                  <c:v>#N/A</c:v>
                </c:pt>
                <c:pt idx="96">
                  <c:v>#N/A</c:v>
                </c:pt>
                <c:pt idx="97">
                  <c:v>#N/A</c:v>
                </c:pt>
                <c:pt idx="98">
                  <c:v>4.7130000000000001</c:v>
                </c:pt>
                <c:pt idx="99">
                  <c:v>4.7359999999999998</c:v>
                </c:pt>
                <c:pt idx="100">
                  <c:v>4.7590000000000003</c:v>
                </c:pt>
                <c:pt idx="101">
                  <c:v>4</c:v>
                </c:pt>
                <c:pt idx="102">
                  <c:v>#N/A</c:v>
                </c:pt>
                <c:pt idx="103">
                  <c:v>4.0460000000000003</c:v>
                </c:pt>
                <c:pt idx="104">
                  <c:v>4.069</c:v>
                </c:pt>
                <c:pt idx="105">
                  <c:v>4.0919999999999996</c:v>
                </c:pt>
                <c:pt idx="106">
                  <c:v>4.1150000000000002</c:v>
                </c:pt>
                <c:pt idx="107">
                  <c:v>#N/A</c:v>
                </c:pt>
                <c:pt idx="108">
                  <c:v>#N/A</c:v>
                </c:pt>
                <c:pt idx="109">
                  <c:v>4.1840000000000002</c:v>
                </c:pt>
                <c:pt idx="110">
                  <c:v>#N/A</c:v>
                </c:pt>
                <c:pt idx="111">
                  <c:v>4.2300000000000004</c:v>
                </c:pt>
                <c:pt idx="112">
                  <c:v>#N/A</c:v>
                </c:pt>
                <c:pt idx="113">
                  <c:v>#N/A</c:v>
                </c:pt>
                <c:pt idx="114">
                  <c:v>#N/A</c:v>
                </c:pt>
                <c:pt idx="115">
                  <c:v>#N/A</c:v>
                </c:pt>
                <c:pt idx="116">
                  <c:v>#N/A</c:v>
                </c:pt>
                <c:pt idx="117">
                  <c:v>#N/A</c:v>
                </c:pt>
                <c:pt idx="118">
                  <c:v>4.391</c:v>
                </c:pt>
                <c:pt idx="119">
                  <c:v>4.4139999999999997</c:v>
                </c:pt>
                <c:pt idx="120">
                  <c:v>4.4370000000000003</c:v>
                </c:pt>
                <c:pt idx="121">
                  <c:v>#N/A</c:v>
                </c:pt>
                <c:pt idx="122">
                  <c:v>#N/A</c:v>
                </c:pt>
                <c:pt idx="123">
                  <c:v>#N/A</c:v>
                </c:pt>
                <c:pt idx="124">
                  <c:v>#N/A</c:v>
                </c:pt>
                <c:pt idx="125">
                  <c:v>#N/A</c:v>
                </c:pt>
                <c:pt idx="126">
                  <c:v>#N/A</c:v>
                </c:pt>
                <c:pt idx="127">
                  <c:v>#N/A</c:v>
                </c:pt>
                <c:pt idx="128">
                  <c:v>#N/A</c:v>
                </c:pt>
                <c:pt idx="129">
                  <c:v>#N/A</c:v>
                </c:pt>
                <c:pt idx="130">
                  <c:v>#N/A</c:v>
                </c:pt>
                <c:pt idx="131">
                  <c:v>4.6899999999999995</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4.3220000000000001</c:v>
                </c:pt>
                <c:pt idx="150">
                  <c:v>#N/A</c:v>
                </c:pt>
                <c:pt idx="151">
                  <c:v>4.3680000000000003</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4.391</c:v>
                </c:pt>
                <c:pt idx="187">
                  <c:v>#N/A</c:v>
                </c:pt>
                <c:pt idx="188">
                  <c:v>#N/A</c:v>
                </c:pt>
                <c:pt idx="189">
                  <c:v>#N/A</c:v>
                </c:pt>
                <c:pt idx="190">
                  <c:v>4.4829999999999997</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4.2759999999999998</c:v>
                </c:pt>
                <c:pt idx="216">
                  <c:v>#N/A</c:v>
                </c:pt>
                <c:pt idx="217">
                  <c:v>#N/A</c:v>
                </c:pt>
                <c:pt idx="218">
                  <c:v>#N/A</c:v>
                </c:pt>
                <c:pt idx="219">
                  <c:v>4.3680000000000003</c:v>
                </c:pt>
                <c:pt idx="220">
                  <c:v>4.391</c:v>
                </c:pt>
                <c:pt idx="221">
                  <c:v>#N/A</c:v>
                </c:pt>
                <c:pt idx="222">
                  <c:v>#N/A</c:v>
                </c:pt>
                <c:pt idx="223">
                  <c:v>#N/A</c:v>
                </c:pt>
                <c:pt idx="224">
                  <c:v>#N/A</c:v>
                </c:pt>
                <c:pt idx="225">
                  <c:v>#N/A</c:v>
                </c:pt>
                <c:pt idx="226">
                  <c:v>#N/A</c:v>
                </c:pt>
                <c:pt idx="227">
                  <c:v>#N/A</c:v>
                </c:pt>
                <c:pt idx="228">
                  <c:v>4.5750000000000002</c:v>
                </c:pt>
                <c:pt idx="229">
                  <c:v>#N/A</c:v>
                </c:pt>
                <c:pt idx="230">
                  <c:v>4.6210000000000004</c:v>
                </c:pt>
                <c:pt idx="231">
                  <c:v>#N/A</c:v>
                </c:pt>
                <c:pt idx="232">
                  <c:v>4.6669999999999998</c:v>
                </c:pt>
                <c:pt idx="233">
                  <c:v>#N/A</c:v>
                </c:pt>
                <c:pt idx="234">
                  <c:v>4.7130000000000001</c:v>
                </c:pt>
                <c:pt idx="235">
                  <c:v>#N/A</c:v>
                </c:pt>
                <c:pt idx="236">
                  <c:v>#N/A</c:v>
                </c:pt>
                <c:pt idx="237">
                  <c:v>4</c:v>
                </c:pt>
                <c:pt idx="238">
                  <c:v>#N/A</c:v>
                </c:pt>
                <c:pt idx="239">
                  <c:v>#N/A</c:v>
                </c:pt>
                <c:pt idx="240">
                  <c:v>#N/A</c:v>
                </c:pt>
                <c:pt idx="241">
                  <c:v>#N/A</c:v>
                </c:pt>
                <c:pt idx="242">
                  <c:v>#N/A</c:v>
                </c:pt>
                <c:pt idx="243">
                  <c:v>#N/A</c:v>
                </c:pt>
                <c:pt idx="244">
                  <c:v>#N/A</c:v>
                </c:pt>
                <c:pt idx="245">
                  <c:v>#N/A</c:v>
                </c:pt>
                <c:pt idx="246">
                  <c:v>4.2069999999999999</c:v>
                </c:pt>
                <c:pt idx="247">
                  <c:v>4.2300000000000004</c:v>
                </c:pt>
                <c:pt idx="248">
                  <c:v>#N/A</c:v>
                </c:pt>
                <c:pt idx="249">
                  <c:v>#N/A</c:v>
                </c:pt>
                <c:pt idx="250">
                  <c:v>#N/A</c:v>
                </c:pt>
                <c:pt idx="251">
                  <c:v>#N/A</c:v>
                </c:pt>
                <c:pt idx="252">
                  <c:v>#N/A</c:v>
                </c:pt>
                <c:pt idx="253">
                  <c:v>#N/A</c:v>
                </c:pt>
                <c:pt idx="254">
                  <c:v>4.391</c:v>
                </c:pt>
                <c:pt idx="255">
                  <c:v>4.4139999999999997</c:v>
                </c:pt>
                <c:pt idx="256">
                  <c:v>#N/A</c:v>
                </c:pt>
                <c:pt idx="257">
                  <c:v>#N/A</c:v>
                </c:pt>
                <c:pt idx="258">
                  <c:v>#N/A</c:v>
                </c:pt>
                <c:pt idx="259">
                  <c:v>#N/A</c:v>
                </c:pt>
                <c:pt idx="260">
                  <c:v>#N/A</c:v>
                </c:pt>
                <c:pt idx="261">
                  <c:v>4.5519999999999996</c:v>
                </c:pt>
                <c:pt idx="262">
                  <c:v>#N/A</c:v>
                </c:pt>
                <c:pt idx="263">
                  <c:v>#N/A</c:v>
                </c:pt>
                <c:pt idx="264">
                  <c:v>#N/A</c:v>
                </c:pt>
                <c:pt idx="265">
                  <c:v>4.6440000000000001</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4.1840000000000002</c:v>
                </c:pt>
                <c:pt idx="280">
                  <c:v>#N/A</c:v>
                </c:pt>
                <c:pt idx="281">
                  <c:v>#N/A</c:v>
                </c:pt>
                <c:pt idx="282">
                  <c:v>#N/A</c:v>
                </c:pt>
                <c:pt idx="283">
                  <c:v>4.2759999999999998</c:v>
                </c:pt>
                <c:pt idx="284">
                  <c:v>4.2990000000000004</c:v>
                </c:pt>
                <c:pt idx="285">
                  <c:v>#N/A</c:v>
                </c:pt>
                <c:pt idx="286">
                  <c:v>#N/A</c:v>
                </c:pt>
                <c:pt idx="287">
                  <c:v>#N/A</c:v>
                </c:pt>
                <c:pt idx="288">
                  <c:v>#N/A</c:v>
                </c:pt>
                <c:pt idx="289">
                  <c:v>4.4139999999999997</c:v>
                </c:pt>
                <c:pt idx="290">
                  <c:v>4.4370000000000003</c:v>
                </c:pt>
                <c:pt idx="291">
                  <c:v>4.46</c:v>
                </c:pt>
                <c:pt idx="292">
                  <c:v>#N/A</c:v>
                </c:pt>
                <c:pt idx="293">
                  <c:v>#N/A</c:v>
                </c:pt>
                <c:pt idx="294">
                  <c:v>#N/A</c:v>
                </c:pt>
                <c:pt idx="295">
                  <c:v>#N/A</c:v>
                </c:pt>
                <c:pt idx="296">
                  <c:v>4.5750000000000002</c:v>
                </c:pt>
                <c:pt idx="297">
                  <c:v>#N/A</c:v>
                </c:pt>
                <c:pt idx="298">
                  <c:v>#N/A</c:v>
                </c:pt>
                <c:pt idx="299">
                  <c:v>#N/A</c:v>
                </c:pt>
                <c:pt idx="300">
                  <c:v>#N/A</c:v>
                </c:pt>
                <c:pt idx="301">
                  <c:v>#N/A</c:v>
                </c:pt>
                <c:pt idx="302">
                  <c:v>#N/A</c:v>
                </c:pt>
                <c:pt idx="303">
                  <c:v>4.7359999999999998</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4.3220000000000001</c:v>
                </c:pt>
                <c:pt idx="320">
                  <c:v>4.3449999999999998</c:v>
                </c:pt>
                <c:pt idx="321">
                  <c:v>#N/A</c:v>
                </c:pt>
                <c:pt idx="322">
                  <c:v>#N/A</c:v>
                </c:pt>
                <c:pt idx="323">
                  <c:v>#N/A</c:v>
                </c:pt>
                <c:pt idx="324">
                  <c:v>#N/A</c:v>
                </c:pt>
                <c:pt idx="325">
                  <c:v>#N/A</c:v>
                </c:pt>
                <c:pt idx="326">
                  <c:v>#N/A</c:v>
                </c:pt>
                <c:pt idx="327">
                  <c:v>#N/A</c:v>
                </c:pt>
                <c:pt idx="328">
                  <c:v>#N/A</c:v>
                </c:pt>
                <c:pt idx="329">
                  <c:v>4.5519999999999996</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4.2069999999999999</c:v>
                </c:pt>
                <c:pt idx="349">
                  <c:v>4.2300000000000004</c:v>
                </c:pt>
                <c:pt idx="350">
                  <c:v>4.2530000000000001</c:v>
                </c:pt>
                <c:pt idx="351">
                  <c:v>#N/A</c:v>
                </c:pt>
                <c:pt idx="352">
                  <c:v>#N/A</c:v>
                </c:pt>
                <c:pt idx="353">
                  <c:v>#N/A</c:v>
                </c:pt>
                <c:pt idx="354">
                  <c:v>4.3449999999999998</c:v>
                </c:pt>
                <c:pt idx="355">
                  <c:v>#N/A</c:v>
                </c:pt>
                <c:pt idx="356">
                  <c:v>4.391</c:v>
                </c:pt>
                <c:pt idx="357">
                  <c:v>#N/A</c:v>
                </c:pt>
                <c:pt idx="358">
                  <c:v>#N/A</c:v>
                </c:pt>
                <c:pt idx="359">
                  <c:v>#N/A</c:v>
                </c:pt>
                <c:pt idx="360">
                  <c:v>4.4829999999999997</c:v>
                </c:pt>
                <c:pt idx="361">
                  <c:v>#N/A</c:v>
                </c:pt>
                <c:pt idx="362">
                  <c:v>4.5289999999999999</c:v>
                </c:pt>
                <c:pt idx="363">
                  <c:v>#N/A</c:v>
                </c:pt>
                <c:pt idx="364">
                  <c:v>#N/A</c:v>
                </c:pt>
                <c:pt idx="365">
                  <c:v>#N/A</c:v>
                </c:pt>
                <c:pt idx="366">
                  <c:v>#N/A</c:v>
                </c:pt>
                <c:pt idx="367">
                  <c:v>#N/A</c:v>
                </c:pt>
                <c:pt idx="368">
                  <c:v>#N/A</c:v>
                </c:pt>
                <c:pt idx="369">
                  <c:v>4.6899999999999995</c:v>
                </c:pt>
                <c:pt idx="370">
                  <c:v>4.7130000000000001</c:v>
                </c:pt>
                <c:pt idx="371">
                  <c:v>4.7359999999999998</c:v>
                </c:pt>
                <c:pt idx="372">
                  <c:v>#N/A</c:v>
                </c:pt>
                <c:pt idx="373">
                  <c:v>#N/A</c:v>
                </c:pt>
                <c:pt idx="374">
                  <c:v>4.0229999999999997</c:v>
                </c:pt>
                <c:pt idx="375">
                  <c:v>#N/A</c:v>
                </c:pt>
                <c:pt idx="376">
                  <c:v>#N/A</c:v>
                </c:pt>
                <c:pt idx="377">
                  <c:v>#N/A</c:v>
                </c:pt>
                <c:pt idx="378">
                  <c:v>4.1150000000000002</c:v>
                </c:pt>
                <c:pt idx="379">
                  <c:v>#N/A</c:v>
                </c:pt>
                <c:pt idx="380">
                  <c:v>#N/A</c:v>
                </c:pt>
                <c:pt idx="381">
                  <c:v>#N/A</c:v>
                </c:pt>
                <c:pt idx="382">
                  <c:v>#N/A</c:v>
                </c:pt>
                <c:pt idx="383">
                  <c:v>#N/A</c:v>
                </c:pt>
                <c:pt idx="384">
                  <c:v>#N/A</c:v>
                </c:pt>
                <c:pt idx="385">
                  <c:v>#N/A</c:v>
                </c:pt>
                <c:pt idx="386">
                  <c:v>#N/A</c:v>
                </c:pt>
                <c:pt idx="387">
                  <c:v>4.3220000000000001</c:v>
                </c:pt>
                <c:pt idx="388">
                  <c:v>#N/A</c:v>
                </c:pt>
                <c:pt idx="389">
                  <c:v>4.3680000000000003</c:v>
                </c:pt>
                <c:pt idx="390">
                  <c:v>4.391</c:v>
                </c:pt>
                <c:pt idx="391">
                  <c:v>#N/A</c:v>
                </c:pt>
                <c:pt idx="392">
                  <c:v>#N/A</c:v>
                </c:pt>
                <c:pt idx="393">
                  <c:v>#N/A</c:v>
                </c:pt>
                <c:pt idx="394">
                  <c:v>#N/A</c:v>
                </c:pt>
                <c:pt idx="395">
                  <c:v>4.5060000000000002</c:v>
                </c:pt>
                <c:pt idx="396">
                  <c:v>#N/A</c:v>
                </c:pt>
                <c:pt idx="397">
                  <c:v>#N/A</c:v>
                </c:pt>
                <c:pt idx="398">
                  <c:v>#N/A</c:v>
                </c:pt>
                <c:pt idx="399">
                  <c:v>#N/A</c:v>
                </c:pt>
                <c:pt idx="400">
                  <c:v>#N/A</c:v>
                </c:pt>
                <c:pt idx="401">
                  <c:v>#N/A</c:v>
                </c:pt>
                <c:pt idx="402">
                  <c:v>#N/A</c:v>
                </c:pt>
                <c:pt idx="403">
                  <c:v>4.6899999999999995</c:v>
                </c:pt>
                <c:pt idx="404">
                  <c:v>#N/A</c:v>
                </c:pt>
                <c:pt idx="405">
                  <c:v>#N/A</c:v>
                </c:pt>
                <c:pt idx="406">
                  <c:v>#N/A</c:v>
                </c:pt>
                <c:pt idx="407">
                  <c:v>4</c:v>
                </c:pt>
                <c:pt idx="408">
                  <c:v>#N/A</c:v>
                </c:pt>
                <c:pt idx="409">
                  <c:v>#N/A</c:v>
                </c:pt>
                <c:pt idx="410">
                  <c:v>#N/A</c:v>
                </c:pt>
                <c:pt idx="411">
                  <c:v>#N/A</c:v>
                </c:pt>
                <c:pt idx="412">
                  <c:v>#N/A</c:v>
                </c:pt>
                <c:pt idx="413">
                  <c:v>#N/A</c:v>
                </c:pt>
                <c:pt idx="414">
                  <c:v>#N/A</c:v>
                </c:pt>
                <c:pt idx="415">
                  <c:v>#N/A</c:v>
                </c:pt>
                <c:pt idx="416">
                  <c:v>4.2069999999999999</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4.5979999999999999</c:v>
                </c:pt>
                <c:pt idx="434">
                  <c:v>4.6210000000000004</c:v>
                </c:pt>
                <c:pt idx="435">
                  <c:v>4.6440000000000001</c:v>
                </c:pt>
                <c:pt idx="436">
                  <c:v>#N/A</c:v>
                </c:pt>
                <c:pt idx="437">
                  <c:v>#N/A</c:v>
                </c:pt>
                <c:pt idx="438">
                  <c:v>#N/A</c:v>
                </c:pt>
                <c:pt idx="439">
                  <c:v>4.7359999999999998</c:v>
                </c:pt>
                <c:pt idx="440">
                  <c:v>4.7590000000000003</c:v>
                </c:pt>
                <c:pt idx="441">
                  <c:v>4</c:v>
                </c:pt>
                <c:pt idx="442">
                  <c:v>4.0229999999999997</c:v>
                </c:pt>
                <c:pt idx="443">
                  <c:v>#N/A</c:v>
                </c:pt>
                <c:pt idx="444">
                  <c:v>#N/A</c:v>
                </c:pt>
                <c:pt idx="445">
                  <c:v>#N/A</c:v>
                </c:pt>
                <c:pt idx="446">
                  <c:v>#N/A</c:v>
                </c:pt>
                <c:pt idx="447">
                  <c:v>#N/A</c:v>
                </c:pt>
                <c:pt idx="448">
                  <c:v>#N/A</c:v>
                </c:pt>
                <c:pt idx="449">
                  <c:v>#N/A</c:v>
                </c:pt>
                <c:pt idx="450">
                  <c:v>#N/A</c:v>
                </c:pt>
                <c:pt idx="451">
                  <c:v>#N/A</c:v>
                </c:pt>
                <c:pt idx="452">
                  <c:v>4.2530000000000001</c:v>
                </c:pt>
                <c:pt idx="453">
                  <c:v>#N/A</c:v>
                </c:pt>
                <c:pt idx="454">
                  <c:v>4.2990000000000004</c:v>
                </c:pt>
                <c:pt idx="455">
                  <c:v>#N/A</c:v>
                </c:pt>
                <c:pt idx="456">
                  <c:v>#N/A</c:v>
                </c:pt>
                <c:pt idx="457">
                  <c:v>#N/A</c:v>
                </c:pt>
                <c:pt idx="458">
                  <c:v>#N/A</c:v>
                </c:pt>
                <c:pt idx="459">
                  <c:v>#N/A</c:v>
                </c:pt>
                <c:pt idx="460">
                  <c:v>4.4370000000000003</c:v>
                </c:pt>
                <c:pt idx="461">
                  <c:v>#N/A</c:v>
                </c:pt>
                <c:pt idx="462">
                  <c:v>#N/A</c:v>
                </c:pt>
                <c:pt idx="463">
                  <c:v>#N/A</c:v>
                </c:pt>
                <c:pt idx="464">
                  <c:v>4.5289999999999999</c:v>
                </c:pt>
                <c:pt idx="465">
                  <c:v>4.5519999999999996</c:v>
                </c:pt>
                <c:pt idx="466">
                  <c:v>#N/A</c:v>
                </c:pt>
                <c:pt idx="467">
                  <c:v>#N/A</c:v>
                </c:pt>
                <c:pt idx="468">
                  <c:v>#N/A</c:v>
                </c:pt>
                <c:pt idx="469">
                  <c:v>#N/A</c:v>
                </c:pt>
                <c:pt idx="470">
                  <c:v>#N/A</c:v>
                </c:pt>
                <c:pt idx="471">
                  <c:v>#N/A</c:v>
                </c:pt>
                <c:pt idx="472">
                  <c:v>#N/A</c:v>
                </c:pt>
                <c:pt idx="473">
                  <c:v>#N/A</c:v>
                </c:pt>
                <c:pt idx="474">
                  <c:v>#N/A</c:v>
                </c:pt>
                <c:pt idx="475">
                  <c:v>4</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4.5519999999999996</c:v>
                </c:pt>
                <c:pt idx="500">
                  <c:v>4.5750000000000002</c:v>
                </c:pt>
                <c:pt idx="501">
                  <c:v>4.5979999999999999</c:v>
                </c:pt>
                <c:pt idx="502">
                  <c:v>4.6210000000000004</c:v>
                </c:pt>
                <c:pt idx="503">
                  <c:v>#N/A</c:v>
                </c:pt>
                <c:pt idx="504">
                  <c:v>#N/A</c:v>
                </c:pt>
                <c:pt idx="505">
                  <c:v>4.6899999999999995</c:v>
                </c:pt>
                <c:pt idx="506">
                  <c:v>4.7130000000000001</c:v>
                </c:pt>
                <c:pt idx="507">
                  <c:v>#N/A</c:v>
                </c:pt>
                <c:pt idx="508">
                  <c:v>#N/A</c:v>
                </c:pt>
                <c:pt idx="509">
                  <c:v>#N/A</c:v>
                </c:pt>
                <c:pt idx="510">
                  <c:v>#N/A</c:v>
                </c:pt>
                <c:pt idx="511">
                  <c:v>4.0460000000000003</c:v>
                </c:pt>
                <c:pt idx="512">
                  <c:v>#N/A</c:v>
                </c:pt>
                <c:pt idx="513">
                  <c:v>#N/A</c:v>
                </c:pt>
                <c:pt idx="514">
                  <c:v>#N/A</c:v>
                </c:pt>
                <c:pt idx="515">
                  <c:v>4.1379999999999999</c:v>
                </c:pt>
                <c:pt idx="516">
                  <c:v>#N/A</c:v>
                </c:pt>
                <c:pt idx="517">
                  <c:v>4.1840000000000002</c:v>
                </c:pt>
                <c:pt idx="518">
                  <c:v>#N/A</c:v>
                </c:pt>
                <c:pt idx="519">
                  <c:v>#N/A</c:v>
                </c:pt>
                <c:pt idx="520">
                  <c:v>#N/A</c:v>
                </c:pt>
                <c:pt idx="521">
                  <c:v>#N/A</c:v>
                </c:pt>
                <c:pt idx="522">
                  <c:v>#N/A</c:v>
                </c:pt>
                <c:pt idx="523">
                  <c:v>4.3220000000000001</c:v>
                </c:pt>
                <c:pt idx="524">
                  <c:v>#N/A</c:v>
                </c:pt>
                <c:pt idx="525">
                  <c:v>#N/A</c:v>
                </c:pt>
                <c:pt idx="526">
                  <c:v>#N/A</c:v>
                </c:pt>
                <c:pt idx="527">
                  <c:v>#N/A</c:v>
                </c:pt>
                <c:pt idx="528">
                  <c:v>#N/A</c:v>
                </c:pt>
                <c:pt idx="529">
                  <c:v>#N/A</c:v>
                </c:pt>
                <c:pt idx="530">
                  <c:v>#N/A</c:v>
                </c:pt>
                <c:pt idx="531">
                  <c:v>#N/A</c:v>
                </c:pt>
                <c:pt idx="532">
                  <c:v>#N/A</c:v>
                </c:pt>
                <c:pt idx="533">
                  <c:v>4.5519999999999996</c:v>
                </c:pt>
                <c:pt idx="534">
                  <c:v>4.5750000000000002</c:v>
                </c:pt>
                <c:pt idx="535">
                  <c:v>4.5979999999999999</c:v>
                </c:pt>
                <c:pt idx="536">
                  <c:v>4.6210000000000004</c:v>
                </c:pt>
                <c:pt idx="537">
                  <c:v>4.6440000000000001</c:v>
                </c:pt>
                <c:pt idx="538">
                  <c:v>4.6669999999999998</c:v>
                </c:pt>
                <c:pt idx="539">
                  <c:v>#N/A</c:v>
                </c:pt>
                <c:pt idx="540">
                  <c:v>#N/A</c:v>
                </c:pt>
                <c:pt idx="541">
                  <c:v>#N/A</c:v>
                </c:pt>
                <c:pt idx="542">
                  <c:v>4.7590000000000003</c:v>
                </c:pt>
                <c:pt idx="543">
                  <c:v>#N/A</c:v>
                </c:pt>
                <c:pt idx="544">
                  <c:v>#N/A</c:v>
                </c:pt>
                <c:pt idx="545">
                  <c:v>#N/A</c:v>
                </c:pt>
                <c:pt idx="546">
                  <c:v>4.069</c:v>
                </c:pt>
                <c:pt idx="547">
                  <c:v>4.0919999999999996</c:v>
                </c:pt>
                <c:pt idx="548">
                  <c:v>#N/A</c:v>
                </c:pt>
                <c:pt idx="549">
                  <c:v>#N/A</c:v>
                </c:pt>
                <c:pt idx="550">
                  <c:v>#N/A</c:v>
                </c:pt>
                <c:pt idx="551">
                  <c:v>4.1840000000000002</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4.5289999999999999</c:v>
                </c:pt>
                <c:pt idx="567">
                  <c:v>4.5519999999999996</c:v>
                </c:pt>
                <c:pt idx="568">
                  <c:v>4.5750000000000002</c:v>
                </c:pt>
                <c:pt idx="569">
                  <c:v>#N/A</c:v>
                </c:pt>
                <c:pt idx="570">
                  <c:v>#N/A</c:v>
                </c:pt>
                <c:pt idx="571">
                  <c:v>#N/A</c:v>
                </c:pt>
                <c:pt idx="572">
                  <c:v>#N/A</c:v>
                </c:pt>
                <c:pt idx="573">
                  <c:v>#N/A</c:v>
                </c:pt>
                <c:pt idx="574">
                  <c:v>#N/A</c:v>
                </c:pt>
                <c:pt idx="575">
                  <c:v>#N/A</c:v>
                </c:pt>
                <c:pt idx="576">
                  <c:v>#N/A</c:v>
                </c:pt>
                <c:pt idx="577">
                  <c:v>#N/A</c:v>
                </c:pt>
                <c:pt idx="578">
                  <c:v>#N/A</c:v>
                </c:pt>
                <c:pt idx="579">
                  <c:v>4.0460000000000003</c:v>
                </c:pt>
                <c:pt idx="580">
                  <c:v>#N/A</c:v>
                </c:pt>
                <c:pt idx="581">
                  <c:v>4.0919999999999996</c:v>
                </c:pt>
                <c:pt idx="582">
                  <c:v>#N/A</c:v>
                </c:pt>
                <c:pt idx="583">
                  <c:v>#N/A</c:v>
                </c:pt>
                <c:pt idx="584">
                  <c:v>#N/A</c:v>
                </c:pt>
                <c:pt idx="585">
                  <c:v>#N/A</c:v>
                </c:pt>
                <c:pt idx="586">
                  <c:v>#N/A</c:v>
                </c:pt>
                <c:pt idx="587">
                  <c:v>#N/A</c:v>
                </c:pt>
                <c:pt idx="588">
                  <c:v>#N/A</c:v>
                </c:pt>
                <c:pt idx="589">
                  <c:v>#N/A</c:v>
                </c:pt>
                <c:pt idx="590">
                  <c:v>#N/A</c:v>
                </c:pt>
                <c:pt idx="591">
                  <c:v>#N/A</c:v>
                </c:pt>
                <c:pt idx="592">
                  <c:v>#N/A</c:v>
                </c:pt>
                <c:pt idx="593">
                  <c:v>4.3680000000000003</c:v>
                </c:pt>
                <c:pt idx="594">
                  <c:v>#N/A</c:v>
                </c:pt>
                <c:pt idx="595">
                  <c:v>4.4139999999999997</c:v>
                </c:pt>
                <c:pt idx="596">
                  <c:v>#N/A</c:v>
                </c:pt>
                <c:pt idx="597">
                  <c:v>#N/A</c:v>
                </c:pt>
                <c:pt idx="598">
                  <c:v>#N/A</c:v>
                </c:pt>
                <c:pt idx="599">
                  <c:v>#N/A</c:v>
                </c:pt>
                <c:pt idx="600">
                  <c:v>#N/A</c:v>
                </c:pt>
                <c:pt idx="601">
                  <c:v>#N/A</c:v>
                </c:pt>
                <c:pt idx="602">
                  <c:v>#N/A</c:v>
                </c:pt>
                <c:pt idx="603">
                  <c:v>#N/A</c:v>
                </c:pt>
                <c:pt idx="604">
                  <c:v>#N/A</c:v>
                </c:pt>
                <c:pt idx="605">
                  <c:v>#N/A</c:v>
                </c:pt>
                <c:pt idx="606">
                  <c:v>4.6669999999999998</c:v>
                </c:pt>
                <c:pt idx="607">
                  <c:v>#N/A</c:v>
                </c:pt>
                <c:pt idx="608">
                  <c:v>#N/A</c:v>
                </c:pt>
                <c:pt idx="609">
                  <c:v>#N/A</c:v>
                </c:pt>
                <c:pt idx="610">
                  <c:v>#N/A</c:v>
                </c:pt>
                <c:pt idx="611">
                  <c:v>#N/A</c:v>
                </c:pt>
                <c:pt idx="612">
                  <c:v>#N/A</c:v>
                </c:pt>
                <c:pt idx="613">
                  <c:v>#N/A</c:v>
                </c:pt>
                <c:pt idx="614">
                  <c:v>#N/A</c:v>
                </c:pt>
                <c:pt idx="615">
                  <c:v>#N/A</c:v>
                </c:pt>
                <c:pt idx="616">
                  <c:v>#N/A</c:v>
                </c:pt>
                <c:pt idx="617">
                  <c:v>4.1379999999999999</c:v>
                </c:pt>
                <c:pt idx="618">
                  <c:v>#N/A</c:v>
                </c:pt>
                <c:pt idx="619">
                  <c:v>#N/A</c:v>
                </c:pt>
                <c:pt idx="620">
                  <c:v>#N/A</c:v>
                </c:pt>
                <c:pt idx="621">
                  <c:v>4.2300000000000004</c:v>
                </c:pt>
                <c:pt idx="622">
                  <c:v>#N/A</c:v>
                </c:pt>
                <c:pt idx="623">
                  <c:v>4.2759999999999998</c:v>
                </c:pt>
                <c:pt idx="624">
                  <c:v>4.2990000000000004</c:v>
                </c:pt>
                <c:pt idx="625">
                  <c:v>4.3220000000000001</c:v>
                </c:pt>
                <c:pt idx="626">
                  <c:v>4.3449999999999998</c:v>
                </c:pt>
                <c:pt idx="627">
                  <c:v>4.3680000000000003</c:v>
                </c:pt>
                <c:pt idx="628">
                  <c:v>4.391</c:v>
                </c:pt>
                <c:pt idx="629">
                  <c:v>4.4139999999999997</c:v>
                </c:pt>
                <c:pt idx="630">
                  <c:v>4.4370000000000003</c:v>
                </c:pt>
                <c:pt idx="631">
                  <c:v>#N/A</c:v>
                </c:pt>
                <c:pt idx="632">
                  <c:v>#N/A</c:v>
                </c:pt>
                <c:pt idx="633">
                  <c:v>#N/A</c:v>
                </c:pt>
                <c:pt idx="634">
                  <c:v>#N/A</c:v>
                </c:pt>
                <c:pt idx="635">
                  <c:v>4.5519999999999996</c:v>
                </c:pt>
                <c:pt idx="636">
                  <c:v>#N/A</c:v>
                </c:pt>
                <c:pt idx="637">
                  <c:v>#N/A</c:v>
                </c:pt>
                <c:pt idx="638">
                  <c:v>#N/A</c:v>
                </c:pt>
                <c:pt idx="639">
                  <c:v>#N/A</c:v>
                </c:pt>
                <c:pt idx="640">
                  <c:v>#N/A</c:v>
                </c:pt>
                <c:pt idx="641">
                  <c:v>4.6899999999999995</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4.2069999999999999</c:v>
                </c:pt>
                <c:pt idx="655">
                  <c:v>4.2300000000000004</c:v>
                </c:pt>
                <c:pt idx="656">
                  <c:v>#N/A</c:v>
                </c:pt>
                <c:pt idx="657">
                  <c:v>#N/A</c:v>
                </c:pt>
                <c:pt idx="658">
                  <c:v>#N/A</c:v>
                </c:pt>
                <c:pt idx="659">
                  <c:v>4.3220000000000001</c:v>
                </c:pt>
                <c:pt idx="660">
                  <c:v>#N/A</c:v>
                </c:pt>
                <c:pt idx="661">
                  <c:v>#N/A</c:v>
                </c:pt>
                <c:pt idx="662">
                  <c:v>#N/A</c:v>
                </c:pt>
                <c:pt idx="663">
                  <c:v>#N/A</c:v>
                </c:pt>
                <c:pt idx="664">
                  <c:v>#N/A</c:v>
                </c:pt>
                <c:pt idx="665">
                  <c:v>#N/A</c:v>
                </c:pt>
                <c:pt idx="666">
                  <c:v>#N/A</c:v>
                </c:pt>
                <c:pt idx="667">
                  <c:v>#N/A</c:v>
                </c:pt>
                <c:pt idx="668">
                  <c:v>#N/A</c:v>
                </c:pt>
                <c:pt idx="669">
                  <c:v>#N/A</c:v>
                </c:pt>
                <c:pt idx="670">
                  <c:v>4.5750000000000002</c:v>
                </c:pt>
                <c:pt idx="671">
                  <c:v>#N/A</c:v>
                </c:pt>
                <c:pt idx="672">
                  <c:v>#N/A</c:v>
                </c:pt>
                <c:pt idx="673">
                  <c:v>#N/A</c:v>
                </c:pt>
                <c:pt idx="674">
                  <c:v>#N/A</c:v>
                </c:pt>
                <c:pt idx="675">
                  <c:v>#N/A</c:v>
                </c:pt>
                <c:pt idx="676">
                  <c:v>#N/A</c:v>
                </c:pt>
                <c:pt idx="677">
                  <c:v>#N/A</c:v>
                </c:pt>
                <c:pt idx="678">
                  <c:v>#N/A</c:v>
                </c:pt>
                <c:pt idx="679">
                  <c:v>4</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4.3680000000000003</c:v>
                </c:pt>
                <c:pt idx="696">
                  <c:v>#N/A</c:v>
                </c:pt>
                <c:pt idx="697">
                  <c:v>#N/A</c:v>
                </c:pt>
                <c:pt idx="698">
                  <c:v>4.4370000000000003</c:v>
                </c:pt>
                <c:pt idx="699">
                  <c:v>#N/A</c:v>
                </c:pt>
                <c:pt idx="700">
                  <c:v>#N/A</c:v>
                </c:pt>
                <c:pt idx="701">
                  <c:v>#N/A</c:v>
                </c:pt>
                <c:pt idx="702">
                  <c:v>#N/A</c:v>
                </c:pt>
                <c:pt idx="703">
                  <c:v>#N/A</c:v>
                </c:pt>
                <c:pt idx="704">
                  <c:v>#N/A</c:v>
                </c:pt>
                <c:pt idx="705">
                  <c:v>#N/A</c:v>
                </c:pt>
                <c:pt idx="706">
                  <c:v>4.6210000000000004</c:v>
                </c:pt>
                <c:pt idx="707">
                  <c:v>#N/A</c:v>
                </c:pt>
                <c:pt idx="708">
                  <c:v>4.6669999999999998</c:v>
                </c:pt>
                <c:pt idx="709">
                  <c:v>#N/A</c:v>
                </c:pt>
                <c:pt idx="710">
                  <c:v>4.7130000000000001</c:v>
                </c:pt>
                <c:pt idx="711">
                  <c:v>#N/A</c:v>
                </c:pt>
                <c:pt idx="712">
                  <c:v>#N/A</c:v>
                </c:pt>
                <c:pt idx="713">
                  <c:v>#N/A</c:v>
                </c:pt>
                <c:pt idx="714">
                  <c:v>#N/A</c:v>
                </c:pt>
                <c:pt idx="715">
                  <c:v>#N/A</c:v>
                </c:pt>
                <c:pt idx="716">
                  <c:v>#N/A</c:v>
                </c:pt>
                <c:pt idx="717">
                  <c:v>#N/A</c:v>
                </c:pt>
                <c:pt idx="718">
                  <c:v>#N/A</c:v>
                </c:pt>
                <c:pt idx="719">
                  <c:v>#N/A</c:v>
                </c:pt>
                <c:pt idx="720">
                  <c:v>#N/A</c:v>
                </c:pt>
                <c:pt idx="721">
                  <c:v>#N/A</c:v>
                </c:pt>
                <c:pt idx="722">
                  <c:v>4.2069999999999999</c:v>
                </c:pt>
                <c:pt idx="723">
                  <c:v>#N/A</c:v>
                </c:pt>
                <c:pt idx="724">
                  <c:v>#N/A</c:v>
                </c:pt>
                <c:pt idx="725">
                  <c:v>4.2759999999999998</c:v>
                </c:pt>
                <c:pt idx="726">
                  <c:v>4.2990000000000004</c:v>
                </c:pt>
                <c:pt idx="727">
                  <c:v>#N/A</c:v>
                </c:pt>
                <c:pt idx="728">
                  <c:v>#N/A</c:v>
                </c:pt>
                <c:pt idx="729">
                  <c:v>#N/A</c:v>
                </c:pt>
                <c:pt idx="730">
                  <c:v>#N/A</c:v>
                </c:pt>
                <c:pt idx="731">
                  <c:v>#N/A</c:v>
                </c:pt>
                <c:pt idx="732">
                  <c:v>4.4370000000000003</c:v>
                </c:pt>
                <c:pt idx="733">
                  <c:v>#N/A</c:v>
                </c:pt>
                <c:pt idx="734">
                  <c:v>#N/A</c:v>
                </c:pt>
                <c:pt idx="735">
                  <c:v>#N/A</c:v>
                </c:pt>
                <c:pt idx="736">
                  <c:v>#N/A</c:v>
                </c:pt>
                <c:pt idx="737">
                  <c:v>#N/A</c:v>
                </c:pt>
                <c:pt idx="738">
                  <c:v>#N/A</c:v>
                </c:pt>
                <c:pt idx="739">
                  <c:v>#N/A</c:v>
                </c:pt>
                <c:pt idx="740">
                  <c:v>4.6210000000000004</c:v>
                </c:pt>
                <c:pt idx="741">
                  <c:v>#N/A</c:v>
                </c:pt>
                <c:pt idx="742">
                  <c:v>#N/A</c:v>
                </c:pt>
                <c:pt idx="743">
                  <c:v>#N/A</c:v>
                </c:pt>
                <c:pt idx="744">
                  <c:v>#N/A</c:v>
                </c:pt>
                <c:pt idx="745">
                  <c:v>#N/A</c:v>
                </c:pt>
                <c:pt idx="746">
                  <c:v>#N/A</c:v>
                </c:pt>
                <c:pt idx="747">
                  <c:v>#N/A</c:v>
                </c:pt>
                <c:pt idx="748">
                  <c:v>#N/A</c:v>
                </c:pt>
                <c:pt idx="749">
                  <c:v>#N/A</c:v>
                </c:pt>
                <c:pt idx="750">
                  <c:v>#N/A</c:v>
                </c:pt>
                <c:pt idx="751">
                  <c:v>4.0919999999999996</c:v>
                </c:pt>
                <c:pt idx="752">
                  <c:v>4.1150000000000002</c:v>
                </c:pt>
                <c:pt idx="753">
                  <c:v>4.1379999999999999</c:v>
                </c:pt>
                <c:pt idx="754">
                  <c:v>4.1609999999999996</c:v>
                </c:pt>
                <c:pt idx="755">
                  <c:v>4.1840000000000002</c:v>
                </c:pt>
                <c:pt idx="756">
                  <c:v>4.2069999999999999</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4.5060000000000002</c:v>
                </c:pt>
                <c:pt idx="770">
                  <c:v>4.5289999999999999</c:v>
                </c:pt>
                <c:pt idx="771">
                  <c:v>#N/A</c:v>
                </c:pt>
                <c:pt idx="772">
                  <c:v>#N/A</c:v>
                </c:pt>
                <c:pt idx="773">
                  <c:v>#N/A</c:v>
                </c:pt>
                <c:pt idx="774">
                  <c:v>#N/A</c:v>
                </c:pt>
                <c:pt idx="775">
                  <c:v>#N/A</c:v>
                </c:pt>
                <c:pt idx="776">
                  <c:v>#N/A</c:v>
                </c:pt>
                <c:pt idx="777">
                  <c:v>4.6899999999999995</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4.3680000000000003</c:v>
                </c:pt>
                <c:pt idx="798">
                  <c:v>#N/A</c:v>
                </c:pt>
                <c:pt idx="799">
                  <c:v>#N/A</c:v>
                </c:pt>
                <c:pt idx="800">
                  <c:v>4.4370000000000003</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3-F9BC-4463-954D-445A1CF39C0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20</xdr:row>
      <xdr:rowOff>0</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39</xdr:row>
      <xdr:rowOff>0</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17</xdr:col>
      <xdr:colOff>425823</xdr:colOff>
      <xdr:row>20</xdr:row>
      <xdr:rowOff>44823</xdr:rowOff>
    </xdr:from>
    <xdr:ext cx="57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17</xdr:col>
      <xdr:colOff>470647</xdr:colOff>
      <xdr:row>38</xdr:row>
      <xdr:rowOff>156882</xdr:rowOff>
    </xdr:from>
    <xdr:ext cx="57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8</xdr:col>
      <xdr:colOff>414618</xdr:colOff>
      <xdr:row>39</xdr:row>
      <xdr:rowOff>89647</xdr:rowOff>
    </xdr:from>
    <xdr:ext cx="4320000" cy="252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21</xdr:col>
      <xdr:colOff>358588</xdr:colOff>
      <xdr:row>4</xdr:row>
      <xdr:rowOff>100853</xdr:rowOff>
    </xdr:from>
    <xdr:ext cx="4320000" cy="252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0</xdr:colOff>
      <xdr:row>58</xdr:row>
      <xdr:rowOff>0</xdr:rowOff>
    </xdr:from>
    <xdr:ext cx="12240000" cy="468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34" totalsRowShown="0">
  <autoFilter ref="A1:J834" xr:uid="{00000000-0009-0000-0100-000001000000}"/>
  <sortState xmlns:xlrd2="http://schemas.microsoft.com/office/spreadsheetml/2017/richdata2" ref="A2:J834">
    <sortCondition ref="A829:A834"/>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188" totalsRowShown="0">
  <autoFilter ref="A1:E1188" xr:uid="{00000000-0009-0000-0100-000002000000}"/>
  <sortState xmlns:xlrd2="http://schemas.microsoft.com/office/spreadsheetml/2017/richdata2" ref="A2:E1134">
    <sortCondition ref="A1112:A1134"/>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P12" totalsRowShown="0" headerRowCellStyle="Normal" dataCellStyle="Normal">
  <autoFilter ref="A1:P12" xr:uid="{00000000-0009-0000-0100-000003000000}"/>
  <sortState xmlns:xlrd2="http://schemas.microsoft.com/office/spreadsheetml/2017/richdata2" ref="A2:P11">
    <sortCondition ref="A10:A11"/>
  </sortState>
  <tableColumns count="16">
    <tableColumn id="1" xr3:uid="{00000000-0010-0000-0200-000001000000}" name="Name" dataCellStyle="Normal"/>
    <tableColumn id="2" xr3:uid="{00000000-0010-0000-0200-000002000000}" name="Game" dataCellStyle="Normal"/>
    <tableColumn id="3" xr3:uid="{00000000-0010-0000-0200-000003000000}" name="Health" dataCellStyle="Normal"/>
    <tableColumn id="4" xr3:uid="{00000000-0010-0000-0200-000004000000}" name="Bash" dataCellStyle="Normal"/>
    <tableColumn id="5" xr3:uid="{00000000-0010-0000-0200-000005000000}" name="Dash" dataCellStyle="Normal"/>
    <tableColumn id="10" xr3:uid="{00000000-0010-0000-0200-00000A000000}" name="Push"/>
    <tableColumn id="9" xr3:uid="{00000000-0010-0000-0200-000009000000}" name="Transmute"/>
    <tableColumn id="6" xr3:uid="{00000000-0010-0000-0200-000006000000}" name="Scramble" dataCellStyle="Normal"/>
    <tableColumn id="7" xr3:uid="{00000000-0010-0000-0200-000007000000}" name="Bombs" dataCellStyle="Normal"/>
    <tableColumn id="8" xr3:uid="{00000000-0010-0000-0200-000008000000}" name="Keys" dataCellStyle="Normal"/>
    <tableColumn id="12" xr3:uid="{C67B46F3-C4AE-45E5-82FD-805C10F653D7}" name="Random"/>
    <tableColumn id="16" xr3:uid="{00000000-0010-0000-0200-000010000000}" name="Level Up" dataCellStyle="Normal"/>
    <tableColumn id="17" xr3:uid="{00000000-0010-0000-0200-000011000000}" name="Reward" dataCellStyle="Normal"/>
    <tableColumn id="18" xr3:uid="{00000000-0010-0000-0200-000012000000}" name="Description" dataCellStyle="Normal"/>
    <tableColumn id="24" xr3:uid="{00000000-0010-0000-0200-000018000000}" name="Starting items" dataCellStyle="Normal"/>
    <tableColumn id="11" xr3:uid="{00000000-0010-0000-0200-00000B000000}" name="File" dataCellStyle="Normal"/>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22" totalsRowShown="0">
  <autoFilter ref="A1:I22" xr:uid="{00000000-0009-0000-0100-000004000000}"/>
  <sortState xmlns:xlrd2="http://schemas.microsoft.com/office/spreadsheetml/2017/richdata2" ref="A2:I21">
    <sortCondition ref="A16:A21"/>
  </sortState>
  <tableColumns count="9">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File"/>
    <tableColumn id="9" xr3:uid="{00000000-0010-0000-0300-000009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6" totalsRowShown="0">
  <autoFilter ref="A1:L46" xr:uid="{00000000-0009-0000-0100-000005000000}"/>
  <sortState xmlns:xlrd2="http://schemas.microsoft.com/office/spreadsheetml/2017/richdata2" ref="A2:L46">
    <sortCondition ref="B2:B46"/>
    <sortCondition ref="C2:C46"/>
    <sortCondition ref="A2:A46"/>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8" totalsRowShown="0">
  <autoFilter ref="A1:L38" xr:uid="{00000000-0009-0000-0100-000006000000}"/>
  <sortState xmlns:xlrd2="http://schemas.microsoft.com/office/spreadsheetml/2017/richdata2" ref="A2:L38">
    <sortCondition ref="B2:B38"/>
    <sortCondition ref="C2:C38"/>
    <sortCondition ref="A2:A38"/>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6" xr3:uid="{00000000-0010-0000-0600-000006000000}" name="Effect"/>
    <tableColumn id="5" xr3:uid="{00000000-0010-0000-0600-000005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5B8F405D-0A63-4695-8C56-A6FC908266C3}" name="Table37" displayName="Table37" ref="A1:I4" totalsRowShown="0">
  <autoFilter ref="A1:I4" xr:uid="{5B8F405D-0A63-4695-8C56-A6FC908266C3}"/>
  <tableColumns count="9">
    <tableColumn id="1" xr3:uid="{00000000-0010-0000-0700-000001000000}" name="Name"/>
    <tableColumn id="2" xr3:uid="{00000000-0010-0000-0700-000002000000}" name="Type"/>
    <tableColumn id="3" xr3:uid="{00000000-0010-0000-0700-000003000000}" name="Game"/>
    <tableColumn id="4" xr3:uid="{00000000-0010-0000-0700-000004000000}" name="On Player"/>
    <tableColumn id="8" xr3:uid="{00000000-0010-0000-0700-000008000000}" name="On Player Effect"/>
    <tableColumn id="5" xr3:uid="{00000000-0010-0000-0700-000005000000}" name="On Enemy"/>
    <tableColumn id="9" xr3:uid="{00000000-0010-0000-0700-000009000000}" name="On Enemy Effect"/>
    <tableColumn id="6" xr3:uid="{00000000-0010-0000-0700-000006000000}" name="Stackable"/>
    <tableColumn id="7" xr3:uid="{00000000-0010-0000-0700-000007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D6E4D37A-B21D-4FF9-AF0B-92EE65F9177B}" name="Table36" displayName="Table36" ref="A1:I3" totalsRowShown="0">
  <autoFilter ref="A1:I3" xr:uid="{D6E4D37A-B21D-4FF9-AF0B-92EE65F9177B}"/>
  <tableColumns count="9">
    <tableColumn id="1" xr3:uid="{3A286681-D45A-4CBB-86C1-483E8CE8BEDD}" name="Name"/>
    <tableColumn id="9" xr3:uid="{1160534D-1128-4BC3-BAF8-812643FD3DEC}" name="Game"/>
    <tableColumn id="2" xr3:uid="{DD3AA535-6333-47EB-96A8-7C1012F5277C}" name="Difficulty"/>
    <tableColumn id="3" xr3:uid="{24F08F02-4A53-4513-B388-C65E5E3AA60E}" name="Goal Type"/>
    <tableColumn id="4" xr3:uid="{5C5C8165-B89B-44B1-9091-5C795287F2BA}" name="Goal"/>
    <tableColumn id="5" xr3:uid="{2F0F98E3-1BAC-4E38-AA9B-4043E6405450}" name="Goal Effect"/>
    <tableColumn id="10" xr3:uid="{49CA4E93-D614-49E4-B51A-121874FDDB58}" name="Limit"/>
    <tableColumn id="6" xr3:uid="{2CAC81ED-752B-4A4F-982B-7D9388CB274A}" name="Extra Effect"/>
    <tableColumn id="7" xr3:uid="{5DCFD422-6DC2-4405-AA83-E5D71481BE65}" name="Enemy 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7" displayName="Table7" ref="A1:E39" totalsRowShown="0">
  <autoFilter ref="A1:E39" xr:uid="{00000000-0009-0000-0100-000021000000}"/>
  <tableColumns count="5">
    <tableColumn id="1" xr3:uid="{00000000-0010-0000-2000-000001000000}" name="Name"/>
    <tableColumn id="2" xr3:uid="{00000000-0010-0000-2000-000002000000}" name="Difficulty"/>
    <tableColumn id="3" xr3:uid="{00000000-0010-0000-2000-000003000000}" name="Game"/>
    <tableColumn id="4" xr3:uid="{00000000-0010-0000-2000-000004000000}" name="Type"/>
    <tableColumn id="5" xr3:uid="{00000000-0010-0000-2000-000005000000}" name="Effect"/>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 displayName="Table3" ref="A1:J127" totalsRowShown="0">
  <autoFilter ref="A1:J127" xr:uid="{00000000-0009-0000-0100-000008000000}"/>
  <sortState xmlns:xlrd2="http://schemas.microsoft.com/office/spreadsheetml/2017/richdata2" ref="A2:J127">
    <sortCondition ref="A118:A127"/>
  </sortState>
  <tableColumns count="10">
    <tableColumn id="1" xr3:uid="{00000000-0010-0000-0700-000001000000}" name="Name"/>
    <tableColumn id="2" xr3:uid="{00000000-0010-0000-0700-000002000000}" name="Rating"/>
    <tableColumn id="3" xr3:uid="{00000000-0010-0000-0700-000003000000}" name="Type"/>
    <tableColumn id="4" xr3:uid="{00000000-0010-0000-0700-000004000000}" name="Description"/>
    <tableColumn id="5" xr3:uid="{00000000-0010-0000-0700-000005000000}" name="Effect"/>
    <tableColumn id="6" xr3:uid="{00000000-0010-0000-0700-000006000000}" name="Reference"/>
    <tableColumn id="7" xr3:uid="{00000000-0010-0000-0700-000007000000}" name="tags"/>
    <tableColumn id="8" xr3:uid="{00000000-0010-0000-0700-000008000000}" name="File"/>
    <tableColumn id="9" xr3:uid="{00000000-0010-0000-0700-000009000000}" name="Requirement"/>
    <tableColumn id="10" xr3:uid="{00000000-0010-0000-0700-00000A000000}" name="Sorting"/>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3" displayName="Table23" ref="A1:M5" totalsRowShown="0">
  <autoFilter ref="A1:M5" xr:uid="{00000000-0009-0000-0100-000009000000}"/>
  <tableColumns count="13">
    <tableColumn id="1" xr3:uid="{00000000-0010-0000-0800-000001000000}" name="Name "/>
    <tableColumn id="2" xr3:uid="{00000000-0010-0000-0800-000002000000}" name="Game"/>
    <tableColumn id="3" xr3:uid="{00000000-0010-0000-0800-000003000000}" name="Type"/>
    <tableColumn id="4" xr3:uid="{00000000-0010-0000-0800-000004000000}" name="Difficulty"/>
    <tableColumn id="5" xr3:uid="{00000000-0010-0000-0800-000005000000}" name="Diffuculty Roll"/>
    <tableColumn id="6" xr3:uid="{00000000-0010-0000-0800-000006000000}" name="Rarity"/>
    <tableColumn id="7" xr3:uid="{00000000-0010-0000-0800-000007000000}" name="Possible Inputs"/>
    <tableColumn id="8" xr3:uid="{00000000-0010-0000-0800-000008000000}" name="Possible Outputs"/>
    <tableColumn id="9" xr3:uid="{00000000-0010-0000-0800-000009000000}" name="Multipath"/>
    <tableColumn id="10" xr3:uid="{00000000-0010-0000-0800-00000A000000}" name="Img"/>
    <tableColumn id="11" xr3:uid="{00000000-0010-0000-0800-00000B000000}" name="Run Limit"/>
    <tableColumn id="12" xr3:uid="{00000000-0010-0000-0800-00000C000000}" name="Requirement"/>
    <tableColumn id="13" xr3:uid="{00000000-0010-0000-0800-00000D000000}" name="Tags"/>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0" displayName="Table30" ref="A1:K8" totalsRowShown="0">
  <autoFilter ref="A1:K8" xr:uid="{00000000-0009-0000-0100-00000A000000}"/>
  <tableColumns count="11">
    <tableColumn id="1" xr3:uid="{00000000-0010-0000-0900-000001000000}" name="Name"/>
    <tableColumn id="2" xr3:uid="{00000000-0010-0000-0900-000002000000}" name="Type"/>
    <tableColumn id="3" xr3:uid="{00000000-0010-0000-0900-000003000000}" name="Rarity"/>
    <tableColumn id="4" xr3:uid="{00000000-0010-0000-0900-000004000000}" name="Description"/>
    <tableColumn id="5" xr3:uid="{00000000-0010-0000-0900-000005000000}" name="Effect"/>
    <tableColumn id="6" xr3:uid="{00000000-0010-0000-0900-000006000000}" name="npc"/>
    <tableColumn id="7" xr3:uid="{00000000-0010-0000-0900-000007000000}" name="Reference"/>
    <tableColumn id="8" xr3:uid="{00000000-0010-0000-0900-000008000000}" name="Requirements"/>
    <tableColumn id="9" xr3:uid="{00000000-0010-0000-0900-000009000000}" name="Requirement Effect"/>
    <tableColumn id="10" xr3:uid="{00000000-0010-0000-0900-00000A000000}" name="Img"/>
    <tableColumn id="11" xr3:uid="{00000000-0010-0000-0900-00000B000000}" name="Tags"/>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7" displayName="Table27" ref="A1:M13" totalsRowShown="0">
  <autoFilter ref="A1:M13" xr:uid="{00000000-0009-0000-0100-00000B000000}"/>
  <tableColumns count="13">
    <tableColumn id="1" xr3:uid="{00000000-0010-0000-0A00-000001000000}" name="Name"/>
    <tableColumn id="2" xr3:uid="{00000000-0010-0000-0A00-000002000000}" name="Type"/>
    <tableColumn id="3" xr3:uid="{00000000-0010-0000-0A00-000003000000}" name="Difficulty"/>
    <tableColumn id="4" xr3:uid="{00000000-0010-0000-0A00-000004000000}" name="Weight"/>
    <tableColumn id="5" xr3:uid="{00000000-0010-0000-0A00-000005000000}" name="Min HP"/>
    <tableColumn id="6" xr3:uid="{00000000-0010-0000-0A00-000006000000}" name="Max HP"/>
    <tableColumn id="7" xr3:uid="{00000000-0010-0000-0A00-000007000000}" name="Ability"/>
    <tableColumn id="8" xr3:uid="{00000000-0010-0000-0A00-000008000000}" name="Game"/>
    <tableColumn id="9" xr3:uid="{00000000-0010-0000-0A00-000009000000}" name="Location"/>
    <tableColumn id="10" xr3:uid="{00000000-0010-0000-0A00-00000A000000}" name="Moves"/>
    <tableColumn id="11" xr3:uid="{00000000-0010-0000-0A00-00000B000000}" name="File"/>
    <tableColumn id="12" xr3:uid="{00000000-0010-0000-0A00-00000C000000}" name="Variant"/>
    <tableColumn id="13" xr3:uid="{00000000-0010-0000-0A00-00000D000000}" name="Tag"/>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8" displayName="Table28" ref="A1:T7" totalsRowShown="0">
  <autoFilter ref="A1:T7" xr:uid="{00000000-0009-0000-0100-00000C000000}"/>
  <tableColumns count="20">
    <tableColumn id="1" xr3:uid="{00000000-0010-0000-0B00-000001000000}" name="Name"/>
    <tableColumn id="2" xr3:uid="{00000000-0010-0000-0B00-000002000000}" name="Id"/>
    <tableColumn id="3" xr3:uid="{00000000-0010-0000-0B00-000003000000}" name="Difficulty"/>
    <tableColumn id="4" xr3:uid="{00000000-0010-0000-0B00-000004000000}" name="Weight"/>
    <tableColumn id="5" xr3:uid="{00000000-0010-0000-0B00-000005000000}" name="Game"/>
    <tableColumn id="6" xr3:uid="{00000000-0010-0000-0B00-000006000000}" name="Min HP"/>
    <tableColumn id="7" xr3:uid="{00000000-0010-0000-0B00-000007000000}" name="Max HP"/>
    <tableColumn id="8" xr3:uid="{00000000-0010-0000-0B00-000008000000}" name="Speed"/>
    <tableColumn id="9" xr3:uid="{00000000-0010-0000-0B00-000009000000}" name="Size"/>
    <tableColumn id="10" xr3:uid="{00000000-0010-0000-0B00-00000A000000}" name="Behavior"/>
    <tableColumn id="11" xr3:uid="{00000000-0010-0000-0B00-00000B000000}" name="Stop Distance"/>
    <tableColumn id="12" xr3:uid="{00000000-0010-0000-0B00-00000C000000}" name="Attacks"/>
    <tableColumn id="13" xr3:uid="{00000000-0010-0000-0B00-00000D000000}" name="Color"/>
    <tableColumn id="14" xr3:uid="{00000000-0010-0000-0B00-00000E000000}" name="Directional"/>
    <tableColumn id="15" xr3:uid="{00000000-0010-0000-0B00-00000F000000}" name="Motion"/>
    <tableColumn id="16" xr3:uid="{00000000-0010-0000-0B00-000010000000}" name="Attack Style"/>
    <tableColumn id="17" xr3:uid="{00000000-0010-0000-0B00-000011000000}" name="Layers"/>
    <tableColumn id="18" xr3:uid="{00000000-0010-0000-0B00-000012000000}" name="Animations"/>
    <tableColumn id="19" xr3:uid="{00000000-0010-0000-0B00-000013000000}" name="Ability"/>
    <tableColumn id="20" xr3:uid="{00000000-0010-0000-0B00-000014000000}" name="Tag"/>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1:E17" totalsRowShown="0">
  <autoFilter ref="A1:E17" xr:uid="{00000000-0009-0000-0100-00000D000000}"/>
  <tableColumns count="5">
    <tableColumn id="1" xr3:uid="{00000000-0010-0000-0C00-000001000000}" name="Name"/>
    <tableColumn id="2" xr3:uid="{00000000-0010-0000-0C00-000002000000}" name="Type"/>
    <tableColumn id="3" xr3:uid="{00000000-0010-0000-0C00-000003000000}" name="Challenge"/>
    <tableColumn id="4" xr3:uid="{00000000-0010-0000-0C00-000004000000}" name="Penalty Card"/>
    <tableColumn id="5" xr3:uid="{00000000-0010-0000-0C00-000005000000}" name="Effect"/>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 displayName="Table14" ref="A1:K61" totalsRowShown="0">
  <autoFilter ref="A1:K61" xr:uid="{00000000-0009-0000-0100-00000E000000}"/>
  <tableColumns count="11">
    <tableColumn id="1" xr3:uid="{00000000-0010-0000-0D00-000001000000}" name="Name"/>
    <tableColumn id="2" xr3:uid="{00000000-0010-0000-0D00-000002000000}" name="Description"/>
    <tableColumn id="3" xr3:uid="{00000000-0010-0000-0D00-000003000000}" name="Type"/>
    <tableColumn id="4" xr3:uid="{00000000-0010-0000-0D00-000004000000}" name="Stackable"/>
    <tableColumn id="5" xr3:uid="{00000000-0010-0000-0D00-000005000000}" name="Max Stack"/>
    <tableColumn id="6" xr3:uid="{00000000-0010-0000-0D00-000006000000}" name="Decay"/>
    <tableColumn id="7" xr3:uid="{00000000-0010-0000-0D00-000007000000}" name="Who"/>
    <tableColumn id="8" xr3:uid="{00000000-0010-0000-0D00-000008000000}" name="Preference"/>
    <tableColumn id="9" xr3:uid="{00000000-0010-0000-0D00-000009000000}" name="File"/>
    <tableColumn id="10" xr3:uid="{00000000-0010-0000-0D00-00000A000000}" name="Rarity"/>
    <tableColumn id="11" xr3:uid="{00000000-0010-0000-0D00-00000B000000}" name="File2"/>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1:M43" totalsRowShown="0">
  <autoFilter ref="A1:M43" xr:uid="{00000000-0009-0000-0100-00000F000000}"/>
  <tableColumns count="13">
    <tableColumn id="1" xr3:uid="{00000000-0010-0000-0E00-000001000000}" name="Name"/>
    <tableColumn id="2" xr3:uid="{00000000-0010-0000-0E00-000002000000}" name="Description"/>
    <tableColumn id="3" xr3:uid="{00000000-0010-0000-0E00-000003000000}" name="Effect"/>
    <tableColumn id="4" xr3:uid="{00000000-0010-0000-0E00-000004000000}" name="Type"/>
    <tableColumn id="5" xr3:uid="{00000000-0010-0000-0E00-000005000000}" name="Stackable"/>
    <tableColumn id="6" xr3:uid="{00000000-0010-0000-0E00-000006000000}" name="Max Stack"/>
    <tableColumn id="7" xr3:uid="{00000000-0010-0000-0E00-000007000000}" name="Decay"/>
    <tableColumn id="8" xr3:uid="{00000000-0010-0000-0E00-000008000000}" name="Who"/>
    <tableColumn id="9" xr3:uid="{00000000-0010-0000-0E00-000009000000}" name="Preference"/>
    <tableColumn id="10" xr3:uid="{00000000-0010-0000-0E00-00000A000000}" name="Icon"/>
    <tableColumn id="11" xr3:uid="{00000000-0010-0000-0E00-00000B000000}" name="Rarity"/>
    <tableColumn id="12" xr3:uid="{00000000-0010-0000-0E00-00000C000000}" name="Translates"/>
    <tableColumn id="13" xr3:uid="{00000000-0010-0000-0E00-00000D000000}" name="Per-Mode"/>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7" displayName="Table17" ref="A1:E8" totalsRowShown="0">
  <autoFilter ref="A1:E8" xr:uid="{00000000-0009-0000-0100-000010000000}"/>
  <tableColumns count="5">
    <tableColumn id="1" xr3:uid="{00000000-0010-0000-0F00-000001000000}" name="Name"/>
    <tableColumn id="2" xr3:uid="{00000000-0010-0000-0F00-000002000000}" name="Effect on Attack"/>
    <tableColumn id="3" xr3:uid="{00000000-0010-0000-0F00-000003000000}" name="Extra Effects "/>
    <tableColumn id="4" xr3:uid="{00000000-0010-0000-0F00-000004000000}" name="Extra Effects 2"/>
    <tableColumn id="5" xr3:uid="{00000000-0010-0000-0F00-000005000000}" name="Color"/>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316" displayName="Table1316" ref="A1:D30" totalsRowShown="0">
  <autoFilter ref="A1:D30" xr:uid="{00000000-0009-0000-0100-000011000000}"/>
  <tableColumns count="4">
    <tableColumn id="1" xr3:uid="{00000000-0010-0000-1000-000001000000}" name="Name"/>
    <tableColumn id="2" xr3:uid="{00000000-0010-0000-1000-000002000000}" name="Description"/>
    <tableColumn id="3" xr3:uid="{00000000-0010-0000-1000-000003000000}" name="Can Be Attached To"/>
    <tableColumn id="4" xr3:uid="{00000000-0010-0000-1000-000004000000}" name="Forms"/>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4" displayName="Table24" ref="A1:M22" totalsRowShown="0">
  <autoFilter ref="A1:M22" xr:uid="{00000000-0009-0000-0100-000012000000}"/>
  <tableColumns count="13">
    <tableColumn id="1" xr3:uid="{00000000-0010-0000-1100-000001000000}" name="Name"/>
    <tableColumn id="2" xr3:uid="{00000000-0010-0000-1100-000002000000}" name="Deckbuilder"/>
    <tableColumn id="3" xr3:uid="{00000000-0010-0000-1100-000003000000}" name="Action"/>
    <tableColumn id="4" xr3:uid="{00000000-0010-0000-1100-000004000000}" name="Strategy"/>
    <tableColumn id="5" xr3:uid="{00000000-0010-0000-1100-000005000000}" name="Has Value"/>
    <tableColumn id="6" xr3:uid="{00000000-0010-0000-1100-000006000000}" name="Uses"/>
    <tableColumn id="7" xr3:uid="{00000000-0010-0000-1100-000007000000}" name="Forms"/>
    <tableColumn id="8" xr3:uid="{00000000-0010-0000-1100-000008000000}" name="Key"/>
    <tableColumn id="9" xr3:uid="{00000000-0010-0000-1100-000009000000}" name="Hook"/>
    <tableColumn id="10" xr3:uid="{00000000-0010-0000-1100-00000A000000}" name="Expr"/>
    <tableColumn id="11" xr3:uid="{00000000-0010-0000-1100-00000B000000}" name="DB Verb"/>
    <tableColumn id="12" xr3:uid="{00000000-0010-0000-1100-00000C000000}" name="Action Verb"/>
    <tableColumn id="13" xr3:uid="{00000000-0010-0000-1100-00000D000000}" name="Strategy Verb"/>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1" displayName="Table21" ref="A1:M13" totalsRowShown="0">
  <autoFilter ref="A1:M13" xr:uid="{00000000-0009-0000-0100-000013000000}"/>
  <tableColumns count="13">
    <tableColumn id="1" xr3:uid="{00000000-0010-0000-1200-000001000000}" name="Name"/>
    <tableColumn id="2" xr3:uid="{00000000-0010-0000-1200-000002000000}" name="Rarity"/>
    <tableColumn id="3" xr3:uid="{00000000-0010-0000-1200-000003000000}" name="Critical Success"/>
    <tableColumn id="4" xr3:uid="{00000000-0010-0000-1200-000004000000}" name="Critical Success Effect"/>
    <tableColumn id="5" xr3:uid="{00000000-0010-0000-1200-000005000000}" name="Success"/>
    <tableColumn id="6" xr3:uid="{00000000-0010-0000-1200-000006000000}" name="Success Effect"/>
    <tableColumn id="7" xr3:uid="{00000000-0010-0000-1200-000007000000}" name="Fail"/>
    <tableColumn id="8" xr3:uid="{00000000-0010-0000-1200-000008000000}" name="Fail Effect"/>
    <tableColumn id="9" xr3:uid="{00000000-0010-0000-1200-000009000000}" name="Critical Fail"/>
    <tableColumn id="10" xr3:uid="{00000000-0010-0000-1200-00000A000000}" name="Critical Fail Effect"/>
    <tableColumn id="11" xr3:uid="{00000000-0010-0000-1200-00000B000000}" name="Reference"/>
    <tableColumn id="12" xr3:uid="{00000000-0010-0000-1200-00000C000000}" name="Preference"/>
    <tableColumn id="13" xr3:uid="{00000000-0010-0000-1200-00000D000000}" name="File"/>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0" displayName="Table20" ref="A1:E13" totalsRowShown="0">
  <autoFilter ref="A1:E13" xr:uid="{00000000-0009-0000-0100-000014000000}"/>
  <tableColumns count="5">
    <tableColumn id="1" xr3:uid="{00000000-0010-0000-1300-000001000000}" name="Name"/>
    <tableColumn id="2" xr3:uid="{00000000-0010-0000-1300-000002000000}" name="Rarity"/>
    <tableColumn id="3" xr3:uid="{00000000-0010-0000-1300-000003000000}" name="Effect"/>
    <tableColumn id="4" xr3:uid="{00000000-0010-0000-1300-000004000000}" name="Reference"/>
    <tableColumn id="5" xr3:uid="{00000000-0010-0000-1300-000005000000}" name="File"/>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5" displayName="Table5" ref="A1:X7" totalsRowShown="0">
  <autoFilter ref="A1:X7" xr:uid="{00000000-0009-0000-0100-000015000000}"/>
  <tableColumns count="24">
    <tableColumn id="1" xr3:uid="{00000000-0010-0000-1400-000001000000}" name="Name"/>
    <tableColumn id="2" xr3:uid="{00000000-0010-0000-1400-000002000000}" name="Game"/>
    <tableColumn id="3" xr3:uid="{00000000-0010-0000-1400-000003000000}" name="Health"/>
    <tableColumn id="4" xr3:uid="{00000000-0010-0000-1400-000004000000}" name="Energy"/>
    <tableColumn id="5" xr3:uid="{00000000-0010-0000-1400-000005000000}" name="Str"/>
    <tableColumn id="6" xr3:uid="{00000000-0010-0000-1400-000006000000}" name="Dex"/>
    <tableColumn id="7" xr3:uid="{00000000-0010-0000-1400-000007000000}" name="Int"/>
    <tableColumn id="8" xr3:uid="{00000000-0010-0000-1400-000008000000}" name="Cha"/>
    <tableColumn id="9" xr3:uid="{00000000-0010-0000-1400-000009000000}" name="Random"/>
    <tableColumn id="10" xr3:uid="{00000000-0010-0000-1400-00000A000000}" name="Reroll"/>
    <tableColumn id="11" xr3:uid="{00000000-0010-0000-1400-00000B000000}" name="Dash"/>
    <tableColumn id="12" xr3:uid="{00000000-0010-0000-1400-00000C000000}" name="Skip"/>
    <tableColumn id="13" xr3:uid="{00000000-0010-0000-1400-00000D000000}" name="Discovery"/>
    <tableColumn id="14" xr3:uid="{00000000-0010-0000-1400-00000E000000}" name="FoV"/>
    <tableColumn id="15" xr3:uid="{00000000-0010-0000-1400-00000F000000}" name="Luck"/>
    <tableColumn id="16" xr3:uid="{00000000-0010-0000-1400-000010000000}" name="Level Up"/>
    <tableColumn id="17" xr3:uid="{00000000-0010-0000-1400-000011000000}" name="Reward"/>
    <tableColumn id="18" xr3:uid="{00000000-0010-0000-1400-000012000000}" name="Description"/>
    <tableColumn id="19" xr3:uid="{00000000-0010-0000-1400-000013000000}" name="Combat Style"/>
    <tableColumn id="20" xr3:uid="{00000000-0010-0000-1400-000014000000}" name="Strikes"/>
    <tableColumn id="21" xr3:uid="{00000000-0010-0000-1400-000015000000}" name="Defends"/>
    <tableColumn id="22" xr3:uid="{00000000-0010-0000-1400-000016000000}" name="Unique 1"/>
    <tableColumn id="23" xr3:uid="{00000000-0010-0000-1400-000017000000}" name="Unique 2"/>
    <tableColumn id="24" xr3:uid="{00000000-0010-0000-1400-000018000000}" name="Starting items"/>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8" displayName="Table18" ref="A1:J209" totalsRowShown="0">
  <autoFilter ref="A1:J209" xr:uid="{00000000-0009-0000-0100-000016000000}"/>
  <tableColumns count="10">
    <tableColumn id="1" xr3:uid="{00000000-0010-0000-1500-000001000000}" name="Name"/>
    <tableColumn id="2" xr3:uid="{00000000-0010-0000-1500-000002000000}" name="Rarity"/>
    <tableColumn id="3" xr3:uid="{00000000-0010-0000-1500-000003000000}" name="Type"/>
    <tableColumn id="4" xr3:uid="{00000000-0010-0000-1500-000004000000}" name="Cost"/>
    <tableColumn id="5" xr3:uid="{00000000-0010-0000-1500-000005000000}" name="Description"/>
    <tableColumn id="6" xr3:uid="{00000000-0010-0000-1500-000006000000}" name="Upgraded Description"/>
    <tableColumn id="7" xr3:uid="{00000000-0010-0000-1500-000007000000}" name="Upgraded Cost"/>
    <tableColumn id="8" xr3:uid="{00000000-0010-0000-1500-000008000000}" name="Img"/>
    <tableColumn id="9" xr3:uid="{00000000-0010-0000-1500-000009000000}" name="Game"/>
    <tableColumn id="10" xr3:uid="{00000000-0010-0000-1500-00000A000000}" name="Tags"/>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2" displayName="Table22" ref="A1:O171" totalsRowShown="0">
  <autoFilter ref="A1:O171" xr:uid="{00000000-0009-0000-0100-000017000000}"/>
  <sortState xmlns:xlrd2="http://schemas.microsoft.com/office/spreadsheetml/2017/richdata2" ref="A2:O171">
    <sortCondition ref="A149:A171"/>
  </sortState>
  <tableColumns count="15">
    <tableColumn id="1" xr3:uid="{00000000-0010-0000-1600-000001000000}" name="Name"/>
    <tableColumn id="2" xr3:uid="{00000000-0010-0000-1600-000002000000}" name="Rarity"/>
    <tableColumn id="3" xr3:uid="{00000000-0010-0000-1600-000003000000}" name="Type"/>
    <tableColumn id="4" xr3:uid="{00000000-0010-0000-1600-000004000000}" name="Cost"/>
    <tableColumn id="5" xr3:uid="{00000000-0010-0000-1600-000005000000}" name="Description"/>
    <tableColumn id="6" xr3:uid="{00000000-0010-0000-1600-000006000000}" name="Effects"/>
    <tableColumn id="7" xr3:uid="{00000000-0010-0000-1600-000007000000}" name="↑ Description"/>
    <tableColumn id="8" xr3:uid="{00000000-0010-0000-1600-000008000000}" name="↑ Effects"/>
    <tableColumn id="9" xr3:uid="{00000000-0010-0000-1600-000009000000}" name="↑ Cost"/>
    <tableColumn id="10" xr3:uid="{00000000-0010-0000-1600-00000A000000}" name="Attack"/>
    <tableColumn id="11" xr3:uid="{00000000-0010-0000-1600-00000B000000}" name="Img"/>
    <tableColumn id="12" xr3:uid="{00000000-0010-0000-1600-00000C000000}" name="Game"/>
    <tableColumn id="13" xr3:uid="{00000000-0010-0000-1600-00000D000000}" name="Keywords"/>
    <tableColumn id="14" xr3:uid="{00000000-0010-0000-1600-00000E000000}" name="Element"/>
    <tableColumn id="15" xr3:uid="{00000000-0010-0000-1600-00000F000000}" name="Tags"/>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6" displayName="Table26" ref="A1:F2" totalsRowShown="0">
  <autoFilter ref="A1:F2" xr:uid="{00000000-0009-0000-0100-000018000000}"/>
  <tableColumns count="6">
    <tableColumn id="1" xr3:uid="{00000000-0010-0000-1700-000001000000}" name="Name"/>
    <tableColumn id="2" xr3:uid="{00000000-0010-0000-1700-000002000000}" name="Requirement 1"/>
    <tableColumn id="3" xr3:uid="{00000000-0010-0000-1700-000003000000}" name="Requirement 2"/>
    <tableColumn id="4" xr3:uid="{00000000-0010-0000-1700-000004000000}" name="Description"/>
    <tableColumn id="5" xr3:uid="{00000000-0010-0000-1700-000005000000}" name="Effect"/>
    <tableColumn id="6" xr3:uid="{00000000-0010-0000-1700-000006000000}" name="Visual"/>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3" displayName="Table13" ref="A1:F21" totalsRowShown="0">
  <autoFilter ref="A1:F21" xr:uid="{00000000-0009-0000-0100-000019000000}"/>
  <tableColumns count="6">
    <tableColumn id="1" xr3:uid="{00000000-0010-0000-1800-000001000000}" name="Name"/>
    <tableColumn id="2" xr3:uid="{00000000-0010-0000-1800-000002000000}" name="Description"/>
    <tableColumn id="3" xr3:uid="{00000000-0010-0000-1800-000003000000}" name="Preferred Target"/>
    <tableColumn id="4" xr3:uid="{00000000-0010-0000-1800-000004000000}" name="File"/>
    <tableColumn id="5" xr3:uid="{00000000-0010-0000-1800-000005000000}" name="Scaling"/>
    <tableColumn id="6" xr3:uid="{00000000-0010-0000-1800-000006000000}" name="Rarity"/>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4" displayName="Table4" ref="A1:I20" totalsRowShown="0">
  <autoFilter ref="A1:I20" xr:uid="{00000000-0009-0000-0100-00001A000000}"/>
  <tableColumns count="9">
    <tableColumn id="1" xr3:uid="{00000000-0010-0000-1900-000001000000}" name="Name"/>
    <tableColumn id="2" xr3:uid="{00000000-0010-0000-1900-000002000000}" name="Cost"/>
    <tableColumn id="3" xr3:uid="{00000000-0010-0000-1900-000003000000}" name="Rarity"/>
    <tableColumn id="4" xr3:uid="{00000000-0010-0000-1900-000004000000}" name="Description"/>
    <tableColumn id="5" xr3:uid="{00000000-0010-0000-1900-000005000000}" name="Keywords"/>
    <tableColumn id="6" xr3:uid="{00000000-0010-0000-1900-000006000000}" name="Bonus"/>
    <tableColumn id="7" xr3:uid="{00000000-0010-0000-1900-000007000000}" name="Game"/>
    <tableColumn id="8" xr3:uid="{00000000-0010-0000-1900-000008000000}" name="Element"/>
    <tableColumn id="9" xr3:uid="{00000000-0010-0000-1900-000009000000}" name="File"/>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9" displayName="Table9" ref="A1:E39" totalsRowShown="0">
  <autoFilter ref="A1:E39" xr:uid="{00000000-0009-0000-0100-00001B000000}"/>
  <tableColumns count="5">
    <tableColumn id="1" xr3:uid="{00000000-0010-0000-1A00-000001000000}" name="Name"/>
    <tableColumn id="2" xr3:uid="{00000000-0010-0000-1A00-000002000000}" name="Rarity"/>
    <tableColumn id="3" xr3:uid="{00000000-0010-0000-1A00-000003000000}" name="Types"/>
    <tableColumn id="4" xr3:uid="{00000000-0010-0000-1A00-000004000000}" name="Game"/>
    <tableColumn id="5" xr3:uid="{00000000-0010-0000-1A00-000005000000}" name="Image"/>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0" displayName="Table10" ref="A1:M37" totalsRowShown="0">
  <autoFilter ref="A1:M37" xr:uid="{00000000-0009-0000-0100-00001C000000}"/>
  <tableColumns count="13">
    <tableColumn id="1" xr3:uid="{00000000-0010-0000-1B00-000001000000}" name="Name"/>
    <tableColumn id="2" xr3:uid="{00000000-0010-0000-1B00-000002000000}" name="Type"/>
    <tableColumn id="3" xr3:uid="{00000000-0010-0000-1B00-000003000000}" name="Difficulty"/>
    <tableColumn id="4" xr3:uid="{00000000-0010-0000-1B00-000004000000}" name="Weight"/>
    <tableColumn id="5" xr3:uid="{00000000-0010-0000-1B00-000005000000}" name="Min HP"/>
    <tableColumn id="6" xr3:uid="{00000000-0010-0000-1B00-000006000000}" name="Max HP"/>
    <tableColumn id="7" xr3:uid="{00000000-0010-0000-1B00-000007000000}" name="Ability"/>
    <tableColumn id="8" xr3:uid="{00000000-0010-0000-1B00-000008000000}" name="Game"/>
    <tableColumn id="9" xr3:uid="{00000000-0010-0000-1B00-000009000000}" name="Location"/>
    <tableColumn id="10" xr3:uid="{00000000-0010-0000-1B00-00000A000000}" name="Pattern"/>
    <tableColumn id="11" xr3:uid="{00000000-0010-0000-1B00-00000B000000}" name="File"/>
    <tableColumn id="12" xr3:uid="{00000000-0010-0000-1B00-00000C000000}" name="Variant"/>
    <tableColumn id="13" xr3:uid="{00000000-0010-0000-1B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9" displayName="Table29" ref="A1:Q6" totalsRowShown="0">
  <autoFilter ref="A1:Q6" xr:uid="{00000000-0009-0000-0100-00001D000000}"/>
  <tableColumns count="17">
    <tableColumn id="1" xr3:uid="{00000000-0010-0000-1C00-000001000000}" name="Name"/>
    <tableColumn id="2" xr3:uid="{00000000-0010-0000-1C00-000002000000}" name="Id"/>
    <tableColumn id="3" xr3:uid="{00000000-0010-0000-1C00-000003000000}" name="Difficulty"/>
    <tableColumn id="4" xr3:uid="{00000000-0010-0000-1C00-000004000000}" name="Weight"/>
    <tableColumn id="5" xr3:uid="{00000000-0010-0000-1C00-000005000000}" name="Game"/>
    <tableColumn id="6" xr3:uid="{00000000-0010-0000-1C00-000006000000}" name="Tag"/>
    <tableColumn id="7" xr3:uid="{00000000-0010-0000-1C00-000007000000}" name="Min HP"/>
    <tableColumn id="8" xr3:uid="{00000000-0010-0000-1C00-000008000000}" name="Max HP"/>
    <tableColumn id="9" xr3:uid="{00000000-0010-0000-1C00-000009000000}" name="Speed"/>
    <tableColumn id="10" xr3:uid="{00000000-0010-0000-1C00-00000A000000}" name="Glyph"/>
    <tableColumn id="11" xr3:uid="{00000000-0010-0000-1C00-00000B000000}" name="Color"/>
    <tableColumn id="12" xr3:uid="{00000000-0010-0000-1C00-00000C000000}" name="File"/>
    <tableColumn id="13" xr3:uid="{00000000-0010-0000-1C00-00000D000000}" name="Min Floor"/>
    <tableColumn id="14" xr3:uid="{00000000-0010-0000-1C00-00000E000000}" name="Spawn Weight"/>
    <tableColumn id="15" xr3:uid="{00000000-0010-0000-1C00-00000F000000}" name="Gold"/>
    <tableColumn id="16" xr3:uid="{00000000-0010-0000-1C00-000010000000}" name="Intents"/>
    <tableColumn id="17" xr3:uid="{00000000-0010-0000-1C00-000011000000}" name="Ability"/>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6" displayName="Table16" ref="A1:I19" totalsRowShown="0">
  <autoFilter ref="A1:I19" xr:uid="{00000000-0009-0000-0100-00001E000000}"/>
  <tableColumns count="9">
    <tableColumn id="1" xr3:uid="{00000000-0010-0000-1D00-000001000000}" name="Name"/>
    <tableColumn id="2" xr3:uid="{00000000-0010-0000-1D00-000002000000}" name="Sides"/>
    <tableColumn id="3" xr3:uid="{00000000-0010-0000-1D00-000003000000}" name="Side 1"/>
    <tableColumn id="4" xr3:uid="{00000000-0010-0000-1D00-000004000000}" name="Side 2"/>
    <tableColumn id="5" xr3:uid="{00000000-0010-0000-1D00-000005000000}" name="Side 3"/>
    <tableColumn id="6" xr3:uid="{00000000-0010-0000-1D00-000006000000}" name="Side 4"/>
    <tableColumn id="7" xr3:uid="{00000000-0010-0000-1D00-000007000000}" name="Side 5"/>
    <tableColumn id="8" xr3:uid="{00000000-0010-0000-1D00-000008000000}" name="Side 6"/>
    <tableColumn id="9" xr3:uid="{00000000-0010-0000-1D00-000009000000}" name="Game"/>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9" displayName="Table19" ref="A1:E8" totalsRowShown="0">
  <autoFilter ref="A1:E8" xr:uid="{00000000-0009-0000-0100-00001F000000}"/>
  <tableColumns count="5">
    <tableColumn id="1" xr3:uid="{00000000-0010-0000-1E00-000001000000}" name="Name"/>
    <tableColumn id="2" xr3:uid="{00000000-0010-0000-1E00-000002000000}" name="Year"/>
    <tableColumn id="3" xr3:uid="{00000000-0010-0000-1E00-000003000000}" name="Original"/>
    <tableColumn id="4" xr3:uid="{00000000-0010-0000-1E00-000004000000}" name="File"/>
    <tableColumn id="5" xr3:uid="{2F25CE6C-C5CA-4B07-92F4-6D62BAA57F07}" name="Link"/>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8" displayName="Table8" ref="A1:C11" totalsRowShown="0">
  <autoFilter ref="A1:C11" xr:uid="{00000000-0009-0000-0100-000020000000}"/>
  <tableColumns count="3">
    <tableColumn id="1" xr3:uid="{00000000-0010-0000-1F00-000001000000}" name="Name"/>
    <tableColumn id="2" xr3:uid="{00000000-0010-0000-1F00-000002000000}" name="Description"/>
    <tableColumn id="3" xr3:uid="{00000000-0010-0000-1F00-000003000000}" name="Typ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6" displayName="Table6" ref="A1:F61" totalsRowShown="0">
  <autoFilter ref="A1:F61" xr:uid="{00000000-0009-0000-0100-000022000000}"/>
  <tableColumns count="6">
    <tableColumn id="1" xr3:uid="{00000000-0010-0000-2100-000001000000}" name="Name"/>
    <tableColumn id="2" xr3:uid="{00000000-0010-0000-2100-000002000000}" name="Stat"/>
    <tableColumn id="3" xr3:uid="{00000000-0010-0000-2100-000003000000}" name="Power"/>
    <tableColumn id="4" xr3:uid="{00000000-0010-0000-2100-000004000000}" name="Duration"/>
    <tableColumn id="5" xr3:uid="{00000000-0010-0000-2100-000005000000}" name="Description"/>
    <tableColumn id="6" xr3:uid="{00000000-0010-0000-2100-000006000000}" name="Type"/>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12" displayName="Table12" ref="A1:B42" totalsRowShown="0">
  <autoFilter ref="A1:B42" xr:uid="{00000000-0009-0000-0100-000023000000}"/>
  <tableColumns count="2">
    <tableColumn id="1" xr3:uid="{00000000-0010-0000-2200-000001000000}" name="Goal"/>
    <tableColumn id="2" xr3:uid="{00000000-0010-0000-22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861540/Dicey_Dungeons/" TargetMode="External"/><Relationship Id="rId21" Type="http://schemas.openxmlformats.org/officeDocument/2006/relationships/hyperlink" Target="https://store.steampowered.com/app/2780710/Asgards_Fall__Viking_Survivors/" TargetMode="External"/><Relationship Id="rId324" Type="http://schemas.openxmlformats.org/officeDocument/2006/relationships/hyperlink" Target="https://store.steampowered.com/app/787810/Rogue_Heroes_Ruins_of_Tasos/" TargetMode="External"/><Relationship Id="rId170" Type="http://schemas.openxmlformats.org/officeDocument/2006/relationships/hyperlink" Target="https://store.steampowered.com/app/2342950/God_Of_Weapons/" TargetMode="External"/><Relationship Id="rId268" Type="http://schemas.openxmlformats.org/officeDocument/2006/relationships/hyperlink" Target="https://store.steampowered.com/app/1929870/Nomad_Survival/" TargetMode="External"/><Relationship Id="rId475" Type="http://schemas.openxmlformats.org/officeDocument/2006/relationships/hyperlink" Target="https://store.steampowered.com/app/2211390/Time_Survivors/" TargetMode="External"/><Relationship Id="rId32" Type="http://schemas.openxmlformats.org/officeDocument/2006/relationships/hyperlink" Target="https://store.steampowered.com/app/1075740/Banners_of_Ruin/" TargetMode="External"/><Relationship Id="rId74" Type="http://schemas.openxmlformats.org/officeDocument/2006/relationships/hyperlink" Target="https://store.steampowered.com/app/318230/Convoy/" TargetMode="External"/><Relationship Id="rId128" Type="http://schemas.openxmlformats.org/officeDocument/2006/relationships/hyperlink" Target="https://store.steampowered.com/app/1040420/Dreamscaper/" TargetMode="External"/><Relationship Id="rId335" Type="http://schemas.openxmlformats.org/officeDocument/2006/relationships/hyperlink" Target="https://store.steampowered.com/app/3399930/Roulette_Dungeon/" TargetMode="External"/><Relationship Id="rId377" Type="http://schemas.openxmlformats.org/officeDocument/2006/relationships/hyperlink" Target="https://store.steampowered.com/app/2097570/StarVaders/" TargetMode="External"/><Relationship Id="rId500" Type="http://schemas.openxmlformats.org/officeDocument/2006/relationships/hyperlink" Target="https://store.steampowered.com/app/3088070/Dark_Light_Survivor/"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3112010/Gumballs__Dungeons/" TargetMode="External"/><Relationship Id="rId237" Type="http://schemas.openxmlformats.org/officeDocument/2006/relationships/hyperlink" Target="https://store.steampowered.com/app/3405340/Megabonk/" TargetMode="External"/><Relationship Id="rId402" Type="http://schemas.openxmlformats.org/officeDocument/2006/relationships/hyperlink" Target="https://store.steampowered.com/app/1244800/Terraformers/" TargetMode="External"/><Relationship Id="rId279" Type="http://schemas.openxmlformats.org/officeDocument/2006/relationships/hyperlink" Target="https://store.steampowered.com/app/525620/Octogeddon/" TargetMode="External"/><Relationship Id="rId444" Type="http://schemas.openxmlformats.org/officeDocument/2006/relationships/hyperlink" Target="https://store.steampowered.com/app/4206270/Wireworks/" TargetMode="External"/><Relationship Id="rId486" Type="http://schemas.openxmlformats.org/officeDocument/2006/relationships/hyperlink" Target="https://store.steampowered.com/app/4215730/HoloDungeon_Koyori_vs_HollowLive_in_Honsha_Tower/" TargetMode="External"/><Relationship Id="rId43" Type="http://schemas.openxmlformats.org/officeDocument/2006/relationships/hyperlink" Target="https://store.steampowered.com/app/2193050/Bleak_Sword_DX/" TargetMode="External"/><Relationship Id="rId139" Type="http://schemas.openxmlformats.org/officeDocument/2006/relationships/hyperlink" Target="https://store.steampowered.com/app/1135230/Ember_Knights/" TargetMode="External"/><Relationship Id="rId290" Type="http://schemas.openxmlformats.org/officeDocument/2006/relationships/hyperlink" Target="https://store.steampowered.com/app/1142080/Pawnbarian/" TargetMode="External"/><Relationship Id="rId304" Type="http://schemas.openxmlformats.org/officeDocument/2006/relationships/hyperlink" Target="https://store.steampowered.com/app/1108370/Ratropolis/" TargetMode="External"/><Relationship Id="rId346" Type="http://schemas.openxmlformats.org/officeDocument/2006/relationships/hyperlink" Target="https://store.steampowered.com/app/1178790/Shiren_the_Wanderer_The_Tower_of_Fortune_and_the_Dice_of_Fate/" TargetMode="External"/><Relationship Id="rId388" Type="http://schemas.openxmlformats.org/officeDocument/2006/relationships/hyperlink" Target="https://store.steampowered.com/app/442210/Switchcars/" TargetMode="External"/><Relationship Id="rId511" Type="http://schemas.openxmlformats.org/officeDocument/2006/relationships/hyperlink" Target="https://store.steampowered.com/app/3664320/BARDA_Backpack_Roguelike/" TargetMode="External"/><Relationship Id="rId85" Type="http://schemas.openxmlformats.org/officeDocument/2006/relationships/hyperlink" Target="https://store.steampowered.com/app/247080/Crypt_of_the_NecroDancer/" TargetMode="External"/><Relationship Id="rId150" Type="http://schemas.openxmlformats.org/officeDocument/2006/relationships/hyperlink" Target="https://store.steampowered.com/app/1265820/Fights_in_Tight_Spaces/" TargetMode="External"/><Relationship Id="rId192" Type="http://schemas.openxmlformats.org/officeDocument/2006/relationships/hyperlink" Target="https://store.steampowered.com/app/1796470/Haste/" TargetMode="External"/><Relationship Id="rId206" Type="http://schemas.openxmlformats.org/officeDocument/2006/relationships/hyperlink" Target="https://store.steampowered.com/app/1835970/ICEwall/" TargetMode="External"/><Relationship Id="rId413" Type="http://schemas.openxmlformats.org/officeDocument/2006/relationships/hyperlink" Target="https://store.steampowered.com/app/986040/The_Unliving/" TargetMode="External"/><Relationship Id="rId248" Type="http://schemas.openxmlformats.org/officeDocument/2006/relationships/hyperlink" Target="https://store.steampowered.com/app/1102190/Monster_Train/" TargetMode="External"/><Relationship Id="rId455" Type="http://schemas.openxmlformats.org/officeDocument/2006/relationships/hyperlink" Target="https://store.steampowered.com/app/1159560/Ziggurat_2/" TargetMode="External"/><Relationship Id="rId497" Type="http://schemas.openxmlformats.org/officeDocument/2006/relationships/hyperlink" Target="https://store.steampowered.com/app/1048350/Nigate_Tale/"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1552080/Deepest_Chamber_Resurrection/" TargetMode="External"/><Relationship Id="rId315" Type="http://schemas.openxmlformats.org/officeDocument/2006/relationships/hyperlink" Target="https://store.steampowered.com/app/2008050/Right_and_Down/" TargetMode="External"/><Relationship Id="rId357" Type="http://schemas.openxmlformats.org/officeDocument/2006/relationships/hyperlink" Target="https://store.steampowered.com/app/915310/SNKRX/" TargetMode="External"/><Relationship Id="rId522" Type="http://schemas.openxmlformats.org/officeDocument/2006/relationships/table" Target="../tables/table1.xml"/><Relationship Id="rId54" Type="http://schemas.openxmlformats.org/officeDocument/2006/relationships/hyperlink" Target="https://store.steampowered.com/app/3473250/BroomSweeper/" TargetMode="External"/><Relationship Id="rId96" Type="http://schemas.openxmlformats.org/officeDocument/2006/relationships/hyperlink" Target="https://store.steampowered.com/app/1868140/DAVE_THE_DIVER/" TargetMode="External"/><Relationship Id="rId161" Type="http://schemas.openxmlformats.org/officeDocument/2006/relationships/hyperlink" Target="https://store.steampowered.com/app/465200/Fury_Unleashed/" TargetMode="External"/><Relationship Id="rId217" Type="http://schemas.openxmlformats.org/officeDocument/2006/relationships/hyperlink" Target="https://store.steampowered.com/app/2002220/Keepers_Toll/" TargetMode="External"/><Relationship Id="rId399" Type="http://schemas.openxmlformats.org/officeDocument/2006/relationships/hyperlink" Target="https://store.steampowered.com/app/1566200/Tape_to_Tape/" TargetMode="External"/><Relationship Id="rId259" Type="http://schemas.openxmlformats.org/officeDocument/2006/relationships/hyperlink" Target="https://store.steampowered.com/app/1625450/Muck/" TargetMode="External"/><Relationship Id="rId424" Type="http://schemas.openxmlformats.org/officeDocument/2006/relationships/hyperlink" Target="https://store.steampowered.com/app/2259260/Tyrants_Realm/" TargetMode="External"/><Relationship Id="rId466" Type="http://schemas.openxmlformats.org/officeDocument/2006/relationships/hyperlink" Target="https://store.steampowered.com/app/2453360/Cluckmech_Oasis/" TargetMode="External"/><Relationship Id="rId23" Type="http://schemas.openxmlformats.org/officeDocument/2006/relationships/hyperlink" Target="https://store.steampowered.com/app/1755830/Astrea_SixSided_Oracles/" TargetMode="External"/><Relationship Id="rId119" Type="http://schemas.openxmlformats.org/officeDocument/2006/relationships/hyperlink" Target="https://store.steampowered.com/app/1442840/DIG__Deep_In_Galaxies/" TargetMode="External"/><Relationship Id="rId270" Type="http://schemas.openxmlformats.org/officeDocument/2006/relationships/hyperlink" Target="https://store.steampowered.com/app/1737340/Noobs_Want_to_Live/" TargetMode="External"/><Relationship Id="rId326" Type="http://schemas.openxmlformats.org/officeDocument/2006/relationships/hyperlink" Target="https://store.steampowered.com/app/1253920/Rogue_Legacy_2/" TargetMode="External"/><Relationship Id="rId65" Type="http://schemas.openxmlformats.org/officeDocument/2006/relationships/hyperlink" Target="https://store.steampowered.com/app/330020/Children_of_Morta/" TargetMode="External"/><Relationship Id="rId130" Type="http://schemas.openxmlformats.org/officeDocument/2006/relationships/hyperlink" Target="https://store.steampowered.com/app/2356780/Dungeon_Clawler/" TargetMode="External"/><Relationship Id="rId368" Type="http://schemas.openxmlformats.org/officeDocument/2006/relationships/hyperlink" Target="https://store.steampowered.com/app/1914580/Spirit_Hunters_Infinite_Horde/" TargetMode="External"/><Relationship Id="rId172" Type="http://schemas.openxmlformats.org/officeDocument/2006/relationships/hyperlink" Target="https://store.steampowered.com/app/1154810/Going_Under/" TargetMode="External"/><Relationship Id="rId228" Type="http://schemas.openxmlformats.org/officeDocument/2006/relationships/hyperlink" Target="https://store.steampowered.com/app/1282730/Loop_Hero/" TargetMode="External"/><Relationship Id="rId435" Type="http://schemas.openxmlformats.org/officeDocument/2006/relationships/hyperlink" Target="https://store.steampowered.com/app/1304680/Voidigo/" TargetMode="External"/><Relationship Id="rId477" Type="http://schemas.openxmlformats.org/officeDocument/2006/relationships/hyperlink" Target="https://store.steampowered.com/app/2489560/Elewar_Fused_Survivors/" TargetMode="External"/><Relationship Id="rId281" Type="http://schemas.openxmlformats.org/officeDocument/2006/relationships/hyperlink" Target="https://store.steampowered.com/app/1688320/OneBit_Adventure/" TargetMode="External"/><Relationship Id="rId337" Type="http://schemas.openxmlformats.org/officeDocument/2006/relationships/hyperlink" Target="https://store.steampowered.com/app/3073990/Runeborn/" TargetMode="External"/><Relationship Id="rId502" Type="http://schemas.openxmlformats.org/officeDocument/2006/relationships/hyperlink" Target="https://store.steampowered.com/app/1201830/For_The_Warp/" TargetMode="External"/><Relationship Id="rId34" Type="http://schemas.openxmlformats.org/officeDocument/2006/relationships/hyperlink" Target="https://store.steampowered.com/app/365360/Battle_Brothers/" TargetMode="External"/><Relationship Id="rId76" Type="http://schemas.openxmlformats.org/officeDocument/2006/relationships/hyperlink" Target="https://store.steampowered.com/app/1601740/Corpse_Keeper/" TargetMode="External"/><Relationship Id="rId141" Type="http://schemas.openxmlformats.org/officeDocument/2006/relationships/hyperlink" Target="https://store.steampowered.com/app/2343600/Endgame_of_Devil/" TargetMode="External"/><Relationship Id="rId379" Type="http://schemas.openxmlformats.org/officeDocument/2006/relationships/hyperlink" Target="https://store.steampowered.com/app/442780/STRAFE_Gold_Edition/"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512480/Gunlocked/" TargetMode="External"/><Relationship Id="rId239" Type="http://schemas.openxmlformats.org/officeDocument/2006/relationships/hyperlink" Target="https://store.steampowered.com/app/3519530/Merge_Maestro/" TargetMode="External"/><Relationship Id="rId390" Type="http://schemas.openxmlformats.org/officeDocument/2006/relationships/hyperlink" Target="https://store.steampowered.com/app/1804270/Swordship/" TargetMode="External"/><Relationship Id="rId404" Type="http://schemas.openxmlformats.org/officeDocument/2006/relationships/hyperlink" Target="https://store.steampowered.com/app/113200/The_Binding_of_Isaac/" TargetMode="External"/><Relationship Id="rId446" Type="http://schemas.openxmlformats.org/officeDocument/2006/relationships/hyperlink" Target="https://store.steampowered.com/app/445980/Wizard_of_Legend/" TargetMode="External"/><Relationship Id="rId250" Type="http://schemas.openxmlformats.org/officeDocument/2006/relationships/hyperlink" Target="https://store.steampowered.com/app/296710/Monstrum/" TargetMode="External"/><Relationship Id="rId292" Type="http://schemas.openxmlformats.org/officeDocument/2006/relationships/hyperlink" Target="https://store.steampowered.com/app/2479320/Pesticide_Not_Required/" TargetMode="External"/><Relationship Id="rId306" Type="http://schemas.openxmlformats.org/officeDocument/2006/relationships/hyperlink" Target="https://store.steampowered.com/app/200210/Realm_of_the_Mad_God_Exalt/" TargetMode="External"/><Relationship Id="rId488" Type="http://schemas.openxmlformats.org/officeDocument/2006/relationships/hyperlink" Target="https://store.steampowered.com/app/3072640/Guidus_Zero/" TargetMode="External"/><Relationship Id="rId45" Type="http://schemas.openxmlformats.org/officeDocument/2006/relationships/hyperlink" Target="https://store.steampowered.com/app/2837350/Block_Tower_TD_2/" TargetMode="External"/><Relationship Id="rId87" Type="http://schemas.openxmlformats.org/officeDocument/2006/relationships/hyperlink" Target="https://store.steampowered.com/app/3332600/Cubic_Cosmos/" TargetMode="External"/><Relationship Id="rId110" Type="http://schemas.openxmlformats.org/officeDocument/2006/relationships/hyperlink" Target="https://store.steampowered.com/app/3444020/Demonic_Mahjong/" TargetMode="External"/><Relationship Id="rId348" Type="http://schemas.openxmlformats.org/officeDocument/2006/relationships/hyperlink" Target="https://store.steampowered.com/app/1972440/Shotgun_King_The_Final_Checkmate/" TargetMode="External"/><Relationship Id="rId513" Type="http://schemas.openxmlformats.org/officeDocument/2006/relationships/hyperlink" Target="https://store.steampowered.com/app/2228490/Atomic_Owl/" TargetMode="External"/><Relationship Id="rId152" Type="http://schemas.openxmlformats.org/officeDocument/2006/relationships/hyperlink" Target="https://store.steampowered.com/app/401710/Flinthook/" TargetMode="External"/><Relationship Id="rId194" Type="http://schemas.openxmlformats.org/officeDocument/2006/relationships/hyperlink" Target="https://store.steampowered.com/app/2824490/He_is_Coming/" TargetMode="External"/><Relationship Id="rId208" Type="http://schemas.openxmlformats.org/officeDocument/2006/relationships/hyperlink" Target="https://store.steampowered.com/app/509570/In_Celebration_of_Violence/" TargetMode="External"/><Relationship Id="rId415" Type="http://schemas.openxmlformats.org/officeDocument/2006/relationships/hyperlink" Target="https://store.steampowered.com/app/2088570/Tiny_Rogues/" TargetMode="External"/><Relationship Id="rId457" Type="http://schemas.openxmlformats.org/officeDocument/2006/relationships/hyperlink" Target="https://store.steampowered.com/app/2125420/Zorbus/" TargetMode="External"/><Relationship Id="rId261" Type="http://schemas.openxmlformats.org/officeDocument/2006/relationships/hyperlink" Target="https://store.steampowered.com/app/1786830/NecroBouncer/" TargetMode="External"/><Relationship Id="rId499" Type="http://schemas.openxmlformats.org/officeDocument/2006/relationships/hyperlink" Target="https://store.steampowered.com/app/3069050/Serpents_Gaze/"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1734320/Brutal_Orchestra/" TargetMode="External"/><Relationship Id="rId317" Type="http://schemas.openxmlformats.org/officeDocument/2006/relationships/hyperlink" Target="https://store.steampowered.com/app/3308190/Ringer/" TargetMode="External"/><Relationship Id="rId359" Type="http://schemas.openxmlformats.org/officeDocument/2006/relationships/hyperlink" Target="https://store.steampowered.com/app/2738490/Sol_Cesto/" TargetMode="External"/><Relationship Id="rId98" Type="http://schemas.openxmlformats.org/officeDocument/2006/relationships/hyperlink" Target="https://store.steampowered.com/app/1484720/Dead_Estate/" TargetMode="External"/><Relationship Id="rId121" Type="http://schemas.openxmlformats.org/officeDocument/2006/relationships/hyperlink" Target="https://store.steampowered.com/app/3839300/Dogpile/" TargetMode="External"/><Relationship Id="rId163" Type="http://schemas.openxmlformats.org/officeDocument/2006/relationships/hyperlink" Target="https://store.steampowered.com/app/1565090/GearHead_Caramel/" TargetMode="External"/><Relationship Id="rId219" Type="http://schemas.openxmlformats.org/officeDocument/2006/relationships/hyperlink" Target="https://store.steampowered.com/app/496300/Kingdom_New_Lands/" TargetMode="External"/><Relationship Id="rId370" Type="http://schemas.openxmlformats.org/officeDocument/2006/relationships/hyperlink" Target="https://store.steampowered.com/app/1078200/Spirits_Abyss/" TargetMode="External"/><Relationship Id="rId426" Type="http://schemas.openxmlformats.org/officeDocument/2006/relationships/hyperlink" Target="https://store.steampowered.com/app/3224770/Umamusume_Pretty_Derby/" TargetMode="External"/><Relationship Id="rId230" Type="http://schemas.openxmlformats.org/officeDocument/2006/relationships/hyperlink" Target="https://store.steampowered.com/app/1404850/Luck_be_a_Landlord/" TargetMode="External"/><Relationship Id="rId468" Type="http://schemas.openxmlformats.org/officeDocument/2006/relationships/hyperlink" Target="https://store.steampowered.com/app/3590290/DIVE_or_DIE__Children_of_Rain/" TargetMode="External"/><Relationship Id="rId25" Type="http://schemas.openxmlformats.org/officeDocument/2006/relationships/hyperlink" Target="https://store.steampowered.com/app/1234940/Astronarch/" TargetMode="External"/><Relationship Id="rId67" Type="http://schemas.openxmlformats.org/officeDocument/2006/relationships/hyperlink" Target="https://store.steampowered.com/app/3494210/Choo_Choo_Survivor_2/" TargetMode="External"/><Relationship Id="rId272" Type="http://schemas.openxmlformats.org/officeDocument/2006/relationships/hyperlink" Target="https://store.steampowered.com/app/2068280/Nordic_Ashes_Survivors_of_Ragnarok/" TargetMode="External"/><Relationship Id="rId328" Type="http://schemas.openxmlformats.org/officeDocument/2006/relationships/hyperlink" Target="https://store.steampowered.com/app/1494560/Rogue_Voltage/" TargetMode="External"/><Relationship Id="rId132" Type="http://schemas.openxmlformats.org/officeDocument/2006/relationships/hyperlink" Target="https://store.steampowered.com/app/288120/Dungeonmans/" TargetMode="External"/><Relationship Id="rId174" Type="http://schemas.openxmlformats.org/officeDocument/2006/relationships/hyperlink" Target="https://store.steampowered.com/app/1245430/Golden_Light/" TargetMode="External"/><Relationship Id="rId381" Type="http://schemas.openxmlformats.org/officeDocument/2006/relationships/hyperlink" Target="https://store.steampowered.com/app/535480/Sundered_Eldritch_Edition/" TargetMode="External"/><Relationship Id="rId241" Type="http://schemas.openxmlformats.org/officeDocument/2006/relationships/hyperlink" Target="https://store.steampowered.com/app/1173200/Metal_Unit/" TargetMode="External"/><Relationship Id="rId437" Type="http://schemas.openxmlformats.org/officeDocument/2006/relationships/hyperlink" Target="https://store.steampowered.com/app/2187290/Wall_World/" TargetMode="External"/><Relationship Id="rId479" Type="http://schemas.openxmlformats.org/officeDocument/2006/relationships/hyperlink" Target="https://store.steampowered.com/app/378030/Cardinal_Quest_2/" TargetMode="External"/><Relationship Id="rId36" Type="http://schemas.openxmlformats.org/officeDocument/2006/relationships/hyperlink" Target="https://store.steampowered.com/app/2499520/Be_My_Horde/" TargetMode="External"/><Relationship Id="rId283" Type="http://schemas.openxmlformats.org/officeDocument/2006/relationships/hyperlink" Target="https://store.steampowered.com/app/262790/Our_Darker_Purpose/" TargetMode="External"/><Relationship Id="rId339" Type="http://schemas.openxmlformats.org/officeDocument/2006/relationships/hyperlink" Target="https://store.steampowered.com/app/2084300/Schism/" TargetMode="External"/><Relationship Id="rId490" Type="http://schemas.openxmlformats.org/officeDocument/2006/relationships/hyperlink" Target="https://store.steampowered.com/app/1732070/ZHP_Unlosing_Ranger_vs_Darkdeath_Evilman/" TargetMode="External"/><Relationship Id="rId504" Type="http://schemas.openxmlformats.org/officeDocument/2006/relationships/hyperlink" Target="https://store.steampowered.com/app/1725410/Talespinner/" TargetMode="External"/><Relationship Id="rId78" Type="http://schemas.openxmlformats.org/officeDocument/2006/relationships/hyperlink" Target="https://store.steampowered.com/app/2137760/Crafty_Survivors/" TargetMode="External"/><Relationship Id="rId101" Type="http://schemas.openxmlformats.org/officeDocument/2006/relationships/hyperlink" Target="https://store.steampowered.com/app/252610/Death_Road_to_Canada/" TargetMode="External"/><Relationship Id="rId143" Type="http://schemas.openxmlformats.org/officeDocument/2006/relationships/hyperlink" Target="https://store.steampowered.com/app/311690/Enter_the_Gungeon/" TargetMode="External"/><Relationship Id="rId185" Type="http://schemas.openxmlformats.org/officeDocument/2006/relationships/hyperlink" Target="https://store.steampowered.com/app/1260590/Hadean_Tactics/" TargetMode="External"/><Relationship Id="rId350" Type="http://schemas.openxmlformats.org/officeDocument/2006/relationships/hyperlink" Target="https://store.steampowered.com/app/3085620/Skys_The_Limit_MAHJONG/" TargetMode="External"/><Relationship Id="rId406" Type="http://schemas.openxmlformats.org/officeDocument/2006/relationships/hyperlink" Target="https://store.steampowered.com/app/318600/The_Flame_in_the_Floo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385100/Insurmountable/" TargetMode="External"/><Relationship Id="rId392" Type="http://schemas.openxmlformats.org/officeDocument/2006/relationships/hyperlink" Target="https://store.steampowered.com/app/528230/SYNTHETIK_Legion_Rising/" TargetMode="External"/><Relationship Id="rId448" Type="http://schemas.openxmlformats.org/officeDocument/2006/relationships/hyperlink" Target="https://store.steampowered.com/app/1274210/WizardChess/" TargetMode="External"/><Relationship Id="rId252" Type="http://schemas.openxmlformats.org/officeDocument/2006/relationships/hyperlink" Target="https://store.steampowered.com/app/606150/Moonlighter/" TargetMode="External"/><Relationship Id="rId294" Type="http://schemas.openxmlformats.org/officeDocument/2006/relationships/hyperlink" Target="https://store.steampowered.com/app/2797650/Pip_My_Dice/" TargetMode="External"/><Relationship Id="rId308" Type="http://schemas.openxmlformats.org/officeDocument/2006/relationships/hyperlink" Target="https://store.steampowered.com/app/2185780/Return_to_abyss/" TargetMode="External"/><Relationship Id="rId515" Type="http://schemas.openxmlformats.org/officeDocument/2006/relationships/hyperlink" Target="https://store.steampowered.com/app/1639080/Sandwalkers/" TargetMode="External"/><Relationship Id="rId47" Type="http://schemas.openxmlformats.org/officeDocument/2006/relationships/hyperlink" Target="https://store.steampowered.com/app/1944570/Boneraiser_Minions/" TargetMode="External"/><Relationship Id="rId89" Type="http://schemas.openxmlformats.org/officeDocument/2006/relationships/hyperlink" Target="https://store.steampowered.com/app/718670/Cultist_Simulator/" TargetMode="External"/><Relationship Id="rId112" Type="http://schemas.openxmlformats.org/officeDocument/2006/relationships/hyperlink" Target="https://store.steampowered.com/app/3339780/Desktop_Survivors_98/" TargetMode="External"/><Relationship Id="rId154" Type="http://schemas.openxmlformats.org/officeDocument/2006/relationships/hyperlink" Target="https://store.steampowered.com/app/2206240/Footgun_Underground/" TargetMode="External"/><Relationship Id="rId361" Type="http://schemas.openxmlformats.org/officeDocument/2006/relationships/hyperlink" Target="https://store.steampowered.com/app/2066020/Soulstone_Survivors/" TargetMode="External"/><Relationship Id="rId196" Type="http://schemas.openxmlformats.org/officeDocument/2006/relationships/hyperlink" Target="https://store.steampowered.com/app/297120/Heavy_Bullets/" TargetMode="External"/><Relationship Id="rId417" Type="http://schemas.openxmlformats.org/officeDocument/2006/relationships/hyperlink" Target="https://store.steampowered.com/app/1165470/TombStar/" TargetMode="External"/><Relationship Id="rId459" Type="http://schemas.openxmlformats.org/officeDocument/2006/relationships/hyperlink" Target="https://store.steampowered.com/app/3656560/Runeveil/"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3093400/Knightica/" TargetMode="External"/><Relationship Id="rId263" Type="http://schemas.openxmlformats.org/officeDocument/2006/relationships/hyperlink" Target="https://store.steampowered.com/app/1949190/Necrosmith/" TargetMode="External"/><Relationship Id="rId319" Type="http://schemas.openxmlformats.org/officeDocument/2006/relationships/hyperlink" Target="https://store.steampowered.com/app/632360/Risk_of_Rain_2/" TargetMode="External"/><Relationship Id="rId470" Type="http://schemas.openxmlformats.org/officeDocument/2006/relationships/hyperlink" Target="https://store.steampowered.com/app/3372060/Hell_Maiden/" TargetMode="External"/><Relationship Id="rId58" Type="http://schemas.openxmlformats.org/officeDocument/2006/relationships/hyperlink" Target="https://store.steampowered.com/app/298560/Captain_Forever_Remix/" TargetMode="External"/><Relationship Id="rId123" Type="http://schemas.openxmlformats.org/officeDocument/2006/relationships/hyperlink" Target="https://store.steampowered.com/app/219740/Dont_Starve/" TargetMode="External"/><Relationship Id="rId330" Type="http://schemas.openxmlformats.org/officeDocument/2006/relationships/hyperlink" Target="https://store.steampowered.com/app/1076200/Roguebook/" TargetMode="External"/><Relationship Id="rId165" Type="http://schemas.openxmlformats.org/officeDocument/2006/relationships/hyperlink" Target="https://store.steampowered.com/app/1255650/Geometry_Arena/" TargetMode="External"/><Relationship Id="rId372" Type="http://schemas.openxmlformats.org/officeDocument/2006/relationships/hyperlink" Target="https://store.steampowered.com/app/2573200/Squeaky_Squad/" TargetMode="External"/><Relationship Id="rId428" Type="http://schemas.openxmlformats.org/officeDocument/2006/relationships/hyperlink" Target="https://store.steampowered.com/app/351700/UnReal_World/" TargetMode="External"/><Relationship Id="rId232" Type="http://schemas.openxmlformats.org/officeDocument/2006/relationships/hyperlink" Target="https://store.steampowered.com/app/2369580/Mad_King_Redemption/" TargetMode="External"/><Relationship Id="rId274" Type="http://schemas.openxmlformats.org/officeDocument/2006/relationships/hyperlink" Target="https://store.steampowered.com/app/681730/Nowhere_Prophet/" TargetMode="External"/><Relationship Id="rId481" Type="http://schemas.openxmlformats.org/officeDocument/2006/relationships/hyperlink" Target="https://store.steampowered.com/app/381020/Sky_Rogue/" TargetMode="External"/><Relationship Id="rId27" Type="http://schemas.openxmlformats.org/officeDocument/2006/relationships/hyperlink" Target="https://store.steampowered.com/app/1970580/Backpack_Hero/" TargetMode="External"/><Relationship Id="rId69" Type="http://schemas.openxmlformats.org/officeDocument/2006/relationships/hyperlink" Target="https://store.steampowered.com/app/3314790/CloverPit/" TargetMode="External"/><Relationship Id="rId134" Type="http://schemas.openxmlformats.org/officeDocument/2006/relationships/hyperlink" Target="https://store.steampowered.com/app/98800/Dungeons_of_Dredmor/" TargetMode="External"/><Relationship Id="rId80" Type="http://schemas.openxmlformats.org/officeDocument/2006/relationships/hyperlink" Target="https://store.steampowered.com/app/2348090/Crop_Rotation/" TargetMode="External"/><Relationship Id="rId176" Type="http://schemas.openxmlformats.org/officeDocument/2006/relationships/hyperlink" Target="https://store.steampowered.com/app/437570/GoNNER/" TargetMode="External"/><Relationship Id="rId341" Type="http://schemas.openxmlformats.org/officeDocument/2006/relationships/hyperlink" Target="https://store.steampowered.com/app/2111870/Section_13/" TargetMode="External"/><Relationship Id="rId383" Type="http://schemas.openxmlformats.org/officeDocument/2006/relationships/hyperlink" Target="https://store.steampowered.com/app/1714040/Super_Auto_Pets/" TargetMode="External"/><Relationship Id="rId439" Type="http://schemas.openxmlformats.org/officeDocument/2006/relationships/hyperlink" Target="https://store.steampowered.com/app/659540/Warsim_The_Realm_of_Aslona/" TargetMode="External"/><Relationship Id="rId201" Type="http://schemas.openxmlformats.org/officeDocument/2006/relationships/hyperlink" Target="https://store.steampowered.com/app/677120/Heroes_of_Hammerwatch/" TargetMode="External"/><Relationship Id="rId243" Type="http://schemas.openxmlformats.org/officeDocument/2006/relationships/hyperlink" Target="https://store.steampowered.com/app/686060/Mewgenics/" TargetMode="External"/><Relationship Id="rId285" Type="http://schemas.openxmlformats.org/officeDocument/2006/relationships/hyperlink" Target="https://store.steampowered.com/app/3179860/Pairs__Perils/" TargetMode="External"/><Relationship Id="rId450" Type="http://schemas.openxmlformats.org/officeDocument/2006/relationships/hyperlink" Target="https://store.steampowered.com/app/1732090/Words_Can_Kill/" TargetMode="External"/><Relationship Id="rId506" Type="http://schemas.openxmlformats.org/officeDocument/2006/relationships/hyperlink" Target="https://store.steampowered.com/app/3509430/Replicat/?curator_clanid=45876201" TargetMode="External"/><Relationship Id="rId38" Type="http://schemas.openxmlformats.org/officeDocument/2006/relationships/hyperlink" Target="https://store.steampowered.com/app/3007660/Bella_Wants_Blood/" TargetMode="External"/><Relationship Id="rId103" Type="http://schemas.openxmlformats.org/officeDocument/2006/relationships/hyperlink" Target="https://store.steampowered.com/app/326150/Death_Skid_Marks/" TargetMode="External"/><Relationship Id="rId310" Type="http://schemas.openxmlformats.org/officeDocument/2006/relationships/hyperlink" Target="https://store.steampowered.com/app/1175460/Revita/"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1123770/Curse_of_the_Dead_Gods/" TargetMode="External"/><Relationship Id="rId145" Type="http://schemas.openxmlformats.org/officeDocument/2006/relationships/hyperlink" Target="https://store.steampowered.com/app/2281820/Evolings/" TargetMode="External"/><Relationship Id="rId187" Type="http://schemas.openxmlformats.org/officeDocument/2006/relationships/hyperlink" Target="https://store.steampowered.com/app/1145350/Hades_II/" TargetMode="External"/><Relationship Id="rId352" Type="http://schemas.openxmlformats.org/officeDocument/2006/relationships/hyperlink" Target="https://store.steampowered.com/app/646570/Slay_the_Spire/" TargetMode="External"/><Relationship Id="rId394" Type="http://schemas.openxmlformats.org/officeDocument/2006/relationships/hyperlink" Target="https://store.steampowered.com/app/1199030/Tainted_Grail_Conquest/" TargetMode="External"/><Relationship Id="rId408" Type="http://schemas.openxmlformats.org/officeDocument/2006/relationships/hyperlink" Target="https://store.steampowered.com/app/1105670/The_Last_Spell/" TargetMode="External"/><Relationship Id="rId212" Type="http://schemas.openxmlformats.org/officeDocument/2006/relationships/hyperlink" Target="https://store.steampowered.com/app/807120/Iratus_Lord_of_the_Dead/" TargetMode="External"/><Relationship Id="rId254" Type="http://schemas.openxmlformats.org/officeDocument/2006/relationships/hyperlink" Target="https://store.steampowered.com/app/3052450/Morimens/" TargetMode="External"/><Relationship Id="rId49" Type="http://schemas.openxmlformats.org/officeDocument/2006/relationships/hyperlink" Target="https://store.steampowered.com/app/674930/Boyfriend_Dungeon/" TargetMode="External"/><Relationship Id="rId114" Type="http://schemas.openxmlformats.org/officeDocument/2006/relationships/hyperlink" Target="https://store.steampowered.com/app/2693930/Dice__Fold/" TargetMode="External"/><Relationship Id="rId296" Type="http://schemas.openxmlformats.org/officeDocument/2006/relationships/hyperlink" Target="https://store.steampowered.com/app/3948580/Plinbo_Roguelike_Plinko/" TargetMode="External"/><Relationship Id="rId461" Type="http://schemas.openxmlformats.org/officeDocument/2006/relationships/hyperlink" Target="https://store.steampowered.com/app/3435260/Dice_With_Death/" TargetMode="External"/><Relationship Id="rId517" Type="http://schemas.openxmlformats.org/officeDocument/2006/relationships/hyperlink" Target="https://store.steampowered.com/app/1243890/Sword_of_the_Necromancer/" TargetMode="External"/><Relationship Id="rId60" Type="http://schemas.openxmlformats.org/officeDocument/2006/relationships/hyperlink" Target="https://store.steampowered.com/app/3128280/Cats__Dice/" TargetMode="External"/><Relationship Id="rId156" Type="http://schemas.openxmlformats.org/officeDocument/2006/relationships/hyperlink" Target="https://store.steampowered.com/app/1676840/For_The_King_II/" TargetMode="External"/><Relationship Id="rId198" Type="http://schemas.openxmlformats.org/officeDocument/2006/relationships/hyperlink" Target="https://store.steampowered.com/app/1201540/HELLCARD/" TargetMode="External"/><Relationship Id="rId321" Type="http://schemas.openxmlformats.org/officeDocument/2006/relationships/hyperlink" Target="https://store.steampowered.com/app/692890/Roboquest/" TargetMode="External"/><Relationship Id="rId363" Type="http://schemas.openxmlformats.org/officeDocument/2006/relationships/hyperlink" Target="https://store.steampowered.com/app/2007530/Spellbook_Demonslayers/" TargetMode="External"/><Relationship Id="rId419" Type="http://schemas.openxmlformats.org/officeDocument/2006/relationships/hyperlink" Target="https://store.steampowered.com/app/2009860/Tower_Escape/" TargetMode="External"/><Relationship Id="rId223" Type="http://schemas.openxmlformats.org/officeDocument/2006/relationships/hyperlink" Target="https://store.steampowered.com/app/1808320/Lake_of_Creatures/" TargetMode="External"/><Relationship Id="rId430" Type="http://schemas.openxmlformats.org/officeDocument/2006/relationships/hyperlink" Target="https://store.steampowered.com/app/1794680/Vampire_Survivors/" TargetMode="External"/><Relationship Id="rId18" Type="http://schemas.openxmlformats.org/officeDocument/2006/relationships/hyperlink" Target="https://store.steampowered.com/app/1056840/Arcanium_Rise_of_Akhan/" TargetMode="External"/><Relationship Id="rId265" Type="http://schemas.openxmlformats.org/officeDocument/2006/relationships/hyperlink" Target="https://store.steampowered.com/app/788100/Neon_Abyss/" TargetMode="External"/><Relationship Id="rId472" Type="http://schemas.openxmlformats.org/officeDocument/2006/relationships/hyperlink" Target="https://store.steampowered.com/app/2065000/Chess_Survivors/" TargetMode="External"/><Relationship Id="rId125" Type="http://schemas.openxmlformats.org/officeDocument/2006/relationships/hyperlink" Target="https://store.steampowered.com/app/1967260/Double_Dragon_Gaiden_Rise_Of_The_Dragons/" TargetMode="External"/><Relationship Id="rId167" Type="http://schemas.openxmlformats.org/officeDocument/2006/relationships/hyperlink" Target="https://store.steampowered.com/app/3558190/GnollHack/" TargetMode="External"/><Relationship Id="rId332" Type="http://schemas.openxmlformats.org/officeDocument/2006/relationships/hyperlink" Target="https://store.steampowered.com/app/1443100/RogueSlide/" TargetMode="External"/><Relationship Id="rId374" Type="http://schemas.openxmlformats.org/officeDocument/2006/relationships/hyperlink" Target="https://store.steampowered.com/app/603960/Star_of_Providence/" TargetMode="External"/><Relationship Id="rId71" Type="http://schemas.openxmlformats.org/officeDocument/2006/relationships/hyperlink" Target="https://store.steampowered.com/app/264690/Coin_Crypt/" TargetMode="External"/><Relationship Id="rId234" Type="http://schemas.openxmlformats.org/officeDocument/2006/relationships/hyperlink" Target="https://store.steampowered.com/app/630720/Mana_Spark/"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379780/Balatro/" TargetMode="External"/><Relationship Id="rId276" Type="http://schemas.openxmlformats.org/officeDocument/2006/relationships/hyperlink" Target="https://store.steampowered.com/app/242680/Nuclear_Throne/" TargetMode="External"/><Relationship Id="rId441" Type="http://schemas.openxmlformats.org/officeDocument/2006/relationships/hyperlink" Target="https://store.steampowered.com/app/307110/We_Need_To_Go_Deeper/" TargetMode="External"/><Relationship Id="rId483" Type="http://schemas.openxmlformats.org/officeDocument/2006/relationships/hyperlink" Target="https://store.steampowered.com/app/1056490/The_World_is_Your_Weapon/" TargetMode="External"/><Relationship Id="rId40" Type="http://schemas.openxmlformats.org/officeDocument/2006/relationships/hyperlink" Target="https://store.steampowered.com/app/1730080/Beyond_the_Long_Night/" TargetMode="External"/><Relationship Id="rId136" Type="http://schemas.openxmlformats.org/officeDocument/2006/relationships/hyperlink" Target="https://store.steampowered.com/app/975370/Dwarf_Fortress/" TargetMode="External"/><Relationship Id="rId178" Type="http://schemas.openxmlformats.org/officeDocument/2006/relationships/hyperlink" Target="https://store.steampowered.com/app/2218400/Greedland/" TargetMode="External"/><Relationship Id="rId301" Type="http://schemas.openxmlformats.org/officeDocument/2006/relationships/hyperlink" Target="https://store.steampowered.com/app/270050/Quest_of_Dungeons/" TargetMode="External"/><Relationship Id="rId343" Type="http://schemas.openxmlformats.org/officeDocument/2006/relationships/hyperlink" Target="https://store.steampowered.com/app/1919460/Seraphs_Last_Stand/" TargetMode="External"/><Relationship Id="rId82" Type="http://schemas.openxmlformats.org/officeDocument/2006/relationships/hyperlink" Target="https://store.steampowered.com/app/1000010/Crown_Trick/" TargetMode="External"/><Relationship Id="rId203" Type="http://schemas.openxmlformats.org/officeDocument/2006/relationships/hyperlink" Target="https://store.steampowered.com/app/2420510/HoloCure__Save_the_Fans/" TargetMode="External"/><Relationship Id="rId385" Type="http://schemas.openxmlformats.org/officeDocument/2006/relationships/hyperlink" Target="https://store.steampowered.com/app/2289750/Super_Fantasy_Kingdom/" TargetMode="External"/><Relationship Id="rId245" Type="http://schemas.openxmlformats.org/officeDocument/2006/relationships/hyperlink" Target="https://store.steampowered.com/app/2102320/MISTROGUE_Mist_and_the_Living_Dungeons/" TargetMode="External"/><Relationship Id="rId287" Type="http://schemas.openxmlformats.org/officeDocument/2006/relationships/hyperlink" Target="https://store.steampowered.com/app/1347970/Patch_Quest/" TargetMode="External"/><Relationship Id="rId410" Type="http://schemas.openxmlformats.org/officeDocument/2006/relationships/hyperlink" Target="https://store.steampowered.com/app/2096510/The_Ouroboros_King/" TargetMode="External"/><Relationship Id="rId452" Type="http://schemas.openxmlformats.org/officeDocument/2006/relationships/hyperlink" Target="https://store.steampowered.com/app/2459750/Yohane_the_Parhelion__NUMAZU_in_the_MIRAGE/" TargetMode="External"/><Relationship Id="rId494" Type="http://schemas.openxmlformats.org/officeDocument/2006/relationships/hyperlink" Target="https://store.steampowered.com/app/551860/Abandon_Ship/" TargetMode="External"/><Relationship Id="rId508" Type="http://schemas.openxmlformats.org/officeDocument/2006/relationships/hyperlink" Target="https://store.steampowered.com/app/593700/Tower_Fortress/" TargetMode="External"/><Relationship Id="rId105" Type="http://schemas.openxmlformats.org/officeDocument/2006/relationships/hyperlink" Target="https://store.steampowered.com/app/3179730/Deck_of_Haunts/" TargetMode="External"/><Relationship Id="rId147" Type="http://schemas.openxmlformats.org/officeDocument/2006/relationships/hyperlink" Target="https://store.steampowered.com/app/2605600/Facehand/" TargetMode="External"/><Relationship Id="rId312" Type="http://schemas.openxmlformats.org/officeDocument/2006/relationships/hyperlink" Target="https://store.steampowered.com/app/1271280/Rift_Wizard/" TargetMode="External"/><Relationship Id="rId354" Type="http://schemas.openxmlformats.org/officeDocument/2006/relationships/hyperlink" Target="https://store.steampowered.com/app/1775490/Slice__Dice/" TargetMode="External"/><Relationship Id="rId51" Type="http://schemas.openxmlformats.org/officeDocument/2006/relationships/hyperlink" Target="https://store.steampowered.com/app/2451820/Brawl_Tactics_Origins/" TargetMode="External"/><Relationship Id="rId93" Type="http://schemas.openxmlformats.org/officeDocument/2006/relationships/hyperlink" Target="https://store.steampowered.com/app/718590/Dark_Devotion/" TargetMode="External"/><Relationship Id="rId189" Type="http://schemas.openxmlformats.org/officeDocument/2006/relationships/hyperlink" Target="https://store.steampowered.com/app/266510/Hand_of_Fate/" TargetMode="External"/><Relationship Id="rId396" Type="http://schemas.openxmlformats.org/officeDocument/2006/relationships/hyperlink" Target="https://store.steampowered.com/app/259680/Tales_of_MajEyal/" TargetMode="External"/><Relationship Id="rId214" Type="http://schemas.openxmlformats.org/officeDocument/2006/relationships/hyperlink" Target="https://store.steampowered.com/app/1059980/Just_King/" TargetMode="External"/><Relationship Id="rId256" Type="http://schemas.openxmlformats.org/officeDocument/2006/relationships/hyperlink" Target="https://store.steampowered.com/app/574090/MOTHERGUNSHIP/" TargetMode="External"/><Relationship Id="rId298" Type="http://schemas.openxmlformats.org/officeDocument/2006/relationships/hyperlink" Target="https://store.steampowered.com/app/3618850/Pronoun_Palace/" TargetMode="External"/><Relationship Id="rId421" Type="http://schemas.openxmlformats.org/officeDocument/2006/relationships/hyperlink" Target="https://store.steampowered.com/app/1709900/Tower_Tactics_Liberation/" TargetMode="External"/><Relationship Id="rId463" Type="http://schemas.openxmlformats.org/officeDocument/2006/relationships/hyperlink" Target="https://store.steampowered.com/app/409000/Mystery_Chronicle_One_Way_Heroics/" TargetMode="External"/><Relationship Id="rId519" Type="http://schemas.openxmlformats.org/officeDocument/2006/relationships/hyperlink" Target="https://store.steampowered.com/app/252630/Eldritch/" TargetMode="External"/><Relationship Id="rId116" Type="http://schemas.openxmlformats.org/officeDocument/2006/relationships/hyperlink" Target="https://store.steampowered.com/app/2501600/DICEOMANCER/" TargetMode="External"/><Relationship Id="rId158" Type="http://schemas.openxmlformats.org/officeDocument/2006/relationships/hyperlink" Target="https://store.steampowered.com/app/622370/Freaky_Awesome/" TargetMode="External"/><Relationship Id="rId323" Type="http://schemas.openxmlformats.org/officeDocument/2006/relationships/hyperlink" Target="https://store.steampowered.com/app/1443430/Rogue/" TargetMode="External"/><Relationship Id="rId20" Type="http://schemas.openxmlformats.org/officeDocument/2006/relationships/hyperlink" Target="https://store.steampowered.com/app/2779570/Archons/" TargetMode="External"/><Relationship Id="rId62" Type="http://schemas.openxmlformats.org/officeDocument/2006/relationships/hyperlink" Target="https://store.steampowered.com/app/333640/Caves_of_Qud/" TargetMode="External"/><Relationship Id="rId365" Type="http://schemas.openxmlformats.org/officeDocument/2006/relationships/hyperlink" Target="https://store.steampowered.com/app/239350/Spelunky/" TargetMode="External"/><Relationship Id="rId225" Type="http://schemas.openxmlformats.org/officeDocument/2006/relationships/hyperlink" Target="https://store.steampowered.com/app/2111090/Lets_Revolution/" TargetMode="External"/><Relationship Id="rId267" Type="http://schemas.openxmlformats.org/officeDocument/2006/relationships/hyperlink" Target="https://store.steampowered.com/app/881100/Noita/" TargetMode="External"/><Relationship Id="rId432" Type="http://schemas.openxmlformats.org/officeDocument/2006/relationships/hyperlink" Target="https://store.steampowered.com/app/3741860/Vital_Shell/" TargetMode="External"/><Relationship Id="rId474" Type="http://schemas.openxmlformats.org/officeDocument/2006/relationships/hyperlink" Target="https://store.steampowered.com/app/3689520/Bioprototype/" TargetMode="External"/><Relationship Id="rId127" Type="http://schemas.openxmlformats.org/officeDocument/2006/relationships/hyperlink" Target="https://store.steampowered.com/app/3103780/DRAPLINE/" TargetMode="External"/><Relationship Id="rId31" Type="http://schemas.openxmlformats.org/officeDocument/2006/relationships/hyperlink" Target="https://store.steampowered.com/app/2667120/Ballionaire/" TargetMode="External"/><Relationship Id="rId73" Type="http://schemas.openxmlformats.org/officeDocument/2006/relationships/hyperlink" Target="https://store.steampowered.com/app/1061880/Conan_Chop_Chop/" TargetMode="External"/><Relationship Id="rId169" Type="http://schemas.openxmlformats.org/officeDocument/2006/relationships/hyperlink" Target="https://store.steampowered.com/app/2008510/Go_Mecha_Ball/" TargetMode="External"/><Relationship Id="rId334" Type="http://schemas.openxmlformats.org/officeDocument/2006/relationships/hyperlink" Target="https://store.steampowered.com/app/2904290/RollScape/" TargetMode="External"/><Relationship Id="rId376" Type="http://schemas.openxmlformats.org/officeDocument/2006/relationships/hyperlink" Target="https://store.steampowered.com/app/3201010/Starlight_Revolver/"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317820/Guild_of_Dungeoneering_Ultimate_Edition/" TargetMode="External"/><Relationship Id="rId236" Type="http://schemas.openxmlformats.org/officeDocument/2006/relationships/hyperlink" Target="https://store.steampowered.com/app/1842510/Mechanibot/" TargetMode="External"/><Relationship Id="rId278" Type="http://schemas.openxmlformats.org/officeDocument/2006/relationships/hyperlink" Target="https://store.steampowered.com/app/1373260/Obsidian_Prince/" TargetMode="External"/><Relationship Id="rId401" Type="http://schemas.openxmlformats.org/officeDocument/2006/relationships/hyperlink" Target="https://store.steampowered.com/app/2996040/Teenage_Mutant_Ninja_Turtles_Splintered_Fate/" TargetMode="External"/><Relationship Id="rId443" Type="http://schemas.openxmlformats.org/officeDocument/2006/relationships/hyperlink" Target="https://store.steampowered.com/app/1811990/Wildfrost/" TargetMode="External"/><Relationship Id="rId303" Type="http://schemas.openxmlformats.org/officeDocument/2006/relationships/hyperlink" Target="https://store.steampowered.com/app/2311990/Rack_and_Slay/" TargetMode="External"/><Relationship Id="rId485" Type="http://schemas.openxmlformats.org/officeDocument/2006/relationships/hyperlink" Target="https://store.steampowered.com/app/225280/Full_Mojo_Rampage/" TargetMode="External"/><Relationship Id="rId42" Type="http://schemas.openxmlformats.org/officeDocument/2006/relationships/hyperlink" Target="https://store.steampowered.com/app/585710/Blazing_Beaks/" TargetMode="External"/><Relationship Id="rId84" Type="http://schemas.openxmlformats.org/officeDocument/2006/relationships/hyperlink" Target="https://store.steampowered.com/app/873940/Crying_Suns/" TargetMode="External"/><Relationship Id="rId138" Type="http://schemas.openxmlformats.org/officeDocument/2006/relationships/hyperlink" Target="https://store.steampowered.com/app/2217740/Kitty_Survivors_Rogues_of_Catmere/" TargetMode="External"/><Relationship Id="rId345" Type="http://schemas.openxmlformats.org/officeDocument/2006/relationships/hyperlink" Target="https://store.steampowered.com/app/2178480/Shiren_the_Wanderer_The_Mystery_Dungeon_of_Serpentcoil_Island/" TargetMode="External"/><Relationship Id="rId387" Type="http://schemas.openxmlformats.org/officeDocument/2006/relationships/hyperlink" Target="https://store.steampowered.com/app/1375900/Swarm_Grinder/" TargetMode="External"/><Relationship Id="rId510" Type="http://schemas.openxmlformats.org/officeDocument/2006/relationships/hyperlink" Target="https://store.steampowered.com/app/4594150/Sir_We_Have_an_Orc_Problem" TargetMode="External"/><Relationship Id="rId191" Type="http://schemas.openxmlformats.org/officeDocument/2006/relationships/hyperlink" Target="https://store.steampowered.com/app/662540/Haque/" TargetMode="External"/><Relationship Id="rId205" Type="http://schemas.openxmlformats.org/officeDocument/2006/relationships/hyperlink" Target="https://store.steampowered.com/app/3109580/I_Am_Legion_Stand_Survivors/" TargetMode="External"/><Relationship Id="rId247" Type="http://schemas.openxmlformats.org/officeDocument/2006/relationships/hyperlink" Target="https://store.steampowered.com/app/496620/Monster_Slayers/" TargetMode="External"/><Relationship Id="rId412" Type="http://schemas.openxmlformats.org/officeDocument/2006/relationships/hyperlink" Target="https://store.steampowered.com/app/1727590/THE_SPIRIT_LIFT/" TargetMode="External"/><Relationship Id="rId107" Type="http://schemas.openxmlformats.org/officeDocument/2006/relationships/hyperlink" Target="https://store.steampowered.com/app/325090/Deep_Dungeons_of_Doom/" TargetMode="External"/><Relationship Id="rId289" Type="http://schemas.openxmlformats.org/officeDocument/2006/relationships/hyperlink" Target="https://store.steampowered.com/app/3808690/Pathogenic/" TargetMode="External"/><Relationship Id="rId454" Type="http://schemas.openxmlformats.org/officeDocument/2006/relationships/hyperlink" Target="https://store.steampowered.com/app/308420/Ziggurat/" TargetMode="External"/><Relationship Id="rId496" Type="http://schemas.openxmlformats.org/officeDocument/2006/relationships/hyperlink" Target="https://store.steampowered.com/app/429620/Dungeon_Rushers/"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2118810/Breachway/" TargetMode="External"/><Relationship Id="rId149" Type="http://schemas.openxmlformats.org/officeDocument/2006/relationships/hyperlink" Target="https://store.steampowered.com/app/2332260/Feed_the_Deep/" TargetMode="External"/><Relationship Id="rId314" Type="http://schemas.openxmlformats.org/officeDocument/2006/relationships/hyperlink" Target="https://store.steampowered.com/app/4366330/Rift_Wizard_3/" TargetMode="External"/><Relationship Id="rId356" Type="http://schemas.openxmlformats.org/officeDocument/2006/relationships/hyperlink" Target="https://store.steampowered.com/app/3631290/Slots__Daggers/" TargetMode="External"/><Relationship Id="rId398" Type="http://schemas.openxmlformats.org/officeDocument/2006/relationships/hyperlink" Target="https://store.steampowered.com/app/2245620/Tangy_TD/" TargetMode="External"/><Relationship Id="rId521" Type="http://schemas.openxmlformats.org/officeDocument/2006/relationships/hyperlink" Target="https://store.steampowered.com/app/2563800/The_Last_Game/" TargetMode="External"/><Relationship Id="rId95" Type="http://schemas.openxmlformats.org/officeDocument/2006/relationships/hyperlink" Target="https://store.steampowered.com/app/1940340/Darkest_Dungeon_II/" TargetMode="External"/><Relationship Id="rId160" Type="http://schemas.openxmlformats.org/officeDocument/2006/relationships/hyperlink" Target="https://store.steampowered.com/app/212680/FTL_Faster_Than_Light/" TargetMode="External"/><Relationship Id="rId216" Type="http://schemas.openxmlformats.org/officeDocument/2006/relationships/hyperlink" Target="https://store.steampowered.com/app/329970/KeeperRL/" TargetMode="External"/><Relationship Id="rId423" Type="http://schemas.openxmlformats.org/officeDocument/2006/relationships/hyperlink" Target="https://store.steampowered.com/app/3802470/Turnbound/" TargetMode="External"/><Relationship Id="rId258" Type="http://schemas.openxmlformats.org/officeDocument/2006/relationships/hyperlink" Target="https://store.steampowered.com/app/1214670/Mr_Suns_Hatbox/" TargetMode="External"/><Relationship Id="rId465" Type="http://schemas.openxmlformats.org/officeDocument/2006/relationships/hyperlink" Target="https://store.steampowered.com/app/2967670/Cupiclaw/" TargetMode="External"/><Relationship Id="rId22" Type="http://schemas.openxmlformats.org/officeDocument/2006/relationships/hyperlink" Target="https://store.steampowered.com/app/1280930/Astral_Ascent/" TargetMode="External"/><Relationship Id="rId64" Type="http://schemas.openxmlformats.org/officeDocument/2006/relationships/hyperlink" Target="https://store.steampowered.com/app/2308000/Centipede_Gun/" TargetMode="External"/><Relationship Id="rId118" Type="http://schemas.openxmlformats.org/officeDocument/2006/relationships/hyperlink" Target="https://store.steampowered.com/app/2026820/Die_in_the_Dungeon/" TargetMode="External"/><Relationship Id="rId325" Type="http://schemas.openxmlformats.org/officeDocument/2006/relationships/hyperlink" Target="https://store.steampowered.com/app/241600/Rogue_Legacy/" TargetMode="External"/><Relationship Id="rId367" Type="http://schemas.openxmlformats.org/officeDocument/2006/relationships/hyperlink" Target="https://store.steampowered.com/app/2917350/Spin_Hero/" TargetMode="External"/><Relationship Id="rId171" Type="http://schemas.openxmlformats.org/officeDocument/2006/relationships/hyperlink" Target="https://store.steampowered.com/app/2687400/GODBREAKERS/" TargetMode="External"/><Relationship Id="rId227" Type="http://schemas.openxmlformats.org/officeDocument/2006/relationships/hyperlink" Target="https://store.steampowered.com/app/2056210/LONESTAR/" TargetMode="External"/><Relationship Id="rId269" Type="http://schemas.openxmlformats.org/officeDocument/2006/relationships/hyperlink" Target="https://store.steampowered.com/app/2225960/Noobs_Are_Coming/" TargetMode="External"/><Relationship Id="rId434" Type="http://schemas.openxmlformats.org/officeDocument/2006/relationships/hyperlink" Target="https://store.steampowered.com/app/2005210/Void_Scrappers/" TargetMode="External"/><Relationship Id="rId476" Type="http://schemas.openxmlformats.org/officeDocument/2006/relationships/hyperlink" Target="https://store.steampowered.com/app/2202590/Shape_Shifter_Formations/" TargetMode="External"/><Relationship Id="rId33" Type="http://schemas.openxmlformats.org/officeDocument/2006/relationships/hyperlink" Target="https://store.steampowered.com/app/371970/Barony/" TargetMode="External"/><Relationship Id="rId129" Type="http://schemas.openxmlformats.org/officeDocument/2006/relationships/hyperlink" Target="https://store.steampowered.com/app/2525310/Drop_Duchy/" TargetMode="External"/><Relationship Id="rId280" Type="http://schemas.openxmlformats.org/officeDocument/2006/relationships/hyperlink" Target="https://store.steampowered.com/app/960690/One_Step_From_Eden/" TargetMode="External"/><Relationship Id="rId336" Type="http://schemas.openxmlformats.org/officeDocument/2006/relationships/hyperlink" Target="https://store.steampowered.com/app/1557740/ROUNDS/" TargetMode="External"/><Relationship Id="rId501" Type="http://schemas.openxmlformats.org/officeDocument/2006/relationships/hyperlink" Target="https://store.steampowered.com/app/2576200/Into_The_Grid/" TargetMode="External"/><Relationship Id="rId75" Type="http://schemas.openxmlformats.org/officeDocument/2006/relationships/hyperlink" Target="https://store.steampowered.com/app/1203360/Core_Defense/" TargetMode="External"/><Relationship Id="rId140" Type="http://schemas.openxmlformats.org/officeDocument/2006/relationships/hyperlink" Target="https://store.steampowered.com/app/2459550/Emberward/" TargetMode="External"/><Relationship Id="rId182" Type="http://schemas.openxmlformats.org/officeDocument/2006/relationships/hyperlink" Target="https://store.steampowered.com/app/1217060/Gunfire_Reborn/" TargetMode="External"/><Relationship Id="rId378" Type="http://schemas.openxmlformats.org/officeDocument/2006/relationships/hyperlink" Target="https://store.steampowered.com/app/2085540/Stick_It_to_the_Stickman/" TargetMode="External"/><Relationship Id="rId403" Type="http://schemas.openxmlformats.org/officeDocument/2006/relationships/hyperlink" Target="https://store.steampowered.com/app/3596700/TerraTech_Legion/"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2644610/Menace_from_the_Deep/" TargetMode="External"/><Relationship Id="rId445" Type="http://schemas.openxmlformats.org/officeDocument/2006/relationships/hyperlink" Target="https://store.steampowered.com/app/3156770/Witchfire/" TargetMode="External"/><Relationship Id="rId487" Type="http://schemas.openxmlformats.org/officeDocument/2006/relationships/hyperlink" Target="https://store.steampowered.com/app/1163600/Omega_Labyrinth_Life/" TargetMode="External"/><Relationship Id="rId291" Type="http://schemas.openxmlformats.org/officeDocument/2006/relationships/hyperlink" Target="https://store.steampowered.com/app/1296610/Peglin/" TargetMode="External"/><Relationship Id="rId305" Type="http://schemas.openxmlformats.org/officeDocument/2006/relationships/hyperlink" Target="https://store.steampowered.com/app/2071280/Ravenswatch/" TargetMode="External"/><Relationship Id="rId347" Type="http://schemas.openxmlformats.org/officeDocument/2006/relationships/hyperlink" Target="https://store.steampowered.com/app/2084000/Shogun_Showdown/" TargetMode="External"/><Relationship Id="rId512" Type="http://schemas.openxmlformats.org/officeDocument/2006/relationships/hyperlink" Target="https://store.steampowered.com/app/3032830/Katanaut/" TargetMode="External"/><Relationship Id="rId44" Type="http://schemas.openxmlformats.org/officeDocument/2006/relationships/hyperlink" Target="https://store.steampowered.com/app/2427570/Block_Tower_TD/" TargetMode="External"/><Relationship Id="rId86" Type="http://schemas.openxmlformats.org/officeDocument/2006/relationships/hyperlink" Target="https://store.steampowered.com/app/344740/CRYPTARK/" TargetMode="External"/><Relationship Id="rId151" Type="http://schemas.openxmlformats.org/officeDocument/2006/relationships/hyperlink" Target="https://store.steampowered.com/app/3000120/FISH_FEAR_ME/" TargetMode="External"/><Relationship Id="rId389" Type="http://schemas.openxmlformats.org/officeDocument/2006/relationships/hyperlink" Target="https://store.steampowered.com/app/233700/Sword_of_the_Stars_The_Pit/" TargetMode="External"/><Relationship Id="rId193" Type="http://schemas.openxmlformats.org/officeDocument/2006/relationships/hyperlink" Target="https://store.steampowered.com/app/1740720/Have_a_Nice_Death/" TargetMode="External"/><Relationship Id="rId207" Type="http://schemas.openxmlformats.org/officeDocument/2006/relationships/hyperlink" Target="https://store.steampowered.com/app/595140/Immortal_Redneck/" TargetMode="External"/><Relationship Id="rId249" Type="http://schemas.openxmlformats.org/officeDocument/2006/relationships/hyperlink" Target="https://store.steampowered.com/app/2934220/Monsters_are_Coming/" TargetMode="External"/><Relationship Id="rId414" Type="http://schemas.openxmlformats.org/officeDocument/2006/relationships/hyperlink" Target="https://store.steampowered.com/app/1290330/Time_Wasters/" TargetMode="External"/><Relationship Id="rId456" Type="http://schemas.openxmlformats.org/officeDocument/2006/relationships/hyperlink" Target="https://store.steampowered.com/app/1434540/Zoeti/"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720420/Demon_Lord_Just_a_Block/" TargetMode="External"/><Relationship Id="rId260" Type="http://schemas.openxmlformats.org/officeDocument/2006/relationships/hyperlink" Target="https://store.steampowered.com/app/2508940/Mythical_Concept_STARNAUT/" TargetMode="External"/><Relationship Id="rId316" Type="http://schemas.openxmlformats.org/officeDocument/2006/relationships/hyperlink" Target="https://store.steampowered.com/app/998740/Ring_of_Pain/" TargetMode="External"/><Relationship Id="rId55" Type="http://schemas.openxmlformats.org/officeDocument/2006/relationships/hyperlink" Target="https://store.steampowered.com/app/1942280/Brotato/" TargetMode="External"/><Relationship Id="rId97" Type="http://schemas.openxmlformats.org/officeDocument/2006/relationships/hyperlink" Target="https://store.steampowered.com/app/588650/Dead_Cells/" TargetMode="External"/><Relationship Id="rId120" Type="http://schemas.openxmlformats.org/officeDocument/2006/relationships/hyperlink" Target="https://store.steampowered.com/app/2083160/Disfigure/" TargetMode="External"/><Relationship Id="rId358" Type="http://schemas.openxmlformats.org/officeDocument/2006/relationships/hyperlink" Target="https://store.steampowered.com/app/2178990/Sodaman/" TargetMode="External"/><Relationship Id="rId162" Type="http://schemas.openxmlformats.org/officeDocument/2006/relationships/hyperlink" Target="https://store.steampowered.com/app/1536620/Galactic_Glitch/" TargetMode="External"/><Relationship Id="rId218" Type="http://schemas.openxmlformats.org/officeDocument/2006/relationships/hyperlink" Target="https://store.steampowered.com/app/3093050/Kill_The_Music/" TargetMode="External"/><Relationship Id="rId425" Type="http://schemas.openxmlformats.org/officeDocument/2006/relationships/hyperlink" Target="https://store.steampowered.com/app/1266820/Ultimate_ADOM__Caverns_of_Chaos/" TargetMode="External"/><Relationship Id="rId467" Type="http://schemas.openxmlformats.org/officeDocument/2006/relationships/hyperlink" Target="https://store.steampowered.com/app/3542380/Rune_Dice/" TargetMode="External"/><Relationship Id="rId271" Type="http://schemas.openxmlformats.org/officeDocument/2006/relationships/hyperlink" Target="https://store.steampowered.com/app/3028310/Nordhold/" TargetMode="External"/><Relationship Id="rId24" Type="http://schemas.openxmlformats.org/officeDocument/2006/relationships/hyperlink" Target="https://store.steampowered.com/app/3503440/Astro_Prospector/" TargetMode="External"/><Relationship Id="rId66" Type="http://schemas.openxmlformats.org/officeDocument/2006/relationships/hyperlink" Target="https://store.steampowered.com/app/2336200/Choo_Choo_Survivor/" TargetMode="External"/><Relationship Id="rId131" Type="http://schemas.openxmlformats.org/officeDocument/2006/relationships/hyperlink" Target="https://store.steampowered.com/app/861330/Dungeon_Deathball/" TargetMode="External"/><Relationship Id="rId327" Type="http://schemas.openxmlformats.org/officeDocument/2006/relationships/hyperlink" Target="https://store.steampowered.com/app/1069690/Rogue_Lords/" TargetMode="External"/><Relationship Id="rId369" Type="http://schemas.openxmlformats.org/officeDocument/2006/relationships/hyperlink" Target="https://store.steampowered.com/app/1835240/Spiritfall/" TargetMode="External"/><Relationship Id="rId173" Type="http://schemas.openxmlformats.org/officeDocument/2006/relationships/hyperlink" Target="https://store.steampowered.com/app/497800/Golden_Krone_Hotel/" TargetMode="External"/><Relationship Id="rId229" Type="http://schemas.openxmlformats.org/officeDocument/2006/relationships/hyperlink" Target="https://store.steampowered.com/app/1494260/Loot_River/" TargetMode="External"/><Relationship Id="rId380" Type="http://schemas.openxmlformats.org/officeDocument/2006/relationships/hyperlink" Target="https://store.steampowered.com/app/512900/Streets_of_Rogue/" TargetMode="External"/><Relationship Id="rId436" Type="http://schemas.openxmlformats.org/officeDocument/2006/relationships/hyperlink" Target="https://store.steampowered.com/app/2464530/VOIN/" TargetMode="External"/><Relationship Id="rId240" Type="http://schemas.openxmlformats.org/officeDocument/2006/relationships/hyperlink" Target="https://store.steampowered.com/app/1590760/Metal_Slug_Tactics/" TargetMode="External"/><Relationship Id="rId478" Type="http://schemas.openxmlformats.org/officeDocument/2006/relationships/hyperlink" Target="https://store.steampowered.com/app/342610/HyperRogue/" TargetMode="External"/><Relationship Id="rId35" Type="http://schemas.openxmlformats.org/officeDocument/2006/relationships/hyperlink" Target="https://store.steampowered.com/app/1421290/Battle_Shapers/" TargetMode="External"/><Relationship Id="rId77" Type="http://schemas.openxmlformats.org/officeDocument/2006/relationships/hyperlink" Target="https://store.steampowered.com/app/774801/Crab_Champions/" TargetMode="External"/><Relationship Id="rId100" Type="http://schemas.openxmlformats.org/officeDocument/2006/relationships/hyperlink" Target="https://store.steampowered.com/app/2334730/Death_Must_Die/" TargetMode="External"/><Relationship Id="rId282" Type="http://schemas.openxmlformats.org/officeDocument/2006/relationships/hyperlink" Target="https://store.steampowered.com/app/1608640/OTXO/" TargetMode="External"/><Relationship Id="rId338" Type="http://schemas.openxmlformats.org/officeDocument/2006/relationships/hyperlink" Target="https://store.steampowered.com/app/2181720/Scarlet_Tower/" TargetMode="External"/><Relationship Id="rId503" Type="http://schemas.openxmlformats.org/officeDocument/2006/relationships/hyperlink" Target="https://store.steampowered.com/app/2332970/ARC_SEED/"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1425000/Endless_Alice/" TargetMode="External"/><Relationship Id="rId184" Type="http://schemas.openxmlformats.org/officeDocument/2006/relationships/hyperlink" Target="https://store.steampowered.com/app/3492830/Gunlocked_2/" TargetMode="External"/><Relationship Id="rId391" Type="http://schemas.openxmlformats.org/officeDocument/2006/relationships/hyperlink" Target="https://store.steampowered.com/app/1763250/SWORN/" TargetMode="External"/><Relationship Id="rId405" Type="http://schemas.openxmlformats.org/officeDocument/2006/relationships/hyperlink" Target="https://store.steampowered.com/app/250900/The_Binding_of_Isaac_Rebirth/" TargetMode="External"/><Relationship Id="rId447" Type="http://schemas.openxmlformats.org/officeDocument/2006/relationships/hyperlink" Target="https://store.steampowered.com/app/2193540/Wizard_of_Legend_2/" TargetMode="External"/><Relationship Id="rId251" Type="http://schemas.openxmlformats.org/officeDocument/2006/relationships/hyperlink" Target="https://store.steampowered.com/app/320040/Moon_Hunters/" TargetMode="External"/><Relationship Id="rId489" Type="http://schemas.openxmlformats.org/officeDocument/2006/relationships/hyperlink" Target="https://store.steampowered.com/app/2113040/RUNGORE/" TargetMode="External"/><Relationship Id="rId46" Type="http://schemas.openxmlformats.org/officeDocument/2006/relationships/hyperlink" Target="https://store.steampowered.com/app/2747550/Bloodshed/" TargetMode="External"/><Relationship Id="rId293" Type="http://schemas.openxmlformats.org/officeDocument/2006/relationships/hyperlink" Target="https://store.steampowered.com/app/2088840/Picayune_Dreams/" TargetMode="External"/><Relationship Id="rId307" Type="http://schemas.openxmlformats.org/officeDocument/2006/relationships/hyperlink" Target="https://store.steampowered.com/app/2055500/Repetendium/" TargetMode="External"/><Relationship Id="rId349" Type="http://schemas.openxmlformats.org/officeDocument/2006/relationships/hyperlink" Target="https://store.steampowered.com/app/1147560/Skul_The_Hero_Slayer/" TargetMode="External"/><Relationship Id="rId514" Type="http://schemas.openxmlformats.org/officeDocument/2006/relationships/hyperlink" Target="https://store.steampowered.com/app/1372660/An_Amazing_Wizard/" TargetMode="External"/><Relationship Id="rId88" Type="http://schemas.openxmlformats.org/officeDocument/2006/relationships/hyperlink" Target="https://store.steampowered.com/app/1313140/Cult_of_the_Lamb/" TargetMode="External"/><Relationship Id="rId111" Type="http://schemas.openxmlformats.org/officeDocument/2006/relationships/hyperlink" Target="https://store.steampowered.com/app/1588340/Demonlore/" TargetMode="External"/><Relationship Id="rId153" Type="http://schemas.openxmlformats.org/officeDocument/2006/relationships/hyperlink" Target="https://store.steampowered.com/app/3219010/Fogpiercer/" TargetMode="External"/><Relationship Id="rId195" Type="http://schemas.openxmlformats.org/officeDocument/2006/relationships/hyperlink" Target="https://store.steampowered.com/app/268130/Heat_Signature/" TargetMode="External"/><Relationship Id="rId209" Type="http://schemas.openxmlformats.org/officeDocument/2006/relationships/hyperlink" Target="https://store.steampowered.com/app/1092790/Inscryption/" TargetMode="External"/><Relationship Id="rId360" Type="http://schemas.openxmlformats.org/officeDocument/2006/relationships/hyperlink" Target="https://store.steampowered.com/app/463980/Solitairica/" TargetMode="External"/><Relationship Id="rId416" Type="http://schemas.openxmlformats.org/officeDocument/2006/relationships/hyperlink" Target="https://store.steampowered.com/app/1909420/Tinyfolks/" TargetMode="External"/><Relationship Id="rId220" Type="http://schemas.openxmlformats.org/officeDocument/2006/relationships/hyperlink" Target="https://store.steampowered.com/app/2217740/Kitty_Survivors_Rogues_of_Catmere/" TargetMode="External"/><Relationship Id="rId458" Type="http://schemas.openxmlformats.org/officeDocument/2006/relationships/hyperlink" Target="https://store.steampowered.com/app/3282420/Zoominoes/"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835570/Buckshot_Roulette/" TargetMode="External"/><Relationship Id="rId262" Type="http://schemas.openxmlformats.org/officeDocument/2006/relationships/hyperlink" Target="https://store.steampowered.com/app/2852980/Necroking/" TargetMode="External"/><Relationship Id="rId318" Type="http://schemas.openxmlformats.org/officeDocument/2006/relationships/hyperlink" Target="https://store.steampowered.com/app/248820/Risk_of_Rain_2013/" TargetMode="External"/><Relationship Id="rId99" Type="http://schemas.openxmlformats.org/officeDocument/2006/relationships/hyperlink" Target="https://store.steampowered.com/app/3512300/Dead_Finger_Dice/" TargetMode="External"/><Relationship Id="rId122" Type="http://schemas.openxmlformats.org/officeDocument/2006/relationships/hyperlink" Target="https://store.steampowered.com/app/1637320/Dome_Keeper/" TargetMode="External"/><Relationship Id="rId164" Type="http://schemas.openxmlformats.org/officeDocument/2006/relationships/hyperlink" Target="https://store.steampowered.com/app/2891310/Genome_Guardian/" TargetMode="External"/><Relationship Id="rId371" Type="http://schemas.openxmlformats.org/officeDocument/2006/relationships/hyperlink" Target="https://store.steampowered.com/app/311720/Sproggiwood/" TargetMode="External"/><Relationship Id="rId427" Type="http://schemas.openxmlformats.org/officeDocument/2006/relationships/hyperlink" Target="https://store.steampowered.com/app/656350/UnderMine/" TargetMode="External"/><Relationship Id="rId469" Type="http://schemas.openxmlformats.org/officeDocument/2006/relationships/hyperlink" Target="https://store.steampowered.com/app/2646720/Dead_Weight/" TargetMode="External"/><Relationship Id="rId26" Type="http://schemas.openxmlformats.org/officeDocument/2006/relationships/hyperlink" Target="https://store.steampowered.com/app/757320/Atomicrops/" TargetMode="External"/><Relationship Id="rId231" Type="http://schemas.openxmlformats.org/officeDocument/2006/relationships/hyperlink" Target="https://store.steampowered.com/app/2404510/Lucky_Hero/" TargetMode="External"/><Relationship Id="rId273" Type="http://schemas.openxmlformats.org/officeDocument/2006/relationships/hyperlink" Target="https://store.steampowered.com/app/858210/Nova_Drift/" TargetMode="External"/><Relationship Id="rId329" Type="http://schemas.openxmlformats.org/officeDocument/2006/relationships/hyperlink" Target="https://store.steampowered.com/app/2067920/Rogue_Genesia/" TargetMode="External"/><Relationship Id="rId480" Type="http://schemas.openxmlformats.org/officeDocument/2006/relationships/hyperlink" Target="https://store.steampowered.com/app/371430/Space_Grunts/" TargetMode="External"/><Relationship Id="rId68" Type="http://schemas.openxmlformats.org/officeDocument/2006/relationships/hyperlink" Target="https://store.steampowered.com/app/1188930/Chrono_Ark/" TargetMode="External"/><Relationship Id="rId133" Type="http://schemas.openxmlformats.org/officeDocument/2006/relationships/hyperlink" Target="https://store.steampowered.com/app/2400510/Dungeons__Degenerate_Gamblers/" TargetMode="External"/><Relationship Id="rId175" Type="http://schemas.openxmlformats.org/officeDocument/2006/relationships/hyperlink" Target="https://store.steampowered.com/app/1579020/Golfie/" TargetMode="External"/><Relationship Id="rId340" Type="http://schemas.openxmlformats.org/officeDocument/2006/relationships/hyperlink" Target="https://store.steampowered.com/app/1037020/ScourgeBringer/" TargetMode="External"/><Relationship Id="rId200" Type="http://schemas.openxmlformats.org/officeDocument/2006/relationships/hyperlink" Target="https://store.steampowered.com/app/2181610/Heretics_Fork/" TargetMode="External"/><Relationship Id="rId382" Type="http://schemas.openxmlformats.org/officeDocument/2006/relationships/hyperlink" Target="https://store.steampowered.com/app/304650/SUNLESS_SEA/" TargetMode="External"/><Relationship Id="rId438" Type="http://schemas.openxmlformats.org/officeDocument/2006/relationships/hyperlink" Target="https://store.steampowered.com/app/3178350/WARRIORS_Abyss/" TargetMode="External"/><Relationship Id="rId242" Type="http://schemas.openxmlformats.org/officeDocument/2006/relationships/hyperlink" Target="https://store.steampowered.com/app/1490610/METALLIC_CHILD/" TargetMode="External"/><Relationship Id="rId284" Type="http://schemas.openxmlformats.org/officeDocument/2006/relationships/hyperlink" Target="https://store.steampowered.com/app/3410180/Overlooting/" TargetMode="External"/><Relationship Id="rId491" Type="http://schemas.openxmlformats.org/officeDocument/2006/relationships/hyperlink" Target="https://store.steampowered.com/app/314410/Rampage_Knights/" TargetMode="External"/><Relationship Id="rId505" Type="http://schemas.openxmlformats.org/officeDocument/2006/relationships/hyperlink" Target="https://store.steampowered.com/app/2638050/Lost_For_Swords/" TargetMode="External"/><Relationship Id="rId37" Type="http://schemas.openxmlformats.org/officeDocument/2006/relationships/hyperlink" Target="https://store.steampowered.com/app/1072640/Beat_Blast/" TargetMode="External"/><Relationship Id="rId79" Type="http://schemas.openxmlformats.org/officeDocument/2006/relationships/hyperlink" Target="https://store.steampowered.com/app/293780/Crawl/" TargetMode="External"/><Relationship Id="rId102" Type="http://schemas.openxmlformats.org/officeDocument/2006/relationships/hyperlink" Target="https://store.steampowered.com/app/1619570/Death_Roads_Tournament/" TargetMode="External"/><Relationship Id="rId144" Type="http://schemas.openxmlformats.org/officeDocument/2006/relationships/hyperlink" Target="https://store.steampowered.com/app/3526710/Everything_is_Crab_The_Animal_Evolution_Roguelite/" TargetMode="External"/><Relationship Id="rId90" Type="http://schemas.openxmlformats.org/officeDocument/2006/relationships/hyperlink" Target="https://store.steampowered.com/app/358130/Curious_Expedition/" TargetMode="External"/><Relationship Id="rId186" Type="http://schemas.openxmlformats.org/officeDocument/2006/relationships/hyperlink" Target="https://store.steampowered.com/app/1145360/Hades/" TargetMode="External"/><Relationship Id="rId351" Type="http://schemas.openxmlformats.org/officeDocument/2006/relationships/hyperlink" Target="https://store.steampowered.com/app/598060/Slashers_Keep/" TargetMode="External"/><Relationship Id="rId393" Type="http://schemas.openxmlformats.org/officeDocument/2006/relationships/hyperlink" Target="https://store.steampowered.com/app/3337380/Tabletop_Tavern/" TargetMode="External"/><Relationship Id="rId407" Type="http://schemas.openxmlformats.org/officeDocument/2006/relationships/hyperlink" Target="https://store.steampowered.com/app/2753900/The_King_is_Watching/" TargetMode="External"/><Relationship Id="rId449" Type="http://schemas.openxmlformats.org/officeDocument/2006/relationships/hyperlink" Target="https://store.steampowered.com/app/3140120/Wordatro/" TargetMode="External"/><Relationship Id="rId211" Type="http://schemas.openxmlformats.org/officeDocument/2006/relationships/hyperlink" Target="https://store.steampowered.com/app/590380/Into_the_Breach/" TargetMode="External"/><Relationship Id="rId253" Type="http://schemas.openxmlformats.org/officeDocument/2006/relationships/hyperlink" Target="https://store.steampowered.com/app/2373630/Moonring/" TargetMode="External"/><Relationship Id="rId295" Type="http://schemas.openxmlformats.org/officeDocument/2006/relationships/hyperlink" Target="https://store.steampowered.com/app/1599600/PlateUp/" TargetMode="External"/><Relationship Id="rId309" Type="http://schemas.openxmlformats.org/officeDocument/2006/relationships/hyperlink" Target="https://store.steampowered.com/app/1649240/Returnal/" TargetMode="External"/><Relationship Id="rId460" Type="http://schemas.openxmlformats.org/officeDocument/2006/relationships/hyperlink" Target="https://store.steampowered.com/app/1062810/Inkbound/" TargetMode="External"/><Relationship Id="rId516" Type="http://schemas.openxmlformats.org/officeDocument/2006/relationships/hyperlink" Target="https://store.steampowered.com/app/1535100/Nadir_A_Grimdark_Deckbuilder/" TargetMode="External"/><Relationship Id="rId48" Type="http://schemas.openxmlformats.org/officeDocument/2006/relationships/hyperlink" Target="https://store.steampowered.com/app/1968730/Bounty_of_One/" TargetMode="External"/><Relationship Id="rId113" Type="http://schemas.openxmlformats.org/officeDocument/2006/relationships/hyperlink" Target="https://store.steampowered.com/app/1227280/Despots_Game_Dystopian_Battle_Simulator/" TargetMode="External"/><Relationship Id="rId320" Type="http://schemas.openxmlformats.org/officeDocument/2006/relationships/hyperlink" Target="https://store.steampowered.com/app/1337520/Risk_of_Rain_Returns/" TargetMode="External"/><Relationship Id="rId155" Type="http://schemas.openxmlformats.org/officeDocument/2006/relationships/hyperlink" Target="https://store.steampowered.com/app/527230/For_The_King/" TargetMode="External"/><Relationship Id="rId197" Type="http://schemas.openxmlformats.org/officeDocument/2006/relationships/hyperlink" Target="https://store.steampowered.com/app/1782460/Hell_Clock/" TargetMode="External"/><Relationship Id="rId362" Type="http://schemas.openxmlformats.org/officeDocument/2006/relationships/hyperlink" Target="https://store.steampowered.com/app/1144910/Space_Gladiators" TargetMode="External"/><Relationship Id="rId418" Type="http://schemas.openxmlformats.org/officeDocument/2006/relationships/hyperlink" Target="https://store.steampowered.com/app/3601130/Touhou_Crawl/" TargetMode="External"/><Relationship Id="rId222" Type="http://schemas.openxmlformats.org/officeDocument/2006/relationships/hyperlink" Target="https://store.steampowered.com/app/2315400/Knights_in_Tight_Spaces/" TargetMode="External"/><Relationship Id="rId264" Type="http://schemas.openxmlformats.org/officeDocument/2006/relationships/hyperlink" Target="https://store.steampowered.com/app/2277320/Necrosmith_2/" TargetMode="External"/><Relationship Id="rId471" Type="http://schemas.openxmlformats.org/officeDocument/2006/relationships/hyperlink" Target="https://store.steampowered.com/app/1016790/West_of_Dead/"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315840/Catacomb_Kids/" TargetMode="External"/><Relationship Id="rId124" Type="http://schemas.openxmlformats.org/officeDocument/2006/relationships/hyperlink" Target="https://store.steampowered.com/app/322330/Dont_Starve_Together/" TargetMode="External"/><Relationship Id="rId70" Type="http://schemas.openxmlformats.org/officeDocument/2006/relationships/hyperlink" Target="https://store.steampowered.com/app/2179850/Cobalt_Core/" TargetMode="External"/><Relationship Id="rId166" Type="http://schemas.openxmlformats.org/officeDocument/2006/relationships/hyperlink" Target="https://store.steampowered.com/app/1667700/Geometry_Arena_2/" TargetMode="External"/><Relationship Id="rId331" Type="http://schemas.openxmlformats.org/officeDocument/2006/relationships/hyperlink" Target="https://store.steampowered.com/app/265990/Rogues_Tale/" TargetMode="External"/><Relationship Id="rId373" Type="http://schemas.openxmlformats.org/officeDocument/2006/relationships/hyperlink" Target="https://store.steampowered.com/app/3908810/Stackflow/" TargetMode="External"/><Relationship Id="rId429" Type="http://schemas.openxmlformats.org/officeDocument/2006/relationships/hyperlink" Target="https://store.steampowered.com/app/2206270/Vampire_Hunters/"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1184810/Mainframe_Defenders/" TargetMode="External"/><Relationship Id="rId440" Type="http://schemas.openxmlformats.org/officeDocument/2006/relationships/hyperlink" Target="https://store.steampowered.com/app/264160/WazHack/" TargetMode="External"/><Relationship Id="rId28" Type="http://schemas.openxmlformats.org/officeDocument/2006/relationships/hyperlink" Target="https://store.steampowered.com/app/688420/Bad_North_Jotunn_Edition/" TargetMode="External"/><Relationship Id="rId275" Type="http://schemas.openxmlformats.org/officeDocument/2006/relationships/hyperlink" Target="https://store.steampowered.com/app/3191030/Nubbys_Number_Factory/" TargetMode="External"/><Relationship Id="rId300" Type="http://schemas.openxmlformats.org/officeDocument/2006/relationships/hyperlink" Target="https://store.steampowered.com/app/2059170/Quasimorph/" TargetMode="External"/><Relationship Id="rId482" Type="http://schemas.openxmlformats.org/officeDocument/2006/relationships/hyperlink" Target="https://store.steampowered.com/app/2231080/Sword_of_Fargoal/" TargetMode="External"/><Relationship Id="rId81" Type="http://schemas.openxmlformats.org/officeDocument/2006/relationships/hyperlink" Target="https://store.steampowered.com/app/1619520/Cross_Blitz/" TargetMode="External"/><Relationship Id="rId135" Type="http://schemas.openxmlformats.org/officeDocument/2006/relationships/hyperlink" Target="https://store.steampowered.com/app/753420/Dungreed/" TargetMode="External"/><Relationship Id="rId177" Type="http://schemas.openxmlformats.org/officeDocument/2006/relationships/hyperlink" Target="https://store.steampowered.com/app/1117670/GONNER2/" TargetMode="External"/><Relationship Id="rId342" Type="http://schemas.openxmlformats.org/officeDocument/2006/relationships/hyperlink" Target="https://store.steampowered.com/app/3039930/Seedborne_Soldiers/" TargetMode="External"/><Relationship Id="rId384" Type="http://schemas.openxmlformats.org/officeDocument/2006/relationships/hyperlink" Target="https://store.steampowered.com/app/1767170/Super_Bullet_Break/" TargetMode="External"/><Relationship Id="rId202" Type="http://schemas.openxmlformats.org/officeDocument/2006/relationships/hyperlink" Target="https://store.steampowered.com/app/619820/Heroes_of_Hammerwatch_II/" TargetMode="External"/><Relationship Id="rId244" Type="http://schemas.openxmlformats.org/officeDocument/2006/relationships/hyperlink" Target="https://store.steampowered.com/app/2455920/Mimic_Logic/" TargetMode="External"/><Relationship Id="rId39" Type="http://schemas.openxmlformats.org/officeDocument/2006/relationships/hyperlink" Target="https://store.steampowered.com/app/1803400/Beneath_Oresa/" TargetMode="External"/><Relationship Id="rId286" Type="http://schemas.openxmlformats.org/officeDocument/2006/relationships/hyperlink" Target="https://store.steampowered.com/app/1504250/Paper_Planet/" TargetMode="External"/><Relationship Id="rId451" Type="http://schemas.openxmlformats.org/officeDocument/2006/relationships/hyperlink" Target="https://store.steampowered.com/app/2163330/Yet_Another_Zombie_Survivors/" TargetMode="External"/><Relationship Id="rId493" Type="http://schemas.openxmlformats.org/officeDocument/2006/relationships/hyperlink" Target="https://store.steampowered.com/app/1847150/Touhou_Genso_Wanderer_FORESIGHT/" TargetMode="External"/><Relationship Id="rId507" Type="http://schemas.openxmlformats.org/officeDocument/2006/relationships/hyperlink" Target="https://store.steampowered.com/app/3009310/Master_of_Piece/" TargetMode="External"/><Relationship Id="rId50" Type="http://schemas.openxmlformats.org/officeDocument/2006/relationships/hyperlink" Target="https://store.steampowered.com/app/1286350/BPM_BULLETS_PER_MINUTE/" TargetMode="External"/><Relationship Id="rId104" Type="http://schemas.openxmlformats.org/officeDocument/2006/relationships/hyperlink" Target="https://store.steampowered.com/app/1016730/Deck_of_Ashes/" TargetMode="External"/><Relationship Id="rId146" Type="http://schemas.openxmlformats.org/officeDocument/2006/relationships/hyperlink" Target="https://store.steampowered.com/app/1209490/Exit_the_Gungeon/" TargetMode="External"/><Relationship Id="rId188" Type="http://schemas.openxmlformats.org/officeDocument/2006/relationships/hyperlink" Target="https://store.steampowered.com/app/2218750/Halls_of_Torment/" TargetMode="External"/><Relationship Id="rId311" Type="http://schemas.openxmlformats.org/officeDocument/2006/relationships/hyperlink" Target="https://store.steampowered.com/app/2951580/Rhythm_Witch_Beat_Death/" TargetMode="External"/><Relationship Id="rId353" Type="http://schemas.openxmlformats.org/officeDocument/2006/relationships/hyperlink" Target="https://store.steampowered.com/app/2868840/Slay_the_Spire_2/" TargetMode="External"/><Relationship Id="rId395" Type="http://schemas.openxmlformats.org/officeDocument/2006/relationships/hyperlink" Target="https://store.steampowered.com/app/2435090/Talented/" TargetMode="External"/><Relationship Id="rId409" Type="http://schemas.openxmlformats.org/officeDocument/2006/relationships/hyperlink" Target="https://store.steampowered.com/app/1148650/The_Legend_of_BumBo/" TargetMode="External"/><Relationship Id="rId92" Type="http://schemas.openxmlformats.org/officeDocument/2006/relationships/hyperlink" Target="https://store.steampowered.com/app/2449040/Cursorblade/" TargetMode="External"/><Relationship Id="rId213" Type="http://schemas.openxmlformats.org/officeDocument/2006/relationships/hyperlink" Target="https://store.steampowered.com/app/811320/Jupiter_Hell/" TargetMode="External"/><Relationship Id="rId420" Type="http://schemas.openxmlformats.org/officeDocument/2006/relationships/hyperlink" Target="https://store.steampowered.com/app/266110/Tower_of_Guns/" TargetMode="External"/><Relationship Id="rId255" Type="http://schemas.openxmlformats.org/officeDocument/2006/relationships/hyperlink" Target="https://store.steampowered.com/app/1494810/Mortal_Sin/" TargetMode="External"/><Relationship Id="rId297" Type="http://schemas.openxmlformats.org/officeDocument/2006/relationships/hyperlink" Target="https://store.steampowered.com/app/2870280/Pogo_Rogue/" TargetMode="External"/><Relationship Id="rId462" Type="http://schemas.openxmlformats.org/officeDocument/2006/relationships/hyperlink" Target="https://store.steampowered.com/app/266210/One_Way_Heroics/" TargetMode="External"/><Relationship Id="rId518" Type="http://schemas.openxmlformats.org/officeDocument/2006/relationships/hyperlink" Target="https://store.steampowered.com/app/2782880/Sword_of_the_Necromancer_Resurrection/" TargetMode="External"/><Relationship Id="rId115" Type="http://schemas.openxmlformats.org/officeDocument/2006/relationships/hyperlink" Target="https://store.steampowered.com/app/1996430/Dicefolk/" TargetMode="External"/><Relationship Id="rId157" Type="http://schemas.openxmlformats.org/officeDocument/2006/relationships/hyperlink" Target="https://store.steampowered.com/app/1766390/FORWARD_Escape_the_Fold__Ultimate_Edition/" TargetMode="External"/><Relationship Id="rId322" Type="http://schemas.openxmlformats.org/officeDocument/2006/relationships/hyperlink" Target="https://store.steampowered.com/app/3069810/Rocket_Rats/" TargetMode="External"/><Relationship Id="rId364" Type="http://schemas.openxmlformats.org/officeDocument/2006/relationships/hyperlink" Target="https://store.steampowered.com/app/1990110/SpellRogue/" TargetMode="External"/><Relationship Id="rId61" Type="http://schemas.openxmlformats.org/officeDocument/2006/relationships/hyperlink" Target="https://store.steampowered.com/app/452060/Caveblazers/" TargetMode="External"/><Relationship Id="rId199" Type="http://schemas.openxmlformats.org/officeDocument/2006/relationships/hyperlink" Target="https://store.steampowered.com/app/1295630/Helskate/" TargetMode="External"/><Relationship Id="rId19" Type="http://schemas.openxmlformats.org/officeDocument/2006/relationships/hyperlink" Target="https://store.steampowered.com/app/4252700/Archon_Soul/" TargetMode="External"/><Relationship Id="rId224" Type="http://schemas.openxmlformats.org/officeDocument/2006/relationships/hyperlink" Target="https://store.steampowered.com/app/978520/Legend_of_Keepers_Career_of_a_Dungeon_Manager/" TargetMode="External"/><Relationship Id="rId266" Type="http://schemas.openxmlformats.org/officeDocument/2006/relationships/hyperlink" Target="https://store.steampowered.com/app/3668370/Night_Swarm/" TargetMode="External"/><Relationship Id="rId431" Type="http://schemas.openxmlformats.org/officeDocument/2006/relationships/hyperlink" Target="https://store.steampowered.com/app/1135810/Vault_of_the_Void/" TargetMode="External"/><Relationship Id="rId473" Type="http://schemas.openxmlformats.org/officeDocument/2006/relationships/hyperlink" Target="https://store.steampowered.com/app/3059390/Hexagod/" TargetMode="External"/><Relationship Id="rId30" Type="http://schemas.openxmlformats.org/officeDocument/2006/relationships/hyperlink" Target="https://store.steampowered.com/app/2062430/BALL_x_PIT/" TargetMode="External"/><Relationship Id="rId126" Type="http://schemas.openxmlformats.org/officeDocument/2006/relationships/hyperlink" Target="https://store.steampowered.com/app/360740/Downwell/" TargetMode="External"/><Relationship Id="rId168" Type="http://schemas.openxmlformats.org/officeDocument/2006/relationships/hyperlink" Target="https://store.steampowered.com/app/3133060/Gnomes/" TargetMode="External"/><Relationship Id="rId333" Type="http://schemas.openxmlformats.org/officeDocument/2006/relationships/hyperlink" Target="https://store.steampowered.com/app/1585910/Roll/" TargetMode="External"/><Relationship Id="rId72" Type="http://schemas.openxmlformats.org/officeDocument/2006/relationships/hyperlink" Target="https://store.steampowered.com/app/940710/Colt_Canyon/" TargetMode="External"/><Relationship Id="rId375" Type="http://schemas.openxmlformats.org/officeDocument/2006/relationships/hyperlink" Target="https://store.steampowered.com/app/2060750/Star_Survivor/"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3385370/Maze_Mice/" TargetMode="External"/><Relationship Id="rId277" Type="http://schemas.openxmlformats.org/officeDocument/2006/relationships/hyperlink" Target="https://store.steampowered.com/app/2854740/Nunholy/" TargetMode="External"/><Relationship Id="rId400" Type="http://schemas.openxmlformats.org/officeDocument/2006/relationships/hyperlink" Target="https://store.steampowered.com/app/1913120/Tears_of_Metal/" TargetMode="External"/><Relationship Id="rId442" Type="http://schemas.openxmlformats.org/officeDocument/2006/relationships/hyperlink" Target="https://store.steampowered.com/app/226120/Weird_Worlds_Return_to_Infinite_Space/" TargetMode="External"/><Relationship Id="rId484" Type="http://schemas.openxmlformats.org/officeDocument/2006/relationships/hyperlink" Target="https://store.steampowered.com/app/1824580/Dungeon_Drafters/" TargetMode="External"/><Relationship Id="rId137" Type="http://schemas.openxmlformats.org/officeDocument/2006/relationships/hyperlink" Target="https://store.steampowered.com/app/2622380/ELDEN_RING_NIGHTREIGN/" TargetMode="External"/><Relationship Id="rId302" Type="http://schemas.openxmlformats.org/officeDocument/2006/relationships/hyperlink" Target="https://store.steampowered.com/app/3784030/RACCOIN_Coin_Pusher_Roguelike/" TargetMode="External"/><Relationship Id="rId344" Type="http://schemas.openxmlformats.org/officeDocument/2006/relationships/hyperlink" Target="https://store.steampowered.com/app/1286580/Ship_of_Fools/" TargetMode="External"/><Relationship Id="rId41" Type="http://schemas.openxmlformats.org/officeDocument/2006/relationships/hyperlink" Target="https://store.steampowered.com/app/2789810/Bingle_Bingle/" TargetMode="External"/><Relationship Id="rId83" Type="http://schemas.openxmlformats.org/officeDocument/2006/relationships/hyperlink" Target="https://store.steampowered.com/app/1098610/Crush_the_Industry/" TargetMode="External"/><Relationship Id="rId179" Type="http://schemas.openxmlformats.org/officeDocument/2006/relationships/hyperlink" Target="https://store.steampowered.com/app/601840/Griftlands/" TargetMode="External"/><Relationship Id="rId386" Type="http://schemas.openxmlformats.org/officeDocument/2006/relationships/hyperlink" Target="https://store.steampowered.com/app/224820/Super_House_of_Dead_Ninjas/" TargetMode="External"/><Relationship Id="rId190" Type="http://schemas.openxmlformats.org/officeDocument/2006/relationships/hyperlink" Target="https://store.steampowered.com/app/3075410/Hand_of_Fate_Hordes/" TargetMode="External"/><Relationship Id="rId204" Type="http://schemas.openxmlformats.org/officeDocument/2006/relationships/hyperlink" Target="https://store.steampowered.com/app/3934270/How_Many_Dudes/" TargetMode="External"/><Relationship Id="rId246" Type="http://schemas.openxmlformats.org/officeDocument/2006/relationships/hyperlink" Target="https://store.steampowered.com/app/1660290/Monmusu_Gladiator/" TargetMode="External"/><Relationship Id="rId288" Type="http://schemas.openxmlformats.org/officeDocument/2006/relationships/hyperlink" Target="https://store.steampowered.com/app/2128270/Path_of_Achra/" TargetMode="External"/><Relationship Id="rId411" Type="http://schemas.openxmlformats.org/officeDocument/2006/relationships/hyperlink" Target="https://store.steampowered.com/app/2717880/The_Rogue_Prince_of_Persia/" TargetMode="External"/><Relationship Id="rId453" Type="http://schemas.openxmlformats.org/officeDocument/2006/relationships/hyperlink" Target="https://store.steampowered.com/app/2229560/Zet_Zillions/" TargetMode="External"/><Relationship Id="rId509" Type="http://schemas.openxmlformats.org/officeDocument/2006/relationships/hyperlink" Target="https://store.steampowered.com/app/3405540/Tiny_Auto_Knights" TargetMode="External"/><Relationship Id="rId106" Type="http://schemas.openxmlformats.org/officeDocument/2006/relationships/hyperlink" Target="https://store.steampowered.com/app/2870340/Decktamer/" TargetMode="External"/><Relationship Id="rId313" Type="http://schemas.openxmlformats.org/officeDocument/2006/relationships/hyperlink" Target="https://store.steampowered.com/app/2058570/Rift_Wizard_2/" TargetMode="External"/><Relationship Id="rId495" Type="http://schemas.openxmlformats.org/officeDocument/2006/relationships/hyperlink" Target="https://store.steampowered.com/app/365900/Pixel_Dungeon/" TargetMode="External"/><Relationship Id="rId10" Type="http://schemas.openxmlformats.org/officeDocument/2006/relationships/hyperlink" Target="https://store.steampowered.com/app/1904480/Absolum/" TargetMode="External"/><Relationship Id="rId52" Type="http://schemas.openxmlformats.org/officeDocument/2006/relationships/hyperlink" Target="https://store.steampowered.com/app/1394130/Breach_Wanderers/" TargetMode="External"/><Relationship Id="rId94" Type="http://schemas.openxmlformats.org/officeDocument/2006/relationships/hyperlink" Target="https://store.steampowered.com/app/262060/Darkest_Dungeon/" TargetMode="External"/><Relationship Id="rId148" Type="http://schemas.openxmlformats.org/officeDocument/2006/relationships/hyperlink" Target="https://store.steampowered.com/app/2305500/FAIRY_TAIL_DUNGEONS/" TargetMode="External"/><Relationship Id="rId355" Type="http://schemas.openxmlformats.org/officeDocument/2006/relationships/hyperlink" Target="https://store.steampowered.com/app/2348610/Slime_3K_Rise_Against_Despot/" TargetMode="External"/><Relationship Id="rId397" Type="http://schemas.openxmlformats.org/officeDocument/2006/relationships/hyperlink" Target="https://store.steampowered.com/app/628770/Tangledeep/" TargetMode="External"/><Relationship Id="rId520" Type="http://schemas.openxmlformats.org/officeDocument/2006/relationships/hyperlink" Target="https://store.steampowered.com/app/2542350/Masks_of_the_Void_Origins/" TargetMode="External"/><Relationship Id="rId215" Type="http://schemas.openxmlformats.org/officeDocument/2006/relationships/hyperlink" Target="https://store.steampowered.com/app/2125540/Kdomon_Hyper_Auto_Battlers/" TargetMode="External"/><Relationship Id="rId257" Type="http://schemas.openxmlformats.org/officeDocument/2006/relationships/hyperlink" Target="https://store.steampowered.com/app/1931240/MOTHERGUNSHIP_FORGE/" TargetMode="External"/><Relationship Id="rId422" Type="http://schemas.openxmlformats.org/officeDocument/2006/relationships/hyperlink" Target="https://store.steampowered.com/app/1038370/Trials_of_Fire/" TargetMode="External"/><Relationship Id="rId464" Type="http://schemas.openxmlformats.org/officeDocument/2006/relationships/hyperlink" Target="https://store.steampowered.com/app/3100370/Black_Jacket/" TargetMode="External"/><Relationship Id="rId299" Type="http://schemas.openxmlformats.org/officeDocument/2006/relationships/hyperlink" Target="https://store.steampowered.com/app/2053360/PUTRID_SHOT_ULTRA/" TargetMode="External"/><Relationship Id="rId63" Type="http://schemas.openxmlformats.org/officeDocument/2006/relationships/hyperlink" Target="https://store.steampowered.com/app/1084220/Cavity_Busters/" TargetMode="External"/><Relationship Id="rId159" Type="http://schemas.openxmlformats.org/officeDocument/2006/relationships/hyperlink" Target="https://store.steampowered.com/app/3585160/From_The_Top/" TargetMode="External"/><Relationship Id="rId366" Type="http://schemas.openxmlformats.org/officeDocument/2006/relationships/hyperlink" Target="https://store.steampowered.com/app/418530/Spelunky_2/" TargetMode="External"/><Relationship Id="rId226" Type="http://schemas.openxmlformats.org/officeDocument/2006/relationships/hyperlink" Target="https://store.steampowered.com/app/1452070/LONE_RUIN/" TargetMode="External"/><Relationship Id="rId433" Type="http://schemas.openxmlformats.org/officeDocument/2006/relationships/hyperlink" Target="https://store.steampowered.com/app/857980/Void_Bastard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monstervine.com/ic/IC-LR-Interview.mp3" TargetMode="External"/><Relationship Id="rId21" Type="http://schemas.openxmlformats.org/officeDocument/2006/relationships/hyperlink" Target="https://www.reddit.com/r/IndieGaming/comments/13vr0mm/comment/jm7alk0/?context=3" TargetMode="External"/><Relationship Id="rId324" Type="http://schemas.openxmlformats.org/officeDocument/2006/relationships/hyperlink" Target="https://www.reddit.com/r/Games/comments/2e7eti/hello_rgames_we_are_the_creators_of_the_roguelike/" TargetMode="External"/><Relationship Id="rId531" Type="http://schemas.openxmlformats.org/officeDocument/2006/relationships/hyperlink" Target="https://zenorogue.blogspot.com/search/label/sources" TargetMode="External"/><Relationship Id="rId629" Type="http://schemas.openxmlformats.org/officeDocument/2006/relationships/hyperlink" Target="https://x.com/mumpitzgames/status/1925572756806017381" TargetMode="External"/><Relationship Id="rId170" Type="http://schemas.openxmlformats.org/officeDocument/2006/relationships/hyperlink" Target="https://en.wikipedia.org/wiki/Slay_the_Spire" TargetMode="External"/><Relationship Id="rId268" Type="http://schemas.openxmlformats.org/officeDocument/2006/relationships/hyperlink" Target="https://www.reddit.com/r/WazHack/comments/2dgp8s/question_is_wazhack_based_of_of_nethack/" TargetMode="External"/><Relationship Id="rId475" Type="http://schemas.openxmlformats.org/officeDocument/2006/relationships/hyperlink" Target="https://www.reddit.com/r/roguelikes/comments/1iyzkws/house_of_necrosis_demo_is_out_now_on_steam/" TargetMode="External"/><Relationship Id="rId32" Type="http://schemas.openxmlformats.org/officeDocument/2006/relationships/hyperlink" Target="https://www.youtube.com/watch?v=cjh1J2AuT_4" TargetMode="External"/><Relationship Id="rId128" Type="http://schemas.openxmlformats.org/officeDocument/2006/relationships/hyperlink" Target="https://store.steampowered.com/app/3601130/Touhou_Crawl/" TargetMode="External"/><Relationship Id="rId335" Type="http://schemas.openxmlformats.org/officeDocument/2006/relationships/hyperlink" Target="https://steamcommunity.com/games/2904290/announcements/detail/4185610799649293674" TargetMode="External"/><Relationship Id="rId542" Type="http://schemas.openxmlformats.org/officeDocument/2006/relationships/hyperlink" Target="https://roguebasin.com/index.php?title=Diablo" TargetMode="External"/><Relationship Id="rId181" Type="http://schemas.openxmlformats.org/officeDocument/2006/relationships/hyperlink" Target="https://roguebasin.com/index.php/ADOM" TargetMode="External"/><Relationship Id="rId402" Type="http://schemas.openxmlformats.org/officeDocument/2006/relationships/hyperlink" Target="https://store.steampowered.com/news/app/1434540/view/2939150821227809707" TargetMode="External"/><Relationship Id="rId279" Type="http://schemas.openxmlformats.org/officeDocument/2006/relationships/hyperlink" Target="https://gamerant.com/lone-ruin-interview-roguelike-indie-game-design-inspirations-visuals-coding/" TargetMode="External"/><Relationship Id="rId486" Type="http://schemas.openxmlformats.org/officeDocument/2006/relationships/hyperlink" Target="https://www.reddit.com/r/shmups/comments/y3uhl5/i_just_released_my_game_icewall_an_action/" TargetMode="External"/><Relationship Id="rId43" Type="http://schemas.openxmlformats.org/officeDocument/2006/relationships/hyperlink" Target="https://gmtk.substack.com/p/how-i-made-word-play" TargetMode="External"/><Relationship Id="rId139" Type="http://schemas.openxmlformats.org/officeDocument/2006/relationships/hyperlink" Target="http://www.bay12forums.com/smf/index.php?topic=173000.0" TargetMode="External"/><Relationship Id="rId346" Type="http://schemas.openxmlformats.org/officeDocument/2006/relationships/hyperlink" Target="https://www.kickstarter.com/projects/hibernian-workshop/astral-ascent" TargetMode="External"/><Relationship Id="rId553" Type="http://schemas.openxmlformats.org/officeDocument/2006/relationships/hyperlink" Target="https://steamcommunity.com/app/1823390/discussions/2/6893400166994423780/" TargetMode="External"/><Relationship Id="rId192" Type="http://schemas.openxmlformats.org/officeDocument/2006/relationships/hyperlink" Target="https://www.reddit.com/r/Games/comments/1syyjc8/ama_demon_lord_just_a_block_the_gridbased/" TargetMode="External"/><Relationship Id="rId206" Type="http://schemas.openxmlformats.org/officeDocument/2006/relationships/hyperlink" Target="https://www.thegamer.com/teenage-mutant-ninja-turtles-tmnt-splintered-fate-leads-talk-idw-inspirations-2025-dlc-and-the-comparisons-to-hades/" TargetMode="External"/><Relationship Id="rId413" Type="http://schemas.openxmlformats.org/officeDocument/2006/relationships/hyperlink" Target="https://gamingbolt.com/gonner-interview-a-colorful-and-challenging-ride" TargetMode="External"/><Relationship Id="rId497" Type="http://schemas.openxmlformats.org/officeDocument/2006/relationships/hyperlink" Target="https://roguebasin.com/index.php/ZMAngband" TargetMode="External"/><Relationship Id="rId620" Type="http://schemas.openxmlformats.org/officeDocument/2006/relationships/hyperlink" Target="https://x.com/imgame_official/status/1925464077654249724" TargetMode="External"/><Relationship Id="rId357" Type="http://schemas.openxmlformats.org/officeDocument/2006/relationships/hyperlink" Target="https://www.youtube.com/watch?v=7SjRhK9wdEE" TargetMode="External"/><Relationship Id="rId54" Type="http://schemas.openxmlformats.org/officeDocument/2006/relationships/hyperlink" Target="https://x.com/nikkonikkoLTD/status/1984291038723457227?s=20" TargetMode="External"/><Relationship Id="rId217" Type="http://schemas.openxmlformats.org/officeDocument/2006/relationships/hyperlink" Target="https://store.steampowered.com/app/3333700/The_Royal_Writ/" TargetMode="External"/><Relationship Id="rId564" Type="http://schemas.openxmlformats.org/officeDocument/2006/relationships/hyperlink" Target="https://www.youtube.com/watch?v=xsmbVWflwpw" TargetMode="External"/><Relationship Id="rId424" Type="http://schemas.openxmlformats.org/officeDocument/2006/relationships/hyperlink" Target="https://www.gamedeveloper.com/game-platforms/eugene-paik-talks-about-vagante-a-roguelite-8-years-in-the-making" TargetMode="External"/><Relationship Id="rId631" Type="http://schemas.openxmlformats.org/officeDocument/2006/relationships/hyperlink" Target="https://x.com/mumpitzgames/status/1925572756806017381" TargetMode="External"/><Relationship Id="rId270" Type="http://schemas.openxmlformats.org/officeDocument/2006/relationships/hyperlink" Target="https://steamcommunity.com/app/3808690/discussions/0/574921459914426009/" TargetMode="External"/><Relationship Id="rId65" Type="http://schemas.openxmlformats.org/officeDocument/2006/relationships/hyperlink" Target="https://www.reddit.com/r/roguelikes/comments/fwbx5g/mainframe_defenders_cogmind_inspired_tactics/" TargetMode="External"/><Relationship Id="rId130" Type="http://schemas.openxmlformats.org/officeDocument/2006/relationships/hyperlink" Target="https://roguebasin.com/index.php/ZMAngband" TargetMode="External"/><Relationship Id="rId368" Type="http://schemas.openxmlformats.org/officeDocument/2006/relationships/hyperlink" Target="https://www.ign.com/articles/claim-a-key-for-hellcard-the-turn-based-deckbuilding-rogue-lite-from-book-of-demons-developer" TargetMode="External"/><Relationship Id="rId575" Type="http://schemas.openxmlformats.org/officeDocument/2006/relationships/hyperlink" Target="https://steamcommunity.com/app/371430/discussions/0/494631967651210890/" TargetMode="External"/><Relationship Id="rId228" Type="http://schemas.openxmlformats.org/officeDocument/2006/relationships/hyperlink" Target="https://www.siliconera.com/catacomb-kids-interview-spelunky-comparisons-and-the-early-access-gamble/" TargetMode="External"/><Relationship Id="rId435" Type="http://schemas.openxmlformats.org/officeDocument/2006/relationships/hyperlink" Target="https://gamestudio.n-ix.com/case-study/the-bazaar-game-development-story/" TargetMode="External"/><Relationship Id="rId642" Type="http://schemas.openxmlformats.org/officeDocument/2006/relationships/hyperlink" Target="https://x.com/pathogenicgame/status/2085041700716654606?s=20" TargetMode="External"/><Relationship Id="rId281" Type="http://schemas.openxmlformats.org/officeDocument/2006/relationships/hyperlink" Target="https://fextralife.com/odinfall-a-new-viking-themed-roguelite-coming-to-early-access/" TargetMode="External"/><Relationship Id="rId502" Type="http://schemas.openxmlformats.org/officeDocument/2006/relationships/hyperlink" Target="https://www.reddit.com/r/deckbuildingroguelike/comments/1qszp8o/runeveil_sts_meets_balatro_is_on_steam/" TargetMode="External"/><Relationship Id="rId76" Type="http://schemas.openxmlformats.org/officeDocument/2006/relationships/hyperlink" Target="https://www.scousegamer88.com/2021/03/31/astral-ascent-hibernian-workshop-interview/" TargetMode="External"/><Relationship Id="rId141" Type="http://schemas.openxmlformats.org/officeDocument/2006/relationships/hyperlink" Target="https://rogueliker.com/vellum-inspirations/" TargetMode="External"/><Relationship Id="rId379" Type="http://schemas.openxmlformats.org/officeDocument/2006/relationships/hyperlink" Target="https://www.reddit.com/r/pokemon/comments/1rp0vq7/i_made_a_roguelike_pokemon_autobattler/" TargetMode="External"/><Relationship Id="rId586" Type="http://schemas.openxmlformats.org/officeDocument/2006/relationships/hyperlink" Target="https://store.steampowered.com/app/2113040/RUNGORE/" TargetMode="External"/><Relationship Id="rId7" Type="http://schemas.openxmlformats.org/officeDocument/2006/relationships/hyperlink" Target="https://www.roguebasin.com/index.php/Sproggiwood" TargetMode="External"/><Relationship Id="rId239" Type="http://schemas.openxmlformats.org/officeDocument/2006/relationships/hyperlink" Target="https://steamcommunity.com/app/1794400/discussions/0/3409803709049368658/" TargetMode="External"/><Relationship Id="rId446" Type="http://schemas.openxmlformats.org/officeDocument/2006/relationships/hyperlink" Target="https://www.reddit.com/r/gamedev/comments/o8bzkt/one_year_into_early_access_for_golden_light_lets/" TargetMode="External"/><Relationship Id="rId653" Type="http://schemas.openxmlformats.org/officeDocument/2006/relationships/hyperlink" Target="https://x.com/MasksOfTheVoid/status/2084174185505448157?s=20" TargetMode="External"/><Relationship Id="rId292" Type="http://schemas.openxmlformats.org/officeDocument/2006/relationships/hyperlink" Target="https://pokevoid.com/" TargetMode="External"/><Relationship Id="rId306" Type="http://schemas.openxmlformats.org/officeDocument/2006/relationships/hyperlink" Target="https://www.reddit.com/r/pcgaming/comments/1f9y4d8/weve_been_making_our_totally_normal_coop_shooter/" TargetMode="External"/><Relationship Id="rId87" Type="http://schemas.openxmlformats.org/officeDocument/2006/relationships/hyperlink" Target="https://www.reddit.com/r/IAmA/comments/aj6sq1/comment/eet5qh4/" TargetMode="External"/><Relationship Id="rId513" Type="http://schemas.openxmlformats.org/officeDocument/2006/relationships/hyperlink" Target="https://caifuhao.eastmoney.com/news/20260725235351583816280" TargetMode="External"/><Relationship Id="rId597" Type="http://schemas.openxmlformats.org/officeDocument/2006/relationships/hyperlink" Target="https://www.reddit.com/r/nintendo/comments/691a58/we_are_team_tumbleseed_and_we_launched_tumbleseed/" TargetMode="External"/><Relationship Id="rId152" Type="http://schemas.openxmlformats.org/officeDocument/2006/relationships/hyperlink" Target="https://www.nme.com/news/gaming-news/crossy-road-creator-announces-space-western-shooter-tombstar-3258744" TargetMode="External"/><Relationship Id="rId457" Type="http://schemas.openxmlformats.org/officeDocument/2006/relationships/hyperlink" Target="https://www.reddit.com/r/Spore/comments/1uz4aye/just_released_my_game_pathogenic_its_basically/" TargetMode="External"/><Relationship Id="rId14" Type="http://schemas.openxmlformats.org/officeDocument/2006/relationships/hyperlink" Target="https://steamcommunity.com/app/1830970/discussions/0/6660355571253835571/" TargetMode="External"/><Relationship Id="rId317" Type="http://schemas.openxmlformats.org/officeDocument/2006/relationships/hyperlink" Target="https://roguebasin.com/index.php/Larn" TargetMode="External"/><Relationship Id="rId524" Type="http://schemas.openxmlformats.org/officeDocument/2006/relationships/hyperlink" Target="https://www.youtube.com/watch?v=dfLSGkKC2ug" TargetMode="External"/><Relationship Id="rId98" Type="http://schemas.openxmlformats.org/officeDocument/2006/relationships/hyperlink" Target="https://www.cbr.com/rogue-prince-of-persia-asadi-xye-dylan-eurlings-interview/" TargetMode="External"/><Relationship Id="rId163" Type="http://schemas.openxmlformats.org/officeDocument/2006/relationships/hyperlink" Target="https://www.reddit.com/r/IndieGaming/comments/evnabb/a_short_impression_of_insurmountable_our_new_game/" TargetMode="External"/><Relationship Id="rId370" Type="http://schemas.openxmlformats.org/officeDocument/2006/relationships/hyperlink" Target="https://steamcommunity.com/app/1266430/discussions/0/3194745319517826630/" TargetMode="External"/><Relationship Id="rId230" Type="http://schemas.openxmlformats.org/officeDocument/2006/relationships/hyperlink" Target="https://roguebasin.com/index.php/Dungeon_Crawl_Stone_Soup" TargetMode="External"/><Relationship Id="rId468" Type="http://schemas.openxmlformats.org/officeDocument/2006/relationships/hyperlink" Target="https://roguebasin.com/index.php/ZMAngband" TargetMode="External"/><Relationship Id="rId25" Type="http://schemas.openxmlformats.org/officeDocument/2006/relationships/hyperlink" Target="https://store.steampowered.com/app/3314790/CloverPit/" TargetMode="External"/><Relationship Id="rId328" Type="http://schemas.openxmlformats.org/officeDocument/2006/relationships/hyperlink" Target="https://gamerheadquarters.com/articles/immortal-redneck-interview.html" TargetMode="External"/><Relationship Id="rId535" Type="http://schemas.openxmlformats.org/officeDocument/2006/relationships/hyperlink" Target="https://zenorogue.blogspot.com/search/label/sources" TargetMode="External"/><Relationship Id="rId174" Type="http://schemas.openxmlformats.org/officeDocument/2006/relationships/hyperlink" Target="https://youtu.be/-I__TxhbQgw" TargetMode="External"/><Relationship Id="rId381" Type="http://schemas.openxmlformats.org/officeDocument/2006/relationships/hyperlink" Target="https://www.reddit.com/r/NintendoSwitch/comments/10q0wez/ama_the_roguelike_that_is_played_using_only_two/" TargetMode="External"/><Relationship Id="rId602" Type="http://schemas.openxmlformats.org/officeDocument/2006/relationships/hyperlink" Target="https://x.com/search?q=from%3AMiraricogames%20survivors&amp;src=typed_query" TargetMode="External"/><Relationship Id="rId241" Type="http://schemas.openxmlformats.org/officeDocument/2006/relationships/hyperlink" Target="https://store.steampowered.com/app/2902440/Steves_Warehouse_Physics_Roguelike_Chaos/" TargetMode="External"/><Relationship Id="rId479" Type="http://schemas.openxmlformats.org/officeDocument/2006/relationships/hyperlink" Target="https://www.youtube.com/watch?v=5fR9VYTfm2A&amp;t=1s" TargetMode="External"/><Relationship Id="rId36" Type="http://schemas.openxmlformats.org/officeDocument/2006/relationships/hyperlink" Target="https://retconmagazine.com/how-raccoin-a-game-about-watching-a-machine-push-coins-came-to-life-interview/" TargetMode="External"/><Relationship Id="rId339" Type="http://schemas.openxmlformats.org/officeDocument/2006/relationships/hyperlink" Target="https://www.youtube.com/watch?v=9fxnPkfyHuA" TargetMode="External"/><Relationship Id="rId546" Type="http://schemas.openxmlformats.org/officeDocument/2006/relationships/hyperlink" Target="https://www.reddit.com/r/Games/comments/1c3l5e8/jotunnslayer_hordes_of_hel_games_farm_roguelike/" TargetMode="External"/><Relationship Id="rId101" Type="http://schemas.openxmlformats.org/officeDocument/2006/relationships/hyperlink" Target="https://www.reddit.com/r/Games/comments/1giltps/sodaman_tape_corps_balatro_inspired_roguelite/" TargetMode="External"/><Relationship Id="rId185" Type="http://schemas.openxmlformats.org/officeDocument/2006/relationships/hyperlink" Target="https://roguebasin.com/index.php/NetHack" TargetMode="External"/><Relationship Id="rId406" Type="http://schemas.openxmlformats.org/officeDocument/2006/relationships/hyperlink" Target="https://indiegraph.wordpress.com/2013/12/11/interview-with-the-creator-of-barony/" TargetMode="External"/><Relationship Id="rId392" Type="http://schemas.openxmlformats.org/officeDocument/2006/relationships/hyperlink" Target="https://store.steampowered.com/app/3333700/The_Royal_Writ/" TargetMode="External"/><Relationship Id="rId613" Type="http://schemas.openxmlformats.org/officeDocument/2006/relationships/hyperlink" Target="https://www.reddit.com/r/iosgaming/comments/1hjehh9/lost_for_swords_a_dungeon_crawler_focusing_on/" TargetMode="External"/><Relationship Id="rId252" Type="http://schemas.openxmlformats.org/officeDocument/2006/relationships/hyperlink" Target="https://www.pcgamer.com/how-a-videogame-composer-designed-the-tangledeep-rpg/" TargetMode="External"/><Relationship Id="rId47" Type="http://schemas.openxmlformats.org/officeDocument/2006/relationships/hyperlink" Target="https://youtu.be/VGMszILvj78" TargetMode="External"/><Relationship Id="rId112" Type="http://schemas.openxmlformats.org/officeDocument/2006/relationships/hyperlink" Target="https://en.wikipedia.org/wiki/Teamfight_Tactics" TargetMode="External"/><Relationship Id="rId557" Type="http://schemas.openxmlformats.org/officeDocument/2006/relationships/hyperlink" Target="https://www.youtube.com/watch?v=JXv8hQguGCI" TargetMode="External"/><Relationship Id="rId196" Type="http://schemas.openxmlformats.org/officeDocument/2006/relationships/hyperlink" Target="https://gamerant.com/have-a-nice-death-tim-burton-one-punch-man-anime-game-inspirations/" TargetMode="External"/><Relationship Id="rId417" Type="http://schemas.openxmlformats.org/officeDocument/2006/relationships/hyperlink" Target="https://www.gamedeveloper.com/business/road-to-the-igf-2023-kenny-sun-s-mr-sun-s-hatbox" TargetMode="External"/><Relationship Id="rId624" Type="http://schemas.openxmlformats.org/officeDocument/2006/relationships/hyperlink" Target="https://x.com/CLLC_studio/status/1925866594078453892" TargetMode="External"/><Relationship Id="rId263" Type="http://schemas.openxmlformats.org/officeDocument/2006/relationships/hyperlink" Target="https://roguebasin.com/index.php/POWDER" TargetMode="External"/><Relationship Id="rId470" Type="http://schemas.openxmlformats.org/officeDocument/2006/relationships/hyperlink" Target="https://store.steampowered.com/news/app/3618850/view/527612739964633653?l=english" TargetMode="External"/><Relationship Id="rId58" Type="http://schemas.openxmlformats.org/officeDocument/2006/relationships/hyperlink" Target="https://www.youtube.com/watch?v=kYUYXX5vdkU" TargetMode="External"/><Relationship Id="rId123" Type="http://schemas.openxmlformats.org/officeDocument/2006/relationships/hyperlink" Target="https://podcasts.apple.com/us/podcast/slay-the-spire-with-anthony-giovannetti/id1435365252?i=1000447140877" TargetMode="External"/><Relationship Id="rId330" Type="http://schemas.openxmlformats.org/officeDocument/2006/relationships/hyperlink" Target="https://www.facebook.com/DreamHack/videos/rogue-heroes-ruins-of-tasos-developers-explain-how-why-the-game-came-together-go/440879170356208/" TargetMode="External"/><Relationship Id="rId568" Type="http://schemas.openxmlformats.org/officeDocument/2006/relationships/hyperlink" Target="https://frozendepths.net/roguelike/info.php" TargetMode="External"/><Relationship Id="rId165" Type="http://schemas.openxmlformats.org/officeDocument/2006/relationships/hyperlink" Target="https://steamcommunity.com/app/681730/discussions/0/2132869574262194220/" TargetMode="External"/><Relationship Id="rId372" Type="http://schemas.openxmlformats.org/officeDocument/2006/relationships/hyperlink" Target="https://www.sohu.com/a/740136808_204824" TargetMode="External"/><Relationship Id="rId428" Type="http://schemas.openxmlformats.org/officeDocument/2006/relationships/hyperlink" Target="https://gamingbolt.com/gonner-interview-a-colorful-and-challenging-ride" TargetMode="External"/><Relationship Id="rId635" Type="http://schemas.openxmlformats.org/officeDocument/2006/relationships/hyperlink" Target="https://x.com/VoidmawGames/status/2024503993805000848?s=20" TargetMode="External"/><Relationship Id="rId232" Type="http://schemas.openxmlformats.org/officeDocument/2006/relationships/hyperlink" Target="https://store.epicgames.com/en-US/news/super-fantasy-kingdom-city-builder-next-vampire-survivors-obsession" TargetMode="External"/><Relationship Id="rId274" Type="http://schemas.openxmlformats.org/officeDocument/2006/relationships/hyperlink" Target="https://www.reddit.com/r/Games/comments/czn9i5/were_the_developers_of_atomicrops_an_action/" TargetMode="External"/><Relationship Id="rId481" Type="http://schemas.openxmlformats.org/officeDocument/2006/relationships/hyperlink" Target="https://www.polygon.com/ball-x-pit-review/" TargetMode="External"/><Relationship Id="rId27" Type="http://schemas.openxmlformats.org/officeDocument/2006/relationships/hyperlink" Target="https://www.youtube.com/watch?v=7SjRhK9wdEE" TargetMode="External"/><Relationship Id="rId69" Type="http://schemas.openxmlformats.org/officeDocument/2006/relationships/hyperlink" Target="https://www.reddit.com/r/IAmA/comments/4po4pn/i_am_the_developer_of_20xx_the_megaman_xinspired/" TargetMode="External"/><Relationship Id="rId134" Type="http://schemas.openxmlformats.org/officeDocument/2006/relationships/hyperlink" Target="https://steamcommunity.com/app/329970/discussions/0/620700960829035333/" TargetMode="External"/><Relationship Id="rId537" Type="http://schemas.openxmlformats.org/officeDocument/2006/relationships/hyperlink" Target="http://www.zincland.com/powder/?pagename=about" TargetMode="External"/><Relationship Id="rId579" Type="http://schemas.openxmlformats.org/officeDocument/2006/relationships/hyperlink" Target="https://www.youtube.com/watch?v=DASCE8BbvOI&amp;t=1s%20(Got%20to%20play%20the%20kickstarter%20version%20early)" TargetMode="External"/><Relationship Id="rId80" Type="http://schemas.openxmlformats.org/officeDocument/2006/relationships/hyperlink" Target="https://steamcommunity.com/app/1016730/discussions/0/1814296907961762044/" TargetMode="External"/><Relationship Id="rId176" Type="http://schemas.openxmlformats.org/officeDocument/2006/relationships/hyperlink" Target="https://store.steampowered.com/news/app/1434540/view/2939150821227809707" TargetMode="External"/><Relationship Id="rId341" Type="http://schemas.openxmlformats.org/officeDocument/2006/relationships/hyperlink" Target="https://creators.spotify.com/pod/show/the-indie-diarist/episodes/Indie-Diary-5-Enrique-Dryere-Triple-B-Titles---Creativity-as-Sacrifice--Secrets-of-Inspiration--DnD-and----Poker-e207m5b" TargetMode="External"/><Relationship Id="rId383" Type="http://schemas.openxmlformats.org/officeDocument/2006/relationships/hyperlink" Target="https://steamcommunity.com/app/1494560/discussions/0/4335355681660890217/" TargetMode="External"/><Relationship Id="rId439" Type="http://schemas.openxmlformats.org/officeDocument/2006/relationships/hyperlink" Target="https://www.reddit.com/r/NintendoSwitch/comments/8jv8rd/im_matt_bitner_sole_developer_of_a_robot_named/" TargetMode="External"/><Relationship Id="rId590" Type="http://schemas.openxmlformats.org/officeDocument/2006/relationships/hyperlink" Target="https://www.reddit.com/r/roguelikes/comments/1kanmof/crablike_an_underwater_dungeon_crawler/" TargetMode="External"/><Relationship Id="rId604" Type="http://schemas.openxmlformats.org/officeDocument/2006/relationships/hyperlink" Target="https://www.reddit.com/r/NintendoSwitch/comments/trax0e/hi_im_the_developer_of_for_the_warp_a_scifi/" TargetMode="External"/><Relationship Id="rId646" Type="http://schemas.openxmlformats.org/officeDocument/2006/relationships/hyperlink" Target="https://x.com/NadirTheGame/status/1585925975115702273?s=20" TargetMode="External"/><Relationship Id="rId201" Type="http://schemas.openxmlformats.org/officeDocument/2006/relationships/hyperlink" Target="https://www.reddit.com/r/roguelites/comments/xtr9td/tomorrow_we_have_a_huge_announcement_for/" TargetMode="External"/><Relationship Id="rId243" Type="http://schemas.openxmlformats.org/officeDocument/2006/relationships/hyperlink" Target="https://en.wikipedia.org/wiki/Vampire_Survivors" TargetMode="External"/><Relationship Id="rId285" Type="http://schemas.openxmlformats.org/officeDocument/2006/relationships/hyperlink" Target="http://www.roguelikeradio.com/2013/09/this-is-episode-80-of-roguelike-radio.html" TargetMode="External"/><Relationship Id="rId450" Type="http://schemas.openxmlformats.org/officeDocument/2006/relationships/hyperlink" Target="https://forums.tigsource.com/index.php?topic=41609.0" TargetMode="External"/><Relationship Id="rId506" Type="http://schemas.openxmlformats.org/officeDocument/2006/relationships/hyperlink" Target="https://youtu.be/HyhYA69y62c" TargetMode="External"/><Relationship Id="rId38" Type="http://schemas.openxmlformats.org/officeDocument/2006/relationships/hyperlink" Target="https://www.reddit.com/r/pcgaming/comments/1ix1kj1/we_are_the_developers_of_runeborn_a_dark_fantasy/" TargetMode="External"/><Relationship Id="rId103" Type="http://schemas.openxmlformats.org/officeDocument/2006/relationships/hyperlink" Target="https://www.reddit.com/r/Games/comments/1dbw5hw/dice_fold_tinymice_slay_the_spire_but_with_dice/" TargetMode="External"/><Relationship Id="rId310" Type="http://schemas.openxmlformats.org/officeDocument/2006/relationships/hyperlink" Target="https://www.reddit.com/r/pcgaming/comments/1f9y4d8/weve_been_making_our_totally_normal_coop_shooter/" TargetMode="External"/><Relationship Id="rId492" Type="http://schemas.openxmlformats.org/officeDocument/2006/relationships/hyperlink" Target="https://tonemadison.com/articles/whisker-squadron-survivor-takes-aim-at-its-pain-points/" TargetMode="External"/><Relationship Id="rId548" Type="http://schemas.openxmlformats.org/officeDocument/2006/relationships/hyperlink" Target="https://www.youtube.com/watch?v=mGVNTEOoBXc" TargetMode="External"/><Relationship Id="rId91" Type="http://schemas.openxmlformats.org/officeDocument/2006/relationships/hyperlink" Target="https://80.lv/articles/battle-shapers-how-blender-unity-helped-create-the-game-s-vibrant-world" TargetMode="External"/><Relationship Id="rId145" Type="http://schemas.openxmlformats.org/officeDocument/2006/relationships/hyperlink" Target="https://web.archive.org/web/20220130212105/https:/www.indiegameoftheweek.com/BeyondTheLongNight" TargetMode="External"/><Relationship Id="rId187" Type="http://schemas.openxmlformats.org/officeDocument/2006/relationships/hyperlink" Target="https://www.reddit.com/r/survivorslikes/comments/1jvtb6m/we_released_asgards_fall_on_steam/" TargetMode="External"/><Relationship Id="rId352" Type="http://schemas.openxmlformats.org/officeDocument/2006/relationships/hyperlink" Target="https://steamcommunity.com/app/2118810/discussions/1/3980680532379147080/" TargetMode="External"/><Relationship Id="rId394" Type="http://schemas.openxmlformats.org/officeDocument/2006/relationships/hyperlink" Target="https://www.shacknews.com/article/110700/undermine-dev-unearths-roguelike-rpg-info-in-interview" TargetMode="External"/><Relationship Id="rId408" Type="http://schemas.openxmlformats.org/officeDocument/2006/relationships/hyperlink" Target="https://en.wikipedia.org/wiki/Caveblazers" TargetMode="External"/><Relationship Id="rId615" Type="http://schemas.openxmlformats.org/officeDocument/2006/relationships/hyperlink" Target="https://x.com/brainoidgames/status/1925653290278121609" TargetMode="External"/><Relationship Id="rId212" Type="http://schemas.openxmlformats.org/officeDocument/2006/relationships/hyperlink" Target="https://www.rockpapershotgun.com/the-making-of-cobalt-core-how-tabletop-simulator-and-inscryption-were-the-secret-catalysts-behind-this-clever-deckbuilding-roguelike" TargetMode="External"/><Relationship Id="rId254" Type="http://schemas.openxmlformats.org/officeDocument/2006/relationships/hyperlink" Target="https://indiegraph.wordpress.com/2013/12/11/interview-with-the-creator-of-barony/" TargetMode="External"/><Relationship Id="rId657" Type="http://schemas.openxmlformats.org/officeDocument/2006/relationships/table" Target="../tables/table2.xml"/><Relationship Id="rId49" Type="http://schemas.openxmlformats.org/officeDocument/2006/relationships/hyperlink" Target="https://roguebasin.com/index.php/Labyrinth_of_Legendary_Loot" TargetMode="External"/><Relationship Id="rId114" Type="http://schemas.openxmlformats.org/officeDocument/2006/relationships/hyperlink" Target="https://www.youtube.com/watch?v=5fR9VYTfm2A&amp;t=1s" TargetMode="External"/><Relationship Id="rId296" Type="http://schemas.openxmlformats.org/officeDocument/2006/relationships/hyperlink" Target="https://roguebasin.com/index.php/Haque"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store.steampowered.com/news/app/3590290/view/508482584447025703" TargetMode="External"/><Relationship Id="rId559" Type="http://schemas.openxmlformats.org/officeDocument/2006/relationships/hyperlink" Target="https://www.youtube.com/watch?v=JXv8hQguGCI" TargetMode="External"/><Relationship Id="rId60" Type="http://schemas.openxmlformats.org/officeDocument/2006/relationships/hyperlink" Target="https://store.steampowered.com/app/3314790/CloverPit/" TargetMode="External"/><Relationship Id="rId156" Type="http://schemas.openxmlformats.org/officeDocument/2006/relationships/hyperlink" Target="https://store.steampowered.com/app/318230/Convoy/" TargetMode="External"/><Relationship Id="rId198" Type="http://schemas.openxmlformats.org/officeDocument/2006/relationships/hyperlink" Target="https://youtu.be/tGdbRTxu4Ew" TargetMode="External"/><Relationship Id="rId321" Type="http://schemas.openxmlformats.org/officeDocument/2006/relationships/hyperlink" Target="https://www.roguebasin.com/index.php/Sword_of_the_Stars:_The_Pit" TargetMode="External"/><Relationship Id="rId363" Type="http://schemas.openxmlformats.org/officeDocument/2006/relationships/hyperlink" Target="https://x.com/dieinthedungeon/status/1829950757699010949" TargetMode="External"/><Relationship Id="rId419" Type="http://schemas.openxmlformats.org/officeDocument/2006/relationships/hyperlink" Target="https://www.fanbyte.com/legacy/shovel-knight-dig-interview" TargetMode="External"/><Relationship Id="rId570" Type="http://schemas.openxmlformats.org/officeDocument/2006/relationships/hyperlink" Target="https://frozendepths.net/roguelike/info.php" TargetMode="External"/><Relationship Id="rId626" Type="http://schemas.openxmlformats.org/officeDocument/2006/relationships/hyperlink" Target="https://x.com/CLLC_studio/status/1925866594078453892" TargetMode="External"/><Relationship Id="rId223" Type="http://schemas.openxmlformats.org/officeDocument/2006/relationships/hyperlink" Target="https://www.reddit.com/r/Games/comments/vftn02/pawnbarian_j4nw_a_chessinspired_tactical_puzzle/" TargetMode="External"/><Relationship Id="rId430" Type="http://schemas.openxmlformats.org/officeDocument/2006/relationships/hyperlink" Target="https://www.patreon.com/roguempire/about" TargetMode="External"/><Relationship Id="rId18" Type="http://schemas.openxmlformats.org/officeDocument/2006/relationships/hyperlink" Target="https://www.reddit.com/r/IndieGaming/comments/1iooyqr/roguelike_autobattler_cute_creatures_what_do_you/" TargetMode="External"/><Relationship Id="rId265" Type="http://schemas.openxmlformats.org/officeDocument/2006/relationships/hyperlink" Target="https://www.gamedeveloper.com/design/making-a-case-for-short-games" TargetMode="External"/><Relationship Id="rId472" Type="http://schemas.openxmlformats.org/officeDocument/2006/relationships/hyperlink" Target="https://en.wikipedia.org/wiki/Baroque_(video_game)" TargetMode="External"/><Relationship Id="rId528" Type="http://schemas.openxmlformats.org/officeDocument/2006/relationships/hyperlink" Target="https://www.reddit.com/r/Games/comments/16x0fkk/shape_shifter_formations_castec_studios_an_action/" TargetMode="External"/><Relationship Id="rId125" Type="http://schemas.openxmlformats.org/officeDocument/2006/relationships/hyperlink" Target="https://www.gridsagegames.com/forums/index.php?topic=648.msg5316"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535480/discussions/0/1693785035806645807/" TargetMode="External"/><Relationship Id="rId374" Type="http://schemas.openxmlformats.org/officeDocument/2006/relationships/hyperlink" Target="https://youtu.be/VGMszILvj78" TargetMode="External"/><Relationship Id="rId581" Type="http://schemas.openxmlformats.org/officeDocument/2006/relationships/hyperlink" Target="https://www.gameskinny.com/culture/interview-with-colin-day-creator-of-rogue-wizards-and-founder-of-spellbind-studios/" TargetMode="External"/><Relationship Id="rId71" Type="http://schemas.openxmlformats.org/officeDocument/2006/relationships/hyperlink" Target="https://www.reddit.com/r/Games/comments/1syyjc8/ama_demon_lord_just_a_block_the_gridbased/" TargetMode="External"/><Relationship Id="rId234" Type="http://schemas.openxmlformats.org/officeDocument/2006/relationships/hyperlink" Target="https://www.roguebasin.com/index.php/I_Am_Overburdened" TargetMode="External"/><Relationship Id="rId637" Type="http://schemas.openxmlformats.org/officeDocument/2006/relationships/hyperlink" Target="https://gonintendo.com/contents/37637-tmnt-splintered-fate-devs-say-they-were-inspired-by-hades-dead-cells-and-more"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www.reddit.com/r/IndieGaming/comments/1pjdyue/bucket_list_item_complete_presenting_at_day_of/" TargetMode="External"/><Relationship Id="rId276" Type="http://schemas.openxmlformats.org/officeDocument/2006/relationships/hyperlink" Target="https://en.wikipedia.org/wiki/Enter_the_Gungeon" TargetMode="External"/><Relationship Id="rId441" Type="http://schemas.openxmlformats.org/officeDocument/2006/relationships/hyperlink" Target="https://steamcommunity.com/app/1734320/discussions/0/598515896185532848/" TargetMode="External"/><Relationship Id="rId483" Type="http://schemas.openxmlformats.org/officeDocument/2006/relationships/hyperlink" Target="https://www.reddit.com/r/IndieGaming/comments/1dnw8jb/been_working_on_an_experimental_survivorslike/" TargetMode="External"/><Relationship Id="rId539" Type="http://schemas.openxmlformats.org/officeDocument/2006/relationships/hyperlink" Target="http://www.zincland.com/powder/?pagename=about" TargetMode="External"/><Relationship Id="rId40" Type="http://schemas.openxmlformats.org/officeDocument/2006/relationships/hyperlink" Target="https://www.reddit.com/r/Games/comments/1giltps/sodaman_tape_corps_balatro_inspired_roguelite/" TargetMode="External"/><Relationship Id="rId136" Type="http://schemas.openxmlformats.org/officeDocument/2006/relationships/hyperlink" Target="https://store.epicgames.com/en-US/news/super-fantasy-kingdom-city-builder-next-vampire-survivors-obsession" TargetMode="External"/><Relationship Id="rId178" Type="http://schemas.openxmlformats.org/officeDocument/2006/relationships/hyperlink" Target="https://www.gamingfurever.com/news/editorials/brew-interview-with-ceo-of-snow-leaf-studios-isak-wahl" TargetMode="External"/><Relationship Id="rId301" Type="http://schemas.openxmlformats.org/officeDocument/2006/relationships/hyperlink" Target="https://screenrant.com/shape-of-dreams-eunseop-shim-interview/" TargetMode="External"/><Relationship Id="rId343" Type="http://schemas.openxmlformats.org/officeDocument/2006/relationships/hyperlink" Target="https://arcanium-rise-of-akhan.xsollasitebuilder.com/" TargetMode="External"/><Relationship Id="rId550" Type="http://schemas.openxmlformats.org/officeDocument/2006/relationships/hyperlink" Target="https://roguebasin.com/index.php?title=Wayward" TargetMode="External"/><Relationship Id="rId82" Type="http://schemas.openxmlformats.org/officeDocument/2006/relationships/hyperlink" Target="https://www.gamespress.com/Die-For-The-Lich-is-coming-to-Early-Access-on-November-10th-2025" TargetMode="External"/><Relationship Id="rId203" Type="http://schemas.openxmlformats.org/officeDocument/2006/relationships/hyperlink" Target="https://store.epicgames.com/en-US/news/super-fantasy-kingdom-city-builder-next-vampire-survivors-obsession" TargetMode="External"/><Relationship Id="rId385" Type="http://schemas.openxmlformats.org/officeDocument/2006/relationships/hyperlink" Target="https://forum.godotengine.org/t/seedborne-soldiers-an-auto-battler-roguelike-demo-now-available-on-steam/83974" TargetMode="External"/><Relationship Id="rId592" Type="http://schemas.openxmlformats.org/officeDocument/2006/relationships/hyperlink" Target="https://bigbossbattle.com/abandon-ship-interview-fireblade-softwares-gary-burchell/" TargetMode="External"/><Relationship Id="rId606" Type="http://schemas.openxmlformats.org/officeDocument/2006/relationships/hyperlink" Target="https://x.com/MirariRelics/status/2083184893182489017?s=20" TargetMode="External"/><Relationship Id="rId648" Type="http://schemas.openxmlformats.org/officeDocument/2006/relationships/hyperlink" Target="https://x.com/GrimorioG/status/1213196249509376001?s=20" TargetMode="External"/><Relationship Id="rId245" Type="http://schemas.openxmlformats.org/officeDocument/2006/relationships/hyperlink" Target="https://store.steampowered.com/app/3035330/Dicealot/" TargetMode="External"/><Relationship Id="rId287" Type="http://schemas.openxmlformats.org/officeDocument/2006/relationships/hyperlink" Target="https://www.reddit.com/r/roguelites/comments/1ic44r5/my_angry_bird_roguelike_is_finally_out_on_steam/" TargetMode="External"/><Relationship Id="rId410" Type="http://schemas.openxmlformats.org/officeDocument/2006/relationships/hyperlink" Target="https://www.reddit.com/r/Games/comments/2e7eti/hello_rgames_we_are_the_creators_of_the_roguelike/" TargetMode="External"/><Relationship Id="rId452" Type="http://schemas.openxmlformats.org/officeDocument/2006/relationships/hyperlink" Target="https://store.steampowered.com/app/2225960/Noobs_Are_Coming/" TargetMode="External"/><Relationship Id="rId494" Type="http://schemas.openxmlformats.org/officeDocument/2006/relationships/hyperlink" Target="https://www.reddit.com/r/playmygame/comments/sqb852/our_spellcasting_roguelike_abandoned_archive_now/" TargetMode="External"/><Relationship Id="rId508" Type="http://schemas.openxmlformats.org/officeDocument/2006/relationships/hyperlink" Target="https://youtu.be/HyhYA69y62c" TargetMode="External"/><Relationship Id="rId105" Type="http://schemas.openxmlformats.org/officeDocument/2006/relationships/hyperlink" Target="https://store.steampowered.com/app/3548520/DOG_WITCH/" TargetMode="External"/><Relationship Id="rId147" Type="http://schemas.openxmlformats.org/officeDocument/2006/relationships/hyperlink" Target="https://x.com/JFGamesPR/status/1803711115047625170" TargetMode="External"/><Relationship Id="rId312" Type="http://schemas.openxmlformats.org/officeDocument/2006/relationships/hyperlink" Target="https://roguebasin.com/index.php/Brogue" TargetMode="External"/><Relationship Id="rId354" Type="http://schemas.openxmlformats.org/officeDocument/2006/relationships/hyperlink" Target="https://store.steampowered.com/app/3035330/Dicealot/" TargetMode="External"/><Relationship Id="rId51" Type="http://schemas.openxmlformats.org/officeDocument/2006/relationships/hyperlink" Target="https://roguebasin.com/index.php/ROGUE-FP" TargetMode="External"/><Relationship Id="rId93" Type="http://schemas.openxmlformats.org/officeDocument/2006/relationships/hyperlink" Target="https://store.steampowered.com/app/465200/Fury_Unleashed/" TargetMode="External"/><Relationship Id="rId189" Type="http://schemas.openxmlformats.org/officeDocument/2006/relationships/hyperlink" Target="https://www.gamingfurever.com/news/editorials/brew-interview-with-ceo-of-snow-leaf-studios-isak-wahl" TargetMode="External"/><Relationship Id="rId396" Type="http://schemas.openxmlformats.org/officeDocument/2006/relationships/hyperlink" Target="https://youtu.be/VGMszILvj78" TargetMode="External"/><Relationship Id="rId561" Type="http://schemas.openxmlformats.org/officeDocument/2006/relationships/hyperlink" Target="https://www.youtube.com/watch?v=JXv8hQguGCI" TargetMode="External"/><Relationship Id="rId617" Type="http://schemas.openxmlformats.org/officeDocument/2006/relationships/hyperlink" Target="https://x.com/imgame_official/status/1925464077654249724" TargetMode="External"/><Relationship Id="rId214" Type="http://schemas.openxmlformats.org/officeDocument/2006/relationships/hyperlink" Target="https://steamcommunity.com/app/3585160/discussions/0/663844088186935277/" TargetMode="External"/><Relationship Id="rId256" Type="http://schemas.openxmlformats.org/officeDocument/2006/relationships/hyperlink" Target="https://www.roguebasin.com/index.php/Dragonslayer" TargetMode="External"/><Relationship Id="rId298" Type="http://schemas.openxmlformats.org/officeDocument/2006/relationships/hyperlink" Target="https://screenrant.com/shape-of-dreams-eunseop-shim-interview/" TargetMode="External"/><Relationship Id="rId421" Type="http://schemas.openxmlformats.org/officeDocument/2006/relationships/hyperlink" Target="https://youtu.be/zKQl9Xp3dxo" TargetMode="External"/><Relationship Id="rId463" Type="http://schemas.openxmlformats.org/officeDocument/2006/relationships/hyperlink" Target="https://www.emuglx.org/reportaze/interview/exclusive-switchcars-interview/" TargetMode="External"/><Relationship Id="rId519" Type="http://schemas.openxmlformats.org/officeDocument/2006/relationships/hyperlink" Target="https://store.steampowered.com/news/app/3372060/view/600783816474231378?l=english" TargetMode="External"/><Relationship Id="rId116" Type="http://schemas.openxmlformats.org/officeDocument/2006/relationships/hyperlink" Target="https://gamerant.com/lone-ruin-interview-roguelike-indie-game-design-inspirations-visuals-coding/" TargetMode="External"/><Relationship Id="rId158" Type="http://schemas.openxmlformats.org/officeDocument/2006/relationships/hyperlink" Target="https://medium.com/@alexiskennedy/q-a-with-alexis-kennedy-co-founder-of-weather-factory-dd35393c66f3" TargetMode="External"/><Relationship Id="rId323" Type="http://schemas.openxmlformats.org/officeDocument/2006/relationships/hyperlink" Target="https://en.wikipedia.org/wiki/Torneko%27s_Great_Adventure" TargetMode="External"/><Relationship Id="rId530" Type="http://schemas.openxmlformats.org/officeDocument/2006/relationships/hyperlink" Target="https://zenorogue.blogspot.com/search/label/sources" TargetMode="External"/><Relationship Id="rId20" Type="http://schemas.openxmlformats.org/officeDocument/2006/relationships/hyperlink" Target="https://youtu.be/DY-KwfFTU9g" TargetMode="External"/><Relationship Id="rId62" Type="http://schemas.openxmlformats.org/officeDocument/2006/relationships/hyperlink" Target="https://roguebasin.com/index.php/ZMAngband" TargetMode="External"/><Relationship Id="rId365" Type="http://schemas.openxmlformats.org/officeDocument/2006/relationships/hyperlink" Target="https://youtu.be/zLmdMjZtDs4" TargetMode="External"/><Relationship Id="rId572" Type="http://schemas.openxmlformats.org/officeDocument/2006/relationships/hyperlink" Target="https://x.com/tametick/status/1202248124221272064" TargetMode="External"/><Relationship Id="rId628" Type="http://schemas.openxmlformats.org/officeDocument/2006/relationships/hyperlink" Target="https://x.com/mumpitzgames/status/1925572756806017381" TargetMode="External"/><Relationship Id="rId225" Type="http://schemas.openxmlformats.org/officeDocument/2006/relationships/hyperlink" Target="https://www.reddit.com/r/IndieGaming/comments/1m9tpw9/a_whole_25_years_after_release_my_spellcrafting/" TargetMode="External"/><Relationship Id="rId267" Type="http://schemas.openxmlformats.org/officeDocument/2006/relationships/hyperlink" Target="http://www.roguelikeradio.com/2013/09/this-is-episode-80-of-roguelike-radio.html" TargetMode="External"/><Relationship Id="rId432" Type="http://schemas.openxmlformats.org/officeDocument/2006/relationships/hyperlink" Target="https://roguebasin.com/index.php/Labyrinth_of_Legendary_Loot" TargetMode="External"/><Relationship Id="rId474" Type="http://schemas.openxmlformats.org/officeDocument/2006/relationships/hyperlink" Target="https://www.youtube.com/watch?v=txv0XsRrFwo" TargetMode="External"/><Relationship Id="rId127" Type="http://schemas.openxmlformats.org/officeDocument/2006/relationships/hyperlink" Target="https://www.reddit.com/r/Games/comments/2osauc/hi_rgames_were_a_group_of_aaa_and_exaaa/" TargetMode="External"/><Relationship Id="rId31" Type="http://schemas.openxmlformats.org/officeDocument/2006/relationships/hyperlink" Target="https://codetheory.itch.io/lootplot-playtest" TargetMode="External"/><Relationship Id="rId73" Type="http://schemas.openxmlformats.org/officeDocument/2006/relationships/hyperlink" Target="https://www.nettosgameroom.com/2025/09/interview-with-team-tapas-creators-of.html" TargetMode="External"/><Relationship Id="rId169" Type="http://schemas.openxmlformats.org/officeDocument/2006/relationships/hyperlink" Target="https://screenrant.com/shape-of-dreams-eunseop-shim-interview/" TargetMode="External"/><Relationship Id="rId334" Type="http://schemas.openxmlformats.org/officeDocument/2006/relationships/hyperlink" Target="https://youtu.be/MgSjfLOYMXg" TargetMode="External"/><Relationship Id="rId376" Type="http://schemas.openxmlformats.org/officeDocument/2006/relationships/hyperlink" Target="https://youtu.be/lr9xu3YNwZE" TargetMode="External"/><Relationship Id="rId541" Type="http://schemas.openxmlformats.org/officeDocument/2006/relationships/hyperlink" Target="https://roguebasin.com/index.php?title=Diablo" TargetMode="External"/><Relationship Id="rId583" Type="http://schemas.openxmlformats.org/officeDocument/2006/relationships/hyperlink" Target="https://youtu.be/j6rOHgGxdHY" TargetMode="External"/><Relationship Id="rId639" Type="http://schemas.openxmlformats.org/officeDocument/2006/relationships/hyperlink" Target="https://x.com/AnAmazingWizard/status/1489554155597352962?s=20" TargetMode="External"/><Relationship Id="rId4" Type="http://schemas.openxmlformats.org/officeDocument/2006/relationships/hyperlink" Target="https://roguebasin.com/index.php/LambdaRogue" TargetMode="External"/><Relationship Id="rId180" Type="http://schemas.openxmlformats.org/officeDocument/2006/relationships/hyperlink" Target="https://rogueliker.com/vellum-inspirations/" TargetMode="External"/><Relationship Id="rId236" Type="http://schemas.openxmlformats.org/officeDocument/2006/relationships/hyperlink" Target="https://www.reddit.com/r/indiegames/comments/1b21ga6/we_are_developing_a_strategy_deckbuilding_game/" TargetMode="External"/><Relationship Id="rId278" Type="http://schemas.openxmlformats.org/officeDocument/2006/relationships/hyperlink" Target="http://www.roguelikeradio.com/2019/02/episode-151-haque.html" TargetMode="External"/><Relationship Id="rId401" Type="http://schemas.openxmlformats.org/officeDocument/2006/relationships/hyperlink" Target="https://www.reddit.com/r/Games/comments/r4a4sv/words_can_kill_typing_monkey_slay_the_spire/" TargetMode="External"/><Relationship Id="rId443" Type="http://schemas.openxmlformats.org/officeDocument/2006/relationships/hyperlink" Target="https://conanchopchop.fandom.com/wiki/Conan_Chop_Chop" TargetMode="External"/><Relationship Id="rId650" Type="http://schemas.openxmlformats.org/officeDocument/2006/relationships/hyperlink" Target="https://bsky.app/profile/dphrygian.com/post/3mgga4hmbg22r" TargetMode="External"/><Relationship Id="rId303" Type="http://schemas.openxmlformats.org/officeDocument/2006/relationships/hyperlink" Target="https://steamcommunity.com/app/1425000/discussions/0/595137684887848950/" TargetMode="External"/><Relationship Id="rId485" Type="http://schemas.openxmlformats.org/officeDocument/2006/relationships/hyperlink" Target="https://store.steampowered.com/app/2218400/Greedland/" TargetMode="External"/><Relationship Id="rId42" Type="http://schemas.openxmlformats.org/officeDocument/2006/relationships/hyperlink" Target="https://store.steampowered.com/app/3333700/The_Royal_Writ/" TargetMode="External"/><Relationship Id="rId84" Type="http://schemas.openxmlformats.org/officeDocument/2006/relationships/hyperlink" Target="https://www.youtube.com/watch?v=ZqMZqQ-wrko" TargetMode="External"/><Relationship Id="rId138" Type="http://schemas.openxmlformats.org/officeDocument/2006/relationships/hyperlink" Target="https://youtu.be/-I__TxhbQgw" TargetMode="External"/><Relationship Id="rId345" Type="http://schemas.openxmlformats.org/officeDocument/2006/relationships/hyperlink" Target="https://www.reddit.com/r/roguelites/comments/1ic44r5/my_angry_bird_roguelike_is_finally_out_on_steam/" TargetMode="External"/><Relationship Id="rId387" Type="http://schemas.openxmlformats.org/officeDocument/2006/relationships/hyperlink" Target="https://www.reddit.com/r/slaythespire/comments/1g25q6g/design_lessons_from_sts_or_how_i_got_inspired_to/" TargetMode="External"/><Relationship Id="rId510" Type="http://schemas.openxmlformats.org/officeDocument/2006/relationships/hyperlink" Target="https://youtu.be/HyhYA69y62c" TargetMode="External"/><Relationship Id="rId552" Type="http://schemas.openxmlformats.org/officeDocument/2006/relationships/hyperlink" Target="https://steamcommunity.com/app/1823390/discussions/2/6893400166994423780/" TargetMode="External"/><Relationship Id="rId594" Type="http://schemas.openxmlformats.org/officeDocument/2006/relationships/hyperlink" Target="https://www.roguebasin.com/index.php/Cthangband" TargetMode="External"/><Relationship Id="rId608" Type="http://schemas.openxmlformats.org/officeDocument/2006/relationships/hyperlink" Target="https://x.com/sparklewing925/status/1926056500113346640" TargetMode="External"/><Relationship Id="rId191" Type="http://schemas.openxmlformats.org/officeDocument/2006/relationships/hyperlink" Target="https://filipmagnuswrites.wordpress.com/2023/12/07/in-the-oven-death-must-die-is-a-love-letter-to-your-favourite-games/" TargetMode="External"/><Relationship Id="rId205" Type="http://schemas.openxmlformats.org/officeDocument/2006/relationships/hyperlink" Target="https://www.reddit.com/r/Games/comments/w6vkdf/tape_to_tape_a_roguelite_hockey_game/" TargetMode="External"/><Relationship Id="rId247" Type="http://schemas.openxmlformats.org/officeDocument/2006/relationships/hyperlink" Target="https://store.steampowered.com/app/3333700/The_Royal_Writ/" TargetMode="External"/><Relationship Id="rId412" Type="http://schemas.openxmlformats.org/officeDocument/2006/relationships/hyperlink" Target="https://www.reddit.com/r/IndieGaming/comments/1pji5gu/dunjungle_the_monkey_action_roguelite_is_out_on/" TargetMode="External"/><Relationship Id="rId107" Type="http://schemas.openxmlformats.org/officeDocument/2006/relationships/hyperlink" Target="https://store.steampowered.com/news/app/2187290/view/3683427098080954737" TargetMode="External"/><Relationship Id="rId289" Type="http://schemas.openxmlformats.org/officeDocument/2006/relationships/hyperlink" Target="https://store.steampowered.com/app/2902440/Steves_Warehouse_Physics_Roguelike_Chaos/" TargetMode="External"/><Relationship Id="rId454" Type="http://schemas.openxmlformats.org/officeDocument/2006/relationships/hyperlink" Target="https://youtu.be/lr9xu3YNwZE" TargetMode="External"/><Relationship Id="rId496" Type="http://schemas.openxmlformats.org/officeDocument/2006/relationships/hyperlink" Target="https://roguebasin.com/index.php/PernAngband" TargetMode="External"/><Relationship Id="rId11" Type="http://schemas.openxmlformats.org/officeDocument/2006/relationships/hyperlink" Target="https://roguebasin.com/index.php/The_Ground_Gives_Way" TargetMode="External"/><Relationship Id="rId53" Type="http://schemas.openxmlformats.org/officeDocument/2006/relationships/hyperlink" Target="https://www.youtube.com/watch?v=G8e_zxWb3QA" TargetMode="External"/><Relationship Id="rId149" Type="http://schemas.openxmlformats.org/officeDocument/2006/relationships/hyperlink" Target="https://www.reddit.com/r/Games/comments/ziyl7m/this_is_alchemy_sheep_the_studio_behind_a/" TargetMode="External"/><Relationship Id="rId314" Type="http://schemas.openxmlformats.org/officeDocument/2006/relationships/hyperlink" Target="https://www.reddit.com/r/Games/comments/2e7eti/hello_rgames_we_are_the_creators_of_the_roguelike/" TargetMode="External"/><Relationship Id="rId356" Type="http://schemas.openxmlformats.org/officeDocument/2006/relationships/hyperlink" Target="https://store.steampowered.com/app/3035330/Dicealot/" TargetMode="External"/><Relationship Id="rId398" Type="http://schemas.openxmlformats.org/officeDocument/2006/relationships/hyperlink" Target="https://mcvuk.com/business-news/when-we-made-wildfrost/" TargetMode="External"/><Relationship Id="rId521" Type="http://schemas.openxmlformats.org/officeDocument/2006/relationships/hyperlink" Target="https://www.indie-games.eu/hell-maiden-touhou-meets-vampire-survivors-interview/" TargetMode="External"/><Relationship Id="rId563" Type="http://schemas.openxmlformats.org/officeDocument/2006/relationships/hyperlink" Target="https://www.youtube.com/watch?v=xsmbVWflwpw" TargetMode="External"/><Relationship Id="rId619" Type="http://schemas.openxmlformats.org/officeDocument/2006/relationships/hyperlink" Target="https://x.com/imgame_official/status/1925464077654249724" TargetMode="External"/><Relationship Id="rId95" Type="http://schemas.openxmlformats.org/officeDocument/2006/relationships/hyperlink" Target="https://noisypixel.net/metal-unit-interview-waifus-2d-action-felix-soumpholphakdy/" TargetMode="External"/><Relationship Id="rId160" Type="http://schemas.openxmlformats.org/officeDocument/2006/relationships/hyperlink" Target="https://www.pcgamer.com/turn-based-roguelike-deep-sky-derelicts-channels-darkest-dungeon-in-space/" TargetMode="External"/><Relationship Id="rId216" Type="http://schemas.openxmlformats.org/officeDocument/2006/relationships/hyperlink" Target="https://pokevoid.com/" TargetMode="External"/><Relationship Id="rId423" Type="http://schemas.openxmlformats.org/officeDocument/2006/relationships/hyperlink" Target="https://www.emuglx.org/reportaze/interview/exclusive-switchcars-interview/" TargetMode="External"/><Relationship Id="rId258" Type="http://schemas.openxmlformats.org/officeDocument/2006/relationships/hyperlink" Target="https://darkrpgs.home.blog/2019/03/08/interview-with-miro-haverinen-the-creator-of-the-dark-rpg-fear-hunger/" TargetMode="External"/><Relationship Id="rId465" Type="http://schemas.openxmlformats.org/officeDocument/2006/relationships/hyperlink" Target="https://www.terribleposture.com/tower-of-guns/" TargetMode="External"/><Relationship Id="rId630" Type="http://schemas.openxmlformats.org/officeDocument/2006/relationships/hyperlink" Target="https://x.com/mumpitzgames/status/1925572756806017381" TargetMode="External"/><Relationship Id="rId22" Type="http://schemas.openxmlformats.org/officeDocument/2006/relationships/hyperlink" Target="https://steamcommunity.com/app/1494560/discussions/0/4335355681660890217/" TargetMode="External"/><Relationship Id="rId64" Type="http://schemas.openxmlformats.org/officeDocument/2006/relationships/hyperlink" Target="https://roguebasin.com/index.php/CataclysmDDA" TargetMode="External"/><Relationship Id="rId118" Type="http://schemas.openxmlformats.org/officeDocument/2006/relationships/hyperlink" Target="https://steamcommunity.com/app/616000/discussions/0/1319962663550892419/" TargetMode="External"/><Relationship Id="rId325" Type="http://schemas.openxmlformats.org/officeDocument/2006/relationships/hyperlink" Target="https://youtu.be/0MY03yNkuFI" TargetMode="External"/><Relationship Id="rId367" Type="http://schemas.openxmlformats.org/officeDocument/2006/relationships/hyperlink" Target="https://twotinydice.itch.io/forward/devlog/355393/development-update-2-new-game-mode-cool-features" TargetMode="External"/><Relationship Id="rId532" Type="http://schemas.openxmlformats.org/officeDocument/2006/relationships/hyperlink" Target="https://zenorogue.blogspot.com/search/label/sources" TargetMode="External"/><Relationship Id="rId574" Type="http://schemas.openxmlformats.org/officeDocument/2006/relationships/hyperlink" Target="https://www.roguelikeradio.com/2011/10/interview-with-ido-yehieli.html" TargetMode="External"/><Relationship Id="rId171" Type="http://schemas.openxmlformats.org/officeDocument/2006/relationships/hyperlink" Target="https://medium.com/@alexiskennedy/q-a-with-alexis-kennedy-co-founder-of-weather-factory-dd35393c66f3" TargetMode="External"/><Relationship Id="rId227" Type="http://schemas.openxmlformats.org/officeDocument/2006/relationships/hyperlink" Target="https://www.reddit.com/r/Games/comments/10uappd/the_ouroboros_king_oriol_cosp_chess_based/" TargetMode="External"/><Relationship Id="rId269" Type="http://schemas.openxmlformats.org/officeDocument/2006/relationships/hyperlink" Target="https://www.sohu.com/a/740136808_204824" TargetMode="External"/><Relationship Id="rId434" Type="http://schemas.openxmlformats.org/officeDocument/2006/relationships/hyperlink" Target="https://forum.godotengine.org/t/seedborne-soldiers-an-auto-battler-roguelike-demo-now-available-on-steam/83974" TargetMode="External"/><Relationship Id="rId476" Type="http://schemas.openxmlformats.org/officeDocument/2006/relationships/hyperlink" Target="https://store.steampowered.com/app/2102320/MISTROGUE_Mist_and_the_Living_Dungeons/" TargetMode="External"/><Relationship Id="rId641" Type="http://schemas.openxmlformats.org/officeDocument/2006/relationships/hyperlink" Target="https://x.com/AnAmazingWizard/status/1489554155597352962?s=20" TargetMode="External"/><Relationship Id="rId33" Type="http://schemas.openxmlformats.org/officeDocument/2006/relationships/hyperlink" Target="https://store.steampowered.com/app/3205380/Omelet_You_Cook/" TargetMode="External"/><Relationship Id="rId129" Type="http://schemas.openxmlformats.org/officeDocument/2006/relationships/hyperlink" Target="https://www.gamedeveloper.com/game-platforms/eugene-paik-talks-about-vagante-a-roguelite-8-years-in-the-making" TargetMode="External"/><Relationship Id="rId280" Type="http://schemas.openxmlformats.org/officeDocument/2006/relationships/hyperlink" Target="https://www.reddit.com/r/Games/comments/ziyl7m/this_is_alchemy_sheep_the_studio_behind_a/" TargetMode="External"/><Relationship Id="rId336" Type="http://schemas.openxmlformats.org/officeDocument/2006/relationships/hyperlink" Target="https://steamcommunity.com/app/242680/discussions/0/648811852292061582/" TargetMode="External"/><Relationship Id="rId501" Type="http://schemas.openxmlformats.org/officeDocument/2006/relationships/hyperlink" Target="https://www.youtube.com/watch?v=9MTnAtXsJn0" TargetMode="External"/><Relationship Id="rId543" Type="http://schemas.openxmlformats.org/officeDocument/2006/relationships/hyperlink" Target="http://www.zincland.com/powder/?pagename=about" TargetMode="External"/><Relationship Id="rId75" Type="http://schemas.openxmlformats.org/officeDocument/2006/relationships/hyperlink" Target="https://www.reddit.com/r/IndieGaming/comments/evnabb/a_short_impression_of_insurmountable_our_new_game/" TargetMode="External"/><Relationship Id="rId140" Type="http://schemas.openxmlformats.org/officeDocument/2006/relationships/hyperlink" Target="https://roguebasin.com/index.php/Wayward" TargetMode="External"/><Relationship Id="rId182" Type="http://schemas.openxmlformats.org/officeDocument/2006/relationships/hyperlink" Target="https://roguebasin.com/index.php/Slaves_to_Armok_II:_Dwarf_Fortress" TargetMode="External"/><Relationship Id="rId378" Type="http://schemas.openxmlformats.org/officeDocument/2006/relationships/hyperlink" Target="https://en.wikipedia.org/wiki/Peglin" TargetMode="External"/><Relationship Id="rId403" Type="http://schemas.openxmlformats.org/officeDocument/2006/relationships/hyperlink" Target="https://forum.gamemaker.io/index.php?threads/cats-dice-a-big-number-dice-building-roguelike-inspired-by-games-such-as-balatro-and-slice-dice.114871/" TargetMode="External"/><Relationship Id="rId585" Type="http://schemas.openxmlformats.org/officeDocument/2006/relationships/hyperlink" Target="https://steamcommunity.com/app/225280/discussions/0/846961716374404705/" TargetMode="External"/><Relationship Id="rId6" Type="http://schemas.openxmlformats.org/officeDocument/2006/relationships/hyperlink" Target="https://x.com/ArturSmiarowski/status/1870390372389597210" TargetMode="External"/><Relationship Id="rId238" Type="http://schemas.openxmlformats.org/officeDocument/2006/relationships/hyperlink" Target="https://store.steampowered.com/app/3205380/Omelet_You_Cook/" TargetMode="External"/><Relationship Id="rId445" Type="http://schemas.openxmlformats.org/officeDocument/2006/relationships/hyperlink" Target="https://x.com/2_left_thumbs/status/1625686255093813249?s=20" TargetMode="External"/><Relationship Id="rId487" Type="http://schemas.openxmlformats.org/officeDocument/2006/relationships/hyperlink" Target="https://store.steampowered.com/news/app/2934220/view/698764742929416235?l=english" TargetMode="External"/><Relationship Id="rId610" Type="http://schemas.openxmlformats.org/officeDocument/2006/relationships/hyperlink" Target="https://x.com/sparklewing925/status/1926056500113346640" TargetMode="External"/><Relationship Id="rId652" Type="http://schemas.openxmlformats.org/officeDocument/2006/relationships/hyperlink" Target="https://x.com/MasksOfTheVoid/status/2084174185505448157?s=20" TargetMode="External"/><Relationship Id="rId291" Type="http://schemas.openxmlformats.org/officeDocument/2006/relationships/hyperlink" Target="https://www.reddit.com/r/indiegames/comments/1kfcwzq/i_worked_4_years_fulltime_on_my_dream_game/" TargetMode="External"/><Relationship Id="rId305" Type="http://schemas.openxmlformats.org/officeDocument/2006/relationships/hyperlink" Target="https://youtu.be/GWc7QppCPHM" TargetMode="External"/><Relationship Id="rId347" Type="http://schemas.openxmlformats.org/officeDocument/2006/relationships/hyperlink" Target="https://indiecator.org/2022/09/26/astrea-six-sided-oracles-interview/" TargetMode="External"/><Relationship Id="rId512" Type="http://schemas.openxmlformats.org/officeDocument/2006/relationships/hyperlink" Target="https://caifuhao.eastmoney.com/news/20260725235351583816280" TargetMode="External"/><Relationship Id="rId44" Type="http://schemas.openxmlformats.org/officeDocument/2006/relationships/hyperlink" Target="https://www.youtube.com/watch?v=cjh1J2AuT_4" TargetMode="External"/><Relationship Id="rId86" Type="http://schemas.openxmlformats.org/officeDocument/2006/relationships/hyperlink" Target="https://shogunshowdown.wiki.gg/wiki/Shogun_Showdown" TargetMode="External"/><Relationship Id="rId151" Type="http://schemas.openxmlformats.org/officeDocument/2006/relationships/hyperlink" Target="https://www.gamedeveloper.com/design/ram-random-access-mayhem-s-body-swapping-mechanic-was-born-from-challenges-playing-roguelikes" TargetMode="External"/><Relationship Id="rId389" Type="http://schemas.openxmlformats.org/officeDocument/2006/relationships/hyperlink" Target="https://steamcommunity.com/app/1199030/discussions/0/5011908545188375361/?ctp=2" TargetMode="External"/><Relationship Id="rId554" Type="http://schemas.openxmlformats.org/officeDocument/2006/relationships/hyperlink" Target="https://steamcommunity.com/app/1823390/discussions/2/6893400166994423780/" TargetMode="External"/><Relationship Id="rId596" Type="http://schemas.openxmlformats.org/officeDocument/2006/relationships/hyperlink" Target="https://www.shadowofthewyrm.org/about.html" TargetMode="External"/><Relationship Id="rId193" Type="http://schemas.openxmlformats.org/officeDocument/2006/relationships/hyperlink" Target="https://www.reddit.com/r/IndieGaming/comments/1pji5gu/dunjungle_the_monkey_action_roguelite_is_out_on/" TargetMode="External"/><Relationship Id="rId207" Type="http://schemas.openxmlformats.org/officeDocument/2006/relationships/hyperlink" Target="https://rogueliker.com/vellum-inspirations/" TargetMode="External"/><Relationship Id="rId249" Type="http://schemas.openxmlformats.org/officeDocument/2006/relationships/hyperlink" Target="https://www.reddit.com/r/pcgaming/comments/1p30oqw/were_big_distraction_an_indie_studio_founded_by/" TargetMode="External"/><Relationship Id="rId414" Type="http://schemas.openxmlformats.org/officeDocument/2006/relationships/hyperlink" Target="https://monstervine.com/ic/IC-LR-Interview.mp3" TargetMode="External"/><Relationship Id="rId456" Type="http://schemas.openxmlformats.org/officeDocument/2006/relationships/hyperlink" Target="https://youtu.be/G_Oc86mFc8A" TargetMode="External"/><Relationship Id="rId498" Type="http://schemas.openxmlformats.org/officeDocument/2006/relationships/hyperlink" Target="https://rogueliker.com/vellum-inspirations/" TargetMode="External"/><Relationship Id="rId621" Type="http://schemas.openxmlformats.org/officeDocument/2006/relationships/hyperlink" Target="https://x.com/Nitrome/status/931133911408828421?s=20" TargetMode="External"/><Relationship Id="rId13" Type="http://schemas.openxmlformats.org/officeDocument/2006/relationships/hyperlink" Target="https://roguebasin.com/index.php/ZMAngband" TargetMode="External"/><Relationship Id="rId109" Type="http://schemas.openxmlformats.org/officeDocument/2006/relationships/hyperlink" Target="https://en.wikipedia.org/wiki/Road_Not_Taken" TargetMode="External"/><Relationship Id="rId260" Type="http://schemas.openxmlformats.org/officeDocument/2006/relationships/hyperlink" Target="https://roguebasin.com/index.php/LambdaRogue" TargetMode="External"/><Relationship Id="rId316" Type="http://schemas.openxmlformats.org/officeDocument/2006/relationships/hyperlink" Target="https://www.reddit.com/r/gamedev/comments/o8bzkt/one_year_into_early_access_for_golden_light_lets/" TargetMode="External"/><Relationship Id="rId523" Type="http://schemas.openxmlformats.org/officeDocument/2006/relationships/hyperlink" Target="https://www.youtube.com/watch?v=dfLSGkKC2ug" TargetMode="External"/><Relationship Id="rId55" Type="http://schemas.openxmlformats.org/officeDocument/2006/relationships/hyperlink" Target="https://gamingtrend.com/previews/little-angels-maid-survivors-preview-playx4-a-brotato-esque-horde-survival-game-with-anime-packaging-and-evolutions-to-the-genre/" TargetMode="External"/><Relationship Id="rId97" Type="http://schemas.openxmlformats.org/officeDocument/2006/relationships/hyperlink" Target="https://www.reddit.com/r/roguelites/comments/m2341u/space_gladiators_my_isaac_inspired_grotesque/" TargetMode="External"/><Relationship Id="rId120" Type="http://schemas.openxmlformats.org/officeDocument/2006/relationships/hyperlink" Target="https://www.polygon.com/pc/2019/4/7/18299068/dicey-dungeons-terry-cavanagh-gdc-preview" TargetMode="External"/><Relationship Id="rId358" Type="http://schemas.openxmlformats.org/officeDocument/2006/relationships/hyperlink" Target="https://steamcommunity.com/app/1016730/discussions/0/1814296907961762044/" TargetMode="External"/><Relationship Id="rId565" Type="http://schemas.openxmlformats.org/officeDocument/2006/relationships/hyperlink" Target="https://www.youtube.com/watch?v=xsmbVWflwpw" TargetMode="External"/><Relationship Id="rId162" Type="http://schemas.openxmlformats.org/officeDocument/2006/relationships/hyperlink" Target="https://switchplayer.net/2017/05/08/grabbing-a-frozenbyte-with-some-has-been-heroes/" TargetMode="External"/><Relationship Id="rId218" Type="http://schemas.openxmlformats.org/officeDocument/2006/relationships/hyperlink" Target="https://store.steampowered.com/app/1668690/Alina_of_the_Arena/" TargetMode="External"/><Relationship Id="rId425" Type="http://schemas.openxmlformats.org/officeDocument/2006/relationships/hyperlink" Target="https://www.reddit.com/r/roguelikes/comments/5zi6kq/y&#333;danji_coffeebreak_mobile_roguelike_themed_after/" TargetMode="External"/><Relationship Id="rId467" Type="http://schemas.openxmlformats.org/officeDocument/2006/relationships/hyperlink" Target="https://www.shacknews.com/article/110700/undermine-dev-unearths-roguelike-rpg-info-in-interview" TargetMode="External"/><Relationship Id="rId632" Type="http://schemas.openxmlformats.org/officeDocument/2006/relationships/hyperlink" Target="https://x.com/Mudita_Games/status/1988179400454500794" TargetMode="External"/><Relationship Id="rId271" Type="http://schemas.openxmlformats.org/officeDocument/2006/relationships/hyperlink" Target="https://youtu.be/3C_nZPTNy4E" TargetMode="External"/><Relationship Id="rId24" Type="http://schemas.openxmlformats.org/officeDocument/2006/relationships/hyperlink" Target="https://forum.gamemaker.io/index.php?threads/cats-dice-a-big-number-dice-building-roguelike-inspired-by-games-such-as-balatro-and-slice-dice.114871/" TargetMode="External"/><Relationship Id="rId66" Type="http://schemas.openxmlformats.org/officeDocument/2006/relationships/hyperlink" Target="https://steamcommunity.com/app/1519490/discussions/0/5456682769556329213/" TargetMode="External"/><Relationship Id="rId131" Type="http://schemas.openxmlformats.org/officeDocument/2006/relationships/hyperlink" Target="https://www.reddit.com/r/Games/comments/7ukbl1/im_the_lead_developer_of_tangledeep_a_roguelike/" TargetMode="External"/><Relationship Id="rId327" Type="http://schemas.openxmlformats.org/officeDocument/2006/relationships/hyperlink" Target="https://store.steampowered.com/app/465200/Fury_Unleashed/" TargetMode="External"/><Relationship Id="rId369" Type="http://schemas.openxmlformats.org/officeDocument/2006/relationships/hyperlink" Target="https://iratus.org/faq" TargetMode="External"/><Relationship Id="rId534" Type="http://schemas.openxmlformats.org/officeDocument/2006/relationships/hyperlink" Target="https://zenorogue.blogspot.com/search/label/sources" TargetMode="External"/><Relationship Id="rId576" Type="http://schemas.openxmlformats.org/officeDocument/2006/relationships/hyperlink" Target="https://steamcommunity.com/app/371430/discussions/0/494631967651210890/" TargetMode="External"/><Relationship Id="rId173" Type="http://schemas.openxmlformats.org/officeDocument/2006/relationships/hyperlink" Target="https://youtu.be/X_7TB97jCug%20&amp;%20check%20folder" TargetMode="External"/><Relationship Id="rId229" Type="http://schemas.openxmlformats.org/officeDocument/2006/relationships/hyperlink" Target="https://steamcommunity.com/app/2821800/discussions/0/4346617656894336061/" TargetMode="External"/><Relationship Id="rId380" Type="http://schemas.openxmlformats.org/officeDocument/2006/relationships/hyperlink" Target="https://pokevoid.com/" TargetMode="External"/><Relationship Id="rId436" Type="http://schemas.openxmlformats.org/officeDocument/2006/relationships/hyperlink" Target="https://youtu.be/DY-KwfFTU9g" TargetMode="External"/><Relationship Id="rId601" Type="http://schemas.openxmlformats.org/officeDocument/2006/relationships/hyperlink" Target="https://steamcommunity.com/app/3088070/discussions/0/562532756309055685/" TargetMode="External"/><Relationship Id="rId643" Type="http://schemas.openxmlformats.org/officeDocument/2006/relationships/hyperlink" Target="https://x.com/studio_goblinz/status/1703121970680807815?s=20" TargetMode="External"/><Relationship Id="rId240" Type="http://schemas.openxmlformats.org/officeDocument/2006/relationships/hyperlink" Target="https://www.kxan.com/business/press-releases/ein-presswire/785406016/idream-interactive-unveils-runeborn-a-dark-fantasy-roguelike-deckbuilder-at-steam-next-fest/" TargetMode="External"/><Relationship Id="rId478" Type="http://schemas.openxmlformats.org/officeDocument/2006/relationships/hyperlink" Target="https://www.youtube.com/watch?v=txv0XsRrFwo" TargetMode="External"/><Relationship Id="rId35" Type="http://schemas.openxmlformats.org/officeDocument/2006/relationships/hyperlink" Target="https://store.steampowered.com/app/2797650/Pip_My_Dice/" TargetMode="External"/><Relationship Id="rId77" Type="http://schemas.openxmlformats.org/officeDocument/2006/relationships/hyperlink" Target="https://www.reddit.com/r/pcgaming/comments/1kxi8ze/as_we_descend_strategy_roguelike_deckbuilder/" TargetMode="External"/><Relationship Id="rId100" Type="http://schemas.openxmlformats.org/officeDocument/2006/relationships/hyperlink" Target="https://youtu.be/VGMszILvj78" TargetMode="External"/><Relationship Id="rId282" Type="http://schemas.openxmlformats.org/officeDocument/2006/relationships/hyperlink" Target="https://www.gamedeveloper.com/design/ram-random-access-mayhem-s-body-swapping-mechanic-was-born-from-challenges-playing-roguelikes" TargetMode="External"/><Relationship Id="rId338" Type="http://schemas.openxmlformats.org/officeDocument/2006/relationships/hyperlink" Target="https://rogueliker.com/realm-of-ink-interview/" TargetMode="External"/><Relationship Id="rId503" Type="http://schemas.openxmlformats.org/officeDocument/2006/relationships/hyperlink" Target="https://www.reddit.com/r/deckbuildingroguelike/comments/1qszp8o/runeveil_sts_meets_balatro_is_on_steam/" TargetMode="External"/><Relationship Id="rId545" Type="http://schemas.openxmlformats.org/officeDocument/2006/relationships/hyperlink" Target="https://www.w4games.com/blog/w4-games-news-1/interview-with-chasing-carrots-developer-of-halls-of-torment-120" TargetMode="External"/><Relationship Id="rId587" Type="http://schemas.openxmlformats.org/officeDocument/2006/relationships/hyperlink" Target="https://store.steampowered.com/app/2113040/RUNGORE/" TargetMode="External"/><Relationship Id="rId8" Type="http://schemas.openxmlformats.org/officeDocument/2006/relationships/hyperlink" Target="https://www.kickstarter.com/projects/1926605606/stoneshard-open-world-roguelike-rpg-with-tactical" TargetMode="External"/><Relationship Id="rId142" Type="http://schemas.openxmlformats.org/officeDocument/2006/relationships/hyperlink" Target="https://www.reddit.com/r/playmygame/comments/sqb852/our_spellcasting_roguelike_abandoned_archive_now/" TargetMode="External"/><Relationship Id="rId184" Type="http://schemas.openxmlformats.org/officeDocument/2006/relationships/hyperlink" Target="https://roguebasin.com/index.php/GearHead_Caramel" TargetMode="External"/><Relationship Id="rId391" Type="http://schemas.openxmlformats.org/officeDocument/2006/relationships/hyperlink" Target="https://store.steampowered.com/app/3035330/Dicealot/" TargetMode="External"/><Relationship Id="rId405" Type="http://schemas.openxmlformats.org/officeDocument/2006/relationships/hyperlink" Target="https://gamerant.com/lone-ruin-interview-roguelike-indie-game-design-inspirations-visuals-coding/" TargetMode="External"/><Relationship Id="rId447" Type="http://schemas.openxmlformats.org/officeDocument/2006/relationships/hyperlink" Target="https://switchplayer.net/2017/05/08/grabbing-a-frozenbyte-with-some-has-been-heroes/" TargetMode="External"/><Relationship Id="rId612" Type="http://schemas.openxmlformats.org/officeDocument/2006/relationships/hyperlink" Target="https://www.reddit.com/r/iosgaming/comments/1hjehh9/lost_for_swords_a_dungeon_crawler_focusing_on/" TargetMode="External"/><Relationship Id="rId251" Type="http://schemas.openxmlformats.org/officeDocument/2006/relationships/hyperlink" Target="https://www.reddit.com/r/roguelikes/comments/1iyzkws/house_of_necrosis_demo_is_out_now_on_steam/" TargetMode="External"/><Relationship Id="rId489" Type="http://schemas.openxmlformats.org/officeDocument/2006/relationships/hyperlink" Target="https://www.reddit.com/r/Games/comments/116odn6/star_survivor_prologue_spaceowl_games_scifi/" TargetMode="External"/><Relationship Id="rId654" Type="http://schemas.openxmlformats.org/officeDocument/2006/relationships/hyperlink" Target="https://x.com/edmundmcmillen/status/2073665726712614938?s=20" TargetMode="External"/><Relationship Id="rId46" Type="http://schemas.openxmlformats.org/officeDocument/2006/relationships/hyperlink" Target="https://gamerant.com/the-last-spell-game-interview-launch-dlc/" TargetMode="External"/><Relationship Id="rId293" Type="http://schemas.openxmlformats.org/officeDocument/2006/relationships/hyperlink" Target="https://creators.spotify.com/pod/show/the-indie-diarist/episodes/Indie-Diary-5-Enrique-Dryere-Triple-B-Titles---Creativity-as-Sacrifice--Secrets-of-Inspiration--DnD-and----Poker-e207m5b" TargetMode="External"/><Relationship Id="rId307" Type="http://schemas.openxmlformats.org/officeDocument/2006/relationships/hyperlink" Target="https://youtu.be/Jn9yS2eSJzg" TargetMode="External"/><Relationship Id="rId349" Type="http://schemas.openxmlformats.org/officeDocument/2006/relationships/hyperlink" Target="https://www.gamingonlinux.com/2024/07/bite-sized-roguelike-tower-defense-game-bella-wants-blood-releases-july-24/" TargetMode="External"/><Relationship Id="rId514" Type="http://schemas.openxmlformats.org/officeDocument/2006/relationships/hyperlink" Target="https://caifuhao.eastmoney.com/news/20260725235351583816280" TargetMode="External"/><Relationship Id="rId556" Type="http://schemas.openxmlformats.org/officeDocument/2006/relationships/hyperlink" Target="https://www.youtube.com/watch?v=JXv8hQguGCI" TargetMode="External"/><Relationship Id="rId88" Type="http://schemas.openxmlformats.org/officeDocument/2006/relationships/hyperlink" Target="https://www.kickstarter.com/projects/1926605606/stoneshard-open-world-roguelike-rpg-with-tactical" TargetMode="External"/><Relationship Id="rId111" Type="http://schemas.openxmlformats.org/officeDocument/2006/relationships/hyperlink" Target="https://roguebasin.com/index.php/Cataclysm" TargetMode="External"/><Relationship Id="rId153" Type="http://schemas.openxmlformats.org/officeDocument/2006/relationships/hyperlink" Target="https://store.steampowered.com/app/2308000/Centipede_Gun/" TargetMode="External"/><Relationship Id="rId195" Type="http://schemas.openxmlformats.org/officeDocument/2006/relationships/hyperlink" Target="https://www.nettosgameroom.com/2025/09/interview-with-team-tapas-creators-of.html" TargetMode="External"/><Relationship Id="rId209" Type="http://schemas.openxmlformats.org/officeDocument/2006/relationships/hyperlink" Target="https://www.reddit.com/r/roguelites/comments/r8cay9/weve_been_developing_the_roguelite_escape_the_mad/" TargetMode="External"/><Relationship Id="rId360" Type="http://schemas.openxmlformats.org/officeDocument/2006/relationships/hyperlink" Target="https://indiegamepicks.wordpress.com/2023/10/18/deepest-chamber-resurrection-interview/" TargetMode="External"/><Relationship Id="rId416" Type="http://schemas.openxmlformats.org/officeDocument/2006/relationships/hyperlink" Target="https://forums.tigsource.com/index.php?topic=41609.0" TargetMode="External"/><Relationship Id="rId598" Type="http://schemas.openxmlformats.org/officeDocument/2006/relationships/hyperlink" Target="https://www.reddit.com/r/nintendo/comments/691a58/we_are_team_tumbleseed_and_we_launched_tumbleseed/" TargetMode="External"/><Relationship Id="rId220" Type="http://schemas.openxmlformats.org/officeDocument/2006/relationships/hyperlink" Target="https://youtu.be/zLmdMjZtDs4" TargetMode="External"/><Relationship Id="rId458" Type="http://schemas.openxmlformats.org/officeDocument/2006/relationships/hyperlink" Target="https://store.steampowered.com/news/app/3618850/view/527614642864786784?l=english" TargetMode="External"/><Relationship Id="rId623" Type="http://schemas.openxmlformats.org/officeDocument/2006/relationships/hyperlink" Target="https://x.com/cleanfallgame/status/1958500517597876299?s=20" TargetMode="External"/><Relationship Id="rId15" Type="http://schemas.openxmlformats.org/officeDocument/2006/relationships/hyperlink" Target="https://store.steampowered.com/app/2479320/Pesticide_Not_Required/" TargetMode="External"/><Relationship Id="rId57" Type="http://schemas.openxmlformats.org/officeDocument/2006/relationships/hyperlink" Target="https://store.steampowered.com/app/2479320/Pesticide_Not_Required/" TargetMode="External"/><Relationship Id="rId262" Type="http://schemas.openxmlformats.org/officeDocument/2006/relationships/hyperlink" Target="https://www.roguebasin.com/index.php/Pathos:_NetHack_Codex" TargetMode="External"/><Relationship Id="rId318" Type="http://schemas.openxmlformats.org/officeDocument/2006/relationships/hyperlink" Target="https://roguebasin.com/index.php/Moria" TargetMode="External"/><Relationship Id="rId525" Type="http://schemas.openxmlformats.org/officeDocument/2006/relationships/hyperlink" Target="https://www.youtube.com/watch?v=dfLSGkKC2ug" TargetMode="External"/><Relationship Id="rId567" Type="http://schemas.openxmlformats.org/officeDocument/2006/relationships/hyperlink" Target="https://frozendepths.net/roguelike/info.php" TargetMode="External"/><Relationship Id="rId99" Type="http://schemas.openxmlformats.org/officeDocument/2006/relationships/hyperlink" Target="https://en.wikipedia.org/wiki/Windblown" TargetMode="External"/><Relationship Id="rId122" Type="http://schemas.openxmlformats.org/officeDocument/2006/relationships/hyperlink" Target="https://game-wisdom.com/podcast/five-year-development-behind-nowhere-prophet%20mentions%20plaing%20dream%20quest%20in%20this%20interview" TargetMode="External"/><Relationship Id="rId164" Type="http://schemas.openxmlformats.org/officeDocument/2006/relationships/hyperlink" Target="https://forums.tigsource.com/index.php?topic=41609.0" TargetMode="External"/><Relationship Id="rId371" Type="http://schemas.openxmlformats.org/officeDocument/2006/relationships/hyperlink" Target="https://en.wikipedia.org/wiki/Luck_Be_a_Landlord" TargetMode="External"/><Relationship Id="rId427" Type="http://schemas.openxmlformats.org/officeDocument/2006/relationships/hyperlink" Target="https://www.reddit.com/r/IndieGaming/comments/1iooyqr/roguelike_autobattler_cute_creatures_what_do_you/" TargetMode="External"/><Relationship Id="rId469" Type="http://schemas.openxmlformats.org/officeDocument/2006/relationships/hyperlink" Target="https://steamcommunity.com/app/1734320/discussions/0/598515896185532848/" TargetMode="External"/><Relationship Id="rId634" Type="http://schemas.openxmlformats.org/officeDocument/2006/relationships/hyperlink" Target="https://x.com/TeamWoodGames/status/1383470923156647938?s=20" TargetMode="External"/><Relationship Id="rId26" Type="http://schemas.openxmlformats.org/officeDocument/2006/relationships/hyperlink" Target="https://www.gamespress.com/Solo-Developer-Bigosaur-Launches-Basketball-Roguelike-Clutchtime-Baske" TargetMode="External"/><Relationship Id="rId231" Type="http://schemas.openxmlformats.org/officeDocument/2006/relationships/hyperlink" Target="https://www.gamedeveloper.com/design/making-a-case-for-short-games" TargetMode="External"/><Relationship Id="rId273" Type="http://schemas.openxmlformats.org/officeDocument/2006/relationships/hyperlink" Target="https://www.reddit.com/r/Games/comments/v2kcsr/ama_were_the_team_behind_akxolotl_a_cute_but/" TargetMode="External"/><Relationship Id="rId329" Type="http://schemas.openxmlformats.org/officeDocument/2006/relationships/hyperlink" Target="https://mcvuk.com/development-news/when-we-made-moonlighter/" TargetMode="External"/><Relationship Id="rId480" Type="http://schemas.openxmlformats.org/officeDocument/2006/relationships/hyperlink" Target="https://x.com/ArturSmiarowski/status/1870390372389597210" TargetMode="External"/><Relationship Id="rId536" Type="http://schemas.openxmlformats.org/officeDocument/2006/relationships/hyperlink" Target="http://www.zincland.com/powder/?pagename=about" TargetMode="External"/><Relationship Id="rId68" Type="http://schemas.openxmlformats.org/officeDocument/2006/relationships/hyperlink" Target="https://rogueliker.com/vellum-inspirations/" TargetMode="External"/><Relationship Id="rId133" Type="http://schemas.openxmlformats.org/officeDocument/2006/relationships/hyperlink" Target="https://steamcommunity.com/app/1519490/discussions/0/5456682769556329213/" TargetMode="External"/><Relationship Id="rId175" Type="http://schemas.openxmlformats.org/officeDocument/2006/relationships/hyperlink" Target="https://www.youtube.com/watch?v=G8e_zxWb3QA" TargetMode="External"/><Relationship Id="rId340" Type="http://schemas.openxmlformats.org/officeDocument/2006/relationships/hyperlink" Target="https://youtu.be/VGMszILvj78" TargetMode="External"/><Relationship Id="rId578" Type="http://schemas.openxmlformats.org/officeDocument/2006/relationships/hyperlink" Target="https://www.youtube.com/watch?v=DASCE8BbvOI&amp;t=1s" TargetMode="External"/><Relationship Id="rId200" Type="http://schemas.openxmlformats.org/officeDocument/2006/relationships/hyperlink" Target="https://rogueliker.com/realm-of-ink-interview/" TargetMode="External"/><Relationship Id="rId382" Type="http://schemas.openxmlformats.org/officeDocument/2006/relationships/hyperlink" Target="https://steamcommunity.com/app/1461910/discussions/0/3363649332031630216/?l=finnish" TargetMode="External"/><Relationship Id="rId438" Type="http://schemas.openxmlformats.org/officeDocument/2006/relationships/hyperlink" Target="https://youtu.be/wJ2cgBoxsi4" TargetMode="External"/><Relationship Id="rId603" Type="http://schemas.openxmlformats.org/officeDocument/2006/relationships/hyperlink" Target="https://www.reddit.com/r/NintendoSwitch/comments/trax0e/hi_im_the_developer_of_for_the_warp_a_scifi/" TargetMode="External"/><Relationship Id="rId645" Type="http://schemas.openxmlformats.org/officeDocument/2006/relationships/hyperlink" Target="https://x.com/studio_goblinz/status/1703121970680807815?s=20" TargetMode="External"/><Relationship Id="rId242" Type="http://schemas.openxmlformats.org/officeDocument/2006/relationships/hyperlink" Target="https://x.com/SoramameKoubou/status/1786329686978777095" TargetMode="External"/><Relationship Id="rId284" Type="http://schemas.openxmlformats.org/officeDocument/2006/relationships/hyperlink" Target="https://store.steampowered.com/app/512900/Streets_of_Rogue/" TargetMode="External"/><Relationship Id="rId491" Type="http://schemas.openxmlformats.org/officeDocument/2006/relationships/hyperlink" Target="https://store.epicgames.com/news/terratech-legion-interview-russ-clark-car-building-freedom-bullet-heaven?lang=hi" TargetMode="External"/><Relationship Id="rId505" Type="http://schemas.openxmlformats.org/officeDocument/2006/relationships/hyperlink" Target="https://www.moguragames.com/smokingwolfinterview/" TargetMode="External"/><Relationship Id="rId37" Type="http://schemas.openxmlformats.org/officeDocument/2006/relationships/hyperlink" Target="https://steamcommunity.com/games/2904290/announcements/detail/4185610799649293674" TargetMode="External"/><Relationship Id="rId79" Type="http://schemas.openxmlformats.org/officeDocument/2006/relationships/hyperlink" Target="https://youtu.be/tbs9o6bck1U" TargetMode="External"/><Relationship Id="rId102" Type="http://schemas.openxmlformats.org/officeDocument/2006/relationships/hyperlink" Target="https://www.reddit.com/r/WebGames/comments/1m6esqf/archon_soul_its_been_a_year_and_a_half_of_hard/" TargetMode="External"/><Relationship Id="rId144" Type="http://schemas.openxmlformats.org/officeDocument/2006/relationships/hyperlink" Target="https://www.reddit.com/r/Games/comments/czn9i5/were_the_developers_of_atomicrops_an_action/" TargetMode="External"/><Relationship Id="rId547" Type="http://schemas.openxmlformats.org/officeDocument/2006/relationships/hyperlink" Target="https://www.youtube.com/watch?v=mGVNTEOoBXc" TargetMode="External"/><Relationship Id="rId589" Type="http://schemas.openxmlformats.org/officeDocument/2006/relationships/hyperlink" Target="https://www.dualshockers.com/touhou-genso-wanderer-interview-director-jyunya-talks-about-the-best-rouge-like-game-in-japan/" TargetMode="External"/><Relationship Id="rId90" Type="http://schemas.openxmlformats.org/officeDocument/2006/relationships/hyperlink" Target="https://www.polygon.com/absolum-roguelike-interview-dotemu-guard-crush/" TargetMode="External"/><Relationship Id="rId186" Type="http://schemas.openxmlformats.org/officeDocument/2006/relationships/hyperlink" Target="https://roguebasin.com/index.php/ZMAngband" TargetMode="External"/><Relationship Id="rId351" Type="http://schemas.openxmlformats.org/officeDocument/2006/relationships/hyperlink" Target="https://www.reddit.com/r/Games/comments/s5izbt/breach_wanderers_baronnerie_games_roguelike/" TargetMode="External"/><Relationship Id="rId393" Type="http://schemas.openxmlformats.org/officeDocument/2006/relationships/hyperlink" Target="https://en.touhouwiki.net/wiki/Touhou:_Lost_Branch_of_Legend%20%20(also%20just%20look%20at%20it)" TargetMode="External"/><Relationship Id="rId407" Type="http://schemas.openxmlformats.org/officeDocument/2006/relationships/hyperlink" Target="https://www.siliconera.com/catacomb-kids-interview-spelunky-comparisons-and-the-early-access-gamble/" TargetMode="External"/><Relationship Id="rId449" Type="http://schemas.openxmlformats.org/officeDocument/2006/relationships/hyperlink" Target="https://wesleyjkurtz.wixsite.com/orangedrop/post/mana-spark-kishimoto-studios-indie-devs-behemutt-an-in-depth-interview" TargetMode="External"/><Relationship Id="rId614" Type="http://schemas.openxmlformats.org/officeDocument/2006/relationships/hyperlink" Target="https://www.reddit.com/r/iosgaming/comments/1hjehh9/lost_for_swords_a_dungeon_crawler_focusing_on/" TargetMode="External"/><Relationship Id="rId656" Type="http://schemas.openxmlformats.org/officeDocument/2006/relationships/hyperlink" Target="https://steamcommunity.com/app/2563800/discussions/0/4756451565242385846/" TargetMode="External"/><Relationship Id="rId211" Type="http://schemas.openxmlformats.org/officeDocument/2006/relationships/hyperlink" Target="https://roguebasin.com/index.php/The_Ground_Gives_Way" TargetMode="External"/><Relationship Id="rId253" Type="http://schemas.openxmlformats.org/officeDocument/2006/relationships/hyperlink" Target="https://youtu.be/VGMszILvj78" TargetMode="External"/><Relationship Id="rId295" Type="http://schemas.openxmlformats.org/officeDocument/2006/relationships/hyperlink" Target="https://www.siliconera.com/catacomb-kids-interview-spelunky-comparisons-and-the-early-access-gamble/" TargetMode="External"/><Relationship Id="rId309" Type="http://schemas.openxmlformats.org/officeDocument/2006/relationships/hyperlink" Target="https://www.gamingfurever.com/news/editorials/brew-interview-with-ceo-of-snow-leaf-studios-isak-wahl" TargetMode="External"/><Relationship Id="rId460" Type="http://schemas.openxmlformats.org/officeDocument/2006/relationships/hyperlink" Target="https://podcasts.apple.com/us/podcast/slay-the-spire-with-anthony-giovannetti/id1435365252?i=1000447140877" TargetMode="External"/><Relationship Id="rId516" Type="http://schemas.openxmlformats.org/officeDocument/2006/relationships/hyperlink" Target="https://www.reddit.com/r/Games/comments/1ker0jk/rune_dice_smart_raven_studio_peglininspired/" TargetMode="External"/><Relationship Id="rId48" Type="http://schemas.openxmlformats.org/officeDocument/2006/relationships/hyperlink" Target="https://www.ign.com/articles/claim-a-key-for-hellcard-the-turn-based-deckbuilding-rogue-lite-from-book-of-demons-developer" TargetMode="External"/><Relationship Id="rId113" Type="http://schemas.openxmlformats.org/officeDocument/2006/relationships/hyperlink" Target="https://gamestudio.n-ix.com/case-study/the-bazaar-game-development-story/" TargetMode="External"/><Relationship Id="rId320" Type="http://schemas.openxmlformats.org/officeDocument/2006/relationships/hyperlink" Target="https://www.roguebasin.com/index.php/Rogue's_Tale" TargetMode="External"/><Relationship Id="rId558" Type="http://schemas.openxmlformats.org/officeDocument/2006/relationships/hyperlink" Target="https://www.youtube.com/watch?v=JXv8hQguGCI" TargetMode="External"/><Relationship Id="rId155" Type="http://schemas.openxmlformats.org/officeDocument/2006/relationships/hyperlink" Target="https://steamcommunity.com/app/2118810/discussions/1/3980680532379147080/" TargetMode="External"/><Relationship Id="rId197" Type="http://schemas.openxmlformats.org/officeDocument/2006/relationships/hyperlink" Target="https://www.youtube.com/watch?v=ZqMZqQ-wrko" TargetMode="External"/><Relationship Id="rId362" Type="http://schemas.openxmlformats.org/officeDocument/2006/relationships/hyperlink" Target="https://www.gamespress.com/Die-For-The-Lich-is-coming-to-Early-Access-on-November-10th-2025" TargetMode="External"/><Relationship Id="rId418" Type="http://schemas.openxmlformats.org/officeDocument/2006/relationships/hyperlink" Target="https://en.wikipedia.org/wiki/Rogue_Legacy" TargetMode="External"/><Relationship Id="rId625" Type="http://schemas.openxmlformats.org/officeDocument/2006/relationships/hyperlink" Target="https://x.com/CLLC_studio/status/1925866594078453892" TargetMode="External"/><Relationship Id="rId222" Type="http://schemas.openxmlformats.org/officeDocument/2006/relationships/hyperlink" Target="https://www.thegamer.com/metal-slug-tactics-interview/" TargetMode="External"/><Relationship Id="rId264" Type="http://schemas.openxmlformats.org/officeDocument/2006/relationships/hyperlink" Target="https://crpgaddict.blogspot.com/2020/02/game-354-ragnarok-1992.html" TargetMode="External"/><Relationship Id="rId471" Type="http://schemas.openxmlformats.org/officeDocument/2006/relationships/hyperlink" Target="https://baldis-basics-in-education-and-learning.fandom.com/wiki/Inspiration_and_reference" TargetMode="External"/><Relationship Id="rId17" Type="http://schemas.openxmlformats.org/officeDocument/2006/relationships/hyperlink" Target="http://www.roguelikeradio.com/2019/02/episode-151-haque.html" TargetMode="External"/><Relationship Id="rId59"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24" Type="http://schemas.openxmlformats.org/officeDocument/2006/relationships/hyperlink" Target="https://roguebasin.com/index.php/Cataclysm" TargetMode="External"/><Relationship Id="rId527" Type="http://schemas.openxmlformats.org/officeDocument/2006/relationships/hyperlink" Target="https://www.reddit.com/r/DestroyMyGame/comments/119wet3/looking_for_feedback_on_this_vs_inspired/" TargetMode="External"/><Relationship Id="rId569" Type="http://schemas.openxmlformats.org/officeDocument/2006/relationships/hyperlink" Target="https://frozendepths.net/roguelike/info.php" TargetMode="External"/><Relationship Id="rId70" Type="http://schemas.openxmlformats.org/officeDocument/2006/relationships/hyperlink" Target="https://en.wikipedia.org/wiki/BPM:_Bullets_Per_Minute" TargetMode="External"/><Relationship Id="rId166" Type="http://schemas.openxmlformats.org/officeDocument/2006/relationships/hyperlink" Target="https://www.polygon.com/2013/6/20/4439320/our-darker-purpose-kickstarter-avidly-wild-games/" TargetMode="External"/><Relationship Id="rId331" Type="http://schemas.openxmlformats.org/officeDocument/2006/relationships/hyperlink" Target="https://www.reddit.com/r/roguelites/comments/m2341u/space_gladiators_my_isaac_inspired_grotesque/" TargetMode="External"/><Relationship Id="rId373" Type="http://schemas.openxmlformats.org/officeDocument/2006/relationships/hyperlink" Target="https://store.steampowered.com/app/3035330/Dicealot/" TargetMode="External"/><Relationship Id="rId429" Type="http://schemas.openxmlformats.org/officeDocument/2006/relationships/hyperlink" Target="https://roguebasin.com/index.php/Labyrinth_of_Legendary_Loot" TargetMode="External"/><Relationship Id="rId580" Type="http://schemas.openxmlformats.org/officeDocument/2006/relationships/hyperlink" Target="https://www.youtube.com/watch?v=ZVQBDWbGPIg" TargetMode="External"/><Relationship Id="rId636" Type="http://schemas.openxmlformats.org/officeDocument/2006/relationships/hyperlink" Target="https://x.com/monstertheaterx/status/1819715822203355558?s=20"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youtu.be/DpEmpx4isOQ" TargetMode="External"/><Relationship Id="rId440" Type="http://schemas.openxmlformats.org/officeDocument/2006/relationships/hyperlink" Target="https://web.archive.org/web/20220130212105/https:/www.indiegameoftheweek.com/BeyondTheLongNight" TargetMode="External"/><Relationship Id="rId28" Type="http://schemas.openxmlformats.org/officeDocument/2006/relationships/hyperlink" Target="https://rocketadrift.itch.io/dead-finger-dice-a-billionaire-killing-game/devlog/963841/dead-finger-dice-demo-out-now" TargetMode="External"/><Relationship Id="rId275" Type="http://schemas.openxmlformats.org/officeDocument/2006/relationships/hyperlink" Target="https://milkbar-lads.itch.io/dead-estate" TargetMode="External"/><Relationship Id="rId300" Type="http://schemas.openxmlformats.org/officeDocument/2006/relationships/hyperlink" Target="https://www.julianedisonart.com/icov" TargetMode="External"/><Relationship Id="rId482" Type="http://schemas.openxmlformats.org/officeDocument/2006/relationships/hyperlink" Target="https://youtu.be/VGMszILvj78" TargetMode="External"/><Relationship Id="rId538" Type="http://schemas.openxmlformats.org/officeDocument/2006/relationships/hyperlink" Target="http://www.zincland.com/powder/?pagename=about" TargetMode="External"/><Relationship Id="rId81" Type="http://schemas.openxmlformats.org/officeDocument/2006/relationships/hyperlink" Target="https://www.pcgamer.com/turn-based-roguelike-deep-sky-derelicts-channels-darkest-dungeon-in-space/" TargetMode="External"/><Relationship Id="rId135" Type="http://schemas.openxmlformats.org/officeDocument/2006/relationships/hyperlink" Target="https://www.bay12forums.com/smf/index.php?topic=182370.0" TargetMode="External"/><Relationship Id="rId177" Type="http://schemas.openxmlformats.org/officeDocument/2006/relationships/hyperlink" Target="https://steamcommunity.com/app/1016730/discussions/0/1814296907961762044/" TargetMode="External"/><Relationship Id="rId342" Type="http://schemas.openxmlformats.org/officeDocument/2006/relationships/hyperlink" Target="https://store.steampowered.com/app/1668690/Alina_of_the_Arena/" TargetMode="External"/><Relationship Id="rId384" Type="http://schemas.openxmlformats.org/officeDocument/2006/relationships/hyperlink" Target="https://www.reddit.com/r/godot/comments/1lo0rfm/14_months_of_work_on_my_1st_game_demo_is_now/" TargetMode="External"/><Relationship Id="rId591" Type="http://schemas.openxmlformats.org/officeDocument/2006/relationships/hyperlink" Target="https://roguebasin.com/index.php/Crablike" TargetMode="External"/><Relationship Id="rId605" Type="http://schemas.openxmlformats.org/officeDocument/2006/relationships/hyperlink" Target="https://x.com/Talespinner_/status/1925872666474401877?s=20" TargetMode="External"/><Relationship Id="rId202" Type="http://schemas.openxmlformats.org/officeDocument/2006/relationships/hyperlink" Target="https://www.gamescom.global/en/product/starlight-revolver-pahdo" TargetMode="External"/><Relationship Id="rId244" Type="http://schemas.openxmlformats.org/officeDocument/2006/relationships/hyperlink" Target="https://steamcommunity.com/app/1016730/discussions/0/1814296907961762044/" TargetMode="External"/><Relationship Id="rId647" Type="http://schemas.openxmlformats.org/officeDocument/2006/relationships/hyperlink" Target="https://x.com/NadirTheGame/status/1585925975115702273?s=20" TargetMode="External"/><Relationship Id="rId39" Type="http://schemas.openxmlformats.org/officeDocument/2006/relationships/hyperlink" Target="https://store.steampowered.com/app/3496890/Slot_or_Not/" TargetMode="External"/><Relationship Id="rId286" Type="http://schemas.openxmlformats.org/officeDocument/2006/relationships/hyperlink" Target="https://www.reddit.com/r/Games/comments/10uappd/the_ouroboros_king_oriol_cosp_chess_based/" TargetMode="External"/><Relationship Id="rId451" Type="http://schemas.openxmlformats.org/officeDocument/2006/relationships/hyperlink" Target="https://mcvuk.com/development-news/when-we-made-moonlighter/" TargetMode="External"/><Relationship Id="rId493" Type="http://schemas.openxmlformats.org/officeDocument/2006/relationships/hyperlink" Target="https://80.lv/articles/making-hack-and-slash-action-rpg-voin-as-solo-developer" TargetMode="External"/><Relationship Id="rId507" Type="http://schemas.openxmlformats.org/officeDocument/2006/relationships/hyperlink" Target="https://youtu.be/HyhYA69y62c" TargetMode="External"/><Relationship Id="rId549" Type="http://schemas.openxmlformats.org/officeDocument/2006/relationships/hyperlink" Target="https://roguebasin.com/index.php?title=LambdaRogue" TargetMode="External"/><Relationship Id="rId50" Type="http://schemas.openxmlformats.org/officeDocument/2006/relationships/hyperlink" Target="https://roguebasin.com/index.php/Pixel_Dungeon" TargetMode="External"/><Relationship Id="rId104" Type="http://schemas.openxmlformats.org/officeDocument/2006/relationships/hyperlink" Target="https://www.gamespress.com/Die-For-The-Lich-is-coming-to-Early-Access-on-November-10th-2025" TargetMode="External"/><Relationship Id="rId146" Type="http://schemas.openxmlformats.org/officeDocument/2006/relationships/hyperlink" Target="https://www.reddit.com/r/roguelites/comments/r8cay9/weve_been_developing_the_roguelite_escape_the_mad/" TargetMode="External"/><Relationship Id="rId188" Type="http://schemas.openxmlformats.org/officeDocument/2006/relationships/hyperlink" Target="https://80.lv/articles/battle-shapers-how-blender-unity-helped-create-the-game-s-vibrant-world" TargetMode="External"/><Relationship Id="rId311" Type="http://schemas.openxmlformats.org/officeDocument/2006/relationships/hyperlink" Target="https://www.gamedeveloper.com/design/how-michael-brough-s-love-of-exploring-a-single-game-mechanic-beget-i-cinco-paus-i-" TargetMode="External"/><Relationship Id="rId353" Type="http://schemas.openxmlformats.org/officeDocument/2006/relationships/hyperlink" Target="https://hardcoregamer.com/chaos-zero-nightmare-director-interview-tgs-2025/" TargetMode="External"/><Relationship Id="rId395" Type="http://schemas.openxmlformats.org/officeDocument/2006/relationships/hyperlink" Target="https://www.reddit.com/r/roguelites/comments/1djfzyz/started_as_a_solodev_with_no_programming/" TargetMode="External"/><Relationship Id="rId409" Type="http://schemas.openxmlformats.org/officeDocument/2006/relationships/hyperlink" Target="https://dumbandfat.com/coincrypt/" TargetMode="External"/><Relationship Id="rId560" Type="http://schemas.openxmlformats.org/officeDocument/2006/relationships/hyperlink" Target="https://www.youtube.com/watch?v=JXv8hQguGCI" TargetMode="External"/><Relationship Id="rId92" Type="http://schemas.openxmlformats.org/officeDocument/2006/relationships/hyperlink" Target="https://www.reddit.com/r/IndieGaming/comments/1pji5gu/dunjungle_the_monkey_action_roguelite_is_out_on/" TargetMode="External"/><Relationship Id="rId213" Type="http://schemas.openxmlformats.org/officeDocument/2006/relationships/hyperlink" Target="https://www.youtube.com/watch?v=7SjRhK9wdEE" TargetMode="External"/><Relationship Id="rId420" Type="http://schemas.openxmlformats.org/officeDocument/2006/relationships/hyperlink" Target="https://store.steampowered.com/app/1078200/Spirits_Abyss/" TargetMode="External"/><Relationship Id="rId616" Type="http://schemas.openxmlformats.org/officeDocument/2006/relationships/hyperlink" Target="https://x.com/brainoidgames/status/1925653290278121609" TargetMode="External"/><Relationship Id="rId255" Type="http://schemas.openxmlformats.org/officeDocument/2006/relationships/hyperlink" Target="https://forums.tigsource.com/index.php?topic=25392.0" TargetMode="External"/><Relationship Id="rId297" Type="http://schemas.openxmlformats.org/officeDocument/2006/relationships/hyperlink" Target="https://roguebasin.com/index.php/The_Ground_Gives_Way" TargetMode="External"/><Relationship Id="rId462" Type="http://schemas.openxmlformats.org/officeDocument/2006/relationships/hyperlink" Target="https://github.com/ScottBurger/going_rogue_podcast/blob/master/docs/providence.md" TargetMode="External"/><Relationship Id="rId518" Type="http://schemas.openxmlformats.org/officeDocument/2006/relationships/hyperlink" Target="https://x.com/Klukva_Games/status/1750485532868522090" TargetMode="External"/><Relationship Id="rId115" Type="http://schemas.openxmlformats.org/officeDocument/2006/relationships/hyperlink" Target="https://www.reddit.com/r/nintendo/comments/6k942k/yo_we_made_gonner_and_it_just_came_out_on_the/" TargetMode="External"/><Relationship Id="rId157" Type="http://schemas.openxmlformats.org/officeDocument/2006/relationships/hyperlink" Target="https://medium.com/@gofig.news/a-coffee-break-with-fr&#233;d&#233;ric-lopez-crying-suns-3b030eb4f455" TargetMode="External"/><Relationship Id="rId322" Type="http://schemas.openxmlformats.org/officeDocument/2006/relationships/hyperlink" Target="https://en.wikipedia.org/wiki/ToeJam_%26_Earl" TargetMode="External"/><Relationship Id="rId364" Type="http://schemas.openxmlformats.org/officeDocument/2006/relationships/hyperlink" Target="https://store.steampowered.com/app/3548520/DOG_WITCH/" TargetMode="External"/><Relationship Id="rId61" Type="http://schemas.openxmlformats.org/officeDocument/2006/relationships/hyperlink" Target="https://www.reddit.com/r/Games/comments/2osauc/hi_rgames_were_a_group_of_aaa_and_exaaa/" TargetMode="External"/><Relationship Id="rId199" Type="http://schemas.openxmlformats.org/officeDocument/2006/relationships/hyperlink" Target="https://www.polygon.com/gaming/610928/lost-random-eternal-die-roguelike-developer-insights/" TargetMode="External"/><Relationship Id="rId571" Type="http://schemas.openxmlformats.org/officeDocument/2006/relationships/hyperlink" Target="https://x.com/tametick/status/1202248124221272064" TargetMode="External"/><Relationship Id="rId627" Type="http://schemas.openxmlformats.org/officeDocument/2006/relationships/hyperlink" Target="https://x.com/CLLC_studio/status/1925866594078453892" TargetMode="External"/><Relationship Id="rId19" Type="http://schemas.openxmlformats.org/officeDocument/2006/relationships/hyperlink" Target="https://codetheory.itch.io/lootplot-playtest" TargetMode="External"/><Relationship Id="rId224" Type="http://schemas.openxmlformats.org/officeDocument/2006/relationships/hyperlink" Target="https://steamcommunity.com/app/1494560/discussions/0/4335355681660890217/" TargetMode="External"/><Relationship Id="rId266" Type="http://schemas.openxmlformats.org/officeDocument/2006/relationships/hyperlink" Target="https://www.roguebasin.com/index.php/Sword_of_the_Stars:_The_Pit" TargetMode="External"/><Relationship Id="rId431" Type="http://schemas.openxmlformats.org/officeDocument/2006/relationships/hyperlink" Target="https://www.reddit.com/r/Games/comments/7ukbl1/im_the_lead_developer_of_tangledeep_a_roguelike/" TargetMode="External"/><Relationship Id="rId473" Type="http://schemas.openxmlformats.org/officeDocument/2006/relationships/hyperlink" Target="https://www.youtube.com/watch?v=txv0XsRrFwo" TargetMode="External"/><Relationship Id="rId529" Type="http://schemas.openxmlformats.org/officeDocument/2006/relationships/hyperlink" Target="https://www.reddit.com/r/Games/comments/16x0fkk/shape_shifter_formations_castec_studios_an_action/" TargetMode="External"/><Relationship Id="rId30" Type="http://schemas.openxmlformats.org/officeDocument/2006/relationships/hyperlink" Target="https://www.pocketgamer.com/gambonanza/developer-interview/" TargetMode="External"/><Relationship Id="rId126" Type="http://schemas.openxmlformats.org/officeDocument/2006/relationships/hyperlink" Target="https://www.qcfdesign.com/wiki/DesktopDungeons/index.php?title=Desktop_Dungeons" TargetMode="External"/><Relationship Id="rId168" Type="http://schemas.openxmlformats.org/officeDocument/2006/relationships/hyperlink" Target="https://steamcommunity.com/app/1494560/discussions/0/4335355681660890217/" TargetMode="External"/><Relationship Id="rId333" Type="http://schemas.openxmlformats.org/officeDocument/2006/relationships/hyperlink" Target="https://steamcommunity.com/app/3226530/discussions/0/592890533790115891/" TargetMode="External"/><Relationship Id="rId540" Type="http://schemas.openxmlformats.org/officeDocument/2006/relationships/hyperlink" Target="https://roguebasin.com/index.php?title=Diablo" TargetMode="External"/><Relationship Id="rId72" Type="http://schemas.openxmlformats.org/officeDocument/2006/relationships/hyperlink" Target="https://mcvuk.com/business-news/when-we-made-wildfrost/" TargetMode="External"/><Relationship Id="rId375" Type="http://schemas.openxmlformats.org/officeDocument/2006/relationships/hyperlink" Target="https://youtu.be/-Vsd5hUMAT8" TargetMode="External"/><Relationship Id="rId582" Type="http://schemas.openxmlformats.org/officeDocument/2006/relationships/hyperlink" Target="https://www.gameskinny.com/culture/interview-with-colin-day-creator-of-rogue-wizards-and-founder-of-spellbind-studios/" TargetMode="External"/><Relationship Id="rId638" Type="http://schemas.openxmlformats.org/officeDocument/2006/relationships/hyperlink" Target="https://gonintendo.com/contents/37637-tmnt-splintered-fate-devs-say-they-were-inspired-by-hades-dead-cells-and-more" TargetMode="External"/><Relationship Id="rId3" Type="http://schemas.openxmlformats.org/officeDocument/2006/relationships/hyperlink" Target="https://roguebasin.com/index.php/GearHead_Caramel" TargetMode="External"/><Relationship Id="rId235" Type="http://schemas.openxmlformats.org/officeDocument/2006/relationships/hyperlink" Target="https://en.wikipedia.org/wiki/Balatro" TargetMode="External"/><Relationship Id="rId277" Type="http://schemas.openxmlformats.org/officeDocument/2006/relationships/hyperlink" Target="https://gamingbolt.com/gonner-interview-a-colorful-and-challenging-ride" TargetMode="External"/><Relationship Id="rId400" Type="http://schemas.openxmlformats.org/officeDocument/2006/relationships/hyperlink" Target="https://www.reddit.com/r/IndieGame/comments/1s28b5c/we_have_such_a_game_do_you_think_people_will_like/" TargetMode="External"/><Relationship Id="rId442" Type="http://schemas.openxmlformats.org/officeDocument/2006/relationships/hyperlink" Target="https://www.reddit.com/r/bindingofisaac/comments/icvtkc/cavity_busters_toothpunk_roguelite_with_some/" TargetMode="External"/><Relationship Id="rId484" Type="http://schemas.openxmlformats.org/officeDocument/2006/relationships/hyperlink" Target="https://xuanmingzhou.com/blog/glyphica-a-solo-dev-retrospective/" TargetMode="External"/><Relationship Id="rId137" Type="http://schemas.openxmlformats.org/officeDocument/2006/relationships/hyperlink" Target="https://www.youtube.com/watch?v=giIIoIKntnw" TargetMode="External"/><Relationship Id="rId302" Type="http://schemas.openxmlformats.org/officeDocument/2006/relationships/hyperlink" Target="https://www.reddit.com/r/IAmA/comments/9m53vr/after_a_failed_kickstarter_and_3_years_of_working/" TargetMode="External"/><Relationship Id="rId344" Type="http://schemas.openxmlformats.org/officeDocument/2006/relationships/hyperlink" Target="https://www.reddit.com/r/WebGames/comments/1m6esqf/archon_soul_its_been_a_year_and_a_half_of_hard/" TargetMode="External"/><Relationship Id="rId41" Type="http://schemas.openxmlformats.org/officeDocument/2006/relationships/hyperlink" Target="https://store.steampowered.com/app/2902440/Steves_Warehouse_Physics_Roguelike_Chaos/" TargetMode="External"/><Relationship Id="rId83" Type="http://schemas.openxmlformats.org/officeDocument/2006/relationships/hyperlink" Target="https://www.reddit.com/r/roguelites/comments/r8cay9/weve_been_developing_the_roguelite_escape_the_mad/" TargetMode="External"/><Relationship Id="rId179" Type="http://schemas.openxmlformats.org/officeDocument/2006/relationships/hyperlink" Target="https://store.epicgames.com/en-US/news/darkblade-ascent-brings-the-roguelike-to-the-soulslike" TargetMode="External"/><Relationship Id="rId386" Type="http://schemas.openxmlformats.org/officeDocument/2006/relationships/hyperlink" Target="https://store.steampowered.com/app/3496890/Slot_or_Not/" TargetMode="External"/><Relationship Id="rId551" Type="http://schemas.openxmlformats.org/officeDocument/2006/relationships/hyperlink" Target="https://steamcommunity.com/app/449960/discussions/0/352788917765198084/?ctp=2" TargetMode="External"/><Relationship Id="rId593" Type="http://schemas.openxmlformats.org/officeDocument/2006/relationships/hyperlink" Target="https://steamcommunity.com/app/429620/discussions/0/352788552271906911/" TargetMode="External"/><Relationship Id="rId607" Type="http://schemas.openxmlformats.org/officeDocument/2006/relationships/hyperlink" Target="https://x.com/MirariRelics/status/2083184893182489017?s=20" TargetMode="External"/><Relationship Id="rId649" Type="http://schemas.openxmlformats.org/officeDocument/2006/relationships/hyperlink" Target="https://x.com/GrimorioG/status/1213196249509376001?s=20" TargetMode="External"/><Relationship Id="rId190" Type="http://schemas.openxmlformats.org/officeDocument/2006/relationships/hyperlink" Target="https://store.epicgames.com/en-US/news/darkblade-ascent-brings-the-roguelike-to-the-soulslike" TargetMode="External"/><Relationship Id="rId204" Type="http://schemas.openxmlformats.org/officeDocument/2006/relationships/hyperlink" Target="https://steamcommunity.com/app/1763250/discussions/0/4289188745218594758/" TargetMode="External"/><Relationship Id="rId246" Type="http://schemas.openxmlformats.org/officeDocument/2006/relationships/hyperlink" Target="https://steamcommunity.com/app/1461910/discussions/0/3363649332031630216/?l=finnish" TargetMode="External"/><Relationship Id="rId288" Type="http://schemas.openxmlformats.org/officeDocument/2006/relationships/hyperlink" Target="https://www.facebook.com/reel/931892201606258" TargetMode="External"/><Relationship Id="rId411" Type="http://schemas.openxmlformats.org/officeDocument/2006/relationships/hyperlink" Target="https://en.wikipedia.org/wiki/Downwell_(video_game)" TargetMode="External"/><Relationship Id="rId453" Type="http://schemas.openxmlformats.org/officeDocument/2006/relationships/hyperlink" Target="https://blog.novadrift.io/nova-drift-frequently-asked-questions/" TargetMode="External"/><Relationship Id="rId509" Type="http://schemas.openxmlformats.org/officeDocument/2006/relationships/hyperlink" Target="https://youtu.be/HyhYA69y62c" TargetMode="External"/><Relationship Id="rId106" Type="http://schemas.openxmlformats.org/officeDocument/2006/relationships/hyperlink" Target="https://store.steampowered.com/news/app/2934220/view/698764742929416235?l=english" TargetMode="External"/><Relationship Id="rId313" Type="http://schemas.openxmlformats.org/officeDocument/2006/relationships/hyperlink" Target="https://www.honestgamers.com/15273/game-boy/cave-noire/review.html%20(not%20an%20actual%20source,%20just%20an%20informed%20speculation)" TargetMode="External"/><Relationship Id="rId495" Type="http://schemas.openxmlformats.org/officeDocument/2006/relationships/hyperlink" Target="https://www.scousegamer88.com/2021/03/31/astral-ascent-hibernian-workshop-interview/" TargetMode="External"/><Relationship Id="rId10" Type="http://schemas.openxmlformats.org/officeDocument/2006/relationships/hyperlink" Target="https://roguebasin.com/index.php/Sil" TargetMode="External"/><Relationship Id="rId52" Type="http://schemas.openxmlformats.org/officeDocument/2006/relationships/hyperlink" Target="https://steamcommunity.com/app/506870/discussions/0/1354868867726398236/" TargetMode="External"/><Relationship Id="rId94" Type="http://schemas.openxmlformats.org/officeDocument/2006/relationships/hyperlink" Target="https://x.com/JFGamesPR/status/1803711115047625170" TargetMode="External"/><Relationship Id="rId148" Type="http://schemas.openxmlformats.org/officeDocument/2006/relationships/hyperlink" Target="https://en.wikipedia.org/wiki/Gunfire_Reborn" TargetMode="External"/><Relationship Id="rId355" Type="http://schemas.openxmlformats.org/officeDocument/2006/relationships/hyperlink" Target="https://www.reddit.com/r/TowerDefense/comments/epx1qr/ive_just_released_core_defense_a_very_difficult/" TargetMode="External"/><Relationship Id="rId397" Type="http://schemas.openxmlformats.org/officeDocument/2006/relationships/hyperlink" Target="https://automaton-media.com/en/interviews/interview-koei-tecmos-warriors-abyss-is-a-major-japanese-developers-take-on-the-roguelite-genre-made-by-a-hardcore-roguelite-lover/" TargetMode="External"/><Relationship Id="rId520" Type="http://schemas.openxmlformats.org/officeDocument/2006/relationships/hyperlink" Target="https://www.indie-games.eu/hell-maiden-touhou-meets-vampire-survivors-interview/" TargetMode="External"/><Relationship Id="rId562" Type="http://schemas.openxmlformats.org/officeDocument/2006/relationships/hyperlink" Target="https://www.youtube.com/watch?v=xsmbVWflwpw" TargetMode="External"/><Relationship Id="rId618" Type="http://schemas.openxmlformats.org/officeDocument/2006/relationships/hyperlink" Target="https://x.com/imgame_official/status/1925464077654249724" TargetMode="External"/><Relationship Id="rId215" Type="http://schemas.openxmlformats.org/officeDocument/2006/relationships/hyperlink" Target="https://moodytail.itch.io/pocket-crystal-league" TargetMode="External"/><Relationship Id="rId257" Type="http://schemas.openxmlformats.org/officeDocument/2006/relationships/hyperlink" Target="https://www.roguebasin.com/index.php/Dungeons_of_Dredmor" TargetMode="External"/><Relationship Id="rId422" Type="http://schemas.openxmlformats.org/officeDocument/2006/relationships/hyperlink" Target="https://en.wikipedia.org/wiki/Streets_of_Rogue" TargetMode="External"/><Relationship Id="rId464" Type="http://schemas.openxmlformats.org/officeDocument/2006/relationships/hyperlink" Target="https://www.nme.com/news/gaming-news/crossy-road-creator-announces-space-western-shooter-tombstar-3258744" TargetMode="External"/><Relationship Id="rId299" Type="http://schemas.openxmlformats.org/officeDocument/2006/relationships/hyperlink" Target="https://www.reddit.com/r/pcgaming/comments/1f9y4d8/weve_been_making_our_totally_normal_coop_shooter/" TargetMode="External"/><Relationship Id="rId63" Type="http://schemas.openxmlformats.org/officeDocument/2006/relationships/hyperlink" Target="https://roguebasin.com/index.php/Cataclysm:_Bright_Nights" TargetMode="External"/><Relationship Id="rId159" Type="http://schemas.openxmlformats.org/officeDocument/2006/relationships/hyperlink" Target="https://steamcommunity.com/app/326150/discussions/0/617320168090466146/" TargetMode="External"/><Relationship Id="rId366" Type="http://schemas.openxmlformats.org/officeDocument/2006/relationships/hyperlink" Target="https://www.reddit.com/r/Games/comments/1kjulpf/fogpiercer_mad_cookies_train_building_roguelike/" TargetMode="External"/><Relationship Id="rId573" Type="http://schemas.openxmlformats.org/officeDocument/2006/relationships/hyperlink" Target="https://www.roguelikeradio.com/2011/10/interview-with-ido-yehieli.html" TargetMode="External"/><Relationship Id="rId226" Type="http://schemas.openxmlformats.org/officeDocument/2006/relationships/hyperlink" Target="https://gamerant.com/the-last-spell-game-interview-launch-dlc/" TargetMode="External"/><Relationship Id="rId433" Type="http://schemas.openxmlformats.org/officeDocument/2006/relationships/hyperlink" Target="https://www.reddit.com/r/IndieGaming/comments/1iooyqr/roguelike_autobattler_cute_creatures_what_do_you/" TargetMode="External"/><Relationship Id="rId640" Type="http://schemas.openxmlformats.org/officeDocument/2006/relationships/hyperlink" Target="https://x.com/AnAmazingWizard/status/1489554155597352962?s=20" TargetMode="External"/><Relationship Id="rId74" Type="http://schemas.openxmlformats.org/officeDocument/2006/relationships/hyperlink" Target="https://mcvuk.com/business-news/when-we-made-wildfrost/" TargetMode="External"/><Relationship Id="rId377" Type="http://schemas.openxmlformats.org/officeDocument/2006/relationships/hyperlink" Target="https://www.reddit.com/r/Games/comments/vftn02/pawnbarian_j4nw_a_chessinspired_tactical_puzzle/" TargetMode="External"/><Relationship Id="rId500" Type="http://schemas.openxmlformats.org/officeDocument/2006/relationships/hyperlink" Target="https://bscotch.itch.io/how-many-dudes" TargetMode="External"/><Relationship Id="rId584" Type="http://schemas.openxmlformats.org/officeDocument/2006/relationships/hyperlink" Target="https://x.com/kagaya_wqy/status/1152559201945677825" TargetMode="External"/><Relationship Id="rId5" Type="http://schemas.openxmlformats.org/officeDocument/2006/relationships/hyperlink" Target="https://www.patreon.com/roguempire/about" TargetMode="External"/><Relationship Id="rId237" Type="http://schemas.openxmlformats.org/officeDocument/2006/relationships/hyperlink" Target="https://www.reddit.com/r/indiegames/comments/1gg9w9m/the_new_luck_be_a_landlordstyle_game_dog_and/" TargetMode="External"/><Relationship Id="rId444" Type="http://schemas.openxmlformats.org/officeDocument/2006/relationships/hyperlink" Target="https://www.reddit.com/r/Games/comments/2e7eti/hello_rgames_we_are_the_creators_of_the_roguelike/" TargetMode="External"/><Relationship Id="rId651" Type="http://schemas.openxmlformats.org/officeDocument/2006/relationships/hyperlink" Target="https://x.com/MasksOfTheVoid/status/2084174185505448157?s=20" TargetMode="External"/><Relationship Id="rId290" Type="http://schemas.openxmlformats.org/officeDocument/2006/relationships/hyperlink" Target="https://youtu.be/ShnrIAmnN8I" TargetMode="External"/><Relationship Id="rId304" Type="http://schemas.openxmlformats.org/officeDocument/2006/relationships/hyperlink" Target="https://www.reddit.com/r/pcgaming/comments/1p30oqw/were_big_distraction_an_indie_studio_founded_by/" TargetMode="External"/><Relationship Id="rId388" Type="http://schemas.openxmlformats.org/officeDocument/2006/relationships/hyperlink" Target="https://x.com/tjgamedev/status/1850115152118796296" TargetMode="External"/><Relationship Id="rId511" Type="http://schemas.openxmlformats.org/officeDocument/2006/relationships/hyperlink" Target="https://caifuhao.eastmoney.com/news/20260725235351583816280" TargetMode="External"/><Relationship Id="rId609" Type="http://schemas.openxmlformats.org/officeDocument/2006/relationships/hyperlink" Target="https://x.com/sparklewing925/status/1926056500113346640" TargetMode="External"/><Relationship Id="rId85" Type="http://schemas.openxmlformats.org/officeDocument/2006/relationships/hyperlink" Target="https://iratus.org/faq" TargetMode="External"/><Relationship Id="rId150" Type="http://schemas.openxmlformats.org/officeDocument/2006/relationships/hyperlink" Target="https://fextralife.com/odinfall-a-new-viking-themed-roguelite-coming-to-early-access/" TargetMode="External"/><Relationship Id="rId595" Type="http://schemas.openxmlformats.org/officeDocument/2006/relationships/hyperlink" Target="https://www.shadowofthewyrm.org/about.html" TargetMode="External"/><Relationship Id="rId248" Type="http://schemas.openxmlformats.org/officeDocument/2006/relationships/hyperlink" Target="https://roguebasin.com/index.php/Angband" TargetMode="External"/><Relationship Id="rId455" Type="http://schemas.openxmlformats.org/officeDocument/2006/relationships/hyperlink" Target="https://www.polygon.com/2013/6/20/4439320/our-darker-purpose-kickstarter-avidly-wild-games/" TargetMode="External"/><Relationship Id="rId12" Type="http://schemas.openxmlformats.org/officeDocument/2006/relationships/hyperlink" Target="https://roguebasin.com/index.php/Zangband" TargetMode="External"/><Relationship Id="rId108" Type="http://schemas.openxmlformats.org/officeDocument/2006/relationships/hyperlink" Target="https://www.youtube.com/watch?v=txv0XsRrFwo" TargetMode="External"/><Relationship Id="rId315" Type="http://schemas.openxmlformats.org/officeDocument/2006/relationships/hyperlink" Target="https://segadoes.com/2017/06/16/fatal-labyrinth/" TargetMode="External"/><Relationship Id="rId522" Type="http://schemas.openxmlformats.org/officeDocument/2006/relationships/hyperlink" Target="https://x.com/hellmaidengame/status/1929946431311241324" TargetMode="External"/><Relationship Id="rId96" Type="http://schemas.openxmlformats.org/officeDocument/2006/relationships/hyperlink" Target="https://www.thecgview.com/p/roboquest-developer-interview" TargetMode="External"/><Relationship Id="rId161" Type="http://schemas.openxmlformats.org/officeDocument/2006/relationships/hyperlink" Target="https://medium.com/@morganjaffit/games-dont-credit-their-influences-they-should-a32e9904d800" TargetMode="External"/><Relationship Id="rId399" Type="http://schemas.openxmlformats.org/officeDocument/2006/relationships/hyperlink" Target="https://youtu.be/cX-tottt9i0" TargetMode="External"/><Relationship Id="rId259" Type="http://schemas.openxmlformats.org/officeDocument/2006/relationships/hyperlink" Target="http://roguebasin.com/index.php/IVAN" TargetMode="External"/><Relationship Id="rId466" Type="http://schemas.openxmlformats.org/officeDocument/2006/relationships/hyperlink" Target="https://www.youtube.com/watch?v=giIIoIKntnw" TargetMode="External"/><Relationship Id="rId23" Type="http://schemas.openxmlformats.org/officeDocument/2006/relationships/hyperlink" Target="https://store.steampowered.com/app/3823370/Beyond_Words/" TargetMode="External"/><Relationship Id="rId119" Type="http://schemas.openxmlformats.org/officeDocument/2006/relationships/hyperlink" Target="https://www.fanbyte.com/legacy/shovel-knight-dig-interview" TargetMode="External"/><Relationship Id="rId326" Type="http://schemas.openxmlformats.org/officeDocument/2006/relationships/hyperlink" Target="https://www.reddit.com/r/IndieGaming/comments/1pji5gu/dunjungle_the_monkey_action_roguelite_is_out_on/" TargetMode="External"/><Relationship Id="rId533" Type="http://schemas.openxmlformats.org/officeDocument/2006/relationships/hyperlink" Target="https://zenorogue.blogspot.com/search/label/sources" TargetMode="External"/><Relationship Id="rId172" Type="http://schemas.openxmlformats.org/officeDocument/2006/relationships/hyperlink" Target="https://www.emuglx.org/reportaze/interview/exclusive-switchcars-interview/" TargetMode="External"/><Relationship Id="rId477" Type="http://schemas.openxmlformats.org/officeDocument/2006/relationships/hyperlink" Target="https://store.steampowered.com/app/1229260/Monster_Girls_and_the_Mysterious_Adventure/" TargetMode="External"/><Relationship Id="rId600" Type="http://schemas.openxmlformats.org/officeDocument/2006/relationships/hyperlink" Target="https://x.com/TheFeebleMinds/status/2027340299630989393" TargetMode="External"/><Relationship Id="rId337" Type="http://schemas.openxmlformats.org/officeDocument/2006/relationships/hyperlink" Target="https://www.reddit.com/r/Games/comments/10uappd/the_ouroboros_king_oriol_cosp_chess_based/" TargetMode="External"/><Relationship Id="rId34"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544" Type="http://schemas.openxmlformats.org/officeDocument/2006/relationships/hyperlink" Target="https://roguebasin.com/index.php/Sword_of_the_Stars:_The_Pit" TargetMode="External"/><Relationship Id="rId183" Type="http://schemas.openxmlformats.org/officeDocument/2006/relationships/hyperlink" Target="https://roguebasin.com/index.php/GearHead" TargetMode="External"/><Relationship Id="rId390" Type="http://schemas.openxmlformats.org/officeDocument/2006/relationships/hyperlink" Target="https://www.reddit.com/r/slaythespire/comments/173zdvp/i_am_a_solo_developer_working_on_the_last_flame_a/" TargetMode="External"/><Relationship Id="rId404" Type="http://schemas.openxmlformats.org/officeDocument/2006/relationships/hyperlink" Target="https://store.steampowered.com/app/2308000/Centipede_Gun/" TargetMode="External"/><Relationship Id="rId611" Type="http://schemas.openxmlformats.org/officeDocument/2006/relationships/hyperlink" Target="https://x.com/sparklewing925/status/1926056500113346640" TargetMode="External"/><Relationship Id="rId250" Type="http://schemas.openxmlformats.org/officeDocument/2006/relationships/hyperlink" Target="https://www.gamedeveloper.com/business/marketing-on-the-app-store-the-cautionary-tale-of-i-100-rogues-i-" TargetMode="External"/><Relationship Id="rId488" Type="http://schemas.openxmlformats.org/officeDocument/2006/relationships/hyperlink" Target="https://store.steampowered.com/app/2479320/Pesticide_Not_Required/" TargetMode="External"/><Relationship Id="rId45" Type="http://schemas.openxmlformats.org/officeDocument/2006/relationships/hyperlink" Target="https://store.steampowered.com/app/3205380/Omelet_You_Cook/" TargetMode="External"/><Relationship Id="rId110" Type="http://schemas.openxmlformats.org/officeDocument/2006/relationships/hyperlink" Target="https://www.reddit.com/r/NintendoSwitch/comments/75yryq/hi_we_are_the_molasses_flood_creators_of_the/" TargetMode="External"/><Relationship Id="rId348" Type="http://schemas.openxmlformats.org/officeDocument/2006/relationships/hyperlink" Target="https://www.reddit.com/r/Games/comments/czn9i5/were_the_developers_of_atomicrops_an_action/" TargetMode="External"/><Relationship Id="rId555" Type="http://schemas.openxmlformats.org/officeDocument/2006/relationships/hyperlink" Target="https://www.reddit.com/r/Games/comments/2osauc/hi_rgames_were_a_group_of_aaa_and_exaaa/" TargetMode="External"/><Relationship Id="rId194" Type="http://schemas.openxmlformats.org/officeDocument/2006/relationships/hyperlink" Target="https://twotinydice.itch.io/forward/devlog/355393/development-update-2-new-game-mode-cool-features" TargetMode="External"/><Relationship Id="rId208" Type="http://schemas.openxmlformats.org/officeDocument/2006/relationships/hyperlink" Target="https://youtu.be/VGMszILvj78" TargetMode="External"/><Relationship Id="rId415" Type="http://schemas.openxmlformats.org/officeDocument/2006/relationships/hyperlink" Target="https://wesleyjkurtz.wixsite.com/orangedrop/post/mana-spark-kishimoto-studios-indie-devs-behemutt-an-in-depth-interview" TargetMode="External"/><Relationship Id="rId622" Type="http://schemas.openxmlformats.org/officeDocument/2006/relationships/hyperlink" Target="https://x.com/cleanfallgame/status/1958500517597876299?s=20" TargetMode="External"/><Relationship Id="rId261" Type="http://schemas.openxmlformats.org/officeDocument/2006/relationships/hyperlink" Target="https://roguebasin.com/index.php/Linley%27s_Dungeon_Crawl" TargetMode="External"/><Relationship Id="rId499" Type="http://schemas.openxmlformats.org/officeDocument/2006/relationships/hyperlink" Target="https://youtu.be/VGMszILvj78" TargetMode="External"/><Relationship Id="rId56" Type="http://schemas.openxmlformats.org/officeDocument/2006/relationships/hyperlink" Target="https://store.steampowered.com/app/2225960/Noobs_Are_Coming/" TargetMode="External"/><Relationship Id="rId359" Type="http://schemas.openxmlformats.org/officeDocument/2006/relationships/hyperlink" Target="https://youtu.be/VGMszILvj78" TargetMode="External"/><Relationship Id="rId566" Type="http://schemas.openxmlformats.org/officeDocument/2006/relationships/hyperlink" Target="https://roguesnail.com/hell-clock-our-new-roguelike-arpg-in-a-dark-fantasy-twist-on-brazils-war-of-canudos/" TargetMode="External"/><Relationship Id="rId121" Type="http://schemas.openxmlformats.org/officeDocument/2006/relationships/hyperlink" Target="https://store.steampowered.com/app/496620/Monster_Slayers/" TargetMode="External"/><Relationship Id="rId219" Type="http://schemas.openxmlformats.org/officeDocument/2006/relationships/hyperlink" Target="https://en.wikipedia.org/wiki/Backpack_Hero" TargetMode="External"/><Relationship Id="rId426" Type="http://schemas.openxmlformats.org/officeDocument/2006/relationships/hyperlink" Target="https://www.youtube.com/watch?v=7SjRhK9wdEE" TargetMode="External"/><Relationship Id="rId633" Type="http://schemas.openxmlformats.org/officeDocument/2006/relationships/hyperlink" Target="https://x.com/Mudita_Games/status/1988179400454500794" TargetMode="External"/><Relationship Id="rId67" Type="http://schemas.openxmlformats.org/officeDocument/2006/relationships/hyperlink" Target="https://malcolmsith.newgrounds.com/news/post/1504514" TargetMode="External"/><Relationship Id="rId272" Type="http://schemas.openxmlformats.org/officeDocument/2006/relationships/hyperlink" Target="https://www.youtube.com/watch?v=7SjRhK9wdEE" TargetMode="External"/><Relationship Id="rId577" Type="http://schemas.openxmlformats.org/officeDocument/2006/relationships/hyperlink" Target="https://www.youtube.com/watch?v=DASCE8BbvOI&amp;t=1s" TargetMode="External"/><Relationship Id="rId132" Type="http://schemas.openxmlformats.org/officeDocument/2006/relationships/hyperlink" Target="https://www.roguebasin.com/index.php/I_Am_Overburdened" TargetMode="External"/><Relationship Id="rId437" Type="http://schemas.openxmlformats.org/officeDocument/2006/relationships/hyperlink" Target="https://www.reddit.com/r/IAmA/comments/4po4pn/i_am_the_developer_of_20xx_the_megaman_xinspired/" TargetMode="External"/><Relationship Id="rId644" Type="http://schemas.openxmlformats.org/officeDocument/2006/relationships/hyperlink" Target="https://x.com/studio_goblinz/status/1703121970680807815?s=20" TargetMode="External"/><Relationship Id="rId283" Type="http://schemas.openxmlformats.org/officeDocument/2006/relationships/hyperlink" Target="https://www.thecgview.com/p/roboquest-developer-interview" TargetMode="External"/><Relationship Id="rId490" Type="http://schemas.openxmlformats.org/officeDocument/2006/relationships/hyperlink" Target="https://www.reddit.com/r/Games/comments/196wldd/swarm_grinder_last_bite_games_a_roguelite_game/" TargetMode="External"/><Relationship Id="rId504" Type="http://schemas.openxmlformats.org/officeDocument/2006/relationships/hyperlink" Target="https://www.moguragames.com/smokingwolfinterview/" TargetMode="External"/><Relationship Id="rId78" Type="http://schemas.openxmlformats.org/officeDocument/2006/relationships/hyperlink" Target="https://www.kickstarter.com/projects/thermitegames/corpse-keeper" TargetMode="External"/><Relationship Id="rId143" Type="http://schemas.openxmlformats.org/officeDocument/2006/relationships/hyperlink" Target="https://www.reddit.com/r/Games/comments/v2kcsr/ama_were_the_team_behind_akxolotl_a_cute_but/" TargetMode="External"/><Relationship Id="rId350" Type="http://schemas.openxmlformats.org/officeDocument/2006/relationships/hyperlink" Target="https://steamcommunity.com/app/1803400/discussions/0/3883848697076653164/?l=hungarian" TargetMode="External"/><Relationship Id="rId588" Type="http://schemas.openxmlformats.org/officeDocument/2006/relationships/hyperlink" Target="https://games.tiscali.cz/novinky/cesky-tym-rake-in-grass-se-hlasi-se-slibnou-arkadou-rampage-knights-240475" TargetMode="External"/><Relationship Id="rId9" Type="http://schemas.openxmlformats.org/officeDocument/2006/relationships/hyperlink" Target="https://roguebasin.com/index.php/LambdaRogue" TargetMode="External"/><Relationship Id="rId210" Type="http://schemas.openxmlformats.org/officeDocument/2006/relationships/hyperlink" Target="https://youtu.be/s_I07Iq_2XM?si=AWX0JtDGVzx0vl36" TargetMode="External"/><Relationship Id="rId448" Type="http://schemas.openxmlformats.org/officeDocument/2006/relationships/hyperlink" Target="https://www.sohu.com/a/740136808_204824" TargetMode="External"/><Relationship Id="rId655" Type="http://schemas.openxmlformats.org/officeDocument/2006/relationships/hyperlink" Target="https://steamcommunity.com/app/2563800/discussions/0/4756451565242385846/" TargetMode="External"/><Relationship Id="rId294" Type="http://schemas.openxmlformats.org/officeDocument/2006/relationships/hyperlink" Target="https://www.gamedeveloper.com/business/marketing-on-the-app-store-the-cautionary-tale-of-i-100-rogues-i-" TargetMode="External"/><Relationship Id="rId308" Type="http://schemas.openxmlformats.org/officeDocument/2006/relationships/hyperlink" Target="https://rogueliker.com/vellum-inspirations/" TargetMode="External"/><Relationship Id="rId515" Type="http://schemas.openxmlformats.org/officeDocument/2006/relationships/hyperlink" Target="https://x.com/Typin_/status/2033598772677140518?s=20" TargetMode="External"/><Relationship Id="rId89" Type="http://schemas.openxmlformats.org/officeDocument/2006/relationships/hyperlink" Target="https://www.reddit.com/r/indiegames/comments/171yt60/our_first_gamevoice_of_belldonademo_release/" TargetMode="External"/><Relationship Id="rId154" Type="http://schemas.openxmlformats.org/officeDocument/2006/relationships/hyperlink" Target="https://arcanium-rise-of-akhan.xsollasitebuilder.com/" TargetMode="External"/><Relationship Id="rId361" Type="http://schemas.openxmlformats.org/officeDocument/2006/relationships/hyperlink" Target="https://www.nintendolife.com/features/only-pokemon-can-make-pokemon-dicefolk-devs-on-finding-a-voice-in-a-crowded-genre" TargetMode="External"/><Relationship Id="rId599" Type="http://schemas.openxmlformats.org/officeDocument/2006/relationships/hyperlink" Target="https://www.reddit.com/r/nintendo/comments/691a58/we_are_team_tumbleseed_and_we_launched_tumbleseed/" TargetMode="External"/><Relationship Id="rId459" Type="http://schemas.openxmlformats.org/officeDocument/2006/relationships/hyperlink" Target="https://en.wikipedia.org/wiki/Rogue_Legacy" TargetMode="External"/><Relationship Id="rId16" Type="http://schemas.openxmlformats.org/officeDocument/2006/relationships/hyperlink" Target="https://www.youtube.com/watch?v=kYUYXX5vdkU" TargetMode="External"/><Relationship Id="rId221" Type="http://schemas.openxmlformats.org/officeDocument/2006/relationships/hyperlink" Target="https://www.reddit.com/r/Games/comments/1kjulpf/fogpiercer_mad_cookies_train_building_roguelike/" TargetMode="External"/><Relationship Id="rId319" Type="http://schemas.openxmlformats.org/officeDocument/2006/relationships/hyperlink" Target="https://roguebasin.com/index.php/ROGUE-FP" TargetMode="External"/><Relationship Id="rId526" Type="http://schemas.openxmlformats.org/officeDocument/2006/relationships/hyperlink" Target="https://www.youtube.com/watch?v=SI0_xHvFIKM"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6.xml.rels><?xml version="1.0" encoding="UTF-8" standalone="yes"?>
<Relationships xmlns="http://schemas.openxmlformats.org/package/2006/relationships"><Relationship Id="rId2" Type="http://schemas.openxmlformats.org/officeDocument/2006/relationships/table" Target="../tables/table34.xml"/><Relationship Id="rId1" Type="http://schemas.openxmlformats.org/officeDocument/2006/relationships/hyperlink" Target="https://firch.github.io/BuncoWeb/" TargetMode="External"/></Relationships>
</file>

<file path=xl/worksheets/_rels/sheet37.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34"/>
  <sheetViews>
    <sheetView topLeftCell="A593" zoomScaleNormal="100" workbookViewId="0">
      <selection activeCell="A829" sqref="A829"/>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52</v>
      </c>
      <c r="B1" t="s">
        <v>10</v>
      </c>
      <c r="C1" t="s">
        <v>53</v>
      </c>
      <c r="D1" t="s">
        <v>54</v>
      </c>
      <c r="E1" t="s">
        <v>55</v>
      </c>
      <c r="F1" t="s">
        <v>56</v>
      </c>
      <c r="G1" t="s">
        <v>57</v>
      </c>
      <c r="H1" t="s">
        <v>58</v>
      </c>
      <c r="I1" t="s">
        <v>59</v>
      </c>
      <c r="J1" t="s">
        <v>60</v>
      </c>
    </row>
    <row r="2" spans="1:10" ht="15" customHeight="1" x14ac:dyDescent="0.25">
      <c r="A2" t="s">
        <v>61</v>
      </c>
      <c r="B2">
        <v>2024</v>
      </c>
      <c r="C2" t="s">
        <v>15</v>
      </c>
      <c r="D2" t="b">
        <f>TRUE()</f>
        <v>1</v>
      </c>
      <c r="E2" t="b">
        <f>COUNTIF(connections!A:A, A2) &gt; 0</f>
        <v>0</v>
      </c>
      <c r="G2" t="s">
        <v>62</v>
      </c>
    </row>
    <row r="3" spans="1:10" ht="15" customHeight="1" x14ac:dyDescent="0.25">
      <c r="A3" t="s">
        <v>63</v>
      </c>
      <c r="B3">
        <v>2010</v>
      </c>
      <c r="C3" t="s">
        <v>26</v>
      </c>
      <c r="D3" t="b">
        <f>TRUE()</f>
        <v>1</v>
      </c>
      <c r="E3" t="b">
        <f>COUNTIF(connections!A:A, A3) &gt; 0</f>
        <v>1</v>
      </c>
      <c r="G3" t="s">
        <v>64</v>
      </c>
    </row>
    <row r="4" spans="1:10" ht="15" customHeight="1" x14ac:dyDescent="0.25">
      <c r="A4" t="s">
        <v>65</v>
      </c>
      <c r="B4">
        <v>2026</v>
      </c>
      <c r="C4" t="s">
        <v>22</v>
      </c>
      <c r="D4" t="b">
        <f>TRUE()</f>
        <v>1</v>
      </c>
      <c r="E4" t="b">
        <f>COUNTIF(connections!A:A, A4) &gt; 0</f>
        <v>0</v>
      </c>
      <c r="G4" t="s">
        <v>66</v>
      </c>
      <c r="J4" s="1" t="s">
        <v>67</v>
      </c>
    </row>
    <row r="5" spans="1:10" ht="15" customHeight="1" x14ac:dyDescent="0.25">
      <c r="A5" t="s">
        <v>68</v>
      </c>
      <c r="B5">
        <v>2022</v>
      </c>
      <c r="C5" t="s">
        <v>15</v>
      </c>
      <c r="D5" t="b">
        <f>TRUE()</f>
        <v>1</v>
      </c>
      <c r="E5" t="b">
        <f>COUNTIF(connections!A:A, A5) &gt; 0</f>
        <v>1</v>
      </c>
      <c r="G5" t="s">
        <v>69</v>
      </c>
      <c r="H5" t="s">
        <v>70</v>
      </c>
      <c r="I5" t="s">
        <v>71</v>
      </c>
      <c r="J5" s="1" t="s">
        <v>72</v>
      </c>
    </row>
    <row r="6" spans="1:10" ht="15" customHeight="1" x14ac:dyDescent="0.25">
      <c r="A6" t="s">
        <v>73</v>
      </c>
      <c r="B6">
        <v>2017</v>
      </c>
      <c r="C6" t="s">
        <v>15</v>
      </c>
      <c r="D6" t="b">
        <f>TRUE()</f>
        <v>1</v>
      </c>
      <c r="E6" t="b">
        <f>COUNTIF(connections!A:A, A6) &gt; 0</f>
        <v>1</v>
      </c>
      <c r="G6" t="s">
        <v>74</v>
      </c>
      <c r="H6" t="s">
        <v>70</v>
      </c>
      <c r="I6" t="s">
        <v>75</v>
      </c>
      <c r="J6" s="1" t="s">
        <v>76</v>
      </c>
    </row>
    <row r="7" spans="1:10" ht="15" customHeight="1" x14ac:dyDescent="0.25">
      <c r="A7" t="s">
        <v>77</v>
      </c>
      <c r="B7">
        <v>2021</v>
      </c>
      <c r="C7" t="s">
        <v>15</v>
      </c>
      <c r="D7" t="b">
        <f>TRUE()</f>
        <v>1</v>
      </c>
      <c r="E7" t="b">
        <f>COUNTIF(connections!A:A, A7) &gt; 0</f>
        <v>0</v>
      </c>
      <c r="G7" t="s">
        <v>78</v>
      </c>
      <c r="H7" t="s">
        <v>70</v>
      </c>
      <c r="I7" t="s">
        <v>79</v>
      </c>
      <c r="J7" s="1" t="s">
        <v>80</v>
      </c>
    </row>
    <row r="8" spans="1:10" ht="15" customHeight="1" x14ac:dyDescent="0.25">
      <c r="A8" t="s">
        <v>81</v>
      </c>
      <c r="B8">
        <v>2026</v>
      </c>
      <c r="C8" t="s">
        <v>15</v>
      </c>
      <c r="D8" t="b">
        <f>TRUE()</f>
        <v>1</v>
      </c>
      <c r="E8" t="b">
        <f>COUNTIF(connections!A:A, A8) &gt; 0</f>
        <v>0</v>
      </c>
      <c r="F8" t="s">
        <v>82</v>
      </c>
      <c r="G8" t="s">
        <v>83</v>
      </c>
      <c r="J8" s="1" t="s">
        <v>84</v>
      </c>
    </row>
    <row r="9" spans="1:10" ht="15" customHeight="1" x14ac:dyDescent="0.25">
      <c r="A9" t="s">
        <v>85</v>
      </c>
      <c r="B9">
        <v>2026</v>
      </c>
      <c r="C9" t="s">
        <v>26</v>
      </c>
      <c r="D9" t="b">
        <f>TRUE()</f>
        <v>1</v>
      </c>
      <c r="E9" t="b">
        <f>COUNTIF(connections!A:A, A9) &gt; 0</f>
        <v>0</v>
      </c>
      <c r="G9" t="s">
        <v>86</v>
      </c>
      <c r="J9" s="1" t="s">
        <v>87</v>
      </c>
    </row>
    <row r="10" spans="1:10" ht="15" customHeight="1" x14ac:dyDescent="0.25">
      <c r="A10" t="s">
        <v>88</v>
      </c>
      <c r="B10">
        <v>2015</v>
      </c>
      <c r="C10" t="s">
        <v>26</v>
      </c>
      <c r="D10" t="b">
        <f>TRUE()</f>
        <v>1</v>
      </c>
      <c r="E10" t="b">
        <f>COUNTIF(connections!A:A, A10) &gt; 0</f>
        <v>1</v>
      </c>
      <c r="G10" t="s">
        <v>89</v>
      </c>
      <c r="H10" t="s">
        <v>70</v>
      </c>
      <c r="I10" t="s">
        <v>90</v>
      </c>
      <c r="J10" s="1" t="s">
        <v>91</v>
      </c>
    </row>
    <row r="11" spans="1:10" ht="15" customHeight="1" x14ac:dyDescent="0.25">
      <c r="A11" t="s">
        <v>92</v>
      </c>
      <c r="B11">
        <v>2024</v>
      </c>
      <c r="C11" t="s">
        <v>22</v>
      </c>
      <c r="D11" t="b">
        <f>TRUE()</f>
        <v>1</v>
      </c>
      <c r="E11" t="b">
        <f>COUNTIF(connections!A:A, A11) &gt; 0</f>
        <v>1</v>
      </c>
      <c r="G11" t="s">
        <v>93</v>
      </c>
      <c r="H11" t="s">
        <v>70</v>
      </c>
      <c r="I11" t="s">
        <v>94</v>
      </c>
      <c r="J11" s="1" t="s">
        <v>95</v>
      </c>
    </row>
    <row r="12" spans="1:10" ht="15" customHeight="1" x14ac:dyDescent="0.25">
      <c r="A12" t="s">
        <v>96</v>
      </c>
      <c r="B12">
        <v>2013</v>
      </c>
      <c r="C12" t="s">
        <v>15</v>
      </c>
      <c r="D12" t="b">
        <f>TRUE()</f>
        <v>1</v>
      </c>
      <c r="E12" t="b">
        <f>COUNTIF(connections!A:A, A12) &gt; 0</f>
        <v>0</v>
      </c>
      <c r="F12" t="s">
        <v>82</v>
      </c>
      <c r="G12" t="s">
        <v>97</v>
      </c>
    </row>
    <row r="13" spans="1:10" ht="15" customHeight="1" x14ac:dyDescent="0.25">
      <c r="A13" t="s">
        <v>98</v>
      </c>
      <c r="B13">
        <v>2025</v>
      </c>
      <c r="C13" t="s">
        <v>22</v>
      </c>
      <c r="D13" t="b">
        <f>TRUE()</f>
        <v>1</v>
      </c>
      <c r="E13" t="b">
        <f>COUNTIF(connections!A:A, A13) &gt; 0</f>
        <v>0</v>
      </c>
      <c r="G13" t="s">
        <v>99</v>
      </c>
    </row>
    <row r="14" spans="1:10" ht="15" customHeight="1" x14ac:dyDescent="0.25">
      <c r="A14" t="s">
        <v>100</v>
      </c>
      <c r="B14">
        <v>2017</v>
      </c>
      <c r="C14" t="s">
        <v>15</v>
      </c>
      <c r="D14" t="b">
        <f>TRUE()</f>
        <v>1</v>
      </c>
      <c r="E14" t="b">
        <f>COUNTIF(connections!A:A, A14) &gt; 0</f>
        <v>0</v>
      </c>
      <c r="G14" t="s">
        <v>101</v>
      </c>
      <c r="H14" t="s">
        <v>70</v>
      </c>
      <c r="I14" t="s">
        <v>102</v>
      </c>
      <c r="J14" s="1" t="s">
        <v>103</v>
      </c>
    </row>
    <row r="15" spans="1:10" ht="15" customHeight="1" x14ac:dyDescent="0.25">
      <c r="A15" t="s">
        <v>6538</v>
      </c>
      <c r="B15">
        <v>2019</v>
      </c>
      <c r="C15" t="s">
        <v>18</v>
      </c>
      <c r="D15" t="b">
        <f>TRUE()</f>
        <v>1</v>
      </c>
      <c r="E15" t="b">
        <f>COUNTIF(connections!A:A, A15) &gt; 0</f>
        <v>0</v>
      </c>
      <c r="G15" t="s">
        <v>6539</v>
      </c>
      <c r="H15" t="s">
        <v>70</v>
      </c>
      <c r="I15" t="s">
        <v>6542</v>
      </c>
      <c r="J15" s="11" t="s">
        <v>6540</v>
      </c>
    </row>
    <row r="16" spans="1:10" ht="15" customHeight="1" x14ac:dyDescent="0.25">
      <c r="A16" t="s">
        <v>104</v>
      </c>
      <c r="B16">
        <v>2025</v>
      </c>
      <c r="C16" t="s">
        <v>15</v>
      </c>
      <c r="D16" t="b">
        <f>TRUE()</f>
        <v>1</v>
      </c>
      <c r="E16" t="b">
        <f>COUNTIF(connections!A:A, A16) &gt; 0</f>
        <v>0</v>
      </c>
      <c r="G16" t="s">
        <v>105</v>
      </c>
    </row>
    <row r="17" spans="1:10" ht="15" customHeight="1" x14ac:dyDescent="0.25">
      <c r="A17" t="s">
        <v>106</v>
      </c>
      <c r="B17">
        <v>2025</v>
      </c>
      <c r="C17" t="s">
        <v>15</v>
      </c>
      <c r="D17" t="b">
        <f>TRUE()</f>
        <v>1</v>
      </c>
      <c r="E17" t="b">
        <f>COUNTIF(connections!A:A, A17) &gt; 0</f>
        <v>0</v>
      </c>
      <c r="F17" t="s">
        <v>107</v>
      </c>
      <c r="G17" t="s">
        <v>108</v>
      </c>
      <c r="H17" t="s">
        <v>70</v>
      </c>
      <c r="I17" t="s">
        <v>109</v>
      </c>
      <c r="J17" s="1" t="s">
        <v>110</v>
      </c>
    </row>
    <row r="18" spans="1:10" ht="15" customHeight="1" x14ac:dyDescent="0.25">
      <c r="A18" t="s">
        <v>111</v>
      </c>
      <c r="B18">
        <v>2023</v>
      </c>
      <c r="C18" t="s">
        <v>22</v>
      </c>
      <c r="D18" t="b">
        <f>TRUE()</f>
        <v>1</v>
      </c>
      <c r="E18" t="b">
        <f>COUNTIF(connections!A:A, A18) &gt; 0</f>
        <v>0</v>
      </c>
      <c r="G18" t="s">
        <v>112</v>
      </c>
      <c r="H18" t="s">
        <v>70</v>
      </c>
      <c r="I18" t="s">
        <v>113</v>
      </c>
      <c r="J18" s="1" t="s">
        <v>114</v>
      </c>
    </row>
    <row r="19" spans="1:10" ht="15" customHeight="1" x14ac:dyDescent="0.25">
      <c r="A19" t="s">
        <v>115</v>
      </c>
      <c r="B19">
        <v>2021</v>
      </c>
      <c r="C19" t="s">
        <v>22</v>
      </c>
      <c r="D19" t="b">
        <f>TRUE()</f>
        <v>1</v>
      </c>
      <c r="E19" t="b">
        <f>COUNTIF(connections!A:A, A19) &gt; 0</f>
        <v>1</v>
      </c>
      <c r="G19" t="s">
        <v>116</v>
      </c>
      <c r="H19" t="s">
        <v>70</v>
      </c>
      <c r="I19" t="s">
        <v>117</v>
      </c>
      <c r="J19" s="1" t="s">
        <v>118</v>
      </c>
    </row>
    <row r="20" spans="1:10" ht="15" customHeight="1" x14ac:dyDescent="0.25">
      <c r="A20" t="s">
        <v>119</v>
      </c>
      <c r="B20">
        <v>2025</v>
      </c>
      <c r="C20" t="s">
        <v>18</v>
      </c>
      <c r="D20" t="b">
        <f>TRUE()</f>
        <v>1</v>
      </c>
      <c r="E20" t="b">
        <f>COUNTIF(connections!A:A, A20) &gt; 0</f>
        <v>0</v>
      </c>
      <c r="G20" t="s">
        <v>120</v>
      </c>
      <c r="H20" t="s">
        <v>70</v>
      </c>
      <c r="I20" t="s">
        <v>121</v>
      </c>
      <c r="J20" s="1" t="s">
        <v>122</v>
      </c>
    </row>
    <row r="21" spans="1:10" ht="15" customHeight="1" x14ac:dyDescent="0.25">
      <c r="A21" t="s">
        <v>123</v>
      </c>
      <c r="B21">
        <v>2023</v>
      </c>
      <c r="C21" t="s">
        <v>15</v>
      </c>
      <c r="D21" t="b">
        <f>TRUE()</f>
        <v>1</v>
      </c>
      <c r="E21" t="b">
        <f>COUNTIF(connections!A:A, A21) &gt; 0</f>
        <v>0</v>
      </c>
      <c r="G21" t="s">
        <v>124</v>
      </c>
      <c r="H21" t="s">
        <v>70</v>
      </c>
      <c r="I21" t="s">
        <v>125</v>
      </c>
      <c r="J21" s="1" t="s">
        <v>126</v>
      </c>
    </row>
    <row r="22" spans="1:10" ht="15" customHeight="1" x14ac:dyDescent="0.25">
      <c r="A22" t="s">
        <v>127</v>
      </c>
      <c r="B22">
        <v>2022</v>
      </c>
      <c r="C22" t="s">
        <v>22</v>
      </c>
      <c r="D22" t="b">
        <f>TRUE()</f>
        <v>1</v>
      </c>
      <c r="E22" t="b">
        <f>COUNTIF(connections!A:A, A22) &gt; 0</f>
        <v>0</v>
      </c>
      <c r="G22" t="s">
        <v>128</v>
      </c>
      <c r="H22" t="s">
        <v>70</v>
      </c>
      <c r="I22" t="s">
        <v>129</v>
      </c>
      <c r="J22" s="1" t="s">
        <v>130</v>
      </c>
    </row>
    <row r="23" spans="1:10" ht="15" customHeight="1" x14ac:dyDescent="0.25">
      <c r="A23" t="s">
        <v>6666</v>
      </c>
      <c r="B23">
        <v>2025</v>
      </c>
      <c r="C23" t="s">
        <v>15</v>
      </c>
      <c r="D23" t="b">
        <f>TRUE()</f>
        <v>1</v>
      </c>
      <c r="E23" t="b">
        <f>COUNTIF(connections!A:A, A23) &gt; 0</f>
        <v>0</v>
      </c>
      <c r="G23" t="s">
        <v>6667</v>
      </c>
      <c r="J23" s="11" t="s">
        <v>6668</v>
      </c>
    </row>
    <row r="24" spans="1:10" ht="15" customHeight="1" x14ac:dyDescent="0.25">
      <c r="A24" t="s">
        <v>131</v>
      </c>
      <c r="B24">
        <v>1994</v>
      </c>
      <c r="C24" t="s">
        <v>26</v>
      </c>
      <c r="D24" t="b">
        <f>TRUE()</f>
        <v>1</v>
      </c>
      <c r="E24" t="b">
        <f>COUNTIF(connections!A:A, A24) &gt; 0</f>
        <v>1</v>
      </c>
      <c r="G24" t="s">
        <v>132</v>
      </c>
      <c r="H24" t="s">
        <v>70</v>
      </c>
      <c r="I24" t="s">
        <v>133</v>
      </c>
      <c r="J24" s="1" t="s">
        <v>134</v>
      </c>
    </row>
    <row r="25" spans="1:10" ht="15" customHeight="1" x14ac:dyDescent="0.25">
      <c r="A25" t="s">
        <v>135</v>
      </c>
      <c r="B25">
        <v>1990</v>
      </c>
      <c r="C25" t="s">
        <v>26</v>
      </c>
      <c r="D25" t="b">
        <f>TRUE()</f>
        <v>1</v>
      </c>
      <c r="E25" t="b">
        <f>COUNTIF(connections!A:A, A25) &gt; 0</f>
        <v>1</v>
      </c>
      <c r="G25" t="s">
        <v>136</v>
      </c>
      <c r="H25" t="s">
        <v>70</v>
      </c>
      <c r="I25" t="s">
        <v>137</v>
      </c>
    </row>
    <row r="26" spans="1:10" ht="15" customHeight="1" x14ac:dyDescent="0.25">
      <c r="A26" t="s">
        <v>138</v>
      </c>
      <c r="B26">
        <v>2022</v>
      </c>
      <c r="C26" t="s">
        <v>18</v>
      </c>
      <c r="D26" t="b">
        <f>FALSE()</f>
        <v>0</v>
      </c>
      <c r="E26" t="b">
        <f>COUNTIF(connections!A:A, A26) &gt; 0</f>
        <v>1</v>
      </c>
      <c r="F26" t="s">
        <v>139</v>
      </c>
      <c r="G26" t="s">
        <v>140</v>
      </c>
      <c r="H26" t="s">
        <v>70</v>
      </c>
      <c r="I26" t="s">
        <v>141</v>
      </c>
      <c r="J26" s="1" t="s">
        <v>142</v>
      </c>
    </row>
    <row r="27" spans="1:10" ht="15" customHeight="1" x14ac:dyDescent="0.25">
      <c r="A27" t="s">
        <v>143</v>
      </c>
      <c r="B27">
        <v>2025</v>
      </c>
      <c r="C27" t="s">
        <v>18</v>
      </c>
      <c r="D27" t="b">
        <f>FALSE()</f>
        <v>0</v>
      </c>
      <c r="E27" t="b">
        <f>COUNTIF(connections!A:A, A27) &gt; 0</f>
        <v>0</v>
      </c>
      <c r="F27" t="s">
        <v>139</v>
      </c>
      <c r="G27" t="s">
        <v>144</v>
      </c>
    </row>
    <row r="28" spans="1:10" ht="15" customHeight="1" x14ac:dyDescent="0.25">
      <c r="A28" t="s">
        <v>145</v>
      </c>
      <c r="B28">
        <v>2024</v>
      </c>
      <c r="C28" t="s">
        <v>22</v>
      </c>
      <c r="D28" t="b">
        <f>TRUE()</f>
        <v>1</v>
      </c>
      <c r="E28" t="b">
        <f>COUNTIF(connections!A:A, A28) &gt; 0</f>
        <v>0</v>
      </c>
      <c r="F28" t="s">
        <v>146</v>
      </c>
      <c r="G28" t="s">
        <v>147</v>
      </c>
    </row>
    <row r="29" spans="1:10" ht="15" customHeight="1" x14ac:dyDescent="0.25">
      <c r="A29" t="s">
        <v>148</v>
      </c>
      <c r="B29">
        <v>2020</v>
      </c>
      <c r="C29" t="s">
        <v>26</v>
      </c>
      <c r="D29" t="b">
        <f>TRUE()</f>
        <v>1</v>
      </c>
      <c r="E29" t="b">
        <f>COUNTIF(connections!A:A, A29) &gt; 0</f>
        <v>0</v>
      </c>
      <c r="F29" t="s">
        <v>149</v>
      </c>
      <c r="G29" t="s">
        <v>150</v>
      </c>
    </row>
    <row r="30" spans="1:10" ht="15" customHeight="1" x14ac:dyDescent="0.25">
      <c r="A30" t="s">
        <v>6588</v>
      </c>
      <c r="B30">
        <v>2024</v>
      </c>
      <c r="C30" t="s">
        <v>22</v>
      </c>
      <c r="D30" t="b">
        <f>TRUE()</f>
        <v>1</v>
      </c>
      <c r="E30" t="b">
        <f>COUNTIF(connections!A:A, A30) &gt; 0</f>
        <v>0</v>
      </c>
      <c r="F30" t="s">
        <v>934</v>
      </c>
      <c r="G30" t="s">
        <v>6589</v>
      </c>
      <c r="H30" t="s">
        <v>70</v>
      </c>
      <c r="I30" t="s">
        <v>6590</v>
      </c>
      <c r="J30" s="11" t="s">
        <v>6587</v>
      </c>
    </row>
    <row r="31" spans="1:10" ht="15" customHeight="1" x14ac:dyDescent="0.25">
      <c r="A31" t="s">
        <v>151</v>
      </c>
      <c r="B31">
        <v>2025</v>
      </c>
      <c r="C31" t="s">
        <v>15</v>
      </c>
      <c r="D31" t="b">
        <f>FALSE()</f>
        <v>0</v>
      </c>
      <c r="E31" t="b">
        <f>COUNTIF(connections!A:A, A31) &gt; 0</f>
        <v>0</v>
      </c>
      <c r="G31" t="s">
        <v>152</v>
      </c>
    </row>
    <row r="32" spans="1:10" ht="15" customHeight="1" x14ac:dyDescent="0.25">
      <c r="A32" t="s">
        <v>153</v>
      </c>
      <c r="B32">
        <v>2020</v>
      </c>
      <c r="C32" t="s">
        <v>22</v>
      </c>
      <c r="D32" t="b">
        <f>TRUE()</f>
        <v>1</v>
      </c>
      <c r="E32" t="b">
        <f>COUNTIF(connections!A:A, A32) &gt; 0</f>
        <v>0</v>
      </c>
      <c r="G32" t="s">
        <v>154</v>
      </c>
      <c r="H32" t="s">
        <v>70</v>
      </c>
      <c r="I32" t="s">
        <v>155</v>
      </c>
      <c r="J32" s="1" t="s">
        <v>156</v>
      </c>
    </row>
    <row r="33" spans="1:10" ht="15" customHeight="1" x14ac:dyDescent="0.25">
      <c r="A33" t="s">
        <v>157</v>
      </c>
      <c r="B33">
        <v>2026</v>
      </c>
      <c r="C33" t="s">
        <v>22</v>
      </c>
      <c r="D33" t="b">
        <f>TRUE()</f>
        <v>1</v>
      </c>
      <c r="E33" t="b">
        <f>COUNTIF(connections!A:A, A33) &gt; 0</f>
        <v>0</v>
      </c>
      <c r="G33" t="s">
        <v>158</v>
      </c>
      <c r="J33" s="11" t="s">
        <v>159</v>
      </c>
    </row>
    <row r="34" spans="1:10" ht="15" customHeight="1" x14ac:dyDescent="0.25">
      <c r="A34" t="s">
        <v>160</v>
      </c>
      <c r="B34">
        <v>2024</v>
      </c>
      <c r="C34" t="s">
        <v>15</v>
      </c>
      <c r="D34" t="b">
        <f>TRUE()</f>
        <v>1</v>
      </c>
      <c r="E34" t="b">
        <f>COUNTIF(connections!A:A, A34) &gt; 0</f>
        <v>0</v>
      </c>
      <c r="G34" t="s">
        <v>161</v>
      </c>
      <c r="H34" t="s">
        <v>70</v>
      </c>
      <c r="I34" t="s">
        <v>162</v>
      </c>
      <c r="J34" s="1" t="s">
        <v>163</v>
      </c>
    </row>
    <row r="35" spans="1:10" ht="15" customHeight="1" x14ac:dyDescent="0.25">
      <c r="A35" t="s">
        <v>164</v>
      </c>
      <c r="B35">
        <v>2022</v>
      </c>
      <c r="C35" t="s">
        <v>15</v>
      </c>
      <c r="D35" t="b">
        <f>TRUE()</f>
        <v>1</v>
      </c>
      <c r="E35" t="b">
        <f>COUNTIF(connections!A:A, A35) &gt; 0</f>
        <v>0</v>
      </c>
      <c r="G35" t="s">
        <v>165</v>
      </c>
    </row>
    <row r="36" spans="1:10" ht="15" customHeight="1" x14ac:dyDescent="0.25">
      <c r="A36" t="s">
        <v>166</v>
      </c>
      <c r="B36">
        <v>2025</v>
      </c>
      <c r="C36" t="s">
        <v>22</v>
      </c>
      <c r="D36" t="b">
        <f>TRUE()</f>
        <v>1</v>
      </c>
      <c r="E36" t="b">
        <f>COUNTIF(connections!A:A, A36) &gt; 0</f>
        <v>0</v>
      </c>
      <c r="G36" t="s">
        <v>167</v>
      </c>
    </row>
    <row r="37" spans="1:10" ht="15" customHeight="1" x14ac:dyDescent="0.25">
      <c r="A37" t="s">
        <v>168</v>
      </c>
      <c r="B37">
        <v>2025</v>
      </c>
      <c r="C37" t="s">
        <v>22</v>
      </c>
      <c r="D37" t="b">
        <f>TRUE()</f>
        <v>1</v>
      </c>
      <c r="E37" t="b">
        <f>COUNTIF(connections!A:A, A37) &gt; 0</f>
        <v>0</v>
      </c>
      <c r="G37" t="s">
        <v>169</v>
      </c>
    </row>
    <row r="38" spans="1:10" ht="15" customHeight="1" x14ac:dyDescent="0.25">
      <c r="A38" t="s">
        <v>170</v>
      </c>
      <c r="B38">
        <v>2025</v>
      </c>
      <c r="C38" t="s">
        <v>15</v>
      </c>
      <c r="D38" t="b">
        <f>TRUE()</f>
        <v>1</v>
      </c>
      <c r="E38" t="b">
        <f>COUNTIF(connections!A:A, A38) &gt; 0</f>
        <v>0</v>
      </c>
      <c r="F38" t="s">
        <v>171</v>
      </c>
      <c r="G38" t="s">
        <v>172</v>
      </c>
      <c r="H38" t="s">
        <v>70</v>
      </c>
      <c r="I38" t="s">
        <v>173</v>
      </c>
      <c r="J38" s="1" t="s">
        <v>174</v>
      </c>
    </row>
    <row r="39" spans="1:10" ht="15" customHeight="1" x14ac:dyDescent="0.25">
      <c r="A39" t="s">
        <v>175</v>
      </c>
      <c r="B39">
        <v>2023</v>
      </c>
      <c r="C39" t="s">
        <v>15</v>
      </c>
      <c r="D39" t="b">
        <f>TRUE()</f>
        <v>1</v>
      </c>
      <c r="E39" t="b">
        <f>COUNTIF(connections!A:A, A39) &gt; 0</f>
        <v>0</v>
      </c>
      <c r="F39" t="s">
        <v>149</v>
      </c>
      <c r="G39" t="s">
        <v>176</v>
      </c>
    </row>
    <row r="40" spans="1:10" ht="15" customHeight="1" x14ac:dyDescent="0.25">
      <c r="A40" t="s">
        <v>177</v>
      </c>
      <c r="B40">
        <v>2022</v>
      </c>
      <c r="C40" t="s">
        <v>15</v>
      </c>
      <c r="D40" t="b">
        <f>TRUE()</f>
        <v>1</v>
      </c>
      <c r="E40" t="b">
        <f>COUNTIF(connections!A:A, A40) &gt; 0</f>
        <v>0</v>
      </c>
      <c r="G40" t="s">
        <v>178</v>
      </c>
      <c r="H40" t="s">
        <v>70</v>
      </c>
      <c r="I40" t="s">
        <v>179</v>
      </c>
      <c r="J40" s="1" t="s">
        <v>180</v>
      </c>
    </row>
    <row r="41" spans="1:10" ht="15" customHeight="1" x14ac:dyDescent="0.25">
      <c r="A41" t="s">
        <v>181</v>
      </c>
      <c r="B41">
        <v>2023</v>
      </c>
      <c r="C41" t="s">
        <v>22</v>
      </c>
      <c r="D41" t="b">
        <f>TRUE()</f>
        <v>1</v>
      </c>
      <c r="E41" t="b">
        <f>COUNTIF(connections!A:A, A41) &gt; 0</f>
        <v>0</v>
      </c>
      <c r="F41" t="s">
        <v>182</v>
      </c>
      <c r="G41" t="s">
        <v>183</v>
      </c>
      <c r="H41" t="s">
        <v>70</v>
      </c>
      <c r="I41" t="s">
        <v>184</v>
      </c>
      <c r="J41" s="1" t="s">
        <v>185</v>
      </c>
    </row>
    <row r="42" spans="1:10" ht="15" customHeight="1" x14ac:dyDescent="0.25">
      <c r="A42" t="s">
        <v>186</v>
      </c>
      <c r="B42">
        <v>2025</v>
      </c>
      <c r="C42" t="s">
        <v>15</v>
      </c>
      <c r="D42" t="b">
        <f>TRUE()</f>
        <v>1</v>
      </c>
      <c r="E42" t="b">
        <f>COUNTIF(connections!A:A, A42) &gt; 0</f>
        <v>0</v>
      </c>
      <c r="F42" t="s">
        <v>149</v>
      </c>
      <c r="G42" t="s">
        <v>187</v>
      </c>
      <c r="H42" t="s">
        <v>70</v>
      </c>
      <c r="I42" t="s">
        <v>188</v>
      </c>
      <c r="J42" s="1" t="s">
        <v>189</v>
      </c>
    </row>
    <row r="43" spans="1:10" ht="15" customHeight="1" x14ac:dyDescent="0.25">
      <c r="A43" t="s">
        <v>190</v>
      </c>
      <c r="B43">
        <v>2020</v>
      </c>
      <c r="C43" t="s">
        <v>18</v>
      </c>
      <c r="D43" t="b">
        <f>TRUE()</f>
        <v>1</v>
      </c>
      <c r="E43" t="b">
        <f>COUNTIF(connections!A:A, A43) &gt; 0</f>
        <v>1</v>
      </c>
      <c r="G43" t="s">
        <v>191</v>
      </c>
      <c r="H43" t="s">
        <v>70</v>
      </c>
      <c r="I43" t="s">
        <v>192</v>
      </c>
      <c r="J43" s="1" t="s">
        <v>193</v>
      </c>
    </row>
    <row r="44" spans="1:10" ht="15" customHeight="1" x14ac:dyDescent="0.25">
      <c r="A44" t="s">
        <v>6516</v>
      </c>
      <c r="B44">
        <v>2010</v>
      </c>
      <c r="C44" t="s">
        <v>26</v>
      </c>
      <c r="D44" t="b">
        <f>TRUE()</f>
        <v>1</v>
      </c>
      <c r="E44" t="b">
        <f>COUNTIF(connections!A:A, A44) &gt; 0</f>
        <v>0</v>
      </c>
      <c r="F44" t="s">
        <v>6526</v>
      </c>
      <c r="G44" t="s">
        <v>6517</v>
      </c>
    </row>
    <row r="45" spans="1:10" ht="15" customHeight="1" x14ac:dyDescent="0.25">
      <c r="A45" t="s">
        <v>6662</v>
      </c>
      <c r="B45">
        <v>2025</v>
      </c>
      <c r="C45" t="s">
        <v>15</v>
      </c>
      <c r="D45" t="b">
        <f>TRUE()</f>
        <v>1</v>
      </c>
      <c r="E45" t="b">
        <f>COUNTIF(connections!A:A, A45) &gt; 0</f>
        <v>0</v>
      </c>
      <c r="G45" t="s">
        <v>6663</v>
      </c>
      <c r="J45" s="11" t="s">
        <v>6664</v>
      </c>
    </row>
    <row r="46" spans="1:10" ht="15" customHeight="1" x14ac:dyDescent="0.25">
      <c r="A46" t="s">
        <v>194</v>
      </c>
      <c r="B46">
        <v>2020</v>
      </c>
      <c r="C46" t="s">
        <v>15</v>
      </c>
      <c r="D46" t="b">
        <f>TRUE()</f>
        <v>1</v>
      </c>
      <c r="E46" t="b">
        <f>COUNTIF(connections!A:A, A46) &gt; 0</f>
        <v>1</v>
      </c>
      <c r="F46" t="s">
        <v>139</v>
      </c>
      <c r="G46" t="s">
        <v>195</v>
      </c>
      <c r="H46" t="s">
        <v>70</v>
      </c>
      <c r="I46" t="s">
        <v>196</v>
      </c>
      <c r="J46" s="1" t="s">
        <v>197</v>
      </c>
    </row>
    <row r="47" spans="1:10" ht="15" customHeight="1" x14ac:dyDescent="0.25">
      <c r="A47" t="s">
        <v>198</v>
      </c>
      <c r="B47">
        <v>2014</v>
      </c>
      <c r="C47" t="s">
        <v>18</v>
      </c>
      <c r="D47" t="b">
        <f>TRUE()</f>
        <v>1</v>
      </c>
      <c r="E47" t="b">
        <f>COUNTIF(connections!A:A, A47) &gt; 0</f>
        <v>1</v>
      </c>
      <c r="G47" t="s">
        <v>199</v>
      </c>
    </row>
    <row r="48" spans="1:10" ht="15" customHeight="1" x14ac:dyDescent="0.25">
      <c r="A48" t="s">
        <v>200</v>
      </c>
      <c r="B48">
        <v>2025</v>
      </c>
      <c r="C48" t="s">
        <v>18</v>
      </c>
      <c r="D48" t="b">
        <f>FALSE()</f>
        <v>0</v>
      </c>
      <c r="E48" t="b">
        <f>COUNTIF(connections!A:A, A48) &gt; 0</f>
        <v>0</v>
      </c>
      <c r="G48" t="s">
        <v>201</v>
      </c>
    </row>
    <row r="49" spans="1:10" ht="15" customHeight="1" x14ac:dyDescent="0.25">
      <c r="A49" t="s">
        <v>202</v>
      </c>
      <c r="B49">
        <v>1997</v>
      </c>
      <c r="C49" t="s">
        <v>26</v>
      </c>
      <c r="D49" t="b">
        <f>TRUE()</f>
        <v>1</v>
      </c>
      <c r="E49" t="b">
        <f>COUNTIF(connections!A:A, A49) &gt; 0</f>
        <v>1</v>
      </c>
      <c r="G49" t="s">
        <v>203</v>
      </c>
    </row>
    <row r="50" spans="1:10" ht="15" customHeight="1" x14ac:dyDescent="0.25">
      <c r="A50" t="s">
        <v>204</v>
      </c>
      <c r="B50">
        <v>2023</v>
      </c>
      <c r="C50" t="s">
        <v>18</v>
      </c>
      <c r="D50" t="b">
        <f>TRUE()</f>
        <v>1</v>
      </c>
      <c r="E50" t="b">
        <f>COUNTIF(connections!A:A, A50) &gt; 0</f>
        <v>1</v>
      </c>
      <c r="G50" t="s">
        <v>205</v>
      </c>
    </row>
    <row r="51" spans="1:10" ht="15" customHeight="1" x14ac:dyDescent="0.25">
      <c r="A51" t="s">
        <v>206</v>
      </c>
      <c r="B51">
        <v>2022</v>
      </c>
      <c r="C51" t="s">
        <v>22</v>
      </c>
      <c r="D51" t="b">
        <f>TRUE()</f>
        <v>1</v>
      </c>
      <c r="E51" t="b">
        <f>COUNTIF(connections!A:A, A51) &gt; 0</f>
        <v>1</v>
      </c>
      <c r="G51" t="s">
        <v>207</v>
      </c>
      <c r="H51" t="s">
        <v>70</v>
      </c>
      <c r="I51" t="s">
        <v>208</v>
      </c>
      <c r="J51" s="1" t="s">
        <v>209</v>
      </c>
    </row>
    <row r="52" spans="1:10" ht="15" customHeight="1" x14ac:dyDescent="0.25">
      <c r="A52" t="s">
        <v>210</v>
      </c>
      <c r="B52">
        <v>2018</v>
      </c>
      <c r="C52" t="s">
        <v>18</v>
      </c>
      <c r="D52" t="b">
        <f>TRUE()</f>
        <v>1</v>
      </c>
      <c r="E52" t="b">
        <f>COUNTIF(connections!A:A, A52) &gt; 0</f>
        <v>1</v>
      </c>
      <c r="G52" t="s">
        <v>211</v>
      </c>
      <c r="H52" t="s">
        <v>70</v>
      </c>
      <c r="I52" t="s">
        <v>212</v>
      </c>
      <c r="J52" s="1" t="s">
        <v>212</v>
      </c>
    </row>
    <row r="53" spans="1:10" ht="15" customHeight="1" x14ac:dyDescent="0.25">
      <c r="A53" t="s">
        <v>213</v>
      </c>
      <c r="B53">
        <v>2023</v>
      </c>
      <c r="C53" t="s">
        <v>22</v>
      </c>
      <c r="D53" t="b">
        <f>TRUE()</f>
        <v>1</v>
      </c>
      <c r="E53" t="b">
        <f>COUNTIF(connections!A:A, A53) &gt; 0</f>
        <v>1</v>
      </c>
      <c r="F53" t="s">
        <v>214</v>
      </c>
      <c r="G53" t="s">
        <v>215</v>
      </c>
      <c r="H53" t="s">
        <v>70</v>
      </c>
      <c r="I53" t="s">
        <v>216</v>
      </c>
      <c r="J53" s="1" t="s">
        <v>217</v>
      </c>
    </row>
    <row r="54" spans="1:10" ht="15" customHeight="1" x14ac:dyDescent="0.25">
      <c r="A54" t="s">
        <v>218</v>
      </c>
      <c r="B54">
        <v>2020</v>
      </c>
      <c r="C54" t="s">
        <v>18</v>
      </c>
      <c r="D54" t="b">
        <f>TRUE()</f>
        <v>1</v>
      </c>
      <c r="E54" t="b">
        <f>COUNTIF(connections!A:A, A54) &gt; 0</f>
        <v>0</v>
      </c>
      <c r="G54" t="s">
        <v>219</v>
      </c>
    </row>
    <row r="55" spans="1:10" ht="15" customHeight="1" x14ac:dyDescent="0.25">
      <c r="A55" t="s">
        <v>220</v>
      </c>
      <c r="B55">
        <v>2025</v>
      </c>
      <c r="C55" t="s">
        <v>15</v>
      </c>
      <c r="D55" t="b">
        <f>TRUE()</f>
        <v>1</v>
      </c>
      <c r="E55" t="b">
        <f>COUNTIF(connections!A:A, A55) &gt; 0</f>
        <v>0</v>
      </c>
      <c r="G55" t="s">
        <v>221</v>
      </c>
      <c r="H55" t="s">
        <v>70</v>
      </c>
      <c r="I55" t="s">
        <v>222</v>
      </c>
      <c r="J55" s="1" t="s">
        <v>223</v>
      </c>
    </row>
    <row r="56" spans="1:10" ht="15" customHeight="1" x14ac:dyDescent="0.25">
      <c r="A56" t="s">
        <v>224</v>
      </c>
      <c r="B56">
        <v>2024</v>
      </c>
      <c r="C56" t="s">
        <v>22</v>
      </c>
      <c r="D56" t="b">
        <f>TRUE()</f>
        <v>1</v>
      </c>
      <c r="E56" t="b">
        <f>COUNTIF(connections!A:A, A56) &gt; 0</f>
        <v>1</v>
      </c>
      <c r="F56" t="s">
        <v>214</v>
      </c>
      <c r="G56" t="s">
        <v>225</v>
      </c>
      <c r="H56" t="s">
        <v>70</v>
      </c>
      <c r="I56" t="s">
        <v>226</v>
      </c>
      <c r="J56" s="1" t="s">
        <v>227</v>
      </c>
    </row>
    <row r="57" spans="1:10" ht="15" customHeight="1" x14ac:dyDescent="0.25">
      <c r="A57" t="s">
        <v>228</v>
      </c>
      <c r="B57">
        <v>2020</v>
      </c>
      <c r="C57" t="s">
        <v>22</v>
      </c>
      <c r="D57" t="b">
        <f>TRUE()</f>
        <v>1</v>
      </c>
      <c r="E57" t="b">
        <f>COUNTIF(connections!A:A, A57) &gt; 0</f>
        <v>0</v>
      </c>
      <c r="G57" t="s">
        <v>229</v>
      </c>
      <c r="H57" t="s">
        <v>70</v>
      </c>
      <c r="I57" t="s">
        <v>230</v>
      </c>
      <c r="J57" s="1" t="s">
        <v>231</v>
      </c>
    </row>
    <row r="58" spans="1:10" ht="15" customHeight="1" x14ac:dyDescent="0.25">
      <c r="A58" t="s">
        <v>6652</v>
      </c>
      <c r="B58">
        <v>2026</v>
      </c>
      <c r="C58" t="s">
        <v>18</v>
      </c>
      <c r="D58" t="b">
        <f>TRUE()</f>
        <v>1</v>
      </c>
      <c r="E58" t="b">
        <f>COUNTIF(connections!A:A, A58) &gt; 0</f>
        <v>0</v>
      </c>
      <c r="G58" t="s">
        <v>6653</v>
      </c>
      <c r="J58" s="11" t="s">
        <v>6654</v>
      </c>
    </row>
    <row r="59" spans="1:10" ht="15" customHeight="1" x14ac:dyDescent="0.25">
      <c r="A59" t="s">
        <v>232</v>
      </c>
      <c r="B59">
        <v>2015</v>
      </c>
      <c r="C59" t="s">
        <v>15</v>
      </c>
      <c r="D59" t="b">
        <f>TRUE()</f>
        <v>1</v>
      </c>
      <c r="E59" t="b">
        <f>COUNTIF(connections!A:A, A59) &gt; 0</f>
        <v>0</v>
      </c>
      <c r="G59" t="s">
        <v>233</v>
      </c>
      <c r="H59" t="s">
        <v>70</v>
      </c>
      <c r="I59" t="s">
        <v>234</v>
      </c>
      <c r="J59" s="1" t="s">
        <v>235</v>
      </c>
    </row>
    <row r="60" spans="1:10" ht="15" customHeight="1" x14ac:dyDescent="0.25">
      <c r="A60" t="s">
        <v>236</v>
      </c>
      <c r="B60">
        <v>1998</v>
      </c>
      <c r="C60" t="s">
        <v>15</v>
      </c>
      <c r="D60" t="b">
        <f>TRUE()</f>
        <v>1</v>
      </c>
      <c r="E60" t="b">
        <f>COUNTIF(connections!A:A, A60) &gt; 0</f>
        <v>1</v>
      </c>
      <c r="G60" t="s">
        <v>237</v>
      </c>
    </row>
    <row r="61" spans="1:10" ht="15" customHeight="1" x14ac:dyDescent="0.25">
      <c r="A61" t="s">
        <v>238</v>
      </c>
      <c r="B61">
        <v>2007</v>
      </c>
      <c r="C61" t="s">
        <v>15</v>
      </c>
      <c r="D61" t="b">
        <f>FALSE()</f>
        <v>0</v>
      </c>
      <c r="E61" t="b">
        <f>COUNTIF(connections!A:A, A61) &gt; 0</f>
        <v>0</v>
      </c>
      <c r="G61" t="s">
        <v>239</v>
      </c>
    </row>
    <row r="62" spans="1:10" ht="15" customHeight="1" x14ac:dyDescent="0.25">
      <c r="A62" t="s">
        <v>240</v>
      </c>
      <c r="B62">
        <v>2017</v>
      </c>
      <c r="C62" t="s">
        <v>18</v>
      </c>
      <c r="D62" t="b">
        <f>TRUE()</f>
        <v>1</v>
      </c>
      <c r="E62" t="b">
        <f>COUNTIF(connections!A:A, A62) &gt; 0</f>
        <v>1</v>
      </c>
      <c r="G62" t="s">
        <v>241</v>
      </c>
      <c r="H62" t="s">
        <v>70</v>
      </c>
      <c r="I62" t="s">
        <v>242</v>
      </c>
      <c r="J62" s="1" t="s">
        <v>243</v>
      </c>
    </row>
    <row r="63" spans="1:10" ht="15" customHeight="1" x14ac:dyDescent="0.25">
      <c r="A63" t="s">
        <v>244</v>
      </c>
      <c r="B63">
        <v>2023</v>
      </c>
      <c r="C63" t="s">
        <v>15</v>
      </c>
      <c r="D63" t="b">
        <f>TRUE()</f>
        <v>1</v>
      </c>
      <c r="E63" t="b">
        <f>COUNTIF(connections!A:A, A63) &gt; 0</f>
        <v>0</v>
      </c>
      <c r="G63" t="s">
        <v>245</v>
      </c>
      <c r="H63" t="s">
        <v>70</v>
      </c>
      <c r="I63" t="s">
        <v>246</v>
      </c>
      <c r="J63" s="1" t="s">
        <v>247</v>
      </c>
    </row>
    <row r="64" spans="1:10" ht="15" customHeight="1" x14ac:dyDescent="0.25">
      <c r="A64" t="s">
        <v>248</v>
      </c>
      <c r="B64">
        <v>2025</v>
      </c>
      <c r="C64" t="s">
        <v>22</v>
      </c>
      <c r="D64" t="b">
        <f>TRUE()</f>
        <v>1</v>
      </c>
      <c r="E64" t="b">
        <f>COUNTIF(connections!A:A, A64) &gt; 0</f>
        <v>0</v>
      </c>
      <c r="G64" t="s">
        <v>249</v>
      </c>
    </row>
    <row r="65" spans="1:10" ht="15" customHeight="1" x14ac:dyDescent="0.25">
      <c r="A65" t="s">
        <v>250</v>
      </c>
      <c r="B65">
        <v>2024</v>
      </c>
      <c r="C65" t="s">
        <v>15</v>
      </c>
      <c r="D65" t="b">
        <f>TRUE()</f>
        <v>1</v>
      </c>
      <c r="E65" t="b">
        <f>COUNTIF(connections!A:A, A65) &gt; 0</f>
        <v>0</v>
      </c>
      <c r="G65" t="s">
        <v>251</v>
      </c>
      <c r="H65" t="s">
        <v>70</v>
      </c>
      <c r="I65" t="s">
        <v>252</v>
      </c>
      <c r="J65" s="1" t="s">
        <v>253</v>
      </c>
    </row>
    <row r="66" spans="1:10" ht="15" customHeight="1" x14ac:dyDescent="0.25">
      <c r="A66" t="s">
        <v>254</v>
      </c>
      <c r="B66">
        <v>2020</v>
      </c>
      <c r="C66" t="s">
        <v>15</v>
      </c>
      <c r="D66" t="b">
        <f>FALSE()</f>
        <v>0</v>
      </c>
      <c r="E66" t="b">
        <f>COUNTIF(connections!A:A, A66) &gt; 0</f>
        <v>0</v>
      </c>
      <c r="F66" t="s">
        <v>255</v>
      </c>
      <c r="G66" t="s">
        <v>256</v>
      </c>
      <c r="H66" t="s">
        <v>70</v>
      </c>
      <c r="I66" t="s">
        <v>257</v>
      </c>
      <c r="J66" s="1" t="s">
        <v>258</v>
      </c>
    </row>
    <row r="67" spans="1:10" ht="15" customHeight="1" x14ac:dyDescent="0.25">
      <c r="A67" t="s">
        <v>259</v>
      </c>
      <c r="B67">
        <v>2024</v>
      </c>
      <c r="C67" t="s">
        <v>18</v>
      </c>
      <c r="D67" t="b">
        <f>TRUE()</f>
        <v>1</v>
      </c>
      <c r="E67" t="b">
        <f>COUNTIF(connections!A:A, A67) &gt; 0</f>
        <v>0</v>
      </c>
      <c r="F67" t="s">
        <v>260</v>
      </c>
      <c r="G67" t="s">
        <v>261</v>
      </c>
      <c r="H67" t="s">
        <v>70</v>
      </c>
      <c r="I67" t="s">
        <v>262</v>
      </c>
      <c r="J67" s="1" t="s">
        <v>263</v>
      </c>
    </row>
    <row r="68" spans="1:10" ht="15" customHeight="1" x14ac:dyDescent="0.25">
      <c r="A68" t="s">
        <v>264</v>
      </c>
      <c r="B68">
        <v>1978</v>
      </c>
      <c r="C68" t="s">
        <v>26</v>
      </c>
      <c r="D68" t="b">
        <f>FALSE()</f>
        <v>0</v>
      </c>
      <c r="E68" t="b">
        <f>COUNTIF(connections!A:A, A68) &gt; 0</f>
        <v>0</v>
      </c>
      <c r="G68" t="s">
        <v>265</v>
      </c>
      <c r="H68" t="s">
        <v>70</v>
      </c>
      <c r="I68" t="s">
        <v>266</v>
      </c>
    </row>
    <row r="69" spans="1:10" ht="15" customHeight="1" x14ac:dyDescent="0.25">
      <c r="A69" t="s">
        <v>267</v>
      </c>
      <c r="B69">
        <v>2022</v>
      </c>
      <c r="C69" t="s">
        <v>22</v>
      </c>
      <c r="D69" t="b">
        <f>TRUE()</f>
        <v>1</v>
      </c>
      <c r="E69" t="b">
        <f>COUNTIF(connections!A:A, A69) &gt; 0</f>
        <v>0</v>
      </c>
      <c r="G69" t="s">
        <v>268</v>
      </c>
      <c r="H69" t="s">
        <v>70</v>
      </c>
      <c r="I69" t="s">
        <v>269</v>
      </c>
      <c r="J69" s="1" t="s">
        <v>270</v>
      </c>
    </row>
    <row r="70" spans="1:10" ht="15" customHeight="1" x14ac:dyDescent="0.25">
      <c r="A70" t="s">
        <v>271</v>
      </c>
      <c r="B70">
        <v>2023</v>
      </c>
      <c r="C70" t="s">
        <v>15</v>
      </c>
      <c r="D70" t="b">
        <f>TRUE()</f>
        <v>1</v>
      </c>
      <c r="E70" t="b">
        <f>COUNTIF(connections!A:A, A70) &gt; 0</f>
        <v>0</v>
      </c>
      <c r="G70" t="s">
        <v>272</v>
      </c>
      <c r="H70" t="s">
        <v>70</v>
      </c>
      <c r="I70" t="s">
        <v>273</v>
      </c>
      <c r="J70" s="1" t="s">
        <v>274</v>
      </c>
    </row>
    <row r="71" spans="1:10" ht="15" customHeight="1" x14ac:dyDescent="0.25">
      <c r="A71" t="s">
        <v>275</v>
      </c>
      <c r="B71">
        <v>2026</v>
      </c>
      <c r="C71" t="s">
        <v>22</v>
      </c>
      <c r="D71" t="b">
        <f>TRUE()</f>
        <v>1</v>
      </c>
      <c r="E71" t="b">
        <f>COUNTIF(connections!A:A, A71) &gt; 0</f>
        <v>0</v>
      </c>
      <c r="G71" t="s">
        <v>276</v>
      </c>
    </row>
    <row r="72" spans="1:10" ht="15" customHeight="1" x14ac:dyDescent="0.25">
      <c r="A72" t="s">
        <v>277</v>
      </c>
      <c r="B72">
        <v>2024</v>
      </c>
      <c r="C72" t="s">
        <v>22</v>
      </c>
      <c r="D72" t="b">
        <f>TRUE()</f>
        <v>1</v>
      </c>
      <c r="E72" t="b">
        <f>COUNTIF(connections!A:A, A72) &gt; 0</f>
        <v>0</v>
      </c>
      <c r="F72" t="s">
        <v>214</v>
      </c>
      <c r="G72" t="s">
        <v>278</v>
      </c>
      <c r="H72" t="s">
        <v>70</v>
      </c>
      <c r="I72" t="s">
        <v>279</v>
      </c>
      <c r="J72" s="1" t="s">
        <v>280</v>
      </c>
    </row>
    <row r="73" spans="1:10" ht="15" customHeight="1" x14ac:dyDescent="0.25">
      <c r="A73" t="s">
        <v>6409</v>
      </c>
      <c r="B73">
        <v>2022</v>
      </c>
      <c r="C73" t="s">
        <v>15</v>
      </c>
      <c r="D73" t="b">
        <f>TRUE()</f>
        <v>1</v>
      </c>
      <c r="E73" t="b">
        <f>COUNTIF(connections!A:A, A73) &gt; 0</f>
        <v>0</v>
      </c>
      <c r="G73" t="s">
        <v>6410</v>
      </c>
      <c r="J73" s="11" t="s">
        <v>6411</v>
      </c>
    </row>
    <row r="74" spans="1:10" ht="15" customHeight="1" x14ac:dyDescent="0.25">
      <c r="A74" t="s">
        <v>6352</v>
      </c>
      <c r="B74">
        <v>2026</v>
      </c>
      <c r="C74" t="s">
        <v>22</v>
      </c>
      <c r="D74" t="b">
        <f>TRUE()</f>
        <v>1</v>
      </c>
      <c r="E74" t="b">
        <f>COUNTIF(connections!A:A, A74) &gt; 0</f>
        <v>0</v>
      </c>
      <c r="F74" t="s">
        <v>214</v>
      </c>
      <c r="G74" t="s">
        <v>6353</v>
      </c>
      <c r="J74" s="11" t="s">
        <v>6354</v>
      </c>
    </row>
    <row r="75" spans="1:10" ht="15" customHeight="1" x14ac:dyDescent="0.25">
      <c r="A75" t="s">
        <v>281</v>
      </c>
      <c r="B75">
        <v>2019</v>
      </c>
      <c r="C75" t="s">
        <v>15</v>
      </c>
      <c r="D75" t="b">
        <f>TRUE()</f>
        <v>1</v>
      </c>
      <c r="E75" t="b">
        <f>COUNTIF(connections!A:A, A75) &gt; 0</f>
        <v>0</v>
      </c>
      <c r="G75" t="s">
        <v>282</v>
      </c>
      <c r="H75" t="s">
        <v>70</v>
      </c>
      <c r="I75" t="s">
        <v>283</v>
      </c>
      <c r="J75" s="1" t="s">
        <v>284</v>
      </c>
    </row>
    <row r="76" spans="1:10" ht="15" customHeight="1" x14ac:dyDescent="0.25">
      <c r="A76" t="s">
        <v>285</v>
      </c>
      <c r="B76">
        <v>2019</v>
      </c>
      <c r="C76" t="s">
        <v>15</v>
      </c>
      <c r="D76" t="b">
        <f>TRUE()</f>
        <v>1</v>
      </c>
      <c r="E76" t="b">
        <f>COUNTIF(connections!A:A, A76) &gt; 0</f>
        <v>1</v>
      </c>
      <c r="G76" t="s">
        <v>286</v>
      </c>
      <c r="H76" t="s">
        <v>70</v>
      </c>
      <c r="I76" t="s">
        <v>287</v>
      </c>
      <c r="J76" s="1" t="s">
        <v>288</v>
      </c>
    </row>
    <row r="77" spans="1:10" ht="15" customHeight="1" x14ac:dyDescent="0.25">
      <c r="A77" t="s">
        <v>289</v>
      </c>
      <c r="B77">
        <v>2023</v>
      </c>
      <c r="C77" t="s">
        <v>18</v>
      </c>
      <c r="D77" t="b">
        <f>FALSE()</f>
        <v>0</v>
      </c>
      <c r="E77" t="b">
        <f>COUNTIF(connections!A:A, A77) &gt; 0</f>
        <v>1</v>
      </c>
      <c r="F77" t="s">
        <v>260</v>
      </c>
      <c r="G77" t="s">
        <v>290</v>
      </c>
      <c r="H77" t="s">
        <v>70</v>
      </c>
      <c r="I77" t="s">
        <v>291</v>
      </c>
      <c r="J77" s="1" t="s">
        <v>292</v>
      </c>
    </row>
    <row r="78" spans="1:10" ht="15" customHeight="1" x14ac:dyDescent="0.25">
      <c r="A78" t="s">
        <v>293</v>
      </c>
      <c r="B78">
        <v>2024</v>
      </c>
      <c r="C78" t="s">
        <v>18</v>
      </c>
      <c r="D78" t="b">
        <f>FALSE()</f>
        <v>0</v>
      </c>
      <c r="E78" t="b">
        <f>COUNTIF(connections!A:A, A78) &gt; 0</f>
        <v>0</v>
      </c>
      <c r="F78" t="s">
        <v>260</v>
      </c>
      <c r="G78" t="s">
        <v>294</v>
      </c>
      <c r="H78" t="s">
        <v>70</v>
      </c>
      <c r="I78" t="s">
        <v>295</v>
      </c>
      <c r="J78" s="1" t="s">
        <v>296</v>
      </c>
    </row>
    <row r="79" spans="1:10" ht="15" customHeight="1" x14ac:dyDescent="0.25">
      <c r="A79" t="s">
        <v>297</v>
      </c>
      <c r="B79">
        <v>2023</v>
      </c>
      <c r="C79" t="s">
        <v>15</v>
      </c>
      <c r="D79" t="b">
        <f>TRUE()</f>
        <v>1</v>
      </c>
      <c r="E79" t="b">
        <f>COUNTIF(connections!A:A, A79) &gt; 0</f>
        <v>0</v>
      </c>
      <c r="G79" t="s">
        <v>298</v>
      </c>
    </row>
    <row r="80" spans="1:10" ht="15" customHeight="1" x14ac:dyDescent="0.25">
      <c r="A80" t="s">
        <v>299</v>
      </c>
      <c r="B80">
        <v>2024</v>
      </c>
      <c r="C80" t="s">
        <v>15</v>
      </c>
      <c r="D80" t="b">
        <f>TRUE()</f>
        <v>1</v>
      </c>
      <c r="E80" t="b">
        <f>COUNTIF(connections!A:A, A80) &gt; 0</f>
        <v>0</v>
      </c>
      <c r="G80" t="s">
        <v>300</v>
      </c>
      <c r="H80" t="s">
        <v>70</v>
      </c>
      <c r="I80" t="s">
        <v>301</v>
      </c>
      <c r="J80" s="1" t="s">
        <v>302</v>
      </c>
    </row>
    <row r="81" spans="1:10" ht="15" customHeight="1" x14ac:dyDescent="0.25">
      <c r="A81" t="s">
        <v>303</v>
      </c>
      <c r="B81">
        <v>2025</v>
      </c>
      <c r="C81" t="s">
        <v>18</v>
      </c>
      <c r="D81" t="b">
        <f>FALSE()</f>
        <v>0</v>
      </c>
      <c r="E81" t="b">
        <f>COUNTIF(connections!A:A, A81) &gt; 0</f>
        <v>0</v>
      </c>
      <c r="F81" t="s">
        <v>260</v>
      </c>
      <c r="G81" t="s">
        <v>304</v>
      </c>
    </row>
    <row r="82" spans="1:10" ht="15" customHeight="1" x14ac:dyDescent="0.25">
      <c r="A82" t="s">
        <v>305</v>
      </c>
      <c r="B82">
        <v>2025</v>
      </c>
      <c r="C82" t="s">
        <v>18</v>
      </c>
      <c r="D82" t="b">
        <f>FALSE()</f>
        <v>0</v>
      </c>
      <c r="E82" t="b">
        <f>COUNTIF(connections!A:A, A82) &gt; 0</f>
        <v>0</v>
      </c>
      <c r="G82" t="s">
        <v>306</v>
      </c>
    </row>
    <row r="83" spans="1:10" ht="15" customHeight="1" x14ac:dyDescent="0.25">
      <c r="A83" t="s">
        <v>307</v>
      </c>
      <c r="B83">
        <v>2022</v>
      </c>
      <c r="C83" t="s">
        <v>15</v>
      </c>
      <c r="D83" t="b">
        <f>TRUE()</f>
        <v>1</v>
      </c>
      <c r="E83" t="b">
        <f>COUNTIF(connections!A:A, A83) &gt; 0</f>
        <v>1</v>
      </c>
      <c r="F83" t="s">
        <v>308</v>
      </c>
      <c r="G83" t="s">
        <v>309</v>
      </c>
      <c r="H83" t="s">
        <v>70</v>
      </c>
      <c r="I83" t="s">
        <v>310</v>
      </c>
      <c r="J83" s="1" t="s">
        <v>311</v>
      </c>
    </row>
    <row r="84" spans="1:10" ht="15" customHeight="1" x14ac:dyDescent="0.25">
      <c r="A84" t="s">
        <v>312</v>
      </c>
      <c r="B84">
        <v>2018</v>
      </c>
      <c r="C84" t="s">
        <v>22</v>
      </c>
      <c r="D84" t="b">
        <f>TRUE()</f>
        <v>1</v>
      </c>
      <c r="E84" t="b">
        <f>COUNTIF(connections!A:A, A84) &gt; 0</f>
        <v>1</v>
      </c>
      <c r="G84" t="s">
        <v>313</v>
      </c>
    </row>
    <row r="85" spans="1:10" ht="15" customHeight="1" x14ac:dyDescent="0.25">
      <c r="A85" t="s">
        <v>314</v>
      </c>
      <c r="B85">
        <v>2022</v>
      </c>
      <c r="C85" t="s">
        <v>15</v>
      </c>
      <c r="D85" t="b">
        <f>TRUE()</f>
        <v>1</v>
      </c>
      <c r="E85" t="b">
        <f>COUNTIF(connections!A:A, A85) &gt; 0</f>
        <v>1</v>
      </c>
      <c r="F85" t="s">
        <v>315</v>
      </c>
      <c r="G85" t="s">
        <v>316</v>
      </c>
      <c r="H85" t="s">
        <v>70</v>
      </c>
      <c r="I85" t="s">
        <v>317</v>
      </c>
      <c r="J85" s="1" t="s">
        <v>318</v>
      </c>
    </row>
    <row r="86" spans="1:10" ht="15" customHeight="1" x14ac:dyDescent="0.25">
      <c r="A86" t="s">
        <v>319</v>
      </c>
      <c r="B86">
        <v>2021</v>
      </c>
      <c r="C86" t="s">
        <v>15</v>
      </c>
      <c r="D86" t="b">
        <f>FALSE()</f>
        <v>0</v>
      </c>
      <c r="E86" t="b">
        <f>COUNTIF(connections!A:A, A86) &gt; 0</f>
        <v>0</v>
      </c>
      <c r="G86" t="s">
        <v>320</v>
      </c>
      <c r="H86" t="s">
        <v>70</v>
      </c>
      <c r="I86" t="s">
        <v>321</v>
      </c>
      <c r="J86" s="1" t="s">
        <v>322</v>
      </c>
    </row>
    <row r="87" spans="1:10" ht="15" customHeight="1" x14ac:dyDescent="0.25">
      <c r="A87" t="s">
        <v>323</v>
      </c>
      <c r="B87">
        <v>2020</v>
      </c>
      <c r="C87" t="s">
        <v>15</v>
      </c>
      <c r="D87" t="b">
        <f>TRUE()</f>
        <v>1</v>
      </c>
      <c r="E87" t="b">
        <f>COUNTIF(connections!A:A, A87) &gt; 0</f>
        <v>0</v>
      </c>
      <c r="F87" t="s">
        <v>255</v>
      </c>
      <c r="G87" t="s">
        <v>324</v>
      </c>
      <c r="H87" t="s">
        <v>70</v>
      </c>
      <c r="I87" t="s">
        <v>325</v>
      </c>
      <c r="J87" s="1" t="s">
        <v>326</v>
      </c>
    </row>
    <row r="88" spans="1:10" ht="15" customHeight="1" x14ac:dyDescent="0.25">
      <c r="A88" t="s">
        <v>327</v>
      </c>
      <c r="B88">
        <v>2023</v>
      </c>
      <c r="C88" t="s">
        <v>22</v>
      </c>
      <c r="D88" t="b">
        <f>TRUE()</f>
        <v>1</v>
      </c>
      <c r="E88" t="b">
        <f>COUNTIF(connections!A:A, A88) &gt; 0</f>
        <v>0</v>
      </c>
      <c r="G88" t="s">
        <v>328</v>
      </c>
      <c r="J88" s="1" t="s">
        <v>329</v>
      </c>
    </row>
    <row r="89" spans="1:10" ht="15" customHeight="1" x14ac:dyDescent="0.25">
      <c r="A89" t="s">
        <v>330</v>
      </c>
      <c r="B89">
        <v>2021</v>
      </c>
      <c r="C89" t="s">
        <v>22</v>
      </c>
      <c r="D89" t="b">
        <f>TRUE()</f>
        <v>1</v>
      </c>
      <c r="E89" t="b">
        <f>COUNTIF(connections!A:A, A89) &gt; 0</f>
        <v>0</v>
      </c>
      <c r="G89" t="s">
        <v>331</v>
      </c>
      <c r="H89" t="s">
        <v>70</v>
      </c>
      <c r="I89" t="s">
        <v>332</v>
      </c>
      <c r="J89" s="1" t="s">
        <v>333</v>
      </c>
    </row>
    <row r="90" spans="1:10" ht="15" customHeight="1" x14ac:dyDescent="0.25">
      <c r="A90" t="s">
        <v>334</v>
      </c>
      <c r="B90">
        <v>2024</v>
      </c>
      <c r="C90" t="s">
        <v>22</v>
      </c>
      <c r="D90" t="b">
        <f>TRUE()</f>
        <v>1</v>
      </c>
      <c r="E90" t="b">
        <f>COUNTIF(connections!A:A, A90) &gt; 0</f>
        <v>0</v>
      </c>
      <c r="F90" t="s">
        <v>149</v>
      </c>
      <c r="G90" t="s">
        <v>335</v>
      </c>
      <c r="H90" t="s">
        <v>70</v>
      </c>
      <c r="I90" t="s">
        <v>336</v>
      </c>
      <c r="J90" s="1" t="s">
        <v>337</v>
      </c>
    </row>
    <row r="91" spans="1:10" ht="15" customHeight="1" x14ac:dyDescent="0.25">
      <c r="A91" t="s">
        <v>338</v>
      </c>
      <c r="B91">
        <v>2025</v>
      </c>
      <c r="C91" t="s">
        <v>15</v>
      </c>
      <c r="D91" t="b">
        <f>TRUE()</f>
        <v>1</v>
      </c>
      <c r="E91" t="b">
        <f>COUNTIF(connections!A:A, A91) &gt; 0</f>
        <v>0</v>
      </c>
      <c r="G91" t="s">
        <v>339</v>
      </c>
    </row>
    <row r="92" spans="1:10" ht="15" customHeight="1" x14ac:dyDescent="0.25">
      <c r="A92" t="s">
        <v>340</v>
      </c>
      <c r="B92">
        <v>2009</v>
      </c>
      <c r="C92" t="s">
        <v>26</v>
      </c>
      <c r="D92" t="b">
        <f>TRUE()</f>
        <v>1</v>
      </c>
      <c r="E92" t="b">
        <f>COUNTIF(connections!A:A, A92) &gt; 0</f>
        <v>1</v>
      </c>
      <c r="G92" t="s">
        <v>341</v>
      </c>
      <c r="H92" t="s">
        <v>70</v>
      </c>
      <c r="I92" t="s">
        <v>342</v>
      </c>
    </row>
    <row r="93" spans="1:10" ht="15" customHeight="1" x14ac:dyDescent="0.25">
      <c r="A93" t="s">
        <v>343</v>
      </c>
      <c r="B93">
        <v>2026</v>
      </c>
      <c r="C93" t="s">
        <v>18</v>
      </c>
      <c r="D93" t="b">
        <f>TRUE()</f>
        <v>1</v>
      </c>
      <c r="E93" t="b">
        <f>COUNTIF(connections!A:A, A93) &gt; 0</f>
        <v>0</v>
      </c>
      <c r="G93" t="s">
        <v>344</v>
      </c>
      <c r="H93" t="s">
        <v>70</v>
      </c>
      <c r="I93" t="s">
        <v>345</v>
      </c>
      <c r="J93" s="1" t="s">
        <v>346</v>
      </c>
    </row>
    <row r="94" spans="1:10" ht="15" customHeight="1" x14ac:dyDescent="0.25">
      <c r="A94" t="s">
        <v>347</v>
      </c>
      <c r="B94">
        <v>2022</v>
      </c>
      <c r="C94" t="s">
        <v>15</v>
      </c>
      <c r="D94" t="b">
        <f>TRUE()</f>
        <v>1</v>
      </c>
      <c r="E94" t="b">
        <f>COUNTIF(connections!A:A, A94) &gt; 0</f>
        <v>1</v>
      </c>
      <c r="G94" t="s">
        <v>348</v>
      </c>
      <c r="H94" t="s">
        <v>70</v>
      </c>
      <c r="I94" t="s">
        <v>349</v>
      </c>
      <c r="J94" s="1" t="s">
        <v>350</v>
      </c>
    </row>
    <row r="95" spans="1:10" ht="15" customHeight="1" x14ac:dyDescent="0.25">
      <c r="A95" t="s">
        <v>351</v>
      </c>
      <c r="B95">
        <v>2021</v>
      </c>
      <c r="C95" t="s">
        <v>18</v>
      </c>
      <c r="D95" t="b">
        <f>TRUE()</f>
        <v>1</v>
      </c>
      <c r="E95" t="b">
        <f>COUNTIF(connections!A:A, A95) &gt; 0</f>
        <v>0</v>
      </c>
      <c r="G95" t="s">
        <v>352</v>
      </c>
      <c r="H95" t="s">
        <v>70</v>
      </c>
      <c r="I95" t="s">
        <v>353</v>
      </c>
      <c r="J95" s="1" t="s">
        <v>354</v>
      </c>
    </row>
    <row r="96" spans="1:10" ht="15" customHeight="1" x14ac:dyDescent="0.25">
      <c r="A96" t="s">
        <v>355</v>
      </c>
      <c r="B96">
        <v>2023</v>
      </c>
      <c r="C96" t="s">
        <v>18</v>
      </c>
      <c r="D96" t="b">
        <f>TRUE()</f>
        <v>1</v>
      </c>
      <c r="E96" t="b">
        <f>COUNTIF(connections!A:A, A96) &gt; 0</f>
        <v>1</v>
      </c>
      <c r="F96" t="s">
        <v>356</v>
      </c>
      <c r="G96" t="s">
        <v>357</v>
      </c>
      <c r="H96" t="s">
        <v>70</v>
      </c>
      <c r="I96" t="s">
        <v>358</v>
      </c>
      <c r="J96" s="1" t="s">
        <v>359</v>
      </c>
    </row>
    <row r="97" spans="1:10" ht="15" customHeight="1" x14ac:dyDescent="0.25">
      <c r="A97" t="s">
        <v>360</v>
      </c>
      <c r="B97">
        <v>2018</v>
      </c>
      <c r="C97" t="s">
        <v>15</v>
      </c>
      <c r="D97" t="b">
        <f>TRUE()</f>
        <v>1</v>
      </c>
      <c r="E97" t="b">
        <f>COUNTIF(connections!A:A, A97) &gt; 0</f>
        <v>1</v>
      </c>
      <c r="G97" t="s">
        <v>361</v>
      </c>
      <c r="H97" t="s">
        <v>70</v>
      </c>
      <c r="I97" t="s">
        <v>362</v>
      </c>
    </row>
    <row r="98" spans="1:10" ht="15" customHeight="1" x14ac:dyDescent="0.25">
      <c r="A98" t="s">
        <v>363</v>
      </c>
      <c r="B98">
        <v>2016</v>
      </c>
      <c r="C98" t="s">
        <v>15</v>
      </c>
      <c r="D98" t="b">
        <f>FALSE()</f>
        <v>0</v>
      </c>
      <c r="E98" t="b">
        <f>COUNTIF(connections!A:A, A98) &gt; 0</f>
        <v>0</v>
      </c>
      <c r="G98" t="s">
        <v>364</v>
      </c>
      <c r="H98" t="s">
        <v>70</v>
      </c>
      <c r="I98" t="s">
        <v>365</v>
      </c>
      <c r="J98" s="1" t="s">
        <v>366</v>
      </c>
    </row>
    <row r="99" spans="1:10" ht="15" customHeight="1" x14ac:dyDescent="0.25">
      <c r="A99" t="s">
        <v>6447</v>
      </c>
      <c r="B99">
        <v>2010</v>
      </c>
      <c r="C99" t="s">
        <v>26</v>
      </c>
      <c r="D99" t="b">
        <f>TRUE()</f>
        <v>1</v>
      </c>
      <c r="E99" t="b">
        <f>COUNTIF(connections!A:A, A99) &gt; 0</f>
        <v>1</v>
      </c>
      <c r="G99" t="s">
        <v>6449</v>
      </c>
    </row>
    <row r="100" spans="1:10" ht="15" customHeight="1" x14ac:dyDescent="0.25">
      <c r="A100" t="s">
        <v>6448</v>
      </c>
      <c r="B100">
        <v>2014</v>
      </c>
      <c r="C100" t="s">
        <v>26</v>
      </c>
      <c r="D100" t="b">
        <f>TRUE()</f>
        <v>1</v>
      </c>
      <c r="E100" t="b">
        <f>COUNTIF(connections!A:A, A100) &gt; 0</f>
        <v>0</v>
      </c>
      <c r="G100" t="s">
        <v>6450</v>
      </c>
      <c r="J100" s="11" t="s">
        <v>6452</v>
      </c>
    </row>
    <row r="101" spans="1:10" ht="15" customHeight="1" x14ac:dyDescent="0.25">
      <c r="A101" t="s">
        <v>367</v>
      </c>
      <c r="B101">
        <v>1994</v>
      </c>
      <c r="C101" t="s">
        <v>26</v>
      </c>
      <c r="D101" t="b">
        <f>TRUE()</f>
        <v>1</v>
      </c>
      <c r="E101" t="b">
        <f>COUNTIF(connections!A:A, A101) &gt; 0</f>
        <v>1</v>
      </c>
      <c r="G101" t="s">
        <v>368</v>
      </c>
      <c r="H101" t="s">
        <v>70</v>
      </c>
      <c r="I101" t="s">
        <v>369</v>
      </c>
    </row>
    <row r="102" spans="1:10" ht="15" customHeight="1" x14ac:dyDescent="0.25">
      <c r="A102" t="s">
        <v>370</v>
      </c>
      <c r="B102">
        <v>2005</v>
      </c>
      <c r="C102" t="s">
        <v>26</v>
      </c>
      <c r="D102" t="b">
        <f>TRUE()</f>
        <v>1</v>
      </c>
      <c r="E102" t="b">
        <f>COUNTIF(connections!A:A, A102) &gt; 0</f>
        <v>1</v>
      </c>
      <c r="G102" t="s">
        <v>371</v>
      </c>
      <c r="H102" t="s">
        <v>70</v>
      </c>
      <c r="I102" t="s">
        <v>372</v>
      </c>
    </row>
    <row r="103" spans="1:10" ht="15" customHeight="1" x14ac:dyDescent="0.25">
      <c r="A103" t="s">
        <v>373</v>
      </c>
      <c r="B103">
        <v>2024</v>
      </c>
      <c r="C103" t="s">
        <v>22</v>
      </c>
      <c r="D103" t="b">
        <f>TRUE()</f>
        <v>1</v>
      </c>
      <c r="E103" t="b">
        <f>COUNTIF(connections!A:A, A103) &gt; 0</f>
        <v>0</v>
      </c>
      <c r="F103" t="s">
        <v>374</v>
      </c>
      <c r="G103" t="s">
        <v>375</v>
      </c>
    </row>
    <row r="104" spans="1:10" ht="15" customHeight="1" x14ac:dyDescent="0.25">
      <c r="A104" t="s">
        <v>376</v>
      </c>
      <c r="B104">
        <v>2010</v>
      </c>
      <c r="C104" t="s">
        <v>26</v>
      </c>
      <c r="D104" t="b">
        <f>TRUE()</f>
        <v>1</v>
      </c>
      <c r="E104" t="b">
        <f>COUNTIF(connections!A:A, A104) &gt; 0</f>
        <v>1</v>
      </c>
      <c r="F104" t="s">
        <v>308</v>
      </c>
      <c r="G104" t="s">
        <v>377</v>
      </c>
      <c r="H104" t="s">
        <v>70</v>
      </c>
      <c r="I104" t="s">
        <v>378</v>
      </c>
    </row>
    <row r="105" spans="1:10" ht="15" customHeight="1" x14ac:dyDescent="0.25">
      <c r="A105" t="s">
        <v>379</v>
      </c>
      <c r="B105">
        <v>2020</v>
      </c>
      <c r="C105" t="s">
        <v>26</v>
      </c>
      <c r="D105" t="b">
        <f>TRUE()</f>
        <v>1</v>
      </c>
      <c r="E105" t="b">
        <f>COUNTIF(connections!A:A, A105) &gt; 0</f>
        <v>0</v>
      </c>
      <c r="F105" t="s">
        <v>308</v>
      </c>
      <c r="G105" t="s">
        <v>380</v>
      </c>
    </row>
    <row r="106" spans="1:10" ht="15" customHeight="1" x14ac:dyDescent="0.25">
      <c r="A106" t="s">
        <v>381</v>
      </c>
      <c r="B106">
        <v>2013</v>
      </c>
      <c r="C106" t="s">
        <v>26</v>
      </c>
      <c r="D106" t="b">
        <f>TRUE()</f>
        <v>1</v>
      </c>
      <c r="E106" t="b">
        <f>COUNTIF(connections!A:A, A106) &gt; 0</f>
        <v>1</v>
      </c>
      <c r="F106" t="s">
        <v>308</v>
      </c>
      <c r="G106" t="s">
        <v>382</v>
      </c>
    </row>
    <row r="107" spans="1:10" ht="15" customHeight="1" x14ac:dyDescent="0.25">
      <c r="A107" t="s">
        <v>383</v>
      </c>
      <c r="B107">
        <v>2025</v>
      </c>
      <c r="C107" t="s">
        <v>26</v>
      </c>
      <c r="D107" t="b">
        <f>TRUE()</f>
        <v>1</v>
      </c>
      <c r="E107" t="b">
        <f>COUNTIF(connections!A:A, A107) &gt; 0</f>
        <v>0</v>
      </c>
      <c r="F107" t="s">
        <v>308</v>
      </c>
      <c r="G107" t="s">
        <v>384</v>
      </c>
    </row>
    <row r="108" spans="1:10" ht="15" customHeight="1" x14ac:dyDescent="0.25">
      <c r="A108" t="s">
        <v>385</v>
      </c>
      <c r="B108">
        <v>2015</v>
      </c>
      <c r="C108" t="s">
        <v>15</v>
      </c>
      <c r="D108" t="b">
        <v>1</v>
      </c>
      <c r="E108" t="b">
        <f>COUNTIF(connections!A:A, A108) &gt; 0</f>
        <v>1</v>
      </c>
      <c r="G108" t="s">
        <v>386</v>
      </c>
      <c r="J108" s="11" t="s">
        <v>387</v>
      </c>
    </row>
    <row r="109" spans="1:10" ht="15" customHeight="1" x14ac:dyDescent="0.25">
      <c r="A109" t="s">
        <v>388</v>
      </c>
      <c r="B109">
        <v>2025</v>
      </c>
      <c r="C109" t="s">
        <v>22</v>
      </c>
      <c r="D109" t="b">
        <f>TRUE()</f>
        <v>1</v>
      </c>
      <c r="E109" t="b">
        <f>COUNTIF(connections!A:A, A109) &gt; 0</f>
        <v>0</v>
      </c>
      <c r="F109" t="s">
        <v>374</v>
      </c>
      <c r="G109" t="s">
        <v>389</v>
      </c>
      <c r="J109" s="1" t="s">
        <v>390</v>
      </c>
    </row>
    <row r="110" spans="1:10" ht="15" customHeight="1" x14ac:dyDescent="0.25">
      <c r="A110" t="s">
        <v>391</v>
      </c>
      <c r="B110">
        <v>1991</v>
      </c>
      <c r="C110" t="s">
        <v>26</v>
      </c>
      <c r="D110" t="b">
        <f>TRUE()</f>
        <v>1</v>
      </c>
      <c r="E110" t="b">
        <f>COUNTIF(connections!A:A, A110) &gt; 0</f>
        <v>0</v>
      </c>
      <c r="G110" t="s">
        <v>392</v>
      </c>
    </row>
    <row r="111" spans="1:10" ht="15" customHeight="1" x14ac:dyDescent="0.25">
      <c r="A111" t="s">
        <v>393</v>
      </c>
      <c r="B111">
        <v>2017</v>
      </c>
      <c r="C111" t="s">
        <v>15</v>
      </c>
      <c r="D111" t="b">
        <f>TRUE()</f>
        <v>1</v>
      </c>
      <c r="E111" t="b">
        <f>COUNTIF(connections!A:A, A111) &gt; 0</f>
        <v>1</v>
      </c>
      <c r="G111" t="s">
        <v>394</v>
      </c>
      <c r="H111" t="s">
        <v>70</v>
      </c>
      <c r="I111" t="s">
        <v>395</v>
      </c>
      <c r="J111" s="1" t="s">
        <v>396</v>
      </c>
    </row>
    <row r="112" spans="1:10" ht="15" customHeight="1" x14ac:dyDescent="0.25">
      <c r="A112" t="s">
        <v>397</v>
      </c>
      <c r="B112">
        <v>2010</v>
      </c>
      <c r="C112" t="s">
        <v>26</v>
      </c>
      <c r="D112" t="b">
        <f>TRUE()</f>
        <v>1</v>
      </c>
      <c r="E112" t="b">
        <f>COUNTIF(connections!A:A, A112) &gt; 0</f>
        <v>1</v>
      </c>
      <c r="G112" t="s">
        <v>398</v>
      </c>
      <c r="H112" t="s">
        <v>70</v>
      </c>
      <c r="I112" t="s">
        <v>399</v>
      </c>
      <c r="J112" s="1" t="s">
        <v>400</v>
      </c>
    </row>
    <row r="113" spans="1:10" ht="15" customHeight="1" x14ac:dyDescent="0.25">
      <c r="A113" t="s">
        <v>401</v>
      </c>
      <c r="B113">
        <v>2020</v>
      </c>
      <c r="C113" t="s">
        <v>15</v>
      </c>
      <c r="D113" t="b">
        <f>TRUE()</f>
        <v>1</v>
      </c>
      <c r="E113" t="b">
        <f>COUNTIF(connections!A:A, A113) &gt; 0</f>
        <v>0</v>
      </c>
      <c r="G113" t="s">
        <v>402</v>
      </c>
      <c r="H113" t="s">
        <v>70</v>
      </c>
      <c r="I113" t="s">
        <v>403</v>
      </c>
      <c r="J113" s="1" t="s">
        <v>404</v>
      </c>
    </row>
    <row r="114" spans="1:10" ht="15" customHeight="1" x14ac:dyDescent="0.25">
      <c r="A114" t="s">
        <v>405</v>
      </c>
      <c r="B114">
        <v>2025</v>
      </c>
      <c r="C114" t="s">
        <v>18</v>
      </c>
      <c r="D114" t="b">
        <f>FALSE()</f>
        <v>0</v>
      </c>
      <c r="E114" t="b">
        <f>COUNTIF(connections!A:A, A114) &gt; 0</f>
        <v>0</v>
      </c>
      <c r="G114" t="s">
        <v>406</v>
      </c>
    </row>
    <row r="115" spans="1:10" ht="15" customHeight="1" x14ac:dyDescent="0.25">
      <c r="A115" t="s">
        <v>407</v>
      </c>
      <c r="B115">
        <v>2023</v>
      </c>
      <c r="C115" t="s">
        <v>15</v>
      </c>
      <c r="D115" t="b">
        <f>TRUE()</f>
        <v>1</v>
      </c>
      <c r="E115" t="b">
        <f>COUNTIF(connections!A:A, A115) &gt; 0</f>
        <v>0</v>
      </c>
      <c r="G115" t="s">
        <v>408</v>
      </c>
      <c r="H115" t="s">
        <v>70</v>
      </c>
      <c r="I115" t="s">
        <v>409</v>
      </c>
      <c r="J115" s="1" t="s">
        <v>410</v>
      </c>
    </row>
    <row r="116" spans="1:10" ht="15" customHeight="1" x14ac:dyDescent="0.25">
      <c r="A116" t="s">
        <v>411</v>
      </c>
      <c r="B116">
        <v>2025</v>
      </c>
      <c r="C116" t="s">
        <v>22</v>
      </c>
      <c r="D116" t="b">
        <f>TRUE()</f>
        <v>1</v>
      </c>
      <c r="E116" t="b">
        <f>COUNTIF(connections!A:A, A116) &gt; 0</f>
        <v>0</v>
      </c>
      <c r="F116" t="s">
        <v>412</v>
      </c>
      <c r="G116" t="s">
        <v>413</v>
      </c>
      <c r="H116" t="s">
        <v>70</v>
      </c>
      <c r="I116" t="s">
        <v>414</v>
      </c>
    </row>
    <row r="117" spans="1:10" ht="15" customHeight="1" x14ac:dyDescent="0.25">
      <c r="A117" t="s">
        <v>6402</v>
      </c>
      <c r="B117">
        <v>2022</v>
      </c>
      <c r="C117" t="s">
        <v>15</v>
      </c>
      <c r="D117" t="b">
        <f>TRUE()</f>
        <v>1</v>
      </c>
      <c r="E117" t="b">
        <f>COUNTIF(connections!A:A, A117) &gt; 0</f>
        <v>1</v>
      </c>
      <c r="G117" t="s">
        <v>6405</v>
      </c>
      <c r="J117" s="11" t="s">
        <v>6407</v>
      </c>
    </row>
    <row r="118" spans="1:10" ht="15" customHeight="1" x14ac:dyDescent="0.25">
      <c r="A118" t="s">
        <v>415</v>
      </c>
      <c r="B118">
        <v>2019</v>
      </c>
      <c r="C118" t="s">
        <v>15</v>
      </c>
      <c r="D118" t="b">
        <f>TRUE()</f>
        <v>1</v>
      </c>
      <c r="E118" t="b">
        <f>COUNTIF(connections!A:A, A118) &gt; 0</f>
        <v>1</v>
      </c>
      <c r="G118" t="s">
        <v>416</v>
      </c>
      <c r="H118" t="s">
        <v>70</v>
      </c>
      <c r="I118" t="s">
        <v>417</v>
      </c>
      <c r="J118" s="1" t="s">
        <v>418</v>
      </c>
    </row>
    <row r="119" spans="1:10" ht="15" customHeight="1" x14ac:dyDescent="0.25">
      <c r="A119" t="s">
        <v>419</v>
      </c>
      <c r="B119">
        <v>1998</v>
      </c>
      <c r="C119" t="s">
        <v>26</v>
      </c>
      <c r="D119" t="b">
        <f>TRUE()</f>
        <v>1</v>
      </c>
      <c r="E119" t="b">
        <f>COUNTIF(connections!A:A, A119) &gt; 0</f>
        <v>1</v>
      </c>
      <c r="G119" t="s">
        <v>420</v>
      </c>
    </row>
    <row r="120" spans="1:10" ht="15" customHeight="1" x14ac:dyDescent="0.25">
      <c r="A120" t="s">
        <v>421</v>
      </c>
      <c r="B120">
        <v>1997</v>
      </c>
      <c r="C120" t="s">
        <v>26</v>
      </c>
      <c r="D120" t="b">
        <f>TRUE()</f>
        <v>1</v>
      </c>
      <c r="E120" t="b">
        <f>COUNTIF(connections!A:A, A120) &gt; 0</f>
        <v>1</v>
      </c>
      <c r="G120" t="s">
        <v>422</v>
      </c>
    </row>
    <row r="121" spans="1:10" ht="15" customHeight="1" x14ac:dyDescent="0.25">
      <c r="A121" t="s">
        <v>423</v>
      </c>
      <c r="B121">
        <v>2019</v>
      </c>
      <c r="C121" t="s">
        <v>26</v>
      </c>
      <c r="D121" t="b">
        <f>TRUE()</f>
        <v>1</v>
      </c>
      <c r="E121" t="b">
        <f>COUNTIF(connections!A:A, A121) &gt; 0</f>
        <v>0</v>
      </c>
      <c r="G121" t="s">
        <v>424</v>
      </c>
    </row>
    <row r="122" spans="1:10" ht="15" customHeight="1" x14ac:dyDescent="0.25">
      <c r="A122" t="s">
        <v>425</v>
      </c>
      <c r="B122">
        <v>2023</v>
      </c>
      <c r="C122" t="s">
        <v>15</v>
      </c>
      <c r="D122" t="b">
        <f>TRUE()</f>
        <v>1</v>
      </c>
      <c r="E122" t="b">
        <f>COUNTIF(connections!A:A, A122) &gt; 0</f>
        <v>1</v>
      </c>
      <c r="F122" t="s">
        <v>426</v>
      </c>
      <c r="G122" t="s">
        <v>427</v>
      </c>
      <c r="H122" t="s">
        <v>70</v>
      </c>
      <c r="I122" t="s">
        <v>428</v>
      </c>
      <c r="J122" s="1" t="s">
        <v>429</v>
      </c>
    </row>
    <row r="123" spans="1:10" ht="15" customHeight="1" x14ac:dyDescent="0.25">
      <c r="A123" t="s">
        <v>430</v>
      </c>
      <c r="B123">
        <v>2025</v>
      </c>
      <c r="C123" t="s">
        <v>15</v>
      </c>
      <c r="D123" t="b">
        <f>TRUE()</f>
        <v>1</v>
      </c>
      <c r="E123" t="b">
        <f>COUNTIF(connections!A:A, A123) &gt; 0</f>
        <v>0</v>
      </c>
      <c r="F123" t="s">
        <v>426</v>
      </c>
      <c r="G123" t="s">
        <v>431</v>
      </c>
      <c r="H123" t="s">
        <v>70</v>
      </c>
      <c r="I123" t="s">
        <v>432</v>
      </c>
      <c r="J123" s="1" t="s">
        <v>433</v>
      </c>
    </row>
    <row r="124" spans="1:10" ht="15" customHeight="1" x14ac:dyDescent="0.25">
      <c r="A124" t="s">
        <v>434</v>
      </c>
      <c r="B124">
        <v>2019</v>
      </c>
      <c r="C124" t="s">
        <v>22</v>
      </c>
      <c r="D124" t="b">
        <f>TRUE()</f>
        <v>1</v>
      </c>
      <c r="E124" t="b">
        <f>COUNTIF(connections!A:A, A124) &gt; 0</f>
        <v>0</v>
      </c>
      <c r="G124" t="s">
        <v>435</v>
      </c>
      <c r="H124" t="s">
        <v>70</v>
      </c>
      <c r="I124" t="s">
        <v>436</v>
      </c>
      <c r="J124" s="1" t="s">
        <v>437</v>
      </c>
    </row>
    <row r="125" spans="1:10" ht="15" customHeight="1" x14ac:dyDescent="0.25">
      <c r="A125" t="s">
        <v>438</v>
      </c>
      <c r="B125">
        <v>2026</v>
      </c>
      <c r="C125" t="s">
        <v>15</v>
      </c>
      <c r="D125" t="b">
        <f>TRUE()</f>
        <v>1</v>
      </c>
      <c r="E125" t="b">
        <f>COUNTIF(connections!A:A, A125) &gt; 0</f>
        <v>0</v>
      </c>
      <c r="G125" t="s">
        <v>439</v>
      </c>
    </row>
    <row r="126" spans="1:10" ht="15" customHeight="1" x14ac:dyDescent="0.25">
      <c r="A126" t="s">
        <v>440</v>
      </c>
      <c r="B126">
        <v>2025</v>
      </c>
      <c r="C126" t="s">
        <v>15</v>
      </c>
      <c r="D126" t="b">
        <f>TRUE()</f>
        <v>1</v>
      </c>
      <c r="E126" t="b">
        <f>COUNTIF(connections!A:A, A126) &gt; 0</f>
        <v>0</v>
      </c>
      <c r="G126" t="s">
        <v>441</v>
      </c>
    </row>
    <row r="127" spans="1:10" ht="15" customHeight="1" x14ac:dyDescent="0.25">
      <c r="A127" t="s">
        <v>442</v>
      </c>
      <c r="B127">
        <v>2025</v>
      </c>
      <c r="C127" t="s">
        <v>18</v>
      </c>
      <c r="D127" t="b">
        <f>TRUE()</f>
        <v>1</v>
      </c>
      <c r="E127" t="b">
        <f>COUNTIF(connections!A:A, A127) &gt; 0</f>
        <v>0</v>
      </c>
      <c r="F127" t="s">
        <v>214</v>
      </c>
      <c r="G127" t="s">
        <v>443</v>
      </c>
      <c r="H127" t="s">
        <v>70</v>
      </c>
      <c r="I127" t="s">
        <v>444</v>
      </c>
      <c r="J127" s="1" t="s">
        <v>445</v>
      </c>
    </row>
    <row r="128" spans="1:10" ht="15" customHeight="1" x14ac:dyDescent="0.25">
      <c r="A128" t="s">
        <v>6355</v>
      </c>
      <c r="B128">
        <v>2024</v>
      </c>
      <c r="C128" t="s">
        <v>18</v>
      </c>
      <c r="D128" t="b">
        <f>TRUE()</f>
        <v>1</v>
      </c>
      <c r="E128" t="b">
        <f>COUNTIF(connections!A:A, A128) &gt; 0</f>
        <v>0</v>
      </c>
      <c r="F128" t="s">
        <v>934</v>
      </c>
      <c r="G128" t="s">
        <v>6360</v>
      </c>
      <c r="J128" s="11" t="s">
        <v>6359</v>
      </c>
    </row>
    <row r="129" spans="1:10" ht="15" customHeight="1" x14ac:dyDescent="0.25">
      <c r="A129" t="s">
        <v>446</v>
      </c>
      <c r="B129">
        <v>2025</v>
      </c>
      <c r="C129" t="s">
        <v>22</v>
      </c>
      <c r="D129" t="b">
        <f>TRUE()</f>
        <v>1</v>
      </c>
      <c r="E129" t="b">
        <f>COUNTIF(connections!A:A, A129) &gt; 0</f>
        <v>0</v>
      </c>
      <c r="F129" t="s">
        <v>447</v>
      </c>
      <c r="G129" t="s">
        <v>448</v>
      </c>
    </row>
    <row r="130" spans="1:10" ht="15" customHeight="1" x14ac:dyDescent="0.25">
      <c r="A130" t="s">
        <v>449</v>
      </c>
      <c r="B130">
        <v>2025</v>
      </c>
      <c r="C130" t="s">
        <v>18</v>
      </c>
      <c r="D130" t="b">
        <f>FALSE()</f>
        <v>0</v>
      </c>
      <c r="E130" t="b">
        <f>COUNTIF(connections!A:A, A130) &gt; 0</f>
        <v>0</v>
      </c>
      <c r="F130" t="s">
        <v>450</v>
      </c>
      <c r="G130" t="s">
        <v>451</v>
      </c>
    </row>
    <row r="131" spans="1:10" ht="15" customHeight="1" x14ac:dyDescent="0.25">
      <c r="A131" t="s">
        <v>452</v>
      </c>
      <c r="B131">
        <v>2023</v>
      </c>
      <c r="C131" t="s">
        <v>22</v>
      </c>
      <c r="D131" t="b">
        <f>TRUE()</f>
        <v>1</v>
      </c>
      <c r="E131" t="b">
        <f>COUNTIF(connections!A:A, A131) &gt; 0</f>
        <v>0</v>
      </c>
      <c r="F131" t="s">
        <v>149</v>
      </c>
      <c r="G131" t="s">
        <v>453</v>
      </c>
      <c r="H131" t="s">
        <v>70</v>
      </c>
      <c r="I131" t="s">
        <v>454</v>
      </c>
      <c r="J131" s="1" t="s">
        <v>455</v>
      </c>
    </row>
    <row r="132" spans="1:10" ht="15" customHeight="1" x14ac:dyDescent="0.25">
      <c r="A132" t="s">
        <v>456</v>
      </c>
      <c r="B132">
        <v>2017</v>
      </c>
      <c r="C132" t="s">
        <v>26</v>
      </c>
      <c r="D132" t="b">
        <f>TRUE()</f>
        <v>1</v>
      </c>
      <c r="E132" t="b">
        <f>COUNTIF(connections!A:A, A132) &gt; 0</f>
        <v>1</v>
      </c>
      <c r="G132" t="s">
        <v>457</v>
      </c>
    </row>
    <row r="133" spans="1:10" ht="15" customHeight="1" x14ac:dyDescent="0.25">
      <c r="A133" t="s">
        <v>458</v>
      </c>
      <c r="B133">
        <v>2013</v>
      </c>
      <c r="C133" t="s">
        <v>22</v>
      </c>
      <c r="D133" t="b">
        <f>TRUE()</f>
        <v>1</v>
      </c>
      <c r="E133" t="b">
        <f>COUNTIF(connections!A:A, A133) &gt; 0</f>
        <v>0</v>
      </c>
      <c r="G133" t="s">
        <v>459</v>
      </c>
      <c r="H133" t="s">
        <v>70</v>
      </c>
      <c r="I133" t="s">
        <v>460</v>
      </c>
      <c r="J133" s="1" t="s">
        <v>461</v>
      </c>
    </row>
    <row r="134" spans="1:10" ht="15" customHeight="1" x14ac:dyDescent="0.25">
      <c r="A134" t="s">
        <v>462</v>
      </c>
      <c r="B134">
        <v>2020</v>
      </c>
      <c r="C134" t="s">
        <v>15</v>
      </c>
      <c r="D134" t="b">
        <f>TRUE()</f>
        <v>1</v>
      </c>
      <c r="E134" t="b">
        <f>COUNTIF(connections!A:A, A134) &gt; 0</f>
        <v>0</v>
      </c>
      <c r="F134" t="s">
        <v>315</v>
      </c>
      <c r="G134" t="s">
        <v>463</v>
      </c>
      <c r="H134" t="s">
        <v>70</v>
      </c>
      <c r="I134" t="s">
        <v>464</v>
      </c>
      <c r="J134" s="1" t="s">
        <v>465</v>
      </c>
    </row>
    <row r="135" spans="1:10" ht="15" customHeight="1" x14ac:dyDescent="0.25">
      <c r="A135" t="s">
        <v>466</v>
      </c>
      <c r="B135">
        <v>2025</v>
      </c>
      <c r="C135" t="s">
        <v>22</v>
      </c>
      <c r="D135" t="b">
        <f>TRUE()</f>
        <v>1</v>
      </c>
      <c r="E135" t="b">
        <f>COUNTIF(connections!A:A, A135) &gt; 0</f>
        <v>0</v>
      </c>
      <c r="G135" t="s">
        <v>467</v>
      </c>
    </row>
    <row r="136" spans="1:10" ht="15" customHeight="1" x14ac:dyDescent="0.25">
      <c r="A136" t="s">
        <v>468</v>
      </c>
      <c r="B136">
        <v>2022</v>
      </c>
      <c r="C136" t="s">
        <v>15</v>
      </c>
      <c r="D136" t="b">
        <f>TRUE()</f>
        <v>1</v>
      </c>
      <c r="E136" t="b">
        <f>COUNTIF(connections!A:A, A136) &gt; 0</f>
        <v>0</v>
      </c>
      <c r="G136" t="s">
        <v>469</v>
      </c>
      <c r="H136" t="s">
        <v>70</v>
      </c>
      <c r="I136" t="s">
        <v>470</v>
      </c>
      <c r="J136" s="1" t="s">
        <v>471</v>
      </c>
    </row>
    <row r="137" spans="1:10" ht="15" customHeight="1" x14ac:dyDescent="0.25">
      <c r="A137" t="s">
        <v>472</v>
      </c>
      <c r="B137">
        <v>2015</v>
      </c>
      <c r="C137" t="s">
        <v>18</v>
      </c>
      <c r="D137" t="b">
        <f>TRUE()</f>
        <v>1</v>
      </c>
      <c r="E137" t="b">
        <f>COUNTIF(connections!A:A, A137) &gt; 0</f>
        <v>0</v>
      </c>
      <c r="G137" t="s">
        <v>473</v>
      </c>
      <c r="H137" t="s">
        <v>70</v>
      </c>
      <c r="I137" t="s">
        <v>474</v>
      </c>
      <c r="J137" s="1" t="s">
        <v>475</v>
      </c>
    </row>
    <row r="138" spans="1:10" ht="15" customHeight="1" x14ac:dyDescent="0.25">
      <c r="A138" t="s">
        <v>476</v>
      </c>
      <c r="B138">
        <v>2020</v>
      </c>
      <c r="C138" t="s">
        <v>18</v>
      </c>
      <c r="D138" t="b">
        <f>TRUE()</f>
        <v>1</v>
      </c>
      <c r="E138" t="b">
        <f>COUNTIF(connections!A:A, A138) &gt; 0</f>
        <v>1</v>
      </c>
      <c r="F138" t="s">
        <v>260</v>
      </c>
      <c r="G138" t="s">
        <v>477</v>
      </c>
      <c r="H138" t="s">
        <v>70</v>
      </c>
      <c r="I138" t="s">
        <v>478</v>
      </c>
      <c r="J138" s="1" t="s">
        <v>479</v>
      </c>
    </row>
    <row r="139" spans="1:10" ht="15" customHeight="1" x14ac:dyDescent="0.25">
      <c r="A139" t="s">
        <v>480</v>
      </c>
      <c r="B139">
        <v>2023</v>
      </c>
      <c r="C139" t="s">
        <v>15</v>
      </c>
      <c r="D139" t="b">
        <f>TRUE()</f>
        <v>1</v>
      </c>
      <c r="E139" t="b">
        <f>COUNTIF(connections!A:A, A139) &gt; 0</f>
        <v>0</v>
      </c>
      <c r="G139" t="s">
        <v>481</v>
      </c>
      <c r="H139" t="s">
        <v>70</v>
      </c>
      <c r="I139" t="s">
        <v>482</v>
      </c>
      <c r="J139" s="1" t="s">
        <v>483</v>
      </c>
    </row>
    <row r="140" spans="1:10" ht="15" customHeight="1" x14ac:dyDescent="0.25">
      <c r="A140" t="s">
        <v>484</v>
      </c>
      <c r="B140">
        <v>2023</v>
      </c>
      <c r="C140" t="s">
        <v>15</v>
      </c>
      <c r="D140" t="b">
        <f>TRUE()</f>
        <v>1</v>
      </c>
      <c r="E140" t="b">
        <f>COUNTIF(connections!A:A, A140) &gt; 0</f>
        <v>1</v>
      </c>
      <c r="F140" t="s">
        <v>485</v>
      </c>
      <c r="G140" t="s">
        <v>486</v>
      </c>
      <c r="H140" t="s">
        <v>70</v>
      </c>
      <c r="I140" t="s">
        <v>487</v>
      </c>
      <c r="J140" s="1" t="s">
        <v>488</v>
      </c>
    </row>
    <row r="141" spans="1:10" ht="15" customHeight="1" x14ac:dyDescent="0.25">
      <c r="A141" t="s">
        <v>6533</v>
      </c>
      <c r="B141">
        <v>2025</v>
      </c>
      <c r="C141" t="s">
        <v>26</v>
      </c>
      <c r="D141" t="b">
        <f>TRUE()</f>
        <v>1</v>
      </c>
      <c r="E141" t="b">
        <f>COUNTIF(connections!A:A, A141) &gt; 0</f>
        <v>0</v>
      </c>
      <c r="G141" t="s">
        <v>6534</v>
      </c>
      <c r="H141" t="s">
        <v>70</v>
      </c>
      <c r="I141" t="s">
        <v>6535</v>
      </c>
    </row>
    <row r="142" spans="1:10" ht="15" customHeight="1" x14ac:dyDescent="0.25">
      <c r="A142" t="s">
        <v>489</v>
      </c>
      <c r="B142">
        <v>2023</v>
      </c>
      <c r="C142" t="s">
        <v>15</v>
      </c>
      <c r="D142" t="b">
        <f>TRUE()</f>
        <v>1</v>
      </c>
      <c r="E142" t="b">
        <f>COUNTIF(connections!A:A, A142) &gt; 0</f>
        <v>0</v>
      </c>
      <c r="G142" t="s">
        <v>490</v>
      </c>
      <c r="H142" t="s">
        <v>70</v>
      </c>
      <c r="I142" t="s">
        <v>491</v>
      </c>
      <c r="J142" s="1" t="s">
        <v>492</v>
      </c>
    </row>
    <row r="143" spans="1:10" ht="15" customHeight="1" x14ac:dyDescent="0.25">
      <c r="A143" t="s">
        <v>493</v>
      </c>
      <c r="B143">
        <v>2017</v>
      </c>
      <c r="C143" t="s">
        <v>15</v>
      </c>
      <c r="D143" t="b">
        <f>FALSE()</f>
        <v>0</v>
      </c>
      <c r="E143" t="b">
        <f>COUNTIF(connections!A:A, A143) &gt; 0</f>
        <v>0</v>
      </c>
      <c r="G143" t="s">
        <v>494</v>
      </c>
      <c r="H143" t="s">
        <v>70</v>
      </c>
      <c r="I143" t="s">
        <v>495</v>
      </c>
      <c r="J143" s="1" t="s">
        <v>496</v>
      </c>
    </row>
    <row r="144" spans="1:10" ht="15" customHeight="1" x14ac:dyDescent="0.25">
      <c r="A144" t="s">
        <v>497</v>
      </c>
      <c r="B144">
        <v>2023</v>
      </c>
      <c r="C144" t="s">
        <v>22</v>
      </c>
      <c r="D144" t="b">
        <f>TRUE()</f>
        <v>1</v>
      </c>
      <c r="E144" t="b">
        <f>COUNTIF(connections!A:A, A144) &gt; 0</f>
        <v>0</v>
      </c>
      <c r="F144" t="s">
        <v>139</v>
      </c>
      <c r="G144" t="s">
        <v>498</v>
      </c>
      <c r="H144" t="s">
        <v>70</v>
      </c>
      <c r="I144" t="s">
        <v>499</v>
      </c>
      <c r="J144" s="1" t="s">
        <v>500</v>
      </c>
    </row>
    <row r="145" spans="1:10" ht="15" customHeight="1" x14ac:dyDescent="0.25">
      <c r="A145" t="s">
        <v>501</v>
      </c>
      <c r="B145">
        <v>2026</v>
      </c>
      <c r="C145" t="s">
        <v>22</v>
      </c>
      <c r="D145" t="b">
        <f>TRUE()</f>
        <v>1</v>
      </c>
      <c r="E145" t="b">
        <f>COUNTIF(connections!A:A, A145) &gt; 0</f>
        <v>0</v>
      </c>
      <c r="F145" t="s">
        <v>139</v>
      </c>
      <c r="G145" t="s">
        <v>502</v>
      </c>
    </row>
    <row r="146" spans="1:10" ht="15" customHeight="1" x14ac:dyDescent="0.25">
      <c r="A146" t="s">
        <v>503</v>
      </c>
      <c r="B146">
        <v>2023</v>
      </c>
      <c r="C146" t="s">
        <v>22</v>
      </c>
      <c r="D146" t="b">
        <f>TRUE()</f>
        <v>1</v>
      </c>
      <c r="E146" t="b">
        <f>COUNTIF(connections!A:A, A146) &gt; 0</f>
        <v>0</v>
      </c>
      <c r="G146" t="s">
        <v>504</v>
      </c>
      <c r="H146" t="s">
        <v>70</v>
      </c>
      <c r="I146" t="s">
        <v>505</v>
      </c>
      <c r="J146" s="1" t="s">
        <v>506</v>
      </c>
    </row>
    <row r="147" spans="1:10" ht="15" customHeight="1" x14ac:dyDescent="0.25">
      <c r="A147" t="s">
        <v>507</v>
      </c>
      <c r="B147">
        <v>2020</v>
      </c>
      <c r="C147" t="s">
        <v>18</v>
      </c>
      <c r="D147" t="b">
        <f>FALSE()</f>
        <v>0</v>
      </c>
      <c r="E147" t="b">
        <f>COUNTIF(connections!A:A, A147) &gt; 0</f>
        <v>0</v>
      </c>
      <c r="G147" t="s">
        <v>508</v>
      </c>
      <c r="H147" t="s">
        <v>70</v>
      </c>
      <c r="I147" t="s">
        <v>509</v>
      </c>
      <c r="J147" s="1" t="s">
        <v>510</v>
      </c>
    </row>
    <row r="148" spans="1:10" ht="15" customHeight="1" x14ac:dyDescent="0.25">
      <c r="A148" t="s">
        <v>511</v>
      </c>
      <c r="B148">
        <v>2025</v>
      </c>
      <c r="C148" t="s">
        <v>22</v>
      </c>
      <c r="D148" t="b">
        <f>TRUE()</f>
        <v>1</v>
      </c>
      <c r="E148" t="b">
        <f>COUNTIF(connections!A:A, A148) &gt; 0</f>
        <v>0</v>
      </c>
      <c r="G148" t="s">
        <v>512</v>
      </c>
      <c r="H148" t="s">
        <v>70</v>
      </c>
      <c r="I148" t="s">
        <v>513</v>
      </c>
      <c r="J148" s="1" t="s">
        <v>514</v>
      </c>
    </row>
    <row r="149" spans="1:10" ht="15" customHeight="1" x14ac:dyDescent="0.25">
      <c r="A149" t="s">
        <v>515</v>
      </c>
      <c r="B149">
        <v>2019</v>
      </c>
      <c r="C149" t="s">
        <v>18</v>
      </c>
      <c r="D149" t="b">
        <f>TRUE()</f>
        <v>1</v>
      </c>
      <c r="E149" t="b">
        <f>COUNTIF(connections!A:A, A149) &gt; 0</f>
        <v>0</v>
      </c>
      <c r="G149" t="s">
        <v>516</v>
      </c>
      <c r="H149" t="s">
        <v>70</v>
      </c>
      <c r="I149" t="s">
        <v>517</v>
      </c>
      <c r="J149" s="1" t="s">
        <v>518</v>
      </c>
    </row>
    <row r="150" spans="1:10" ht="15" customHeight="1" x14ac:dyDescent="0.25">
      <c r="A150" t="s">
        <v>519</v>
      </c>
      <c r="B150">
        <v>2015</v>
      </c>
      <c r="C150" t="s">
        <v>26</v>
      </c>
      <c r="D150" t="b">
        <f>TRUE()</f>
        <v>1</v>
      </c>
      <c r="E150" t="b">
        <f>COUNTIF(connections!A:A, A150) &gt; 0</f>
        <v>1</v>
      </c>
      <c r="F150" t="s">
        <v>255</v>
      </c>
      <c r="G150" t="s">
        <v>520</v>
      </c>
      <c r="H150" t="s">
        <v>70</v>
      </c>
      <c r="I150" t="s">
        <v>521</v>
      </c>
      <c r="J150" s="1" t="s">
        <v>522</v>
      </c>
    </row>
    <row r="151" spans="1:10" ht="15" customHeight="1" x14ac:dyDescent="0.25">
      <c r="A151" t="s">
        <v>523</v>
      </c>
      <c r="B151">
        <v>2017</v>
      </c>
      <c r="C151" t="s">
        <v>15</v>
      </c>
      <c r="D151" t="b">
        <f>FALSE()</f>
        <v>0</v>
      </c>
      <c r="E151" t="b">
        <f>COUNTIF(connections!A:A, A151) &gt; 0</f>
        <v>0</v>
      </c>
      <c r="F151" t="s">
        <v>524</v>
      </c>
      <c r="G151" t="s">
        <v>525</v>
      </c>
      <c r="H151" t="s">
        <v>70</v>
      </c>
      <c r="I151" t="s">
        <v>526</v>
      </c>
      <c r="J151" s="1" t="s">
        <v>527</v>
      </c>
    </row>
    <row r="152" spans="1:10" ht="15" customHeight="1" x14ac:dyDescent="0.25">
      <c r="A152" t="s">
        <v>6551</v>
      </c>
      <c r="B152">
        <v>1998</v>
      </c>
      <c r="C152" t="s">
        <v>26</v>
      </c>
      <c r="D152" t="b">
        <f>TRUE()</f>
        <v>1</v>
      </c>
      <c r="E152" t="b">
        <f>COUNTIF(connections!A:A, A152) &gt; 0</f>
        <v>0</v>
      </c>
      <c r="G152" t="s">
        <v>6552</v>
      </c>
      <c r="H152" t="s">
        <v>70</v>
      </c>
      <c r="I152" t="s">
        <v>6550</v>
      </c>
    </row>
    <row r="153" spans="1:10" ht="15" customHeight="1" x14ac:dyDescent="0.25">
      <c r="A153" t="s">
        <v>528</v>
      </c>
      <c r="B153">
        <v>2023</v>
      </c>
      <c r="C153" t="s">
        <v>22</v>
      </c>
      <c r="D153" t="b">
        <f>FALSE()</f>
        <v>0</v>
      </c>
      <c r="E153" t="b">
        <f>COUNTIF(connections!A:A, A153) &gt; 0</f>
        <v>0</v>
      </c>
      <c r="G153" t="s">
        <v>529</v>
      </c>
    </row>
    <row r="154" spans="1:10" ht="15" customHeight="1" x14ac:dyDescent="0.25">
      <c r="A154" t="s">
        <v>530</v>
      </c>
      <c r="B154">
        <v>2025</v>
      </c>
      <c r="C154" t="s">
        <v>22</v>
      </c>
      <c r="D154" t="b">
        <f>FALSE()</f>
        <v>0</v>
      </c>
      <c r="E154" t="b">
        <f>COUNTIF(connections!A:A, A154) &gt; 0</f>
        <v>0</v>
      </c>
      <c r="G154" t="s">
        <v>531</v>
      </c>
      <c r="J154" s="1" t="s">
        <v>532</v>
      </c>
    </row>
    <row r="155" spans="1:10" ht="15" customHeight="1" x14ac:dyDescent="0.25">
      <c r="A155" t="s">
        <v>533</v>
      </c>
      <c r="B155">
        <v>2022</v>
      </c>
      <c r="C155" t="s">
        <v>15</v>
      </c>
      <c r="D155" t="b">
        <f>TRUE()</f>
        <v>1</v>
      </c>
      <c r="E155" t="b">
        <f>COUNTIF(connections!A:A, A155) &gt; 0</f>
        <v>1</v>
      </c>
      <c r="G155" t="s">
        <v>534</v>
      </c>
      <c r="H155" t="s">
        <v>70</v>
      </c>
      <c r="I155" t="s">
        <v>535</v>
      </c>
      <c r="J155" s="1" t="s">
        <v>536</v>
      </c>
    </row>
    <row r="156" spans="1:10" ht="15" customHeight="1" x14ac:dyDescent="0.25">
      <c r="A156" t="s">
        <v>537</v>
      </c>
      <c r="B156">
        <v>2018</v>
      </c>
      <c r="C156" t="s">
        <v>18</v>
      </c>
      <c r="D156" t="b">
        <f>TRUE()</f>
        <v>1</v>
      </c>
      <c r="E156" t="b">
        <f>COUNTIF(connections!A:A, A156) &gt; 0</f>
        <v>0</v>
      </c>
      <c r="G156" t="s">
        <v>538</v>
      </c>
      <c r="H156" t="s">
        <v>70</v>
      </c>
      <c r="I156" t="s">
        <v>539</v>
      </c>
      <c r="J156" s="1" t="s">
        <v>540</v>
      </c>
    </row>
    <row r="157" spans="1:10" ht="15" customHeight="1" x14ac:dyDescent="0.25">
      <c r="A157" t="s">
        <v>6356</v>
      </c>
      <c r="B157">
        <v>2024</v>
      </c>
      <c r="C157" t="s">
        <v>22</v>
      </c>
      <c r="D157" t="b">
        <f>TRUE()</f>
        <v>1</v>
      </c>
      <c r="E157" t="b">
        <f>COUNTIF(connections!A:A, A157) &gt; 0</f>
        <v>1</v>
      </c>
      <c r="F157" t="s">
        <v>214</v>
      </c>
      <c r="G157" t="s">
        <v>6357</v>
      </c>
      <c r="J157" s="11" t="s">
        <v>6358</v>
      </c>
    </row>
    <row r="158" spans="1:10" ht="15" customHeight="1" x14ac:dyDescent="0.25">
      <c r="A158" t="s">
        <v>541</v>
      </c>
      <c r="B158">
        <v>2016</v>
      </c>
      <c r="C158" t="s">
        <v>18</v>
      </c>
      <c r="D158" t="b">
        <f>TRUE()</f>
        <v>1</v>
      </c>
      <c r="E158" t="b">
        <f>COUNTIF(connections!A:A, A158) &gt; 0</f>
        <v>1</v>
      </c>
      <c r="G158" t="s">
        <v>542</v>
      </c>
      <c r="H158" t="s">
        <v>70</v>
      </c>
      <c r="I158" t="s">
        <v>543</v>
      </c>
      <c r="J158" s="1" t="s">
        <v>544</v>
      </c>
    </row>
    <row r="159" spans="1:10" ht="15" customHeight="1" x14ac:dyDescent="0.25">
      <c r="A159" t="s">
        <v>545</v>
      </c>
      <c r="B159">
        <v>2020</v>
      </c>
      <c r="C159" t="s">
        <v>18</v>
      </c>
      <c r="D159" t="b">
        <f>TRUE()</f>
        <v>1</v>
      </c>
      <c r="E159" t="b">
        <f>COUNTIF(connections!A:A, A159) &gt; 0</f>
        <v>0</v>
      </c>
      <c r="G159" t="s">
        <v>546</v>
      </c>
    </row>
    <row r="160" spans="1:10" ht="15" customHeight="1" x14ac:dyDescent="0.25">
      <c r="A160" t="s">
        <v>547</v>
      </c>
      <c r="B160">
        <v>2020</v>
      </c>
      <c r="C160" t="s">
        <v>15</v>
      </c>
      <c r="D160" t="b">
        <f>TRUE()</f>
        <v>1</v>
      </c>
      <c r="E160" t="b">
        <f>COUNTIF(connections!A:A, A160) &gt; 0</f>
        <v>1</v>
      </c>
      <c r="G160" t="s">
        <v>548</v>
      </c>
      <c r="H160" t="s">
        <v>70</v>
      </c>
      <c r="I160" t="s">
        <v>549</v>
      </c>
      <c r="J160" s="1" t="s">
        <v>550</v>
      </c>
    </row>
    <row r="161" spans="1:10" ht="15" customHeight="1" x14ac:dyDescent="0.25">
      <c r="A161" t="s">
        <v>551</v>
      </c>
      <c r="B161">
        <v>2026</v>
      </c>
      <c r="C161" t="s">
        <v>18</v>
      </c>
      <c r="D161" t="b">
        <f>TRUE()</f>
        <v>1</v>
      </c>
      <c r="E161" t="b">
        <f>COUNTIF(connections!A:A, A161) &gt; 0</f>
        <v>0</v>
      </c>
      <c r="F161" t="s">
        <v>552</v>
      </c>
      <c r="G161" t="s">
        <v>553</v>
      </c>
    </row>
    <row r="162" spans="1:10" ht="15" customHeight="1" x14ac:dyDescent="0.25">
      <c r="A162" t="s">
        <v>554</v>
      </c>
      <c r="B162">
        <v>2023</v>
      </c>
      <c r="C162" t="s">
        <v>15</v>
      </c>
      <c r="D162" t="b">
        <f>FALSE()</f>
        <v>0</v>
      </c>
      <c r="E162" t="b">
        <f>COUNTIF(connections!A:A, A162) &gt; 0</f>
        <v>0</v>
      </c>
      <c r="G162" t="s">
        <v>555</v>
      </c>
      <c r="H162" t="s">
        <v>70</v>
      </c>
      <c r="I162" t="s">
        <v>556</v>
      </c>
      <c r="J162" s="1" t="s">
        <v>557</v>
      </c>
    </row>
    <row r="163" spans="1:10" ht="15" customHeight="1" x14ac:dyDescent="0.25">
      <c r="A163" t="s">
        <v>558</v>
      </c>
      <c r="B163">
        <v>2019</v>
      </c>
      <c r="C163" t="s">
        <v>15</v>
      </c>
      <c r="D163" t="b">
        <f>TRUE()</f>
        <v>1</v>
      </c>
      <c r="E163" t="b">
        <f>COUNTIF(connections!A:A, A163) &gt; 0</f>
        <v>1</v>
      </c>
      <c r="G163" t="s">
        <v>559</v>
      </c>
      <c r="H163" t="s">
        <v>70</v>
      </c>
      <c r="I163" t="s">
        <v>560</v>
      </c>
      <c r="J163" s="1" t="s">
        <v>561</v>
      </c>
    </row>
    <row r="164" spans="1:10" ht="15" customHeight="1" x14ac:dyDescent="0.25">
      <c r="A164" t="s">
        <v>6577</v>
      </c>
      <c r="B164">
        <v>2026</v>
      </c>
      <c r="C164" t="s">
        <v>15</v>
      </c>
      <c r="D164" t="b">
        <f>TRUE()</f>
        <v>1</v>
      </c>
      <c r="E164" t="b">
        <f>COUNTIF(connections!A:A, A164) &gt; 0</f>
        <v>0</v>
      </c>
      <c r="G164" t="s">
        <v>6578</v>
      </c>
      <c r="J164" s="11" t="s">
        <v>6579</v>
      </c>
    </row>
    <row r="165" spans="1:10" ht="15" customHeight="1" x14ac:dyDescent="0.25">
      <c r="A165" t="s">
        <v>562</v>
      </c>
      <c r="B165">
        <v>2025</v>
      </c>
      <c r="C165" t="s">
        <v>15</v>
      </c>
      <c r="D165" t="b">
        <f>TRUE()</f>
        <v>1</v>
      </c>
      <c r="E165" t="b">
        <f>COUNTIF(connections!A:A, A165) &gt; 0</f>
        <v>0</v>
      </c>
      <c r="G165" t="s">
        <v>563</v>
      </c>
    </row>
    <row r="166" spans="1:10" ht="15" customHeight="1" x14ac:dyDescent="0.25">
      <c r="A166" t="s">
        <v>564</v>
      </c>
      <c r="B166">
        <v>2015</v>
      </c>
      <c r="C166" t="s">
        <v>18</v>
      </c>
      <c r="D166" t="b">
        <f>TRUE()</f>
        <v>1</v>
      </c>
      <c r="E166" t="b">
        <f>COUNTIF(connections!A:A, A166) &gt; 0</f>
        <v>1</v>
      </c>
      <c r="G166" t="s">
        <v>565</v>
      </c>
      <c r="H166" t="s">
        <v>70</v>
      </c>
      <c r="I166" t="s">
        <v>566</v>
      </c>
      <c r="J166" s="1" t="s">
        <v>567</v>
      </c>
    </row>
    <row r="167" spans="1:10" ht="15" customHeight="1" x14ac:dyDescent="0.25">
      <c r="A167" t="s">
        <v>568</v>
      </c>
      <c r="B167">
        <v>2023</v>
      </c>
      <c r="C167" t="s">
        <v>18</v>
      </c>
      <c r="D167" t="b">
        <f>TRUE()</f>
        <v>1</v>
      </c>
      <c r="E167" t="b">
        <f>COUNTIF(connections!A:A, A167) &gt; 0</f>
        <v>0</v>
      </c>
      <c r="G167" t="s">
        <v>569</v>
      </c>
      <c r="H167" t="s">
        <v>70</v>
      </c>
      <c r="I167" t="s">
        <v>570</v>
      </c>
      <c r="J167" s="1" t="s">
        <v>571</v>
      </c>
    </row>
    <row r="168" spans="1:10" ht="15" customHeight="1" x14ac:dyDescent="0.25">
      <c r="A168" t="s">
        <v>572</v>
      </c>
      <c r="B168">
        <v>2022</v>
      </c>
      <c r="C168" t="s">
        <v>15</v>
      </c>
      <c r="D168" t="b">
        <f>TRUE()</f>
        <v>1</v>
      </c>
      <c r="E168" t="b">
        <f>COUNTIF(connections!A:A, A168) &gt; 0</f>
        <v>1</v>
      </c>
      <c r="F168" t="s">
        <v>573</v>
      </c>
      <c r="G168" t="s">
        <v>574</v>
      </c>
      <c r="H168" t="s">
        <v>70</v>
      </c>
      <c r="I168" t="s">
        <v>575</v>
      </c>
      <c r="J168" s="1" t="s">
        <v>576</v>
      </c>
    </row>
    <row r="169" spans="1:10" ht="15" customHeight="1" x14ac:dyDescent="0.25">
      <c r="A169" t="s">
        <v>577</v>
      </c>
      <c r="B169">
        <v>2018</v>
      </c>
      <c r="C169" t="s">
        <v>15</v>
      </c>
      <c r="D169" t="b">
        <f>TRUE()</f>
        <v>1</v>
      </c>
      <c r="E169" t="b">
        <f>COUNTIF(connections!A:A, A169) &gt; 0</f>
        <v>1</v>
      </c>
      <c r="G169" t="s">
        <v>578</v>
      </c>
      <c r="H169" t="s">
        <v>70</v>
      </c>
      <c r="I169" t="s">
        <v>579</v>
      </c>
      <c r="J169" s="1" t="s">
        <v>580</v>
      </c>
    </row>
    <row r="170" spans="1:10" ht="15" customHeight="1" x14ac:dyDescent="0.25">
      <c r="A170" t="s">
        <v>581</v>
      </c>
      <c r="B170">
        <v>2020</v>
      </c>
      <c r="C170" t="s">
        <v>15</v>
      </c>
      <c r="D170" t="b">
        <f>TRUE()</f>
        <v>1</v>
      </c>
      <c r="E170" t="b">
        <f>COUNTIF(connections!A:A, A170) &gt; 0</f>
        <v>0</v>
      </c>
      <c r="F170" t="s">
        <v>308</v>
      </c>
      <c r="G170" t="s">
        <v>582</v>
      </c>
      <c r="H170" t="s">
        <v>70</v>
      </c>
      <c r="I170" t="s">
        <v>583</v>
      </c>
      <c r="J170" s="1" t="s">
        <v>584</v>
      </c>
    </row>
    <row r="171" spans="1:10" ht="15" customHeight="1" x14ac:dyDescent="0.25">
      <c r="A171" t="s">
        <v>585</v>
      </c>
      <c r="B171">
        <v>2025</v>
      </c>
      <c r="C171" t="s">
        <v>22</v>
      </c>
      <c r="D171" t="b">
        <f>TRUE()</f>
        <v>1</v>
      </c>
      <c r="E171" t="b">
        <f>COUNTIF(connections!A:A, A171) &gt; 0</f>
        <v>0</v>
      </c>
      <c r="F171" t="s">
        <v>182</v>
      </c>
      <c r="G171" t="s">
        <v>586</v>
      </c>
      <c r="H171" t="s">
        <v>70</v>
      </c>
      <c r="I171" t="s">
        <v>587</v>
      </c>
      <c r="J171" s="1" t="s">
        <v>588</v>
      </c>
    </row>
    <row r="172" spans="1:10" ht="15" customHeight="1" x14ac:dyDescent="0.25">
      <c r="A172" t="s">
        <v>6372</v>
      </c>
      <c r="B172">
        <v>2026</v>
      </c>
      <c r="C172" t="s">
        <v>18</v>
      </c>
      <c r="D172" t="b">
        <f>TRUE()</f>
        <v>1</v>
      </c>
      <c r="E172" t="b">
        <f>COUNTIF(connections!A:A, A172) &gt; 0</f>
        <v>0</v>
      </c>
      <c r="G172" t="s">
        <v>6373</v>
      </c>
      <c r="J172" s="11" t="s">
        <v>6374</v>
      </c>
    </row>
    <row r="173" spans="1:10" ht="15" customHeight="1" x14ac:dyDescent="0.25">
      <c r="A173" t="s">
        <v>589</v>
      </c>
      <c r="B173">
        <v>2025</v>
      </c>
      <c r="C173" t="s">
        <v>15</v>
      </c>
      <c r="D173" t="b">
        <f>FALSE()</f>
        <v>0</v>
      </c>
      <c r="E173" t="b">
        <f>COUNTIF(connections!A:A, A173) &gt; 0</f>
        <v>0</v>
      </c>
      <c r="F173" t="s">
        <v>308</v>
      </c>
      <c r="G173" t="s">
        <v>590</v>
      </c>
    </row>
    <row r="174" spans="1:10" ht="15" customHeight="1" x14ac:dyDescent="0.25">
      <c r="A174" t="s">
        <v>591</v>
      </c>
      <c r="B174">
        <v>2025</v>
      </c>
      <c r="C174" t="s">
        <v>15</v>
      </c>
      <c r="D174" t="b">
        <f>FALSE()</f>
        <v>0</v>
      </c>
      <c r="E174" t="b">
        <f>COUNTIF(connections!A:A, A174) &gt; 0</f>
        <v>0</v>
      </c>
      <c r="G174" t="s">
        <v>592</v>
      </c>
    </row>
    <row r="175" spans="1:10" ht="15" customHeight="1" x14ac:dyDescent="0.25">
      <c r="A175" t="s">
        <v>593</v>
      </c>
      <c r="B175">
        <v>2023</v>
      </c>
      <c r="C175" t="s">
        <v>15</v>
      </c>
      <c r="D175" t="b">
        <f>TRUE()</f>
        <v>1</v>
      </c>
      <c r="E175" t="b">
        <f>COUNTIF(connections!A:A, A175) &gt; 0</f>
        <v>1</v>
      </c>
      <c r="F175" t="s">
        <v>82</v>
      </c>
      <c r="G175" t="s">
        <v>594</v>
      </c>
      <c r="H175" t="s">
        <v>70</v>
      </c>
      <c r="I175" t="s">
        <v>595</v>
      </c>
      <c r="J175" s="1" t="s">
        <v>596</v>
      </c>
    </row>
    <row r="176" spans="1:10" ht="15" customHeight="1" x14ac:dyDescent="0.25">
      <c r="A176" t="s">
        <v>597</v>
      </c>
      <c r="B176">
        <v>2016</v>
      </c>
      <c r="C176" t="s">
        <v>15</v>
      </c>
      <c r="D176" t="b">
        <f>TRUE()</f>
        <v>1</v>
      </c>
      <c r="E176" t="b">
        <f>COUNTIF(connections!A:A, A176) &gt; 0</f>
        <v>0</v>
      </c>
      <c r="F176" t="s">
        <v>308</v>
      </c>
      <c r="G176" t="s">
        <v>598</v>
      </c>
      <c r="H176" t="s">
        <v>70</v>
      </c>
      <c r="I176" t="s">
        <v>599</v>
      </c>
      <c r="J176" s="1" t="s">
        <v>600</v>
      </c>
    </row>
    <row r="177" spans="1:10" ht="15" customHeight="1" x14ac:dyDescent="0.25">
      <c r="A177" t="s">
        <v>601</v>
      </c>
      <c r="B177">
        <v>2023</v>
      </c>
      <c r="C177" t="s">
        <v>22</v>
      </c>
      <c r="D177" t="b">
        <f>TRUE()</f>
        <v>1</v>
      </c>
      <c r="E177" t="b">
        <f>COUNTIF(connections!A:A, A177) &gt; 0</f>
        <v>1</v>
      </c>
      <c r="F177" t="s">
        <v>602</v>
      </c>
      <c r="G177" t="s">
        <v>603</v>
      </c>
      <c r="H177" t="s">
        <v>70</v>
      </c>
      <c r="I177" t="s">
        <v>604</v>
      </c>
      <c r="J177" s="1" t="s">
        <v>605</v>
      </c>
    </row>
    <row r="178" spans="1:10" ht="15" customHeight="1" x14ac:dyDescent="0.25">
      <c r="A178" t="s">
        <v>606</v>
      </c>
      <c r="B178">
        <v>2014</v>
      </c>
      <c r="C178" t="s">
        <v>15</v>
      </c>
      <c r="D178" t="b">
        <v>1</v>
      </c>
      <c r="E178" t="b">
        <f>COUNTIF(connections!A:A, A178) &gt; 0</f>
        <v>0</v>
      </c>
      <c r="G178" t="s">
        <v>607</v>
      </c>
      <c r="H178" t="s">
        <v>70</v>
      </c>
      <c r="I178" t="s">
        <v>608</v>
      </c>
      <c r="J178" s="11" t="s">
        <v>609</v>
      </c>
    </row>
    <row r="179" spans="1:10" ht="15" customHeight="1" x14ac:dyDescent="0.25">
      <c r="A179" t="s">
        <v>610</v>
      </c>
      <c r="B179">
        <v>2019</v>
      </c>
      <c r="C179" t="s">
        <v>22</v>
      </c>
      <c r="D179" t="b">
        <f>TRUE()</f>
        <v>1</v>
      </c>
      <c r="E179" t="b">
        <f>COUNTIF(connections!A:A, A179) &gt; 0</f>
        <v>0</v>
      </c>
      <c r="G179" t="s">
        <v>611</v>
      </c>
      <c r="H179" t="s">
        <v>70</v>
      </c>
      <c r="I179" t="s">
        <v>612</v>
      </c>
      <c r="J179" s="1" t="s">
        <v>613</v>
      </c>
    </row>
    <row r="180" spans="1:10" ht="15" customHeight="1" x14ac:dyDescent="0.25">
      <c r="A180" t="s">
        <v>614</v>
      </c>
      <c r="B180">
        <v>2025</v>
      </c>
      <c r="C180" t="s">
        <v>22</v>
      </c>
      <c r="D180" t="b">
        <f>TRUE()</f>
        <v>1</v>
      </c>
      <c r="E180" t="b">
        <f>COUNTIF(connections!A:A, A180) &gt; 0</f>
        <v>0</v>
      </c>
      <c r="G180" t="s">
        <v>615</v>
      </c>
      <c r="H180" t="s">
        <v>70</v>
      </c>
      <c r="I180" t="s">
        <v>616</v>
      </c>
      <c r="J180" s="1" t="s">
        <v>617</v>
      </c>
    </row>
    <row r="181" spans="1:10" ht="15" customHeight="1" x14ac:dyDescent="0.25">
      <c r="A181" t="s">
        <v>618</v>
      </c>
      <c r="B181">
        <v>2025</v>
      </c>
      <c r="C181" t="s">
        <v>22</v>
      </c>
      <c r="D181" t="b">
        <f>TRUE()</f>
        <v>1</v>
      </c>
      <c r="E181" t="b">
        <f>COUNTIF(connections!A:A, A181) &gt; 0</f>
        <v>0</v>
      </c>
      <c r="G181" t="s">
        <v>619</v>
      </c>
      <c r="H181" t="s">
        <v>70</v>
      </c>
      <c r="I181" t="s">
        <v>620</v>
      </c>
      <c r="J181" s="1" t="s">
        <v>621</v>
      </c>
    </row>
    <row r="182" spans="1:10" ht="15" customHeight="1" x14ac:dyDescent="0.25">
      <c r="A182" t="s">
        <v>622</v>
      </c>
      <c r="B182">
        <v>2014</v>
      </c>
      <c r="C182" t="s">
        <v>15</v>
      </c>
      <c r="D182" t="b">
        <f>TRUE()</f>
        <v>1</v>
      </c>
      <c r="E182" t="b">
        <f>COUNTIF(connections!A:A, A182) &gt; 0</f>
        <v>0</v>
      </c>
      <c r="G182" t="s">
        <v>623</v>
      </c>
      <c r="H182" t="s">
        <v>70</v>
      </c>
      <c r="I182" t="s">
        <v>624</v>
      </c>
      <c r="J182" s="1" t="s">
        <v>625</v>
      </c>
    </row>
    <row r="183" spans="1:10" ht="15" customHeight="1" x14ac:dyDescent="0.25">
      <c r="A183" t="s">
        <v>626</v>
      </c>
      <c r="B183">
        <v>2024</v>
      </c>
      <c r="C183" t="s">
        <v>15</v>
      </c>
      <c r="D183" t="b">
        <f>TRUE()</f>
        <v>1</v>
      </c>
      <c r="E183" t="b">
        <f>COUNTIF(connections!A:A, A183) &gt; 0</f>
        <v>1</v>
      </c>
      <c r="F183" t="s">
        <v>450</v>
      </c>
      <c r="G183" t="s">
        <v>627</v>
      </c>
    </row>
    <row r="184" spans="1:10" ht="15" customHeight="1" x14ac:dyDescent="0.25">
      <c r="A184" t="s">
        <v>628</v>
      </c>
      <c r="B184">
        <v>2018</v>
      </c>
      <c r="C184" t="s">
        <v>22</v>
      </c>
      <c r="D184" t="b">
        <f>TRUE()</f>
        <v>1</v>
      </c>
      <c r="E184" t="b">
        <f>COUNTIF(connections!A:A, A184) &gt; 0</f>
        <v>1</v>
      </c>
      <c r="G184" t="s">
        <v>629</v>
      </c>
    </row>
    <row r="185" spans="1:10" ht="15" customHeight="1" x14ac:dyDescent="0.25">
      <c r="A185" t="s">
        <v>630</v>
      </c>
      <c r="B185">
        <v>2021</v>
      </c>
      <c r="C185" t="s">
        <v>22</v>
      </c>
      <c r="D185" t="b">
        <f>TRUE()</f>
        <v>1</v>
      </c>
      <c r="E185" t="b">
        <f>COUNTIF(connections!A:A, A185) &gt; 0</f>
        <v>0</v>
      </c>
      <c r="G185" t="s">
        <v>631</v>
      </c>
      <c r="H185" t="s">
        <v>70</v>
      </c>
      <c r="I185" t="s">
        <v>632</v>
      </c>
      <c r="J185" s="1" t="s">
        <v>633</v>
      </c>
    </row>
    <row r="186" spans="1:10" ht="15" customHeight="1" x14ac:dyDescent="0.25">
      <c r="A186" t="s">
        <v>634</v>
      </c>
      <c r="B186">
        <v>2012</v>
      </c>
      <c r="C186" t="s">
        <v>15</v>
      </c>
      <c r="D186" t="b">
        <f>FALSE()</f>
        <v>0</v>
      </c>
      <c r="E186" t="b">
        <f>COUNTIF(connections!A:A, A186) &gt; 0</f>
        <v>0</v>
      </c>
      <c r="G186" t="s">
        <v>635</v>
      </c>
    </row>
    <row r="187" spans="1:10" ht="15" customHeight="1" x14ac:dyDescent="0.25">
      <c r="A187" t="s">
        <v>636</v>
      </c>
      <c r="B187">
        <v>2026</v>
      </c>
      <c r="C187" t="s">
        <v>26</v>
      </c>
      <c r="D187" t="b">
        <f>TRUE()</f>
        <v>1</v>
      </c>
      <c r="E187" t="b">
        <f>COUNTIF(connections!A:A, A187) &gt; 0</f>
        <v>0</v>
      </c>
      <c r="F187" t="s">
        <v>637</v>
      </c>
      <c r="G187" t="s">
        <v>638</v>
      </c>
      <c r="H187" t="s">
        <v>70</v>
      </c>
      <c r="I187" t="s">
        <v>639</v>
      </c>
      <c r="J187" s="1" t="s">
        <v>640</v>
      </c>
    </row>
    <row r="188" spans="1:10" ht="15" customHeight="1" x14ac:dyDescent="0.25">
      <c r="A188" t="s">
        <v>641</v>
      </c>
      <c r="B188">
        <v>2019</v>
      </c>
      <c r="C188" t="s">
        <v>18</v>
      </c>
      <c r="D188" t="b">
        <f>TRUE()</f>
        <v>1</v>
      </c>
      <c r="E188" t="b">
        <f>COUNTIF(connections!A:A, A188) &gt; 0</f>
        <v>1</v>
      </c>
      <c r="G188" t="s">
        <v>642</v>
      </c>
    </row>
    <row r="189" spans="1:10" ht="15" customHeight="1" x14ac:dyDescent="0.25">
      <c r="A189" t="s">
        <v>643</v>
      </c>
      <c r="B189">
        <v>2025</v>
      </c>
      <c r="C189" t="s">
        <v>22</v>
      </c>
      <c r="D189" t="b">
        <f>TRUE()</f>
        <v>1</v>
      </c>
      <c r="E189" t="b">
        <f>COUNTIF(connections!A:A, A189) &gt; 0</f>
        <v>0</v>
      </c>
      <c r="F189" t="s">
        <v>146</v>
      </c>
      <c r="G189" t="s">
        <v>644</v>
      </c>
      <c r="H189" t="s">
        <v>70</v>
      </c>
      <c r="I189" t="s">
        <v>645</v>
      </c>
      <c r="J189" s="1" t="s">
        <v>646</v>
      </c>
    </row>
    <row r="190" spans="1:10" ht="15" customHeight="1" x14ac:dyDescent="0.25">
      <c r="A190" t="s">
        <v>647</v>
      </c>
      <c r="B190">
        <v>2022</v>
      </c>
      <c r="C190" t="s">
        <v>18</v>
      </c>
      <c r="D190" t="b">
        <f>FALSE()</f>
        <v>0</v>
      </c>
      <c r="E190" t="b">
        <f>COUNTIF(connections!A:A, A190) &gt; 0</f>
        <v>0</v>
      </c>
      <c r="G190" t="s">
        <v>648</v>
      </c>
      <c r="H190" t="s">
        <v>70</v>
      </c>
      <c r="I190" t="s">
        <v>649</v>
      </c>
      <c r="J190" s="1" t="s">
        <v>650</v>
      </c>
    </row>
    <row r="191" spans="1:10" ht="15" customHeight="1" x14ac:dyDescent="0.25">
      <c r="A191" t="s">
        <v>651</v>
      </c>
      <c r="B191">
        <v>2010</v>
      </c>
      <c r="C191" t="s">
        <v>26</v>
      </c>
      <c r="D191" t="b">
        <f>TRUE()</f>
        <v>1</v>
      </c>
      <c r="E191" t="b">
        <f>COUNTIF(connections!A:A, A191) &gt; 0</f>
        <v>1</v>
      </c>
      <c r="G191" t="s">
        <v>652</v>
      </c>
    </row>
    <row r="192" spans="1:10" ht="15" customHeight="1" x14ac:dyDescent="0.25">
      <c r="A192" t="s">
        <v>653</v>
      </c>
      <c r="B192">
        <v>2025</v>
      </c>
      <c r="C192" t="s">
        <v>15</v>
      </c>
      <c r="D192" t="b">
        <f>TRUE()</f>
        <v>1</v>
      </c>
      <c r="E192" t="b">
        <f>COUNTIF(connections!A:A, A192) &gt; 0</f>
        <v>0</v>
      </c>
      <c r="G192" t="s">
        <v>654</v>
      </c>
      <c r="H192" t="s">
        <v>70</v>
      </c>
      <c r="I192" t="s">
        <v>655</v>
      </c>
      <c r="J192" s="1" t="s">
        <v>656</v>
      </c>
    </row>
    <row r="193" spans="1:10" ht="15" customHeight="1" x14ac:dyDescent="0.25">
      <c r="A193" t="s">
        <v>657</v>
      </c>
      <c r="B193">
        <v>2021</v>
      </c>
      <c r="C193" t="s">
        <v>15</v>
      </c>
      <c r="D193" t="b">
        <f>TRUE()</f>
        <v>1</v>
      </c>
      <c r="E193" t="b">
        <f>COUNTIF(connections!A:A, A193) &gt; 0</f>
        <v>1</v>
      </c>
      <c r="G193" t="s">
        <v>658</v>
      </c>
      <c r="H193" t="s">
        <v>70</v>
      </c>
      <c r="I193" t="s">
        <v>659</v>
      </c>
      <c r="J193" s="1" t="s">
        <v>660</v>
      </c>
    </row>
    <row r="194" spans="1:10" ht="15" customHeight="1" x14ac:dyDescent="0.25">
      <c r="A194" t="s">
        <v>661</v>
      </c>
      <c r="B194">
        <v>2019</v>
      </c>
      <c r="C194" t="s">
        <v>15</v>
      </c>
      <c r="D194" t="b">
        <f>TRUE()</f>
        <v>1</v>
      </c>
      <c r="E194" t="b">
        <f>COUNTIF(connections!A:A, A194) &gt; 0</f>
        <v>0</v>
      </c>
      <c r="G194" t="s">
        <v>662</v>
      </c>
    </row>
    <row r="195" spans="1:10" ht="15" customHeight="1" x14ac:dyDescent="0.25">
      <c r="A195" t="s">
        <v>6430</v>
      </c>
      <c r="B195">
        <v>1996</v>
      </c>
      <c r="C195" t="s">
        <v>15</v>
      </c>
      <c r="D195" t="b">
        <f>TRUE()</f>
        <v>1</v>
      </c>
      <c r="E195" t="b">
        <f>COUNTIF(connections!A:A, A195) &gt; 0</f>
        <v>1</v>
      </c>
      <c r="G195" t="s">
        <v>6431</v>
      </c>
    </row>
    <row r="196" spans="1:10" ht="15" customHeight="1" x14ac:dyDescent="0.25">
      <c r="A196" t="s">
        <v>663</v>
      </c>
      <c r="B196">
        <v>2024</v>
      </c>
      <c r="C196" t="s">
        <v>22</v>
      </c>
      <c r="D196" t="b">
        <f>TRUE()</f>
        <v>1</v>
      </c>
      <c r="E196" t="b">
        <f>COUNTIF(connections!A:A, A196) &gt; 0</f>
        <v>0</v>
      </c>
      <c r="F196" t="s">
        <v>182</v>
      </c>
      <c r="G196" t="s">
        <v>664</v>
      </c>
      <c r="H196" t="s">
        <v>70</v>
      </c>
      <c r="I196" t="s">
        <v>665</v>
      </c>
      <c r="J196" s="1" t="s">
        <v>666</v>
      </c>
    </row>
    <row r="197" spans="1:10" ht="15" customHeight="1" x14ac:dyDescent="0.25">
      <c r="A197" t="s">
        <v>667</v>
      </c>
      <c r="B197">
        <v>2026</v>
      </c>
      <c r="C197" t="s">
        <v>22</v>
      </c>
      <c r="D197" t="b">
        <f>TRUE()</f>
        <v>1</v>
      </c>
      <c r="E197" t="b">
        <f>COUNTIF(connections!A:A, A197) &gt; 0</f>
        <v>0</v>
      </c>
      <c r="F197" t="s">
        <v>182</v>
      </c>
      <c r="G197" t="s">
        <v>668</v>
      </c>
    </row>
    <row r="198" spans="1:10" ht="15" customHeight="1" x14ac:dyDescent="0.25">
      <c r="A198" t="s">
        <v>669</v>
      </c>
      <c r="B198">
        <v>2025</v>
      </c>
      <c r="C198" t="s">
        <v>18</v>
      </c>
      <c r="D198" t="b">
        <f>FALSE()</f>
        <v>0</v>
      </c>
      <c r="E198" t="b">
        <f>COUNTIF(connections!A:A, A198) &gt; 0</f>
        <v>0</v>
      </c>
      <c r="F198" t="s">
        <v>182</v>
      </c>
      <c r="G198" t="s">
        <v>670</v>
      </c>
      <c r="H198" t="s">
        <v>70</v>
      </c>
      <c r="I198" t="s">
        <v>6331</v>
      </c>
      <c r="J198" s="11" t="s">
        <v>6332</v>
      </c>
    </row>
    <row r="199" spans="1:10" ht="15" customHeight="1" x14ac:dyDescent="0.25">
      <c r="A199" t="s">
        <v>671</v>
      </c>
      <c r="B199">
        <v>2025</v>
      </c>
      <c r="C199" t="s">
        <v>22</v>
      </c>
      <c r="D199" t="b">
        <f>TRUE()</f>
        <v>1</v>
      </c>
      <c r="E199" t="b">
        <f>COUNTIF(connections!A:A, A199) &gt; 0</f>
        <v>0</v>
      </c>
      <c r="F199" t="s">
        <v>182</v>
      </c>
      <c r="G199" t="s">
        <v>672</v>
      </c>
    </row>
    <row r="200" spans="1:10" ht="15" customHeight="1" x14ac:dyDescent="0.25">
      <c r="A200" t="s">
        <v>673</v>
      </c>
      <c r="B200">
        <v>2024</v>
      </c>
      <c r="C200" t="s">
        <v>22</v>
      </c>
      <c r="D200" t="b">
        <f>TRUE()</f>
        <v>1</v>
      </c>
      <c r="E200" t="b">
        <f>COUNTIF(connections!A:A, A200) &gt; 0</f>
        <v>0</v>
      </c>
      <c r="F200" t="s">
        <v>182</v>
      </c>
      <c r="G200" t="s">
        <v>674</v>
      </c>
      <c r="H200" t="s">
        <v>70</v>
      </c>
      <c r="I200" t="s">
        <v>675</v>
      </c>
      <c r="J200" s="11" t="s">
        <v>676</v>
      </c>
    </row>
    <row r="201" spans="1:10" ht="15" customHeight="1" x14ac:dyDescent="0.25">
      <c r="A201" t="s">
        <v>677</v>
      </c>
      <c r="B201">
        <v>2024</v>
      </c>
      <c r="C201" t="s">
        <v>22</v>
      </c>
      <c r="D201" t="b">
        <f>FALSE()</f>
        <v>0</v>
      </c>
      <c r="E201" t="b">
        <f>COUNTIF(connections!A:A, A201) &gt; 0</f>
        <v>0</v>
      </c>
      <c r="F201" t="s">
        <v>182</v>
      </c>
      <c r="G201" t="s">
        <v>678</v>
      </c>
      <c r="H201" t="s">
        <v>70</v>
      </c>
      <c r="I201" t="s">
        <v>679</v>
      </c>
      <c r="J201" s="1" t="s">
        <v>680</v>
      </c>
    </row>
    <row r="202" spans="1:10" ht="15" customHeight="1" x14ac:dyDescent="0.25">
      <c r="A202" t="s">
        <v>681</v>
      </c>
      <c r="B202">
        <v>2019</v>
      </c>
      <c r="C202" t="s">
        <v>22</v>
      </c>
      <c r="D202" t="b">
        <f>TRUE()</f>
        <v>1</v>
      </c>
      <c r="E202" t="b">
        <f>COUNTIF(connections!A:A, A202) &gt; 0</f>
        <v>1</v>
      </c>
      <c r="F202" t="s">
        <v>182</v>
      </c>
      <c r="G202" t="s">
        <v>682</v>
      </c>
      <c r="H202" t="s">
        <v>70</v>
      </c>
      <c r="I202" t="s">
        <v>683</v>
      </c>
      <c r="J202" s="1" t="s">
        <v>684</v>
      </c>
    </row>
    <row r="203" spans="1:10" ht="15" customHeight="1" x14ac:dyDescent="0.25">
      <c r="A203" t="s">
        <v>685</v>
      </c>
      <c r="B203">
        <v>2025</v>
      </c>
      <c r="C203" t="s">
        <v>22</v>
      </c>
      <c r="D203" t="b">
        <f>TRUE()</f>
        <v>1</v>
      </c>
      <c r="E203" t="b">
        <f>COUNTIF(connections!A:A, A203) &gt; 0</f>
        <v>0</v>
      </c>
      <c r="F203" t="s">
        <v>182</v>
      </c>
      <c r="G203" t="s">
        <v>686</v>
      </c>
    </row>
    <row r="204" spans="1:10" ht="15" customHeight="1" x14ac:dyDescent="0.25">
      <c r="A204" t="s">
        <v>687</v>
      </c>
      <c r="B204">
        <v>2025</v>
      </c>
      <c r="C204" t="s">
        <v>22</v>
      </c>
      <c r="D204" t="b">
        <f>TRUE()</f>
        <v>1</v>
      </c>
      <c r="E204" t="b">
        <f>COUNTIF(connections!A:A, A204) &gt; 0</f>
        <v>0</v>
      </c>
      <c r="F204" t="s">
        <v>182</v>
      </c>
      <c r="G204" t="s">
        <v>688</v>
      </c>
      <c r="H204" t="s">
        <v>70</v>
      </c>
      <c r="I204" t="s">
        <v>689</v>
      </c>
      <c r="J204" s="1" t="s">
        <v>690</v>
      </c>
    </row>
    <row r="205" spans="1:10" ht="15" customHeight="1" x14ac:dyDescent="0.25">
      <c r="A205" t="s">
        <v>691</v>
      </c>
      <c r="B205">
        <v>2021</v>
      </c>
      <c r="C205" t="s">
        <v>15</v>
      </c>
      <c r="D205" t="b">
        <f>FALSE()</f>
        <v>0</v>
      </c>
      <c r="E205" t="b">
        <f>COUNTIF(connections!A:A, A205) &gt; 0</f>
        <v>0</v>
      </c>
      <c r="G205" t="s">
        <v>692</v>
      </c>
      <c r="H205" t="s">
        <v>70</v>
      </c>
      <c r="I205" t="s">
        <v>693</v>
      </c>
      <c r="J205" s="1" t="s">
        <v>694</v>
      </c>
    </row>
    <row r="206" spans="1:10" ht="15" customHeight="1" x14ac:dyDescent="0.25">
      <c r="A206" t="s">
        <v>695</v>
      </c>
      <c r="B206">
        <v>2024</v>
      </c>
      <c r="C206" t="s">
        <v>22</v>
      </c>
      <c r="D206" t="b">
        <f>TRUE()</f>
        <v>1</v>
      </c>
      <c r="E206" t="b">
        <f>COUNTIF(connections!A:A, A206) &gt; 0</f>
        <v>0</v>
      </c>
      <c r="G206" t="s">
        <v>696</v>
      </c>
    </row>
    <row r="207" spans="1:10" ht="15" customHeight="1" x14ac:dyDescent="0.25">
      <c r="A207" t="s">
        <v>697</v>
      </c>
      <c r="B207">
        <v>2023</v>
      </c>
      <c r="C207" t="s">
        <v>15</v>
      </c>
      <c r="D207" t="b">
        <f>TRUE()</f>
        <v>1</v>
      </c>
      <c r="E207" t="b">
        <f>COUNTIF(connections!A:A, A207) &gt; 0</f>
        <v>0</v>
      </c>
      <c r="G207" t="s">
        <v>698</v>
      </c>
      <c r="H207" t="s">
        <v>70</v>
      </c>
      <c r="I207" t="s">
        <v>699</v>
      </c>
      <c r="J207" s="1" t="s">
        <v>700</v>
      </c>
    </row>
    <row r="208" spans="1:10" ht="15" customHeight="1" x14ac:dyDescent="0.25">
      <c r="A208" t="s">
        <v>6367</v>
      </c>
      <c r="B208">
        <v>2026</v>
      </c>
      <c r="C208" t="s">
        <v>15</v>
      </c>
      <c r="D208" t="b">
        <f>TRUE()</f>
        <v>1</v>
      </c>
      <c r="E208" t="b">
        <f>COUNTIF(connections!A:A, A208) &gt; 0</f>
        <v>0</v>
      </c>
      <c r="G208" t="s">
        <v>6369</v>
      </c>
      <c r="J208" s="11" t="s">
        <v>6370</v>
      </c>
    </row>
    <row r="209" spans="1:10" ht="15" customHeight="1" x14ac:dyDescent="0.25">
      <c r="A209" t="s">
        <v>701</v>
      </c>
      <c r="B209">
        <v>2024</v>
      </c>
      <c r="C209" t="s">
        <v>22</v>
      </c>
      <c r="D209" t="b">
        <f>TRUE()</f>
        <v>1</v>
      </c>
      <c r="E209" t="b">
        <f>COUNTIF(connections!A:A, A209) &gt; 0</f>
        <v>0</v>
      </c>
      <c r="G209" t="s">
        <v>702</v>
      </c>
    </row>
    <row r="210" spans="1:10" ht="15" customHeight="1" x14ac:dyDescent="0.25">
      <c r="A210" t="s">
        <v>703</v>
      </c>
      <c r="B210">
        <v>2025</v>
      </c>
      <c r="C210" t="s">
        <v>22</v>
      </c>
      <c r="D210" t="b">
        <f>TRUE()</f>
        <v>1</v>
      </c>
      <c r="E210" t="b">
        <f>COUNTIF(connections!A:A, A210) &gt; 0</f>
        <v>0</v>
      </c>
      <c r="G210" t="s">
        <v>704</v>
      </c>
    </row>
    <row r="211" spans="1:10" ht="15" customHeight="1" x14ac:dyDescent="0.25">
      <c r="A211" t="s">
        <v>705</v>
      </c>
      <c r="B211">
        <v>2025</v>
      </c>
      <c r="C211" t="s">
        <v>22</v>
      </c>
      <c r="D211" t="b">
        <f>TRUE()</f>
        <v>1</v>
      </c>
      <c r="E211" t="b">
        <f>COUNTIF(connections!A:A, A211) &gt; 0</f>
        <v>0</v>
      </c>
      <c r="G211" t="s">
        <v>706</v>
      </c>
      <c r="H211" t="s">
        <v>70</v>
      </c>
      <c r="I211" t="s">
        <v>707</v>
      </c>
      <c r="J211" s="1" t="s">
        <v>708</v>
      </c>
    </row>
    <row r="212" spans="1:10" ht="15" customHeight="1" x14ac:dyDescent="0.25">
      <c r="A212" t="s">
        <v>709</v>
      </c>
      <c r="B212">
        <v>2022</v>
      </c>
      <c r="C212" t="s">
        <v>18</v>
      </c>
      <c r="D212" t="b">
        <f>TRUE()</f>
        <v>1</v>
      </c>
      <c r="E212" t="b">
        <f>COUNTIF(connections!A:A, A212) &gt; 0</f>
        <v>1</v>
      </c>
      <c r="F212" t="s">
        <v>710</v>
      </c>
      <c r="G212" t="s">
        <v>711</v>
      </c>
      <c r="H212" t="s">
        <v>70</v>
      </c>
      <c r="I212" t="s">
        <v>712</v>
      </c>
      <c r="J212" s="1" t="s">
        <v>713</v>
      </c>
    </row>
    <row r="213" spans="1:10" ht="15" customHeight="1" x14ac:dyDescent="0.25">
      <c r="A213" t="s">
        <v>714</v>
      </c>
      <c r="B213">
        <v>2026</v>
      </c>
      <c r="C213" t="s">
        <v>15</v>
      </c>
      <c r="D213" t="b">
        <f>FALSE()</f>
        <v>0</v>
      </c>
      <c r="E213" t="b">
        <f>COUNTIF(connections!A:A, A213) &gt; 0</f>
        <v>0</v>
      </c>
      <c r="G213" t="s">
        <v>715</v>
      </c>
    </row>
    <row r="214" spans="1:10" ht="15" customHeight="1" x14ac:dyDescent="0.25">
      <c r="A214" t="s">
        <v>716</v>
      </c>
      <c r="B214">
        <v>2013</v>
      </c>
      <c r="C214" t="s">
        <v>15</v>
      </c>
      <c r="D214" t="b">
        <f>TRUE()</f>
        <v>1</v>
      </c>
      <c r="E214" t="b">
        <f>COUNTIF(connections!A:A, A214) &gt; 0</f>
        <v>1</v>
      </c>
      <c r="G214" t="s">
        <v>717</v>
      </c>
      <c r="H214" t="s">
        <v>70</v>
      </c>
      <c r="I214" t="s">
        <v>718</v>
      </c>
      <c r="J214" s="1" t="s">
        <v>719</v>
      </c>
    </row>
    <row r="215" spans="1:10" ht="15" customHeight="1" x14ac:dyDescent="0.25">
      <c r="A215" t="s">
        <v>720</v>
      </c>
      <c r="B215">
        <v>2014</v>
      </c>
      <c r="C215" t="s">
        <v>15</v>
      </c>
      <c r="D215" t="b">
        <f>TRUE()</f>
        <v>1</v>
      </c>
      <c r="E215" t="b">
        <f>COUNTIF(connections!A:A, A215) &gt; 0</f>
        <v>0</v>
      </c>
      <c r="G215" t="s">
        <v>721</v>
      </c>
      <c r="H215" t="s">
        <v>70</v>
      </c>
      <c r="I215" t="s">
        <v>722</v>
      </c>
      <c r="J215" s="1" t="s">
        <v>723</v>
      </c>
    </row>
    <row r="216" spans="1:10" ht="15" customHeight="1" x14ac:dyDescent="0.25">
      <c r="A216" t="s">
        <v>724</v>
      </c>
      <c r="B216">
        <v>2002</v>
      </c>
      <c r="C216" t="s">
        <v>26</v>
      </c>
      <c r="D216" t="b">
        <f>TRUE()</f>
        <v>1</v>
      </c>
      <c r="E216" t="b">
        <f>COUNTIF(connections!A:A, A216) &gt; 0</f>
        <v>1</v>
      </c>
      <c r="G216" t="s">
        <v>725</v>
      </c>
    </row>
    <row r="217" spans="1:10" ht="15" customHeight="1" x14ac:dyDescent="0.25">
      <c r="A217" t="s">
        <v>726</v>
      </c>
      <c r="B217">
        <v>2019</v>
      </c>
      <c r="C217" t="s">
        <v>18</v>
      </c>
      <c r="D217" t="b">
        <f>TRUE()</f>
        <v>1</v>
      </c>
      <c r="E217" t="b">
        <f>COUNTIF(connections!A:A, A217) &gt; 0</f>
        <v>1</v>
      </c>
      <c r="G217" t="s">
        <v>727</v>
      </c>
    </row>
    <row r="218" spans="1:10" ht="15" customHeight="1" x14ac:dyDescent="0.25">
      <c r="A218" t="s">
        <v>728</v>
      </c>
      <c r="B218">
        <v>2023</v>
      </c>
      <c r="C218" t="s">
        <v>15</v>
      </c>
      <c r="D218" t="b">
        <f>FALSE()</f>
        <v>0</v>
      </c>
      <c r="E218" t="b">
        <f>COUNTIF(connections!A:A, A218) &gt; 0</f>
        <v>0</v>
      </c>
      <c r="F218" t="s">
        <v>107</v>
      </c>
      <c r="G218" t="s">
        <v>729</v>
      </c>
      <c r="H218" t="s">
        <v>70</v>
      </c>
      <c r="I218" t="s">
        <v>730</v>
      </c>
      <c r="J218" s="1" t="s">
        <v>731</v>
      </c>
    </row>
    <row r="219" spans="1:10" ht="15" customHeight="1" x14ac:dyDescent="0.25">
      <c r="A219" t="s">
        <v>732</v>
      </c>
      <c r="B219">
        <v>2015</v>
      </c>
      <c r="C219" t="s">
        <v>15</v>
      </c>
      <c r="D219" t="b">
        <f>TRUE()</f>
        <v>1</v>
      </c>
      <c r="E219" t="b">
        <f>COUNTIF(connections!A:A, A219) &gt; 0</f>
        <v>1</v>
      </c>
      <c r="G219" t="s">
        <v>733</v>
      </c>
      <c r="H219" t="s">
        <v>70</v>
      </c>
      <c r="I219" t="s">
        <v>734</v>
      </c>
      <c r="J219" s="1" t="s">
        <v>735</v>
      </c>
    </row>
    <row r="220" spans="1:10" ht="15" customHeight="1" x14ac:dyDescent="0.25">
      <c r="A220" t="s">
        <v>736</v>
      </c>
      <c r="B220">
        <v>2006</v>
      </c>
      <c r="C220" t="s">
        <v>26</v>
      </c>
      <c r="D220" t="b">
        <f>TRUE()</f>
        <v>1</v>
      </c>
      <c r="E220" t="b">
        <f>COUNTIF(connections!A:A, A220) &gt; 0</f>
        <v>0</v>
      </c>
      <c r="G220" t="s">
        <v>737</v>
      </c>
    </row>
    <row r="221" spans="1:10" ht="15" customHeight="1" x14ac:dyDescent="0.25">
      <c r="A221" t="s">
        <v>738</v>
      </c>
      <c r="B221">
        <v>2003</v>
      </c>
      <c r="C221" t="s">
        <v>26</v>
      </c>
      <c r="D221" t="b">
        <f>TRUE()</f>
        <v>1</v>
      </c>
      <c r="E221" t="b">
        <f>COUNTIF(connections!A:A, A221) &gt; 0</f>
        <v>0</v>
      </c>
      <c r="G221" t="s">
        <v>739</v>
      </c>
    </row>
    <row r="222" spans="1:10" ht="15" customHeight="1" x14ac:dyDescent="0.25">
      <c r="A222" t="s">
        <v>740</v>
      </c>
      <c r="B222">
        <v>2025</v>
      </c>
      <c r="C222" t="s">
        <v>18</v>
      </c>
      <c r="D222" t="b">
        <v>0</v>
      </c>
      <c r="E222" t="b">
        <v>0</v>
      </c>
      <c r="G222" t="s">
        <v>741</v>
      </c>
      <c r="H222" t="s">
        <v>70</v>
      </c>
      <c r="I222" t="s">
        <v>742</v>
      </c>
      <c r="J222" s="11" t="s">
        <v>743</v>
      </c>
    </row>
    <row r="223" spans="1:10" ht="15" customHeight="1" x14ac:dyDescent="0.25">
      <c r="A223" t="s">
        <v>744</v>
      </c>
      <c r="B223">
        <v>2014</v>
      </c>
      <c r="C223" t="s">
        <v>22</v>
      </c>
      <c r="D223" t="b">
        <f>TRUE()</f>
        <v>1</v>
      </c>
      <c r="E223" t="b">
        <f>COUNTIF(connections!A:A, A223) &gt; 0</f>
        <v>1</v>
      </c>
      <c r="G223" t="s">
        <v>745</v>
      </c>
    </row>
    <row r="224" spans="1:10" ht="15" customHeight="1" x14ac:dyDescent="0.25">
      <c r="A224" t="s">
        <v>746</v>
      </c>
      <c r="B224">
        <v>2020</v>
      </c>
      <c r="C224" t="s">
        <v>15</v>
      </c>
      <c r="D224" t="b">
        <f>TRUE()</f>
        <v>1</v>
      </c>
      <c r="E224" t="b">
        <f>COUNTIF(connections!A:A, A224) &gt; 0</f>
        <v>0</v>
      </c>
      <c r="G224" t="s">
        <v>747</v>
      </c>
      <c r="H224" t="s">
        <v>70</v>
      </c>
      <c r="I224" t="s">
        <v>748</v>
      </c>
      <c r="J224" s="1" t="s">
        <v>749</v>
      </c>
    </row>
    <row r="225" spans="1:10" ht="15" customHeight="1" x14ac:dyDescent="0.25">
      <c r="A225" t="s">
        <v>750</v>
      </c>
      <c r="B225">
        <v>2024</v>
      </c>
      <c r="C225" t="s">
        <v>18</v>
      </c>
      <c r="D225" t="b">
        <f>TRUE()</f>
        <v>1</v>
      </c>
      <c r="E225" t="b">
        <f>COUNTIF(connections!A:A, A225) &gt; 0</f>
        <v>0</v>
      </c>
      <c r="F225" t="s">
        <v>450</v>
      </c>
      <c r="G225" t="s">
        <v>751</v>
      </c>
    </row>
    <row r="226" spans="1:10" ht="15" customHeight="1" x14ac:dyDescent="0.25">
      <c r="A226" t="s">
        <v>752</v>
      </c>
      <c r="B226">
        <v>2025</v>
      </c>
      <c r="C226" t="s">
        <v>18</v>
      </c>
      <c r="D226" t="b">
        <f>TRUE()</f>
        <v>1</v>
      </c>
      <c r="E226" t="b">
        <f>COUNTIF(connections!A:A, A226) &gt; 0</f>
        <v>0</v>
      </c>
      <c r="G226" t="s">
        <v>753</v>
      </c>
      <c r="H226" t="s">
        <v>70</v>
      </c>
      <c r="I226" t="s">
        <v>754</v>
      </c>
      <c r="J226" s="11" t="s">
        <v>755</v>
      </c>
    </row>
    <row r="227" spans="1:10" ht="15" customHeight="1" x14ac:dyDescent="0.25">
      <c r="A227" t="s">
        <v>756</v>
      </c>
      <c r="B227">
        <v>2025</v>
      </c>
      <c r="C227" t="s">
        <v>18</v>
      </c>
      <c r="D227" t="b">
        <f>TRUE()</f>
        <v>1</v>
      </c>
      <c r="E227" t="b">
        <f>COUNTIF(connections!A:A, A227) &gt; 0</f>
        <v>0</v>
      </c>
      <c r="G227" t="s">
        <v>757</v>
      </c>
    </row>
    <row r="228" spans="1:10" ht="15" customHeight="1" x14ac:dyDescent="0.25">
      <c r="A228" t="s">
        <v>758</v>
      </c>
      <c r="B228">
        <v>2024</v>
      </c>
      <c r="C228" t="s">
        <v>22</v>
      </c>
      <c r="D228" t="b">
        <f>TRUE()</f>
        <v>1</v>
      </c>
      <c r="E228" t="b">
        <f>COUNTIF(connections!A:A, A228) &gt; 0</f>
        <v>1</v>
      </c>
      <c r="F228" t="s">
        <v>214</v>
      </c>
      <c r="G228" t="s">
        <v>759</v>
      </c>
      <c r="H228" t="s">
        <v>70</v>
      </c>
      <c r="I228" t="s">
        <v>760</v>
      </c>
      <c r="J228" s="1" t="s">
        <v>761</v>
      </c>
    </row>
    <row r="229" spans="1:10" ht="15" customHeight="1" x14ac:dyDescent="0.25">
      <c r="A229" t="s">
        <v>762</v>
      </c>
      <c r="B229">
        <v>2006</v>
      </c>
      <c r="C229" t="s">
        <v>26</v>
      </c>
      <c r="D229" t="b">
        <f>TRUE()</f>
        <v>1</v>
      </c>
      <c r="E229" t="b">
        <f>COUNTIF(connections!A:A, A229) &gt; 0</f>
        <v>1</v>
      </c>
      <c r="G229" t="s">
        <v>763</v>
      </c>
      <c r="H229" t="s">
        <v>70</v>
      </c>
      <c r="I229" t="s">
        <v>764</v>
      </c>
    </row>
    <row r="230" spans="1:10" ht="15" customHeight="1" x14ac:dyDescent="0.25">
      <c r="A230" t="s">
        <v>765</v>
      </c>
      <c r="B230">
        <v>2021</v>
      </c>
      <c r="C230" t="s">
        <v>18</v>
      </c>
      <c r="D230" t="b">
        <f>FALSE()</f>
        <v>0</v>
      </c>
      <c r="E230" t="b">
        <f>COUNTIF(connections!A:A, A230) &gt; 0</f>
        <v>0</v>
      </c>
      <c r="F230" t="s">
        <v>447</v>
      </c>
      <c r="G230" t="s">
        <v>766</v>
      </c>
      <c r="H230" t="s">
        <v>70</v>
      </c>
      <c r="I230" t="s">
        <v>767</v>
      </c>
      <c r="J230" s="1" t="s">
        <v>768</v>
      </c>
    </row>
    <row r="231" spans="1:10" ht="15" customHeight="1" x14ac:dyDescent="0.25">
      <c r="A231" t="s">
        <v>6476</v>
      </c>
      <c r="B231">
        <v>2023</v>
      </c>
      <c r="C231" t="s">
        <v>26</v>
      </c>
      <c r="D231" t="b">
        <f>TRUE()</f>
        <v>1</v>
      </c>
      <c r="E231" t="b">
        <f>COUNTIF(connections!A:A, A231) &gt; 0</f>
        <v>0</v>
      </c>
      <c r="G231" t="s">
        <v>6477</v>
      </c>
      <c r="J231" s="11" t="s">
        <v>6478</v>
      </c>
    </row>
    <row r="232" spans="1:10" ht="15" customHeight="1" x14ac:dyDescent="0.25">
      <c r="A232" t="s">
        <v>769</v>
      </c>
      <c r="B232">
        <v>1993</v>
      </c>
      <c r="C232" t="s">
        <v>15</v>
      </c>
      <c r="D232" t="b">
        <f>FALSE()</f>
        <v>0</v>
      </c>
      <c r="E232" t="b">
        <f>COUNTIF(connections!A:A, A232) &gt; 0</f>
        <v>0</v>
      </c>
      <c r="G232" t="s">
        <v>770</v>
      </c>
    </row>
    <row r="233" spans="1:10" ht="15" customHeight="1" x14ac:dyDescent="0.25">
      <c r="A233" t="s">
        <v>771</v>
      </c>
      <c r="B233">
        <v>2008</v>
      </c>
      <c r="C233" t="s">
        <v>26</v>
      </c>
      <c r="D233" t="b">
        <f>TRUE()</f>
        <v>1</v>
      </c>
      <c r="E233" t="b">
        <f>COUNTIF(connections!A:A, A233) &gt; 0</f>
        <v>0</v>
      </c>
      <c r="G233" t="s">
        <v>772</v>
      </c>
    </row>
    <row r="234" spans="1:10" ht="15" customHeight="1" x14ac:dyDescent="0.25">
      <c r="A234" t="s">
        <v>6546</v>
      </c>
      <c r="B234">
        <v>2016</v>
      </c>
      <c r="C234" t="s">
        <v>18</v>
      </c>
      <c r="D234" t="b">
        <f>TRUE()</f>
        <v>1</v>
      </c>
      <c r="E234" t="b">
        <f>COUNTIF(connections!A:A, A234) &gt; 0</f>
        <v>0</v>
      </c>
      <c r="G234" t="s">
        <v>6547</v>
      </c>
      <c r="H234" t="s">
        <v>70</v>
      </c>
      <c r="I234" t="s">
        <v>6549</v>
      </c>
      <c r="J234" s="11" t="s">
        <v>6548</v>
      </c>
    </row>
    <row r="235" spans="1:10" ht="15" customHeight="1" x14ac:dyDescent="0.25">
      <c r="A235" t="s">
        <v>773</v>
      </c>
      <c r="B235">
        <v>2010</v>
      </c>
      <c r="C235" t="s">
        <v>26</v>
      </c>
      <c r="D235" t="b">
        <f>TRUE()</f>
        <v>1</v>
      </c>
      <c r="E235" t="b">
        <f>COUNTIF(connections!A:A, A235) &gt; 0</f>
        <v>1</v>
      </c>
      <c r="G235" t="s">
        <v>774</v>
      </c>
      <c r="H235" t="s">
        <v>70</v>
      </c>
      <c r="I235" t="s">
        <v>775</v>
      </c>
      <c r="J235" s="1" t="s">
        <v>776</v>
      </c>
    </row>
    <row r="236" spans="1:10" ht="15" customHeight="1" x14ac:dyDescent="0.25">
      <c r="A236" t="s">
        <v>777</v>
      </c>
      <c r="B236">
        <v>2024</v>
      </c>
      <c r="C236" t="s">
        <v>22</v>
      </c>
      <c r="D236" t="b">
        <f>TRUE()</f>
        <v>1</v>
      </c>
      <c r="E236" t="b">
        <f>COUNTIF(connections!A:A, A236) &gt; 0</f>
        <v>0</v>
      </c>
      <c r="F236" t="s">
        <v>214</v>
      </c>
      <c r="G236" t="s">
        <v>778</v>
      </c>
      <c r="H236" t="s">
        <v>70</v>
      </c>
      <c r="I236" t="s">
        <v>779</v>
      </c>
      <c r="J236" s="1" t="s">
        <v>780</v>
      </c>
    </row>
    <row r="237" spans="1:10" ht="15" customHeight="1" x14ac:dyDescent="0.25">
      <c r="A237" t="s">
        <v>781</v>
      </c>
      <c r="B237">
        <v>2024</v>
      </c>
      <c r="C237" t="s">
        <v>15</v>
      </c>
      <c r="D237" t="b">
        <f>TRUE()</f>
        <v>1</v>
      </c>
      <c r="E237" t="b">
        <f>COUNTIF(connections!A:A, A237) &gt; 0</f>
        <v>0</v>
      </c>
      <c r="G237" t="s">
        <v>782</v>
      </c>
    </row>
    <row r="238" spans="1:10" ht="15" customHeight="1" x14ac:dyDescent="0.25">
      <c r="A238" t="s">
        <v>783</v>
      </c>
      <c r="B238">
        <v>2011</v>
      </c>
      <c r="C238" t="s">
        <v>26</v>
      </c>
      <c r="D238" t="b">
        <f>TRUE()</f>
        <v>1</v>
      </c>
      <c r="E238" t="b">
        <f>COUNTIF(connections!A:A, A238) &gt; 0</f>
        <v>1</v>
      </c>
      <c r="G238" t="s">
        <v>784</v>
      </c>
      <c r="H238" t="s">
        <v>70</v>
      </c>
      <c r="I238" t="s">
        <v>785</v>
      </c>
      <c r="J238" s="1" t="s">
        <v>786</v>
      </c>
    </row>
    <row r="239" spans="1:10" ht="15" customHeight="1" x14ac:dyDescent="0.25">
      <c r="A239" t="s">
        <v>787</v>
      </c>
      <c r="B239">
        <v>2018</v>
      </c>
      <c r="C239" t="s">
        <v>15</v>
      </c>
      <c r="D239" t="b">
        <f>TRUE()</f>
        <v>1</v>
      </c>
      <c r="E239" t="b">
        <f>COUNTIF(connections!A:A, A239) &gt; 0</f>
        <v>1</v>
      </c>
      <c r="G239" t="s">
        <v>788</v>
      </c>
      <c r="H239" t="s">
        <v>70</v>
      </c>
      <c r="I239" t="s">
        <v>789</v>
      </c>
      <c r="J239" s="1" t="s">
        <v>790</v>
      </c>
    </row>
    <row r="240" spans="1:10" ht="15" customHeight="1" x14ac:dyDescent="0.25">
      <c r="A240" t="s">
        <v>791</v>
      </c>
      <c r="B240">
        <v>2025</v>
      </c>
      <c r="C240" t="s">
        <v>15</v>
      </c>
      <c r="D240" t="b">
        <f>TRUE()</f>
        <v>1</v>
      </c>
      <c r="E240" t="b">
        <f>COUNTIF(connections!A:A, A240) &gt; 0</f>
        <v>0</v>
      </c>
      <c r="G240" t="s">
        <v>792</v>
      </c>
    </row>
    <row r="241" spans="1:10" ht="15" customHeight="1" x14ac:dyDescent="0.25">
      <c r="A241" t="s">
        <v>793</v>
      </c>
      <c r="B241">
        <v>2006</v>
      </c>
      <c r="C241" t="s">
        <v>18</v>
      </c>
      <c r="D241" t="b">
        <f>TRUE()</f>
        <v>1</v>
      </c>
      <c r="E241" t="b">
        <f>COUNTIF(connections!A:A, A241) &gt; 0</f>
        <v>1</v>
      </c>
      <c r="G241" t="s">
        <v>794</v>
      </c>
      <c r="H241" t="s">
        <v>70</v>
      </c>
      <c r="I241" t="s">
        <v>795</v>
      </c>
      <c r="J241" s="1" t="s">
        <v>796</v>
      </c>
    </row>
    <row r="242" spans="1:10" ht="15" customHeight="1" x14ac:dyDescent="0.25">
      <c r="A242" t="s">
        <v>797</v>
      </c>
      <c r="B242">
        <v>2023</v>
      </c>
      <c r="C242" t="s">
        <v>18</v>
      </c>
      <c r="D242" t="b">
        <f>TRUE()</f>
        <v>1</v>
      </c>
      <c r="E242" t="b">
        <f>COUNTIF(connections!A:A, A242) &gt; 0</f>
        <v>0</v>
      </c>
      <c r="G242" t="s">
        <v>798</v>
      </c>
    </row>
    <row r="243" spans="1:10" ht="15" customHeight="1" x14ac:dyDescent="0.25">
      <c r="A243" t="s">
        <v>799</v>
      </c>
      <c r="B243">
        <v>2025</v>
      </c>
      <c r="C243" t="s">
        <v>15</v>
      </c>
      <c r="D243" t="b">
        <f>TRUE()</f>
        <v>1</v>
      </c>
      <c r="E243" t="b">
        <f>COUNTIF(connections!A:A, A243) &gt; 0</f>
        <v>1</v>
      </c>
      <c r="G243" t="s">
        <v>800</v>
      </c>
      <c r="H243" t="s">
        <v>70</v>
      </c>
      <c r="I243" t="s">
        <v>801</v>
      </c>
      <c r="J243" s="1" t="s">
        <v>802</v>
      </c>
    </row>
    <row r="244" spans="1:10" ht="15" customHeight="1" x14ac:dyDescent="0.25">
      <c r="A244" t="s">
        <v>6708</v>
      </c>
      <c r="B244">
        <v>2013</v>
      </c>
      <c r="C244" t="s">
        <v>15</v>
      </c>
      <c r="D244" t="b">
        <f>TRUE()</f>
        <v>1</v>
      </c>
      <c r="E244" t="b">
        <f>COUNTIF(connections!A:A, A244) &gt; 0</f>
        <v>0</v>
      </c>
      <c r="G244" t="s">
        <v>6719</v>
      </c>
      <c r="J244" s="11" t="s">
        <v>6709</v>
      </c>
    </row>
    <row r="245" spans="1:10" ht="15" customHeight="1" x14ac:dyDescent="0.25">
      <c r="A245" t="s">
        <v>803</v>
      </c>
      <c r="B245">
        <v>2023</v>
      </c>
      <c r="C245" t="s">
        <v>15</v>
      </c>
      <c r="D245" t="b">
        <f>TRUE()</f>
        <v>1</v>
      </c>
      <c r="E245" t="b">
        <f>COUNTIF(connections!A:A, A245) &gt; 0</f>
        <v>0</v>
      </c>
      <c r="G245" t="s">
        <v>804</v>
      </c>
      <c r="H245" t="s">
        <v>70</v>
      </c>
      <c r="I245" t="s">
        <v>805</v>
      </c>
      <c r="J245" s="1" t="s">
        <v>806</v>
      </c>
    </row>
    <row r="246" spans="1:10" ht="15" customHeight="1" x14ac:dyDescent="0.25">
      <c r="A246" t="s">
        <v>6420</v>
      </c>
      <c r="B246">
        <v>2023</v>
      </c>
      <c r="C246" t="s">
        <v>15</v>
      </c>
      <c r="D246" t="b">
        <f>TRUE()</f>
        <v>1</v>
      </c>
      <c r="E246" t="b">
        <f>COUNTIF(connections!A:A, A246) &gt; 0</f>
        <v>0</v>
      </c>
      <c r="G246" t="s">
        <v>6421</v>
      </c>
      <c r="H246" t="s">
        <v>70</v>
      </c>
      <c r="I246" t="s">
        <v>6423</v>
      </c>
      <c r="J246" s="11" t="s">
        <v>6422</v>
      </c>
    </row>
    <row r="247" spans="1:10" ht="15" customHeight="1" x14ac:dyDescent="0.25">
      <c r="A247" t="s">
        <v>807</v>
      </c>
      <c r="B247">
        <v>2024</v>
      </c>
      <c r="C247" t="s">
        <v>26</v>
      </c>
      <c r="D247" t="b">
        <f>TRUE()</f>
        <v>1</v>
      </c>
      <c r="E247" t="b">
        <f>COUNTIF(connections!A:A, A247) &gt; 0</f>
        <v>0</v>
      </c>
      <c r="G247" t="s">
        <v>808</v>
      </c>
    </row>
    <row r="248" spans="1:10" ht="15" customHeight="1" x14ac:dyDescent="0.25">
      <c r="A248" t="s">
        <v>809</v>
      </c>
      <c r="B248">
        <v>2008</v>
      </c>
      <c r="C248" t="s">
        <v>26</v>
      </c>
      <c r="D248" t="b">
        <f>TRUE()</f>
        <v>1</v>
      </c>
      <c r="E248" t="b">
        <f>COUNTIF(connections!A:A, A248) &gt; 0</f>
        <v>1</v>
      </c>
      <c r="G248" t="s">
        <v>810</v>
      </c>
    </row>
    <row r="249" spans="1:10" ht="15" customHeight="1" x14ac:dyDescent="0.25">
      <c r="A249" t="s">
        <v>811</v>
      </c>
      <c r="B249">
        <v>2022</v>
      </c>
      <c r="C249" t="s">
        <v>15</v>
      </c>
      <c r="D249" t="b">
        <f>TRUE()</f>
        <v>1</v>
      </c>
      <c r="E249" t="b">
        <f>COUNTIF(connections!A:A, A249) &gt; 0</f>
        <v>1</v>
      </c>
      <c r="F249" t="s">
        <v>812</v>
      </c>
      <c r="G249" t="s">
        <v>813</v>
      </c>
      <c r="H249" t="s">
        <v>70</v>
      </c>
      <c r="I249" t="s">
        <v>814</v>
      </c>
      <c r="J249" s="1" t="s">
        <v>815</v>
      </c>
    </row>
    <row r="250" spans="1:10" ht="15" customHeight="1" x14ac:dyDescent="0.25">
      <c r="A250" t="s">
        <v>816</v>
      </c>
      <c r="B250">
        <v>2024</v>
      </c>
      <c r="C250" t="s">
        <v>18</v>
      </c>
      <c r="D250" t="b">
        <f>TRUE()</f>
        <v>1</v>
      </c>
      <c r="E250" t="b">
        <f>COUNTIF(connections!A:A, A250) &gt; 0</f>
        <v>0</v>
      </c>
      <c r="F250" t="s">
        <v>260</v>
      </c>
      <c r="G250" t="s">
        <v>817</v>
      </c>
      <c r="H250" t="s">
        <v>70</v>
      </c>
      <c r="I250" t="s">
        <v>818</v>
      </c>
      <c r="J250" s="1" t="s">
        <v>819</v>
      </c>
    </row>
    <row r="251" spans="1:10" ht="15" customHeight="1" x14ac:dyDescent="0.25">
      <c r="A251" t="s">
        <v>820</v>
      </c>
      <c r="B251">
        <v>2023</v>
      </c>
      <c r="C251" t="s">
        <v>22</v>
      </c>
      <c r="D251" t="b">
        <f>TRUE()</f>
        <v>1</v>
      </c>
      <c r="E251" t="b">
        <f>COUNTIF(connections!A:A, A251) &gt; 0</f>
        <v>0</v>
      </c>
      <c r="G251" t="s">
        <v>821</v>
      </c>
      <c r="H251" t="s">
        <v>70</v>
      </c>
      <c r="I251" t="s">
        <v>822</v>
      </c>
      <c r="J251" s="1" t="s">
        <v>823</v>
      </c>
    </row>
    <row r="252" spans="1:10" ht="15" customHeight="1" x14ac:dyDescent="0.25">
      <c r="A252" t="s">
        <v>824</v>
      </c>
      <c r="B252">
        <v>2025</v>
      </c>
      <c r="C252" t="s">
        <v>15</v>
      </c>
      <c r="D252" t="b">
        <f>TRUE()</f>
        <v>1</v>
      </c>
      <c r="E252" t="b">
        <f>COUNTIF(connections!A:A, A252) &gt; 0</f>
        <v>0</v>
      </c>
      <c r="G252" t="s">
        <v>825</v>
      </c>
      <c r="H252" t="s">
        <v>70</v>
      </c>
      <c r="I252" t="s">
        <v>826</v>
      </c>
      <c r="J252" s="1" t="s">
        <v>827</v>
      </c>
    </row>
    <row r="253" spans="1:10" ht="15" customHeight="1" x14ac:dyDescent="0.25">
      <c r="A253" t="s">
        <v>828</v>
      </c>
      <c r="B253">
        <v>2016</v>
      </c>
      <c r="C253" t="s">
        <v>15</v>
      </c>
      <c r="D253" t="b">
        <f>TRUE()</f>
        <v>1</v>
      </c>
      <c r="E253" t="b">
        <f>COUNTIF(connections!A:A, A253) &gt; 0</f>
        <v>1</v>
      </c>
      <c r="G253" t="s">
        <v>829</v>
      </c>
      <c r="H253" t="s">
        <v>70</v>
      </c>
      <c r="I253" t="s">
        <v>830</v>
      </c>
      <c r="J253" s="1" t="s">
        <v>831</v>
      </c>
    </row>
    <row r="254" spans="1:10" ht="15" customHeight="1" x14ac:dyDescent="0.25">
      <c r="A254" t="s">
        <v>832</v>
      </c>
      <c r="B254">
        <v>2025</v>
      </c>
      <c r="C254" t="s">
        <v>18</v>
      </c>
      <c r="D254" t="b">
        <f>TRUE()</f>
        <v>1</v>
      </c>
      <c r="E254" t="b">
        <f>COUNTIF(connections!A:A, A254) &gt; 0</f>
        <v>0</v>
      </c>
      <c r="G254" t="s">
        <v>833</v>
      </c>
    </row>
    <row r="255" spans="1:10" ht="15" customHeight="1" x14ac:dyDescent="0.25">
      <c r="A255" t="s">
        <v>834</v>
      </c>
      <c r="B255">
        <v>2015</v>
      </c>
      <c r="C255" t="s">
        <v>26</v>
      </c>
      <c r="D255" t="b">
        <f>TRUE()</f>
        <v>1</v>
      </c>
      <c r="E255" t="b">
        <f>COUNTIF(connections!A:A, A255) &gt; 0</f>
        <v>1</v>
      </c>
      <c r="G255" t="s">
        <v>835</v>
      </c>
    </row>
    <row r="256" spans="1:10" ht="15" customHeight="1" x14ac:dyDescent="0.25">
      <c r="A256" t="s">
        <v>836</v>
      </c>
      <c r="B256">
        <v>2017</v>
      </c>
      <c r="C256" t="s">
        <v>26</v>
      </c>
      <c r="D256" t="b">
        <f>TRUE()</f>
        <v>1</v>
      </c>
      <c r="E256" t="b">
        <f>COUNTIF(connections!A:A, A256) &gt; 0</f>
        <v>0</v>
      </c>
      <c r="G256" t="s">
        <v>837</v>
      </c>
    </row>
    <row r="257" spans="1:10" ht="15" customHeight="1" x14ac:dyDescent="0.25">
      <c r="A257" t="s">
        <v>838</v>
      </c>
      <c r="B257">
        <v>2026</v>
      </c>
      <c r="C257" t="s">
        <v>15</v>
      </c>
      <c r="D257" t="b">
        <f>TRUE()</f>
        <v>1</v>
      </c>
      <c r="E257" t="b">
        <f>COUNTIF(connections!A:A, A257) &gt; 0</f>
        <v>0</v>
      </c>
      <c r="G257" t="s">
        <v>839</v>
      </c>
      <c r="H257" t="s">
        <v>70</v>
      </c>
      <c r="I257" t="s">
        <v>840</v>
      </c>
      <c r="J257" s="1" t="s">
        <v>841</v>
      </c>
    </row>
    <row r="258" spans="1:10" ht="15" customHeight="1" x14ac:dyDescent="0.25">
      <c r="A258" t="s">
        <v>842</v>
      </c>
      <c r="B258">
        <v>2023</v>
      </c>
      <c r="C258" t="s">
        <v>15</v>
      </c>
      <c r="D258" t="b">
        <f>FALSE()</f>
        <v>0</v>
      </c>
      <c r="E258" t="b">
        <f>COUNTIF(connections!A:A, A258) &gt; 0</f>
        <v>0</v>
      </c>
      <c r="G258" t="s">
        <v>843</v>
      </c>
      <c r="H258" t="s">
        <v>70</v>
      </c>
      <c r="I258" t="s">
        <v>844</v>
      </c>
      <c r="J258" s="1" t="s">
        <v>845</v>
      </c>
    </row>
    <row r="259" spans="1:10" ht="15" customHeight="1" x14ac:dyDescent="0.25">
      <c r="A259" t="s">
        <v>846</v>
      </c>
      <c r="B259">
        <v>2020</v>
      </c>
      <c r="C259" t="s">
        <v>15</v>
      </c>
      <c r="D259" t="b">
        <f>TRUE()</f>
        <v>1</v>
      </c>
      <c r="E259" t="b">
        <f>COUNTIF(connections!A:A, A259) &gt; 0</f>
        <v>0</v>
      </c>
      <c r="G259" t="s">
        <v>847</v>
      </c>
      <c r="H259" t="s">
        <v>70</v>
      </c>
      <c r="I259" t="s">
        <v>848</v>
      </c>
      <c r="J259" s="1" t="s">
        <v>849</v>
      </c>
    </row>
    <row r="260" spans="1:10" ht="15" customHeight="1" x14ac:dyDescent="0.25">
      <c r="A260" t="s">
        <v>850</v>
      </c>
      <c r="B260">
        <v>2024</v>
      </c>
      <c r="C260" t="s">
        <v>22</v>
      </c>
      <c r="D260" t="b">
        <f>TRUE()</f>
        <v>1</v>
      </c>
      <c r="E260" t="b">
        <f>COUNTIF(connections!A:A, A260) &gt; 0</f>
        <v>0</v>
      </c>
      <c r="G260" t="s">
        <v>851</v>
      </c>
      <c r="H260" t="s">
        <v>70</v>
      </c>
      <c r="I260" t="s">
        <v>852</v>
      </c>
      <c r="J260" s="1" t="s">
        <v>853</v>
      </c>
    </row>
    <row r="261" spans="1:10" ht="15" customHeight="1" x14ac:dyDescent="0.25">
      <c r="A261" t="s">
        <v>854</v>
      </c>
      <c r="B261">
        <v>2024</v>
      </c>
      <c r="C261" t="s">
        <v>22</v>
      </c>
      <c r="D261" t="b">
        <f>FALSE()</f>
        <v>0</v>
      </c>
      <c r="E261" t="b">
        <f>COUNTIF(connections!A:A, A261) &gt; 0</f>
        <v>0</v>
      </c>
      <c r="F261" t="s">
        <v>855</v>
      </c>
      <c r="G261" t="s">
        <v>856</v>
      </c>
      <c r="H261" t="s">
        <v>70</v>
      </c>
      <c r="I261" t="s">
        <v>857</v>
      </c>
      <c r="J261" s="1" t="s">
        <v>858</v>
      </c>
    </row>
    <row r="262" spans="1:10" ht="15" customHeight="1" x14ac:dyDescent="0.25">
      <c r="A262" t="s">
        <v>859</v>
      </c>
      <c r="B262">
        <v>1990</v>
      </c>
      <c r="C262" t="s">
        <v>26</v>
      </c>
      <c r="D262" t="b">
        <f>TRUE()</f>
        <v>1</v>
      </c>
      <c r="E262" t="b">
        <f>COUNTIF(connections!A:A, A262) &gt; 0</f>
        <v>0</v>
      </c>
      <c r="G262" t="s">
        <v>860</v>
      </c>
    </row>
    <row r="263" spans="1:10" ht="15" customHeight="1" x14ac:dyDescent="0.25">
      <c r="A263" t="s">
        <v>861</v>
      </c>
      <c r="B263">
        <v>2018</v>
      </c>
      <c r="C263" t="s">
        <v>18</v>
      </c>
      <c r="D263" t="b">
        <f>TRUE()</f>
        <v>1</v>
      </c>
      <c r="E263" t="b">
        <f>COUNTIF(connections!A:A, A263) &gt; 0</f>
        <v>0</v>
      </c>
      <c r="G263" t="s">
        <v>862</v>
      </c>
    </row>
    <row r="264" spans="1:10" ht="15" customHeight="1" x14ac:dyDescent="0.25">
      <c r="A264" t="s">
        <v>863</v>
      </c>
      <c r="B264">
        <v>2024</v>
      </c>
      <c r="C264" t="s">
        <v>18</v>
      </c>
      <c r="D264" t="b">
        <f>TRUE()</f>
        <v>1</v>
      </c>
      <c r="E264" t="b">
        <f>COUNTIF(connections!A:A, A264) &gt; 0</f>
        <v>0</v>
      </c>
      <c r="F264" t="s">
        <v>485</v>
      </c>
      <c r="G264" t="s">
        <v>864</v>
      </c>
      <c r="H264" t="s">
        <v>70</v>
      </c>
      <c r="I264" t="s">
        <v>865</v>
      </c>
      <c r="J264" s="1" t="s">
        <v>866</v>
      </c>
    </row>
    <row r="265" spans="1:10" ht="15" customHeight="1" x14ac:dyDescent="0.25">
      <c r="A265" t="s">
        <v>867</v>
      </c>
      <c r="B265">
        <v>2021</v>
      </c>
      <c r="C265" t="s">
        <v>22</v>
      </c>
      <c r="D265" t="b">
        <f>TRUE()</f>
        <v>1</v>
      </c>
      <c r="E265" t="b">
        <f>COUNTIF(connections!A:A, A265) &gt; 0</f>
        <v>1</v>
      </c>
      <c r="G265" t="s">
        <v>868</v>
      </c>
      <c r="H265" t="s">
        <v>70</v>
      </c>
      <c r="I265" t="s">
        <v>869</v>
      </c>
      <c r="J265" s="1" t="s">
        <v>870</v>
      </c>
    </row>
    <row r="266" spans="1:10" ht="15" customHeight="1" x14ac:dyDescent="0.25">
      <c r="A266" t="s">
        <v>871</v>
      </c>
      <c r="B266">
        <v>2007</v>
      </c>
      <c r="C266" t="s">
        <v>26</v>
      </c>
      <c r="D266" t="b">
        <f>TRUE()</f>
        <v>1</v>
      </c>
      <c r="E266" t="b">
        <f>COUNTIF(connections!A:A, A266) &gt; 0</f>
        <v>1</v>
      </c>
      <c r="G266" t="s">
        <v>872</v>
      </c>
    </row>
    <row r="267" spans="1:10" ht="15" customHeight="1" x14ac:dyDescent="0.25">
      <c r="A267" t="s">
        <v>873</v>
      </c>
      <c r="B267">
        <v>2024</v>
      </c>
      <c r="C267" t="s">
        <v>15</v>
      </c>
      <c r="D267" t="b">
        <f>TRUE()</f>
        <v>1</v>
      </c>
      <c r="E267" t="b">
        <f>COUNTIF(connections!A:A, A267) &gt; 0</f>
        <v>0</v>
      </c>
      <c r="F267" t="s">
        <v>485</v>
      </c>
      <c r="G267" t="s">
        <v>874</v>
      </c>
      <c r="H267" t="s">
        <v>70</v>
      </c>
      <c r="I267" t="s">
        <v>875</v>
      </c>
      <c r="J267" s="1" t="s">
        <v>876</v>
      </c>
    </row>
    <row r="268" spans="1:10" ht="15" customHeight="1" x14ac:dyDescent="0.25">
      <c r="A268" t="s">
        <v>877</v>
      </c>
      <c r="B268">
        <v>2022</v>
      </c>
      <c r="C268" t="s">
        <v>15</v>
      </c>
      <c r="D268" t="b">
        <f>TRUE()</f>
        <v>1</v>
      </c>
      <c r="E268" t="b">
        <f>COUNTIF(connections!A:A, A268) &gt; 0</f>
        <v>1</v>
      </c>
      <c r="G268" t="s">
        <v>878</v>
      </c>
    </row>
    <row r="269" spans="1:10" ht="15" customHeight="1" x14ac:dyDescent="0.25">
      <c r="A269" t="s">
        <v>879</v>
      </c>
      <c r="B269">
        <v>2025</v>
      </c>
      <c r="C269" t="s">
        <v>18</v>
      </c>
      <c r="D269" t="b">
        <f>FALSE()</f>
        <v>0</v>
      </c>
      <c r="E269" t="b">
        <f>COUNTIF(connections!A:A, A269) &gt; 0</f>
        <v>0</v>
      </c>
      <c r="G269" t="s">
        <v>880</v>
      </c>
    </row>
    <row r="270" spans="1:10" ht="15" customHeight="1" x14ac:dyDescent="0.25">
      <c r="A270" t="s">
        <v>881</v>
      </c>
      <c r="B270">
        <v>2017</v>
      </c>
      <c r="C270" t="s">
        <v>15</v>
      </c>
      <c r="D270" t="b">
        <f>TRUE()</f>
        <v>1</v>
      </c>
      <c r="E270" t="b">
        <f>COUNTIF(connections!A:A, A270) &gt; 0</f>
        <v>0</v>
      </c>
      <c r="F270" t="s">
        <v>149</v>
      </c>
      <c r="G270" t="s">
        <v>882</v>
      </c>
      <c r="H270" t="s">
        <v>70</v>
      </c>
      <c r="I270" t="s">
        <v>883</v>
      </c>
      <c r="J270" s="1" t="s">
        <v>884</v>
      </c>
    </row>
    <row r="271" spans="1:10" ht="15" customHeight="1" x14ac:dyDescent="0.25">
      <c r="A271" t="s">
        <v>885</v>
      </c>
      <c r="B271">
        <v>2026</v>
      </c>
      <c r="C271" t="s">
        <v>22</v>
      </c>
      <c r="D271" t="b">
        <v>1</v>
      </c>
      <c r="E271" t="b">
        <v>0</v>
      </c>
      <c r="F271" t="s">
        <v>426</v>
      </c>
      <c r="G271" t="s">
        <v>886</v>
      </c>
      <c r="J271" s="11" t="s">
        <v>887</v>
      </c>
    </row>
    <row r="272" spans="1:10" ht="15" customHeight="1" x14ac:dyDescent="0.25">
      <c r="A272" t="s">
        <v>888</v>
      </c>
      <c r="B272">
        <v>2024</v>
      </c>
      <c r="C272" t="s">
        <v>15</v>
      </c>
      <c r="D272" t="b">
        <f>FALSE()</f>
        <v>0</v>
      </c>
      <c r="E272" t="b">
        <f>COUNTIF(connections!A:A, A272) &gt; 0</f>
        <v>0</v>
      </c>
      <c r="F272" t="s">
        <v>447</v>
      </c>
      <c r="G272" t="s">
        <v>889</v>
      </c>
      <c r="H272" t="s">
        <v>70</v>
      </c>
      <c r="I272" t="s">
        <v>890</v>
      </c>
      <c r="J272" s="1" t="s">
        <v>891</v>
      </c>
    </row>
    <row r="273" spans="1:10" ht="15" customHeight="1" x14ac:dyDescent="0.25">
      <c r="A273" t="s">
        <v>892</v>
      </c>
      <c r="B273">
        <v>2018</v>
      </c>
      <c r="C273" t="s">
        <v>18</v>
      </c>
      <c r="D273" t="b">
        <f>TRUE()</f>
        <v>1</v>
      </c>
      <c r="E273" t="b">
        <f>COUNTIF(connections!A:A, A273) &gt; 0</f>
        <v>1</v>
      </c>
      <c r="G273" t="s">
        <v>893</v>
      </c>
      <c r="H273" t="s">
        <v>70</v>
      </c>
      <c r="I273" t="s">
        <v>894</v>
      </c>
      <c r="J273" s="1" t="s">
        <v>895</v>
      </c>
    </row>
    <row r="274" spans="1:10" ht="15" customHeight="1" x14ac:dyDescent="0.25">
      <c r="A274" t="s">
        <v>896</v>
      </c>
      <c r="B274">
        <v>2023</v>
      </c>
      <c r="C274" t="s">
        <v>18</v>
      </c>
      <c r="D274" t="b">
        <f>TRUE()</f>
        <v>1</v>
      </c>
      <c r="E274" t="b">
        <f>COUNTIF(connections!A:A, A274) &gt; 0</f>
        <v>0</v>
      </c>
      <c r="G274" t="s">
        <v>897</v>
      </c>
      <c r="H274" t="s">
        <v>70</v>
      </c>
      <c r="I274" t="s">
        <v>898</v>
      </c>
      <c r="J274" s="1" t="s">
        <v>899</v>
      </c>
    </row>
    <row r="275" spans="1:10" ht="15" customHeight="1" x14ac:dyDescent="0.25">
      <c r="A275" t="s">
        <v>6584</v>
      </c>
      <c r="B275">
        <v>2020</v>
      </c>
      <c r="C275" t="s">
        <v>22</v>
      </c>
      <c r="D275" t="b">
        <f>TRUE()</f>
        <v>1</v>
      </c>
      <c r="E275" t="b">
        <f>COUNTIF(connections!A:A, A275) &gt; 0</f>
        <v>1</v>
      </c>
      <c r="F275" t="s">
        <v>149</v>
      </c>
      <c r="G275" t="s">
        <v>6585</v>
      </c>
      <c r="J275" s="11" t="s">
        <v>6586</v>
      </c>
    </row>
    <row r="276" spans="1:10" ht="15" customHeight="1" x14ac:dyDescent="0.25">
      <c r="A276" t="s">
        <v>900</v>
      </c>
      <c r="B276">
        <v>2025</v>
      </c>
      <c r="C276" t="s">
        <v>15</v>
      </c>
      <c r="D276" t="b">
        <f>FALSE()</f>
        <v>0</v>
      </c>
      <c r="E276" t="b">
        <f>COUNTIF(connections!A:A, A276) &gt; 0</f>
        <v>0</v>
      </c>
      <c r="G276" t="s">
        <v>901</v>
      </c>
    </row>
    <row r="277" spans="1:10" ht="15" customHeight="1" x14ac:dyDescent="0.25">
      <c r="A277" t="s">
        <v>902</v>
      </c>
      <c r="B277">
        <v>2022</v>
      </c>
      <c r="C277" t="s">
        <v>18</v>
      </c>
      <c r="D277" t="b">
        <f>TRUE()</f>
        <v>1</v>
      </c>
      <c r="E277" t="b">
        <f>COUNTIF(connections!A:A, A277) &gt; 0</f>
        <v>1</v>
      </c>
      <c r="G277" t="s">
        <v>903</v>
      </c>
      <c r="H277" t="s">
        <v>70</v>
      </c>
      <c r="I277" t="s">
        <v>904</v>
      </c>
      <c r="J277" s="1" t="s">
        <v>905</v>
      </c>
    </row>
    <row r="278" spans="1:10" ht="15" customHeight="1" x14ac:dyDescent="0.25">
      <c r="A278" t="s">
        <v>906</v>
      </c>
      <c r="B278">
        <v>2017</v>
      </c>
      <c r="C278" t="s">
        <v>15</v>
      </c>
      <c r="D278" t="b">
        <f>TRUE()</f>
        <v>1</v>
      </c>
      <c r="E278" t="b">
        <f>COUNTIF(connections!A:A, A278) &gt; 0</f>
        <v>0</v>
      </c>
      <c r="G278" t="s">
        <v>907</v>
      </c>
      <c r="H278" t="s">
        <v>70</v>
      </c>
      <c r="I278" t="s">
        <v>908</v>
      </c>
      <c r="J278" s="1" t="s">
        <v>909</v>
      </c>
    </row>
    <row r="279" spans="1:10" ht="15" customHeight="1" x14ac:dyDescent="0.25">
      <c r="A279" t="s">
        <v>910</v>
      </c>
      <c r="B279">
        <v>2025</v>
      </c>
      <c r="C279" t="s">
        <v>15</v>
      </c>
      <c r="D279" t="b">
        <f>TRUE()</f>
        <v>1</v>
      </c>
      <c r="E279" t="b">
        <f>COUNTIF(connections!A:A, A279) &gt; 0</f>
        <v>0</v>
      </c>
      <c r="G279" t="s">
        <v>911</v>
      </c>
      <c r="H279" t="s">
        <v>70</v>
      </c>
      <c r="I279" t="s">
        <v>912</v>
      </c>
      <c r="J279" s="1" t="s">
        <v>913</v>
      </c>
    </row>
    <row r="280" spans="1:10" ht="15" customHeight="1" x14ac:dyDescent="0.25">
      <c r="A280" t="s">
        <v>6443</v>
      </c>
      <c r="B280">
        <v>2006</v>
      </c>
      <c r="C280" t="s">
        <v>26</v>
      </c>
      <c r="D280" t="b">
        <f>TRUE()</f>
        <v>1</v>
      </c>
      <c r="E280" t="b">
        <f>COUNTIF(connections!A:A, A280) &gt; 0</f>
        <v>0</v>
      </c>
      <c r="G280" t="s">
        <v>6444</v>
      </c>
      <c r="H280" t="s">
        <v>70</v>
      </c>
      <c r="I280" t="s">
        <v>6445</v>
      </c>
    </row>
    <row r="281" spans="1:10" ht="15" customHeight="1" x14ac:dyDescent="0.25">
      <c r="A281" t="s">
        <v>914</v>
      </c>
      <c r="B281">
        <v>2012</v>
      </c>
      <c r="C281" t="s">
        <v>18</v>
      </c>
      <c r="D281" t="b">
        <f>TRUE()</f>
        <v>1</v>
      </c>
      <c r="E281" t="b">
        <f>COUNTIF(connections!A:A, A281) &gt; 0</f>
        <v>1</v>
      </c>
      <c r="F281" t="s">
        <v>149</v>
      </c>
      <c r="G281" t="s">
        <v>915</v>
      </c>
      <c r="H281" t="s">
        <v>70</v>
      </c>
      <c r="I281" t="s">
        <v>916</v>
      </c>
      <c r="J281" s="1" t="s">
        <v>917</v>
      </c>
    </row>
    <row r="282" spans="1:10" ht="15" customHeight="1" x14ac:dyDescent="0.25">
      <c r="A282" t="s">
        <v>6484</v>
      </c>
      <c r="B282">
        <v>2013</v>
      </c>
      <c r="C282" t="s">
        <v>15</v>
      </c>
      <c r="D282" t="b">
        <f>TRUE()</f>
        <v>1</v>
      </c>
      <c r="E282" t="b">
        <f>COUNTIF(connections!A:A, A282) &gt; 0</f>
        <v>0</v>
      </c>
      <c r="G282" t="s">
        <v>6485</v>
      </c>
      <c r="J282" s="11" t="s">
        <v>6486</v>
      </c>
    </row>
    <row r="283" spans="1:10" ht="15" customHeight="1" x14ac:dyDescent="0.25">
      <c r="A283" t="s">
        <v>918</v>
      </c>
      <c r="B283">
        <v>2020</v>
      </c>
      <c r="C283" t="s">
        <v>15</v>
      </c>
      <c r="D283" t="b">
        <f>TRUE()</f>
        <v>1</v>
      </c>
      <c r="E283" t="b">
        <f>COUNTIF(connections!A:A, A283) &gt; 0</f>
        <v>0</v>
      </c>
      <c r="G283" t="s">
        <v>919</v>
      </c>
      <c r="H283" t="s">
        <v>70</v>
      </c>
      <c r="I283" t="s">
        <v>920</v>
      </c>
      <c r="J283" s="1" t="s">
        <v>921</v>
      </c>
    </row>
    <row r="284" spans="1:10" ht="15" customHeight="1" x14ac:dyDescent="0.25">
      <c r="A284" t="s">
        <v>6512</v>
      </c>
      <c r="B284">
        <v>2010</v>
      </c>
      <c r="C284" t="s">
        <v>26</v>
      </c>
      <c r="D284" t="b">
        <f>TRUE()</f>
        <v>1</v>
      </c>
      <c r="E284" t="b">
        <f>COUNTIF(connections!A:A, A284) &gt; 0</f>
        <v>1</v>
      </c>
      <c r="F284" t="s">
        <v>6526</v>
      </c>
      <c r="G284" t="s">
        <v>6513</v>
      </c>
    </row>
    <row r="285" spans="1:10" ht="15" customHeight="1" x14ac:dyDescent="0.25">
      <c r="A285" t="s">
        <v>6520</v>
      </c>
      <c r="B285">
        <v>2014</v>
      </c>
      <c r="C285" t="s">
        <v>26</v>
      </c>
      <c r="D285" t="b">
        <f>TRUE()</f>
        <v>1</v>
      </c>
      <c r="E285" t="b">
        <f>COUNTIF(connections!A:A, A285) &gt; 0</f>
        <v>1</v>
      </c>
      <c r="F285" t="s">
        <v>6526</v>
      </c>
      <c r="G285" t="s">
        <v>6521</v>
      </c>
    </row>
    <row r="286" spans="1:10" ht="15" customHeight="1" x14ac:dyDescent="0.25">
      <c r="A286" t="s">
        <v>922</v>
      </c>
      <c r="B286">
        <v>2024</v>
      </c>
      <c r="C286" t="s">
        <v>15</v>
      </c>
      <c r="D286" t="b">
        <f>TRUE()</f>
        <v>1</v>
      </c>
      <c r="E286" t="b">
        <f>COUNTIF(connections!A:A, A286) &gt; 0</f>
        <v>0</v>
      </c>
      <c r="F286" t="s">
        <v>149</v>
      </c>
      <c r="G286" t="s">
        <v>923</v>
      </c>
      <c r="H286" t="s">
        <v>70</v>
      </c>
      <c r="I286" t="s">
        <v>924</v>
      </c>
      <c r="J286" s="1" t="s">
        <v>925</v>
      </c>
    </row>
    <row r="287" spans="1:10" ht="15" customHeight="1" x14ac:dyDescent="0.25">
      <c r="A287" t="s">
        <v>926</v>
      </c>
      <c r="B287">
        <v>2026</v>
      </c>
      <c r="C287" t="s">
        <v>22</v>
      </c>
      <c r="D287" t="b">
        <f>TRUE()</f>
        <v>1</v>
      </c>
      <c r="E287" t="b">
        <f>COUNTIF(connections!A:A, A287) &gt; 0</f>
        <v>0</v>
      </c>
      <c r="F287" t="s">
        <v>927</v>
      </c>
      <c r="G287" t="s">
        <v>928</v>
      </c>
    </row>
    <row r="288" spans="1:10" ht="15" customHeight="1" x14ac:dyDescent="0.25">
      <c r="A288" t="s">
        <v>929</v>
      </c>
      <c r="B288">
        <v>2025</v>
      </c>
      <c r="C288" t="s">
        <v>15</v>
      </c>
      <c r="D288" t="b">
        <f>TRUE()</f>
        <v>1</v>
      </c>
      <c r="E288" t="b">
        <f>COUNTIF(connections!A:A, A288) &gt; 0</f>
        <v>0</v>
      </c>
      <c r="G288" t="s">
        <v>930</v>
      </c>
    </row>
    <row r="289" spans="1:10" ht="15" customHeight="1" x14ac:dyDescent="0.25">
      <c r="A289" t="s">
        <v>931</v>
      </c>
      <c r="B289">
        <v>2024</v>
      </c>
      <c r="C289" t="s">
        <v>15</v>
      </c>
      <c r="D289" t="b">
        <f>TRUE()</f>
        <v>1</v>
      </c>
      <c r="E289" t="b">
        <f>COUNTIF(connections!A:A, A289) &gt; 0</f>
        <v>0</v>
      </c>
      <c r="G289" t="s">
        <v>932</v>
      </c>
    </row>
    <row r="290" spans="1:10" ht="15" customHeight="1" x14ac:dyDescent="0.25">
      <c r="A290" t="s">
        <v>933</v>
      </c>
      <c r="B290">
        <v>2002</v>
      </c>
      <c r="C290" t="s">
        <v>26</v>
      </c>
      <c r="D290" t="b">
        <f>TRUE()</f>
        <v>1</v>
      </c>
      <c r="E290" t="b">
        <f>COUNTIF(connections!A:A, A290) &gt; 0</f>
        <v>1</v>
      </c>
      <c r="F290" t="s">
        <v>934</v>
      </c>
      <c r="G290" t="s">
        <v>935</v>
      </c>
      <c r="H290" t="s">
        <v>70</v>
      </c>
      <c r="I290" t="s">
        <v>936</v>
      </c>
    </row>
    <row r="291" spans="1:10" ht="15" customHeight="1" x14ac:dyDescent="0.25">
      <c r="A291" t="s">
        <v>937</v>
      </c>
      <c r="B291">
        <v>2007</v>
      </c>
      <c r="C291" t="s">
        <v>26</v>
      </c>
      <c r="D291" t="b">
        <f>TRUE()</f>
        <v>1</v>
      </c>
      <c r="E291" t="b">
        <f>COUNTIF(connections!A:A, A291) &gt; 0</f>
        <v>1</v>
      </c>
      <c r="F291" t="s">
        <v>934</v>
      </c>
      <c r="G291" t="s">
        <v>938</v>
      </c>
      <c r="H291" t="s">
        <v>70</v>
      </c>
      <c r="I291" t="s">
        <v>939</v>
      </c>
    </row>
    <row r="292" spans="1:10" ht="15" customHeight="1" x14ac:dyDescent="0.25">
      <c r="A292" t="s">
        <v>940</v>
      </c>
      <c r="B292">
        <v>2022</v>
      </c>
      <c r="C292" t="s">
        <v>26</v>
      </c>
      <c r="D292" t="b">
        <f>TRUE()</f>
        <v>1</v>
      </c>
      <c r="E292" t="b">
        <f>COUNTIF(connections!A:A, A292) &gt; 0</f>
        <v>0</v>
      </c>
      <c r="F292" t="s">
        <v>934</v>
      </c>
      <c r="G292" t="s">
        <v>941</v>
      </c>
      <c r="J292" s="11" t="s">
        <v>942</v>
      </c>
    </row>
    <row r="293" spans="1:10" ht="15" customHeight="1" x14ac:dyDescent="0.25">
      <c r="A293" t="s">
        <v>943</v>
      </c>
      <c r="B293">
        <v>2024</v>
      </c>
      <c r="C293" t="s">
        <v>15</v>
      </c>
      <c r="D293" t="b">
        <f>FALSE()</f>
        <v>0</v>
      </c>
      <c r="E293" t="b">
        <f>COUNTIF(connections!A:A, A293) &gt; 0</f>
        <v>1</v>
      </c>
      <c r="G293" t="s">
        <v>944</v>
      </c>
      <c r="H293" t="s">
        <v>70</v>
      </c>
      <c r="I293" t="s">
        <v>945</v>
      </c>
      <c r="J293" s="1" t="s">
        <v>946</v>
      </c>
    </row>
    <row r="294" spans="1:10" ht="15" customHeight="1" x14ac:dyDescent="0.25">
      <c r="A294" t="s">
        <v>947</v>
      </c>
      <c r="B294">
        <v>2020</v>
      </c>
      <c r="C294" t="s">
        <v>15</v>
      </c>
      <c r="D294" t="b">
        <f>FALSE()</f>
        <v>0</v>
      </c>
      <c r="E294" t="b">
        <f>COUNTIF(connections!A:A, A294) &gt; 0</f>
        <v>1</v>
      </c>
      <c r="G294" t="s">
        <v>948</v>
      </c>
      <c r="H294" t="s">
        <v>70</v>
      </c>
      <c r="I294" t="s">
        <v>949</v>
      </c>
      <c r="J294" s="1" t="s">
        <v>950</v>
      </c>
    </row>
    <row r="295" spans="1:10" ht="15" customHeight="1" x14ac:dyDescent="0.25">
      <c r="A295" t="s">
        <v>951</v>
      </c>
      <c r="B295">
        <v>2023</v>
      </c>
      <c r="C295" t="s">
        <v>15</v>
      </c>
      <c r="D295" t="b">
        <f>FALSE()</f>
        <v>0</v>
      </c>
      <c r="E295" t="b">
        <f>COUNTIF(connections!A:A, A295) &gt; 0</f>
        <v>0</v>
      </c>
      <c r="G295" t="s">
        <v>952</v>
      </c>
      <c r="H295" t="s">
        <v>70</v>
      </c>
      <c r="I295" t="s">
        <v>953</v>
      </c>
      <c r="J295" s="1" t="s">
        <v>954</v>
      </c>
    </row>
    <row r="296" spans="1:10" ht="15" customHeight="1" x14ac:dyDescent="0.25">
      <c r="A296" t="s">
        <v>955</v>
      </c>
      <c r="B296">
        <v>2024</v>
      </c>
      <c r="C296" t="s">
        <v>15</v>
      </c>
      <c r="D296" t="b">
        <f>TRUE()</f>
        <v>1</v>
      </c>
      <c r="E296" t="b">
        <f>COUNTIF(connections!A:A, A296) &gt; 0</f>
        <v>0</v>
      </c>
      <c r="G296" t="s">
        <v>956</v>
      </c>
    </row>
    <row r="297" spans="1:10" ht="15" customHeight="1" x14ac:dyDescent="0.25">
      <c r="A297" t="s">
        <v>957</v>
      </c>
      <c r="B297">
        <v>2020</v>
      </c>
      <c r="C297" t="s">
        <v>26</v>
      </c>
      <c r="D297" t="b">
        <f>TRUE()</f>
        <v>1</v>
      </c>
      <c r="E297" t="b">
        <f>COUNTIF(connections!A:A, A297) &gt; 0</f>
        <v>0</v>
      </c>
      <c r="G297" t="s">
        <v>958</v>
      </c>
      <c r="H297" t="s">
        <v>70</v>
      </c>
      <c r="I297" t="s">
        <v>959</v>
      </c>
      <c r="J297" s="1" t="s">
        <v>960</v>
      </c>
    </row>
    <row r="298" spans="1:10" ht="15" customHeight="1" x14ac:dyDescent="0.25">
      <c r="A298" t="s">
        <v>961</v>
      </c>
      <c r="B298">
        <v>2025</v>
      </c>
      <c r="C298" t="s">
        <v>18</v>
      </c>
      <c r="D298" t="b">
        <f>FALSE()</f>
        <v>0</v>
      </c>
      <c r="E298" t="b">
        <f>COUNTIF(connections!A:A, A298) &gt; 0</f>
        <v>0</v>
      </c>
      <c r="F298" t="s">
        <v>260</v>
      </c>
      <c r="G298" t="s">
        <v>962</v>
      </c>
      <c r="H298" t="s">
        <v>70</v>
      </c>
      <c r="I298" t="s">
        <v>963</v>
      </c>
      <c r="J298" s="1" t="s">
        <v>964</v>
      </c>
    </row>
    <row r="299" spans="1:10" ht="15" customHeight="1" x14ac:dyDescent="0.25">
      <c r="A299" t="s">
        <v>965</v>
      </c>
      <c r="B299">
        <v>2024</v>
      </c>
      <c r="C299" t="s">
        <v>15</v>
      </c>
      <c r="D299" t="b">
        <f>FALSE()</f>
        <v>0</v>
      </c>
      <c r="E299" t="b">
        <f>COUNTIF(connections!A:A, A299) &gt; 0</f>
        <v>0</v>
      </c>
      <c r="F299" t="s">
        <v>934</v>
      </c>
      <c r="G299" t="s">
        <v>966</v>
      </c>
      <c r="H299" t="s">
        <v>70</v>
      </c>
      <c r="I299" t="s">
        <v>967</v>
      </c>
      <c r="J299" s="1" t="s">
        <v>968</v>
      </c>
    </row>
    <row r="300" spans="1:10" ht="15" customHeight="1" x14ac:dyDescent="0.25">
      <c r="A300" t="s">
        <v>969</v>
      </c>
      <c r="B300">
        <v>2026</v>
      </c>
      <c r="C300" t="s">
        <v>22</v>
      </c>
      <c r="D300" t="b">
        <f>FALSE()</f>
        <v>0</v>
      </c>
      <c r="E300" t="b">
        <f>COUNTIF(connections!A:A, A300) &gt; 0</f>
        <v>0</v>
      </c>
      <c r="F300" t="s">
        <v>139</v>
      </c>
      <c r="G300" t="s">
        <v>970</v>
      </c>
    </row>
    <row r="301" spans="1:10" ht="15" customHeight="1" x14ac:dyDescent="0.25">
      <c r="A301" t="s">
        <v>971</v>
      </c>
      <c r="B301">
        <v>2023</v>
      </c>
      <c r="C301" t="s">
        <v>15</v>
      </c>
      <c r="D301" t="b">
        <f>TRUE()</f>
        <v>1</v>
      </c>
      <c r="E301" t="b">
        <f>COUNTIF(connections!A:A, A301) &gt; 0</f>
        <v>0</v>
      </c>
      <c r="G301" t="s">
        <v>972</v>
      </c>
      <c r="H301" t="s">
        <v>70</v>
      </c>
      <c r="I301" t="s">
        <v>973</v>
      </c>
      <c r="J301" s="1" t="s">
        <v>974</v>
      </c>
    </row>
    <row r="302" spans="1:10" ht="15" customHeight="1" x14ac:dyDescent="0.25">
      <c r="A302" t="s">
        <v>975</v>
      </c>
      <c r="B302">
        <v>2025</v>
      </c>
      <c r="C302" t="s">
        <v>15</v>
      </c>
      <c r="D302" t="b">
        <f>FALSE()</f>
        <v>0</v>
      </c>
      <c r="E302" t="b">
        <f>COUNTIF(connections!A:A, A302) &gt; 0</f>
        <v>0</v>
      </c>
      <c r="G302" t="s">
        <v>976</v>
      </c>
      <c r="H302" t="s">
        <v>70</v>
      </c>
      <c r="I302" t="s">
        <v>977</v>
      </c>
      <c r="J302" s="1" t="s">
        <v>978</v>
      </c>
    </row>
    <row r="303" spans="1:10" ht="15" customHeight="1" x14ac:dyDescent="0.25">
      <c r="A303" t="s">
        <v>979</v>
      </c>
      <c r="B303">
        <v>2020</v>
      </c>
      <c r="C303" t="s">
        <v>15</v>
      </c>
      <c r="D303" t="b">
        <f>TRUE()</f>
        <v>1</v>
      </c>
      <c r="E303" t="b">
        <f>COUNTIF(connections!A:A, A303) &gt; 0</f>
        <v>0</v>
      </c>
      <c r="G303" t="s">
        <v>980</v>
      </c>
      <c r="H303" t="s">
        <v>70</v>
      </c>
      <c r="I303" t="s">
        <v>981</v>
      </c>
      <c r="J303" s="1" t="s">
        <v>982</v>
      </c>
    </row>
    <row r="304" spans="1:10" ht="15" customHeight="1" x14ac:dyDescent="0.25">
      <c r="A304" t="s">
        <v>983</v>
      </c>
      <c r="B304">
        <v>2014</v>
      </c>
      <c r="C304" t="s">
        <v>26</v>
      </c>
      <c r="D304" t="b">
        <f>TRUE()</f>
        <v>1</v>
      </c>
      <c r="E304" t="b">
        <f>COUNTIF(connections!A:A, A304) &gt; 0</f>
        <v>0</v>
      </c>
      <c r="G304" t="s">
        <v>984</v>
      </c>
      <c r="H304" t="s">
        <v>70</v>
      </c>
      <c r="I304" t="s">
        <v>985</v>
      </c>
      <c r="J304" s="1" t="s">
        <v>986</v>
      </c>
    </row>
    <row r="305" spans="1:10" ht="15" customHeight="1" x14ac:dyDescent="0.25">
      <c r="A305" t="s">
        <v>987</v>
      </c>
      <c r="B305">
        <v>2020</v>
      </c>
      <c r="C305" t="s">
        <v>15</v>
      </c>
      <c r="D305" t="b">
        <f>TRUE()</f>
        <v>1</v>
      </c>
      <c r="E305" t="b">
        <f>COUNTIF(connections!A:A, A305) &gt; 0</f>
        <v>0</v>
      </c>
      <c r="G305" t="s">
        <v>988</v>
      </c>
      <c r="H305" t="s">
        <v>70</v>
      </c>
      <c r="I305" t="s">
        <v>989</v>
      </c>
      <c r="J305" s="1" t="s">
        <v>990</v>
      </c>
    </row>
    <row r="306" spans="1:10" ht="15" customHeight="1" x14ac:dyDescent="0.25">
      <c r="A306" t="s">
        <v>991</v>
      </c>
      <c r="B306">
        <v>2022</v>
      </c>
      <c r="C306" t="s">
        <v>15</v>
      </c>
      <c r="D306" t="b">
        <f>TRUE()</f>
        <v>1</v>
      </c>
      <c r="E306" t="b">
        <f>COUNTIF(connections!A:A, A306) &gt; 0</f>
        <v>0</v>
      </c>
      <c r="G306" t="s">
        <v>992</v>
      </c>
      <c r="H306" t="s">
        <v>70</v>
      </c>
      <c r="I306" t="s">
        <v>993</v>
      </c>
      <c r="J306" s="1" t="s">
        <v>994</v>
      </c>
    </row>
    <row r="307" spans="1:10" ht="15" customHeight="1" x14ac:dyDescent="0.25">
      <c r="A307" t="s">
        <v>995</v>
      </c>
      <c r="B307">
        <v>2016</v>
      </c>
      <c r="C307" t="s">
        <v>15</v>
      </c>
      <c r="D307" t="b">
        <f>TRUE()</f>
        <v>1</v>
      </c>
      <c r="E307" t="b">
        <f>COUNTIF(connections!A:A, A307) &gt; 0</f>
        <v>1</v>
      </c>
      <c r="G307" t="s">
        <v>996</v>
      </c>
      <c r="H307" t="s">
        <v>70</v>
      </c>
      <c r="I307" t="s">
        <v>997</v>
      </c>
      <c r="J307" s="1" t="s">
        <v>998</v>
      </c>
    </row>
    <row r="308" spans="1:10" ht="15" customHeight="1" x14ac:dyDescent="0.25">
      <c r="A308" t="s">
        <v>999</v>
      </c>
      <c r="B308">
        <v>2020</v>
      </c>
      <c r="C308" t="s">
        <v>15</v>
      </c>
      <c r="D308" t="b">
        <f>TRUE()</f>
        <v>1</v>
      </c>
      <c r="E308" t="b">
        <f>COUNTIF(connections!A:A, A308) &gt; 0</f>
        <v>0</v>
      </c>
      <c r="G308" t="s">
        <v>1000</v>
      </c>
      <c r="H308" t="s">
        <v>70</v>
      </c>
      <c r="I308" t="s">
        <v>1001</v>
      </c>
      <c r="J308" s="1" t="s">
        <v>1002</v>
      </c>
    </row>
    <row r="309" spans="1:10" ht="15" customHeight="1" x14ac:dyDescent="0.25">
      <c r="A309" t="s">
        <v>1003</v>
      </c>
      <c r="B309">
        <v>2023</v>
      </c>
      <c r="C309" t="s">
        <v>15</v>
      </c>
      <c r="D309" t="b">
        <f>TRUE()</f>
        <v>1</v>
      </c>
      <c r="E309" t="b">
        <f>COUNTIF(connections!A:A, A309) &gt; 0</f>
        <v>0</v>
      </c>
      <c r="G309" t="s">
        <v>1004</v>
      </c>
    </row>
    <row r="310" spans="1:10" ht="15" customHeight="1" x14ac:dyDescent="0.25">
      <c r="A310" t="s">
        <v>1005</v>
      </c>
      <c r="B310">
        <v>2025</v>
      </c>
      <c r="C310" t="s">
        <v>15</v>
      </c>
      <c r="D310" t="b">
        <f>FALSE()</f>
        <v>0</v>
      </c>
      <c r="E310" t="b">
        <f>COUNTIF(connections!A:A, A310) &gt; 0</f>
        <v>0</v>
      </c>
      <c r="F310" t="s">
        <v>934</v>
      </c>
      <c r="G310" t="s">
        <v>1006</v>
      </c>
    </row>
    <row r="311" spans="1:10" ht="15" customHeight="1" x14ac:dyDescent="0.25">
      <c r="A311" t="s">
        <v>1007</v>
      </c>
      <c r="B311">
        <v>2023</v>
      </c>
      <c r="C311" t="s">
        <v>15</v>
      </c>
      <c r="D311" t="b">
        <f>TRUE()</f>
        <v>1</v>
      </c>
      <c r="E311" t="b">
        <f>COUNTIF(connections!A:A, A311) &gt; 0</f>
        <v>0</v>
      </c>
      <c r="G311" t="s">
        <v>1008</v>
      </c>
      <c r="H311" t="s">
        <v>70</v>
      </c>
      <c r="I311" t="s">
        <v>1009</v>
      </c>
      <c r="J311" s="1" t="s">
        <v>1010</v>
      </c>
    </row>
    <row r="312" spans="1:10" ht="15" customHeight="1" x14ac:dyDescent="0.25">
      <c r="A312" t="s">
        <v>1011</v>
      </c>
      <c r="B312">
        <v>2020</v>
      </c>
      <c r="C312" t="s">
        <v>22</v>
      </c>
      <c r="D312" t="b">
        <f>TRUE()</f>
        <v>1</v>
      </c>
      <c r="E312" t="b">
        <f>COUNTIF(connections!A:A, A312) &gt; 0</f>
        <v>1</v>
      </c>
      <c r="G312" t="s">
        <v>1012</v>
      </c>
      <c r="H312" t="s">
        <v>70</v>
      </c>
      <c r="I312" t="s">
        <v>1013</v>
      </c>
      <c r="J312" s="1" t="s">
        <v>1014</v>
      </c>
    </row>
    <row r="313" spans="1:10" ht="15" customHeight="1" x14ac:dyDescent="0.25">
      <c r="A313" t="s">
        <v>6497</v>
      </c>
      <c r="B313">
        <v>2021</v>
      </c>
      <c r="C313" t="s">
        <v>15</v>
      </c>
      <c r="D313" t="b">
        <f>TRUE()</f>
        <v>1</v>
      </c>
      <c r="E313" t="b">
        <f>COUNTIF(connections!A:A, A313) &gt; 0</f>
        <v>1</v>
      </c>
      <c r="G313" t="s">
        <v>6498</v>
      </c>
      <c r="H313" t="s">
        <v>70</v>
      </c>
      <c r="I313" t="s">
        <v>6502</v>
      </c>
    </row>
    <row r="314" spans="1:10" ht="15" customHeight="1" x14ac:dyDescent="0.25">
      <c r="A314" t="s">
        <v>6499</v>
      </c>
      <c r="B314">
        <v>2024</v>
      </c>
      <c r="C314" t="s">
        <v>15</v>
      </c>
      <c r="D314" t="b">
        <f>TRUE()</f>
        <v>1</v>
      </c>
      <c r="E314" t="b">
        <f>COUNTIF(connections!A:A, A314) &gt; 0</f>
        <v>0</v>
      </c>
      <c r="G314" t="s">
        <v>6500</v>
      </c>
      <c r="J314" s="11" t="s">
        <v>6501</v>
      </c>
    </row>
    <row r="315" spans="1:10" ht="15" customHeight="1" x14ac:dyDescent="0.25">
      <c r="A315" t="s">
        <v>1015</v>
      </c>
      <c r="B315">
        <v>2015</v>
      </c>
      <c r="C315" t="s">
        <v>22</v>
      </c>
      <c r="D315" t="b">
        <f>TRUE()</f>
        <v>1</v>
      </c>
      <c r="E315" t="b">
        <f>COUNTIF(connections!A:A, A315) &gt; 0</f>
        <v>1</v>
      </c>
      <c r="G315" t="s">
        <v>1016</v>
      </c>
      <c r="J315" s="1" t="s">
        <v>1017</v>
      </c>
    </row>
    <row r="316" spans="1:10" ht="15" customHeight="1" x14ac:dyDescent="0.25">
      <c r="A316" t="s">
        <v>1018</v>
      </c>
      <c r="B316">
        <v>2017</v>
      </c>
      <c r="C316" t="s">
        <v>18</v>
      </c>
      <c r="D316" t="b">
        <f>FALSE()</f>
        <v>0</v>
      </c>
      <c r="E316" t="b">
        <f>COUNTIF(connections!A:A, A316) &gt; 0</f>
        <v>0</v>
      </c>
      <c r="G316" t="s">
        <v>1019</v>
      </c>
      <c r="H316" t="s">
        <v>70</v>
      </c>
      <c r="I316" t="s">
        <v>1020</v>
      </c>
      <c r="J316" s="1" t="s">
        <v>1021</v>
      </c>
    </row>
    <row r="317" spans="1:10" ht="15" customHeight="1" x14ac:dyDescent="0.25">
      <c r="A317" t="s">
        <v>1022</v>
      </c>
      <c r="B317">
        <v>2020</v>
      </c>
      <c r="C317" t="s">
        <v>15</v>
      </c>
      <c r="D317" t="b">
        <f>TRUE()</f>
        <v>1</v>
      </c>
      <c r="E317" t="b">
        <f>COUNTIF(connections!A:A, A317) &gt; 0</f>
        <v>1</v>
      </c>
      <c r="G317" t="s">
        <v>1023</v>
      </c>
      <c r="H317" t="s">
        <v>70</v>
      </c>
      <c r="I317" t="s">
        <v>1024</v>
      </c>
      <c r="J317" s="1" t="s">
        <v>1025</v>
      </c>
    </row>
    <row r="318" spans="1:10" ht="15" customHeight="1" x14ac:dyDescent="0.25">
      <c r="A318" t="s">
        <v>1026</v>
      </c>
      <c r="B318">
        <v>2022</v>
      </c>
      <c r="C318" t="s">
        <v>15</v>
      </c>
      <c r="D318" t="b">
        <f>TRUE()</f>
        <v>1</v>
      </c>
      <c r="E318" t="b">
        <f>COUNTIF(connections!A:A, A318) &gt; 0</f>
        <v>1</v>
      </c>
      <c r="F318" t="s">
        <v>149</v>
      </c>
      <c r="G318" t="s">
        <v>1027</v>
      </c>
      <c r="H318" t="s">
        <v>70</v>
      </c>
      <c r="I318" t="s">
        <v>1028</v>
      </c>
      <c r="J318" s="1" t="s">
        <v>1029</v>
      </c>
    </row>
    <row r="319" spans="1:10" ht="15" customHeight="1" x14ac:dyDescent="0.25">
      <c r="A319" t="s">
        <v>1030</v>
      </c>
      <c r="B319">
        <v>2025</v>
      </c>
      <c r="C319" t="s">
        <v>15</v>
      </c>
      <c r="D319" t="b">
        <f>TRUE()</f>
        <v>1</v>
      </c>
      <c r="E319" t="b">
        <f>COUNTIF(connections!A:A, A319) &gt; 0</f>
        <v>0</v>
      </c>
      <c r="F319" t="s">
        <v>149</v>
      </c>
      <c r="G319" t="s">
        <v>1031</v>
      </c>
      <c r="H319" t="s">
        <v>70</v>
      </c>
      <c r="I319" t="s">
        <v>1032</v>
      </c>
      <c r="J319" s="1" t="s">
        <v>1033</v>
      </c>
    </row>
    <row r="320" spans="1:10" ht="15" customHeight="1" x14ac:dyDescent="0.25">
      <c r="A320" t="s">
        <v>1034</v>
      </c>
      <c r="B320">
        <v>1984</v>
      </c>
      <c r="C320" t="s">
        <v>26</v>
      </c>
      <c r="D320" t="b">
        <f>TRUE()</f>
        <v>1</v>
      </c>
      <c r="E320" t="b">
        <f>COUNTIF(connections!A:A, A320) &gt; 0</f>
        <v>1</v>
      </c>
      <c r="G320" t="s">
        <v>1035</v>
      </c>
      <c r="H320" t="s">
        <v>70</v>
      </c>
      <c r="I320" t="s">
        <v>1036</v>
      </c>
    </row>
    <row r="321" spans="1:10" ht="15" customHeight="1" x14ac:dyDescent="0.25">
      <c r="A321" t="s">
        <v>1037</v>
      </c>
      <c r="B321">
        <v>2022</v>
      </c>
      <c r="C321" t="s">
        <v>26</v>
      </c>
      <c r="D321" t="b">
        <f>TRUE()</f>
        <v>1</v>
      </c>
      <c r="E321" t="b">
        <f>COUNTIF(connections!A:A, A321) &gt; 0</f>
        <v>1</v>
      </c>
      <c r="G321" t="s">
        <v>1038</v>
      </c>
      <c r="H321" t="s">
        <v>70</v>
      </c>
      <c r="I321" t="s">
        <v>1039</v>
      </c>
    </row>
    <row r="322" spans="1:10" ht="15" customHeight="1" x14ac:dyDescent="0.25">
      <c r="A322" t="s">
        <v>1040</v>
      </c>
      <c r="B322">
        <v>2021</v>
      </c>
      <c r="C322" t="s">
        <v>22</v>
      </c>
      <c r="D322" t="b">
        <f>TRUE()</f>
        <v>1</v>
      </c>
      <c r="E322" t="b">
        <f>COUNTIF(connections!A:A, A322) &gt; 0</f>
        <v>0</v>
      </c>
      <c r="F322" t="s">
        <v>82</v>
      </c>
      <c r="G322" t="s">
        <v>1041</v>
      </c>
      <c r="H322" t="s">
        <v>70</v>
      </c>
      <c r="I322" t="s">
        <v>1042</v>
      </c>
      <c r="J322" s="1" t="s">
        <v>1043</v>
      </c>
    </row>
    <row r="323" spans="1:10" ht="15" customHeight="1" x14ac:dyDescent="0.25">
      <c r="A323" t="s">
        <v>1044</v>
      </c>
      <c r="B323">
        <v>2019</v>
      </c>
      <c r="C323" t="s">
        <v>15</v>
      </c>
      <c r="D323" t="b">
        <f>TRUE()</f>
        <v>1</v>
      </c>
      <c r="E323" t="b">
        <f>COUNTIF(connections!A:A, A323) &gt; 0</f>
        <v>1</v>
      </c>
      <c r="F323" t="s">
        <v>82</v>
      </c>
      <c r="G323" t="s">
        <v>1045</v>
      </c>
      <c r="H323" t="s">
        <v>70</v>
      </c>
      <c r="I323" t="s">
        <v>1046</v>
      </c>
      <c r="J323" s="1" t="s">
        <v>1047</v>
      </c>
    </row>
    <row r="324" spans="1:10" ht="15" customHeight="1" x14ac:dyDescent="0.25">
      <c r="A324" t="s">
        <v>1048</v>
      </c>
      <c r="B324">
        <v>2024</v>
      </c>
      <c r="C324" t="s">
        <v>15</v>
      </c>
      <c r="D324" t="b">
        <f>TRUE()</f>
        <v>1</v>
      </c>
      <c r="E324" t="b">
        <f>COUNTIF(connections!A:A, A324) &gt; 0</f>
        <v>0</v>
      </c>
      <c r="F324" t="s">
        <v>82</v>
      </c>
      <c r="G324" t="s">
        <v>1049</v>
      </c>
      <c r="H324" t="s">
        <v>70</v>
      </c>
      <c r="I324" t="s">
        <v>1050</v>
      </c>
      <c r="J324" s="1" t="s">
        <v>1051</v>
      </c>
    </row>
    <row r="325" spans="1:10" ht="15" customHeight="1" x14ac:dyDescent="0.25">
      <c r="A325" t="s">
        <v>1052</v>
      </c>
      <c r="B325">
        <v>2023</v>
      </c>
      <c r="C325" t="s">
        <v>15</v>
      </c>
      <c r="D325" t="b">
        <f>TRUE()</f>
        <v>1</v>
      </c>
      <c r="E325" t="b">
        <f>COUNTIF(connections!A:A, A325) &gt; 0</f>
        <v>1</v>
      </c>
      <c r="F325" t="s">
        <v>82</v>
      </c>
      <c r="G325" t="s">
        <v>1053</v>
      </c>
      <c r="H325" t="s">
        <v>70</v>
      </c>
      <c r="I325" t="s">
        <v>1054</v>
      </c>
      <c r="J325" s="1" t="s">
        <v>1055</v>
      </c>
    </row>
    <row r="326" spans="1:10" ht="15" customHeight="1" x14ac:dyDescent="0.25">
      <c r="A326" t="s">
        <v>1056</v>
      </c>
      <c r="B326">
        <v>2014</v>
      </c>
      <c r="C326" t="s">
        <v>22</v>
      </c>
      <c r="D326" t="b">
        <f>TRUE()</f>
        <v>1</v>
      </c>
      <c r="E326" t="b">
        <f>COUNTIF(connections!A:A, A326) &gt; 0</f>
        <v>1</v>
      </c>
      <c r="G326" t="s">
        <v>1057</v>
      </c>
      <c r="H326" t="s">
        <v>70</v>
      </c>
      <c r="I326" t="s">
        <v>1058</v>
      </c>
      <c r="J326" s="1" t="s">
        <v>1059</v>
      </c>
    </row>
    <row r="327" spans="1:10" ht="15" customHeight="1" x14ac:dyDescent="0.25">
      <c r="A327" t="s">
        <v>1060</v>
      </c>
      <c r="B327">
        <v>2017</v>
      </c>
      <c r="C327" t="s">
        <v>22</v>
      </c>
      <c r="D327" t="b">
        <f>TRUE()</f>
        <v>1</v>
      </c>
      <c r="E327" t="b">
        <f>COUNTIF(connections!A:A, A327) &gt; 0</f>
        <v>0</v>
      </c>
      <c r="G327" t="s">
        <v>1061</v>
      </c>
    </row>
    <row r="328" spans="1:10" ht="15" customHeight="1" x14ac:dyDescent="0.25">
      <c r="A328" t="s">
        <v>1062</v>
      </c>
      <c r="B328">
        <v>2026</v>
      </c>
      <c r="C328" t="s">
        <v>15</v>
      </c>
      <c r="D328" t="b">
        <v>1</v>
      </c>
      <c r="E328" t="b">
        <f>COUNTIF(connections!A:A, A328) &gt; 0</f>
        <v>0</v>
      </c>
      <c r="G328" t="s">
        <v>1063</v>
      </c>
      <c r="J328" s="11" t="s">
        <v>1064</v>
      </c>
    </row>
    <row r="329" spans="1:10" ht="15" customHeight="1" x14ac:dyDescent="0.25">
      <c r="A329" t="s">
        <v>1065</v>
      </c>
      <c r="B329">
        <v>2025</v>
      </c>
      <c r="C329" t="s">
        <v>15</v>
      </c>
      <c r="D329" t="b">
        <f>FALSE()</f>
        <v>0</v>
      </c>
      <c r="E329" t="b">
        <f>COUNTIF(connections!A:A, A329) &gt; 0</f>
        <v>0</v>
      </c>
      <c r="F329" t="s">
        <v>447</v>
      </c>
      <c r="G329" t="s">
        <v>1066</v>
      </c>
    </row>
    <row r="330" spans="1:10" ht="15" customHeight="1" x14ac:dyDescent="0.25">
      <c r="A330" t="s">
        <v>1067</v>
      </c>
      <c r="B330">
        <v>2017</v>
      </c>
      <c r="C330" t="s">
        <v>26</v>
      </c>
      <c r="D330" t="b">
        <f>TRUE()</f>
        <v>1</v>
      </c>
      <c r="E330" t="b">
        <f>COUNTIF(connections!A:A, A330) &gt; 0</f>
        <v>0</v>
      </c>
      <c r="G330" t="s">
        <v>1068</v>
      </c>
      <c r="J330" s="1" t="s">
        <v>1069</v>
      </c>
    </row>
    <row r="331" spans="1:10" ht="15" customHeight="1" x14ac:dyDescent="0.25">
      <c r="A331" t="s">
        <v>1070</v>
      </c>
      <c r="B331">
        <v>2017</v>
      </c>
      <c r="C331" t="s">
        <v>15</v>
      </c>
      <c r="D331" t="b">
        <f>TRUE()</f>
        <v>1</v>
      </c>
      <c r="E331" t="b">
        <f>COUNTIF(connections!A:A, A331) &gt; 0</f>
        <v>0</v>
      </c>
      <c r="G331" t="s">
        <v>1071</v>
      </c>
    </row>
    <row r="332" spans="1:10" ht="15" customHeight="1" x14ac:dyDescent="0.25">
      <c r="A332" t="s">
        <v>1072</v>
      </c>
      <c r="B332">
        <v>2025</v>
      </c>
      <c r="C332" t="s">
        <v>15</v>
      </c>
      <c r="D332" t="b">
        <f>FALSE()</f>
        <v>0</v>
      </c>
      <c r="E332" t="b">
        <f>COUNTIF(connections!A:A, A332) &gt; 0</f>
        <v>0</v>
      </c>
      <c r="G332" t="s">
        <v>1073</v>
      </c>
      <c r="H332" t="s">
        <v>70</v>
      </c>
      <c r="I332" t="s">
        <v>1074</v>
      </c>
      <c r="J332" s="1" t="s">
        <v>1075</v>
      </c>
    </row>
    <row r="333" spans="1:10" ht="15" customHeight="1" x14ac:dyDescent="0.25">
      <c r="A333" t="s">
        <v>1076</v>
      </c>
      <c r="B333">
        <v>2022</v>
      </c>
      <c r="C333" t="s">
        <v>15</v>
      </c>
      <c r="D333" t="b">
        <f>TRUE()</f>
        <v>1</v>
      </c>
      <c r="E333" t="b">
        <f>COUNTIF(connections!A:A, A333) &gt; 0</f>
        <v>0</v>
      </c>
      <c r="F333" t="s">
        <v>82</v>
      </c>
      <c r="G333" t="s">
        <v>1077</v>
      </c>
      <c r="H333" t="s">
        <v>70</v>
      </c>
      <c r="I333" t="s">
        <v>1078</v>
      </c>
      <c r="J333" s="1" t="s">
        <v>1079</v>
      </c>
    </row>
    <row r="334" spans="1:10" ht="15" customHeight="1" x14ac:dyDescent="0.25">
      <c r="A334" t="s">
        <v>1080</v>
      </c>
      <c r="B334">
        <v>2025</v>
      </c>
      <c r="C334" t="s">
        <v>22</v>
      </c>
      <c r="D334" t="b">
        <f>TRUE()</f>
        <v>1</v>
      </c>
      <c r="E334" t="b">
        <f>COUNTIF(connections!A:A, A334) &gt; 0</f>
        <v>0</v>
      </c>
      <c r="G334" t="s">
        <v>1081</v>
      </c>
      <c r="H334" t="s">
        <v>70</v>
      </c>
      <c r="I334" t="s">
        <v>1082</v>
      </c>
      <c r="J334" s="1" t="s">
        <v>1083</v>
      </c>
    </row>
    <row r="335" spans="1:10" ht="15" customHeight="1" x14ac:dyDescent="0.25">
      <c r="A335" t="s">
        <v>1084</v>
      </c>
      <c r="B335">
        <v>2023</v>
      </c>
      <c r="C335" t="s">
        <v>15</v>
      </c>
      <c r="D335" t="b">
        <f>FALSE()</f>
        <v>0</v>
      </c>
      <c r="E335" t="b">
        <f>COUNTIF(connections!A:A, A335) &gt; 0</f>
        <v>0</v>
      </c>
      <c r="G335" t="s">
        <v>1085</v>
      </c>
    </row>
    <row r="336" spans="1:10" ht="15" customHeight="1" x14ac:dyDescent="0.25">
      <c r="A336" t="s">
        <v>1086</v>
      </c>
      <c r="B336">
        <v>2017</v>
      </c>
      <c r="C336" t="s">
        <v>15</v>
      </c>
      <c r="D336" t="b">
        <f>FALSE()</f>
        <v>0</v>
      </c>
      <c r="E336" t="b">
        <f>COUNTIF(connections!A:A, A336) &gt; 0</f>
        <v>0</v>
      </c>
      <c r="G336" t="s">
        <v>1087</v>
      </c>
      <c r="H336" t="s">
        <v>70</v>
      </c>
      <c r="I336" t="s">
        <v>1088</v>
      </c>
      <c r="J336" s="1" t="s">
        <v>1089</v>
      </c>
    </row>
    <row r="337" spans="1:10" ht="15" customHeight="1" x14ac:dyDescent="0.25">
      <c r="A337" t="s">
        <v>1090</v>
      </c>
      <c r="B337">
        <v>2014</v>
      </c>
      <c r="C337" t="s">
        <v>15</v>
      </c>
      <c r="D337" t="b">
        <f>FALSE()</f>
        <v>0</v>
      </c>
      <c r="E337" t="b">
        <f>COUNTIF(connections!A:A, A337) &gt; 0</f>
        <v>0</v>
      </c>
      <c r="G337" t="s">
        <v>1091</v>
      </c>
      <c r="H337" t="s">
        <v>70</v>
      </c>
      <c r="I337" t="s">
        <v>1092</v>
      </c>
      <c r="J337" s="1" t="s">
        <v>1093</v>
      </c>
    </row>
    <row r="338" spans="1:10" ht="15" customHeight="1" x14ac:dyDescent="0.25">
      <c r="A338" t="s">
        <v>1094</v>
      </c>
      <c r="B338">
        <v>2025</v>
      </c>
      <c r="C338" t="s">
        <v>15</v>
      </c>
      <c r="D338" t="b">
        <f>TRUE()</f>
        <v>1</v>
      </c>
      <c r="E338" t="b">
        <f>COUNTIF(connections!A:A, A338) &gt; 0</f>
        <v>0</v>
      </c>
      <c r="G338" t="s">
        <v>1095</v>
      </c>
      <c r="H338" t="s">
        <v>70</v>
      </c>
      <c r="I338" t="s">
        <v>1096</v>
      </c>
      <c r="J338" s="1" t="s">
        <v>1097</v>
      </c>
    </row>
    <row r="339" spans="1:10" ht="15" customHeight="1" x14ac:dyDescent="0.25">
      <c r="A339" t="s">
        <v>6393</v>
      </c>
      <c r="B339">
        <v>2026</v>
      </c>
      <c r="C339" t="s">
        <v>15</v>
      </c>
      <c r="D339" t="b">
        <f>TRUE()</f>
        <v>1</v>
      </c>
      <c r="E339" t="b">
        <f>COUNTIF(connections!A:A, A339) &gt; 0</f>
        <v>0</v>
      </c>
      <c r="F339" t="s">
        <v>82</v>
      </c>
      <c r="G339" t="s">
        <v>6396</v>
      </c>
      <c r="J339" s="11" t="s">
        <v>6397</v>
      </c>
    </row>
    <row r="340" spans="1:10" ht="15" customHeight="1" x14ac:dyDescent="0.25">
      <c r="A340" t="s">
        <v>1098</v>
      </c>
      <c r="B340">
        <v>2023</v>
      </c>
      <c r="C340" t="s">
        <v>15</v>
      </c>
      <c r="D340" t="b">
        <f>FALSE()</f>
        <v>0</v>
      </c>
      <c r="E340" t="b">
        <f>COUNTIF(connections!A:A, A340) &gt; 0</f>
        <v>0</v>
      </c>
      <c r="G340" t="s">
        <v>1099</v>
      </c>
    </row>
    <row r="341" spans="1:10" ht="15" customHeight="1" x14ac:dyDescent="0.25">
      <c r="A341" t="s">
        <v>1100</v>
      </c>
      <c r="B341">
        <v>2023</v>
      </c>
      <c r="C341" t="s">
        <v>22</v>
      </c>
      <c r="D341" t="b">
        <f>TRUE()</f>
        <v>1</v>
      </c>
      <c r="E341" t="b">
        <f>COUNTIF(connections!A:A, A341) &gt; 0</f>
        <v>0</v>
      </c>
      <c r="G341" t="s">
        <v>1101</v>
      </c>
      <c r="H341" t="s">
        <v>70</v>
      </c>
      <c r="I341" t="s">
        <v>1102</v>
      </c>
      <c r="J341" s="1" t="s">
        <v>1103</v>
      </c>
    </row>
    <row r="342" spans="1:10" ht="15" customHeight="1" x14ac:dyDescent="0.25">
      <c r="A342" t="s">
        <v>1104</v>
      </c>
      <c r="B342">
        <v>2025</v>
      </c>
      <c r="C342" t="s">
        <v>15</v>
      </c>
      <c r="D342" t="b">
        <f>TRUE()</f>
        <v>1</v>
      </c>
      <c r="E342" t="b">
        <f>COUNTIF(connections!A:A, A342) &gt; 0</f>
        <v>0</v>
      </c>
      <c r="G342" t="s">
        <v>1105</v>
      </c>
      <c r="H342" t="s">
        <v>70</v>
      </c>
      <c r="I342" t="s">
        <v>1106</v>
      </c>
      <c r="J342" s="1" t="s">
        <v>1107</v>
      </c>
    </row>
    <row r="343" spans="1:10" ht="15" customHeight="1" x14ac:dyDescent="0.25">
      <c r="A343" t="s">
        <v>1108</v>
      </c>
      <c r="B343">
        <v>2023</v>
      </c>
      <c r="C343" t="s">
        <v>15</v>
      </c>
      <c r="D343" t="b">
        <f>TRUE()</f>
        <v>1</v>
      </c>
      <c r="E343" t="b">
        <f>COUNTIF(connections!A:A, A343) &gt; 0</f>
        <v>0</v>
      </c>
      <c r="F343" t="s">
        <v>82</v>
      </c>
      <c r="G343" t="s">
        <v>1109</v>
      </c>
      <c r="H343" t="s">
        <v>70</v>
      </c>
      <c r="I343" t="s">
        <v>1110</v>
      </c>
      <c r="J343" s="1" t="s">
        <v>1111</v>
      </c>
    </row>
    <row r="344" spans="1:10" ht="15" customHeight="1" x14ac:dyDescent="0.25">
      <c r="A344" t="s">
        <v>1112</v>
      </c>
      <c r="B344">
        <v>2018</v>
      </c>
      <c r="C344" t="s">
        <v>15</v>
      </c>
      <c r="D344" t="b">
        <f>TRUE()</f>
        <v>1</v>
      </c>
      <c r="E344" t="b">
        <f>COUNTIF(connections!A:A, A344) &gt; 0</f>
        <v>1</v>
      </c>
      <c r="G344" t="s">
        <v>1113</v>
      </c>
      <c r="H344" t="s">
        <v>70</v>
      </c>
      <c r="I344" t="s">
        <v>1114</v>
      </c>
      <c r="J344" s="1" t="s">
        <v>1115</v>
      </c>
    </row>
    <row r="345" spans="1:10" ht="15" customHeight="1" x14ac:dyDescent="0.25">
      <c r="A345" t="s">
        <v>1116</v>
      </c>
      <c r="B345">
        <v>2025</v>
      </c>
      <c r="C345" t="s">
        <v>15</v>
      </c>
      <c r="D345" t="b">
        <f>TRUE()</f>
        <v>1</v>
      </c>
      <c r="E345" t="b">
        <f>COUNTIF(connections!A:A, A345) &gt; 0</f>
        <v>0</v>
      </c>
      <c r="G345" t="s">
        <v>1117</v>
      </c>
      <c r="H345" t="s">
        <v>70</v>
      </c>
      <c r="I345" t="s">
        <v>1118</v>
      </c>
      <c r="J345" s="1" t="s">
        <v>1119</v>
      </c>
    </row>
    <row r="346" spans="1:10" ht="15" customHeight="1" x14ac:dyDescent="0.25">
      <c r="A346" t="s">
        <v>6404</v>
      </c>
      <c r="B346">
        <v>2025</v>
      </c>
      <c r="C346" t="s">
        <v>18</v>
      </c>
      <c r="D346" t="b">
        <f>TRUE()</f>
        <v>1</v>
      </c>
      <c r="E346" t="b">
        <f>COUNTIF(connections!A:A, A346) &gt; 0</f>
        <v>0</v>
      </c>
      <c r="G346" t="s">
        <v>6406</v>
      </c>
      <c r="J346" s="11" t="s">
        <v>6408</v>
      </c>
    </row>
    <row r="347" spans="1:10" ht="15" customHeight="1" x14ac:dyDescent="0.25">
      <c r="A347" t="s">
        <v>1120</v>
      </c>
      <c r="B347">
        <v>2026</v>
      </c>
      <c r="C347" t="s">
        <v>18</v>
      </c>
      <c r="D347" t="b">
        <f>TRUE()</f>
        <v>1</v>
      </c>
      <c r="E347" t="b">
        <f>COUNTIF(connections!A:A, A347) &gt; 0</f>
        <v>0</v>
      </c>
      <c r="G347" t="s">
        <v>1121</v>
      </c>
    </row>
    <row r="348" spans="1:10" ht="15" customHeight="1" x14ac:dyDescent="0.25">
      <c r="A348" t="s">
        <v>1122</v>
      </c>
      <c r="B348">
        <v>2023</v>
      </c>
      <c r="C348" t="s">
        <v>15</v>
      </c>
      <c r="D348" t="b">
        <f>TRUE()</f>
        <v>1</v>
      </c>
      <c r="E348" t="b">
        <f>COUNTIF(connections!A:A, A348) &gt; 0</f>
        <v>0</v>
      </c>
      <c r="G348" t="s">
        <v>1123</v>
      </c>
      <c r="H348" t="s">
        <v>70</v>
      </c>
      <c r="I348" t="s">
        <v>1124</v>
      </c>
      <c r="J348" s="1" t="s">
        <v>1125</v>
      </c>
    </row>
    <row r="349" spans="1:10" ht="15" customHeight="1" x14ac:dyDescent="0.25">
      <c r="A349" t="s">
        <v>6488</v>
      </c>
      <c r="B349">
        <v>2026</v>
      </c>
      <c r="C349" t="s">
        <v>26</v>
      </c>
      <c r="D349" t="b">
        <f>TRUE()</f>
        <v>1</v>
      </c>
      <c r="E349" t="b">
        <f>COUNTIF(connections!A:A, A349) &gt; 0</f>
        <v>0</v>
      </c>
      <c r="G349" t="s">
        <v>6489</v>
      </c>
      <c r="J349" s="11" t="s">
        <v>6487</v>
      </c>
    </row>
    <row r="350" spans="1:10" ht="15" customHeight="1" x14ac:dyDescent="0.25">
      <c r="A350" t="s">
        <v>1126</v>
      </c>
      <c r="B350">
        <v>2013</v>
      </c>
      <c r="C350" t="s">
        <v>26</v>
      </c>
      <c r="D350" t="b">
        <f>TRUE()</f>
        <v>1</v>
      </c>
      <c r="E350" t="b">
        <f>COUNTIF(connections!A:A, A350) &gt; 0</f>
        <v>1</v>
      </c>
      <c r="G350" t="s">
        <v>1127</v>
      </c>
      <c r="H350" t="s">
        <v>70</v>
      </c>
      <c r="I350" t="s">
        <v>1128</v>
      </c>
    </row>
    <row r="351" spans="1:10" ht="15" customHeight="1" x14ac:dyDescent="0.25">
      <c r="A351" t="s">
        <v>1129</v>
      </c>
      <c r="B351">
        <v>2025</v>
      </c>
      <c r="C351" t="s">
        <v>26</v>
      </c>
      <c r="D351" t="b">
        <f>TRUE()</f>
        <v>1</v>
      </c>
      <c r="E351" t="b">
        <f>COUNTIF(connections!A:A, A351) &gt; 0</f>
        <v>0</v>
      </c>
      <c r="F351" t="s">
        <v>1130</v>
      </c>
      <c r="G351" t="s">
        <v>1131</v>
      </c>
    </row>
    <row r="352" spans="1:10" ht="15" customHeight="1" x14ac:dyDescent="0.25">
      <c r="A352" t="s">
        <v>1132</v>
      </c>
      <c r="B352">
        <v>2026</v>
      </c>
      <c r="C352" t="s">
        <v>15</v>
      </c>
      <c r="D352" t="b">
        <f>TRUE()</f>
        <v>1</v>
      </c>
      <c r="E352" t="b">
        <f>COUNTIF(connections!A:A, A352) &gt; 0</f>
        <v>0</v>
      </c>
      <c r="G352" t="s">
        <v>1133</v>
      </c>
      <c r="J352" s="11" t="s">
        <v>1134</v>
      </c>
    </row>
    <row r="353" spans="1:10" ht="15" customHeight="1" x14ac:dyDescent="0.25">
      <c r="A353" t="s">
        <v>1135</v>
      </c>
      <c r="B353">
        <v>2026</v>
      </c>
      <c r="C353" t="s">
        <v>22</v>
      </c>
      <c r="D353" t="b">
        <f>TRUE()</f>
        <v>1</v>
      </c>
      <c r="E353" t="b">
        <f>COUNTIF(connections!A:A, A353) &gt; 0</f>
        <v>0</v>
      </c>
      <c r="G353" t="s">
        <v>1136</v>
      </c>
    </row>
    <row r="354" spans="1:10" ht="15" customHeight="1" x14ac:dyDescent="0.25">
      <c r="A354" t="s">
        <v>1137</v>
      </c>
      <c r="B354">
        <v>2026</v>
      </c>
      <c r="C354" t="s">
        <v>15</v>
      </c>
      <c r="D354" t="b">
        <f>TRUE()</f>
        <v>1</v>
      </c>
      <c r="E354" t="b">
        <f>COUNTIF(connections!A:A, A354) &gt; 0</f>
        <v>0</v>
      </c>
      <c r="F354" t="s">
        <v>1138</v>
      </c>
      <c r="G354" t="s">
        <v>1139</v>
      </c>
      <c r="H354" t="s">
        <v>70</v>
      </c>
      <c r="I354" t="s">
        <v>1140</v>
      </c>
    </row>
    <row r="355" spans="1:10" ht="15" customHeight="1" x14ac:dyDescent="0.25">
      <c r="A355" t="s">
        <v>6424</v>
      </c>
      <c r="B355">
        <v>2012</v>
      </c>
      <c r="C355" t="s">
        <v>26</v>
      </c>
      <c r="D355" t="b">
        <f>TRUE()</f>
        <v>1</v>
      </c>
      <c r="E355" t="b">
        <f>COUNTIF(connections!A:A, A355) &gt; 0</f>
        <v>0</v>
      </c>
      <c r="G355" t="s">
        <v>6425</v>
      </c>
      <c r="J355" s="11" t="s">
        <v>6426</v>
      </c>
    </row>
    <row r="356" spans="1:10" ht="15" customHeight="1" x14ac:dyDescent="0.25">
      <c r="A356" t="s">
        <v>1141</v>
      </c>
      <c r="B356">
        <v>2025</v>
      </c>
      <c r="C356" t="s">
        <v>15</v>
      </c>
      <c r="D356" t="b">
        <f>TRUE()</f>
        <v>1</v>
      </c>
      <c r="E356" t="b">
        <f>COUNTIF(connections!A:A, A356) &gt; 0</f>
        <v>0</v>
      </c>
      <c r="G356" t="s">
        <v>1142</v>
      </c>
      <c r="H356" t="s">
        <v>70</v>
      </c>
      <c r="I356" t="s">
        <v>1143</v>
      </c>
      <c r="J356" s="1" t="s">
        <v>1144</v>
      </c>
    </row>
    <row r="357" spans="1:10" ht="15" customHeight="1" x14ac:dyDescent="0.25">
      <c r="A357" t="s">
        <v>1145</v>
      </c>
      <c r="B357">
        <v>2017</v>
      </c>
      <c r="C357" t="s">
        <v>26</v>
      </c>
      <c r="D357" t="b">
        <f>TRUE()</f>
        <v>1</v>
      </c>
      <c r="E357" t="b">
        <f>COUNTIF(connections!A:A, A357) &gt; 0</f>
        <v>0</v>
      </c>
      <c r="G357" t="s">
        <v>1146</v>
      </c>
    </row>
    <row r="358" spans="1:10" ht="15" customHeight="1" x14ac:dyDescent="0.25">
      <c r="A358" t="s">
        <v>1147</v>
      </c>
      <c r="B358">
        <v>2022</v>
      </c>
      <c r="C358" t="s">
        <v>15</v>
      </c>
      <c r="D358" t="b">
        <f>TRUE()</f>
        <v>1</v>
      </c>
      <c r="E358" t="b">
        <f>COUNTIF(connections!A:A, A358) &gt; 0</f>
        <v>0</v>
      </c>
      <c r="G358" t="s">
        <v>1148</v>
      </c>
      <c r="H358" t="s">
        <v>70</v>
      </c>
      <c r="I358" t="s">
        <v>1149</v>
      </c>
      <c r="J358" s="1" t="s">
        <v>1150</v>
      </c>
    </row>
    <row r="359" spans="1:10" ht="15" customHeight="1" x14ac:dyDescent="0.25">
      <c r="A359" t="s">
        <v>1151</v>
      </c>
      <c r="B359">
        <v>2017</v>
      </c>
      <c r="C359" t="s">
        <v>15</v>
      </c>
      <c r="D359" t="b">
        <f>TRUE()</f>
        <v>1</v>
      </c>
      <c r="E359" t="b">
        <f>COUNTIF(connections!A:A, A359) &gt; 0</f>
        <v>0</v>
      </c>
      <c r="G359" t="s">
        <v>1152</v>
      </c>
      <c r="H359" t="s">
        <v>70</v>
      </c>
      <c r="I359" t="s">
        <v>1153</v>
      </c>
      <c r="J359" s="1" t="s">
        <v>1154</v>
      </c>
    </row>
    <row r="360" spans="1:10" ht="15" customHeight="1" x14ac:dyDescent="0.25">
      <c r="A360" t="s">
        <v>1155</v>
      </c>
      <c r="B360">
        <v>2016</v>
      </c>
      <c r="C360" t="s">
        <v>15</v>
      </c>
      <c r="D360" t="b">
        <v>1</v>
      </c>
      <c r="E360" t="b">
        <f>COUNTIF(connections!A:A, A360) &gt; 0</f>
        <v>0</v>
      </c>
      <c r="G360" t="s">
        <v>1156</v>
      </c>
      <c r="J360" s="11" t="s">
        <v>1157</v>
      </c>
    </row>
    <row r="361" spans="1:10" ht="15" customHeight="1" x14ac:dyDescent="0.25">
      <c r="A361" t="s">
        <v>1158</v>
      </c>
      <c r="B361">
        <v>2007</v>
      </c>
      <c r="C361" t="s">
        <v>26</v>
      </c>
      <c r="D361" t="b">
        <f>TRUE()</f>
        <v>1</v>
      </c>
      <c r="E361" t="b">
        <f>COUNTIF(connections!A:A, A361) &gt; 0</f>
        <v>1</v>
      </c>
      <c r="G361" t="s">
        <v>1159</v>
      </c>
      <c r="H361" t="s">
        <v>70</v>
      </c>
      <c r="I361" t="s">
        <v>1160</v>
      </c>
    </row>
    <row r="362" spans="1:10" ht="15" customHeight="1" x14ac:dyDescent="0.25">
      <c r="A362" t="s">
        <v>1161</v>
      </c>
      <c r="B362">
        <v>2015</v>
      </c>
      <c r="C362" t="s">
        <v>18</v>
      </c>
      <c r="D362" t="b">
        <f>TRUE()</f>
        <v>1</v>
      </c>
      <c r="E362" t="b">
        <f>COUNTIF(connections!A:A, A362) &gt; 0</f>
        <v>0</v>
      </c>
      <c r="G362" t="s">
        <v>1162</v>
      </c>
    </row>
    <row r="363" spans="1:10" ht="15" customHeight="1" x14ac:dyDescent="0.25">
      <c r="A363" t="s">
        <v>1163</v>
      </c>
      <c r="B363">
        <v>2011</v>
      </c>
      <c r="C363" t="s">
        <v>26</v>
      </c>
      <c r="D363" t="b">
        <f>TRUE()</f>
        <v>1</v>
      </c>
      <c r="E363" t="b">
        <f>COUNTIF(connections!A:A, A363) &gt; 0</f>
        <v>0</v>
      </c>
      <c r="F363" t="s">
        <v>149</v>
      </c>
      <c r="G363" t="s">
        <v>1164</v>
      </c>
      <c r="H363" t="s">
        <v>70</v>
      </c>
      <c r="I363" t="s">
        <v>1165</v>
      </c>
    </row>
    <row r="364" spans="1:10" ht="15" customHeight="1" x14ac:dyDescent="0.25">
      <c r="A364" t="s">
        <v>6327</v>
      </c>
      <c r="B364">
        <v>2023</v>
      </c>
      <c r="C364" t="s">
        <v>18</v>
      </c>
      <c r="D364" t="b">
        <f>TRUE()</f>
        <v>1</v>
      </c>
      <c r="E364" t="b">
        <f>COUNTIF(connections!A:A, A364) &gt; 0</f>
        <v>0</v>
      </c>
      <c r="G364" t="s">
        <v>6328</v>
      </c>
      <c r="H364" t="s">
        <v>70</v>
      </c>
      <c r="I364" t="s">
        <v>6330</v>
      </c>
      <c r="J364" s="11" t="s">
        <v>6329</v>
      </c>
    </row>
    <row r="365" spans="1:10" ht="15" customHeight="1" x14ac:dyDescent="0.25">
      <c r="A365" t="s">
        <v>1166</v>
      </c>
      <c r="B365">
        <v>2021</v>
      </c>
      <c r="C365" t="s">
        <v>22</v>
      </c>
      <c r="D365" t="b">
        <f>TRUE()</f>
        <v>1</v>
      </c>
      <c r="E365" t="b">
        <f>COUNTIF(connections!A:A, A365) &gt; 0</f>
        <v>1</v>
      </c>
      <c r="G365" t="s">
        <v>1167</v>
      </c>
      <c r="H365" t="s">
        <v>70</v>
      </c>
      <c r="I365" t="s">
        <v>1168</v>
      </c>
      <c r="J365" s="1" t="s">
        <v>1169</v>
      </c>
    </row>
    <row r="366" spans="1:10" ht="15" customHeight="1" x14ac:dyDescent="0.25">
      <c r="A366" t="s">
        <v>1170</v>
      </c>
      <c r="B366">
        <v>2021</v>
      </c>
      <c r="C366" t="s">
        <v>18</v>
      </c>
      <c r="D366" t="b">
        <f>TRUE()</f>
        <v>1</v>
      </c>
      <c r="E366" t="b">
        <f>COUNTIF(connections!A:A, A366) &gt; 0</f>
        <v>0</v>
      </c>
      <c r="G366" t="s">
        <v>1171</v>
      </c>
      <c r="H366" t="s">
        <v>70</v>
      </c>
      <c r="I366" t="s">
        <v>1172</v>
      </c>
      <c r="J366" s="1" t="s">
        <v>1173</v>
      </c>
    </row>
    <row r="367" spans="1:10" ht="15" customHeight="1" x14ac:dyDescent="0.25">
      <c r="A367" t="s">
        <v>1174</v>
      </c>
      <c r="B367">
        <v>2018</v>
      </c>
      <c r="C367" t="s">
        <v>18</v>
      </c>
      <c r="D367" t="b">
        <f>TRUE()</f>
        <v>1</v>
      </c>
      <c r="E367" t="b">
        <f>COUNTIF(connections!A:A, A367) &gt; 0</f>
        <v>1</v>
      </c>
      <c r="F367" t="s">
        <v>149</v>
      </c>
      <c r="G367" t="s">
        <v>1175</v>
      </c>
      <c r="H367" t="s">
        <v>70</v>
      </c>
      <c r="I367" t="s">
        <v>1176</v>
      </c>
      <c r="J367" s="1" t="s">
        <v>1177</v>
      </c>
    </row>
    <row r="368" spans="1:10" ht="15" customHeight="1" x14ac:dyDescent="0.25">
      <c r="A368" t="s">
        <v>6581</v>
      </c>
      <c r="B368">
        <v>2025</v>
      </c>
      <c r="C368" t="s">
        <v>22</v>
      </c>
      <c r="D368" t="b">
        <f>TRUE()</f>
        <v>1</v>
      </c>
      <c r="E368" t="b">
        <f>COUNTIF(connections!A:A, A368) &gt; 0</f>
        <v>0</v>
      </c>
      <c r="G368" t="s">
        <v>6582</v>
      </c>
      <c r="J368" s="11" t="s">
        <v>6580</v>
      </c>
    </row>
    <row r="369" spans="1:10" ht="15" customHeight="1" x14ac:dyDescent="0.25">
      <c r="A369" t="s">
        <v>1178</v>
      </c>
      <c r="B369">
        <v>2019</v>
      </c>
      <c r="C369" t="s">
        <v>18</v>
      </c>
      <c r="D369" t="b">
        <f>TRUE()</f>
        <v>1</v>
      </c>
      <c r="E369" t="b">
        <f>COUNTIF(connections!A:A, A369) &gt; 0</f>
        <v>0</v>
      </c>
      <c r="G369" t="s">
        <v>1179</v>
      </c>
      <c r="H369" t="s">
        <v>70</v>
      </c>
      <c r="I369" t="s">
        <v>1180</v>
      </c>
      <c r="J369" s="1" t="s">
        <v>1181</v>
      </c>
    </row>
    <row r="370" spans="1:10" ht="15" customHeight="1" x14ac:dyDescent="0.25">
      <c r="A370" t="s">
        <v>1182</v>
      </c>
      <c r="B370">
        <v>2001</v>
      </c>
      <c r="C370" t="s">
        <v>26</v>
      </c>
      <c r="D370" t="b">
        <f>TRUE()</f>
        <v>1</v>
      </c>
      <c r="E370" t="b">
        <f>COUNTIF(connections!A:A, A370) &gt; 0</f>
        <v>1</v>
      </c>
      <c r="G370" t="s">
        <v>1183</v>
      </c>
      <c r="H370" t="s">
        <v>70</v>
      </c>
      <c r="I370" t="s">
        <v>1184</v>
      </c>
    </row>
    <row r="371" spans="1:10" ht="15" customHeight="1" x14ac:dyDescent="0.25">
      <c r="A371" t="s">
        <v>1185</v>
      </c>
      <c r="B371">
        <v>2007</v>
      </c>
      <c r="C371" t="s">
        <v>26</v>
      </c>
      <c r="D371" t="b">
        <f>TRUE()</f>
        <v>1</v>
      </c>
      <c r="E371" t="b">
        <f>COUNTIF(connections!A:A, A371) &gt; 0</f>
        <v>0</v>
      </c>
      <c r="G371" t="s">
        <v>1186</v>
      </c>
    </row>
    <row r="372" spans="1:10" ht="15" customHeight="1" x14ac:dyDescent="0.25">
      <c r="A372" t="s">
        <v>1187</v>
      </c>
      <c r="B372">
        <v>2006</v>
      </c>
      <c r="C372" t="s">
        <v>26</v>
      </c>
      <c r="D372" t="b">
        <f>TRUE()</f>
        <v>1</v>
      </c>
      <c r="E372" t="b">
        <f>COUNTIF(connections!A:A, A372) &gt; 0</f>
        <v>1</v>
      </c>
      <c r="G372" t="s">
        <v>1188</v>
      </c>
    </row>
    <row r="373" spans="1:10" ht="15" customHeight="1" x14ac:dyDescent="0.25">
      <c r="A373" t="s">
        <v>1189</v>
      </c>
      <c r="B373">
        <v>2025</v>
      </c>
      <c r="C373" t="s">
        <v>15</v>
      </c>
      <c r="D373" t="b">
        <f>TRUE()</f>
        <v>1</v>
      </c>
      <c r="E373" t="b">
        <f>COUNTIF(connections!A:A, A373) &gt; 0</f>
        <v>0</v>
      </c>
      <c r="G373" t="s">
        <v>1190</v>
      </c>
    </row>
    <row r="374" spans="1:10" ht="15" customHeight="1" x14ac:dyDescent="0.25">
      <c r="A374" t="s">
        <v>1191</v>
      </c>
      <c r="B374">
        <v>2018</v>
      </c>
      <c r="C374" t="s">
        <v>15</v>
      </c>
      <c r="D374" t="b">
        <f>FALSE()</f>
        <v>0</v>
      </c>
      <c r="E374" t="b">
        <f>COUNTIF(connections!A:A, A374) &gt; 0</f>
        <v>0</v>
      </c>
      <c r="F374" t="s">
        <v>139</v>
      </c>
      <c r="G374" t="s">
        <v>1192</v>
      </c>
    </row>
    <row r="375" spans="1:10" ht="15" customHeight="1" x14ac:dyDescent="0.25">
      <c r="A375" t="s">
        <v>1193</v>
      </c>
      <c r="B375">
        <v>2019</v>
      </c>
      <c r="C375" t="s">
        <v>26</v>
      </c>
      <c r="D375" t="b">
        <f>TRUE()</f>
        <v>1</v>
      </c>
      <c r="E375" t="b">
        <f>COUNTIF(connections!A:A, A375) &gt; 0</f>
        <v>0</v>
      </c>
      <c r="F375" t="s">
        <v>149</v>
      </c>
      <c r="G375" t="s">
        <v>1194</v>
      </c>
      <c r="H375" t="s">
        <v>70</v>
      </c>
      <c r="I375" t="s">
        <v>1195</v>
      </c>
      <c r="J375" s="1" t="s">
        <v>1196</v>
      </c>
    </row>
    <row r="376" spans="1:10" ht="15" customHeight="1" x14ac:dyDescent="0.25">
      <c r="A376" t="s">
        <v>1197</v>
      </c>
      <c r="B376">
        <v>2023</v>
      </c>
      <c r="C376" t="s">
        <v>15</v>
      </c>
      <c r="D376" t="b">
        <f>TRUE()</f>
        <v>1</v>
      </c>
      <c r="E376" t="b">
        <f>COUNTIF(connections!A:A, A376) &gt; 0</f>
        <v>0</v>
      </c>
      <c r="G376" t="s">
        <v>1198</v>
      </c>
      <c r="H376" t="s">
        <v>70</v>
      </c>
      <c r="I376" t="s">
        <v>1199</v>
      </c>
      <c r="J376" s="1" t="s">
        <v>1200</v>
      </c>
    </row>
    <row r="377" spans="1:10" ht="15" customHeight="1" x14ac:dyDescent="0.25">
      <c r="A377" t="s">
        <v>1201</v>
      </c>
      <c r="B377">
        <v>2024</v>
      </c>
      <c r="C377" t="s">
        <v>18</v>
      </c>
      <c r="D377" t="b">
        <f>TRUE()</f>
        <v>1</v>
      </c>
      <c r="E377" t="b">
        <f>COUNTIF(connections!A:A, A377) &gt; 0</f>
        <v>0</v>
      </c>
      <c r="G377" t="s">
        <v>1202</v>
      </c>
      <c r="H377" t="s">
        <v>70</v>
      </c>
      <c r="I377" t="s">
        <v>1203</v>
      </c>
      <c r="J377" s="1" t="s">
        <v>1204</v>
      </c>
    </row>
    <row r="378" spans="1:10" ht="15" customHeight="1" x14ac:dyDescent="0.25">
      <c r="A378" t="s">
        <v>6657</v>
      </c>
      <c r="B378">
        <v>2025</v>
      </c>
      <c r="C378" t="s">
        <v>15</v>
      </c>
      <c r="D378" t="b">
        <f>TRUE()</f>
        <v>1</v>
      </c>
      <c r="E378" t="b">
        <f>COUNTIF(connections!A:A, A378) &gt; 0</f>
        <v>0</v>
      </c>
      <c r="G378" t="s">
        <v>6659</v>
      </c>
      <c r="J378" s="11" t="s">
        <v>6658</v>
      </c>
    </row>
    <row r="379" spans="1:10" ht="15" customHeight="1" x14ac:dyDescent="0.25">
      <c r="A379" t="s">
        <v>1205</v>
      </c>
      <c r="B379">
        <v>2015</v>
      </c>
      <c r="C379" t="s">
        <v>26</v>
      </c>
      <c r="D379" t="b">
        <f>TRUE()</f>
        <v>1</v>
      </c>
      <c r="E379" t="b">
        <f>COUNTIF(connections!A:A, A379) &gt; 0</f>
        <v>0</v>
      </c>
      <c r="G379" t="s">
        <v>1206</v>
      </c>
      <c r="H379" t="s">
        <v>70</v>
      </c>
      <c r="I379" t="s">
        <v>1207</v>
      </c>
      <c r="J379" s="1" t="s">
        <v>1208</v>
      </c>
    </row>
    <row r="380" spans="1:10" ht="15" customHeight="1" x14ac:dyDescent="0.25">
      <c r="A380" t="s">
        <v>1209</v>
      </c>
      <c r="B380">
        <v>2023</v>
      </c>
      <c r="C380" t="s">
        <v>15</v>
      </c>
      <c r="D380" t="b">
        <f>TRUE()</f>
        <v>1</v>
      </c>
      <c r="E380" t="b">
        <f>COUNTIF(connections!A:A, A380) &gt; 0</f>
        <v>0</v>
      </c>
      <c r="G380" t="s">
        <v>1210</v>
      </c>
      <c r="H380" t="s">
        <v>70</v>
      </c>
      <c r="I380" t="s">
        <v>1211</v>
      </c>
      <c r="J380" s="1" t="s">
        <v>1212</v>
      </c>
    </row>
    <row r="381" spans="1:10" ht="15" customHeight="1" x14ac:dyDescent="0.25">
      <c r="A381" t="s">
        <v>1213</v>
      </c>
      <c r="B381">
        <v>2025</v>
      </c>
      <c r="C381" t="s">
        <v>18</v>
      </c>
      <c r="D381" t="b">
        <f>FALSE()</f>
        <v>0</v>
      </c>
      <c r="E381" t="b">
        <f>COUNTIF(connections!A:A, A381) &gt; 0</f>
        <v>0</v>
      </c>
      <c r="G381" t="s">
        <v>1214</v>
      </c>
    </row>
    <row r="382" spans="1:10" ht="15" customHeight="1" x14ac:dyDescent="0.25">
      <c r="A382" t="s">
        <v>1215</v>
      </c>
      <c r="B382">
        <v>2025</v>
      </c>
      <c r="C382" t="s">
        <v>15</v>
      </c>
      <c r="D382" t="b">
        <f>TRUE()</f>
        <v>1</v>
      </c>
      <c r="E382" t="b">
        <f>COUNTIF(connections!A:A, A382) &gt; 0</f>
        <v>0</v>
      </c>
      <c r="F382" t="s">
        <v>255</v>
      </c>
      <c r="G382" t="s">
        <v>1216</v>
      </c>
      <c r="H382" t="s">
        <v>70</v>
      </c>
      <c r="I382" t="s">
        <v>1217</v>
      </c>
      <c r="J382" s="1" t="s">
        <v>1218</v>
      </c>
    </row>
    <row r="383" spans="1:10" ht="15" customHeight="1" x14ac:dyDescent="0.25">
      <c r="A383" t="s">
        <v>1219</v>
      </c>
      <c r="B383">
        <v>2016</v>
      </c>
      <c r="C383" t="s">
        <v>18</v>
      </c>
      <c r="D383" t="b">
        <f>TRUE()</f>
        <v>1</v>
      </c>
      <c r="E383" t="b">
        <f>COUNTIF(connections!A:A, A383) &gt; 0</f>
        <v>1</v>
      </c>
      <c r="G383" t="s">
        <v>1220</v>
      </c>
      <c r="H383" t="s">
        <v>70</v>
      </c>
      <c r="I383" t="s">
        <v>1221</v>
      </c>
      <c r="J383" s="1" t="s">
        <v>1222</v>
      </c>
    </row>
    <row r="384" spans="1:10" ht="15" customHeight="1" x14ac:dyDescent="0.25">
      <c r="A384" t="s">
        <v>1223</v>
      </c>
      <c r="B384">
        <v>2023</v>
      </c>
      <c r="C384" t="s">
        <v>15</v>
      </c>
      <c r="D384" t="b">
        <f>TRUE()</f>
        <v>1</v>
      </c>
      <c r="E384" t="b">
        <f>COUNTIF(connections!A:A, A384) &gt; 0</f>
        <v>0</v>
      </c>
      <c r="F384" t="s">
        <v>374</v>
      </c>
      <c r="G384" t="s">
        <v>1224</v>
      </c>
      <c r="H384" t="s">
        <v>70</v>
      </c>
      <c r="I384" t="s">
        <v>1225</v>
      </c>
      <c r="J384" s="1" t="s">
        <v>806</v>
      </c>
    </row>
    <row r="385" spans="1:10" ht="15" customHeight="1" x14ac:dyDescent="0.25">
      <c r="A385" t="s">
        <v>1226</v>
      </c>
      <c r="B385">
        <v>2025</v>
      </c>
      <c r="C385" t="s">
        <v>18</v>
      </c>
      <c r="D385" t="b">
        <f>TRUE()</f>
        <v>1</v>
      </c>
      <c r="E385" t="b">
        <f>COUNTIF(connections!A:A, A385) &gt; 0</f>
        <v>0</v>
      </c>
      <c r="F385" t="s">
        <v>812</v>
      </c>
      <c r="G385" t="s">
        <v>1227</v>
      </c>
      <c r="H385" t="s">
        <v>70</v>
      </c>
      <c r="I385" t="s">
        <v>1228</v>
      </c>
      <c r="J385" s="1" t="s">
        <v>1229</v>
      </c>
    </row>
    <row r="386" spans="1:10" ht="15" customHeight="1" x14ac:dyDescent="0.25">
      <c r="A386" t="s">
        <v>1230</v>
      </c>
      <c r="B386">
        <v>2025</v>
      </c>
      <c r="C386" t="s">
        <v>22</v>
      </c>
      <c r="D386" t="b">
        <f>TRUE()</f>
        <v>1</v>
      </c>
      <c r="E386" t="b">
        <f>COUNTIF(connections!A:A, A386) &gt; 0</f>
        <v>0</v>
      </c>
      <c r="F386" t="s">
        <v>812</v>
      </c>
      <c r="G386" t="s">
        <v>1231</v>
      </c>
      <c r="H386" t="s">
        <v>70</v>
      </c>
      <c r="I386" t="s">
        <v>1232</v>
      </c>
      <c r="J386" s="1" t="s">
        <v>1233</v>
      </c>
    </row>
    <row r="387" spans="1:10" ht="15" customHeight="1" x14ac:dyDescent="0.25">
      <c r="A387" t="s">
        <v>1234</v>
      </c>
      <c r="B387">
        <v>2020</v>
      </c>
      <c r="C387" t="s">
        <v>22</v>
      </c>
      <c r="D387" t="b">
        <f>TRUE()</f>
        <v>1</v>
      </c>
      <c r="E387" t="b">
        <f>COUNTIF(connections!A:A, A387) &gt; 0</f>
        <v>0</v>
      </c>
      <c r="G387" t="s">
        <v>1235</v>
      </c>
    </row>
    <row r="388" spans="1:10" ht="15" customHeight="1" x14ac:dyDescent="0.25">
      <c r="A388" t="s">
        <v>1236</v>
      </c>
      <c r="B388">
        <v>2020</v>
      </c>
      <c r="C388" t="s">
        <v>26</v>
      </c>
      <c r="D388" t="b">
        <f>TRUE()</f>
        <v>1</v>
      </c>
      <c r="E388" t="b">
        <f>COUNTIF(connections!A:A, A388) &gt; 0</f>
        <v>0</v>
      </c>
      <c r="G388" t="s">
        <v>1237</v>
      </c>
    </row>
    <row r="389" spans="1:10" ht="15" customHeight="1" x14ac:dyDescent="0.25">
      <c r="A389" t="s">
        <v>1238</v>
      </c>
      <c r="B389">
        <v>2024</v>
      </c>
      <c r="C389" t="s">
        <v>15</v>
      </c>
      <c r="D389" t="b">
        <f>TRUE()</f>
        <v>1</v>
      </c>
      <c r="E389" t="b">
        <f>COUNTIF(connections!A:A, A389) &gt; 0</f>
        <v>0</v>
      </c>
      <c r="F389" t="s">
        <v>485</v>
      </c>
      <c r="G389" t="s">
        <v>1239</v>
      </c>
      <c r="H389" t="s">
        <v>70</v>
      </c>
      <c r="I389" t="s">
        <v>1240</v>
      </c>
      <c r="J389" s="1" t="s">
        <v>1241</v>
      </c>
    </row>
    <row r="390" spans="1:10" ht="15" customHeight="1" x14ac:dyDescent="0.25">
      <c r="A390" t="s">
        <v>1242</v>
      </c>
      <c r="B390">
        <v>2006</v>
      </c>
      <c r="C390" t="s">
        <v>26</v>
      </c>
      <c r="D390" t="b">
        <f>TRUE()</f>
        <v>1</v>
      </c>
      <c r="E390" t="b">
        <f>COUNTIF(connections!A:A, A390) &gt; 0</f>
        <v>0</v>
      </c>
      <c r="G390" t="s">
        <v>1243</v>
      </c>
      <c r="H390" t="s">
        <v>70</v>
      </c>
      <c r="I390" t="s">
        <v>1244</v>
      </c>
    </row>
    <row r="391" spans="1:10" ht="15" customHeight="1" x14ac:dyDescent="0.25">
      <c r="A391" t="s">
        <v>1245</v>
      </c>
      <c r="B391">
        <v>1986</v>
      </c>
      <c r="C391" t="s">
        <v>26</v>
      </c>
      <c r="D391" t="b">
        <f>TRUE()</f>
        <v>1</v>
      </c>
      <c r="E391" t="b">
        <f>COUNTIF(connections!A:A, A391) &gt; 0</f>
        <v>0</v>
      </c>
      <c r="G391" t="s">
        <v>1246</v>
      </c>
      <c r="H391" t="s">
        <v>70</v>
      </c>
      <c r="I391" t="s">
        <v>1247</v>
      </c>
    </row>
    <row r="392" spans="1:10" ht="15" customHeight="1" x14ac:dyDescent="0.25">
      <c r="A392" t="s">
        <v>1248</v>
      </c>
      <c r="B392">
        <v>2019</v>
      </c>
      <c r="C392" t="s">
        <v>18</v>
      </c>
      <c r="D392" t="b">
        <f>TRUE()</f>
        <v>1</v>
      </c>
      <c r="E392" t="b">
        <f>COUNTIF(connections!A:A, A392) &gt; 0</f>
        <v>0</v>
      </c>
      <c r="G392" t="s">
        <v>1249</v>
      </c>
      <c r="H392" t="s">
        <v>70</v>
      </c>
      <c r="I392" t="s">
        <v>1250</v>
      </c>
      <c r="J392" s="1" t="s">
        <v>1251</v>
      </c>
    </row>
    <row r="393" spans="1:10" ht="15" customHeight="1" x14ac:dyDescent="0.25">
      <c r="A393" t="s">
        <v>1252</v>
      </c>
      <c r="B393">
        <v>2024</v>
      </c>
      <c r="C393" t="s">
        <v>15</v>
      </c>
      <c r="D393" t="b">
        <f>TRUE()</f>
        <v>1</v>
      </c>
      <c r="E393" t="b">
        <f>COUNTIF(connections!A:A, A393) &gt; 0</f>
        <v>0</v>
      </c>
      <c r="F393" t="s">
        <v>139</v>
      </c>
      <c r="G393" t="s">
        <v>1253</v>
      </c>
    </row>
    <row r="394" spans="1:10" ht="15" customHeight="1" x14ac:dyDescent="0.25">
      <c r="A394" t="s">
        <v>1254</v>
      </c>
      <c r="B394">
        <v>2026</v>
      </c>
      <c r="C394" t="s">
        <v>22</v>
      </c>
      <c r="D394" t="b">
        <f>FALSE()</f>
        <v>0</v>
      </c>
      <c r="E394" t="b">
        <f>COUNTIF(connections!A:A, A394) &gt; 0</f>
        <v>0</v>
      </c>
      <c r="G394" t="s">
        <v>1255</v>
      </c>
    </row>
    <row r="395" spans="1:10" ht="15" customHeight="1" x14ac:dyDescent="0.25">
      <c r="A395" t="s">
        <v>1256</v>
      </c>
      <c r="B395">
        <v>2023</v>
      </c>
      <c r="C395" t="s">
        <v>18</v>
      </c>
      <c r="D395" t="b">
        <f>FALSE()</f>
        <v>0</v>
      </c>
      <c r="E395" t="b">
        <f>COUNTIF(connections!A:A, A395) &gt; 0</f>
        <v>0</v>
      </c>
      <c r="G395" t="s">
        <v>1257</v>
      </c>
      <c r="H395" t="s">
        <v>70</v>
      </c>
      <c r="I395" t="s">
        <v>1258</v>
      </c>
      <c r="J395" s="1" t="s">
        <v>1259</v>
      </c>
    </row>
    <row r="396" spans="1:10" ht="15" customHeight="1" x14ac:dyDescent="0.25">
      <c r="A396" t="s">
        <v>1260</v>
      </c>
      <c r="B396">
        <v>1995</v>
      </c>
      <c r="C396" t="s">
        <v>26</v>
      </c>
      <c r="D396" t="b">
        <f>TRUE()</f>
        <v>1</v>
      </c>
      <c r="E396" t="b">
        <f>COUNTIF(connections!A:A, A396) &gt; 0</f>
        <v>1</v>
      </c>
      <c r="G396" t="s">
        <v>1261</v>
      </c>
      <c r="H396" t="s">
        <v>70</v>
      </c>
      <c r="I396" t="s">
        <v>1262</v>
      </c>
    </row>
    <row r="397" spans="1:10" ht="15" customHeight="1" x14ac:dyDescent="0.25">
      <c r="A397" t="s">
        <v>1263</v>
      </c>
      <c r="B397">
        <v>2023</v>
      </c>
      <c r="C397" t="s">
        <v>15</v>
      </c>
      <c r="D397" t="b">
        <f>TRUE()</f>
        <v>1</v>
      </c>
      <c r="E397" t="b">
        <f>COUNTIF(connections!A:A, A397) &gt; 0</f>
        <v>0</v>
      </c>
      <c r="G397" t="s">
        <v>1264</v>
      </c>
      <c r="H397" t="s">
        <v>70</v>
      </c>
      <c r="I397" t="s">
        <v>1265</v>
      </c>
      <c r="J397" s="1" t="s">
        <v>1266</v>
      </c>
    </row>
    <row r="398" spans="1:10" ht="15" customHeight="1" x14ac:dyDescent="0.25">
      <c r="A398" t="s">
        <v>1267</v>
      </c>
      <c r="B398">
        <v>2024</v>
      </c>
      <c r="C398" t="s">
        <v>18</v>
      </c>
      <c r="D398" t="b">
        <f>TRUE()</f>
        <v>1</v>
      </c>
      <c r="E398" t="b">
        <f>COUNTIF(connections!A:A, A398) &gt; 0</f>
        <v>0</v>
      </c>
      <c r="F398" t="s">
        <v>149</v>
      </c>
      <c r="G398" t="s">
        <v>1268</v>
      </c>
      <c r="H398" t="s">
        <v>70</v>
      </c>
      <c r="I398" t="s">
        <v>1269</v>
      </c>
      <c r="J398" s="1" t="s">
        <v>1270</v>
      </c>
    </row>
    <row r="399" spans="1:10" ht="15" customHeight="1" x14ac:dyDescent="0.25">
      <c r="A399" t="s">
        <v>1271</v>
      </c>
      <c r="B399">
        <v>2021</v>
      </c>
      <c r="C399" t="s">
        <v>18</v>
      </c>
      <c r="D399" t="b">
        <f>TRUE()</f>
        <v>1</v>
      </c>
      <c r="E399" t="b">
        <f>COUNTIF(connections!A:A, A399) &gt; 0</f>
        <v>1</v>
      </c>
      <c r="G399" t="s">
        <v>1272</v>
      </c>
      <c r="H399" t="s">
        <v>70</v>
      </c>
      <c r="I399" t="s">
        <v>1273</v>
      </c>
      <c r="J399" s="1" t="s">
        <v>1274</v>
      </c>
    </row>
    <row r="400" spans="1:10" ht="15" customHeight="1" x14ac:dyDescent="0.25">
      <c r="A400" t="s">
        <v>1275</v>
      </c>
      <c r="B400">
        <v>2017</v>
      </c>
      <c r="C400" t="s">
        <v>18</v>
      </c>
      <c r="D400" t="b">
        <f>TRUE()</f>
        <v>1</v>
      </c>
      <c r="E400" t="b">
        <f>COUNTIF(connections!A:A, A400) &gt; 0</f>
        <v>0</v>
      </c>
      <c r="G400" t="s">
        <v>1276</v>
      </c>
    </row>
    <row r="401" spans="1:10" ht="15" customHeight="1" x14ac:dyDescent="0.25">
      <c r="A401" t="s">
        <v>1277</v>
      </c>
      <c r="B401">
        <v>2022</v>
      </c>
      <c r="C401" t="s">
        <v>18</v>
      </c>
      <c r="D401" t="b">
        <f>FALSE()</f>
        <v>0</v>
      </c>
      <c r="E401" t="b">
        <f>COUNTIF(connections!A:A, A401) &gt; 0</f>
        <v>0</v>
      </c>
      <c r="F401" t="s">
        <v>485</v>
      </c>
      <c r="G401" t="s">
        <v>1278</v>
      </c>
      <c r="H401" t="s">
        <v>70</v>
      </c>
      <c r="I401" t="s">
        <v>1279</v>
      </c>
      <c r="J401" s="1" t="s">
        <v>1280</v>
      </c>
    </row>
    <row r="402" spans="1:10" ht="15" customHeight="1" x14ac:dyDescent="0.25">
      <c r="A402" t="s">
        <v>1281</v>
      </c>
      <c r="B402">
        <v>2025</v>
      </c>
      <c r="C402" t="s">
        <v>18</v>
      </c>
      <c r="D402" t="b">
        <f>TRUE()</f>
        <v>1</v>
      </c>
      <c r="E402" t="b">
        <f>COUNTIF(connections!A:A, A402) &gt; 0</f>
        <v>0</v>
      </c>
      <c r="G402" t="s">
        <v>1282</v>
      </c>
    </row>
    <row r="403" spans="1:10" ht="15" customHeight="1" x14ac:dyDescent="0.25">
      <c r="A403" t="s">
        <v>1283</v>
      </c>
      <c r="B403">
        <v>2026</v>
      </c>
      <c r="C403" t="s">
        <v>15</v>
      </c>
      <c r="D403" t="b">
        <f>TRUE()</f>
        <v>1</v>
      </c>
      <c r="E403" t="b">
        <f>COUNTIF(connections!A:A, A403) &gt; 0</f>
        <v>0</v>
      </c>
      <c r="G403" t="s">
        <v>1284</v>
      </c>
    </row>
    <row r="404" spans="1:10" ht="15" customHeight="1" x14ac:dyDescent="0.25">
      <c r="A404" t="s">
        <v>1285</v>
      </c>
      <c r="B404">
        <v>2019</v>
      </c>
      <c r="C404" t="s">
        <v>26</v>
      </c>
      <c r="D404" t="b">
        <f>TRUE()</f>
        <v>1</v>
      </c>
      <c r="E404" t="b">
        <f>COUNTIF(connections!A:A, A404) &gt; 0</f>
        <v>0</v>
      </c>
      <c r="G404" t="s">
        <v>1286</v>
      </c>
    </row>
    <row r="405" spans="1:10" ht="15" customHeight="1" x14ac:dyDescent="0.25">
      <c r="A405" t="s">
        <v>6624</v>
      </c>
      <c r="B405">
        <v>2023</v>
      </c>
      <c r="C405" t="s">
        <v>22</v>
      </c>
      <c r="D405" t="b">
        <f>TRUE()</f>
        <v>1</v>
      </c>
      <c r="E405" t="b">
        <f>COUNTIF(connections!A:A, A405) &gt; 0</f>
        <v>1</v>
      </c>
      <c r="G405" t="s">
        <v>6625</v>
      </c>
      <c r="J405" s="11" t="s">
        <v>6626</v>
      </c>
    </row>
    <row r="406" spans="1:10" ht="15" customHeight="1" x14ac:dyDescent="0.25">
      <c r="A406" t="s">
        <v>1287</v>
      </c>
      <c r="B406">
        <v>2022</v>
      </c>
      <c r="C406" t="s">
        <v>22</v>
      </c>
      <c r="D406" t="b">
        <f>TRUE()</f>
        <v>1</v>
      </c>
      <c r="E406" t="b">
        <f>COUNTIF(connections!A:A, A406) &gt; 0</f>
        <v>0</v>
      </c>
      <c r="G406" t="s">
        <v>1288</v>
      </c>
    </row>
    <row r="407" spans="1:10" ht="15" customHeight="1" x14ac:dyDescent="0.25">
      <c r="A407" t="s">
        <v>1289</v>
      </c>
      <c r="B407">
        <v>2025</v>
      </c>
      <c r="C407" t="s">
        <v>15</v>
      </c>
      <c r="D407" t="b">
        <f>TRUE()</f>
        <v>1</v>
      </c>
      <c r="E407" t="b">
        <f>COUNTIF(connections!A:A, A407) &gt; 0</f>
        <v>0</v>
      </c>
      <c r="G407" t="s">
        <v>1290</v>
      </c>
    </row>
    <row r="408" spans="1:10" ht="15" customHeight="1" x14ac:dyDescent="0.25">
      <c r="A408" t="s">
        <v>1291</v>
      </c>
      <c r="B408">
        <v>2001</v>
      </c>
      <c r="C408" t="s">
        <v>26</v>
      </c>
      <c r="D408" t="b">
        <f>TRUE()</f>
        <v>1</v>
      </c>
      <c r="E408" t="b">
        <f>COUNTIF(connections!A:A, A408) &gt; 0</f>
        <v>1</v>
      </c>
      <c r="G408" t="s">
        <v>1292</v>
      </c>
    </row>
    <row r="409" spans="1:10" ht="15" customHeight="1" x14ac:dyDescent="0.25">
      <c r="A409" t="s">
        <v>1293</v>
      </c>
      <c r="B409">
        <v>2024</v>
      </c>
      <c r="C409" t="s">
        <v>22</v>
      </c>
      <c r="D409" t="b">
        <f>TRUE()</f>
        <v>1</v>
      </c>
      <c r="E409" t="b">
        <f>COUNTIF(connections!A:A, A409) &gt; 0</f>
        <v>0</v>
      </c>
      <c r="G409" t="s">
        <v>1294</v>
      </c>
    </row>
    <row r="410" spans="1:10" ht="15" customHeight="1" x14ac:dyDescent="0.25">
      <c r="A410" t="s">
        <v>1295</v>
      </c>
      <c r="B410">
        <v>2021</v>
      </c>
      <c r="C410" t="s">
        <v>22</v>
      </c>
      <c r="D410" t="b">
        <f>TRUE()</f>
        <v>1</v>
      </c>
      <c r="E410" t="b">
        <f>COUNTIF(connections!A:A, A410) &gt; 0</f>
        <v>1</v>
      </c>
      <c r="F410" t="s">
        <v>214</v>
      </c>
      <c r="G410" t="s">
        <v>1296</v>
      </c>
      <c r="H410" t="s">
        <v>70</v>
      </c>
      <c r="I410" t="s">
        <v>1297</v>
      </c>
      <c r="J410" s="1" t="s">
        <v>1298</v>
      </c>
    </row>
    <row r="411" spans="1:10" ht="15" customHeight="1" x14ac:dyDescent="0.25">
      <c r="A411" t="s">
        <v>1299</v>
      </c>
      <c r="B411">
        <v>2023</v>
      </c>
      <c r="C411" t="s">
        <v>22</v>
      </c>
      <c r="D411" t="b">
        <f>TRUE()</f>
        <v>1</v>
      </c>
      <c r="E411" t="b">
        <f>COUNTIF(connections!A:A, A411) &gt; 0</f>
        <v>0</v>
      </c>
      <c r="F411" t="s">
        <v>214</v>
      </c>
      <c r="G411" t="s">
        <v>1300</v>
      </c>
      <c r="H411" t="s">
        <v>70</v>
      </c>
      <c r="I411" t="s">
        <v>1301</v>
      </c>
      <c r="J411" s="1" t="s">
        <v>1302</v>
      </c>
    </row>
    <row r="412" spans="1:10" ht="15" customHeight="1" x14ac:dyDescent="0.25">
      <c r="A412" t="s">
        <v>1303</v>
      </c>
      <c r="B412">
        <v>2026</v>
      </c>
      <c r="C412" t="s">
        <v>18</v>
      </c>
      <c r="D412" t="b">
        <f>TRUE()</f>
        <v>1</v>
      </c>
      <c r="E412" t="b">
        <f>COUNTIF(connections!A:A, A412) &gt; 0</f>
        <v>0</v>
      </c>
      <c r="F412" t="s">
        <v>139</v>
      </c>
      <c r="G412" t="s">
        <v>1304</v>
      </c>
    </row>
    <row r="413" spans="1:10" ht="15" customHeight="1" x14ac:dyDescent="0.25">
      <c r="A413" t="s">
        <v>1305</v>
      </c>
      <c r="B413">
        <v>2026</v>
      </c>
      <c r="C413" t="s">
        <v>15</v>
      </c>
      <c r="D413" t="b">
        <f>FALSE()</f>
        <v>0</v>
      </c>
      <c r="E413" t="b">
        <f>COUNTIF(connections!A:A, A413) &gt; 0</f>
        <v>0</v>
      </c>
      <c r="G413" t="s">
        <v>1306</v>
      </c>
      <c r="J413" s="1" t="s">
        <v>1307</v>
      </c>
    </row>
    <row r="414" spans="1:10" ht="15" customHeight="1" x14ac:dyDescent="0.25">
      <c r="A414" t="s">
        <v>1308</v>
      </c>
      <c r="B414">
        <v>2019</v>
      </c>
      <c r="C414" t="s">
        <v>15</v>
      </c>
      <c r="D414" t="b">
        <f>TRUE()</f>
        <v>1</v>
      </c>
      <c r="E414" t="b">
        <f>COUNTIF(connections!A:A, A414) &gt; 0</f>
        <v>1</v>
      </c>
      <c r="G414" t="s">
        <v>1309</v>
      </c>
    </row>
    <row r="415" spans="1:10" ht="15" customHeight="1" x14ac:dyDescent="0.25">
      <c r="A415" t="s">
        <v>1310</v>
      </c>
      <c r="B415">
        <v>2023</v>
      </c>
      <c r="C415" t="s">
        <v>15</v>
      </c>
      <c r="D415" t="b">
        <f>TRUE()</f>
        <v>1</v>
      </c>
      <c r="E415" t="b">
        <f>COUNTIF(connections!A:A, A415) &gt; 0</f>
        <v>1</v>
      </c>
      <c r="G415" t="s">
        <v>1311</v>
      </c>
    </row>
    <row r="416" spans="1:10" ht="15" customHeight="1" x14ac:dyDescent="0.25">
      <c r="A416" t="s">
        <v>1312</v>
      </c>
      <c r="B416">
        <v>2025</v>
      </c>
      <c r="C416" t="s">
        <v>15</v>
      </c>
      <c r="D416" t="b">
        <f>TRUE()</f>
        <v>1</v>
      </c>
      <c r="E416" t="b">
        <f>COUNTIF(connections!A:A, A416) &gt; 0</f>
        <v>0</v>
      </c>
      <c r="G416" t="s">
        <v>1313</v>
      </c>
    </row>
    <row r="417" spans="1:10" ht="15" customHeight="1" x14ac:dyDescent="0.25">
      <c r="A417" t="s">
        <v>1314</v>
      </c>
      <c r="B417">
        <v>2020</v>
      </c>
      <c r="C417" t="s">
        <v>26</v>
      </c>
      <c r="D417" t="b">
        <f>TRUE()</f>
        <v>1</v>
      </c>
      <c r="E417" t="b">
        <f>COUNTIF(connections!A:A, A417) &gt; 0</f>
        <v>0</v>
      </c>
      <c r="G417" t="s">
        <v>1315</v>
      </c>
      <c r="H417" t="s">
        <v>70</v>
      </c>
      <c r="I417" t="s">
        <v>1316</v>
      </c>
      <c r="J417" s="1" t="s">
        <v>1317</v>
      </c>
    </row>
    <row r="418" spans="1:10" ht="15" customHeight="1" x14ac:dyDescent="0.25">
      <c r="A418" t="s">
        <v>1318</v>
      </c>
      <c r="B418">
        <v>2018</v>
      </c>
      <c r="C418" t="s">
        <v>15</v>
      </c>
      <c r="D418" t="b">
        <f>TRUE()</f>
        <v>1</v>
      </c>
      <c r="E418" t="b">
        <f>COUNTIF(connections!A:A, A418) &gt; 0</f>
        <v>0</v>
      </c>
      <c r="G418" t="s">
        <v>1319</v>
      </c>
      <c r="H418" t="s">
        <v>70</v>
      </c>
      <c r="I418" t="s">
        <v>1320</v>
      </c>
      <c r="J418" s="1" t="s">
        <v>1321</v>
      </c>
    </row>
    <row r="419" spans="1:10" ht="15" customHeight="1" x14ac:dyDescent="0.25">
      <c r="A419" t="s">
        <v>6711</v>
      </c>
      <c r="B419">
        <v>2025</v>
      </c>
      <c r="C419" t="s">
        <v>15</v>
      </c>
      <c r="D419" t="b">
        <f>TRUE()</f>
        <v>1</v>
      </c>
      <c r="E419" t="b">
        <f>COUNTIF(connections!A:A, A419) &gt; 0</f>
        <v>0</v>
      </c>
      <c r="G419" t="s">
        <v>6712</v>
      </c>
      <c r="J419" s="11" t="s">
        <v>6710</v>
      </c>
    </row>
    <row r="420" spans="1:10" ht="15" customHeight="1" x14ac:dyDescent="0.25">
      <c r="A420" t="s">
        <v>6632</v>
      </c>
      <c r="B420">
        <v>2026</v>
      </c>
      <c r="C420" t="s">
        <v>22</v>
      </c>
      <c r="D420" t="b">
        <f>TRUE()</f>
        <v>1</v>
      </c>
      <c r="E420" t="b">
        <f>COUNTIF(connections!A:A, A420) &gt; 0</f>
        <v>0</v>
      </c>
      <c r="G420" t="s">
        <v>6633</v>
      </c>
      <c r="J420" s="11" t="s">
        <v>6634</v>
      </c>
    </row>
    <row r="421" spans="1:10" ht="15" customHeight="1" x14ac:dyDescent="0.25">
      <c r="A421" t="s">
        <v>1322</v>
      </c>
      <c r="B421">
        <v>2025</v>
      </c>
      <c r="C421" t="s">
        <v>15</v>
      </c>
      <c r="D421" t="b">
        <f>TRUE()</f>
        <v>1</v>
      </c>
      <c r="E421" t="b">
        <f>COUNTIF(connections!A:A, A421) &gt; 0</f>
        <v>0</v>
      </c>
      <c r="G421" t="s">
        <v>1323</v>
      </c>
      <c r="H421" t="s">
        <v>70</v>
      </c>
      <c r="I421" t="s">
        <v>1324</v>
      </c>
      <c r="J421" s="1" t="s">
        <v>1325</v>
      </c>
    </row>
    <row r="422" spans="1:10" ht="15" customHeight="1" x14ac:dyDescent="0.25">
      <c r="A422" t="s">
        <v>1326</v>
      </c>
      <c r="B422">
        <v>2022</v>
      </c>
      <c r="C422" t="s">
        <v>18</v>
      </c>
      <c r="D422" t="b">
        <f>FALSE()</f>
        <v>0</v>
      </c>
      <c r="E422" t="b">
        <f>COUNTIF(connections!A:A, A422) &gt; 0</f>
        <v>0</v>
      </c>
      <c r="G422" t="s">
        <v>1327</v>
      </c>
      <c r="H422" t="s">
        <v>70</v>
      </c>
      <c r="I422" t="s">
        <v>1328</v>
      </c>
      <c r="J422" s="1" t="s">
        <v>1329</v>
      </c>
    </row>
    <row r="423" spans="1:10" ht="15" customHeight="1" x14ac:dyDescent="0.25">
      <c r="A423" t="s">
        <v>1330</v>
      </c>
      <c r="B423">
        <v>2025</v>
      </c>
      <c r="C423" t="s">
        <v>15</v>
      </c>
      <c r="D423" t="b">
        <f>TRUE()</f>
        <v>1</v>
      </c>
      <c r="E423" t="b">
        <f>COUNTIF(connections!A:A, A423) &gt; 0</f>
        <v>0</v>
      </c>
      <c r="G423" t="s">
        <v>1331</v>
      </c>
      <c r="H423" t="s">
        <v>70</v>
      </c>
      <c r="I423" t="s">
        <v>1332</v>
      </c>
      <c r="J423" s="1" t="s">
        <v>1333</v>
      </c>
    </row>
    <row r="424" spans="1:10" ht="16.5" customHeight="1" x14ac:dyDescent="0.25">
      <c r="A424" t="s">
        <v>1334</v>
      </c>
      <c r="B424">
        <v>2024</v>
      </c>
      <c r="C424" t="s">
        <v>22</v>
      </c>
      <c r="D424" t="b">
        <f>TRUE()</f>
        <v>1</v>
      </c>
      <c r="E424" t="b">
        <f>COUNTIF(connections!A:A, A424) &gt; 0</f>
        <v>0</v>
      </c>
      <c r="G424" t="s">
        <v>1335</v>
      </c>
    </row>
    <row r="425" spans="1:10" ht="15" customHeight="1" x14ac:dyDescent="0.25">
      <c r="A425" t="s">
        <v>1336</v>
      </c>
      <c r="B425">
        <v>2024</v>
      </c>
      <c r="C425" t="s">
        <v>22</v>
      </c>
      <c r="D425" t="b">
        <f>TRUE()</f>
        <v>1</v>
      </c>
      <c r="E425" t="b">
        <f>COUNTIF(connections!A:A, A425) &gt; 0</f>
        <v>0</v>
      </c>
      <c r="G425" t="s">
        <v>1337</v>
      </c>
      <c r="H425" t="s">
        <v>70</v>
      </c>
      <c r="I425" t="s">
        <v>1338</v>
      </c>
      <c r="J425" s="1" t="s">
        <v>1339</v>
      </c>
    </row>
    <row r="426" spans="1:10" ht="15" customHeight="1" x14ac:dyDescent="0.25">
      <c r="A426" t="s">
        <v>1340</v>
      </c>
      <c r="B426">
        <v>2026</v>
      </c>
      <c r="C426" t="s">
        <v>22</v>
      </c>
      <c r="D426" t="b">
        <f>TRUE()</f>
        <v>1</v>
      </c>
      <c r="E426" t="b">
        <f>COUNTIF(connections!A:A, A426) &gt; 0</f>
        <v>0</v>
      </c>
      <c r="G426" t="s">
        <v>1341</v>
      </c>
    </row>
    <row r="427" spans="1:10" ht="15" customHeight="1" x14ac:dyDescent="0.25">
      <c r="A427" t="s">
        <v>1342</v>
      </c>
      <c r="B427">
        <v>2025</v>
      </c>
      <c r="C427" t="s">
        <v>22</v>
      </c>
      <c r="D427" t="b">
        <f>TRUE()</f>
        <v>1</v>
      </c>
      <c r="E427" t="b">
        <f>COUNTIF(connections!A:A, A427) &gt; 0</f>
        <v>0</v>
      </c>
      <c r="G427" t="s">
        <v>1343</v>
      </c>
      <c r="H427" t="s">
        <v>70</v>
      </c>
      <c r="I427" t="s">
        <v>1344</v>
      </c>
      <c r="J427" s="1" t="s">
        <v>1345</v>
      </c>
    </row>
    <row r="428" spans="1:10" ht="15" customHeight="1" x14ac:dyDescent="0.25">
      <c r="A428" t="s">
        <v>1346</v>
      </c>
      <c r="B428">
        <v>2024</v>
      </c>
      <c r="C428" t="s">
        <v>18</v>
      </c>
      <c r="D428" t="b">
        <f>TRUE()</f>
        <v>1</v>
      </c>
      <c r="E428" t="b">
        <f>COUNTIF(connections!A:A, A428) &gt; 0</f>
        <v>0</v>
      </c>
      <c r="G428" t="s">
        <v>1347</v>
      </c>
      <c r="H428" t="s">
        <v>70</v>
      </c>
      <c r="I428" t="s">
        <v>1348</v>
      </c>
      <c r="J428" s="1" t="s">
        <v>1349</v>
      </c>
    </row>
    <row r="429" spans="1:10" ht="15" customHeight="1" x14ac:dyDescent="0.25">
      <c r="A429" t="s">
        <v>1350</v>
      </c>
      <c r="B429">
        <v>2020</v>
      </c>
      <c r="C429" t="s">
        <v>15</v>
      </c>
      <c r="D429" t="b">
        <f>TRUE()</f>
        <v>1</v>
      </c>
      <c r="E429" t="b">
        <f>COUNTIF(connections!A:A, A429) &gt; 0</f>
        <v>0</v>
      </c>
      <c r="G429" t="s">
        <v>1351</v>
      </c>
      <c r="H429" t="s">
        <v>70</v>
      </c>
      <c r="I429" t="s">
        <v>1352</v>
      </c>
      <c r="J429" s="1" t="s">
        <v>1353</v>
      </c>
    </row>
    <row r="430" spans="1:10" ht="15" customHeight="1" x14ac:dyDescent="0.25">
      <c r="A430" t="s">
        <v>1354</v>
      </c>
      <c r="B430">
        <v>2021</v>
      </c>
      <c r="C430" t="s">
        <v>15</v>
      </c>
      <c r="D430" t="b">
        <f>FALSE()</f>
        <v>0</v>
      </c>
      <c r="E430" t="b">
        <f>COUNTIF(connections!A:A, A430) &gt; 0</f>
        <v>0</v>
      </c>
      <c r="G430" t="s">
        <v>1355</v>
      </c>
      <c r="H430" t="s">
        <v>70</v>
      </c>
      <c r="I430" t="s">
        <v>1356</v>
      </c>
      <c r="J430" s="1" t="s">
        <v>1357</v>
      </c>
    </row>
    <row r="431" spans="1:10" ht="15" customHeight="1" x14ac:dyDescent="0.25">
      <c r="A431" t="s">
        <v>1358</v>
      </c>
      <c r="B431">
        <v>2026</v>
      </c>
      <c r="C431" t="s">
        <v>18</v>
      </c>
      <c r="D431" t="b">
        <f>TRUE()</f>
        <v>1</v>
      </c>
      <c r="E431" t="b">
        <f>COUNTIF(connections!A:A, A431) &gt; 0</f>
        <v>0</v>
      </c>
      <c r="F431" t="s">
        <v>374</v>
      </c>
      <c r="G431" t="s">
        <v>1359</v>
      </c>
      <c r="H431" t="s">
        <v>70</v>
      </c>
      <c r="I431" t="s">
        <v>1360</v>
      </c>
      <c r="J431" s="1" t="s">
        <v>1361</v>
      </c>
    </row>
    <row r="432" spans="1:10" ht="15" customHeight="1" x14ac:dyDescent="0.25">
      <c r="A432" t="s">
        <v>1362</v>
      </c>
      <c r="B432">
        <v>2025</v>
      </c>
      <c r="C432" t="s">
        <v>15</v>
      </c>
      <c r="D432" t="b">
        <f>FALSE()</f>
        <v>0</v>
      </c>
      <c r="E432" t="b">
        <f>COUNTIF(connections!A:A, A432) &gt; 0</f>
        <v>0</v>
      </c>
      <c r="G432" t="s">
        <v>1363</v>
      </c>
    </row>
    <row r="433" spans="1:10" ht="15" customHeight="1" x14ac:dyDescent="0.25">
      <c r="A433" t="s">
        <v>1364</v>
      </c>
      <c r="B433">
        <v>2024</v>
      </c>
      <c r="C433" t="s">
        <v>18</v>
      </c>
      <c r="D433" t="b">
        <f>FALSE()</f>
        <v>0</v>
      </c>
      <c r="E433" t="b">
        <f>COUNTIF(connections!A:A, A433) &gt; 0</f>
        <v>1</v>
      </c>
      <c r="G433" t="s">
        <v>1365</v>
      </c>
      <c r="H433" t="s">
        <v>70</v>
      </c>
      <c r="I433" t="s">
        <v>1366</v>
      </c>
      <c r="J433" s="1" t="s">
        <v>1367</v>
      </c>
    </row>
    <row r="434" spans="1:10" ht="15" customHeight="1" x14ac:dyDescent="0.25">
      <c r="A434" t="s">
        <v>6524</v>
      </c>
      <c r="B434">
        <v>2012</v>
      </c>
      <c r="C434" t="s">
        <v>26</v>
      </c>
      <c r="D434" t="b">
        <f>TRUE()</f>
        <v>1</v>
      </c>
      <c r="E434" t="b">
        <f>COUNTIF(connections!A:A, A434) &gt; 0</f>
        <v>1</v>
      </c>
      <c r="F434" t="s">
        <v>6526</v>
      </c>
      <c r="G434" t="s">
        <v>6525</v>
      </c>
    </row>
    <row r="435" spans="1:10" ht="15" customHeight="1" x14ac:dyDescent="0.25">
      <c r="A435" t="s">
        <v>6522</v>
      </c>
      <c r="B435">
        <v>2011</v>
      </c>
      <c r="C435" t="s">
        <v>26</v>
      </c>
      <c r="D435" t="b">
        <f>TRUE()</f>
        <v>1</v>
      </c>
      <c r="E435" t="b">
        <f>COUNTIF(connections!A:A, A435) &gt; 0</f>
        <v>1</v>
      </c>
      <c r="F435" t="s">
        <v>6526</v>
      </c>
      <c r="G435" t="s">
        <v>6523</v>
      </c>
    </row>
    <row r="436" spans="1:10" ht="15" customHeight="1" x14ac:dyDescent="0.25">
      <c r="A436" t="s">
        <v>1368</v>
      </c>
      <c r="B436">
        <v>1987</v>
      </c>
      <c r="C436" t="s">
        <v>26</v>
      </c>
      <c r="D436" t="b">
        <v>1</v>
      </c>
      <c r="E436" t="b">
        <f>COUNTIF(connections!A:A, A436) &gt; 0</f>
        <v>0</v>
      </c>
      <c r="G436" t="s">
        <v>1369</v>
      </c>
      <c r="H436" t="s">
        <v>70</v>
      </c>
      <c r="I436" t="s">
        <v>1370</v>
      </c>
    </row>
    <row r="437" spans="1:10" ht="15" customHeight="1" x14ac:dyDescent="0.25">
      <c r="A437" t="s">
        <v>1371</v>
      </c>
      <c r="B437">
        <v>2023</v>
      </c>
      <c r="C437" t="s">
        <v>15</v>
      </c>
      <c r="D437" t="b">
        <f>TRUE()</f>
        <v>1</v>
      </c>
      <c r="E437" t="b">
        <f>COUNTIF(connections!A:A, A437) &gt; 0</f>
        <v>0</v>
      </c>
      <c r="G437" t="s">
        <v>1372</v>
      </c>
      <c r="H437" t="s">
        <v>70</v>
      </c>
      <c r="I437" t="s">
        <v>1373</v>
      </c>
      <c r="J437" s="1" t="s">
        <v>1374</v>
      </c>
    </row>
    <row r="438" spans="1:10" ht="15" customHeight="1" x14ac:dyDescent="0.25">
      <c r="A438" t="s">
        <v>1375</v>
      </c>
      <c r="B438">
        <v>2022</v>
      </c>
      <c r="C438" t="s">
        <v>15</v>
      </c>
      <c r="D438" t="b">
        <f>TRUE()</f>
        <v>1</v>
      </c>
      <c r="E438" t="b">
        <f>COUNTIF(connections!A:A, A438) &gt; 0</f>
        <v>0</v>
      </c>
      <c r="G438" t="s">
        <v>1376</v>
      </c>
    </row>
    <row r="439" spans="1:10" ht="15" customHeight="1" x14ac:dyDescent="0.25">
      <c r="A439" t="s">
        <v>1377</v>
      </c>
      <c r="B439">
        <v>2021</v>
      </c>
      <c r="C439" t="s">
        <v>22</v>
      </c>
      <c r="D439" t="b">
        <f>TRUE()</f>
        <v>1</v>
      </c>
      <c r="E439" t="b">
        <f>COUNTIF(connections!A:A, A439) &gt; 0</f>
        <v>0</v>
      </c>
      <c r="G439" t="s">
        <v>1378</v>
      </c>
      <c r="H439" t="s">
        <v>70</v>
      </c>
      <c r="I439" t="s">
        <v>1379</v>
      </c>
      <c r="J439" s="1" t="s">
        <v>1380</v>
      </c>
    </row>
    <row r="440" spans="1:10" ht="15" customHeight="1" x14ac:dyDescent="0.25">
      <c r="A440" t="s">
        <v>6479</v>
      </c>
      <c r="B440">
        <v>2002</v>
      </c>
      <c r="C440" t="s">
        <v>26</v>
      </c>
      <c r="D440" t="b">
        <f>TRUE()</f>
        <v>1</v>
      </c>
      <c r="E440" t="b">
        <f>COUNTIF(connections!A:A, A440) &gt; 0</f>
        <v>1</v>
      </c>
      <c r="G440" t="s">
        <v>6480</v>
      </c>
    </row>
    <row r="441" spans="1:10" ht="15" customHeight="1" x14ac:dyDescent="0.25">
      <c r="A441" t="s">
        <v>6481</v>
      </c>
      <c r="B441">
        <v>2003</v>
      </c>
      <c r="C441" t="s">
        <v>26</v>
      </c>
      <c r="D441" t="b">
        <f>TRUE()</f>
        <v>1</v>
      </c>
      <c r="E441" t="b">
        <f>COUNTIF(connections!A:A, A441) &gt; 0</f>
        <v>0</v>
      </c>
      <c r="G441" t="s">
        <v>6482</v>
      </c>
    </row>
    <row r="442" spans="1:10" ht="15" customHeight="1" x14ac:dyDescent="0.25">
      <c r="A442" t="s">
        <v>1381</v>
      </c>
      <c r="B442">
        <v>2020</v>
      </c>
      <c r="C442" t="s">
        <v>26</v>
      </c>
      <c r="D442" t="b">
        <f>TRUE()</f>
        <v>1</v>
      </c>
      <c r="E442" t="b">
        <f>COUNTIF(connections!A:A, A442) &gt; 0</f>
        <v>1</v>
      </c>
      <c r="G442" t="s">
        <v>1382</v>
      </c>
    </row>
    <row r="443" spans="1:10" ht="15" customHeight="1" x14ac:dyDescent="0.25">
      <c r="A443" t="s">
        <v>1383</v>
      </c>
      <c r="B443">
        <v>2022</v>
      </c>
      <c r="C443" t="s">
        <v>26</v>
      </c>
      <c r="D443" t="b">
        <f>TRUE()</f>
        <v>1</v>
      </c>
      <c r="E443" t="b">
        <f>COUNTIF(connections!A:A, A443) &gt; 0</f>
        <v>0</v>
      </c>
      <c r="G443" t="s">
        <v>1384</v>
      </c>
    </row>
    <row r="444" spans="1:10" ht="15" customHeight="1" x14ac:dyDescent="0.25">
      <c r="A444" t="s">
        <v>1385</v>
      </c>
      <c r="B444">
        <v>2017</v>
      </c>
      <c r="C444" t="s">
        <v>22</v>
      </c>
      <c r="D444" t="b">
        <f>TRUE()</f>
        <v>1</v>
      </c>
      <c r="E444" t="b">
        <f>COUNTIF(connections!A:A, A444) &gt; 0</f>
        <v>1</v>
      </c>
      <c r="G444" t="s">
        <v>1386</v>
      </c>
      <c r="H444" t="s">
        <v>70</v>
      </c>
      <c r="I444" t="s">
        <v>1387</v>
      </c>
      <c r="J444" s="1" t="s">
        <v>1388</v>
      </c>
    </row>
    <row r="445" spans="1:10" ht="15" customHeight="1" x14ac:dyDescent="0.25">
      <c r="A445" t="s">
        <v>1389</v>
      </c>
      <c r="B445">
        <v>2020</v>
      </c>
      <c r="C445" t="s">
        <v>22</v>
      </c>
      <c r="D445" t="b">
        <f>TRUE()</f>
        <v>1</v>
      </c>
      <c r="E445" t="b">
        <f>COUNTIF(connections!A:A, A445) &gt; 0</f>
        <v>1</v>
      </c>
      <c r="G445" t="s">
        <v>1390</v>
      </c>
      <c r="H445" t="s">
        <v>70</v>
      </c>
      <c r="I445" t="s">
        <v>1391</v>
      </c>
      <c r="J445" s="1" t="s">
        <v>1392</v>
      </c>
    </row>
    <row r="446" spans="1:10" ht="15" customHeight="1" x14ac:dyDescent="0.25">
      <c r="A446" t="s">
        <v>1393</v>
      </c>
      <c r="B446">
        <v>2025</v>
      </c>
      <c r="C446" t="s">
        <v>22</v>
      </c>
      <c r="D446" t="b">
        <f>TRUE()</f>
        <v>1</v>
      </c>
      <c r="E446" t="b">
        <f>COUNTIF(connections!A:A, A446) &gt; 0</f>
        <v>0</v>
      </c>
      <c r="G446" t="s">
        <v>1394</v>
      </c>
    </row>
    <row r="447" spans="1:10" ht="15" customHeight="1" x14ac:dyDescent="0.25">
      <c r="A447" t="s">
        <v>1395</v>
      </c>
      <c r="B447">
        <v>2025</v>
      </c>
      <c r="C447" t="s">
        <v>15</v>
      </c>
      <c r="D447" t="b">
        <f>TRUE()</f>
        <v>1</v>
      </c>
      <c r="E447" t="b">
        <f>COUNTIF(connections!A:A, A447) &gt; 0</f>
        <v>0</v>
      </c>
      <c r="G447" t="s">
        <v>1396</v>
      </c>
      <c r="H447" t="s">
        <v>70</v>
      </c>
      <c r="I447" t="s">
        <v>1397</v>
      </c>
      <c r="J447" s="1" t="s">
        <v>1398</v>
      </c>
    </row>
    <row r="448" spans="1:10" ht="15" customHeight="1" x14ac:dyDescent="0.25">
      <c r="A448" t="s">
        <v>1399</v>
      </c>
      <c r="B448">
        <v>2015</v>
      </c>
      <c r="C448" t="s">
        <v>15</v>
      </c>
      <c r="D448" t="b">
        <f>TRUE()</f>
        <v>1</v>
      </c>
      <c r="E448" t="b">
        <f>COUNTIF(connections!A:A, A448) &gt; 0</f>
        <v>0</v>
      </c>
      <c r="G448" t="s">
        <v>1400</v>
      </c>
      <c r="H448" t="s">
        <v>70</v>
      </c>
      <c r="I448" t="s">
        <v>1401</v>
      </c>
      <c r="J448" s="1" t="s">
        <v>1402</v>
      </c>
    </row>
    <row r="449" spans="1:10" ht="15" customHeight="1" x14ac:dyDescent="0.25">
      <c r="A449" t="s">
        <v>1403</v>
      </c>
      <c r="B449">
        <v>2016</v>
      </c>
      <c r="C449" t="s">
        <v>15</v>
      </c>
      <c r="D449" t="b">
        <f>FALSE()</f>
        <v>0</v>
      </c>
      <c r="E449" t="b">
        <f>COUNTIF(connections!A:A, A449) &gt; 0</f>
        <v>1</v>
      </c>
      <c r="G449" t="s">
        <v>1404</v>
      </c>
      <c r="H449" t="s">
        <v>70</v>
      </c>
      <c r="I449" t="s">
        <v>1405</v>
      </c>
      <c r="J449" s="1" t="s">
        <v>1406</v>
      </c>
    </row>
    <row r="450" spans="1:10" ht="15" customHeight="1" x14ac:dyDescent="0.25">
      <c r="A450" t="s">
        <v>1407</v>
      </c>
      <c r="B450">
        <v>2024</v>
      </c>
      <c r="C450" t="s">
        <v>15</v>
      </c>
      <c r="D450" t="b">
        <f>TRUE()</f>
        <v>1</v>
      </c>
      <c r="E450" t="b">
        <f>COUNTIF(connections!A:A, A450) &gt; 0</f>
        <v>0</v>
      </c>
      <c r="G450" t="s">
        <v>1408</v>
      </c>
    </row>
    <row r="451" spans="1:10" ht="15" customHeight="1" x14ac:dyDescent="0.25">
      <c r="A451" t="s">
        <v>1409</v>
      </c>
      <c r="B451">
        <v>2018</v>
      </c>
      <c r="C451" t="s">
        <v>15</v>
      </c>
      <c r="D451" t="b">
        <f>TRUE()</f>
        <v>1</v>
      </c>
      <c r="E451" t="b">
        <f>COUNTIF(connections!A:A, A451) &gt; 0</f>
        <v>1</v>
      </c>
      <c r="G451" t="s">
        <v>1410</v>
      </c>
      <c r="H451" t="s">
        <v>70</v>
      </c>
      <c r="I451" t="s">
        <v>1411</v>
      </c>
      <c r="J451" s="1" t="s">
        <v>1412</v>
      </c>
    </row>
    <row r="452" spans="1:10" ht="15" customHeight="1" x14ac:dyDescent="0.25">
      <c r="A452" t="s">
        <v>1413</v>
      </c>
      <c r="B452">
        <v>2025</v>
      </c>
      <c r="C452" t="s">
        <v>15</v>
      </c>
      <c r="D452" t="b">
        <f>TRUE()</f>
        <v>1</v>
      </c>
      <c r="E452" t="b">
        <f>COUNTIF(connections!A:A, A452) &gt; 0</f>
        <v>0</v>
      </c>
      <c r="G452" t="s">
        <v>1414</v>
      </c>
    </row>
    <row r="453" spans="1:10" ht="15" customHeight="1" x14ac:dyDescent="0.25">
      <c r="A453" t="s">
        <v>1415</v>
      </c>
      <c r="B453">
        <v>2023</v>
      </c>
      <c r="C453" t="s">
        <v>26</v>
      </c>
      <c r="D453" t="b">
        <f>TRUE()</f>
        <v>1</v>
      </c>
      <c r="E453" t="b">
        <f>COUNTIF(connections!A:A, A453) &gt; 0</f>
        <v>0</v>
      </c>
      <c r="G453" t="s">
        <v>1416</v>
      </c>
      <c r="H453" t="s">
        <v>70</v>
      </c>
      <c r="I453" t="s">
        <v>1417</v>
      </c>
      <c r="J453" s="1" t="s">
        <v>1418</v>
      </c>
    </row>
    <row r="454" spans="1:10" ht="15" customHeight="1" x14ac:dyDescent="0.25">
      <c r="A454" t="s">
        <v>1419</v>
      </c>
      <c r="B454">
        <v>2026</v>
      </c>
      <c r="C454" t="s">
        <v>15</v>
      </c>
      <c r="D454" t="b">
        <f>TRUE()</f>
        <v>1</v>
      </c>
      <c r="E454" t="b">
        <f>COUNTIF(connections!A:A, A454) &gt; 0</f>
        <v>0</v>
      </c>
      <c r="G454" t="s">
        <v>1420</v>
      </c>
    </row>
    <row r="455" spans="1:10" ht="15" customHeight="1" x14ac:dyDescent="0.25">
      <c r="A455" t="s">
        <v>1421</v>
      </c>
      <c r="B455">
        <v>1983</v>
      </c>
      <c r="C455" t="s">
        <v>26</v>
      </c>
      <c r="D455" t="b">
        <f>TRUE()</f>
        <v>1</v>
      </c>
      <c r="E455" t="b">
        <f>COUNTIF(connections!A:A, A455) &gt; 0</f>
        <v>1</v>
      </c>
      <c r="G455" t="s">
        <v>1422</v>
      </c>
      <c r="H455" t="s">
        <v>70</v>
      </c>
      <c r="I455" t="s">
        <v>1423</v>
      </c>
    </row>
    <row r="456" spans="1:10" ht="15" customHeight="1" x14ac:dyDescent="0.25">
      <c r="A456" t="s">
        <v>1424</v>
      </c>
      <c r="B456">
        <v>2024</v>
      </c>
      <c r="C456" t="s">
        <v>22</v>
      </c>
      <c r="D456" t="b">
        <f>TRUE()</f>
        <v>1</v>
      </c>
      <c r="E456" t="b">
        <f>COUNTIF(connections!A:A, A456) &gt; 0</f>
        <v>0</v>
      </c>
      <c r="F456" t="s">
        <v>412</v>
      </c>
      <c r="G456" t="s">
        <v>1425</v>
      </c>
      <c r="H456" t="s">
        <v>70</v>
      </c>
      <c r="I456" t="s">
        <v>1426</v>
      </c>
      <c r="J456" s="1" t="s">
        <v>1427</v>
      </c>
    </row>
    <row r="457" spans="1:10" ht="15" customHeight="1" x14ac:dyDescent="0.25">
      <c r="A457" t="s">
        <v>1428</v>
      </c>
      <c r="B457">
        <v>2025</v>
      </c>
      <c r="C457" t="s">
        <v>15</v>
      </c>
      <c r="D457" t="b">
        <f>FALSE()</f>
        <v>0</v>
      </c>
      <c r="E457" t="b">
        <f>COUNTIF(connections!A:A, A457) &gt; 0</f>
        <v>0</v>
      </c>
      <c r="G457" t="s">
        <v>1429</v>
      </c>
    </row>
    <row r="458" spans="1:10" ht="15" customHeight="1" x14ac:dyDescent="0.25">
      <c r="A458" t="s">
        <v>1430</v>
      </c>
      <c r="B458">
        <v>2023</v>
      </c>
      <c r="C458" t="s">
        <v>15</v>
      </c>
      <c r="D458" t="b">
        <f>TRUE()</f>
        <v>1</v>
      </c>
      <c r="E458" t="b">
        <f>COUNTIF(connections!A:A, A458) &gt; 0</f>
        <v>0</v>
      </c>
      <c r="G458" t="s">
        <v>1431</v>
      </c>
      <c r="H458" t="s">
        <v>70</v>
      </c>
      <c r="I458" t="s">
        <v>1432</v>
      </c>
      <c r="J458" s="1" t="s">
        <v>1433</v>
      </c>
    </row>
    <row r="459" spans="1:10" ht="15" customHeight="1" x14ac:dyDescent="0.25">
      <c r="A459" t="s">
        <v>1434</v>
      </c>
      <c r="B459">
        <v>2018</v>
      </c>
      <c r="C459" t="s">
        <v>15</v>
      </c>
      <c r="D459" t="b">
        <f>TRUE()</f>
        <v>1</v>
      </c>
      <c r="E459" t="b">
        <f>COUNTIF(connections!A:A, A459) &gt; 0</f>
        <v>1</v>
      </c>
      <c r="F459" t="s">
        <v>934</v>
      </c>
      <c r="G459" t="s">
        <v>1435</v>
      </c>
      <c r="H459" t="s">
        <v>70</v>
      </c>
      <c r="I459" t="s">
        <v>1436</v>
      </c>
      <c r="J459" s="1" t="s">
        <v>1437</v>
      </c>
    </row>
    <row r="460" spans="1:10" ht="15" customHeight="1" x14ac:dyDescent="0.25">
      <c r="A460" t="s">
        <v>1438</v>
      </c>
      <c r="B460">
        <v>2022</v>
      </c>
      <c r="C460" t="s">
        <v>15</v>
      </c>
      <c r="D460" t="b">
        <f>TRUE()</f>
        <v>1</v>
      </c>
      <c r="E460" t="b">
        <f>COUNTIF(connections!A:A, A460) &gt; 0</f>
        <v>0</v>
      </c>
      <c r="F460" t="s">
        <v>934</v>
      </c>
      <c r="G460" t="s">
        <v>1439</v>
      </c>
      <c r="H460" t="s">
        <v>70</v>
      </c>
      <c r="I460" t="s">
        <v>1440</v>
      </c>
      <c r="J460" s="1" t="s">
        <v>1441</v>
      </c>
    </row>
    <row r="461" spans="1:10" ht="15" customHeight="1" x14ac:dyDescent="0.25">
      <c r="A461" t="s">
        <v>6518</v>
      </c>
      <c r="B461">
        <v>2011</v>
      </c>
      <c r="C461" t="s">
        <v>26</v>
      </c>
      <c r="D461" t="b">
        <f>TRUE()</f>
        <v>1</v>
      </c>
      <c r="E461" t="b">
        <f>COUNTIF(connections!A:A, A461) &gt; 0</f>
        <v>1</v>
      </c>
      <c r="F461" t="s">
        <v>6526</v>
      </c>
      <c r="G461" t="s">
        <v>6519</v>
      </c>
    </row>
    <row r="462" spans="1:10" ht="15" customHeight="1" x14ac:dyDescent="0.25">
      <c r="A462" t="s">
        <v>1442</v>
      </c>
      <c r="B462">
        <v>2023</v>
      </c>
      <c r="C462" t="s">
        <v>15</v>
      </c>
      <c r="D462" t="b">
        <f>TRUE()</f>
        <v>1</v>
      </c>
      <c r="E462" t="b">
        <f>COUNTIF(connections!A:A, A462) &gt; 0</f>
        <v>0</v>
      </c>
      <c r="G462" t="s">
        <v>1443</v>
      </c>
      <c r="H462" t="s">
        <v>70</v>
      </c>
      <c r="I462" t="s">
        <v>1444</v>
      </c>
      <c r="J462" s="1" t="s">
        <v>1445</v>
      </c>
    </row>
    <row r="463" spans="1:10" ht="15" customHeight="1" x14ac:dyDescent="0.25">
      <c r="A463" t="s">
        <v>1446</v>
      </c>
      <c r="B463">
        <v>2021</v>
      </c>
      <c r="C463" t="s">
        <v>15</v>
      </c>
      <c r="D463" t="b">
        <f>TRUE()</f>
        <v>1</v>
      </c>
      <c r="E463" t="b">
        <f>COUNTIF(connections!A:A, A463) &gt; 0</f>
        <v>1</v>
      </c>
      <c r="G463" t="s">
        <v>1447</v>
      </c>
      <c r="H463" t="s">
        <v>70</v>
      </c>
      <c r="I463" t="s">
        <v>1448</v>
      </c>
      <c r="J463" s="1" t="s">
        <v>1449</v>
      </c>
    </row>
    <row r="464" spans="1:10" ht="15" customHeight="1" x14ac:dyDescent="0.25">
      <c r="A464" t="s">
        <v>1450</v>
      </c>
      <c r="B464">
        <v>2025</v>
      </c>
      <c r="C464" t="s">
        <v>22</v>
      </c>
      <c r="D464" t="b">
        <f>TRUE()</f>
        <v>1</v>
      </c>
      <c r="E464" t="b">
        <f>COUNTIF(connections!A:A, A464) &gt; 0</f>
        <v>0</v>
      </c>
      <c r="G464" t="s">
        <v>1451</v>
      </c>
    </row>
    <row r="465" spans="1:10" ht="15" customHeight="1" x14ac:dyDescent="0.25">
      <c r="A465" t="s">
        <v>6338</v>
      </c>
      <c r="B465">
        <v>2016</v>
      </c>
      <c r="C465" t="s">
        <v>26</v>
      </c>
      <c r="D465" t="b">
        <f>TRUE()</f>
        <v>1</v>
      </c>
      <c r="E465" t="b">
        <f>COUNTIF(connections!A:A, A465) &gt; 0</f>
        <v>0</v>
      </c>
      <c r="G465" t="s">
        <v>6339</v>
      </c>
      <c r="J465" s="11" t="s">
        <v>6340</v>
      </c>
    </row>
    <row r="466" spans="1:10" ht="15" customHeight="1" x14ac:dyDescent="0.25">
      <c r="A466" t="s">
        <v>1452</v>
      </c>
      <c r="B466">
        <v>1995</v>
      </c>
      <c r="C466" t="s">
        <v>26</v>
      </c>
      <c r="D466" t="b">
        <f>TRUE()</f>
        <v>1</v>
      </c>
      <c r="E466" t="b">
        <f>COUNTIF(connections!A:A, A466) &gt; 0</f>
        <v>1</v>
      </c>
      <c r="G466" t="s">
        <v>1453</v>
      </c>
    </row>
    <row r="467" spans="1:10" ht="15" customHeight="1" x14ac:dyDescent="0.25">
      <c r="A467" t="s">
        <v>1454</v>
      </c>
      <c r="B467">
        <v>2024</v>
      </c>
      <c r="C467" t="s">
        <v>15</v>
      </c>
      <c r="D467" t="b">
        <f>TRUE()</f>
        <v>1</v>
      </c>
      <c r="E467" t="b">
        <f>COUNTIF(connections!A:A, A467) &gt; 0</f>
        <v>0</v>
      </c>
      <c r="G467" t="s">
        <v>1455</v>
      </c>
      <c r="H467" t="s">
        <v>70</v>
      </c>
      <c r="I467" t="s">
        <v>1456</v>
      </c>
      <c r="J467" s="1" t="s">
        <v>1457</v>
      </c>
    </row>
    <row r="468" spans="1:10" ht="15" customHeight="1" x14ac:dyDescent="0.25">
      <c r="A468" t="s">
        <v>6675</v>
      </c>
      <c r="B468">
        <v>2022</v>
      </c>
      <c r="C468" t="s">
        <v>22</v>
      </c>
      <c r="D468" t="b">
        <f>TRUE()</f>
        <v>1</v>
      </c>
      <c r="E468" t="b">
        <f>COUNTIF(connections!A:A, A468) &gt; 0</f>
        <v>0</v>
      </c>
      <c r="G468" t="s">
        <v>6676</v>
      </c>
      <c r="J468" s="11" t="s">
        <v>6677</v>
      </c>
    </row>
    <row r="469" spans="1:10" ht="15" customHeight="1" x14ac:dyDescent="0.25">
      <c r="A469" t="s">
        <v>1458</v>
      </c>
      <c r="B469">
        <v>2022</v>
      </c>
      <c r="C469" t="s">
        <v>15</v>
      </c>
      <c r="D469" t="b">
        <f>TRUE()</f>
        <v>1</v>
      </c>
      <c r="E469" t="b">
        <f>COUNTIF(connections!A:A, A469) &gt; 0</f>
        <v>0</v>
      </c>
      <c r="F469" t="s">
        <v>308</v>
      </c>
      <c r="G469" t="s">
        <v>1459</v>
      </c>
      <c r="H469" t="s">
        <v>70</v>
      </c>
      <c r="I469" t="s">
        <v>1460</v>
      </c>
      <c r="J469" s="1" t="s">
        <v>1461</v>
      </c>
    </row>
    <row r="470" spans="1:10" ht="15" customHeight="1" x14ac:dyDescent="0.25">
      <c r="A470" t="s">
        <v>1462</v>
      </c>
      <c r="B470">
        <v>2024</v>
      </c>
      <c r="C470" t="s">
        <v>18</v>
      </c>
      <c r="D470" t="b">
        <f>FALSE()</f>
        <v>0</v>
      </c>
      <c r="E470" t="b">
        <f>COUNTIF(connections!A:A, A470) &gt; 0</f>
        <v>0</v>
      </c>
      <c r="F470" t="s">
        <v>308</v>
      </c>
      <c r="G470" t="s">
        <v>1463</v>
      </c>
      <c r="H470" t="s">
        <v>70</v>
      </c>
      <c r="I470" t="s">
        <v>1464</v>
      </c>
      <c r="J470" s="1" t="s">
        <v>1465</v>
      </c>
    </row>
    <row r="471" spans="1:10" ht="15" customHeight="1" x14ac:dyDescent="0.25">
      <c r="A471" t="s">
        <v>1466</v>
      </c>
      <c r="B471">
        <v>2022</v>
      </c>
      <c r="C471" t="s">
        <v>15</v>
      </c>
      <c r="D471" t="b">
        <f>TRUE()</f>
        <v>1</v>
      </c>
      <c r="E471" t="b">
        <f>COUNTIF(connections!A:A, A471) &gt; 0</f>
        <v>1</v>
      </c>
      <c r="F471" t="s">
        <v>308</v>
      </c>
      <c r="G471" t="s">
        <v>1467</v>
      </c>
      <c r="H471" t="s">
        <v>70</v>
      </c>
      <c r="I471" t="s">
        <v>1468</v>
      </c>
      <c r="J471" s="1" t="s">
        <v>1469</v>
      </c>
    </row>
    <row r="472" spans="1:10" ht="15" customHeight="1" x14ac:dyDescent="0.25">
      <c r="A472" t="s">
        <v>1470</v>
      </c>
      <c r="B472">
        <v>2024</v>
      </c>
      <c r="C472" t="s">
        <v>15</v>
      </c>
      <c r="D472" t="b">
        <f>TRUE()</f>
        <v>1</v>
      </c>
      <c r="E472" t="b">
        <f>COUNTIF(connections!A:A, A472) &gt; 0</f>
        <v>0</v>
      </c>
      <c r="F472" t="s">
        <v>308</v>
      </c>
      <c r="G472" t="s">
        <v>1471</v>
      </c>
      <c r="H472" t="s">
        <v>70</v>
      </c>
      <c r="I472" t="s">
        <v>1472</v>
      </c>
      <c r="J472" s="1" t="s">
        <v>1473</v>
      </c>
    </row>
    <row r="473" spans="1:10" ht="15" customHeight="1" x14ac:dyDescent="0.25">
      <c r="A473" t="s">
        <v>1474</v>
      </c>
      <c r="B473">
        <v>2019</v>
      </c>
      <c r="C473" t="s">
        <v>15</v>
      </c>
      <c r="D473" t="b">
        <f>TRUE()</f>
        <v>1</v>
      </c>
      <c r="E473" t="b">
        <f>COUNTIF(connections!A:A, A473) &gt; 0</f>
        <v>1</v>
      </c>
      <c r="G473" t="s">
        <v>1475</v>
      </c>
      <c r="H473" t="s">
        <v>70</v>
      </c>
      <c r="I473" t="s">
        <v>1476</v>
      </c>
      <c r="J473" s="1" t="s">
        <v>1477</v>
      </c>
    </row>
    <row r="474" spans="1:10" ht="15" customHeight="1" x14ac:dyDescent="0.25">
      <c r="A474" t="s">
        <v>1478</v>
      </c>
      <c r="B474">
        <v>2025</v>
      </c>
      <c r="C474" t="s">
        <v>15</v>
      </c>
      <c r="D474" t="b">
        <f>TRUE()</f>
        <v>1</v>
      </c>
      <c r="E474" t="b">
        <f>COUNTIF(connections!A:A, A474) &gt; 0</f>
        <v>0</v>
      </c>
      <c r="G474" t="s">
        <v>1479</v>
      </c>
    </row>
    <row r="475" spans="1:10" ht="15" customHeight="1" x14ac:dyDescent="0.25">
      <c r="A475" t="s">
        <v>1480</v>
      </c>
      <c r="B475">
        <v>2022</v>
      </c>
      <c r="C475" t="s">
        <v>15</v>
      </c>
      <c r="D475" t="b">
        <f>TRUE()</f>
        <v>1</v>
      </c>
      <c r="E475" t="b">
        <f>COUNTIF(connections!A:A, A475) &gt; 0</f>
        <v>0</v>
      </c>
      <c r="G475" t="s">
        <v>1481</v>
      </c>
    </row>
    <row r="476" spans="1:10" ht="15" customHeight="1" x14ac:dyDescent="0.25">
      <c r="A476" t="s">
        <v>1482</v>
      </c>
      <c r="B476">
        <v>1987</v>
      </c>
      <c r="C476" t="s">
        <v>26</v>
      </c>
      <c r="D476" t="b">
        <f>TRUE()</f>
        <v>1</v>
      </c>
      <c r="E476" t="b">
        <f>COUNTIF(connections!A:A, A476) &gt; 0</f>
        <v>1</v>
      </c>
      <c r="G476" t="s">
        <v>1483</v>
      </c>
      <c r="H476" t="s">
        <v>70</v>
      </c>
      <c r="I476" t="s">
        <v>1484</v>
      </c>
    </row>
    <row r="477" spans="1:10" ht="15" customHeight="1" x14ac:dyDescent="0.25">
      <c r="A477" t="s">
        <v>6558</v>
      </c>
      <c r="B477">
        <v>2021</v>
      </c>
      <c r="C477" t="s">
        <v>15</v>
      </c>
      <c r="D477" t="b">
        <f>TRUE()</f>
        <v>1</v>
      </c>
      <c r="E477" t="b">
        <f>COUNTIF(connections!A:A, A477) &gt; 0</f>
        <v>0</v>
      </c>
      <c r="G477" t="s">
        <v>6559</v>
      </c>
      <c r="J477" s="11" t="s">
        <v>6560</v>
      </c>
    </row>
    <row r="478" spans="1:10" ht="15" customHeight="1" x14ac:dyDescent="0.25">
      <c r="A478" t="s">
        <v>1485</v>
      </c>
      <c r="B478">
        <v>2025</v>
      </c>
      <c r="C478" t="s">
        <v>15</v>
      </c>
      <c r="D478" t="b">
        <f>TRUE()</f>
        <v>1</v>
      </c>
      <c r="E478" t="b">
        <f>COUNTIF(connections!A:A, A478) &gt; 0</f>
        <v>0</v>
      </c>
      <c r="F478" t="s">
        <v>1486</v>
      </c>
      <c r="G478" t="s">
        <v>1487</v>
      </c>
      <c r="H478" t="s">
        <v>70</v>
      </c>
      <c r="I478" t="s">
        <v>1488</v>
      </c>
      <c r="J478" s="1" t="s">
        <v>1489</v>
      </c>
    </row>
    <row r="479" spans="1:10" ht="15" customHeight="1" x14ac:dyDescent="0.25">
      <c r="A479" t="s">
        <v>1490</v>
      </c>
      <c r="B479">
        <v>2024</v>
      </c>
      <c r="C479" t="s">
        <v>15</v>
      </c>
      <c r="D479" t="b">
        <f>TRUE()</f>
        <v>1</v>
      </c>
      <c r="E479" t="b">
        <f>COUNTIF(connections!A:A, A479) &gt; 0</f>
        <v>0</v>
      </c>
      <c r="G479" t="s">
        <v>1491</v>
      </c>
    </row>
    <row r="480" spans="1:10" ht="15" customHeight="1" x14ac:dyDescent="0.25">
      <c r="A480" t="s">
        <v>1492</v>
      </c>
      <c r="B480">
        <v>2026</v>
      </c>
      <c r="C480" t="s">
        <v>22</v>
      </c>
      <c r="D480" t="b">
        <f>TRUE()</f>
        <v>1</v>
      </c>
      <c r="E480" t="b">
        <f>COUNTIF(connections!A:A, A480) &gt; 0</f>
        <v>0</v>
      </c>
      <c r="G480" t="s">
        <v>1493</v>
      </c>
    </row>
    <row r="481" spans="1:10" ht="15" customHeight="1" x14ac:dyDescent="0.25">
      <c r="A481" t="s">
        <v>1494</v>
      </c>
      <c r="B481">
        <v>2024</v>
      </c>
      <c r="C481" t="s">
        <v>18</v>
      </c>
      <c r="D481" t="b">
        <f>TRUE()</f>
        <v>1</v>
      </c>
      <c r="E481" t="b">
        <f>COUNTIF(connections!A:A, A481) &gt; 0</f>
        <v>1</v>
      </c>
      <c r="G481" t="s">
        <v>1495</v>
      </c>
    </row>
    <row r="482" spans="1:10" ht="15" customHeight="1" x14ac:dyDescent="0.25">
      <c r="A482" t="s">
        <v>1496</v>
      </c>
      <c r="B482">
        <v>2019</v>
      </c>
      <c r="C482" t="s">
        <v>15</v>
      </c>
      <c r="D482" t="b">
        <f>TRUE()</f>
        <v>1</v>
      </c>
      <c r="E482" t="b">
        <f>COUNTIF(connections!A:A, A482) &gt; 0</f>
        <v>1</v>
      </c>
      <c r="G482" t="s">
        <v>1497</v>
      </c>
      <c r="H482" t="s">
        <v>70</v>
      </c>
      <c r="I482" t="s">
        <v>1498</v>
      </c>
      <c r="J482" s="1" t="s">
        <v>1499</v>
      </c>
    </row>
    <row r="483" spans="1:10" ht="15" customHeight="1" x14ac:dyDescent="0.25">
      <c r="A483" t="s">
        <v>1500</v>
      </c>
      <c r="B483">
        <v>2022</v>
      </c>
      <c r="C483" t="s">
        <v>15</v>
      </c>
      <c r="D483" t="b">
        <f>TRUE()</f>
        <v>1</v>
      </c>
      <c r="E483" t="b">
        <f>COUNTIF(connections!A:A, A483) &gt; 0</f>
        <v>0</v>
      </c>
      <c r="G483" t="s">
        <v>1501</v>
      </c>
      <c r="H483" t="s">
        <v>70</v>
      </c>
      <c r="I483" t="s">
        <v>1502</v>
      </c>
      <c r="J483" s="1" t="s">
        <v>1503</v>
      </c>
    </row>
    <row r="484" spans="1:10" ht="15" customHeight="1" x14ac:dyDescent="0.25">
      <c r="A484" t="s">
        <v>1504</v>
      </c>
      <c r="B484">
        <v>2025</v>
      </c>
      <c r="C484" t="s">
        <v>15</v>
      </c>
      <c r="D484" t="b">
        <f>TRUE()</f>
        <v>1</v>
      </c>
      <c r="E484" t="b">
        <f>COUNTIF(connections!A:A, A484) &gt; 0</f>
        <v>0</v>
      </c>
      <c r="G484" t="s">
        <v>1505</v>
      </c>
      <c r="H484" t="s">
        <v>70</v>
      </c>
      <c r="I484" t="s">
        <v>1506</v>
      </c>
      <c r="J484" s="1" t="s">
        <v>1507</v>
      </c>
    </row>
    <row r="485" spans="1:10" ht="15" customHeight="1" x14ac:dyDescent="0.25">
      <c r="A485" t="s">
        <v>1508</v>
      </c>
      <c r="B485">
        <v>2023</v>
      </c>
      <c r="C485" t="s">
        <v>15</v>
      </c>
      <c r="D485" t="b">
        <f>TRUE()</f>
        <v>1</v>
      </c>
      <c r="E485" t="b">
        <f>COUNTIF(connections!A:A, A485) &gt; 0</f>
        <v>0</v>
      </c>
      <c r="G485" t="s">
        <v>1509</v>
      </c>
      <c r="H485" t="s">
        <v>70</v>
      </c>
      <c r="I485" t="s">
        <v>1510</v>
      </c>
      <c r="J485" s="1" t="s">
        <v>1511</v>
      </c>
    </row>
    <row r="486" spans="1:10" ht="15" customHeight="1" x14ac:dyDescent="0.25">
      <c r="A486" t="s">
        <v>1512</v>
      </c>
      <c r="B486">
        <v>2025</v>
      </c>
      <c r="C486" t="s">
        <v>18</v>
      </c>
      <c r="D486" t="b">
        <f>TRUE()</f>
        <v>1</v>
      </c>
      <c r="E486" t="b">
        <f>COUNTIF(connections!A:A, A486) &gt; 0</f>
        <v>0</v>
      </c>
      <c r="G486" t="s">
        <v>1513</v>
      </c>
      <c r="H486" t="s">
        <v>70</v>
      </c>
      <c r="I486" t="s">
        <v>1514</v>
      </c>
      <c r="J486" s="1" t="s">
        <v>1515</v>
      </c>
    </row>
    <row r="487" spans="1:10" ht="15" customHeight="1" x14ac:dyDescent="0.25">
      <c r="A487" t="s">
        <v>1516</v>
      </c>
      <c r="B487">
        <v>2022</v>
      </c>
      <c r="C487" t="s">
        <v>15</v>
      </c>
      <c r="D487" t="b">
        <f>TRUE()</f>
        <v>1</v>
      </c>
      <c r="E487" t="b">
        <f>COUNTIF(connections!A:A, A487) &gt; 0</f>
        <v>0</v>
      </c>
      <c r="G487" t="s">
        <v>1517</v>
      </c>
      <c r="H487" t="s">
        <v>70</v>
      </c>
      <c r="I487" t="s">
        <v>1518</v>
      </c>
      <c r="J487" s="1" t="s">
        <v>1519</v>
      </c>
    </row>
    <row r="488" spans="1:10" ht="15" customHeight="1" x14ac:dyDescent="0.25">
      <c r="A488" t="s">
        <v>1520</v>
      </c>
      <c r="B488">
        <v>2025</v>
      </c>
      <c r="C488" t="s">
        <v>18</v>
      </c>
      <c r="D488" t="b">
        <f>FALSE()</f>
        <v>0</v>
      </c>
      <c r="E488" t="b">
        <f>COUNTIF(connections!A:A, A488) &gt; 0</f>
        <v>0</v>
      </c>
      <c r="F488" t="s">
        <v>356</v>
      </c>
      <c r="G488" t="s">
        <v>1521</v>
      </c>
    </row>
    <row r="489" spans="1:10" ht="15" customHeight="1" x14ac:dyDescent="0.25">
      <c r="A489" t="s">
        <v>1522</v>
      </c>
      <c r="B489">
        <v>2019</v>
      </c>
      <c r="C489" t="s">
        <v>15</v>
      </c>
      <c r="D489" t="b">
        <f>TRUE()</f>
        <v>1</v>
      </c>
      <c r="E489" t="b">
        <f>COUNTIF(connections!A:A, A489) &gt; 0</f>
        <v>0</v>
      </c>
      <c r="F489" t="s">
        <v>149</v>
      </c>
      <c r="G489" t="s">
        <v>1523</v>
      </c>
      <c r="H489" t="s">
        <v>70</v>
      </c>
      <c r="I489" t="s">
        <v>1524</v>
      </c>
      <c r="J489" s="1" t="s">
        <v>1525</v>
      </c>
    </row>
    <row r="490" spans="1:10" ht="15" customHeight="1" x14ac:dyDescent="0.25">
      <c r="A490" t="s">
        <v>1526</v>
      </c>
      <c r="B490">
        <v>2019</v>
      </c>
      <c r="C490" t="s">
        <v>22</v>
      </c>
      <c r="D490" t="b">
        <f>TRUE()</f>
        <v>1</v>
      </c>
      <c r="E490" t="b">
        <f>COUNTIF(connections!A:A, A490) &gt; 0</f>
        <v>0</v>
      </c>
      <c r="G490" t="s">
        <v>1527</v>
      </c>
      <c r="H490" t="s">
        <v>70</v>
      </c>
      <c r="I490" t="s">
        <v>1528</v>
      </c>
      <c r="J490" s="1" t="s">
        <v>1529</v>
      </c>
    </row>
    <row r="491" spans="1:10" ht="15" customHeight="1" x14ac:dyDescent="0.25">
      <c r="A491" t="s">
        <v>1530</v>
      </c>
      <c r="B491">
        <v>2024</v>
      </c>
      <c r="C491" t="s">
        <v>18</v>
      </c>
      <c r="D491" t="b">
        <f>TRUE()</f>
        <v>1</v>
      </c>
      <c r="E491" t="b">
        <f>COUNTIF(connections!A:A, A491) &gt; 0</f>
        <v>1</v>
      </c>
      <c r="G491" t="s">
        <v>1531</v>
      </c>
      <c r="H491" t="s">
        <v>70</v>
      </c>
      <c r="I491" t="s">
        <v>1532</v>
      </c>
      <c r="J491" s="1" t="s">
        <v>1533</v>
      </c>
    </row>
    <row r="492" spans="1:10" ht="16.5" customHeight="1" x14ac:dyDescent="0.25">
      <c r="A492" t="s">
        <v>1534</v>
      </c>
      <c r="B492">
        <v>2015</v>
      </c>
      <c r="C492" t="s">
        <v>15</v>
      </c>
      <c r="D492" t="b">
        <f>TRUE()</f>
        <v>1</v>
      </c>
      <c r="E492" t="b">
        <f>COUNTIF(connections!A:A, A492) &gt; 0</f>
        <v>1</v>
      </c>
      <c r="G492" t="s">
        <v>1535</v>
      </c>
      <c r="H492" t="s">
        <v>70</v>
      </c>
      <c r="I492" t="s">
        <v>1536</v>
      </c>
      <c r="J492" s="1" t="s">
        <v>1537</v>
      </c>
    </row>
    <row r="493" spans="1:10" ht="15" customHeight="1" x14ac:dyDescent="0.25">
      <c r="A493" t="s">
        <v>1538</v>
      </c>
      <c r="B493">
        <v>2025</v>
      </c>
      <c r="C493" t="s">
        <v>15</v>
      </c>
      <c r="D493" t="b">
        <f>TRUE()</f>
        <v>1</v>
      </c>
      <c r="E493" t="b">
        <f>COUNTIF(connections!A:A, A493) &gt; 0</f>
        <v>0</v>
      </c>
      <c r="G493" t="s">
        <v>1539</v>
      </c>
      <c r="H493" t="s">
        <v>70</v>
      </c>
      <c r="I493" t="s">
        <v>1540</v>
      </c>
      <c r="J493" s="1" t="s">
        <v>1541</v>
      </c>
    </row>
    <row r="494" spans="1:10" ht="15" customHeight="1" x14ac:dyDescent="0.25">
      <c r="A494" t="s">
        <v>1542</v>
      </c>
      <c r="B494">
        <v>2026</v>
      </c>
      <c r="C494" t="s">
        <v>18</v>
      </c>
      <c r="D494" t="b">
        <f>TRUE()</f>
        <v>1</v>
      </c>
      <c r="E494" t="b">
        <f>COUNTIF(connections!A:A, A494) &gt; 0</f>
        <v>0</v>
      </c>
      <c r="G494" t="s">
        <v>1543</v>
      </c>
    </row>
    <row r="495" spans="1:10" ht="15" customHeight="1" x14ac:dyDescent="0.25">
      <c r="A495" t="s">
        <v>1544</v>
      </c>
      <c r="B495">
        <v>2023</v>
      </c>
      <c r="C495" t="s">
        <v>15</v>
      </c>
      <c r="D495" t="b">
        <f>TRUE()</f>
        <v>1</v>
      </c>
      <c r="E495" t="b">
        <f>COUNTIF(connections!A:A, A495) &gt; 0</f>
        <v>0</v>
      </c>
      <c r="G495" t="s">
        <v>1545</v>
      </c>
    </row>
    <row r="496" spans="1:10" ht="15" customHeight="1" x14ac:dyDescent="0.25">
      <c r="A496" t="s">
        <v>1546</v>
      </c>
      <c r="B496">
        <v>2021</v>
      </c>
      <c r="C496" t="s">
        <v>22</v>
      </c>
      <c r="D496" t="b">
        <v>1</v>
      </c>
      <c r="E496" t="b">
        <f>COUNTIF(connections!A:A, A496) &gt; 0</f>
        <v>0</v>
      </c>
      <c r="G496" t="s">
        <v>1547</v>
      </c>
      <c r="H496" t="s">
        <v>70</v>
      </c>
      <c r="I496" t="s">
        <v>1548</v>
      </c>
      <c r="J496" s="11" t="s">
        <v>1549</v>
      </c>
    </row>
    <row r="497" spans="1:10" ht="15" customHeight="1" x14ac:dyDescent="0.25">
      <c r="A497" t="s">
        <v>1550</v>
      </c>
      <c r="B497">
        <v>2018</v>
      </c>
      <c r="C497" t="s">
        <v>15</v>
      </c>
      <c r="D497" t="b">
        <f>FALSE()</f>
        <v>0</v>
      </c>
      <c r="E497" t="b">
        <f>COUNTIF(connections!A:A, A497) &gt; 0</f>
        <v>0</v>
      </c>
      <c r="G497" t="s">
        <v>1551</v>
      </c>
      <c r="H497" t="s">
        <v>70</v>
      </c>
      <c r="I497" t="s">
        <v>1552</v>
      </c>
      <c r="J497" s="1" t="s">
        <v>1553</v>
      </c>
    </row>
    <row r="498" spans="1:10" ht="15" customHeight="1" x14ac:dyDescent="0.25">
      <c r="A498" t="s">
        <v>1554</v>
      </c>
      <c r="B498">
        <v>2026</v>
      </c>
      <c r="C498" t="s">
        <v>15</v>
      </c>
      <c r="D498" t="b">
        <f>TRUE()</f>
        <v>1</v>
      </c>
      <c r="E498" t="b">
        <f>COUNTIF(connections!A:A, A498) &gt; 0</f>
        <v>0</v>
      </c>
      <c r="G498" t="s">
        <v>1555</v>
      </c>
    </row>
    <row r="499" spans="1:10" ht="15" customHeight="1" x14ac:dyDescent="0.25">
      <c r="A499" t="s">
        <v>1556</v>
      </c>
      <c r="B499">
        <v>2025</v>
      </c>
      <c r="C499" t="s">
        <v>15</v>
      </c>
      <c r="D499" t="b">
        <f>TRUE()</f>
        <v>1</v>
      </c>
      <c r="E499" t="b">
        <f>COUNTIF(connections!A:A, A499) &gt; 0</f>
        <v>0</v>
      </c>
      <c r="G499" t="s">
        <v>1557</v>
      </c>
    </row>
    <row r="500" spans="1:10" ht="15" customHeight="1" x14ac:dyDescent="0.25">
      <c r="A500" t="s">
        <v>1558</v>
      </c>
      <c r="B500">
        <v>1987</v>
      </c>
      <c r="C500" t="s">
        <v>26</v>
      </c>
      <c r="D500" t="b">
        <f>TRUE()</f>
        <v>1</v>
      </c>
      <c r="E500" t="b">
        <f>COUNTIF(connections!A:A, A500) &gt; 0</f>
        <v>1</v>
      </c>
      <c r="G500" t="s">
        <v>1559</v>
      </c>
      <c r="H500" t="s">
        <v>70</v>
      </c>
      <c r="I500" t="s">
        <v>1560</v>
      </c>
    </row>
    <row r="501" spans="1:10" ht="15" customHeight="1" x14ac:dyDescent="0.25">
      <c r="A501" t="s">
        <v>6490</v>
      </c>
      <c r="B501">
        <v>2015</v>
      </c>
      <c r="C501" t="s">
        <v>26</v>
      </c>
      <c r="D501" t="b">
        <f>TRUE()</f>
        <v>1</v>
      </c>
      <c r="E501" t="b">
        <f>COUNTIF(connections!A:A, A501) &gt; 0</f>
        <v>1</v>
      </c>
      <c r="G501" t="s">
        <v>6491</v>
      </c>
    </row>
    <row r="502" spans="1:10" ht="15" customHeight="1" x14ac:dyDescent="0.25">
      <c r="A502" t="s">
        <v>6493</v>
      </c>
      <c r="B502">
        <v>2019</v>
      </c>
      <c r="C502" t="s">
        <v>26</v>
      </c>
      <c r="D502" t="b">
        <f>TRUE()</f>
        <v>1</v>
      </c>
      <c r="E502" t="b">
        <f>COUNTIF(connections!A:A, A502) &gt; 0</f>
        <v>0</v>
      </c>
      <c r="G502" t="s">
        <v>6496</v>
      </c>
      <c r="J502" s="11" t="s">
        <v>6494</v>
      </c>
    </row>
    <row r="503" spans="1:10" ht="15" customHeight="1" x14ac:dyDescent="0.25">
      <c r="A503" t="s">
        <v>6492</v>
      </c>
      <c r="B503">
        <v>2017</v>
      </c>
      <c r="C503" t="s">
        <v>26</v>
      </c>
      <c r="D503" t="b">
        <f>TRUE()</f>
        <v>1</v>
      </c>
      <c r="E503" t="b">
        <f>COUNTIF(connections!A:A, A503) &gt; 0</f>
        <v>1</v>
      </c>
      <c r="G503" t="s">
        <v>6495</v>
      </c>
    </row>
    <row r="504" spans="1:10" ht="15" customHeight="1" x14ac:dyDescent="0.25">
      <c r="A504" t="s">
        <v>1561</v>
      </c>
      <c r="B504">
        <v>2025</v>
      </c>
      <c r="C504" t="s">
        <v>22</v>
      </c>
      <c r="D504" t="b">
        <f>TRUE()</f>
        <v>1</v>
      </c>
      <c r="E504" t="b">
        <f>COUNTIF(connections!A:A, A504) &gt; 0</f>
        <v>0</v>
      </c>
      <c r="F504" t="s">
        <v>139</v>
      </c>
      <c r="G504" t="s">
        <v>1562</v>
      </c>
    </row>
    <row r="505" spans="1:10" ht="15" customHeight="1" x14ac:dyDescent="0.25">
      <c r="A505" t="s">
        <v>1563</v>
      </c>
      <c r="B505">
        <v>2020</v>
      </c>
      <c r="C505" t="s">
        <v>15</v>
      </c>
      <c r="D505" t="b">
        <f>TRUE()</f>
        <v>1</v>
      </c>
      <c r="E505" t="b">
        <f>COUNTIF(connections!A:A, A505) &gt; 0</f>
        <v>0</v>
      </c>
      <c r="G505" t="s">
        <v>1564</v>
      </c>
      <c r="H505" t="s">
        <v>70</v>
      </c>
      <c r="I505" t="s">
        <v>1565</v>
      </c>
      <c r="J505" s="1" t="s">
        <v>1566</v>
      </c>
    </row>
    <row r="506" spans="1:10" ht="15" customHeight="1" x14ac:dyDescent="0.25">
      <c r="A506" t="s">
        <v>6335</v>
      </c>
      <c r="B506">
        <v>2014</v>
      </c>
      <c r="C506" t="s">
        <v>26</v>
      </c>
      <c r="D506" t="b">
        <f>TRUE()</f>
        <v>1</v>
      </c>
      <c r="E506" t="b">
        <f>COUNTIF(connections!A:A, A506) &gt; 0</f>
        <v>1</v>
      </c>
      <c r="G506" t="s">
        <v>6336</v>
      </c>
      <c r="H506" t="s">
        <v>70</v>
      </c>
      <c r="I506" t="s">
        <v>6337</v>
      </c>
      <c r="J506" s="11" t="s">
        <v>6334</v>
      </c>
    </row>
    <row r="507" spans="1:10" ht="15" customHeight="1" x14ac:dyDescent="0.25">
      <c r="A507" t="s">
        <v>1567</v>
      </c>
      <c r="B507">
        <v>2019</v>
      </c>
      <c r="C507" t="s">
        <v>26</v>
      </c>
      <c r="D507" t="b">
        <f>TRUE()</f>
        <v>1</v>
      </c>
      <c r="E507" t="b">
        <f>COUNTIF(connections!A:A, A507) &gt; 0</f>
        <v>0</v>
      </c>
      <c r="G507" t="s">
        <v>1568</v>
      </c>
      <c r="H507" t="s">
        <v>70</v>
      </c>
      <c r="I507" t="s">
        <v>1569</v>
      </c>
      <c r="J507" s="1" t="s">
        <v>1570</v>
      </c>
    </row>
    <row r="508" spans="1:10" ht="15" customHeight="1" x14ac:dyDescent="0.25">
      <c r="A508" t="s">
        <v>1571</v>
      </c>
      <c r="B508">
        <v>2023</v>
      </c>
      <c r="C508" t="s">
        <v>15</v>
      </c>
      <c r="D508" t="b">
        <f>FALSE()</f>
        <v>0</v>
      </c>
      <c r="E508" t="b">
        <f>COUNTIF(connections!A:A, A508) &gt; 0</f>
        <v>0</v>
      </c>
      <c r="G508" t="s">
        <v>1572</v>
      </c>
      <c r="H508" t="s">
        <v>70</v>
      </c>
      <c r="I508" t="s">
        <v>1573</v>
      </c>
      <c r="J508" s="1" t="s">
        <v>1574</v>
      </c>
    </row>
    <row r="509" spans="1:10" ht="15" customHeight="1" x14ac:dyDescent="0.25">
      <c r="A509" t="s">
        <v>1575</v>
      </c>
      <c r="B509">
        <v>2014</v>
      </c>
      <c r="C509" t="s">
        <v>15</v>
      </c>
      <c r="D509" t="b">
        <v>1</v>
      </c>
      <c r="E509" t="b">
        <f>COUNTIF(connections!A:A, A509) &gt; 0</f>
        <v>0</v>
      </c>
      <c r="G509" t="s">
        <v>1576</v>
      </c>
      <c r="J509" s="11" t="s">
        <v>1577</v>
      </c>
    </row>
    <row r="510" spans="1:10" ht="15" customHeight="1" x14ac:dyDescent="0.25">
      <c r="A510" t="s">
        <v>1578</v>
      </c>
      <c r="B510">
        <v>2025</v>
      </c>
      <c r="C510" t="s">
        <v>18</v>
      </c>
      <c r="D510" t="b">
        <f>FALSE()</f>
        <v>0</v>
      </c>
      <c r="E510" t="b">
        <f>COUNTIF(connections!A:A, A510) &gt; 0</f>
        <v>0</v>
      </c>
      <c r="G510" t="s">
        <v>1579</v>
      </c>
      <c r="H510" t="s">
        <v>70</v>
      </c>
      <c r="I510" t="s">
        <v>1580</v>
      </c>
      <c r="J510" s="1" t="s">
        <v>1581</v>
      </c>
    </row>
    <row r="511" spans="1:10" ht="15" customHeight="1" x14ac:dyDescent="0.25">
      <c r="A511" t="s">
        <v>1582</v>
      </c>
      <c r="B511">
        <v>2025</v>
      </c>
      <c r="C511" t="s">
        <v>22</v>
      </c>
      <c r="D511" t="b">
        <f>TRUE()</f>
        <v>1</v>
      </c>
      <c r="E511" t="b">
        <f>COUNTIF(connections!A:A, A511) &gt; 0</f>
        <v>0</v>
      </c>
      <c r="G511" t="s">
        <v>1583</v>
      </c>
      <c r="H511" t="s">
        <v>70</v>
      </c>
      <c r="I511" t="s">
        <v>1584</v>
      </c>
      <c r="J511" s="1" t="s">
        <v>1585</v>
      </c>
    </row>
    <row r="512" spans="1:10" ht="15" customHeight="1" x14ac:dyDescent="0.25">
      <c r="A512" t="s">
        <v>1586</v>
      </c>
      <c r="B512">
        <v>2025</v>
      </c>
      <c r="C512" t="s">
        <v>26</v>
      </c>
      <c r="D512" t="b">
        <f>TRUE()</f>
        <v>1</v>
      </c>
      <c r="E512" t="b">
        <f>COUNTIF(connections!A:A, A512) &gt; 0</f>
        <v>0</v>
      </c>
      <c r="G512" t="s">
        <v>1587</v>
      </c>
    </row>
    <row r="513" spans="1:10" ht="15" customHeight="1" x14ac:dyDescent="0.25">
      <c r="A513" t="s">
        <v>1588</v>
      </c>
      <c r="B513">
        <v>2023</v>
      </c>
      <c r="C513" t="s">
        <v>15</v>
      </c>
      <c r="D513" t="b">
        <f>TRUE()</f>
        <v>1</v>
      </c>
      <c r="E513" t="b">
        <f>COUNTIF(connections!A:A, A513) &gt; 0</f>
        <v>0</v>
      </c>
      <c r="G513" t="s">
        <v>1589</v>
      </c>
      <c r="H513" t="s">
        <v>70</v>
      </c>
      <c r="I513" t="s">
        <v>1590</v>
      </c>
      <c r="J513" s="1" t="s">
        <v>1591</v>
      </c>
    </row>
    <row r="514" spans="1:10" ht="15" customHeight="1" x14ac:dyDescent="0.25">
      <c r="A514" t="s">
        <v>1592</v>
      </c>
      <c r="B514">
        <v>2025</v>
      </c>
      <c r="C514" t="s">
        <v>18</v>
      </c>
      <c r="D514" t="b">
        <f>TRUE()</f>
        <v>1</v>
      </c>
      <c r="E514" t="b">
        <f>COUNTIF(connections!A:A, A514) &gt; 0</f>
        <v>0</v>
      </c>
      <c r="F514" t="s">
        <v>927</v>
      </c>
      <c r="G514" t="s">
        <v>1593</v>
      </c>
    </row>
    <row r="515" spans="1:10" ht="15" customHeight="1" x14ac:dyDescent="0.25">
      <c r="A515" t="s">
        <v>1594</v>
      </c>
      <c r="B515">
        <v>2021</v>
      </c>
      <c r="C515" t="s">
        <v>15</v>
      </c>
      <c r="D515" t="b">
        <f>TRUE()</f>
        <v>1</v>
      </c>
      <c r="E515" t="b">
        <f>COUNTIF(connections!A:A, A515) &gt; 0</f>
        <v>1</v>
      </c>
      <c r="G515" t="s">
        <v>1595</v>
      </c>
      <c r="H515" t="s">
        <v>70</v>
      </c>
      <c r="I515" t="s">
        <v>1596</v>
      </c>
      <c r="J515" s="1" t="s">
        <v>1597</v>
      </c>
    </row>
    <row r="516" spans="1:10" ht="15" customHeight="1" x14ac:dyDescent="0.25">
      <c r="A516" t="s">
        <v>1598</v>
      </c>
      <c r="B516">
        <v>2023</v>
      </c>
      <c r="C516" t="s">
        <v>26</v>
      </c>
      <c r="D516" t="b">
        <f>TRUE()</f>
        <v>1</v>
      </c>
      <c r="E516" t="b">
        <f>COUNTIF(connections!A:A, A516) &gt; 0</f>
        <v>0</v>
      </c>
      <c r="G516" t="s">
        <v>1599</v>
      </c>
      <c r="H516" t="s">
        <v>70</v>
      </c>
      <c r="I516" t="s">
        <v>1600</v>
      </c>
      <c r="J516" s="1" t="s">
        <v>1601</v>
      </c>
    </row>
    <row r="517" spans="1:10" ht="15" customHeight="1" x14ac:dyDescent="0.25">
      <c r="A517" t="s">
        <v>1602</v>
      </c>
      <c r="B517">
        <v>2026</v>
      </c>
      <c r="C517" t="s">
        <v>15</v>
      </c>
      <c r="D517" t="b">
        <v>1</v>
      </c>
      <c r="E517" t="b">
        <f>COUNTIF(connections!A:A, A517) &gt; 0</f>
        <v>0</v>
      </c>
      <c r="G517" t="s">
        <v>1603</v>
      </c>
      <c r="J517" s="11" t="s">
        <v>1604</v>
      </c>
    </row>
    <row r="518" spans="1:10" ht="15" customHeight="1" x14ac:dyDescent="0.25">
      <c r="A518" t="s">
        <v>1605</v>
      </c>
      <c r="B518">
        <v>2015</v>
      </c>
      <c r="C518" t="s">
        <v>26</v>
      </c>
      <c r="D518" t="b">
        <f>TRUE()</f>
        <v>1</v>
      </c>
      <c r="E518" t="b">
        <f>COUNTIF(connections!A:A, A518) &gt; 0</f>
        <v>0</v>
      </c>
      <c r="G518" t="s">
        <v>1606</v>
      </c>
      <c r="H518" t="s">
        <v>70</v>
      </c>
      <c r="I518" t="s">
        <v>1607</v>
      </c>
    </row>
    <row r="519" spans="1:10" ht="15" customHeight="1" x14ac:dyDescent="0.25">
      <c r="A519" t="s">
        <v>1608</v>
      </c>
      <c r="B519">
        <v>2021</v>
      </c>
      <c r="C519" t="s">
        <v>18</v>
      </c>
      <c r="D519" t="b">
        <f>TRUE()</f>
        <v>1</v>
      </c>
      <c r="E519" t="b">
        <f>COUNTIF(connections!A:A, A519) &gt; 0</f>
        <v>1</v>
      </c>
      <c r="F519" t="s">
        <v>927</v>
      </c>
      <c r="G519" t="s">
        <v>1609</v>
      </c>
      <c r="H519" t="s">
        <v>70</v>
      </c>
      <c r="I519" t="s">
        <v>1610</v>
      </c>
      <c r="J519" s="1" t="s">
        <v>1611</v>
      </c>
    </row>
    <row r="520" spans="1:10" ht="15" customHeight="1" x14ac:dyDescent="0.25">
      <c r="A520" t="s">
        <v>1612</v>
      </c>
      <c r="B520">
        <v>2022</v>
      </c>
      <c r="C520" t="s">
        <v>22</v>
      </c>
      <c r="D520" t="b">
        <f>TRUE()</f>
        <v>1</v>
      </c>
      <c r="E520" t="b">
        <f>COUNTIF(connections!A:A, A520) &gt; 0</f>
        <v>1</v>
      </c>
      <c r="F520" t="s">
        <v>214</v>
      </c>
      <c r="G520" t="s">
        <v>1613</v>
      </c>
      <c r="H520" t="s">
        <v>70</v>
      </c>
      <c r="I520" t="s">
        <v>1614</v>
      </c>
      <c r="J520" s="1" t="s">
        <v>1615</v>
      </c>
    </row>
    <row r="521" spans="1:10" ht="15" customHeight="1" x14ac:dyDescent="0.25">
      <c r="A521" t="s">
        <v>1616</v>
      </c>
      <c r="B521">
        <v>2024</v>
      </c>
      <c r="C521" t="s">
        <v>15</v>
      </c>
      <c r="D521" t="b">
        <f>TRUE()</f>
        <v>1</v>
      </c>
      <c r="E521" t="b">
        <f>COUNTIF(connections!A:A, A521) &gt; 0</f>
        <v>0</v>
      </c>
      <c r="G521" t="s">
        <v>1617</v>
      </c>
      <c r="H521" t="s">
        <v>70</v>
      </c>
      <c r="I521" t="s">
        <v>1618</v>
      </c>
      <c r="J521" s="1" t="s">
        <v>1619</v>
      </c>
    </row>
    <row r="522" spans="1:10" ht="15" customHeight="1" x14ac:dyDescent="0.25">
      <c r="A522" t="s">
        <v>1620</v>
      </c>
      <c r="B522">
        <v>2023</v>
      </c>
      <c r="C522" t="s">
        <v>15</v>
      </c>
      <c r="D522" t="b">
        <f>TRUE()</f>
        <v>1</v>
      </c>
      <c r="E522" t="b">
        <f>COUNTIF(connections!A:A, A522) &gt; 0</f>
        <v>0</v>
      </c>
      <c r="G522" t="s">
        <v>1621</v>
      </c>
      <c r="H522" t="s">
        <v>70</v>
      </c>
      <c r="I522" t="s">
        <v>1622</v>
      </c>
      <c r="J522" s="1" t="s">
        <v>1623</v>
      </c>
    </row>
    <row r="523" spans="1:10" ht="15" customHeight="1" x14ac:dyDescent="0.25">
      <c r="A523" t="s">
        <v>1624</v>
      </c>
      <c r="B523">
        <v>2025</v>
      </c>
      <c r="C523" t="s">
        <v>22</v>
      </c>
      <c r="D523" t="b">
        <f>TRUE()</f>
        <v>1</v>
      </c>
      <c r="E523" t="b">
        <f>COUNTIF(connections!A:A, A523) &gt; 0</f>
        <v>0</v>
      </c>
      <c r="F523" t="s">
        <v>182</v>
      </c>
      <c r="G523" t="s">
        <v>1625</v>
      </c>
      <c r="H523" t="s">
        <v>70</v>
      </c>
      <c r="I523" t="s">
        <v>1626</v>
      </c>
      <c r="J523" s="1" t="s">
        <v>1627</v>
      </c>
    </row>
    <row r="524" spans="1:10" ht="15" customHeight="1" x14ac:dyDescent="0.25">
      <c r="A524" t="s">
        <v>1628</v>
      </c>
      <c r="B524">
        <v>2012</v>
      </c>
      <c r="C524" t="s">
        <v>26</v>
      </c>
      <c r="D524" t="b">
        <f>TRUE()</f>
        <v>1</v>
      </c>
      <c r="E524" t="b">
        <f>COUNTIF(connections!A:A, A524) &gt; 0</f>
        <v>1</v>
      </c>
      <c r="G524" t="s">
        <v>1629</v>
      </c>
      <c r="J524" s="11" t="s">
        <v>6544</v>
      </c>
    </row>
    <row r="525" spans="1:10" ht="15" customHeight="1" x14ac:dyDescent="0.25">
      <c r="A525" t="s">
        <v>1630</v>
      </c>
      <c r="B525">
        <v>2022</v>
      </c>
      <c r="C525" t="s">
        <v>18</v>
      </c>
      <c r="D525" t="b">
        <f>FALSE()</f>
        <v>0</v>
      </c>
      <c r="E525" t="b">
        <f>COUNTIF(connections!A:A, A525) &gt; 0</f>
        <v>0</v>
      </c>
      <c r="F525" t="s">
        <v>139</v>
      </c>
      <c r="G525" t="s">
        <v>1631</v>
      </c>
      <c r="H525" t="s">
        <v>70</v>
      </c>
      <c r="I525" t="s">
        <v>1632</v>
      </c>
      <c r="J525" s="1" t="s">
        <v>1633</v>
      </c>
    </row>
    <row r="526" spans="1:10" ht="15" customHeight="1" x14ac:dyDescent="0.25">
      <c r="A526" t="s">
        <v>1634</v>
      </c>
      <c r="B526">
        <v>2026</v>
      </c>
      <c r="C526" t="s">
        <v>22</v>
      </c>
      <c r="D526" t="b">
        <f>TRUE()</f>
        <v>1</v>
      </c>
      <c r="E526" t="b">
        <f>COUNTIF(connections!A:A, A526) &gt; 0</f>
        <v>0</v>
      </c>
      <c r="G526" t="s">
        <v>1635</v>
      </c>
      <c r="J526" s="1" t="s">
        <v>1636</v>
      </c>
    </row>
    <row r="527" spans="1:10" ht="15" customHeight="1" x14ac:dyDescent="0.25">
      <c r="A527" t="s">
        <v>1637</v>
      </c>
      <c r="B527">
        <v>2021</v>
      </c>
      <c r="C527" t="s">
        <v>22</v>
      </c>
      <c r="D527" t="b">
        <f>TRUE()</f>
        <v>1</v>
      </c>
      <c r="E527" t="b">
        <f>COUNTIF(connections!A:A, A527) &gt; 0</f>
        <v>0</v>
      </c>
      <c r="F527" t="s">
        <v>214</v>
      </c>
      <c r="G527" t="s">
        <v>1638</v>
      </c>
    </row>
    <row r="528" spans="1:10" ht="15" customHeight="1" x14ac:dyDescent="0.25">
      <c r="A528" t="s">
        <v>1639</v>
      </c>
      <c r="B528">
        <v>2026</v>
      </c>
      <c r="C528" t="s">
        <v>22</v>
      </c>
      <c r="D528" t="b">
        <f>TRUE()</f>
        <v>1</v>
      </c>
      <c r="E528" t="b">
        <f>COUNTIF(connections!A:A, A528) &gt; 0</f>
        <v>0</v>
      </c>
      <c r="G528" t="s">
        <v>1640</v>
      </c>
    </row>
    <row r="529" spans="1:10" ht="15" customHeight="1" x14ac:dyDescent="0.25">
      <c r="A529" t="s">
        <v>1641</v>
      </c>
      <c r="B529">
        <v>2022</v>
      </c>
      <c r="C529" t="s">
        <v>22</v>
      </c>
      <c r="D529" t="b">
        <f>TRUE()</f>
        <v>1</v>
      </c>
      <c r="E529" t="b">
        <f>COUNTIF(connections!A:A, A529) &gt; 0</f>
        <v>0</v>
      </c>
      <c r="F529" t="s">
        <v>1642</v>
      </c>
      <c r="G529" t="s">
        <v>1643</v>
      </c>
      <c r="H529" t="s">
        <v>70</v>
      </c>
      <c r="I529" t="s">
        <v>1644</v>
      </c>
    </row>
    <row r="530" spans="1:10" ht="15" customHeight="1" x14ac:dyDescent="0.25">
      <c r="A530" t="s">
        <v>1645</v>
      </c>
      <c r="B530">
        <v>2024</v>
      </c>
      <c r="C530" t="s">
        <v>15</v>
      </c>
      <c r="D530" t="b">
        <f>FALSE()</f>
        <v>0</v>
      </c>
      <c r="E530" t="b">
        <f>COUNTIF(connections!A:A, A530) &gt; 0</f>
        <v>0</v>
      </c>
      <c r="G530" t="s">
        <v>1646</v>
      </c>
      <c r="H530" t="s">
        <v>70</v>
      </c>
      <c r="I530" t="s">
        <v>1647</v>
      </c>
      <c r="J530" s="1" t="s">
        <v>1648</v>
      </c>
    </row>
    <row r="531" spans="1:10" ht="15" customHeight="1" x14ac:dyDescent="0.25">
      <c r="A531" t="s">
        <v>1649</v>
      </c>
      <c r="B531">
        <v>2026</v>
      </c>
      <c r="C531" t="s">
        <v>18</v>
      </c>
      <c r="D531" t="b">
        <f>TRUE()</f>
        <v>1</v>
      </c>
      <c r="E531" t="b">
        <f>COUNTIF(connections!A:A, A531) &gt; 0</f>
        <v>0</v>
      </c>
      <c r="F531" t="s">
        <v>1642</v>
      </c>
      <c r="G531" t="s">
        <v>1650</v>
      </c>
      <c r="H531" t="s">
        <v>70</v>
      </c>
      <c r="I531" t="s">
        <v>1651</v>
      </c>
    </row>
    <row r="532" spans="1:10" ht="15" customHeight="1" x14ac:dyDescent="0.25">
      <c r="A532" t="s">
        <v>1652</v>
      </c>
      <c r="B532">
        <v>2021</v>
      </c>
      <c r="C532" t="s">
        <v>18</v>
      </c>
      <c r="D532" t="b">
        <f>TRUE()</f>
        <v>1</v>
      </c>
      <c r="E532" t="b">
        <f>COUNTIF(connections!A:A, A532) &gt; 0</f>
        <v>1</v>
      </c>
      <c r="F532" t="s">
        <v>1642</v>
      </c>
      <c r="G532" t="s">
        <v>1653</v>
      </c>
      <c r="H532" t="s">
        <v>70</v>
      </c>
      <c r="I532" t="s">
        <v>1654</v>
      </c>
    </row>
    <row r="533" spans="1:10" ht="15" customHeight="1" x14ac:dyDescent="0.25">
      <c r="A533" t="s">
        <v>1655</v>
      </c>
      <c r="B533">
        <v>2026</v>
      </c>
      <c r="C533" t="s">
        <v>18</v>
      </c>
      <c r="D533" t="b">
        <f>TRUE()</f>
        <v>1</v>
      </c>
      <c r="E533" t="b">
        <f>COUNTIF(connections!A:A, A533) &gt; 0</f>
        <v>0</v>
      </c>
      <c r="F533" t="s">
        <v>1642</v>
      </c>
      <c r="G533" t="s">
        <v>1656</v>
      </c>
      <c r="H533" t="s">
        <v>70</v>
      </c>
      <c r="I533" t="s">
        <v>1657</v>
      </c>
    </row>
    <row r="534" spans="1:10" ht="15" customHeight="1" x14ac:dyDescent="0.25">
      <c r="A534" t="s">
        <v>1658</v>
      </c>
      <c r="B534">
        <v>2009</v>
      </c>
      <c r="C534" t="s">
        <v>26</v>
      </c>
      <c r="D534" t="b">
        <f>TRUE()</f>
        <v>1</v>
      </c>
      <c r="E534" t="b">
        <f>COUNTIF(connections!A:A, A534) &gt; 0</f>
        <v>0</v>
      </c>
      <c r="F534" t="s">
        <v>1642</v>
      </c>
      <c r="G534" t="s">
        <v>1659</v>
      </c>
    </row>
    <row r="535" spans="1:10" ht="15" customHeight="1" x14ac:dyDescent="0.25">
      <c r="A535" t="s">
        <v>1660</v>
      </c>
      <c r="B535">
        <v>2007</v>
      </c>
      <c r="C535" t="s">
        <v>26</v>
      </c>
      <c r="D535" t="b">
        <f>TRUE()</f>
        <v>1</v>
      </c>
      <c r="E535" t="b">
        <f>COUNTIF(connections!A:A, A535) &gt; 0</f>
        <v>1</v>
      </c>
      <c r="F535" t="s">
        <v>1642</v>
      </c>
      <c r="G535" t="s">
        <v>1661</v>
      </c>
    </row>
    <row r="536" spans="1:10" ht="15" customHeight="1" x14ac:dyDescent="0.25">
      <c r="A536" t="s">
        <v>1662</v>
      </c>
      <c r="B536">
        <v>2012</v>
      </c>
      <c r="C536" t="s">
        <v>26</v>
      </c>
      <c r="D536" t="b">
        <f>TRUE()</f>
        <v>1</v>
      </c>
      <c r="E536" t="b">
        <f>COUNTIF(connections!A:A, A536) &gt; 0</f>
        <v>0</v>
      </c>
      <c r="F536" t="s">
        <v>1642</v>
      </c>
      <c r="G536" t="s">
        <v>1663</v>
      </c>
    </row>
    <row r="537" spans="1:10" ht="15" customHeight="1" x14ac:dyDescent="0.25">
      <c r="A537" t="s">
        <v>1664</v>
      </c>
      <c r="B537">
        <v>2005</v>
      </c>
      <c r="C537" t="s">
        <v>26</v>
      </c>
      <c r="D537" t="b">
        <f>TRUE()</f>
        <v>1</v>
      </c>
      <c r="E537" t="b">
        <f>COUNTIF(connections!A:A, A537) &gt; 0</f>
        <v>1</v>
      </c>
      <c r="F537" t="s">
        <v>1642</v>
      </c>
      <c r="G537" t="s">
        <v>1665</v>
      </c>
    </row>
    <row r="538" spans="1:10" ht="15" customHeight="1" x14ac:dyDescent="0.25">
      <c r="A538" t="s">
        <v>1666</v>
      </c>
      <c r="B538">
        <v>2020</v>
      </c>
      <c r="C538" t="s">
        <v>26</v>
      </c>
      <c r="D538" t="b">
        <f>TRUE()</f>
        <v>1</v>
      </c>
      <c r="E538" t="b">
        <f>COUNTIF(connections!A:A, A538) &gt; 0</f>
        <v>0</v>
      </c>
      <c r="F538" t="s">
        <v>1642</v>
      </c>
      <c r="G538" t="s">
        <v>1667</v>
      </c>
    </row>
    <row r="539" spans="1:10" ht="15" customHeight="1" x14ac:dyDescent="0.25">
      <c r="A539" t="s">
        <v>1668</v>
      </c>
      <c r="B539">
        <v>2015</v>
      </c>
      <c r="C539" t="s">
        <v>26</v>
      </c>
      <c r="D539" t="b">
        <f>TRUE()</f>
        <v>1</v>
      </c>
      <c r="E539" t="b">
        <f>COUNTIF(connections!A:A, A539) &gt; 0</f>
        <v>0</v>
      </c>
      <c r="F539" t="s">
        <v>1642</v>
      </c>
      <c r="G539" t="s">
        <v>1669</v>
      </c>
    </row>
    <row r="540" spans="1:10" ht="15" customHeight="1" x14ac:dyDescent="0.25">
      <c r="A540" t="s">
        <v>1670</v>
      </c>
      <c r="B540">
        <v>2024</v>
      </c>
      <c r="C540" t="s">
        <v>18</v>
      </c>
      <c r="D540" t="b">
        <f>TRUE()</f>
        <v>1</v>
      </c>
      <c r="E540" t="b">
        <f>COUNTIF(connections!A:A, A540) &gt; 0</f>
        <v>1</v>
      </c>
      <c r="F540" t="s">
        <v>1642</v>
      </c>
      <c r="G540" t="s">
        <v>1671</v>
      </c>
    </row>
    <row r="541" spans="1:10" ht="15" customHeight="1" x14ac:dyDescent="0.25">
      <c r="A541" t="s">
        <v>1672</v>
      </c>
      <c r="B541">
        <v>2025</v>
      </c>
      <c r="C541" t="s">
        <v>18</v>
      </c>
      <c r="D541" t="b">
        <f>TRUE()</f>
        <v>1</v>
      </c>
      <c r="E541" t="b">
        <f>COUNTIF(connections!A:A, A541) &gt; 0</f>
        <v>0</v>
      </c>
      <c r="F541" t="s">
        <v>1642</v>
      </c>
      <c r="G541" t="s">
        <v>1673</v>
      </c>
      <c r="H541" t="s">
        <v>70</v>
      </c>
      <c r="I541" t="s">
        <v>1674</v>
      </c>
    </row>
    <row r="542" spans="1:10" ht="15" customHeight="1" x14ac:dyDescent="0.25">
      <c r="A542" t="s">
        <v>1675</v>
      </c>
      <c r="B542">
        <v>2020</v>
      </c>
      <c r="C542" t="s">
        <v>18</v>
      </c>
      <c r="D542" t="b">
        <f>TRUE()</f>
        <v>1</v>
      </c>
      <c r="E542" t="b">
        <f>COUNTIF(connections!A:A, A542) &gt; 0</f>
        <v>1</v>
      </c>
      <c r="G542" t="s">
        <v>1676</v>
      </c>
    </row>
    <row r="543" spans="1:10" ht="15" customHeight="1" x14ac:dyDescent="0.25">
      <c r="A543" t="s">
        <v>1677</v>
      </c>
      <c r="B543">
        <v>2003</v>
      </c>
      <c r="C543" t="s">
        <v>26</v>
      </c>
      <c r="D543" t="b">
        <f>TRUE()</f>
        <v>1</v>
      </c>
      <c r="E543" t="b">
        <f>COUNTIF(connections!A:A, A543) &gt; 0</f>
        <v>1</v>
      </c>
      <c r="G543" t="s">
        <v>1678</v>
      </c>
      <c r="H543" t="s">
        <v>70</v>
      </c>
      <c r="I543" t="s">
        <v>6429</v>
      </c>
    </row>
    <row r="544" spans="1:10" ht="15" customHeight="1" x14ac:dyDescent="0.25">
      <c r="A544" t="s">
        <v>1679</v>
      </c>
      <c r="B544">
        <v>2024</v>
      </c>
      <c r="C544" t="s">
        <v>15</v>
      </c>
      <c r="D544" t="b">
        <f>TRUE()</f>
        <v>1</v>
      </c>
      <c r="E544" t="b">
        <f>COUNTIF(connections!A:A, A544) &gt; 0</f>
        <v>0</v>
      </c>
      <c r="G544" t="s">
        <v>1680</v>
      </c>
    </row>
    <row r="545" spans="1:10" ht="15" customHeight="1" x14ac:dyDescent="0.25">
      <c r="A545" t="s">
        <v>1681</v>
      </c>
      <c r="B545">
        <v>2026</v>
      </c>
      <c r="C545" t="s">
        <v>18</v>
      </c>
      <c r="D545" t="b">
        <f>TRUE()</f>
        <v>1</v>
      </c>
      <c r="E545" t="b">
        <f>COUNTIF(connections!A:A, A545) &gt; 0</f>
        <v>0</v>
      </c>
      <c r="F545" t="s">
        <v>552</v>
      </c>
      <c r="G545" t="s">
        <v>1682</v>
      </c>
      <c r="J545" s="1" t="s">
        <v>1683</v>
      </c>
    </row>
    <row r="546" spans="1:10" ht="15" customHeight="1" x14ac:dyDescent="0.25">
      <c r="A546" t="s">
        <v>1684</v>
      </c>
      <c r="B546">
        <v>2022</v>
      </c>
      <c r="C546" t="s">
        <v>15</v>
      </c>
      <c r="D546" t="b">
        <f>TRUE()</f>
        <v>1</v>
      </c>
      <c r="E546" t="b">
        <f>COUNTIF(connections!A:A, A546) &gt; 0</f>
        <v>0</v>
      </c>
      <c r="G546" t="s">
        <v>1685</v>
      </c>
      <c r="H546" t="s">
        <v>70</v>
      </c>
      <c r="I546" t="s">
        <v>1686</v>
      </c>
      <c r="J546" s="1" t="s">
        <v>1687</v>
      </c>
    </row>
    <row r="547" spans="1:10" ht="15" customHeight="1" x14ac:dyDescent="0.25">
      <c r="A547" t="s">
        <v>1688</v>
      </c>
      <c r="B547">
        <v>2023</v>
      </c>
      <c r="C547" t="s">
        <v>26</v>
      </c>
      <c r="D547" t="b">
        <f>TRUE()</f>
        <v>1</v>
      </c>
      <c r="E547" t="b">
        <f>COUNTIF(connections!A:A, A547) &gt; 0</f>
        <v>0</v>
      </c>
      <c r="G547" t="s">
        <v>1689</v>
      </c>
      <c r="H547" t="s">
        <v>70</v>
      </c>
      <c r="I547" t="s">
        <v>1690</v>
      </c>
      <c r="J547" s="1" t="s">
        <v>1691</v>
      </c>
    </row>
    <row r="548" spans="1:10" ht="15" customHeight="1" x14ac:dyDescent="0.25">
      <c r="A548" t="s">
        <v>1692</v>
      </c>
      <c r="B548">
        <v>2014</v>
      </c>
      <c r="C548" t="s">
        <v>26</v>
      </c>
      <c r="D548" t="b">
        <f>TRUE()</f>
        <v>1</v>
      </c>
      <c r="E548" t="b">
        <f>COUNTIF(connections!A:A, A548) &gt; 0</f>
        <v>0</v>
      </c>
      <c r="G548" t="s">
        <v>1693</v>
      </c>
      <c r="H548" t="s">
        <v>70</v>
      </c>
      <c r="I548" t="s">
        <v>1694</v>
      </c>
      <c r="J548" s="1" t="s">
        <v>1695</v>
      </c>
    </row>
    <row r="549" spans="1:10" ht="15" customHeight="1" x14ac:dyDescent="0.25">
      <c r="A549" t="s">
        <v>1696</v>
      </c>
      <c r="B549">
        <v>2024</v>
      </c>
      <c r="C549" t="s">
        <v>15</v>
      </c>
      <c r="D549" t="b">
        <f>FALSE()</f>
        <v>0</v>
      </c>
      <c r="E549" t="b">
        <f>COUNTIF(connections!A:A, A549) &gt; 0</f>
        <v>0</v>
      </c>
      <c r="G549" t="s">
        <v>1697</v>
      </c>
    </row>
    <row r="550" spans="1:10" ht="15" customHeight="1" x14ac:dyDescent="0.25">
      <c r="A550" t="s">
        <v>1698</v>
      </c>
      <c r="B550">
        <v>2026</v>
      </c>
      <c r="C550" t="s">
        <v>22</v>
      </c>
      <c r="D550" t="b">
        <f>TRUE()</f>
        <v>1</v>
      </c>
      <c r="E550" t="b">
        <f>COUNTIF(connections!A:A, A550) &gt; 0</f>
        <v>0</v>
      </c>
      <c r="F550" t="s">
        <v>214</v>
      </c>
      <c r="G550" t="s">
        <v>1699</v>
      </c>
      <c r="H550" t="s">
        <v>70</v>
      </c>
      <c r="I550" t="s">
        <v>1700</v>
      </c>
      <c r="J550" s="1" t="s">
        <v>1701</v>
      </c>
    </row>
    <row r="551" spans="1:10" ht="15" customHeight="1" x14ac:dyDescent="0.25">
      <c r="A551" t="s">
        <v>1702</v>
      </c>
      <c r="B551">
        <v>2024</v>
      </c>
      <c r="C551" t="s">
        <v>18</v>
      </c>
      <c r="D551" t="b">
        <f>TRUE()</f>
        <v>1</v>
      </c>
      <c r="E551" t="b">
        <f>COUNTIF(connections!A:A, A551) &gt; 0</f>
        <v>0</v>
      </c>
      <c r="G551" t="s">
        <v>1703</v>
      </c>
      <c r="H551" t="s">
        <v>70</v>
      </c>
      <c r="I551" t="s">
        <v>1704</v>
      </c>
      <c r="J551" s="1" t="s">
        <v>1705</v>
      </c>
    </row>
    <row r="552" spans="1:10" ht="15" customHeight="1" x14ac:dyDescent="0.25">
      <c r="A552" t="s">
        <v>1706</v>
      </c>
      <c r="B552">
        <v>1992</v>
      </c>
      <c r="C552" t="s">
        <v>26</v>
      </c>
      <c r="D552" t="b">
        <f>TRUE()</f>
        <v>1</v>
      </c>
      <c r="E552" t="b">
        <f>COUNTIF(connections!A:A, A552) &gt; 0</f>
        <v>1</v>
      </c>
      <c r="G552" t="s">
        <v>1707</v>
      </c>
      <c r="H552" t="s">
        <v>70</v>
      </c>
      <c r="I552" t="s">
        <v>1708</v>
      </c>
    </row>
    <row r="553" spans="1:10" ht="15" customHeight="1" x14ac:dyDescent="0.25">
      <c r="A553" t="s">
        <v>1709</v>
      </c>
      <c r="B553">
        <v>2024</v>
      </c>
      <c r="C553" t="s">
        <v>15</v>
      </c>
      <c r="D553" t="b">
        <f>TRUE()</f>
        <v>1</v>
      </c>
      <c r="E553" t="b">
        <f>COUNTIF(connections!A:A, A553) &gt; 0</f>
        <v>0</v>
      </c>
      <c r="G553" t="s">
        <v>1710</v>
      </c>
    </row>
    <row r="554" spans="1:10" ht="15" customHeight="1" x14ac:dyDescent="0.25">
      <c r="A554" t="s">
        <v>6508</v>
      </c>
      <c r="B554">
        <v>2015</v>
      </c>
      <c r="C554" t="s">
        <v>15</v>
      </c>
      <c r="D554" t="b">
        <f>TRUE()</f>
        <v>1</v>
      </c>
      <c r="E554" t="b">
        <f>COUNTIF(connections!A:A, A554) &gt; 0</f>
        <v>0</v>
      </c>
      <c r="G554" t="s">
        <v>6509</v>
      </c>
      <c r="J554" s="11" t="s">
        <v>6510</v>
      </c>
    </row>
    <row r="555" spans="1:10" ht="15" customHeight="1" x14ac:dyDescent="0.25">
      <c r="A555" t="s">
        <v>1711</v>
      </c>
      <c r="B555">
        <v>2019</v>
      </c>
      <c r="C555" t="s">
        <v>22</v>
      </c>
      <c r="D555" t="b">
        <f>TRUE()</f>
        <v>1</v>
      </c>
      <c r="E555" t="b">
        <f>COUNTIF(connections!A:A, A555) &gt; 0</f>
        <v>0</v>
      </c>
      <c r="G555" t="s">
        <v>1712</v>
      </c>
      <c r="H555" t="s">
        <v>70</v>
      </c>
      <c r="I555" t="s">
        <v>1713</v>
      </c>
      <c r="J555" s="1" t="s">
        <v>1714</v>
      </c>
    </row>
    <row r="556" spans="1:10" ht="15" customHeight="1" x14ac:dyDescent="0.25">
      <c r="A556" t="s">
        <v>1715</v>
      </c>
      <c r="B556">
        <v>2023</v>
      </c>
      <c r="C556" t="s">
        <v>15</v>
      </c>
      <c r="D556" t="b">
        <f>TRUE()</f>
        <v>1</v>
      </c>
      <c r="E556" t="b">
        <f>COUNTIF(connections!A:A, A556) &gt; 0</f>
        <v>1</v>
      </c>
      <c r="G556" t="s">
        <v>1716</v>
      </c>
      <c r="H556" t="s">
        <v>70</v>
      </c>
      <c r="I556" t="s">
        <v>1717</v>
      </c>
      <c r="J556" s="1" t="s">
        <v>1718</v>
      </c>
    </row>
    <row r="557" spans="1:10" ht="15" customHeight="1" x14ac:dyDescent="0.25">
      <c r="A557" t="s">
        <v>1719</v>
      </c>
      <c r="B557">
        <v>2025</v>
      </c>
      <c r="C557" t="s">
        <v>15</v>
      </c>
      <c r="D557" t="b">
        <f>TRUE()</f>
        <v>1</v>
      </c>
      <c r="E557" t="b">
        <f>COUNTIF(connections!A:A, A557) &gt; 0</f>
        <v>0</v>
      </c>
      <c r="F557" t="s">
        <v>149</v>
      </c>
      <c r="G557" t="s">
        <v>1720</v>
      </c>
    </row>
    <row r="558" spans="1:10" ht="15" customHeight="1" x14ac:dyDescent="0.25">
      <c r="A558" t="s">
        <v>1721</v>
      </c>
      <c r="B558">
        <v>2024</v>
      </c>
      <c r="C558" t="s">
        <v>15</v>
      </c>
      <c r="D558" t="b">
        <f>TRUE()</f>
        <v>1</v>
      </c>
      <c r="E558" t="b">
        <f>COUNTIF(connections!A:A, A558) &gt; 0</f>
        <v>0</v>
      </c>
      <c r="G558" t="s">
        <v>1722</v>
      </c>
    </row>
    <row r="559" spans="1:10" ht="15" customHeight="1" x14ac:dyDescent="0.25">
      <c r="A559" t="s">
        <v>1723</v>
      </c>
      <c r="B559">
        <v>2010</v>
      </c>
      <c r="C559" t="s">
        <v>15</v>
      </c>
      <c r="D559" t="b">
        <f>TRUE()</f>
        <v>1</v>
      </c>
      <c r="E559" t="b">
        <f>COUNTIF(connections!A:A, A559) &gt; 0</f>
        <v>1</v>
      </c>
      <c r="G559" t="s">
        <v>1724</v>
      </c>
      <c r="H559" t="s">
        <v>70</v>
      </c>
      <c r="I559" t="s">
        <v>1725</v>
      </c>
      <c r="J559" s="1" t="s">
        <v>1726</v>
      </c>
    </row>
    <row r="560" spans="1:10" ht="15" customHeight="1" x14ac:dyDescent="0.25">
      <c r="A560" t="s">
        <v>6459</v>
      </c>
      <c r="B560">
        <v>2012</v>
      </c>
      <c r="C560" t="s">
        <v>15</v>
      </c>
      <c r="D560" t="b">
        <f>TRUE()</f>
        <v>1</v>
      </c>
      <c r="E560" t="b">
        <f>COUNTIF(connections!A:A, A560) &gt; 0</f>
        <v>0</v>
      </c>
      <c r="G560" t="s">
        <v>6460</v>
      </c>
      <c r="H560" t="s">
        <v>70</v>
      </c>
      <c r="I560" t="s">
        <v>6462</v>
      </c>
    </row>
    <row r="561" spans="1:10" ht="15" customHeight="1" x14ac:dyDescent="0.25">
      <c r="A561" t="s">
        <v>1727</v>
      </c>
      <c r="B561">
        <v>2022</v>
      </c>
      <c r="C561" t="s">
        <v>15</v>
      </c>
      <c r="D561" t="b">
        <f>TRUE()</f>
        <v>1</v>
      </c>
      <c r="E561" t="b">
        <f>COUNTIF(connections!A:A, A561) &gt; 0</f>
        <v>0</v>
      </c>
      <c r="G561" t="s">
        <v>1728</v>
      </c>
      <c r="H561" t="s">
        <v>70</v>
      </c>
      <c r="I561" t="s">
        <v>1729</v>
      </c>
      <c r="J561" s="1" t="s">
        <v>1730</v>
      </c>
    </row>
    <row r="562" spans="1:10" ht="15" customHeight="1" x14ac:dyDescent="0.25">
      <c r="A562" t="s">
        <v>6628</v>
      </c>
      <c r="B562">
        <v>2025</v>
      </c>
      <c r="C562" t="s">
        <v>22</v>
      </c>
      <c r="D562" t="b">
        <f>TRUE()</f>
        <v>1</v>
      </c>
      <c r="E562" t="b">
        <f>COUNTIF(connections!A:A, A562) &gt; 0</f>
        <v>0</v>
      </c>
      <c r="G562" t="s">
        <v>6629</v>
      </c>
      <c r="J562" s="11" t="s">
        <v>6630</v>
      </c>
    </row>
    <row r="563" spans="1:10" ht="15" customHeight="1" x14ac:dyDescent="0.25">
      <c r="A563" t="s">
        <v>1731</v>
      </c>
      <c r="B563">
        <v>2023</v>
      </c>
      <c r="C563" t="s">
        <v>15</v>
      </c>
      <c r="D563" t="b">
        <f>TRUE()</f>
        <v>1</v>
      </c>
      <c r="E563" t="b">
        <f>COUNTIF(connections!A:A, A563) &gt; 0</f>
        <v>0</v>
      </c>
      <c r="G563" t="s">
        <v>1732</v>
      </c>
      <c r="H563" t="s">
        <v>70</v>
      </c>
      <c r="I563" t="s">
        <v>1733</v>
      </c>
      <c r="J563" s="1" t="s">
        <v>1734</v>
      </c>
    </row>
    <row r="564" spans="1:10" ht="15" customHeight="1" x14ac:dyDescent="0.25">
      <c r="A564" t="s">
        <v>1735</v>
      </c>
      <c r="B564">
        <v>2023</v>
      </c>
      <c r="C564" t="s">
        <v>15</v>
      </c>
      <c r="D564" t="b">
        <f>TRUE()</f>
        <v>1</v>
      </c>
      <c r="E564" t="b">
        <f>COUNTIF(connections!A:A, A564) &gt; 0</f>
        <v>1</v>
      </c>
      <c r="G564" t="s">
        <v>1736</v>
      </c>
      <c r="H564" t="s">
        <v>70</v>
      </c>
      <c r="I564" t="s">
        <v>1737</v>
      </c>
      <c r="J564" s="1" t="s">
        <v>1738</v>
      </c>
    </row>
    <row r="565" spans="1:10" ht="15" customHeight="1" x14ac:dyDescent="0.25">
      <c r="A565" t="s">
        <v>1739</v>
      </c>
      <c r="B565">
        <v>2021</v>
      </c>
      <c r="C565" t="s">
        <v>15</v>
      </c>
      <c r="D565" t="b">
        <f>TRUE()</f>
        <v>1</v>
      </c>
      <c r="E565" t="b">
        <f>COUNTIF(connections!A:A, A565) &gt; 0</f>
        <v>0</v>
      </c>
      <c r="G565" t="s">
        <v>1740</v>
      </c>
      <c r="H565" t="s">
        <v>70</v>
      </c>
      <c r="I565" t="s">
        <v>1741</v>
      </c>
      <c r="J565" s="1" t="s">
        <v>1742</v>
      </c>
    </row>
    <row r="566" spans="1:10" ht="15" customHeight="1" x14ac:dyDescent="0.25">
      <c r="A566" t="s">
        <v>1743</v>
      </c>
      <c r="B566">
        <v>2025</v>
      </c>
      <c r="C566" t="s">
        <v>15</v>
      </c>
      <c r="D566" t="b">
        <f>TRUE()</f>
        <v>1</v>
      </c>
      <c r="E566" t="b">
        <f>COUNTIF(connections!A:A, A566) &gt; 0</f>
        <v>0</v>
      </c>
      <c r="F566" t="s">
        <v>255</v>
      </c>
      <c r="G566" t="s">
        <v>1744</v>
      </c>
      <c r="H566" t="s">
        <v>70</v>
      </c>
      <c r="I566" t="s">
        <v>1745</v>
      </c>
      <c r="J566" s="1" t="s">
        <v>1746</v>
      </c>
    </row>
    <row r="567" spans="1:10" ht="15" customHeight="1" x14ac:dyDescent="0.25">
      <c r="A567" t="s">
        <v>1747</v>
      </c>
      <c r="B567">
        <v>2020</v>
      </c>
      <c r="C567" t="s">
        <v>26</v>
      </c>
      <c r="D567" t="b">
        <f>TRUE()</f>
        <v>1</v>
      </c>
      <c r="E567" t="b">
        <f>COUNTIF(connections!A:A, A567) &gt; 0</f>
        <v>1</v>
      </c>
      <c r="G567" t="s">
        <v>1748</v>
      </c>
      <c r="H567" t="s">
        <v>70</v>
      </c>
      <c r="I567" t="s">
        <v>1749</v>
      </c>
      <c r="J567" s="1" t="s">
        <v>1750</v>
      </c>
    </row>
    <row r="568" spans="1:10" ht="15" customHeight="1" x14ac:dyDescent="0.25">
      <c r="A568" t="s">
        <v>1751</v>
      </c>
      <c r="B568">
        <v>2024</v>
      </c>
      <c r="C568" t="s">
        <v>26</v>
      </c>
      <c r="D568" t="b">
        <f>TRUE()</f>
        <v>1</v>
      </c>
      <c r="E568" t="b">
        <f>COUNTIF(connections!A:A, A568) &gt; 0</f>
        <v>1</v>
      </c>
      <c r="G568" t="s">
        <v>1752</v>
      </c>
      <c r="H568" t="s">
        <v>70</v>
      </c>
      <c r="I568" t="s">
        <v>1753</v>
      </c>
      <c r="J568" s="1" t="s">
        <v>1754</v>
      </c>
    </row>
    <row r="569" spans="1:10" ht="15" customHeight="1" x14ac:dyDescent="0.25">
      <c r="A569" t="s">
        <v>1755</v>
      </c>
      <c r="B569">
        <v>2026</v>
      </c>
      <c r="C569" t="s">
        <v>26</v>
      </c>
      <c r="D569" t="b">
        <f>TRUE()</f>
        <v>1</v>
      </c>
      <c r="E569" t="b">
        <f>COUNTIF(connections!A:A, A569) &gt; 0</f>
        <v>0</v>
      </c>
      <c r="G569" t="s">
        <v>1756</v>
      </c>
      <c r="J569" s="1" t="s">
        <v>1757</v>
      </c>
    </row>
    <row r="570" spans="1:10" ht="15" customHeight="1" x14ac:dyDescent="0.25">
      <c r="A570" t="s">
        <v>1758</v>
      </c>
      <c r="B570">
        <v>2022</v>
      </c>
      <c r="C570" t="s">
        <v>22</v>
      </c>
      <c r="D570" t="b">
        <f>TRUE()</f>
        <v>1</v>
      </c>
      <c r="E570" t="b">
        <f>COUNTIF(connections!A:A, A570) &gt; 0</f>
        <v>0</v>
      </c>
      <c r="G570" t="s">
        <v>1759</v>
      </c>
      <c r="H570" t="s">
        <v>70</v>
      </c>
      <c r="I570" t="s">
        <v>1760</v>
      </c>
      <c r="J570" s="1" t="s">
        <v>1761</v>
      </c>
    </row>
    <row r="571" spans="1:10" ht="15" customHeight="1" x14ac:dyDescent="0.25">
      <c r="A571" t="s">
        <v>1762</v>
      </c>
      <c r="B571">
        <v>2020</v>
      </c>
      <c r="C571" t="s">
        <v>18</v>
      </c>
      <c r="D571" t="b">
        <f>TRUE()</f>
        <v>1</v>
      </c>
      <c r="E571" t="b">
        <f>COUNTIF(connections!A:A, A571) &gt; 0</f>
        <v>1</v>
      </c>
      <c r="G571" t="s">
        <v>1763</v>
      </c>
      <c r="H571" t="s">
        <v>70</v>
      </c>
      <c r="I571" t="s">
        <v>1764</v>
      </c>
      <c r="J571" s="1" t="s">
        <v>1765</v>
      </c>
    </row>
    <row r="572" spans="1:10" ht="15" customHeight="1" x14ac:dyDescent="0.25">
      <c r="A572" t="s">
        <v>1766</v>
      </c>
      <c r="B572">
        <v>2025</v>
      </c>
      <c r="C572" t="s">
        <v>22</v>
      </c>
      <c r="D572" t="b">
        <f>FALSE()</f>
        <v>0</v>
      </c>
      <c r="E572" t="b">
        <f>COUNTIF(connections!A:A, A572) &gt; 0</f>
        <v>0</v>
      </c>
      <c r="G572" t="s">
        <v>1767</v>
      </c>
      <c r="H572" t="s">
        <v>70</v>
      </c>
      <c r="I572" t="s">
        <v>1768</v>
      </c>
      <c r="J572" s="1" t="s">
        <v>1769</v>
      </c>
    </row>
    <row r="573" spans="1:10" ht="15" customHeight="1" x14ac:dyDescent="0.25">
      <c r="A573" t="s">
        <v>1770</v>
      </c>
      <c r="B573">
        <v>2017</v>
      </c>
      <c r="C573" t="s">
        <v>15</v>
      </c>
      <c r="D573" t="b">
        <f>TRUE()</f>
        <v>1</v>
      </c>
      <c r="E573" t="b">
        <f>COUNTIF(connections!A:A, A573) &gt; 0</f>
        <v>1</v>
      </c>
      <c r="G573" t="s">
        <v>1771</v>
      </c>
    </row>
    <row r="574" spans="1:10" ht="15" customHeight="1" x14ac:dyDescent="0.25">
      <c r="A574" t="s">
        <v>1772</v>
      </c>
      <c r="B574">
        <v>2013</v>
      </c>
      <c r="C574" t="s">
        <v>15</v>
      </c>
      <c r="D574" t="b">
        <f>TRUE()</f>
        <v>1</v>
      </c>
      <c r="E574" t="b">
        <f>COUNTIF(connections!A:A, A574) &gt; 0</f>
        <v>1</v>
      </c>
      <c r="F574" t="s">
        <v>149</v>
      </c>
      <c r="G574" t="s">
        <v>1773</v>
      </c>
      <c r="H574" t="s">
        <v>70</v>
      </c>
      <c r="I574" t="s">
        <v>1774</v>
      </c>
      <c r="J574" s="1" t="s">
        <v>1775</v>
      </c>
    </row>
    <row r="575" spans="1:10" ht="15" customHeight="1" x14ac:dyDescent="0.25">
      <c r="A575" t="s">
        <v>1776</v>
      </c>
      <c r="B575">
        <v>2020</v>
      </c>
      <c r="C575" t="s">
        <v>15</v>
      </c>
      <c r="D575" t="b">
        <f>TRUE()</f>
        <v>1</v>
      </c>
      <c r="E575" t="b">
        <f>COUNTIF(connections!A:A, A575) &gt; 0</f>
        <v>1</v>
      </c>
      <c r="F575" t="s">
        <v>149</v>
      </c>
      <c r="G575" t="s">
        <v>1777</v>
      </c>
      <c r="H575" t="s">
        <v>70</v>
      </c>
      <c r="I575" t="s">
        <v>1778</v>
      </c>
      <c r="J575" s="1" t="s">
        <v>1779</v>
      </c>
    </row>
    <row r="576" spans="1:10" ht="15" customHeight="1" x14ac:dyDescent="0.25">
      <c r="A576" t="s">
        <v>1780</v>
      </c>
      <c r="B576">
        <v>2023</v>
      </c>
      <c r="C576" t="s">
        <v>15</v>
      </c>
      <c r="D576" t="b">
        <f>TRUE()</f>
        <v>1</v>
      </c>
      <c r="E576" t="b">
        <f>COUNTIF(connections!A:A, A576) &gt; 0</f>
        <v>0</v>
      </c>
      <c r="F576" t="s">
        <v>149</v>
      </c>
      <c r="G576" t="s">
        <v>1781</v>
      </c>
      <c r="H576" t="s">
        <v>70</v>
      </c>
      <c r="I576" t="s">
        <v>1782</v>
      </c>
      <c r="J576" s="1" t="s">
        <v>1783</v>
      </c>
    </row>
    <row r="577" spans="1:10" ht="15" customHeight="1" x14ac:dyDescent="0.25">
      <c r="A577" t="s">
        <v>1784</v>
      </c>
      <c r="B577">
        <v>2014</v>
      </c>
      <c r="C577" t="s">
        <v>18</v>
      </c>
      <c r="D577" t="b">
        <f>TRUE()</f>
        <v>1</v>
      </c>
      <c r="E577" t="b">
        <f>COUNTIF(connections!A:A, A577) &gt; 0</f>
        <v>0</v>
      </c>
      <c r="G577" t="s">
        <v>1785</v>
      </c>
    </row>
    <row r="578" spans="1:10" ht="15" customHeight="1" x14ac:dyDescent="0.25">
      <c r="A578" t="s">
        <v>1786</v>
      </c>
      <c r="B578">
        <v>2020</v>
      </c>
      <c r="C578" t="s">
        <v>15</v>
      </c>
      <c r="D578" t="b">
        <f>TRUE()</f>
        <v>1</v>
      </c>
      <c r="E578" t="b">
        <f>COUNTIF(connections!A:A, A578) &gt; 0</f>
        <v>1</v>
      </c>
      <c r="G578" t="s">
        <v>1787</v>
      </c>
      <c r="H578" t="s">
        <v>70</v>
      </c>
      <c r="I578" t="s">
        <v>1788</v>
      </c>
      <c r="J578" s="1" t="s">
        <v>1789</v>
      </c>
    </row>
    <row r="579" spans="1:10" ht="15" customHeight="1" x14ac:dyDescent="0.25">
      <c r="A579" t="s">
        <v>1790</v>
      </c>
      <c r="B579">
        <v>2024</v>
      </c>
      <c r="C579" t="s">
        <v>15</v>
      </c>
      <c r="D579" t="b">
        <f>TRUE()</f>
        <v>1</v>
      </c>
      <c r="E579" t="b">
        <f>COUNTIF(connections!A:A, A579) &gt; 0</f>
        <v>0</v>
      </c>
      <c r="F579" t="s">
        <v>149</v>
      </c>
      <c r="G579" t="s">
        <v>1791</v>
      </c>
      <c r="H579" t="s">
        <v>70</v>
      </c>
      <c r="I579" t="s">
        <v>1792</v>
      </c>
      <c r="J579" s="1" t="s">
        <v>1793</v>
      </c>
    </row>
    <row r="580" spans="1:10" ht="15" customHeight="1" x14ac:dyDescent="0.25">
      <c r="A580" t="s">
        <v>1794</v>
      </c>
      <c r="B580">
        <v>1980</v>
      </c>
      <c r="C580" t="s">
        <v>26</v>
      </c>
      <c r="D580" t="b">
        <f>TRUE()</f>
        <v>1</v>
      </c>
      <c r="E580" t="b">
        <f>COUNTIF(connections!A:A, A580) &gt; 0</f>
        <v>1</v>
      </c>
      <c r="G580" t="s">
        <v>1795</v>
      </c>
      <c r="H580" t="s">
        <v>70</v>
      </c>
      <c r="I580" t="s">
        <v>1796</v>
      </c>
      <c r="J580" s="1" t="s">
        <v>1797</v>
      </c>
    </row>
    <row r="581" spans="1:10" ht="15" customHeight="1" x14ac:dyDescent="0.25">
      <c r="A581" t="s">
        <v>1798</v>
      </c>
      <c r="B581">
        <v>2024</v>
      </c>
      <c r="C581" t="s">
        <v>18</v>
      </c>
      <c r="D581" t="b">
        <f>TRUE()</f>
        <v>1</v>
      </c>
      <c r="E581" t="b">
        <f>COUNTIF(connections!A:A, A581) &gt; 0</f>
        <v>0</v>
      </c>
      <c r="G581" t="s">
        <v>1799</v>
      </c>
    </row>
    <row r="582" spans="1:10" ht="15" customHeight="1" x14ac:dyDescent="0.25">
      <c r="A582" t="s">
        <v>1800</v>
      </c>
      <c r="B582">
        <v>2019</v>
      </c>
      <c r="C582" t="s">
        <v>26</v>
      </c>
      <c r="D582" t="b">
        <f>TRUE()</f>
        <v>1</v>
      </c>
      <c r="E582" t="b">
        <f>COUNTIF(connections!A:A, A582) &gt; 0</f>
        <v>0</v>
      </c>
      <c r="G582" t="s">
        <v>1801</v>
      </c>
    </row>
    <row r="583" spans="1:10" ht="15" customHeight="1" x14ac:dyDescent="0.25">
      <c r="A583" t="s">
        <v>1802</v>
      </c>
      <c r="B583">
        <v>2026</v>
      </c>
      <c r="C583" t="s">
        <v>15</v>
      </c>
      <c r="D583" t="b">
        <f>TRUE()</f>
        <v>1</v>
      </c>
      <c r="E583" t="b">
        <f>COUNTIF(connections!A:A, A583) &gt; 0</f>
        <v>0</v>
      </c>
      <c r="G583" t="s">
        <v>1803</v>
      </c>
    </row>
    <row r="584" spans="1:10" ht="15" customHeight="1" x14ac:dyDescent="0.25">
      <c r="A584" t="s">
        <v>1804</v>
      </c>
      <c r="B584">
        <v>2024</v>
      </c>
      <c r="C584" t="s">
        <v>15</v>
      </c>
      <c r="D584" t="b">
        <f>FALSE()</f>
        <v>0</v>
      </c>
      <c r="E584" t="b">
        <f>COUNTIF(connections!A:A, A584) &gt; 0</f>
        <v>0</v>
      </c>
      <c r="F584" t="s">
        <v>149</v>
      </c>
      <c r="G584" t="s">
        <v>1805</v>
      </c>
    </row>
    <row r="585" spans="1:10" ht="15" customHeight="1" x14ac:dyDescent="0.25">
      <c r="A585" t="s">
        <v>1806</v>
      </c>
      <c r="B585">
        <v>2021</v>
      </c>
      <c r="C585" t="s">
        <v>15</v>
      </c>
      <c r="D585" t="b">
        <f>TRUE()</f>
        <v>1</v>
      </c>
      <c r="E585" t="b">
        <f>COUNTIF(connections!A:A, A585) &gt; 0</f>
        <v>0</v>
      </c>
      <c r="G585" t="s">
        <v>1807</v>
      </c>
      <c r="H585" t="s">
        <v>70</v>
      </c>
      <c r="I585" t="s">
        <v>1808</v>
      </c>
      <c r="J585" s="1" t="s">
        <v>1809</v>
      </c>
    </row>
    <row r="586" spans="1:10" ht="15" customHeight="1" x14ac:dyDescent="0.25">
      <c r="A586" t="s">
        <v>1810</v>
      </c>
      <c r="B586">
        <v>2013</v>
      </c>
      <c r="C586" t="s">
        <v>15</v>
      </c>
      <c r="D586" t="b">
        <f>TRUE()</f>
        <v>1</v>
      </c>
      <c r="E586" t="b">
        <f>COUNTIF(connections!A:A, A586) &gt; 0</f>
        <v>1</v>
      </c>
      <c r="G586" t="s">
        <v>1811</v>
      </c>
      <c r="H586" t="s">
        <v>70</v>
      </c>
      <c r="I586" t="s">
        <v>1812</v>
      </c>
      <c r="J586" s="1" t="s">
        <v>1813</v>
      </c>
    </row>
    <row r="587" spans="1:10" ht="15" customHeight="1" x14ac:dyDescent="0.25">
      <c r="A587" t="s">
        <v>1814</v>
      </c>
      <c r="B587">
        <v>2020</v>
      </c>
      <c r="C587" t="s">
        <v>15</v>
      </c>
      <c r="D587" t="b">
        <f>TRUE()</f>
        <v>1</v>
      </c>
      <c r="E587" t="b">
        <f>COUNTIF(connections!A:A, A587) &gt; 0</f>
        <v>0</v>
      </c>
      <c r="G587" t="s">
        <v>1815</v>
      </c>
      <c r="H587" t="s">
        <v>70</v>
      </c>
      <c r="I587" t="s">
        <v>1816</v>
      </c>
      <c r="J587" s="1" t="s">
        <v>1817</v>
      </c>
    </row>
    <row r="588" spans="1:10" ht="15" customHeight="1" x14ac:dyDescent="0.25">
      <c r="A588" t="s">
        <v>1818</v>
      </c>
      <c r="B588">
        <v>2021</v>
      </c>
      <c r="C588" t="s">
        <v>18</v>
      </c>
      <c r="D588" t="b">
        <f>TRUE()</f>
        <v>1</v>
      </c>
      <c r="E588" t="b">
        <f>COUNTIF(connections!A:A, A588) &gt; 0</f>
        <v>0</v>
      </c>
      <c r="F588" t="s">
        <v>1486</v>
      </c>
      <c r="G588" t="s">
        <v>1819</v>
      </c>
      <c r="H588" t="s">
        <v>70</v>
      </c>
      <c r="I588" t="s">
        <v>1820</v>
      </c>
      <c r="J588" s="1" t="s">
        <v>1821</v>
      </c>
    </row>
    <row r="589" spans="1:10" ht="15" customHeight="1" x14ac:dyDescent="0.25">
      <c r="A589" t="s">
        <v>1822</v>
      </c>
      <c r="B589">
        <v>2022</v>
      </c>
      <c r="C589" t="s">
        <v>18</v>
      </c>
      <c r="D589" t="b">
        <f>TRUE()</f>
        <v>1</v>
      </c>
      <c r="E589" t="b">
        <f>COUNTIF(connections!A:A, A589) &gt; 0</f>
        <v>1</v>
      </c>
      <c r="F589" t="s">
        <v>260</v>
      </c>
      <c r="G589" t="s">
        <v>1823</v>
      </c>
    </row>
    <row r="590" spans="1:10" ht="15" customHeight="1" x14ac:dyDescent="0.25">
      <c r="A590" t="s">
        <v>1824</v>
      </c>
      <c r="B590">
        <v>2024</v>
      </c>
      <c r="C590" t="s">
        <v>22</v>
      </c>
      <c r="D590" t="b">
        <v>1</v>
      </c>
      <c r="E590" t="b">
        <f>COUNTIF(connections!A:A, A590) &gt; 0</f>
        <v>0</v>
      </c>
      <c r="G590" t="s">
        <v>1825</v>
      </c>
      <c r="J590" s="11" t="s">
        <v>1826</v>
      </c>
    </row>
    <row r="591" spans="1:10" ht="15" customHeight="1" x14ac:dyDescent="0.25">
      <c r="A591" t="s">
        <v>1827</v>
      </c>
      <c r="B591">
        <v>2016</v>
      </c>
      <c r="C591" t="s">
        <v>18</v>
      </c>
      <c r="D591" t="b">
        <v>1</v>
      </c>
      <c r="E591" t="b">
        <f>COUNTIF(connections!A:A, A591) &gt; 0</f>
        <v>0</v>
      </c>
      <c r="G591" t="s">
        <v>1828</v>
      </c>
    </row>
    <row r="592" spans="1:10" ht="15" customHeight="1" x14ac:dyDescent="0.25">
      <c r="A592" t="s">
        <v>1829</v>
      </c>
      <c r="B592">
        <v>2022</v>
      </c>
      <c r="C592" t="s">
        <v>15</v>
      </c>
      <c r="D592" t="b">
        <f>TRUE()</f>
        <v>1</v>
      </c>
      <c r="E592" t="b">
        <f>COUNTIF(connections!A:A, A592) &gt; 0</f>
        <v>0</v>
      </c>
      <c r="G592" t="s">
        <v>1830</v>
      </c>
      <c r="H592" t="s">
        <v>70</v>
      </c>
      <c r="I592" t="s">
        <v>1831</v>
      </c>
      <c r="J592" s="1" t="s">
        <v>1832</v>
      </c>
    </row>
    <row r="593" spans="1:10" ht="15" customHeight="1" x14ac:dyDescent="0.25">
      <c r="A593" t="s">
        <v>1833</v>
      </c>
      <c r="B593">
        <v>2021</v>
      </c>
      <c r="C593" t="s">
        <v>22</v>
      </c>
      <c r="D593" t="b">
        <f>TRUE()</f>
        <v>1</v>
      </c>
      <c r="E593" t="b">
        <f>COUNTIF(connections!A:A, A593) &gt; 0</f>
        <v>1</v>
      </c>
      <c r="G593" t="s">
        <v>1834</v>
      </c>
      <c r="H593" t="s">
        <v>70</v>
      </c>
      <c r="I593" t="s">
        <v>1835</v>
      </c>
      <c r="J593" s="1" t="s">
        <v>1836</v>
      </c>
    </row>
    <row r="594" spans="1:10" ht="15" customHeight="1" x14ac:dyDescent="0.25">
      <c r="A594" t="s">
        <v>1837</v>
      </c>
      <c r="B594">
        <v>2023</v>
      </c>
      <c r="C594" t="s">
        <v>26</v>
      </c>
      <c r="D594" t="b">
        <f>TRUE()</f>
        <v>1</v>
      </c>
      <c r="E594" t="b">
        <f>COUNTIF(connections!A:A, A594) &gt; 0</f>
        <v>0</v>
      </c>
      <c r="G594" t="s">
        <v>1838</v>
      </c>
    </row>
    <row r="595" spans="1:10" ht="15" customHeight="1" x14ac:dyDescent="0.25">
      <c r="A595" t="s">
        <v>1839</v>
      </c>
      <c r="B595">
        <v>2026</v>
      </c>
      <c r="C595" t="s">
        <v>22</v>
      </c>
      <c r="D595" t="b">
        <f>TRUE()</f>
        <v>1</v>
      </c>
      <c r="E595" t="b">
        <f>COUNTIF(connections!A:A, A595) &gt; 0</f>
        <v>0</v>
      </c>
      <c r="F595" t="s">
        <v>214</v>
      </c>
      <c r="G595" t="s">
        <v>1840</v>
      </c>
    </row>
    <row r="596" spans="1:10" ht="15" customHeight="1" x14ac:dyDescent="0.25">
      <c r="A596" t="s">
        <v>1841</v>
      </c>
      <c r="B596">
        <v>2014</v>
      </c>
      <c r="C596" t="s">
        <v>26</v>
      </c>
      <c r="D596" t="b">
        <f>TRUE()</f>
        <v>1</v>
      </c>
      <c r="E596" t="b">
        <f>COUNTIF(connections!A:A, A596) &gt; 0</f>
        <v>0</v>
      </c>
      <c r="G596" t="s">
        <v>1842</v>
      </c>
      <c r="J596" s="1" t="s">
        <v>1843</v>
      </c>
    </row>
    <row r="597" spans="1:10" ht="15" customHeight="1" x14ac:dyDescent="0.25">
      <c r="A597" t="s">
        <v>1844</v>
      </c>
      <c r="B597">
        <v>2022</v>
      </c>
      <c r="C597" t="s">
        <v>18</v>
      </c>
      <c r="D597" t="b">
        <f>FALSE()</f>
        <v>0</v>
      </c>
      <c r="E597" t="b">
        <f>COUNTIF(connections!A:A, A597) &gt; 0</f>
        <v>0</v>
      </c>
      <c r="G597" t="s">
        <v>1845</v>
      </c>
      <c r="H597" t="s">
        <v>70</v>
      </c>
      <c r="I597" t="s">
        <v>1846</v>
      </c>
      <c r="J597" s="1" t="s">
        <v>1847</v>
      </c>
    </row>
    <row r="598" spans="1:10" ht="15" customHeight="1" x14ac:dyDescent="0.25">
      <c r="A598" t="s">
        <v>1848</v>
      </c>
      <c r="B598">
        <v>2021</v>
      </c>
      <c r="C598" t="s">
        <v>18</v>
      </c>
      <c r="D598" t="b">
        <f>TRUE()</f>
        <v>1</v>
      </c>
      <c r="E598" t="b">
        <f>COUNTIF(connections!A:A, A598) &gt; 0</f>
        <v>1</v>
      </c>
      <c r="F598" t="s">
        <v>182</v>
      </c>
      <c r="G598" t="s">
        <v>1849</v>
      </c>
      <c r="H598" t="s">
        <v>70</v>
      </c>
      <c r="I598" t="s">
        <v>1850</v>
      </c>
      <c r="J598" s="1" t="s">
        <v>1851</v>
      </c>
    </row>
    <row r="599" spans="1:10" ht="15" customHeight="1" x14ac:dyDescent="0.25">
      <c r="A599" t="s">
        <v>1852</v>
      </c>
      <c r="B599">
        <v>2024</v>
      </c>
      <c r="C599" t="s">
        <v>18</v>
      </c>
      <c r="D599" t="b">
        <f>TRUE()</f>
        <v>1</v>
      </c>
      <c r="E599" t="b">
        <f>COUNTIF(connections!A:A, A599) &gt; 0</f>
        <v>0</v>
      </c>
      <c r="F599" t="s">
        <v>182</v>
      </c>
      <c r="G599" t="s">
        <v>1853</v>
      </c>
      <c r="H599" t="s">
        <v>70</v>
      </c>
      <c r="I599" t="s">
        <v>1854</v>
      </c>
      <c r="J599" s="1" t="s">
        <v>1855</v>
      </c>
    </row>
    <row r="600" spans="1:10" ht="15" customHeight="1" x14ac:dyDescent="0.25">
      <c r="A600" t="s">
        <v>1856</v>
      </c>
      <c r="B600">
        <v>2026</v>
      </c>
      <c r="C600" t="s">
        <v>22</v>
      </c>
      <c r="D600" t="b">
        <v>1</v>
      </c>
      <c r="E600" t="b">
        <f>COUNTIF(connections!A:A, A600) &gt; 0</f>
        <v>0</v>
      </c>
      <c r="G600" t="s">
        <v>1857</v>
      </c>
      <c r="J600" s="11" t="s">
        <v>1858</v>
      </c>
    </row>
    <row r="601" spans="1:10" ht="15" customHeight="1" x14ac:dyDescent="0.25">
      <c r="A601" t="s">
        <v>6642</v>
      </c>
      <c r="B601">
        <v>2025</v>
      </c>
      <c r="C601" t="s">
        <v>22</v>
      </c>
      <c r="D601" t="b">
        <f>TRUE()</f>
        <v>1</v>
      </c>
      <c r="E601" t="b">
        <f>COUNTIF(connections!A:A, A601) &gt; 0</f>
        <v>0</v>
      </c>
      <c r="F601" t="s">
        <v>214</v>
      </c>
      <c r="G601" t="s">
        <v>6643</v>
      </c>
      <c r="J601" s="11" t="s">
        <v>6644</v>
      </c>
    </row>
    <row r="602" spans="1:10" ht="15" customHeight="1" x14ac:dyDescent="0.25">
      <c r="A602" t="s">
        <v>1859</v>
      </c>
      <c r="B602">
        <v>2021</v>
      </c>
      <c r="C602" t="s">
        <v>15</v>
      </c>
      <c r="D602" t="b">
        <f>FALSE()</f>
        <v>0</v>
      </c>
      <c r="E602" t="b">
        <f>COUNTIF(connections!A:A, A602) &gt; 0</f>
        <v>0</v>
      </c>
      <c r="G602" t="s">
        <v>1860</v>
      </c>
      <c r="H602" t="s">
        <v>70</v>
      </c>
      <c r="I602" t="s">
        <v>1861</v>
      </c>
      <c r="J602" s="1" t="s">
        <v>1862</v>
      </c>
    </row>
    <row r="603" spans="1:10" ht="15" customHeight="1" x14ac:dyDescent="0.25">
      <c r="A603" t="s">
        <v>6363</v>
      </c>
      <c r="B603">
        <v>2026</v>
      </c>
      <c r="C603" t="s">
        <v>22</v>
      </c>
      <c r="D603" t="b">
        <f>TRUE()</f>
        <v>1</v>
      </c>
      <c r="E603" t="b">
        <f>COUNTIF(connections!A:A, A603) &gt; 0</f>
        <v>0</v>
      </c>
      <c r="F603" t="s">
        <v>182</v>
      </c>
      <c r="G603" t="s">
        <v>6366</v>
      </c>
      <c r="J603" s="11" t="s">
        <v>6365</v>
      </c>
    </row>
    <row r="604" spans="1:10" ht="15" customHeight="1" x14ac:dyDescent="0.25">
      <c r="A604" t="s">
        <v>1863</v>
      </c>
      <c r="B604">
        <v>2025</v>
      </c>
      <c r="C604" t="s">
        <v>22</v>
      </c>
      <c r="D604" t="b">
        <f>TRUE()</f>
        <v>1</v>
      </c>
      <c r="E604" t="b">
        <f>COUNTIF(connections!A:A, A604) &gt; 0</f>
        <v>0</v>
      </c>
      <c r="G604" t="s">
        <v>1864</v>
      </c>
      <c r="H604" t="s">
        <v>70</v>
      </c>
      <c r="I604" t="s">
        <v>1865</v>
      </c>
      <c r="J604" s="1" t="s">
        <v>1866</v>
      </c>
    </row>
    <row r="605" spans="1:10" ht="15" customHeight="1" x14ac:dyDescent="0.25">
      <c r="A605" t="s">
        <v>6323</v>
      </c>
      <c r="B605">
        <v>2026</v>
      </c>
      <c r="C605" t="s">
        <v>22</v>
      </c>
      <c r="D605" t="b">
        <f>TRUE()</f>
        <v>1</v>
      </c>
      <c r="E605" t="b">
        <f>COUNTIF(connections!A:A, A605) &gt; 0</f>
        <v>0</v>
      </c>
      <c r="G605" t="s">
        <v>6324</v>
      </c>
      <c r="J605" s="11" t="s">
        <v>6325</v>
      </c>
    </row>
    <row r="606" spans="1:10" ht="15" customHeight="1" x14ac:dyDescent="0.25">
      <c r="A606" t="s">
        <v>6503</v>
      </c>
      <c r="B606">
        <v>2023</v>
      </c>
      <c r="C606" t="s">
        <v>22</v>
      </c>
      <c r="D606" t="b">
        <f>TRUE()</f>
        <v>1</v>
      </c>
      <c r="E606" t="b">
        <f>COUNTIF(connections!A:A, A606) &gt; 0</f>
        <v>0</v>
      </c>
      <c r="G606" t="s">
        <v>6504</v>
      </c>
      <c r="J606" s="11" t="s">
        <v>6505</v>
      </c>
    </row>
    <row r="607" spans="1:10" ht="15" customHeight="1" x14ac:dyDescent="0.25">
      <c r="A607" t="s">
        <v>6514</v>
      </c>
      <c r="B607">
        <v>2010</v>
      </c>
      <c r="C607" t="s">
        <v>26</v>
      </c>
      <c r="D607" t="b">
        <f>TRUE()</f>
        <v>1</v>
      </c>
      <c r="E607" t="b">
        <f>COUNTIF(connections!A:A, A607) &gt; 0</f>
        <v>0</v>
      </c>
      <c r="F607" t="s">
        <v>6526</v>
      </c>
      <c r="G607" t="s">
        <v>6515</v>
      </c>
    </row>
    <row r="608" spans="1:10" ht="15" customHeight="1" x14ac:dyDescent="0.25">
      <c r="A608" t="s">
        <v>6671</v>
      </c>
      <c r="B608">
        <v>2024</v>
      </c>
      <c r="C608" t="s">
        <v>15</v>
      </c>
      <c r="D608" t="b">
        <f>TRUE()</f>
        <v>1</v>
      </c>
      <c r="E608" t="b">
        <f>COUNTIF(connections!A:A, A608) &gt; 0</f>
        <v>0</v>
      </c>
      <c r="G608" t="s">
        <v>6674</v>
      </c>
      <c r="J608" s="11" t="s">
        <v>6673</v>
      </c>
    </row>
    <row r="609" spans="1:10" ht="15" customHeight="1" x14ac:dyDescent="0.25">
      <c r="A609" t="s">
        <v>1867</v>
      </c>
      <c r="B609">
        <v>2022</v>
      </c>
      <c r="C609" t="s">
        <v>15</v>
      </c>
      <c r="D609" t="b">
        <f>TRUE()</f>
        <v>1</v>
      </c>
      <c r="E609" t="b">
        <f>COUNTIF(connections!A:A, A609) &gt; 0</f>
        <v>0</v>
      </c>
      <c r="G609" t="s">
        <v>1868</v>
      </c>
      <c r="H609" t="s">
        <v>70</v>
      </c>
      <c r="I609" t="s">
        <v>1869</v>
      </c>
      <c r="J609" s="1" t="s">
        <v>1870</v>
      </c>
    </row>
    <row r="610" spans="1:10" ht="15" customHeight="1" x14ac:dyDescent="0.25">
      <c r="A610" t="s">
        <v>1871</v>
      </c>
      <c r="B610">
        <v>2023</v>
      </c>
      <c r="C610" t="s">
        <v>15</v>
      </c>
      <c r="D610" t="b">
        <v>1</v>
      </c>
      <c r="E610" t="b">
        <f>COUNTIF(connections!A:A, A610) &gt; 0</f>
        <v>0</v>
      </c>
      <c r="G610" t="s">
        <v>1872</v>
      </c>
      <c r="J610" s="11" t="s">
        <v>1873</v>
      </c>
    </row>
    <row r="611" spans="1:10" ht="15" customHeight="1" x14ac:dyDescent="0.25">
      <c r="A611" t="s">
        <v>1874</v>
      </c>
      <c r="B611">
        <v>2020</v>
      </c>
      <c r="C611" t="s">
        <v>15</v>
      </c>
      <c r="D611" t="b">
        <f>TRUE()</f>
        <v>1</v>
      </c>
      <c r="E611" t="b">
        <f>COUNTIF(connections!A:A, A611) &gt; 0</f>
        <v>1</v>
      </c>
      <c r="G611" t="s">
        <v>1875</v>
      </c>
      <c r="H611" t="s">
        <v>70</v>
      </c>
      <c r="I611" t="s">
        <v>1876</v>
      </c>
      <c r="J611" s="1" t="s">
        <v>1877</v>
      </c>
    </row>
    <row r="612" spans="1:10" ht="15" customHeight="1" x14ac:dyDescent="0.25">
      <c r="A612" t="s">
        <v>1878</v>
      </c>
      <c r="B612">
        <v>2023</v>
      </c>
      <c r="C612" t="s">
        <v>15</v>
      </c>
      <c r="D612" t="b">
        <f>TRUE()</f>
        <v>1</v>
      </c>
      <c r="E612" t="b">
        <f>COUNTIF(connections!A:A, A612) &gt; 0</f>
        <v>0</v>
      </c>
      <c r="F612" t="s">
        <v>485</v>
      </c>
      <c r="G612" t="s">
        <v>1879</v>
      </c>
    </row>
    <row r="613" spans="1:10" ht="15" customHeight="1" x14ac:dyDescent="0.25">
      <c r="A613" t="s">
        <v>1880</v>
      </c>
      <c r="B613">
        <v>2023</v>
      </c>
      <c r="C613" t="s">
        <v>15</v>
      </c>
      <c r="D613" t="b">
        <f>FALSE()</f>
        <v>0</v>
      </c>
      <c r="E613" t="b">
        <f>COUNTIF(connections!A:A, A613) &gt; 0</f>
        <v>0</v>
      </c>
      <c r="G613" t="s">
        <v>1881</v>
      </c>
      <c r="H613" t="s">
        <v>70</v>
      </c>
      <c r="I613" t="s">
        <v>1882</v>
      </c>
      <c r="J613" s="1" t="s">
        <v>1883</v>
      </c>
    </row>
    <row r="614" spans="1:10" ht="15" customHeight="1" x14ac:dyDescent="0.25">
      <c r="A614" t="s">
        <v>1884</v>
      </c>
      <c r="B614">
        <v>2025</v>
      </c>
      <c r="C614" t="s">
        <v>18</v>
      </c>
      <c r="D614" t="b">
        <f>TRUE()</f>
        <v>1</v>
      </c>
      <c r="E614" t="b">
        <f>COUNTIF(connections!A:A, A614) &gt; 0</f>
        <v>0</v>
      </c>
      <c r="G614" t="s">
        <v>1885</v>
      </c>
      <c r="J614" s="1" t="s">
        <v>1886</v>
      </c>
    </row>
    <row r="615" spans="1:10" ht="15" customHeight="1" x14ac:dyDescent="0.25">
      <c r="A615" t="s">
        <v>1887</v>
      </c>
      <c r="B615">
        <v>2025</v>
      </c>
      <c r="C615" t="s">
        <v>15</v>
      </c>
      <c r="D615" t="b">
        <f>TRUE()</f>
        <v>1</v>
      </c>
      <c r="E615" t="b">
        <f>COUNTIF(connections!A:A, A615) &gt; 0</f>
        <v>0</v>
      </c>
      <c r="G615" t="s">
        <v>1888</v>
      </c>
    </row>
    <row r="616" spans="1:10" ht="15" customHeight="1" x14ac:dyDescent="0.25">
      <c r="A616" t="s">
        <v>1889</v>
      </c>
      <c r="B616">
        <v>2022</v>
      </c>
      <c r="C616" t="s">
        <v>15</v>
      </c>
      <c r="D616" t="b">
        <f>TRUE()</f>
        <v>1</v>
      </c>
      <c r="E616" t="b">
        <f>COUNTIF(connections!A:A, A616) &gt; 0</f>
        <v>1</v>
      </c>
      <c r="G616" t="s">
        <v>1890</v>
      </c>
      <c r="H616" t="s">
        <v>70</v>
      </c>
      <c r="I616" t="s">
        <v>1891</v>
      </c>
      <c r="J616" s="1" t="s">
        <v>1892</v>
      </c>
    </row>
    <row r="617" spans="1:10" ht="15" customHeight="1" x14ac:dyDescent="0.25">
      <c r="A617" t="s">
        <v>6572</v>
      </c>
      <c r="B617">
        <v>2026</v>
      </c>
      <c r="C617" t="s">
        <v>15</v>
      </c>
      <c r="D617" t="b">
        <f>TRUE()</f>
        <v>1</v>
      </c>
      <c r="E617" t="b">
        <f>COUNTIF(connections!A:A, A617) &gt; 0</f>
        <v>0</v>
      </c>
      <c r="G617" t="s">
        <v>6573</v>
      </c>
      <c r="J617" s="11" t="s">
        <v>6574</v>
      </c>
    </row>
    <row r="618" spans="1:10" ht="15" customHeight="1" x14ac:dyDescent="0.25">
      <c r="A618" t="s">
        <v>6554</v>
      </c>
      <c r="B618">
        <v>2015</v>
      </c>
      <c r="C618" t="s">
        <v>26</v>
      </c>
      <c r="D618" t="b">
        <f>TRUE()</f>
        <v>1</v>
      </c>
      <c r="E618" t="b">
        <f>COUNTIF(connections!A:A, A618) &gt; 0</f>
        <v>0</v>
      </c>
      <c r="G618" t="s">
        <v>6555</v>
      </c>
      <c r="H618" t="s">
        <v>70</v>
      </c>
      <c r="I618" t="s">
        <v>6557</v>
      </c>
    </row>
    <row r="619" spans="1:10" ht="15" customHeight="1" x14ac:dyDescent="0.25">
      <c r="A619" t="s">
        <v>1893</v>
      </c>
      <c r="B619">
        <v>2025</v>
      </c>
      <c r="C619" t="s">
        <v>18</v>
      </c>
      <c r="D619" t="b">
        <f>TRUE()</f>
        <v>1</v>
      </c>
      <c r="E619" t="b">
        <f>COUNTIF(connections!A:A, A619) &gt; 0</f>
        <v>0</v>
      </c>
      <c r="G619" t="s">
        <v>1894</v>
      </c>
    </row>
    <row r="620" spans="1:10" ht="15" customHeight="1" x14ac:dyDescent="0.25">
      <c r="A620" t="s">
        <v>1895</v>
      </c>
      <c r="B620">
        <v>2025</v>
      </c>
      <c r="C620" t="s">
        <v>15</v>
      </c>
      <c r="D620" t="b">
        <f>TRUE()</f>
        <v>1</v>
      </c>
      <c r="E620" t="b">
        <f>COUNTIF(connections!A:A, A620) &gt; 0</f>
        <v>0</v>
      </c>
      <c r="G620" t="s">
        <v>1896</v>
      </c>
    </row>
    <row r="621" spans="1:10" ht="15" customHeight="1" x14ac:dyDescent="0.25">
      <c r="A621" t="s">
        <v>6417</v>
      </c>
      <c r="B621">
        <v>2023</v>
      </c>
      <c r="C621" t="s">
        <v>15</v>
      </c>
      <c r="D621" t="b">
        <f>TRUE()</f>
        <v>1</v>
      </c>
      <c r="E621" t="b">
        <f>COUNTIF(connections!A:A, A621) &gt; 0</f>
        <v>0</v>
      </c>
      <c r="G621" t="s">
        <v>6418</v>
      </c>
      <c r="J621" s="11" t="s">
        <v>6419</v>
      </c>
    </row>
    <row r="622" spans="1:10" ht="15" customHeight="1" x14ac:dyDescent="0.25">
      <c r="A622" t="s">
        <v>1897</v>
      </c>
      <c r="B622">
        <v>2014</v>
      </c>
      <c r="C622" t="s">
        <v>26</v>
      </c>
      <c r="D622" t="b">
        <f>TRUE()</f>
        <v>1</v>
      </c>
      <c r="E622" t="b">
        <f>COUNTIF(connections!A:A, A622) &gt; 0</f>
        <v>1</v>
      </c>
      <c r="G622" t="s">
        <v>1898</v>
      </c>
    </row>
    <row r="623" spans="1:10" ht="15" customHeight="1" x14ac:dyDescent="0.25">
      <c r="A623" t="s">
        <v>1899</v>
      </c>
      <c r="B623">
        <v>2022</v>
      </c>
      <c r="C623" t="s">
        <v>15</v>
      </c>
      <c r="D623" t="b">
        <f>TRUE()</f>
        <v>1</v>
      </c>
      <c r="E623" t="b">
        <f>COUNTIF(connections!A:A, A623) &gt; 0</f>
        <v>0</v>
      </c>
      <c r="F623" t="s">
        <v>485</v>
      </c>
      <c r="G623" t="s">
        <v>1900</v>
      </c>
      <c r="H623" t="s">
        <v>70</v>
      </c>
      <c r="I623" t="s">
        <v>1901</v>
      </c>
      <c r="J623" s="1" t="s">
        <v>1902</v>
      </c>
    </row>
    <row r="624" spans="1:10" ht="15" customHeight="1" x14ac:dyDescent="0.25">
      <c r="A624" t="s">
        <v>1903</v>
      </c>
      <c r="B624">
        <v>2008</v>
      </c>
      <c r="C624" t="s">
        <v>26</v>
      </c>
      <c r="D624" t="b">
        <f>TRUE()</f>
        <v>1</v>
      </c>
      <c r="E624" t="b">
        <f>COUNTIF(connections!A:A, A624) &gt; 0</f>
        <v>1</v>
      </c>
      <c r="G624" t="s">
        <v>1904</v>
      </c>
    </row>
    <row r="625" spans="1:10" ht="15" customHeight="1" x14ac:dyDescent="0.25">
      <c r="A625" t="s">
        <v>1905</v>
      </c>
      <c r="B625">
        <v>2000</v>
      </c>
      <c r="C625" t="s">
        <v>26</v>
      </c>
      <c r="D625" t="b">
        <f>TRUE()</f>
        <v>1</v>
      </c>
      <c r="E625" t="b">
        <f>COUNTIF(connections!A:A, A625) &gt; 0</f>
        <v>1</v>
      </c>
      <c r="G625" t="s">
        <v>1906</v>
      </c>
    </row>
    <row r="626" spans="1:10" ht="15" customHeight="1" x14ac:dyDescent="0.25">
      <c r="A626" t="s">
        <v>1907</v>
      </c>
      <c r="B626">
        <v>2010</v>
      </c>
      <c r="C626" t="s">
        <v>26</v>
      </c>
      <c r="D626" t="b">
        <f>TRUE()</f>
        <v>1</v>
      </c>
      <c r="E626" t="b">
        <f>COUNTIF(connections!A:A, A626) &gt; 0</f>
        <v>1</v>
      </c>
      <c r="G626" t="s">
        <v>1908</v>
      </c>
    </row>
    <row r="627" spans="1:10" ht="15" customHeight="1" x14ac:dyDescent="0.25">
      <c r="A627" t="s">
        <v>1909</v>
      </c>
      <c r="B627">
        <v>2002</v>
      </c>
      <c r="C627" t="s">
        <v>26</v>
      </c>
      <c r="D627" t="b">
        <f>TRUE()</f>
        <v>1</v>
      </c>
      <c r="E627" t="b">
        <f>COUNTIF(connections!A:A, A627) &gt; 0</f>
        <v>0</v>
      </c>
      <c r="G627" t="s">
        <v>1910</v>
      </c>
    </row>
    <row r="628" spans="1:10" ht="15" customHeight="1" x14ac:dyDescent="0.25">
      <c r="A628" t="s">
        <v>1911</v>
      </c>
      <c r="B628">
        <v>1996</v>
      </c>
      <c r="C628" t="s">
        <v>26</v>
      </c>
      <c r="D628" t="b">
        <f>TRUE()</f>
        <v>1</v>
      </c>
      <c r="E628" t="b">
        <f>COUNTIF(connections!A:A, A628) &gt; 0</f>
        <v>1</v>
      </c>
      <c r="G628" t="s">
        <v>1912</v>
      </c>
    </row>
    <row r="629" spans="1:10" ht="15" customHeight="1" x14ac:dyDescent="0.25">
      <c r="A629" t="s">
        <v>1913</v>
      </c>
      <c r="B629">
        <v>2001</v>
      </c>
      <c r="C629" t="s">
        <v>26</v>
      </c>
      <c r="D629" t="b">
        <f>TRUE()</f>
        <v>1</v>
      </c>
      <c r="E629" t="b">
        <f>COUNTIF(connections!A:A, A629) &gt; 0</f>
        <v>0</v>
      </c>
      <c r="G629" t="s">
        <v>1914</v>
      </c>
    </row>
    <row r="630" spans="1:10" ht="15" customHeight="1" x14ac:dyDescent="0.25">
      <c r="A630" t="s">
        <v>1915</v>
      </c>
      <c r="B630">
        <v>2024</v>
      </c>
      <c r="C630" t="s">
        <v>26</v>
      </c>
      <c r="D630" t="b">
        <f>TRUE()</f>
        <v>1</v>
      </c>
      <c r="E630" t="b">
        <f>COUNTIF(connections!A:A, A630) &gt; 0</f>
        <v>0</v>
      </c>
      <c r="G630" t="s">
        <v>1916</v>
      </c>
      <c r="H630" t="s">
        <v>70</v>
      </c>
      <c r="I630" t="s">
        <v>1917</v>
      </c>
      <c r="J630" s="1" t="s">
        <v>1918</v>
      </c>
    </row>
    <row r="631" spans="1:10" ht="15" customHeight="1" x14ac:dyDescent="0.25">
      <c r="A631" t="s">
        <v>1919</v>
      </c>
      <c r="B631">
        <v>2010</v>
      </c>
      <c r="C631" t="s">
        <v>26</v>
      </c>
      <c r="D631" t="b">
        <f>TRUE()</f>
        <v>1</v>
      </c>
      <c r="E631" t="b">
        <f>COUNTIF(connections!A:A, A631) &gt; 0</f>
        <v>1</v>
      </c>
      <c r="G631" t="s">
        <v>1920</v>
      </c>
      <c r="H631" t="s">
        <v>70</v>
      </c>
      <c r="I631" t="s">
        <v>1921</v>
      </c>
      <c r="J631" s="1" t="s">
        <v>1922</v>
      </c>
    </row>
    <row r="632" spans="1:10" ht="15" customHeight="1" x14ac:dyDescent="0.25">
      <c r="A632" t="s">
        <v>1923</v>
      </c>
      <c r="B632">
        <v>2023</v>
      </c>
      <c r="C632" t="s">
        <v>18</v>
      </c>
      <c r="D632" t="b">
        <f>TRUE()</f>
        <v>1</v>
      </c>
      <c r="E632" t="b">
        <f>COUNTIF(connections!A:A, A632) &gt; 0</f>
        <v>1</v>
      </c>
      <c r="G632" t="s">
        <v>1924</v>
      </c>
      <c r="H632" t="s">
        <v>70</v>
      </c>
      <c r="I632" t="s">
        <v>1925</v>
      </c>
      <c r="J632" s="1" t="s">
        <v>1926</v>
      </c>
    </row>
    <row r="633" spans="1:10" ht="15" customHeight="1" x14ac:dyDescent="0.25">
      <c r="A633" t="s">
        <v>1927</v>
      </c>
      <c r="B633">
        <v>2010</v>
      </c>
      <c r="C633" t="s">
        <v>15</v>
      </c>
      <c r="D633" t="b">
        <f>TRUE()</f>
        <v>1</v>
      </c>
      <c r="E633" t="b">
        <f>COUNTIF(connections!A:A, A633) &gt; 0</f>
        <v>1</v>
      </c>
      <c r="G633" t="s">
        <v>1928</v>
      </c>
    </row>
    <row r="634" spans="1:10" ht="15" customHeight="1" x14ac:dyDescent="0.25">
      <c r="A634" t="s">
        <v>1929</v>
      </c>
      <c r="B634">
        <v>2022</v>
      </c>
      <c r="C634" t="s">
        <v>18</v>
      </c>
      <c r="D634" t="b">
        <f>TRUE()</f>
        <v>1</v>
      </c>
      <c r="E634" t="b">
        <f>COUNTIF(connections!A:A, A634) &gt; 0</f>
        <v>1</v>
      </c>
      <c r="F634" t="s">
        <v>927</v>
      </c>
      <c r="G634" t="s">
        <v>1930</v>
      </c>
      <c r="H634" t="s">
        <v>70</v>
      </c>
      <c r="I634" t="s">
        <v>1931</v>
      </c>
      <c r="J634" s="1" t="s">
        <v>1932</v>
      </c>
    </row>
    <row r="635" spans="1:10" ht="15" customHeight="1" x14ac:dyDescent="0.25">
      <c r="A635" t="s">
        <v>1933</v>
      </c>
      <c r="B635">
        <v>2022</v>
      </c>
      <c r="C635" t="s">
        <v>15</v>
      </c>
      <c r="D635" t="b">
        <f>TRUE()</f>
        <v>1</v>
      </c>
      <c r="E635" t="b">
        <f>COUNTIF(connections!A:A, A635) &gt; 0</f>
        <v>0</v>
      </c>
      <c r="F635" t="s">
        <v>812</v>
      </c>
      <c r="G635" t="s">
        <v>1934</v>
      </c>
    </row>
    <row r="636" spans="1:10" ht="15" customHeight="1" x14ac:dyDescent="0.25">
      <c r="A636" t="s">
        <v>1935</v>
      </c>
      <c r="B636">
        <v>2012</v>
      </c>
      <c r="C636" t="s">
        <v>26</v>
      </c>
      <c r="D636" t="b">
        <f>TRUE()</f>
        <v>1</v>
      </c>
      <c r="E636" t="b">
        <f>COUNTIF(connections!A:A, A636) &gt; 0</f>
        <v>0</v>
      </c>
      <c r="G636" t="s">
        <v>1936</v>
      </c>
    </row>
    <row r="637" spans="1:10" ht="15" customHeight="1" x14ac:dyDescent="0.25">
      <c r="A637" t="s">
        <v>6650</v>
      </c>
      <c r="B637">
        <v>2026</v>
      </c>
      <c r="C637" t="s">
        <v>18</v>
      </c>
      <c r="D637" t="b">
        <f>TRUE()</f>
        <v>1</v>
      </c>
      <c r="E637" t="b">
        <f>COUNTIF(connections!A:A, A637) &gt; 0</f>
        <v>0</v>
      </c>
      <c r="G637" t="s">
        <v>6651</v>
      </c>
      <c r="J637" s="11" t="s">
        <v>6649</v>
      </c>
    </row>
    <row r="638" spans="1:10" ht="15" customHeight="1" x14ac:dyDescent="0.25">
      <c r="A638" t="s">
        <v>1937</v>
      </c>
      <c r="B638">
        <v>2020</v>
      </c>
      <c r="C638" t="s">
        <v>15</v>
      </c>
      <c r="D638" t="b">
        <f>TRUE()</f>
        <v>1</v>
      </c>
      <c r="E638" t="b">
        <f>COUNTIF(connections!A:A, A638) &gt; 0</f>
        <v>1</v>
      </c>
      <c r="G638" t="s">
        <v>1938</v>
      </c>
      <c r="H638" t="s">
        <v>70</v>
      </c>
      <c r="I638" t="s">
        <v>1939</v>
      </c>
      <c r="J638" s="1" t="s">
        <v>1940</v>
      </c>
    </row>
    <row r="639" spans="1:10" ht="15" customHeight="1" x14ac:dyDescent="0.25">
      <c r="A639" t="s">
        <v>1941</v>
      </c>
      <c r="B639">
        <v>2026</v>
      </c>
      <c r="C639" t="s">
        <v>15</v>
      </c>
      <c r="D639" t="b">
        <f>TRUE()</f>
        <v>1</v>
      </c>
      <c r="E639" t="b">
        <f>COUNTIF(connections!A:A, A639) &gt; 0</f>
        <v>0</v>
      </c>
      <c r="G639" t="s">
        <v>1942</v>
      </c>
    </row>
    <row r="640" spans="1:10" ht="15" customHeight="1" x14ac:dyDescent="0.25">
      <c r="A640" t="s">
        <v>6463</v>
      </c>
      <c r="B640">
        <v>2014</v>
      </c>
      <c r="C640" t="s">
        <v>15</v>
      </c>
      <c r="D640" t="b">
        <f>TRUE()</f>
        <v>1</v>
      </c>
      <c r="E640" t="b">
        <f>COUNTIF(connections!A:A, A640) &gt; 0</f>
        <v>0</v>
      </c>
      <c r="G640" t="s">
        <v>6465</v>
      </c>
      <c r="J640" s="11" t="s">
        <v>6464</v>
      </c>
    </row>
    <row r="641" spans="1:10" ht="15" customHeight="1" x14ac:dyDescent="0.25">
      <c r="A641" t="s">
        <v>1943</v>
      </c>
      <c r="B641">
        <v>2024</v>
      </c>
      <c r="C641" t="s">
        <v>22</v>
      </c>
      <c r="D641" t="b">
        <f>TRUE()</f>
        <v>1</v>
      </c>
      <c r="E641" t="b">
        <f>COUNTIF(connections!A:A, A641) &gt; 0</f>
        <v>0</v>
      </c>
      <c r="F641" t="s">
        <v>146</v>
      </c>
      <c r="G641" t="s">
        <v>1944</v>
      </c>
      <c r="H641" t="s">
        <v>70</v>
      </c>
      <c r="I641" t="s">
        <v>1945</v>
      </c>
      <c r="J641" s="1" t="s">
        <v>1946</v>
      </c>
    </row>
    <row r="642" spans="1:10" ht="15" customHeight="1" x14ac:dyDescent="0.25">
      <c r="A642" t="s">
        <v>1947</v>
      </c>
      <c r="B642">
        <v>2006</v>
      </c>
      <c r="C642" t="s">
        <v>26</v>
      </c>
      <c r="D642" t="b">
        <f>TRUE()</f>
        <v>1</v>
      </c>
      <c r="E642" t="b">
        <f>COUNTIF(connections!A:A, A642) &gt; 0</f>
        <v>1</v>
      </c>
      <c r="G642" t="s">
        <v>1948</v>
      </c>
      <c r="H642" t="s">
        <v>70</v>
      </c>
      <c r="I642" t="s">
        <v>1949</v>
      </c>
    </row>
    <row r="643" spans="1:10" ht="15" customHeight="1" x14ac:dyDescent="0.25">
      <c r="A643" t="s">
        <v>1950</v>
      </c>
      <c r="B643">
        <v>2018</v>
      </c>
      <c r="C643" t="s">
        <v>15</v>
      </c>
      <c r="D643" t="b">
        <f>FALSE()</f>
        <v>0</v>
      </c>
      <c r="E643" t="b">
        <f>COUNTIF(connections!A:A, A643) &gt; 0</f>
        <v>0</v>
      </c>
      <c r="G643" t="s">
        <v>1951</v>
      </c>
      <c r="H643" t="s">
        <v>70</v>
      </c>
      <c r="I643" t="s">
        <v>1952</v>
      </c>
      <c r="J643" s="1" t="s">
        <v>1953</v>
      </c>
    </row>
    <row r="644" spans="1:10" ht="15" customHeight="1" x14ac:dyDescent="0.25">
      <c r="A644" t="s">
        <v>1954</v>
      </c>
      <c r="B644">
        <v>2017</v>
      </c>
      <c r="C644" t="s">
        <v>22</v>
      </c>
      <c r="D644" t="b">
        <f>TRUE()</f>
        <v>1</v>
      </c>
      <c r="E644" t="b">
        <f>COUNTIF(connections!A:A, A644) &gt; 0</f>
        <v>1</v>
      </c>
      <c r="G644" t="s">
        <v>1955</v>
      </c>
      <c r="H644" t="s">
        <v>70</v>
      </c>
      <c r="I644" t="s">
        <v>1956</v>
      </c>
      <c r="J644" s="1" t="s">
        <v>1957</v>
      </c>
    </row>
    <row r="645" spans="1:10" ht="15" customHeight="1" x14ac:dyDescent="0.25">
      <c r="A645" t="s">
        <v>1958</v>
      </c>
      <c r="B645">
        <v>2026</v>
      </c>
      <c r="C645" t="s">
        <v>22</v>
      </c>
      <c r="D645" t="b">
        <f>TRUE()</f>
        <v>1</v>
      </c>
      <c r="E645" t="b">
        <f>COUNTIF(connections!A:A, A645) &gt; 0</f>
        <v>0</v>
      </c>
      <c r="G645" t="s">
        <v>1959</v>
      </c>
      <c r="H645" t="s">
        <v>70</v>
      </c>
      <c r="I645" t="s">
        <v>1960</v>
      </c>
      <c r="J645" s="1" t="s">
        <v>1961</v>
      </c>
    </row>
    <row r="646" spans="1:10" ht="15" customHeight="1" x14ac:dyDescent="0.25">
      <c r="A646" t="s">
        <v>1962</v>
      </c>
      <c r="B646">
        <v>2018</v>
      </c>
      <c r="C646" t="s">
        <v>18</v>
      </c>
      <c r="D646" t="b">
        <f>TRUE()</f>
        <v>1</v>
      </c>
      <c r="E646" t="b">
        <f>COUNTIF(connections!A:A, A646) &gt; 0</f>
        <v>1</v>
      </c>
      <c r="F646" t="s">
        <v>182</v>
      </c>
      <c r="G646" t="s">
        <v>1963</v>
      </c>
      <c r="H646" t="s">
        <v>70</v>
      </c>
      <c r="I646" t="s">
        <v>1964</v>
      </c>
      <c r="J646" s="1" t="s">
        <v>1965</v>
      </c>
    </row>
    <row r="647" spans="1:10" ht="15" customHeight="1" x14ac:dyDescent="0.25">
      <c r="A647" t="s">
        <v>1966</v>
      </c>
      <c r="B647">
        <v>2023</v>
      </c>
      <c r="C647" t="s">
        <v>15</v>
      </c>
      <c r="D647" t="b">
        <f>TRUE()</f>
        <v>1</v>
      </c>
      <c r="E647" t="b">
        <f>COUNTIF(connections!A:A, A647) &gt; 0</f>
        <v>1</v>
      </c>
      <c r="G647" t="s">
        <v>1967</v>
      </c>
      <c r="H647" t="s">
        <v>70</v>
      </c>
      <c r="I647" t="s">
        <v>1968</v>
      </c>
      <c r="J647" s="1" t="s">
        <v>1969</v>
      </c>
    </row>
    <row r="648" spans="1:10" ht="15" customHeight="1" x14ac:dyDescent="0.25">
      <c r="A648" t="s">
        <v>1970</v>
      </c>
      <c r="B648">
        <v>2025</v>
      </c>
      <c r="C648" t="s">
        <v>22</v>
      </c>
      <c r="D648" t="b">
        <f>TRUE()</f>
        <v>1</v>
      </c>
      <c r="E648" t="b">
        <f>COUNTIF(connections!A:A, A648) &gt; 0</f>
        <v>0</v>
      </c>
      <c r="F648" t="s">
        <v>214</v>
      </c>
      <c r="G648" t="s">
        <v>1971</v>
      </c>
    </row>
    <row r="649" spans="1:10" ht="15" customHeight="1" x14ac:dyDescent="0.25">
      <c r="A649" t="s">
        <v>1972</v>
      </c>
      <c r="B649">
        <v>2026</v>
      </c>
      <c r="C649" t="s">
        <v>22</v>
      </c>
      <c r="D649" t="b">
        <f>TRUE()</f>
        <v>1</v>
      </c>
      <c r="E649" t="b">
        <f>COUNTIF(connections!A:A, A649) &gt; 0</f>
        <v>0</v>
      </c>
      <c r="F649" t="s">
        <v>214</v>
      </c>
      <c r="G649" t="s">
        <v>1973</v>
      </c>
    </row>
    <row r="650" spans="1:10" ht="15" customHeight="1" x14ac:dyDescent="0.25">
      <c r="A650" t="s">
        <v>1974</v>
      </c>
      <c r="B650">
        <v>2025</v>
      </c>
      <c r="C650" t="s">
        <v>22</v>
      </c>
      <c r="D650" t="b">
        <f>FALSE()</f>
        <v>0</v>
      </c>
      <c r="E650" t="b">
        <f>COUNTIF(connections!A:A, A650) &gt; 0</f>
        <v>0</v>
      </c>
      <c r="F650" t="s">
        <v>214</v>
      </c>
      <c r="G650" t="s">
        <v>1975</v>
      </c>
      <c r="H650" t="s">
        <v>70</v>
      </c>
      <c r="I650" t="s">
        <v>1976</v>
      </c>
      <c r="J650" s="1" t="s">
        <v>1977</v>
      </c>
    </row>
    <row r="651" spans="1:10" ht="15" customHeight="1" x14ac:dyDescent="0.25">
      <c r="A651" t="s">
        <v>1978</v>
      </c>
      <c r="B651">
        <v>2021</v>
      </c>
      <c r="C651" t="s">
        <v>15</v>
      </c>
      <c r="D651" t="b">
        <f>TRUE()</f>
        <v>1</v>
      </c>
      <c r="E651" t="b">
        <f>COUNTIF(connections!A:A, A651) &gt; 0</f>
        <v>1</v>
      </c>
      <c r="G651" t="s">
        <v>1979</v>
      </c>
      <c r="H651" t="s">
        <v>70</v>
      </c>
      <c r="I651" t="s">
        <v>1980</v>
      </c>
      <c r="J651" s="1" t="s">
        <v>1981</v>
      </c>
    </row>
    <row r="652" spans="1:10" ht="15" customHeight="1" x14ac:dyDescent="0.25">
      <c r="A652" t="s">
        <v>1982</v>
      </c>
      <c r="B652">
        <v>2025</v>
      </c>
      <c r="C652" t="s">
        <v>15</v>
      </c>
      <c r="D652" t="b">
        <f>TRUE()</f>
        <v>1</v>
      </c>
      <c r="E652" t="b">
        <f>COUNTIF(connections!A:A, A652) &gt; 0</f>
        <v>0</v>
      </c>
      <c r="G652" t="s">
        <v>1983</v>
      </c>
      <c r="H652" t="s">
        <v>70</v>
      </c>
      <c r="I652" t="s">
        <v>1984</v>
      </c>
      <c r="J652" s="1" t="s">
        <v>1985</v>
      </c>
    </row>
    <row r="653" spans="1:10" ht="15" customHeight="1" x14ac:dyDescent="0.25">
      <c r="A653" t="s">
        <v>1986</v>
      </c>
      <c r="B653">
        <v>2025</v>
      </c>
      <c r="C653" t="s">
        <v>18</v>
      </c>
      <c r="D653" t="b">
        <v>1</v>
      </c>
      <c r="E653" t="b">
        <f>COUNTIF(connections!A:A, A653) &gt; 0</f>
        <v>0</v>
      </c>
      <c r="G653" t="s">
        <v>1987</v>
      </c>
      <c r="H653" t="s">
        <v>70</v>
      </c>
      <c r="I653" t="s">
        <v>1988</v>
      </c>
      <c r="J653" s="1" t="s">
        <v>1989</v>
      </c>
    </row>
    <row r="654" spans="1:10" ht="15" customHeight="1" x14ac:dyDescent="0.25">
      <c r="A654" t="s">
        <v>1990</v>
      </c>
      <c r="B654">
        <v>2016</v>
      </c>
      <c r="C654" t="s">
        <v>22</v>
      </c>
      <c r="D654" t="b">
        <f>FALSE()</f>
        <v>0</v>
      </c>
      <c r="E654" t="b">
        <f>COUNTIF(connections!A:A, A654) &gt; 0</f>
        <v>0</v>
      </c>
      <c r="G654" t="s">
        <v>1991</v>
      </c>
      <c r="H654" t="s">
        <v>70</v>
      </c>
      <c r="I654" t="s">
        <v>1992</v>
      </c>
      <c r="J654" s="1" t="s">
        <v>1993</v>
      </c>
    </row>
    <row r="655" spans="1:10" ht="15" customHeight="1" x14ac:dyDescent="0.25">
      <c r="A655" t="s">
        <v>1994</v>
      </c>
      <c r="B655">
        <v>2022</v>
      </c>
      <c r="C655" t="s">
        <v>26</v>
      </c>
      <c r="D655" t="b">
        <f>TRUE()</f>
        <v>1</v>
      </c>
      <c r="E655" t="b">
        <f>COUNTIF(connections!A:A, A655) &gt; 0</f>
        <v>1</v>
      </c>
      <c r="G655" t="s">
        <v>1995</v>
      </c>
    </row>
    <row r="656" spans="1:10" ht="15" customHeight="1" x14ac:dyDescent="0.25">
      <c r="A656" t="s">
        <v>1996</v>
      </c>
      <c r="B656">
        <v>2023</v>
      </c>
      <c r="C656" t="s">
        <v>26</v>
      </c>
      <c r="D656" t="b">
        <f>TRUE()</f>
        <v>1</v>
      </c>
      <c r="E656" t="b">
        <f>COUNTIF(connections!A:A, A656) &gt; 0</f>
        <v>0</v>
      </c>
      <c r="G656" t="s">
        <v>1997</v>
      </c>
    </row>
    <row r="657" spans="1:10" ht="15" customHeight="1" x14ac:dyDescent="0.25">
      <c r="A657" t="s">
        <v>1998</v>
      </c>
      <c r="B657">
        <v>2022</v>
      </c>
      <c r="C657" t="s">
        <v>15</v>
      </c>
      <c r="D657" t="b">
        <f>TRUE()</f>
        <v>1</v>
      </c>
      <c r="E657" t="b">
        <f>COUNTIF(connections!A:A, A657) &gt; 0</f>
        <v>0</v>
      </c>
      <c r="G657" t="s">
        <v>1999</v>
      </c>
      <c r="H657" t="s">
        <v>70</v>
      </c>
      <c r="I657" t="s">
        <v>2000</v>
      </c>
      <c r="J657" s="1" t="s">
        <v>2001</v>
      </c>
    </row>
    <row r="658" spans="1:10" ht="15" customHeight="1" x14ac:dyDescent="0.25">
      <c r="A658" t="s">
        <v>2002</v>
      </c>
      <c r="B658">
        <v>2015</v>
      </c>
      <c r="C658" t="s">
        <v>15</v>
      </c>
      <c r="D658" t="b">
        <f>FALSE()</f>
        <v>0</v>
      </c>
      <c r="E658" t="b">
        <f>COUNTIF(connections!A:A, A658) &gt; 0</f>
        <v>0</v>
      </c>
      <c r="F658" t="s">
        <v>149</v>
      </c>
      <c r="G658" t="s">
        <v>2003</v>
      </c>
    </row>
    <row r="659" spans="1:10" ht="15" customHeight="1" x14ac:dyDescent="0.25">
      <c r="A659" t="s">
        <v>2004</v>
      </c>
      <c r="B659">
        <v>2019</v>
      </c>
      <c r="C659" t="s">
        <v>15</v>
      </c>
      <c r="D659" t="b">
        <f>TRUE()</f>
        <v>1</v>
      </c>
      <c r="E659" t="b">
        <f>COUNTIF(connections!A:A, A659) &gt; 0</f>
        <v>1</v>
      </c>
      <c r="G659" t="s">
        <v>2005</v>
      </c>
      <c r="J659" s="1" t="s">
        <v>2006</v>
      </c>
    </row>
    <row r="660" spans="1:10" ht="15" customHeight="1" x14ac:dyDescent="0.25">
      <c r="A660" t="s">
        <v>6454</v>
      </c>
      <c r="B660">
        <v>2016</v>
      </c>
      <c r="C660" t="s">
        <v>26</v>
      </c>
      <c r="D660" t="b">
        <f>TRUE()</f>
        <v>1</v>
      </c>
      <c r="E660" t="b">
        <f>COUNTIF(connections!A:A, A660) &gt; 0</f>
        <v>0</v>
      </c>
      <c r="G660" t="s">
        <v>6455</v>
      </c>
      <c r="J660" s="11" t="s">
        <v>6456</v>
      </c>
    </row>
    <row r="661" spans="1:10" ht="15" customHeight="1" x14ac:dyDescent="0.25">
      <c r="A661" t="s">
        <v>2007</v>
      </c>
      <c r="B661">
        <v>2022</v>
      </c>
      <c r="C661" t="s">
        <v>15</v>
      </c>
      <c r="D661" t="b">
        <f>TRUE()</f>
        <v>1</v>
      </c>
      <c r="E661" t="b">
        <f>COUNTIF(connections!A:A, A661) &gt; 0</f>
        <v>0</v>
      </c>
      <c r="G661" t="s">
        <v>2008</v>
      </c>
      <c r="H661" t="s">
        <v>70</v>
      </c>
      <c r="I661" t="s">
        <v>2009</v>
      </c>
      <c r="J661" s="1" t="s">
        <v>2010</v>
      </c>
    </row>
    <row r="662" spans="1:10" ht="15" customHeight="1" x14ac:dyDescent="0.25">
      <c r="A662" t="s">
        <v>2011</v>
      </c>
      <c r="B662">
        <v>2023</v>
      </c>
      <c r="C662" t="s">
        <v>18</v>
      </c>
      <c r="D662" t="b">
        <f>TRUE()</f>
        <v>1</v>
      </c>
      <c r="E662" t="b">
        <f>COUNTIF(connections!A:A, A662) &gt; 0</f>
        <v>0</v>
      </c>
      <c r="G662" t="s">
        <v>2012</v>
      </c>
    </row>
    <row r="663" spans="1:10" ht="15" customHeight="1" x14ac:dyDescent="0.25">
      <c r="A663" t="s">
        <v>2013</v>
      </c>
      <c r="B663">
        <v>2024</v>
      </c>
      <c r="C663" t="s">
        <v>22</v>
      </c>
      <c r="D663" t="b">
        <f>TRUE()</f>
        <v>1</v>
      </c>
      <c r="E663" t="b">
        <f>COUNTIF(connections!A:A, A663) &gt; 0</f>
        <v>0</v>
      </c>
      <c r="G663" t="s">
        <v>2014</v>
      </c>
      <c r="H663" t="s">
        <v>70</v>
      </c>
      <c r="I663" t="s">
        <v>2015</v>
      </c>
      <c r="J663" s="1" t="s">
        <v>2016</v>
      </c>
    </row>
    <row r="664" spans="1:10" ht="15" customHeight="1" x14ac:dyDescent="0.25">
      <c r="A664" t="s">
        <v>2017</v>
      </c>
      <c r="B664">
        <v>2012</v>
      </c>
      <c r="C664" t="s">
        <v>15</v>
      </c>
      <c r="D664" t="b">
        <f>TRUE()</f>
        <v>1</v>
      </c>
      <c r="E664" t="b">
        <f>COUNTIF(connections!A:A, A664) &gt; 0</f>
        <v>1</v>
      </c>
      <c r="G664" t="s">
        <v>2018</v>
      </c>
      <c r="H664" t="s">
        <v>70</v>
      </c>
      <c r="I664" t="s">
        <v>2019</v>
      </c>
      <c r="J664" s="1" t="s">
        <v>2020</v>
      </c>
    </row>
    <row r="665" spans="1:10" ht="15" customHeight="1" x14ac:dyDescent="0.25">
      <c r="A665" t="s">
        <v>2021</v>
      </c>
      <c r="B665">
        <v>2020</v>
      </c>
      <c r="C665" t="s">
        <v>15</v>
      </c>
      <c r="D665" t="b">
        <f>TRUE()</f>
        <v>1</v>
      </c>
      <c r="E665" t="b">
        <f>COUNTIF(connections!A:A, A665) &gt; 0</f>
        <v>0</v>
      </c>
      <c r="G665" t="s">
        <v>2022</v>
      </c>
      <c r="H665" t="s">
        <v>70</v>
      </c>
      <c r="I665" t="s">
        <v>2023</v>
      </c>
      <c r="J665" s="1" t="s">
        <v>2024</v>
      </c>
    </row>
    <row r="666" spans="1:10" ht="15" customHeight="1" x14ac:dyDescent="0.25">
      <c r="A666" t="s">
        <v>2025</v>
      </c>
      <c r="B666">
        <v>2008</v>
      </c>
      <c r="C666" t="s">
        <v>15</v>
      </c>
      <c r="D666" t="b">
        <f>TRUE()</f>
        <v>1</v>
      </c>
      <c r="E666" t="b">
        <f>COUNTIF(connections!A:A, A666) &gt; 0</f>
        <v>1</v>
      </c>
      <c r="G666" t="s">
        <v>2026</v>
      </c>
      <c r="H666" t="s">
        <v>70</v>
      </c>
      <c r="I666" t="s">
        <v>2027</v>
      </c>
    </row>
    <row r="667" spans="1:10" ht="15" customHeight="1" x14ac:dyDescent="0.25">
      <c r="A667" t="s">
        <v>2028</v>
      </c>
      <c r="B667">
        <v>2024</v>
      </c>
      <c r="C667" t="s">
        <v>22</v>
      </c>
      <c r="D667" t="b">
        <f>TRUE()</f>
        <v>1</v>
      </c>
      <c r="E667" t="b">
        <f>COUNTIF(connections!A:A, A667) &gt; 0</f>
        <v>0</v>
      </c>
      <c r="F667" t="s">
        <v>214</v>
      </c>
      <c r="G667" t="s">
        <v>2029</v>
      </c>
      <c r="H667" t="s">
        <v>70</v>
      </c>
      <c r="I667" t="s">
        <v>2030</v>
      </c>
      <c r="J667" s="1" t="s">
        <v>2031</v>
      </c>
    </row>
    <row r="668" spans="1:10" ht="15" customHeight="1" x14ac:dyDescent="0.25">
      <c r="A668" t="s">
        <v>2032</v>
      </c>
      <c r="B668">
        <v>2022</v>
      </c>
      <c r="C668" t="s">
        <v>15</v>
      </c>
      <c r="D668" t="b">
        <f>TRUE()</f>
        <v>1</v>
      </c>
      <c r="E668" t="b">
        <f>COUNTIF(connections!A:A, A668) &gt; 0</f>
        <v>0</v>
      </c>
      <c r="G668" t="s">
        <v>2033</v>
      </c>
      <c r="H668" t="s">
        <v>70</v>
      </c>
      <c r="I668" t="s">
        <v>2034</v>
      </c>
      <c r="J668" s="1" t="s">
        <v>2035</v>
      </c>
    </row>
    <row r="669" spans="1:10" ht="15" customHeight="1" x14ac:dyDescent="0.25">
      <c r="A669" t="s">
        <v>2036</v>
      </c>
      <c r="B669">
        <v>2023</v>
      </c>
      <c r="C669" t="s">
        <v>15</v>
      </c>
      <c r="D669" t="b">
        <f>TRUE()</f>
        <v>1</v>
      </c>
      <c r="E669" t="b">
        <f>COUNTIF(connections!A:A, A669) &gt; 0</f>
        <v>0</v>
      </c>
      <c r="G669" t="s">
        <v>2037</v>
      </c>
      <c r="H669" t="s">
        <v>70</v>
      </c>
      <c r="I669" t="s">
        <v>2038</v>
      </c>
      <c r="J669" s="1" t="s">
        <v>2039</v>
      </c>
    </row>
    <row r="670" spans="1:10" ht="15" customHeight="1" x14ac:dyDescent="0.25">
      <c r="A670" t="s">
        <v>2040</v>
      </c>
      <c r="B670">
        <v>2019</v>
      </c>
      <c r="C670" t="s">
        <v>15</v>
      </c>
      <c r="D670" t="b">
        <f>TRUE()</f>
        <v>1</v>
      </c>
      <c r="E670" t="b">
        <f>COUNTIF(connections!A:A, A670) &gt; 0</f>
        <v>1</v>
      </c>
      <c r="G670" t="s">
        <v>2041</v>
      </c>
      <c r="H670" t="s">
        <v>70</v>
      </c>
      <c r="I670" t="s">
        <v>2042</v>
      </c>
      <c r="J670" s="1" t="s">
        <v>2043</v>
      </c>
    </row>
    <row r="671" spans="1:10" ht="15" customHeight="1" x14ac:dyDescent="0.25">
      <c r="A671" t="s">
        <v>2044</v>
      </c>
      <c r="B671">
        <v>2014</v>
      </c>
      <c r="C671" t="s">
        <v>26</v>
      </c>
      <c r="D671" t="b">
        <f>TRUE()</f>
        <v>1</v>
      </c>
      <c r="E671" t="b">
        <f>COUNTIF(connections!A:A, A671) &gt; 0</f>
        <v>1</v>
      </c>
      <c r="G671" t="s">
        <v>2045</v>
      </c>
      <c r="H671" t="s">
        <v>70</v>
      </c>
      <c r="I671" t="s">
        <v>2046</v>
      </c>
      <c r="J671" s="1" t="s">
        <v>2047</v>
      </c>
    </row>
    <row r="672" spans="1:10" ht="15" customHeight="1" x14ac:dyDescent="0.25">
      <c r="A672" t="s">
        <v>2048</v>
      </c>
      <c r="B672">
        <v>2024</v>
      </c>
      <c r="C672" t="s">
        <v>15</v>
      </c>
      <c r="D672" t="b">
        <f>FALSE()</f>
        <v>0</v>
      </c>
      <c r="E672" t="b">
        <f>COUNTIF(connections!A:A, A672) &gt; 0</f>
        <v>0</v>
      </c>
      <c r="G672" t="s">
        <v>2049</v>
      </c>
      <c r="H672" t="s">
        <v>70</v>
      </c>
      <c r="I672" t="s">
        <v>2050</v>
      </c>
      <c r="J672" s="1" t="s">
        <v>2051</v>
      </c>
    </row>
    <row r="673" spans="1:10" ht="15" customHeight="1" x14ac:dyDescent="0.25">
      <c r="A673" t="s">
        <v>2052</v>
      </c>
      <c r="B673">
        <v>2025</v>
      </c>
      <c r="C673" t="s">
        <v>22</v>
      </c>
      <c r="D673" t="b">
        <f>TRUE()</f>
        <v>1</v>
      </c>
      <c r="E673" t="b">
        <f>COUNTIF(connections!A:A, A673) &gt; 0</f>
        <v>0</v>
      </c>
      <c r="G673" t="s">
        <v>2053</v>
      </c>
      <c r="H673" t="s">
        <v>70</v>
      </c>
      <c r="I673" t="s">
        <v>2054</v>
      </c>
      <c r="J673" s="1" t="s">
        <v>2055</v>
      </c>
    </row>
    <row r="674" spans="1:10" ht="15" customHeight="1" x14ac:dyDescent="0.25">
      <c r="A674" t="s">
        <v>2056</v>
      </c>
      <c r="B674">
        <v>2017</v>
      </c>
      <c r="C674" t="s">
        <v>15</v>
      </c>
      <c r="D674" t="b">
        <f>TRUE()</f>
        <v>1</v>
      </c>
      <c r="E674" t="b">
        <f>COUNTIF(connections!A:A, A674) &gt; 0</f>
        <v>1</v>
      </c>
      <c r="G674" t="s">
        <v>2057</v>
      </c>
      <c r="H674" t="s">
        <v>70</v>
      </c>
      <c r="I674" t="s">
        <v>2058</v>
      </c>
      <c r="J674" s="1" t="s">
        <v>2059</v>
      </c>
    </row>
    <row r="675" spans="1:10" ht="15" customHeight="1" x14ac:dyDescent="0.25">
      <c r="A675" t="s">
        <v>2060</v>
      </c>
      <c r="B675">
        <v>2023</v>
      </c>
      <c r="C675" t="s">
        <v>15</v>
      </c>
      <c r="D675" t="b">
        <f>TRUE()</f>
        <v>1</v>
      </c>
      <c r="E675" t="b">
        <f>COUNTIF(connections!A:A, A675) &gt; 0</f>
        <v>0</v>
      </c>
      <c r="F675" t="s">
        <v>149</v>
      </c>
      <c r="G675" t="s">
        <v>2061</v>
      </c>
      <c r="H675" t="s">
        <v>70</v>
      </c>
      <c r="I675" t="s">
        <v>2062</v>
      </c>
      <c r="J675" s="1" t="s">
        <v>2063</v>
      </c>
    </row>
    <row r="676" spans="1:10" ht="15" customHeight="1" x14ac:dyDescent="0.25">
      <c r="A676" t="s">
        <v>2064</v>
      </c>
      <c r="B676">
        <v>2025</v>
      </c>
      <c r="C676" t="s">
        <v>15</v>
      </c>
      <c r="D676" t="b">
        <f>TRUE()</f>
        <v>1</v>
      </c>
      <c r="E676" t="b">
        <f>COUNTIF(connections!A:A, A676) &gt; 0</f>
        <v>0</v>
      </c>
      <c r="G676" t="s">
        <v>2065</v>
      </c>
      <c r="H676" t="s">
        <v>70</v>
      </c>
      <c r="I676" t="s">
        <v>2066</v>
      </c>
      <c r="J676" s="1" t="s">
        <v>2067</v>
      </c>
    </row>
    <row r="677" spans="1:10" ht="15" customHeight="1" x14ac:dyDescent="0.25">
      <c r="A677" t="s">
        <v>2068</v>
      </c>
      <c r="B677">
        <v>2025</v>
      </c>
      <c r="C677" t="s">
        <v>22</v>
      </c>
      <c r="D677" t="b">
        <f>TRUE()</f>
        <v>1</v>
      </c>
      <c r="E677" t="b">
        <f>COUNTIF(connections!A:A, A677) &gt; 0</f>
        <v>0</v>
      </c>
      <c r="F677" t="s">
        <v>934</v>
      </c>
      <c r="G677" t="s">
        <v>2069</v>
      </c>
      <c r="H677" t="s">
        <v>70</v>
      </c>
      <c r="I677" t="s">
        <v>2070</v>
      </c>
      <c r="J677" s="1" t="s">
        <v>2071</v>
      </c>
    </row>
    <row r="678" spans="1:10" ht="15" customHeight="1" x14ac:dyDescent="0.25">
      <c r="A678" t="s">
        <v>2072</v>
      </c>
      <c r="B678">
        <v>2025</v>
      </c>
      <c r="C678" t="s">
        <v>22</v>
      </c>
      <c r="D678" t="b">
        <f>TRUE()</f>
        <v>1</v>
      </c>
      <c r="E678" t="b">
        <f>COUNTIF(connections!A:A, A678) &gt; 0</f>
        <v>0</v>
      </c>
      <c r="G678" t="s">
        <v>2073</v>
      </c>
    </row>
    <row r="679" spans="1:10" ht="15" customHeight="1" x14ac:dyDescent="0.25">
      <c r="A679" t="s">
        <v>2074</v>
      </c>
      <c r="B679">
        <v>2025</v>
      </c>
      <c r="C679" t="s">
        <v>15</v>
      </c>
      <c r="D679" t="b">
        <f>FALSE()</f>
        <v>0</v>
      </c>
      <c r="E679" t="b">
        <f>COUNTIF(connections!A:A, A679) &gt; 0</f>
        <v>0</v>
      </c>
      <c r="G679" t="s">
        <v>2075</v>
      </c>
      <c r="H679" t="s">
        <v>70</v>
      </c>
      <c r="I679" t="s">
        <v>2076</v>
      </c>
      <c r="J679" s="1" t="s">
        <v>2077</v>
      </c>
    </row>
    <row r="680" spans="1:10" ht="15" customHeight="1" x14ac:dyDescent="0.25">
      <c r="A680" t="s">
        <v>2078</v>
      </c>
      <c r="B680">
        <v>2020</v>
      </c>
      <c r="C680" t="s">
        <v>26</v>
      </c>
      <c r="D680" t="b">
        <f>TRUE()</f>
        <v>1</v>
      </c>
      <c r="E680" t="b">
        <f>COUNTIF(connections!A:A, A680) &gt; 0</f>
        <v>1</v>
      </c>
      <c r="G680" t="s">
        <v>2079</v>
      </c>
    </row>
    <row r="681" spans="1:10" ht="15" customHeight="1" x14ac:dyDescent="0.25">
      <c r="A681" t="s">
        <v>2080</v>
      </c>
      <c r="B681">
        <v>2023</v>
      </c>
      <c r="C681" t="s">
        <v>18</v>
      </c>
      <c r="D681" t="b">
        <f>FALSE()</f>
        <v>0</v>
      </c>
      <c r="E681" t="b">
        <f>COUNTIF(connections!A:A, A681) &gt; 0</f>
        <v>0</v>
      </c>
      <c r="F681" t="s">
        <v>308</v>
      </c>
      <c r="G681" t="s">
        <v>2081</v>
      </c>
    </row>
    <row r="682" spans="1:10" ht="15" customHeight="1" x14ac:dyDescent="0.25">
      <c r="A682" t="s">
        <v>2082</v>
      </c>
      <c r="B682">
        <v>2017</v>
      </c>
      <c r="C682" t="s">
        <v>15</v>
      </c>
      <c r="D682" t="b">
        <v>1</v>
      </c>
      <c r="E682" t="b">
        <f>COUNTIF(connections!A:A, A682) &gt; 0</f>
        <v>0</v>
      </c>
      <c r="G682" t="s">
        <v>2083</v>
      </c>
      <c r="H682" t="s">
        <v>70</v>
      </c>
      <c r="I682" t="s">
        <v>2084</v>
      </c>
      <c r="J682" s="11" t="s">
        <v>2085</v>
      </c>
    </row>
    <row r="683" spans="1:10" ht="15" customHeight="1" x14ac:dyDescent="0.25">
      <c r="A683" t="s">
        <v>2086</v>
      </c>
      <c r="B683">
        <v>2002</v>
      </c>
      <c r="C683" t="s">
        <v>18</v>
      </c>
      <c r="D683" t="b">
        <f>TRUE()</f>
        <v>1</v>
      </c>
      <c r="E683" t="b">
        <f>COUNTIF(connections!A:A, A683) &gt; 0</f>
        <v>1</v>
      </c>
      <c r="F683" t="s">
        <v>149</v>
      </c>
      <c r="G683" t="s">
        <v>2087</v>
      </c>
      <c r="H683" t="s">
        <v>70</v>
      </c>
      <c r="I683" t="s">
        <v>2088</v>
      </c>
    </row>
    <row r="684" spans="1:10" ht="15" customHeight="1" x14ac:dyDescent="0.25">
      <c r="A684" t="s">
        <v>2089</v>
      </c>
      <c r="B684">
        <v>2019</v>
      </c>
      <c r="C684" t="s">
        <v>15</v>
      </c>
      <c r="D684" t="b">
        <f>TRUE()</f>
        <v>1</v>
      </c>
      <c r="E684" t="b">
        <f>COUNTIF(connections!A:A, A684) &gt; 0</f>
        <v>0</v>
      </c>
      <c r="G684" t="s">
        <v>2090</v>
      </c>
      <c r="H684" t="s">
        <v>70</v>
      </c>
      <c r="I684" t="s">
        <v>2091</v>
      </c>
      <c r="J684" s="1" t="s">
        <v>2092</v>
      </c>
    </row>
    <row r="685" spans="1:10" ht="15" customHeight="1" x14ac:dyDescent="0.25">
      <c r="A685" t="s">
        <v>2093</v>
      </c>
      <c r="B685">
        <v>2024</v>
      </c>
      <c r="C685" t="s">
        <v>15</v>
      </c>
      <c r="D685" t="b">
        <f>TRUE()</f>
        <v>1</v>
      </c>
      <c r="E685" t="b">
        <f>COUNTIF(connections!A:A, A685) &gt; 0</f>
        <v>0</v>
      </c>
      <c r="G685" t="s">
        <v>2094</v>
      </c>
    </row>
    <row r="686" spans="1:10" ht="15" customHeight="1" x14ac:dyDescent="0.25">
      <c r="A686" t="s">
        <v>2095</v>
      </c>
      <c r="B686">
        <v>2017</v>
      </c>
      <c r="C686" t="s">
        <v>15</v>
      </c>
      <c r="D686" t="b">
        <f>TRUE()</f>
        <v>1</v>
      </c>
      <c r="E686" t="b">
        <f>COUNTIF(connections!A:A, A686) &gt; 0</f>
        <v>1</v>
      </c>
      <c r="G686" t="s">
        <v>2096</v>
      </c>
      <c r="H686" t="s">
        <v>70</v>
      </c>
      <c r="I686" t="s">
        <v>2097</v>
      </c>
      <c r="J686" s="1" t="s">
        <v>2098</v>
      </c>
    </row>
    <row r="687" spans="1:10" ht="15" customHeight="1" x14ac:dyDescent="0.25">
      <c r="A687" t="s">
        <v>2099</v>
      </c>
      <c r="B687">
        <v>2015</v>
      </c>
      <c r="C687" t="s">
        <v>18</v>
      </c>
      <c r="D687" t="b">
        <f>TRUE()</f>
        <v>1</v>
      </c>
      <c r="E687" t="b">
        <f>COUNTIF(connections!A:A, A687) &gt; 0</f>
        <v>1</v>
      </c>
      <c r="F687" t="s">
        <v>485</v>
      </c>
      <c r="G687" t="s">
        <v>2100</v>
      </c>
      <c r="J687" s="1" t="s">
        <v>2101</v>
      </c>
    </row>
    <row r="688" spans="1:10" ht="15" customHeight="1" x14ac:dyDescent="0.25">
      <c r="A688" t="s">
        <v>2102</v>
      </c>
      <c r="B688">
        <v>2021</v>
      </c>
      <c r="C688" t="s">
        <v>18</v>
      </c>
      <c r="D688" t="b">
        <f>TRUE()</f>
        <v>1</v>
      </c>
      <c r="E688" t="b">
        <f>COUNTIF(connections!A:A, A688) &gt; 0</f>
        <v>1</v>
      </c>
      <c r="G688" t="s">
        <v>2103</v>
      </c>
      <c r="H688" t="s">
        <v>70</v>
      </c>
      <c r="I688" t="s">
        <v>2104</v>
      </c>
      <c r="J688" s="1" t="s">
        <v>2105</v>
      </c>
    </row>
    <row r="689" spans="1:10" ht="15" customHeight="1" x14ac:dyDescent="0.25">
      <c r="A689" t="s">
        <v>2106</v>
      </c>
      <c r="B689">
        <v>2022</v>
      </c>
      <c r="C689" t="s">
        <v>22</v>
      </c>
      <c r="D689" t="b">
        <f>FALSE()</f>
        <v>0</v>
      </c>
      <c r="E689" t="b">
        <f>COUNTIF(connections!A:A, A689) &gt; 0</f>
        <v>0</v>
      </c>
      <c r="G689" t="s">
        <v>2107</v>
      </c>
      <c r="H689" t="s">
        <v>70</v>
      </c>
      <c r="I689" t="s">
        <v>2108</v>
      </c>
      <c r="J689" s="1" t="s">
        <v>2109</v>
      </c>
    </row>
    <row r="690" spans="1:10" ht="15" customHeight="1" x14ac:dyDescent="0.25">
      <c r="A690" t="s">
        <v>2110</v>
      </c>
      <c r="B690">
        <v>2025</v>
      </c>
      <c r="C690" t="s">
        <v>18</v>
      </c>
      <c r="D690" t="b">
        <f>TRUE()</f>
        <v>1</v>
      </c>
      <c r="E690" t="b">
        <f>COUNTIF(connections!A:A, A690) &gt; 0</f>
        <v>0</v>
      </c>
      <c r="G690" t="s">
        <v>2111</v>
      </c>
      <c r="H690" t="s">
        <v>70</v>
      </c>
      <c r="I690" t="s">
        <v>2112</v>
      </c>
      <c r="J690" s="1" t="s">
        <v>2113</v>
      </c>
    </row>
    <row r="691" spans="1:10" ht="15" customHeight="1" x14ac:dyDescent="0.25">
      <c r="A691" t="s">
        <v>2114</v>
      </c>
      <c r="B691">
        <v>2013</v>
      </c>
      <c r="C691" t="s">
        <v>15</v>
      </c>
      <c r="D691" t="b">
        <f>TRUE()</f>
        <v>1</v>
      </c>
      <c r="E691" t="b">
        <f>COUNTIF(connections!A:A, A691) &gt; 0</f>
        <v>1</v>
      </c>
      <c r="G691" t="s">
        <v>2115</v>
      </c>
      <c r="H691" t="s">
        <v>70</v>
      </c>
      <c r="I691" t="s">
        <v>2116</v>
      </c>
      <c r="J691" s="1" t="s">
        <v>2117</v>
      </c>
    </row>
    <row r="692" spans="1:10" ht="15" customHeight="1" x14ac:dyDescent="0.25">
      <c r="A692" t="s">
        <v>2118</v>
      </c>
      <c r="B692">
        <v>2025</v>
      </c>
      <c r="C692" t="s">
        <v>22</v>
      </c>
      <c r="D692" t="b">
        <f>TRUE()</f>
        <v>1</v>
      </c>
      <c r="E692" t="b">
        <f>COUNTIF(connections!A:A, A692) &gt; 0</f>
        <v>1</v>
      </c>
      <c r="G692" t="s">
        <v>2119</v>
      </c>
    </row>
    <row r="693" spans="1:10" ht="15" customHeight="1" x14ac:dyDescent="0.25">
      <c r="A693" t="s">
        <v>2120</v>
      </c>
      <c r="B693">
        <v>2025</v>
      </c>
      <c r="C693" t="s">
        <v>15</v>
      </c>
      <c r="D693" t="b">
        <f>TRUE()</f>
        <v>1</v>
      </c>
      <c r="E693" t="b">
        <f>COUNTIF(connections!A:A, A693) &gt; 0</f>
        <v>0</v>
      </c>
      <c r="G693" t="s">
        <v>2121</v>
      </c>
    </row>
    <row r="694" spans="1:10" ht="15" customHeight="1" x14ac:dyDescent="0.25">
      <c r="A694" t="s">
        <v>2122</v>
      </c>
      <c r="B694">
        <v>2023</v>
      </c>
      <c r="C694" t="s">
        <v>15</v>
      </c>
      <c r="D694" t="b">
        <f>TRUE()</f>
        <v>1</v>
      </c>
      <c r="E694" t="b">
        <f>COUNTIF(connections!A:A, A694) &gt; 0</f>
        <v>0</v>
      </c>
      <c r="F694" t="s">
        <v>934</v>
      </c>
      <c r="G694" t="s">
        <v>2123</v>
      </c>
      <c r="H694" t="s">
        <v>70</v>
      </c>
      <c r="I694" t="s">
        <v>2124</v>
      </c>
      <c r="J694" s="1" t="s">
        <v>2125</v>
      </c>
    </row>
    <row r="695" spans="1:10" ht="15" customHeight="1" x14ac:dyDescent="0.25">
      <c r="A695" t="s">
        <v>2126</v>
      </c>
      <c r="B695">
        <v>2016</v>
      </c>
      <c r="C695" t="s">
        <v>15</v>
      </c>
      <c r="D695" t="b">
        <f>TRUE()</f>
        <v>1</v>
      </c>
      <c r="E695" t="b">
        <f>COUNTIF(connections!A:A, A695) &gt; 0</f>
        <v>0</v>
      </c>
      <c r="F695" t="s">
        <v>602</v>
      </c>
      <c r="G695" t="s">
        <v>2127</v>
      </c>
      <c r="H695" t="s">
        <v>70</v>
      </c>
      <c r="I695" t="s">
        <v>2128</v>
      </c>
      <c r="J695" s="1" t="s">
        <v>2129</v>
      </c>
    </row>
    <row r="696" spans="1:10" ht="15" customHeight="1" x14ac:dyDescent="0.25">
      <c r="A696" t="s">
        <v>6468</v>
      </c>
      <c r="B696">
        <v>1982</v>
      </c>
      <c r="C696" t="s">
        <v>26</v>
      </c>
      <c r="D696" t="b">
        <f>TRUE()</f>
        <v>1</v>
      </c>
      <c r="E696" t="b">
        <f>COUNTIF(connections!A:A, A696) &gt; 0</f>
        <v>1</v>
      </c>
      <c r="G696" t="s">
        <v>6469</v>
      </c>
      <c r="J696" s="11" t="s">
        <v>6470</v>
      </c>
    </row>
    <row r="697" spans="1:10" ht="15" customHeight="1" x14ac:dyDescent="0.25">
      <c r="A697" t="s">
        <v>6679</v>
      </c>
      <c r="B697">
        <v>2021</v>
      </c>
      <c r="C697" t="s">
        <v>15</v>
      </c>
      <c r="D697" t="b">
        <f>TRUE()</f>
        <v>1</v>
      </c>
      <c r="E697" t="b">
        <f>COUNTIF(connections!A:A, A697) &gt; 0</f>
        <v>1</v>
      </c>
      <c r="G697" t="s">
        <v>6680</v>
      </c>
      <c r="J697" s="11" t="s">
        <v>6681</v>
      </c>
    </row>
    <row r="698" spans="1:10" ht="15" customHeight="1" x14ac:dyDescent="0.25">
      <c r="A698" t="s">
        <v>6683</v>
      </c>
      <c r="B698">
        <v>2025</v>
      </c>
      <c r="C698" t="s">
        <v>15</v>
      </c>
      <c r="D698" t="b">
        <f>TRUE()</f>
        <v>1</v>
      </c>
      <c r="E698" t="b">
        <f>COUNTIF(connections!A:A, A698) &gt; 0</f>
        <v>0</v>
      </c>
      <c r="G698" t="s">
        <v>6684</v>
      </c>
      <c r="J698" s="11" t="s">
        <v>6685</v>
      </c>
    </row>
    <row r="699" spans="1:10" ht="15" customHeight="1" x14ac:dyDescent="0.25">
      <c r="A699" t="s">
        <v>2130</v>
      </c>
      <c r="B699">
        <v>2013</v>
      </c>
      <c r="C699" t="s">
        <v>26</v>
      </c>
      <c r="D699" t="b">
        <f>TRUE()</f>
        <v>1</v>
      </c>
      <c r="E699" t="b">
        <f>COUNTIF(connections!A:A, A699) &gt; 0</f>
        <v>0</v>
      </c>
      <c r="G699" t="s">
        <v>2131</v>
      </c>
      <c r="J699" s="1" t="s">
        <v>2132</v>
      </c>
    </row>
    <row r="700" spans="1:10" ht="15" customHeight="1" x14ac:dyDescent="0.25">
      <c r="A700" t="s">
        <v>2133</v>
      </c>
      <c r="B700">
        <v>2022</v>
      </c>
      <c r="C700" t="s">
        <v>15</v>
      </c>
      <c r="D700" t="b">
        <f>TRUE()</f>
        <v>1</v>
      </c>
      <c r="E700" t="b">
        <f>COUNTIF(connections!A:A, A700) &gt; 0</f>
        <v>0</v>
      </c>
      <c r="G700" t="s">
        <v>2134</v>
      </c>
      <c r="H700" t="s">
        <v>70</v>
      </c>
      <c r="I700" t="s">
        <v>2135</v>
      </c>
      <c r="J700" s="1" t="s">
        <v>2136</v>
      </c>
    </row>
    <row r="701" spans="1:10" ht="15" customHeight="1" x14ac:dyDescent="0.25">
      <c r="A701" t="s">
        <v>2137</v>
      </c>
      <c r="B701">
        <v>2025</v>
      </c>
      <c r="C701" t="s">
        <v>15</v>
      </c>
      <c r="D701" t="b">
        <f>TRUE()</f>
        <v>1</v>
      </c>
      <c r="E701" t="b">
        <f>COUNTIF(connections!A:A, A701) &gt; 0</f>
        <v>0</v>
      </c>
      <c r="G701" t="s">
        <v>2138</v>
      </c>
      <c r="H701" t="s">
        <v>70</v>
      </c>
      <c r="I701" t="s">
        <v>2139</v>
      </c>
      <c r="J701" s="1" t="s">
        <v>2140</v>
      </c>
    </row>
    <row r="702" spans="1:10" ht="15" customHeight="1" x14ac:dyDescent="0.25">
      <c r="A702" t="s">
        <v>2141</v>
      </c>
      <c r="B702">
        <v>2021</v>
      </c>
      <c r="C702" t="s">
        <v>15</v>
      </c>
      <c r="D702" t="b">
        <f>TRUE()</f>
        <v>1</v>
      </c>
      <c r="E702" t="b">
        <f>COUNTIF(connections!A:A, A702) &gt; 0</f>
        <v>0</v>
      </c>
      <c r="G702" t="s">
        <v>2142</v>
      </c>
    </row>
    <row r="703" spans="1:10" ht="15" customHeight="1" x14ac:dyDescent="0.25">
      <c r="A703" t="s">
        <v>2143</v>
      </c>
      <c r="B703">
        <v>2018</v>
      </c>
      <c r="C703" t="s">
        <v>15</v>
      </c>
      <c r="D703" t="b">
        <f>TRUE()</f>
        <v>1</v>
      </c>
      <c r="E703" t="b">
        <f>COUNTIF(connections!A:A, A703) &gt; 0</f>
        <v>1</v>
      </c>
      <c r="G703" t="s">
        <v>2144</v>
      </c>
      <c r="H703" t="s">
        <v>70</v>
      </c>
      <c r="I703" t="s">
        <v>2145</v>
      </c>
      <c r="J703" s="1" t="s">
        <v>2146</v>
      </c>
    </row>
    <row r="704" spans="1:10" ht="15" customHeight="1" x14ac:dyDescent="0.25">
      <c r="A704" t="s">
        <v>2147</v>
      </c>
      <c r="B704">
        <v>2026</v>
      </c>
      <c r="C704" t="s">
        <v>18</v>
      </c>
      <c r="D704" t="b">
        <f>TRUE()</f>
        <v>1</v>
      </c>
      <c r="E704" t="b">
        <f>COUNTIF(connections!A:A, A704) &gt; 0</f>
        <v>0</v>
      </c>
      <c r="G704" t="s">
        <v>2148</v>
      </c>
      <c r="J704" s="1" t="s">
        <v>2149</v>
      </c>
    </row>
    <row r="705" spans="1:10" ht="15" customHeight="1" x14ac:dyDescent="0.25">
      <c r="A705" t="s">
        <v>2150</v>
      </c>
      <c r="B705">
        <v>2020</v>
      </c>
      <c r="C705" t="s">
        <v>22</v>
      </c>
      <c r="D705" t="b">
        <f>TRUE()</f>
        <v>1</v>
      </c>
      <c r="E705" t="b">
        <f>COUNTIF(connections!A:A, A705) &gt; 0</f>
        <v>0</v>
      </c>
      <c r="G705" t="s">
        <v>2151</v>
      </c>
      <c r="H705" t="s">
        <v>70</v>
      </c>
      <c r="I705" t="s">
        <v>2152</v>
      </c>
      <c r="J705" s="1" t="s">
        <v>2153</v>
      </c>
    </row>
    <row r="706" spans="1:10" ht="15" customHeight="1" x14ac:dyDescent="0.25">
      <c r="A706" t="s">
        <v>2154</v>
      </c>
      <c r="B706">
        <v>2023</v>
      </c>
      <c r="C706" t="s">
        <v>15</v>
      </c>
      <c r="D706" t="b">
        <f>TRUE()</f>
        <v>1</v>
      </c>
      <c r="E706" t="b">
        <f>COUNTIF(connections!A:A, A706) &gt; 0</f>
        <v>0</v>
      </c>
      <c r="G706" t="s">
        <v>2155</v>
      </c>
      <c r="H706" t="s">
        <v>70</v>
      </c>
      <c r="I706" t="s">
        <v>2156</v>
      </c>
      <c r="J706" s="1" t="s">
        <v>2157</v>
      </c>
    </row>
    <row r="707" spans="1:10" ht="15" customHeight="1" x14ac:dyDescent="0.25">
      <c r="A707" t="s">
        <v>2158</v>
      </c>
      <c r="B707">
        <v>1998</v>
      </c>
      <c r="C707" t="s">
        <v>26</v>
      </c>
      <c r="D707" t="b">
        <f>TRUE()</f>
        <v>1</v>
      </c>
      <c r="E707" t="b">
        <f>COUNTIF(connections!A:A, A707) &gt; 0</f>
        <v>1</v>
      </c>
      <c r="G707" t="s">
        <v>2159</v>
      </c>
      <c r="H707" t="s">
        <v>70</v>
      </c>
      <c r="I707" t="s">
        <v>2160</v>
      </c>
      <c r="J707" s="1" t="s">
        <v>2161</v>
      </c>
    </row>
    <row r="708" spans="1:10" ht="15" customHeight="1" x14ac:dyDescent="0.25">
      <c r="A708" t="s">
        <v>6618</v>
      </c>
      <c r="B708">
        <v>2026</v>
      </c>
      <c r="C708" t="s">
        <v>22</v>
      </c>
      <c r="D708" t="b">
        <f>TRUE()</f>
        <v>1</v>
      </c>
      <c r="E708" t="b">
        <f>COUNTIF(connections!A:A, A708) &gt; 0</f>
        <v>0</v>
      </c>
      <c r="G708" t="s">
        <v>6620</v>
      </c>
      <c r="J708" s="11" t="s">
        <v>6621</v>
      </c>
    </row>
    <row r="709" spans="1:10" ht="15" customHeight="1" x14ac:dyDescent="0.25">
      <c r="A709" t="s">
        <v>2162</v>
      </c>
      <c r="B709">
        <v>2017</v>
      </c>
      <c r="C709" t="s">
        <v>26</v>
      </c>
      <c r="D709" t="b">
        <f>TRUE()</f>
        <v>1</v>
      </c>
      <c r="E709" t="b">
        <f>COUNTIF(connections!A:A, A709) &gt; 0</f>
        <v>1</v>
      </c>
      <c r="G709" t="s">
        <v>2163</v>
      </c>
      <c r="H709" t="s">
        <v>70</v>
      </c>
      <c r="I709" t="s">
        <v>2164</v>
      </c>
      <c r="J709" s="1" t="s">
        <v>2165</v>
      </c>
    </row>
    <row r="710" spans="1:10" ht="15" customHeight="1" x14ac:dyDescent="0.25">
      <c r="A710" t="s">
        <v>2166</v>
      </c>
      <c r="B710">
        <v>2026</v>
      </c>
      <c r="C710" t="s">
        <v>18</v>
      </c>
      <c r="D710" t="b">
        <f>FALSE()</f>
        <v>0</v>
      </c>
      <c r="E710" t="b">
        <f>COUNTIF(connections!A:A, A710) &gt; 0</f>
        <v>0</v>
      </c>
      <c r="F710" t="s">
        <v>2167</v>
      </c>
      <c r="G710" t="s">
        <v>2168</v>
      </c>
      <c r="H710" t="s">
        <v>70</v>
      </c>
      <c r="I710" t="s">
        <v>2169</v>
      </c>
      <c r="J710" s="1" t="s">
        <v>2170</v>
      </c>
    </row>
    <row r="711" spans="1:10" ht="15" customHeight="1" x14ac:dyDescent="0.25">
      <c r="A711" t="s">
        <v>2171</v>
      </c>
      <c r="B711">
        <v>2006</v>
      </c>
      <c r="C711" t="s">
        <v>26</v>
      </c>
      <c r="D711" t="b">
        <f>TRUE()</f>
        <v>1</v>
      </c>
      <c r="E711" t="b">
        <f>COUNTIF(connections!A:A, A711) &gt; 0</f>
        <v>0</v>
      </c>
      <c r="G711" t="s">
        <v>2172</v>
      </c>
    </row>
    <row r="712" spans="1:10" ht="15" customHeight="1" x14ac:dyDescent="0.25">
      <c r="A712" t="s">
        <v>2173</v>
      </c>
      <c r="B712">
        <v>2023</v>
      </c>
      <c r="C712" t="s">
        <v>15</v>
      </c>
      <c r="D712" t="b">
        <f>TRUE()</f>
        <v>1</v>
      </c>
      <c r="E712" t="b">
        <f>COUNTIF(connections!A:A, A712) &gt; 0</f>
        <v>0</v>
      </c>
      <c r="F712" t="s">
        <v>447</v>
      </c>
      <c r="G712" t="s">
        <v>2174</v>
      </c>
      <c r="H712" t="s">
        <v>70</v>
      </c>
      <c r="I712" t="s">
        <v>2175</v>
      </c>
      <c r="J712" s="1" t="s">
        <v>2176</v>
      </c>
    </row>
    <row r="713" spans="1:10" ht="15" customHeight="1" x14ac:dyDescent="0.25">
      <c r="A713" t="s">
        <v>2177</v>
      </c>
      <c r="B713">
        <v>2019</v>
      </c>
      <c r="C713" t="s">
        <v>18</v>
      </c>
      <c r="D713" t="b">
        <f>TRUE()</f>
        <v>1</v>
      </c>
      <c r="E713" t="b">
        <f>COUNTIF(connections!A:A, A713) &gt; 0</f>
        <v>1</v>
      </c>
      <c r="G713" t="s">
        <v>2178</v>
      </c>
    </row>
    <row r="714" spans="1:10" ht="15" customHeight="1" x14ac:dyDescent="0.25">
      <c r="A714" t="s">
        <v>2179</v>
      </c>
      <c r="B714">
        <v>2026</v>
      </c>
      <c r="C714" t="s">
        <v>15</v>
      </c>
      <c r="D714" t="b">
        <v>1</v>
      </c>
      <c r="E714" t="b">
        <f>COUNTIF(connections!A:A, A714) &gt; 0</f>
        <v>0</v>
      </c>
      <c r="G714" t="s">
        <v>2180</v>
      </c>
      <c r="J714" s="11" t="s">
        <v>2181</v>
      </c>
    </row>
    <row r="715" spans="1:10" ht="15" customHeight="1" x14ac:dyDescent="0.25">
      <c r="A715" t="s">
        <v>2182</v>
      </c>
      <c r="B715">
        <v>2024</v>
      </c>
      <c r="C715" t="s">
        <v>15</v>
      </c>
      <c r="D715" t="b">
        <f>TRUE()</f>
        <v>1</v>
      </c>
      <c r="E715" t="b">
        <f>COUNTIF(connections!A:A, A715) &gt; 0</f>
        <v>0</v>
      </c>
      <c r="G715" t="s">
        <v>2183</v>
      </c>
      <c r="H715" t="s">
        <v>70</v>
      </c>
      <c r="I715" t="s">
        <v>2184</v>
      </c>
      <c r="J715" s="1" t="s">
        <v>2185</v>
      </c>
    </row>
    <row r="716" spans="1:10" ht="15" customHeight="1" x14ac:dyDescent="0.25">
      <c r="A716" t="s">
        <v>2186</v>
      </c>
      <c r="B716">
        <v>2024</v>
      </c>
      <c r="C716" t="s">
        <v>15</v>
      </c>
      <c r="D716" t="b">
        <f>TRUE()</f>
        <v>1</v>
      </c>
      <c r="E716" t="b">
        <f>COUNTIF(connections!A:A, A716) &gt; 0</f>
        <v>0</v>
      </c>
      <c r="G716" t="s">
        <v>2187</v>
      </c>
    </row>
    <row r="717" spans="1:10" ht="15" customHeight="1" x14ac:dyDescent="0.25">
      <c r="A717" t="s">
        <v>2188</v>
      </c>
      <c r="B717">
        <v>2022</v>
      </c>
      <c r="C717" t="s">
        <v>18</v>
      </c>
      <c r="D717" t="b">
        <f>TRUE()</f>
        <v>1</v>
      </c>
      <c r="E717" t="b">
        <f>COUNTIF(connections!A:A, A717) &gt; 0</f>
        <v>0</v>
      </c>
      <c r="G717" t="s">
        <v>2189</v>
      </c>
      <c r="H717" t="s">
        <v>70</v>
      </c>
      <c r="I717" t="s">
        <v>2190</v>
      </c>
      <c r="J717" s="1" t="s">
        <v>2191</v>
      </c>
    </row>
    <row r="718" spans="1:10" ht="15" customHeight="1" x14ac:dyDescent="0.25">
      <c r="A718" t="s">
        <v>2192</v>
      </c>
      <c r="B718">
        <v>2026</v>
      </c>
      <c r="C718" t="s">
        <v>15</v>
      </c>
      <c r="D718" t="b">
        <f>TRUE()</f>
        <v>1</v>
      </c>
      <c r="E718" t="b">
        <f>COUNTIF(connections!A:A, A718) &gt; 0</f>
        <v>0</v>
      </c>
      <c r="G718" t="s">
        <v>2193</v>
      </c>
      <c r="J718" s="11" t="s">
        <v>2194</v>
      </c>
    </row>
    <row r="719" spans="1:10" ht="15" customHeight="1" x14ac:dyDescent="0.25">
      <c r="A719" t="s">
        <v>2195</v>
      </c>
      <c r="B719">
        <v>2024</v>
      </c>
      <c r="C719" t="s">
        <v>15</v>
      </c>
      <c r="D719" t="b">
        <f>TRUE()</f>
        <v>1</v>
      </c>
      <c r="E719" t="b">
        <f>COUNTIF(connections!A:A, A719) &gt; 0</f>
        <v>0</v>
      </c>
      <c r="G719" t="s">
        <v>2196</v>
      </c>
    </row>
    <row r="720" spans="1:10" ht="15" customHeight="1" x14ac:dyDescent="0.25">
      <c r="A720" t="s">
        <v>2197</v>
      </c>
      <c r="B720">
        <v>2025</v>
      </c>
      <c r="C720" t="s">
        <v>18</v>
      </c>
      <c r="D720" t="b">
        <f>TRUE()</f>
        <v>1</v>
      </c>
      <c r="E720" t="b">
        <f>COUNTIF(connections!A:A, A720) &gt; 0</f>
        <v>1</v>
      </c>
      <c r="G720" t="s">
        <v>2198</v>
      </c>
    </row>
    <row r="721" spans="1:10" ht="15" customHeight="1" x14ac:dyDescent="0.25">
      <c r="A721" t="s">
        <v>2199</v>
      </c>
      <c r="B721">
        <v>2011</v>
      </c>
      <c r="C721" t="s">
        <v>15</v>
      </c>
      <c r="D721" t="b">
        <f>TRUE()</f>
        <v>1</v>
      </c>
      <c r="E721" t="b">
        <f>COUNTIF(connections!A:A, A721) &gt; 0</f>
        <v>1</v>
      </c>
      <c r="G721" t="s">
        <v>2200</v>
      </c>
      <c r="H721" t="s">
        <v>70</v>
      </c>
      <c r="I721" t="s">
        <v>2201</v>
      </c>
      <c r="J721" s="1" t="s">
        <v>2202</v>
      </c>
    </row>
    <row r="722" spans="1:10" ht="15" customHeight="1" x14ac:dyDescent="0.25">
      <c r="A722" t="s">
        <v>2203</v>
      </c>
      <c r="B722">
        <v>2014</v>
      </c>
      <c r="C722" t="s">
        <v>15</v>
      </c>
      <c r="D722" t="b">
        <f>TRUE()</f>
        <v>1</v>
      </c>
      <c r="E722" t="b">
        <f>COUNTIF(connections!A:A, A722) &gt; 0</f>
        <v>0</v>
      </c>
      <c r="G722" t="s">
        <v>2204</v>
      </c>
      <c r="H722" t="s">
        <v>70</v>
      </c>
      <c r="I722" t="s">
        <v>2205</v>
      </c>
      <c r="J722" s="1" t="s">
        <v>2206</v>
      </c>
    </row>
    <row r="723" spans="1:10" ht="15" customHeight="1" x14ac:dyDescent="0.25">
      <c r="A723" t="s">
        <v>2207</v>
      </c>
      <c r="B723">
        <v>2021</v>
      </c>
      <c r="C723" t="s">
        <v>26</v>
      </c>
      <c r="D723" t="b">
        <f>TRUE()</f>
        <v>1</v>
      </c>
      <c r="E723" t="b">
        <f>COUNTIF(connections!A:A, A723) &gt; 0</f>
        <v>0</v>
      </c>
      <c r="G723" t="s">
        <v>2208</v>
      </c>
    </row>
    <row r="724" spans="1:10" ht="15" customHeight="1" x14ac:dyDescent="0.25">
      <c r="A724" t="s">
        <v>2209</v>
      </c>
      <c r="B724">
        <v>2025</v>
      </c>
      <c r="C724" t="s">
        <v>22</v>
      </c>
      <c r="D724" t="b">
        <f>FALSE()</f>
        <v>0</v>
      </c>
      <c r="E724" t="b">
        <f>COUNTIF(connections!A:A, A724) &gt; 0</f>
        <v>0</v>
      </c>
      <c r="F724" t="s">
        <v>855</v>
      </c>
      <c r="G724" t="s">
        <v>2210</v>
      </c>
    </row>
    <row r="725" spans="1:10" ht="15" customHeight="1" x14ac:dyDescent="0.25">
      <c r="A725" t="s">
        <v>2211</v>
      </c>
      <c r="B725">
        <v>2016</v>
      </c>
      <c r="C725" t="s">
        <v>15</v>
      </c>
      <c r="D725" t="b">
        <f>TRUE()</f>
        <v>1</v>
      </c>
      <c r="E725" t="b">
        <f>COUNTIF(connections!A:A, A725) &gt; 0</f>
        <v>0</v>
      </c>
      <c r="G725" t="s">
        <v>2212</v>
      </c>
      <c r="H725" t="s">
        <v>70</v>
      </c>
      <c r="I725" t="s">
        <v>2213</v>
      </c>
      <c r="J725" s="1" t="s">
        <v>2214</v>
      </c>
    </row>
    <row r="726" spans="1:10" ht="15" customHeight="1" x14ac:dyDescent="0.25">
      <c r="A726" t="s">
        <v>2215</v>
      </c>
      <c r="B726">
        <v>2014</v>
      </c>
      <c r="C726" t="s">
        <v>26</v>
      </c>
      <c r="D726" t="b">
        <f>TRUE()</f>
        <v>1</v>
      </c>
      <c r="E726" t="b">
        <f>COUNTIF(connections!A:A, A726) &gt; 0</f>
        <v>1</v>
      </c>
      <c r="G726" t="s">
        <v>2216</v>
      </c>
      <c r="H726" t="s">
        <v>70</v>
      </c>
      <c r="I726" t="s">
        <v>2217</v>
      </c>
    </row>
    <row r="727" spans="1:10" ht="15" customHeight="1" x14ac:dyDescent="0.25">
      <c r="A727" t="s">
        <v>2218</v>
      </c>
      <c r="B727">
        <v>2013</v>
      </c>
      <c r="C727" t="s">
        <v>26</v>
      </c>
      <c r="D727" t="b">
        <f>TRUE()</f>
        <v>1</v>
      </c>
      <c r="E727" t="b">
        <f>COUNTIF(connections!A:A, A727) &gt; 0</f>
        <v>0</v>
      </c>
      <c r="G727" t="s">
        <v>2219</v>
      </c>
    </row>
    <row r="728" spans="1:10" ht="15" customHeight="1" x14ac:dyDescent="0.25">
      <c r="A728" t="s">
        <v>2220</v>
      </c>
      <c r="B728">
        <v>2025</v>
      </c>
      <c r="C728" t="s">
        <v>18</v>
      </c>
      <c r="D728" t="b">
        <f>FALSE()</f>
        <v>0</v>
      </c>
      <c r="E728" t="b">
        <f>COUNTIF(connections!A:A, A728) &gt; 0</f>
        <v>0</v>
      </c>
      <c r="G728" t="s">
        <v>2221</v>
      </c>
      <c r="H728" t="s">
        <v>70</v>
      </c>
      <c r="I728" t="s">
        <v>2222</v>
      </c>
      <c r="J728" s="1" t="s">
        <v>2223</v>
      </c>
    </row>
    <row r="729" spans="1:10" ht="15" customHeight="1" x14ac:dyDescent="0.25">
      <c r="A729" t="s">
        <v>2224</v>
      </c>
      <c r="B729">
        <v>2024</v>
      </c>
      <c r="C729" t="s">
        <v>18</v>
      </c>
      <c r="D729" t="b">
        <f>TRUE()</f>
        <v>1</v>
      </c>
      <c r="E729" t="b">
        <f>COUNTIF(connections!A:A, A729) &gt; 0</f>
        <v>0</v>
      </c>
      <c r="G729" t="s">
        <v>2225</v>
      </c>
    </row>
    <row r="730" spans="1:10" ht="14.25" customHeight="1" x14ac:dyDescent="0.25">
      <c r="A730" t="s">
        <v>6716</v>
      </c>
      <c r="B730">
        <v>2023</v>
      </c>
      <c r="C730" t="s">
        <v>15</v>
      </c>
      <c r="D730" t="b">
        <f>TRUE()</f>
        <v>1</v>
      </c>
      <c r="E730" t="b">
        <f>COUNTIF(connections!A:A, A730) &gt; 0</f>
        <v>0</v>
      </c>
      <c r="G730" t="s">
        <v>6717</v>
      </c>
      <c r="J730" s="11" t="s">
        <v>6718</v>
      </c>
    </row>
    <row r="731" spans="1:10" ht="15" customHeight="1" x14ac:dyDescent="0.25">
      <c r="A731" t="s">
        <v>2226</v>
      </c>
      <c r="B731">
        <v>2021</v>
      </c>
      <c r="C731" t="s">
        <v>18</v>
      </c>
      <c r="D731" t="b">
        <f>TRUE()</f>
        <v>1</v>
      </c>
      <c r="E731" t="b">
        <f>COUNTIF(connections!A:A, A731) &gt; 0</f>
        <v>0</v>
      </c>
      <c r="G731" t="s">
        <v>2227</v>
      </c>
      <c r="H731" t="s">
        <v>70</v>
      </c>
      <c r="I731" t="s">
        <v>2228</v>
      </c>
      <c r="J731" s="1" t="s">
        <v>2229</v>
      </c>
    </row>
    <row r="732" spans="1:10" x14ac:dyDescent="0.25">
      <c r="A732" t="s">
        <v>2230</v>
      </c>
      <c r="B732">
        <v>2019</v>
      </c>
      <c r="C732" t="s">
        <v>18</v>
      </c>
      <c r="D732" t="b">
        <f>TRUE()</f>
        <v>1</v>
      </c>
      <c r="E732" t="b">
        <f>COUNTIF(connections!A:A, A732) &gt; 0</f>
        <v>1</v>
      </c>
      <c r="G732" t="s">
        <v>2231</v>
      </c>
      <c r="H732" t="s">
        <v>70</v>
      </c>
      <c r="I732" t="s">
        <v>2232</v>
      </c>
      <c r="J732" s="1" t="s">
        <v>2233</v>
      </c>
    </row>
    <row r="733" spans="1:10" x14ac:dyDescent="0.25">
      <c r="A733" t="s">
        <v>2234</v>
      </c>
      <c r="B733">
        <v>2004</v>
      </c>
      <c r="C733" t="s">
        <v>26</v>
      </c>
      <c r="D733" t="b">
        <f>TRUE()</f>
        <v>1</v>
      </c>
      <c r="E733" t="b">
        <f>COUNTIF(connections!A:A, A733) &gt; 0</f>
        <v>0</v>
      </c>
      <c r="G733" t="s">
        <v>2235</v>
      </c>
    </row>
    <row r="734" spans="1:10" x14ac:dyDescent="0.25">
      <c r="A734" t="s">
        <v>2236</v>
      </c>
      <c r="B734">
        <v>2023</v>
      </c>
      <c r="C734" t="s">
        <v>18</v>
      </c>
      <c r="D734" t="b">
        <f>TRUE()</f>
        <v>1</v>
      </c>
      <c r="E734" t="b">
        <f>COUNTIF(connections!A:A, A734) &gt; 0</f>
        <v>0</v>
      </c>
      <c r="F734" t="s">
        <v>927</v>
      </c>
      <c r="G734" t="s">
        <v>2237</v>
      </c>
      <c r="H734" t="s">
        <v>70</v>
      </c>
      <c r="I734" t="s">
        <v>2238</v>
      </c>
      <c r="J734" s="1" t="s">
        <v>2239</v>
      </c>
    </row>
    <row r="735" spans="1:10" x14ac:dyDescent="0.25">
      <c r="A735" t="s">
        <v>2240</v>
      </c>
      <c r="B735">
        <v>2024</v>
      </c>
      <c r="C735" t="s">
        <v>15</v>
      </c>
      <c r="D735" t="b">
        <f>TRUE()</f>
        <v>1</v>
      </c>
      <c r="E735" t="b">
        <f>COUNTIF(connections!A:A, A735) &gt; 0</f>
        <v>0</v>
      </c>
      <c r="G735" t="s">
        <v>2241</v>
      </c>
      <c r="H735" t="s">
        <v>70</v>
      </c>
      <c r="I735" t="s">
        <v>2242</v>
      </c>
      <c r="J735" s="1" t="s">
        <v>2243</v>
      </c>
    </row>
    <row r="736" spans="1:10" x14ac:dyDescent="0.25">
      <c r="A736" t="s">
        <v>2244</v>
      </c>
      <c r="B736">
        <v>2025</v>
      </c>
      <c r="C736" t="s">
        <v>22</v>
      </c>
      <c r="D736" t="b">
        <f>TRUE()</f>
        <v>1</v>
      </c>
      <c r="E736" t="b">
        <f>COUNTIF(connections!A:A, A736) &gt; 0</f>
        <v>0</v>
      </c>
      <c r="G736" t="s">
        <v>2245</v>
      </c>
    </row>
    <row r="737" spans="1:10" x14ac:dyDescent="0.25">
      <c r="A737" t="s">
        <v>2246</v>
      </c>
      <c r="B737">
        <v>2024</v>
      </c>
      <c r="C737" t="s">
        <v>15</v>
      </c>
      <c r="D737" t="b">
        <f>TRUE()</f>
        <v>1</v>
      </c>
      <c r="E737" t="b">
        <f>COUNTIF(connections!A:A, A737) &gt; 0</f>
        <v>0</v>
      </c>
      <c r="G737" t="s">
        <v>2247</v>
      </c>
    </row>
    <row r="738" spans="1:10" x14ac:dyDescent="0.25">
      <c r="A738" t="s">
        <v>2248</v>
      </c>
      <c r="B738">
        <v>2026</v>
      </c>
      <c r="C738" t="s">
        <v>22</v>
      </c>
      <c r="D738" t="b">
        <f>TRUE()</f>
        <v>1</v>
      </c>
      <c r="E738" t="b">
        <f>COUNTIF(connections!A:A, A738) &gt; 0</f>
        <v>0</v>
      </c>
      <c r="F738" t="s">
        <v>356</v>
      </c>
      <c r="G738" t="s">
        <v>2249</v>
      </c>
      <c r="H738" t="s">
        <v>70</v>
      </c>
      <c r="I738" t="s">
        <v>2250</v>
      </c>
      <c r="J738" s="1" t="s">
        <v>2251</v>
      </c>
    </row>
    <row r="739" spans="1:10" x14ac:dyDescent="0.25">
      <c r="A739" t="s">
        <v>2252</v>
      </c>
      <c r="B739">
        <v>2022</v>
      </c>
      <c r="C739" t="s">
        <v>15</v>
      </c>
      <c r="D739" t="b">
        <f>TRUE()</f>
        <v>1</v>
      </c>
      <c r="E739" t="b">
        <f>COUNTIF(connections!A:A, A739) &gt; 0</f>
        <v>1</v>
      </c>
      <c r="G739" t="s">
        <v>2253</v>
      </c>
      <c r="H739" t="s">
        <v>70</v>
      </c>
      <c r="I739" t="s">
        <v>2254</v>
      </c>
      <c r="J739" s="1" t="s">
        <v>2255</v>
      </c>
    </row>
    <row r="740" spans="1:10" x14ac:dyDescent="0.25">
      <c r="A740" t="s">
        <v>2256</v>
      </c>
      <c r="B740">
        <v>2018</v>
      </c>
      <c r="C740" t="s">
        <v>15</v>
      </c>
      <c r="D740" t="b">
        <f>TRUE()</f>
        <v>1</v>
      </c>
      <c r="E740" t="b">
        <f>COUNTIF(connections!A:A, A740) &gt; 0</f>
        <v>0</v>
      </c>
      <c r="G740" t="s">
        <v>2257</v>
      </c>
    </row>
    <row r="741" spans="1:10" x14ac:dyDescent="0.25">
      <c r="A741" t="s">
        <v>6473</v>
      </c>
      <c r="B741">
        <v>2014</v>
      </c>
      <c r="C741" t="s">
        <v>26</v>
      </c>
      <c r="D741" t="b">
        <f>TRUE()</f>
        <v>1</v>
      </c>
      <c r="E741" t="b">
        <f>COUNTIF(connections!A:A, A741) &gt; 0</f>
        <v>0</v>
      </c>
      <c r="G741" t="s">
        <v>6474</v>
      </c>
      <c r="J741" s="11" t="s">
        <v>6475</v>
      </c>
    </row>
    <row r="742" spans="1:10" x14ac:dyDescent="0.25">
      <c r="A742" t="s">
        <v>2258</v>
      </c>
      <c r="B742">
        <v>2025</v>
      </c>
      <c r="C742" t="s">
        <v>18</v>
      </c>
      <c r="D742" t="b">
        <f>FALSE()</f>
        <v>0</v>
      </c>
      <c r="E742" t="b">
        <f>COUNTIF(connections!A:A, A742) &gt; 0</f>
        <v>0</v>
      </c>
      <c r="F742" t="s">
        <v>260</v>
      </c>
      <c r="G742" t="s">
        <v>2259</v>
      </c>
    </row>
    <row r="743" spans="1:10" x14ac:dyDescent="0.25">
      <c r="A743" t="s">
        <v>2260</v>
      </c>
      <c r="B743">
        <v>2025</v>
      </c>
      <c r="C743" t="s">
        <v>22</v>
      </c>
      <c r="D743" t="b">
        <f>TRUE()</f>
        <v>1</v>
      </c>
      <c r="E743" t="b">
        <f>COUNTIF(connections!A:A, A743) &gt; 0</f>
        <v>0</v>
      </c>
      <c r="G743" t="s">
        <v>2261</v>
      </c>
    </row>
    <row r="744" spans="1:10" x14ac:dyDescent="0.25">
      <c r="A744" t="s">
        <v>6413</v>
      </c>
      <c r="B744">
        <v>2023</v>
      </c>
      <c r="C744" t="s">
        <v>15</v>
      </c>
      <c r="D744" t="b">
        <f>TRUE()</f>
        <v>1</v>
      </c>
      <c r="E744" t="b">
        <f>COUNTIF(connections!A:A, A744) &gt; 0</f>
        <v>0</v>
      </c>
      <c r="G744" t="s">
        <v>6414</v>
      </c>
      <c r="J744" s="11" t="s">
        <v>6415</v>
      </c>
    </row>
    <row r="745" spans="1:10" x14ac:dyDescent="0.25">
      <c r="A745" t="s">
        <v>2262</v>
      </c>
      <c r="B745">
        <v>2023</v>
      </c>
      <c r="C745" t="s">
        <v>15</v>
      </c>
      <c r="D745" t="b">
        <f>TRUE()</f>
        <v>1</v>
      </c>
      <c r="E745" t="b">
        <f>COUNTIF(connections!A:A, A745) &gt; 0</f>
        <v>0</v>
      </c>
      <c r="G745" t="s">
        <v>2263</v>
      </c>
      <c r="H745" t="s">
        <v>70</v>
      </c>
      <c r="I745" t="s">
        <v>2264</v>
      </c>
      <c r="J745" s="1" t="s">
        <v>2265</v>
      </c>
    </row>
    <row r="746" spans="1:10" x14ac:dyDescent="0.25">
      <c r="A746" t="s">
        <v>6645</v>
      </c>
      <c r="B746">
        <v>2025</v>
      </c>
      <c r="C746" t="s">
        <v>22</v>
      </c>
      <c r="D746" t="b">
        <f>TRUE()</f>
        <v>1</v>
      </c>
      <c r="E746" t="b">
        <f>COUNTIF(connections!A:A, A746) &gt; 0</f>
        <v>1</v>
      </c>
      <c r="F746" t="s">
        <v>812</v>
      </c>
      <c r="G746" t="s">
        <v>6646</v>
      </c>
      <c r="J746" s="11" t="s">
        <v>6647</v>
      </c>
    </row>
    <row r="747" spans="1:10" x14ac:dyDescent="0.25">
      <c r="A747" t="s">
        <v>2266</v>
      </c>
      <c r="B747">
        <v>2022</v>
      </c>
      <c r="C747" t="s">
        <v>15</v>
      </c>
      <c r="D747" t="b">
        <f>TRUE()</f>
        <v>1</v>
      </c>
      <c r="E747" t="b">
        <f>COUNTIF(connections!A:A, A747) &gt; 0</f>
        <v>1</v>
      </c>
      <c r="G747" t="s">
        <v>2267</v>
      </c>
      <c r="H747" t="s">
        <v>70</v>
      </c>
      <c r="I747" t="s">
        <v>2268</v>
      </c>
      <c r="J747" s="1" t="s">
        <v>2269</v>
      </c>
    </row>
    <row r="748" spans="1:10" x14ac:dyDescent="0.25">
      <c r="A748" t="s">
        <v>2270</v>
      </c>
      <c r="B748">
        <v>2022</v>
      </c>
      <c r="C748" t="s">
        <v>18</v>
      </c>
      <c r="D748" t="b">
        <f>TRUE()</f>
        <v>1</v>
      </c>
      <c r="E748" t="b">
        <f>COUNTIF(connections!A:A, A748) &gt; 0</f>
        <v>0</v>
      </c>
      <c r="G748" t="s">
        <v>2271</v>
      </c>
      <c r="H748" t="s">
        <v>70</v>
      </c>
      <c r="I748" t="s">
        <v>2272</v>
      </c>
      <c r="J748" s="1" t="s">
        <v>2273</v>
      </c>
    </row>
    <row r="749" spans="1:10" x14ac:dyDescent="0.25">
      <c r="A749" t="s">
        <v>2274</v>
      </c>
      <c r="B749">
        <v>1991</v>
      </c>
      <c r="C749" t="s">
        <v>15</v>
      </c>
      <c r="D749" t="b">
        <f>TRUE()</f>
        <v>1</v>
      </c>
      <c r="E749" t="b">
        <f>COUNTIF(connections!A:A, A749) &gt; 0</f>
        <v>1</v>
      </c>
      <c r="G749" t="s">
        <v>2275</v>
      </c>
    </row>
    <row r="750" spans="1:10" x14ac:dyDescent="0.25">
      <c r="A750" t="s">
        <v>2276</v>
      </c>
      <c r="B750">
        <v>2019</v>
      </c>
      <c r="C750" t="s">
        <v>15</v>
      </c>
      <c r="D750" t="b">
        <f>TRUE()</f>
        <v>1</v>
      </c>
      <c r="E750" t="b">
        <f>COUNTIF(connections!A:A, A750) &gt; 0</f>
        <v>0</v>
      </c>
      <c r="G750" t="s">
        <v>2277</v>
      </c>
    </row>
    <row r="751" spans="1:10" x14ac:dyDescent="0.25">
      <c r="A751" t="s">
        <v>2278</v>
      </c>
      <c r="B751">
        <v>2022</v>
      </c>
      <c r="C751" t="s">
        <v>15</v>
      </c>
      <c r="D751" t="b">
        <f>TRUE()</f>
        <v>1</v>
      </c>
      <c r="E751" t="b">
        <f>COUNTIF(connections!A:A, A751) &gt; 0</f>
        <v>0</v>
      </c>
      <c r="G751" t="s">
        <v>2279</v>
      </c>
      <c r="H751" t="s">
        <v>70</v>
      </c>
      <c r="I751" t="s">
        <v>2280</v>
      </c>
      <c r="J751" s="1" t="s">
        <v>2281</v>
      </c>
    </row>
    <row r="752" spans="1:10" x14ac:dyDescent="0.25">
      <c r="A752" t="s">
        <v>2282</v>
      </c>
      <c r="B752">
        <v>1999</v>
      </c>
      <c r="C752" t="s">
        <v>26</v>
      </c>
      <c r="D752" t="b">
        <f>TRUE()</f>
        <v>1</v>
      </c>
      <c r="E752" t="b">
        <f>COUNTIF(connections!A:A, A752) &gt; 0</f>
        <v>1</v>
      </c>
      <c r="G752" t="s">
        <v>2283</v>
      </c>
    </row>
    <row r="753" spans="1:10" x14ac:dyDescent="0.25">
      <c r="A753" t="s">
        <v>2284</v>
      </c>
      <c r="B753">
        <v>2002</v>
      </c>
      <c r="C753" t="s">
        <v>26</v>
      </c>
      <c r="D753" t="b">
        <f>TRUE()</f>
        <v>1</v>
      </c>
      <c r="E753" t="b">
        <f>COUNTIF(connections!A:A, A753) &gt; 0</f>
        <v>0</v>
      </c>
      <c r="G753" t="s">
        <v>2285</v>
      </c>
    </row>
    <row r="754" spans="1:10" x14ac:dyDescent="0.25">
      <c r="A754" t="s">
        <v>2286</v>
      </c>
      <c r="B754">
        <v>1993</v>
      </c>
      <c r="C754" t="s">
        <v>26</v>
      </c>
      <c r="D754" t="b">
        <f>TRUE()</f>
        <v>1</v>
      </c>
      <c r="E754" t="b">
        <f>COUNTIF(connections!A:A, A754) &gt; 0</f>
        <v>1</v>
      </c>
      <c r="G754" t="s">
        <v>2287</v>
      </c>
    </row>
    <row r="755" spans="1:10" x14ac:dyDescent="0.25">
      <c r="A755" t="s">
        <v>2288</v>
      </c>
      <c r="B755">
        <v>2025</v>
      </c>
      <c r="C755" t="s">
        <v>26</v>
      </c>
      <c r="D755" t="b">
        <f>TRUE()</f>
        <v>1</v>
      </c>
      <c r="E755" t="b">
        <f>COUNTIF(connections!A:A, A755) &gt; 0</f>
        <v>0</v>
      </c>
      <c r="F755" t="s">
        <v>855</v>
      </c>
      <c r="G755" t="s">
        <v>2289</v>
      </c>
      <c r="H755" t="s">
        <v>70</v>
      </c>
      <c r="I755" t="s">
        <v>2290</v>
      </c>
      <c r="J755" s="1" t="s">
        <v>2291</v>
      </c>
    </row>
    <row r="756" spans="1:10" x14ac:dyDescent="0.25">
      <c r="A756" t="s">
        <v>6531</v>
      </c>
      <c r="B756">
        <v>2024</v>
      </c>
      <c r="C756" t="s">
        <v>26</v>
      </c>
      <c r="D756" t="b">
        <f>TRUE()</f>
        <v>1</v>
      </c>
      <c r="E756" t="b">
        <f>COUNTIF(connections!A:A, A756) &gt; 0</f>
        <v>0</v>
      </c>
      <c r="F756" t="s">
        <v>6526</v>
      </c>
      <c r="G756" t="s">
        <v>6532</v>
      </c>
      <c r="J756" s="11" t="s">
        <v>6530</v>
      </c>
    </row>
    <row r="757" spans="1:10" x14ac:dyDescent="0.25">
      <c r="A757" t="s">
        <v>6528</v>
      </c>
      <c r="B757">
        <v>2021</v>
      </c>
      <c r="C757" t="s">
        <v>26</v>
      </c>
      <c r="D757" t="b">
        <f>TRUE()</f>
        <v>1</v>
      </c>
      <c r="E757" t="b">
        <f>COUNTIF(connections!A:A, A757) &gt; 0</f>
        <v>0</v>
      </c>
      <c r="F757" t="s">
        <v>6526</v>
      </c>
      <c r="G757" t="s">
        <v>6529</v>
      </c>
      <c r="J757" s="11" t="s">
        <v>6527</v>
      </c>
    </row>
    <row r="758" spans="1:10" x14ac:dyDescent="0.25">
      <c r="A758" t="s">
        <v>2292</v>
      </c>
      <c r="B758">
        <v>2022</v>
      </c>
      <c r="C758" t="s">
        <v>22</v>
      </c>
      <c r="D758" t="b">
        <f>TRUE()</f>
        <v>1</v>
      </c>
      <c r="E758" t="b">
        <f>COUNTIF(connections!A:A, A758) &gt; 0</f>
        <v>0</v>
      </c>
      <c r="F758" t="s">
        <v>855</v>
      </c>
      <c r="G758" t="s">
        <v>2293</v>
      </c>
    </row>
    <row r="759" spans="1:10" x14ac:dyDescent="0.25">
      <c r="A759" t="s">
        <v>2294</v>
      </c>
      <c r="B759">
        <v>2025</v>
      </c>
      <c r="C759" t="s">
        <v>18</v>
      </c>
      <c r="D759" t="b">
        <f>TRUE()</f>
        <v>1</v>
      </c>
      <c r="E759" t="b">
        <f>COUNTIF(connections!A:A, A759) &gt; 0</f>
        <v>0</v>
      </c>
      <c r="G759" t="s">
        <v>2295</v>
      </c>
    </row>
    <row r="760" spans="1:10" x14ac:dyDescent="0.25">
      <c r="A760" t="s">
        <v>2296</v>
      </c>
      <c r="B760">
        <v>2023</v>
      </c>
      <c r="C760" t="s">
        <v>22</v>
      </c>
      <c r="D760" t="b">
        <f>TRUE()</f>
        <v>1</v>
      </c>
      <c r="E760" t="b">
        <f>COUNTIF(connections!A:A, A760) &gt; 0</f>
        <v>0</v>
      </c>
      <c r="F760" t="s">
        <v>260</v>
      </c>
      <c r="G760" t="s">
        <v>2297</v>
      </c>
      <c r="H760" t="s">
        <v>70</v>
      </c>
      <c r="I760" t="s">
        <v>2298</v>
      </c>
      <c r="J760" s="1" t="s">
        <v>2299</v>
      </c>
    </row>
    <row r="761" spans="1:10" x14ac:dyDescent="0.25">
      <c r="A761" t="s">
        <v>2300</v>
      </c>
      <c r="B761">
        <v>2024</v>
      </c>
      <c r="C761" t="s">
        <v>18</v>
      </c>
      <c r="D761" t="b">
        <f>TRUE()</f>
        <v>1</v>
      </c>
      <c r="E761" t="b">
        <f>COUNTIF(connections!A:A, A761) &gt; 0</f>
        <v>0</v>
      </c>
      <c r="F761" t="s">
        <v>260</v>
      </c>
      <c r="G761" t="s">
        <v>2301</v>
      </c>
    </row>
    <row r="762" spans="1:10" x14ac:dyDescent="0.25">
      <c r="A762" t="s">
        <v>6636</v>
      </c>
      <c r="B762">
        <v>2017</v>
      </c>
      <c r="C762" t="s">
        <v>15</v>
      </c>
      <c r="D762" t="b">
        <f>TRUE()</f>
        <v>1</v>
      </c>
      <c r="E762" t="b">
        <f>COUNTIF(connections!A:A, A762) &gt; 0</f>
        <v>0</v>
      </c>
      <c r="G762" t="s">
        <v>6637</v>
      </c>
      <c r="J762" s="11" t="s">
        <v>6638</v>
      </c>
    </row>
    <row r="763" spans="1:10" x14ac:dyDescent="0.25">
      <c r="A763" t="s">
        <v>2302</v>
      </c>
      <c r="B763">
        <v>2014</v>
      </c>
      <c r="C763" t="s">
        <v>15</v>
      </c>
      <c r="D763" t="b">
        <f>TRUE()</f>
        <v>1</v>
      </c>
      <c r="E763" t="b">
        <f>COUNTIF(connections!A:A, A763) &gt; 0</f>
        <v>1</v>
      </c>
      <c r="G763" t="s">
        <v>2303</v>
      </c>
      <c r="H763" t="s">
        <v>70</v>
      </c>
      <c r="I763" t="s">
        <v>2304</v>
      </c>
      <c r="J763" s="1" t="s">
        <v>2305</v>
      </c>
    </row>
    <row r="764" spans="1:10" x14ac:dyDescent="0.25">
      <c r="A764" t="s">
        <v>2306</v>
      </c>
      <c r="B764">
        <v>2021</v>
      </c>
      <c r="C764" t="s">
        <v>22</v>
      </c>
      <c r="D764" t="b">
        <f>TRUE()</f>
        <v>1</v>
      </c>
      <c r="E764" t="b">
        <f>COUNTIF(connections!A:A, A764) &gt; 0</f>
        <v>1</v>
      </c>
      <c r="F764" t="s">
        <v>260</v>
      </c>
      <c r="G764" t="s">
        <v>2307</v>
      </c>
      <c r="H764" t="s">
        <v>70</v>
      </c>
      <c r="I764" t="s">
        <v>2308</v>
      </c>
      <c r="J764" s="1" t="s">
        <v>2309</v>
      </c>
    </row>
    <row r="765" spans="1:10" x14ac:dyDescent="0.25">
      <c r="A765" t="s">
        <v>2310</v>
      </c>
      <c r="B765">
        <v>2025</v>
      </c>
      <c r="C765" t="s">
        <v>22</v>
      </c>
      <c r="D765" t="b">
        <f>TRUE()</f>
        <v>1</v>
      </c>
      <c r="E765" t="b">
        <f>COUNTIF(connections!A:A, A765) &gt; 0</f>
        <v>0</v>
      </c>
      <c r="G765" t="s">
        <v>2311</v>
      </c>
    </row>
    <row r="766" spans="1:10" x14ac:dyDescent="0.25">
      <c r="A766" t="s">
        <v>2312</v>
      </c>
      <c r="B766">
        <v>2019</v>
      </c>
      <c r="C766" t="s">
        <v>22</v>
      </c>
      <c r="D766" t="b">
        <f>TRUE()</f>
        <v>1</v>
      </c>
      <c r="E766" t="b">
        <f>COUNTIF(connections!A:A, A766) &gt; 0</f>
        <v>0</v>
      </c>
      <c r="G766" t="s">
        <v>2313</v>
      </c>
      <c r="J766" s="1" t="s">
        <v>2314</v>
      </c>
    </row>
    <row r="767" spans="1:10" x14ac:dyDescent="0.25">
      <c r="A767" t="s">
        <v>6567</v>
      </c>
      <c r="B767">
        <v>2017</v>
      </c>
      <c r="C767" t="s">
        <v>15</v>
      </c>
      <c r="D767" t="b">
        <f>TRUE()</f>
        <v>1</v>
      </c>
      <c r="E767" t="b">
        <f>COUNTIF(connections!A:A, A767) &gt; 0</f>
        <v>0</v>
      </c>
      <c r="G767" t="s">
        <v>6568</v>
      </c>
      <c r="J767" s="11" t="s">
        <v>6569</v>
      </c>
    </row>
    <row r="768" spans="1:10" x14ac:dyDescent="0.25">
      <c r="A768" t="s">
        <v>2315</v>
      </c>
      <c r="B768">
        <v>2026</v>
      </c>
      <c r="C768" t="s">
        <v>22</v>
      </c>
      <c r="D768" t="b">
        <f>TRUE()</f>
        <v>1</v>
      </c>
      <c r="E768" t="b">
        <f>COUNTIF(connections!A:A, A768) &gt; 0</f>
        <v>0</v>
      </c>
      <c r="G768" t="s">
        <v>2316</v>
      </c>
      <c r="J768" s="1" t="s">
        <v>2317</v>
      </c>
    </row>
    <row r="769" spans="1:10" x14ac:dyDescent="0.25">
      <c r="A769" t="s">
        <v>2318</v>
      </c>
      <c r="B769">
        <v>2025</v>
      </c>
      <c r="C769" t="s">
        <v>15</v>
      </c>
      <c r="D769" t="b">
        <f>TRUE()</f>
        <v>1</v>
      </c>
      <c r="E769" t="b">
        <f>COUNTIF(connections!A:A, A769) &gt; 0</f>
        <v>0</v>
      </c>
      <c r="G769" t="s">
        <v>2319</v>
      </c>
      <c r="J769" s="1" t="s">
        <v>2320</v>
      </c>
    </row>
    <row r="770" spans="1:10" x14ac:dyDescent="0.25">
      <c r="A770" t="s">
        <v>2321</v>
      </c>
      <c r="B770">
        <v>2012</v>
      </c>
      <c r="C770" t="s">
        <v>26</v>
      </c>
      <c r="D770" t="b">
        <f>TRUE()</f>
        <v>1</v>
      </c>
      <c r="E770" t="b">
        <f>COUNTIF(connections!A:A, A770) &gt; 0</f>
        <v>0</v>
      </c>
      <c r="G770" t="s">
        <v>2322</v>
      </c>
    </row>
    <row r="771" spans="1:10" x14ac:dyDescent="0.25">
      <c r="A771" t="s">
        <v>2323</v>
      </c>
      <c r="B771">
        <v>2021</v>
      </c>
      <c r="C771" t="s">
        <v>26</v>
      </c>
      <c r="D771" t="b">
        <f>TRUE()</f>
        <v>1</v>
      </c>
      <c r="E771" t="b">
        <f>COUNTIF(connections!A:A, A771) &gt; 0</f>
        <v>0</v>
      </c>
      <c r="G771" t="s">
        <v>2324</v>
      </c>
      <c r="H771" t="s">
        <v>70</v>
      </c>
      <c r="I771" t="s">
        <v>2325</v>
      </c>
      <c r="J771" s="1" t="s">
        <v>2326</v>
      </c>
    </row>
    <row r="772" spans="1:10" x14ac:dyDescent="0.25">
      <c r="A772" t="s">
        <v>2327</v>
      </c>
      <c r="B772">
        <v>2021</v>
      </c>
      <c r="C772" t="s">
        <v>18</v>
      </c>
      <c r="D772" t="b">
        <f>FALSE()</f>
        <v>0</v>
      </c>
      <c r="E772" t="b">
        <f>COUNTIF(connections!A:A, A772) &gt; 0</f>
        <v>0</v>
      </c>
      <c r="F772" t="s">
        <v>2328</v>
      </c>
      <c r="G772" t="s">
        <v>2329</v>
      </c>
      <c r="H772" t="s">
        <v>70</v>
      </c>
      <c r="I772" t="s">
        <v>2330</v>
      </c>
      <c r="J772" s="1" t="s">
        <v>2331</v>
      </c>
    </row>
    <row r="773" spans="1:10" x14ac:dyDescent="0.25">
      <c r="A773" t="s">
        <v>2332</v>
      </c>
      <c r="B773">
        <v>2024</v>
      </c>
      <c r="C773" t="s">
        <v>15</v>
      </c>
      <c r="D773" t="b">
        <f>FALSE()</f>
        <v>0</v>
      </c>
      <c r="E773" t="b">
        <f>COUNTIF(connections!A:A, A773) &gt; 0</f>
        <v>0</v>
      </c>
      <c r="F773" t="s">
        <v>934</v>
      </c>
      <c r="G773" t="s">
        <v>2333</v>
      </c>
    </row>
    <row r="774" spans="1:10" x14ac:dyDescent="0.25">
      <c r="A774" t="s">
        <v>2334</v>
      </c>
      <c r="B774">
        <v>2019</v>
      </c>
      <c r="C774" t="s">
        <v>15</v>
      </c>
      <c r="D774" t="b">
        <f>TRUE()</f>
        <v>1</v>
      </c>
      <c r="E774" t="b">
        <f>COUNTIF(connections!A:A, A774) &gt; 0</f>
        <v>1</v>
      </c>
      <c r="F774" t="s">
        <v>450</v>
      </c>
      <c r="G774" t="s">
        <v>2335</v>
      </c>
      <c r="H774" t="s">
        <v>70</v>
      </c>
      <c r="I774" t="s">
        <v>2336</v>
      </c>
      <c r="J774" s="1" t="s">
        <v>2337</v>
      </c>
    </row>
    <row r="775" spans="1:10" x14ac:dyDescent="0.25">
      <c r="A775" t="s">
        <v>2338</v>
      </c>
      <c r="B775">
        <v>2025</v>
      </c>
      <c r="C775" t="s">
        <v>15</v>
      </c>
      <c r="D775" t="b">
        <f>TRUE()</f>
        <v>1</v>
      </c>
      <c r="E775" t="b">
        <f>COUNTIF(connections!A:A, A775) &gt; 0</f>
        <v>0</v>
      </c>
      <c r="F775" t="s">
        <v>450</v>
      </c>
      <c r="G775" t="s">
        <v>2339</v>
      </c>
    </row>
    <row r="776" spans="1:10" x14ac:dyDescent="0.25">
      <c r="A776" t="s">
        <v>2340</v>
      </c>
      <c r="B776">
        <v>2017</v>
      </c>
      <c r="C776" t="s">
        <v>15</v>
      </c>
      <c r="D776" t="b">
        <f>TRUE()</f>
        <v>1</v>
      </c>
      <c r="E776" t="b">
        <f>COUNTIF(connections!A:A, A776) &gt; 0</f>
        <v>1</v>
      </c>
      <c r="G776" t="s">
        <v>2341</v>
      </c>
    </row>
    <row r="777" spans="1:10" x14ac:dyDescent="0.25">
      <c r="A777" t="s">
        <v>2342</v>
      </c>
      <c r="B777">
        <v>2022</v>
      </c>
      <c r="C777" t="s">
        <v>15</v>
      </c>
      <c r="D777" t="b">
        <f>TRUE()</f>
        <v>1</v>
      </c>
      <c r="E777" t="b">
        <f>COUNTIF(connections!A:A, A777) &gt; 0</f>
        <v>0</v>
      </c>
      <c r="G777" t="s">
        <v>2343</v>
      </c>
    </row>
    <row r="778" spans="1:10" x14ac:dyDescent="0.25">
      <c r="A778" t="s">
        <v>2344</v>
      </c>
      <c r="B778">
        <v>1992</v>
      </c>
      <c r="C778" t="s">
        <v>26</v>
      </c>
      <c r="D778" t="b">
        <f>TRUE()</f>
        <v>1</v>
      </c>
      <c r="E778" t="b">
        <f>COUNTIF(connections!A:A, A778) &gt; 0</f>
        <v>1</v>
      </c>
      <c r="G778" t="s">
        <v>2345</v>
      </c>
      <c r="H778" t="s">
        <v>70</v>
      </c>
      <c r="I778" t="s">
        <v>2346</v>
      </c>
      <c r="J778" s="1" t="s">
        <v>2347</v>
      </c>
    </row>
    <row r="779" spans="1:10" x14ac:dyDescent="0.25">
      <c r="A779" t="s">
        <v>2348</v>
      </c>
      <c r="B779">
        <v>2018</v>
      </c>
      <c r="C779" t="s">
        <v>15</v>
      </c>
      <c r="D779" t="b">
        <f>TRUE()</f>
        <v>1</v>
      </c>
      <c r="E779" t="b">
        <f>COUNTIF(connections!A:A, A779) &gt; 0</f>
        <v>0</v>
      </c>
      <c r="G779" t="s">
        <v>2349</v>
      </c>
    </row>
    <row r="780" spans="1:10" x14ac:dyDescent="0.25">
      <c r="A780" t="s">
        <v>2350</v>
      </c>
      <c r="B780">
        <v>2026</v>
      </c>
      <c r="C780" t="s">
        <v>22</v>
      </c>
      <c r="D780" t="b">
        <f>TRUE()</f>
        <v>1</v>
      </c>
      <c r="E780" t="b">
        <f>COUNTIF(connections!A:A, A780) &gt; 0</f>
        <v>0</v>
      </c>
      <c r="F780" t="s">
        <v>1486</v>
      </c>
      <c r="G780" t="s">
        <v>2351</v>
      </c>
    </row>
    <row r="781" spans="1:10" x14ac:dyDescent="0.25">
      <c r="A781" t="s">
        <v>2352</v>
      </c>
      <c r="B781">
        <v>2023</v>
      </c>
      <c r="C781" t="s">
        <v>15</v>
      </c>
      <c r="D781" t="b">
        <f>TRUE()</f>
        <v>1</v>
      </c>
      <c r="E781" t="b">
        <f>COUNTIF(connections!A:A, A781) &gt; 0</f>
        <v>0</v>
      </c>
      <c r="F781" t="s">
        <v>1486</v>
      </c>
      <c r="G781" t="s">
        <v>2353</v>
      </c>
      <c r="H781" t="s">
        <v>70</v>
      </c>
      <c r="I781" t="s">
        <v>2354</v>
      </c>
      <c r="J781" s="1" t="s">
        <v>2355</v>
      </c>
    </row>
    <row r="782" spans="1:10" x14ac:dyDescent="0.25">
      <c r="A782" t="s">
        <v>2356</v>
      </c>
      <c r="B782">
        <v>2021</v>
      </c>
      <c r="C782" t="s">
        <v>15</v>
      </c>
      <c r="D782" t="b">
        <f>TRUE()</f>
        <v>1</v>
      </c>
      <c r="E782" t="b">
        <f>COUNTIF(connections!A:A, A782) &gt; 0</f>
        <v>1</v>
      </c>
      <c r="F782" t="s">
        <v>1486</v>
      </c>
      <c r="G782" t="s">
        <v>2357</v>
      </c>
      <c r="H782" t="s">
        <v>70</v>
      </c>
      <c r="I782" t="s">
        <v>2358</v>
      </c>
      <c r="J782" s="1" t="s">
        <v>2359</v>
      </c>
    </row>
    <row r="783" spans="1:10" x14ac:dyDescent="0.25">
      <c r="A783" t="s">
        <v>2360</v>
      </c>
      <c r="B783">
        <v>2020</v>
      </c>
      <c r="C783" t="s">
        <v>22</v>
      </c>
      <c r="D783" t="b">
        <f>TRUE()</f>
        <v>1</v>
      </c>
      <c r="E783" t="b">
        <f>COUNTIF(connections!A:A, A783) &gt; 0</f>
        <v>0</v>
      </c>
      <c r="G783" t="s">
        <v>2361</v>
      </c>
      <c r="H783" t="s">
        <v>70</v>
      </c>
      <c r="I783" t="s">
        <v>2362</v>
      </c>
      <c r="J783" s="1" t="s">
        <v>2363</v>
      </c>
    </row>
    <row r="784" spans="1:10" x14ac:dyDescent="0.25">
      <c r="A784" t="s">
        <v>2364</v>
      </c>
      <c r="B784">
        <v>2024</v>
      </c>
      <c r="C784" t="s">
        <v>15</v>
      </c>
      <c r="D784" t="b">
        <f>TRUE()</f>
        <v>1</v>
      </c>
      <c r="E784" t="b">
        <f>COUNTIF(connections!A:A, A784) &gt; 0</f>
        <v>0</v>
      </c>
      <c r="G784" t="s">
        <v>2365</v>
      </c>
    </row>
    <row r="785" spans="1:10" x14ac:dyDescent="0.25">
      <c r="A785" t="s">
        <v>2366</v>
      </c>
      <c r="B785">
        <v>2026</v>
      </c>
      <c r="C785" t="s">
        <v>15</v>
      </c>
      <c r="D785" t="b">
        <f>TRUE()</f>
        <v>1</v>
      </c>
      <c r="E785" t="b">
        <f>COUNTIF(connections!A:A, A785) &gt; 0</f>
        <v>0</v>
      </c>
      <c r="F785" t="s">
        <v>934</v>
      </c>
      <c r="G785" t="s">
        <v>2367</v>
      </c>
      <c r="H785" t="s">
        <v>70</v>
      </c>
      <c r="I785" t="s">
        <v>2368</v>
      </c>
      <c r="J785" s="1" t="s">
        <v>2369</v>
      </c>
    </row>
    <row r="786" spans="1:10" x14ac:dyDescent="0.25">
      <c r="A786" t="s">
        <v>2370</v>
      </c>
      <c r="B786">
        <v>2021</v>
      </c>
      <c r="C786" t="s">
        <v>22</v>
      </c>
      <c r="D786" t="b">
        <f>TRUE()</f>
        <v>1</v>
      </c>
      <c r="E786" t="b">
        <f>COUNTIF(connections!A:A, A786) &gt; 0</f>
        <v>1</v>
      </c>
      <c r="F786" t="s">
        <v>812</v>
      </c>
      <c r="G786" t="s">
        <v>2371</v>
      </c>
    </row>
    <row r="787" spans="1:10" x14ac:dyDescent="0.25">
      <c r="A787" t="s">
        <v>2372</v>
      </c>
      <c r="B787">
        <v>2025</v>
      </c>
      <c r="C787" t="s">
        <v>22</v>
      </c>
      <c r="D787" t="b">
        <f>TRUE()</f>
        <v>1</v>
      </c>
      <c r="E787" t="b">
        <f>COUNTIF(connections!A:A, A787) &gt; 0</f>
        <v>0</v>
      </c>
      <c r="G787" t="s">
        <v>2373</v>
      </c>
    </row>
    <row r="788" spans="1:10" x14ac:dyDescent="0.25">
      <c r="A788" t="s">
        <v>2374</v>
      </c>
      <c r="B788">
        <v>2026</v>
      </c>
      <c r="C788" t="s">
        <v>22</v>
      </c>
      <c r="D788" t="b">
        <f>TRUE()</f>
        <v>1</v>
      </c>
      <c r="E788" t="b">
        <f>COUNTIF(connections!A:A, A788) &gt; 0</f>
        <v>0</v>
      </c>
      <c r="G788" t="s">
        <v>2375</v>
      </c>
    </row>
    <row r="789" spans="1:10" x14ac:dyDescent="0.25">
      <c r="A789" t="s">
        <v>2376</v>
      </c>
      <c r="B789">
        <v>2019</v>
      </c>
      <c r="C789" t="s">
        <v>15</v>
      </c>
      <c r="D789" t="b">
        <f>TRUE()</f>
        <v>1</v>
      </c>
      <c r="E789" t="b">
        <f>COUNTIF(connections!A:A, A789) &gt; 0</f>
        <v>1</v>
      </c>
      <c r="F789" t="s">
        <v>149</v>
      </c>
      <c r="G789" t="s">
        <v>2377</v>
      </c>
      <c r="H789" t="s">
        <v>70</v>
      </c>
      <c r="I789" t="s">
        <v>2378</v>
      </c>
      <c r="J789" s="1" t="s">
        <v>2379</v>
      </c>
    </row>
    <row r="790" spans="1:10" x14ac:dyDescent="0.25">
      <c r="A790" t="s">
        <v>2380</v>
      </c>
      <c r="B790">
        <v>2022</v>
      </c>
      <c r="C790" t="s">
        <v>15</v>
      </c>
      <c r="D790" t="b">
        <f>TRUE()</f>
        <v>1</v>
      </c>
      <c r="E790" t="b">
        <f>COUNTIF(connections!A:A, A790) &gt; 0</f>
        <v>1</v>
      </c>
      <c r="G790" t="s">
        <v>2381</v>
      </c>
      <c r="H790" t="s">
        <v>70</v>
      </c>
      <c r="I790" t="s">
        <v>2382</v>
      </c>
      <c r="J790" s="11" t="s">
        <v>2383</v>
      </c>
    </row>
    <row r="791" spans="1:10" x14ac:dyDescent="0.25">
      <c r="A791" t="s">
        <v>2384</v>
      </c>
      <c r="B791">
        <v>2024</v>
      </c>
      <c r="C791" t="s">
        <v>18</v>
      </c>
      <c r="D791" t="b">
        <f>TRUE()</f>
        <v>1</v>
      </c>
      <c r="E791" t="b">
        <f>COUNTIF(connections!A:A, A791) &gt; 0</f>
        <v>0</v>
      </c>
      <c r="F791" t="s">
        <v>149</v>
      </c>
      <c r="G791" t="s">
        <v>2385</v>
      </c>
    </row>
    <row r="792" spans="1:10" x14ac:dyDescent="0.25">
      <c r="A792" t="s">
        <v>2386</v>
      </c>
      <c r="B792">
        <v>2023</v>
      </c>
      <c r="C792" t="s">
        <v>15</v>
      </c>
      <c r="D792" t="b">
        <f>TRUE()</f>
        <v>1</v>
      </c>
      <c r="E792" t="b">
        <f>COUNTIF(connections!A:A, A792) &gt; 0</f>
        <v>0</v>
      </c>
      <c r="G792" t="s">
        <v>2387</v>
      </c>
      <c r="H792" t="s">
        <v>70</v>
      </c>
      <c r="I792" t="s">
        <v>2388</v>
      </c>
      <c r="J792" s="1" t="s">
        <v>2389</v>
      </c>
    </row>
    <row r="793" spans="1:10" x14ac:dyDescent="0.25">
      <c r="A793" t="s">
        <v>2390</v>
      </c>
      <c r="B793">
        <v>2024</v>
      </c>
      <c r="C793" t="s">
        <v>15</v>
      </c>
      <c r="D793" t="b">
        <f>TRUE()</f>
        <v>1</v>
      </c>
      <c r="E793" t="b">
        <f>COUNTIF(connections!A:A, A793) &gt; 0</f>
        <v>0</v>
      </c>
      <c r="G793" t="s">
        <v>2391</v>
      </c>
    </row>
    <row r="794" spans="1:10" x14ac:dyDescent="0.25">
      <c r="A794" t="s">
        <v>2392</v>
      </c>
      <c r="B794">
        <v>2024</v>
      </c>
      <c r="C794" t="s">
        <v>15</v>
      </c>
      <c r="D794" t="b">
        <f>FALSE()</f>
        <v>0</v>
      </c>
      <c r="E794" t="b">
        <f>COUNTIF(connections!A:A, A794) &gt; 0</f>
        <v>0</v>
      </c>
      <c r="G794" t="s">
        <v>2393</v>
      </c>
      <c r="J794" s="1" t="s">
        <v>2394</v>
      </c>
    </row>
    <row r="795" spans="1:10" x14ac:dyDescent="0.25">
      <c r="A795" t="s">
        <v>2395</v>
      </c>
      <c r="B795">
        <v>2023</v>
      </c>
      <c r="C795" t="s">
        <v>18</v>
      </c>
      <c r="D795" t="b">
        <f>TRUE()</f>
        <v>1</v>
      </c>
      <c r="E795" t="b">
        <f>COUNTIF(connections!A:A, A795) &gt; 0</f>
        <v>1</v>
      </c>
      <c r="F795" t="s">
        <v>450</v>
      </c>
      <c r="G795" t="s">
        <v>2396</v>
      </c>
      <c r="H795" t="s">
        <v>70</v>
      </c>
      <c r="I795" t="s">
        <v>2397</v>
      </c>
      <c r="J795" s="1" t="s">
        <v>2398</v>
      </c>
    </row>
    <row r="796" spans="1:10" x14ac:dyDescent="0.25">
      <c r="A796" t="s">
        <v>2399</v>
      </c>
      <c r="B796">
        <v>2025</v>
      </c>
      <c r="C796" t="s">
        <v>18</v>
      </c>
      <c r="D796" t="b">
        <f>TRUE()</f>
        <v>1</v>
      </c>
      <c r="E796" t="b">
        <f>COUNTIF(connections!A:A, A796) &gt; 0</f>
        <v>0</v>
      </c>
      <c r="F796" t="s">
        <v>450</v>
      </c>
      <c r="G796" t="s">
        <v>2400</v>
      </c>
    </row>
    <row r="797" spans="1:10" x14ac:dyDescent="0.25">
      <c r="A797" t="s">
        <v>2401</v>
      </c>
      <c r="B797">
        <v>2026</v>
      </c>
      <c r="C797" t="s">
        <v>15</v>
      </c>
      <c r="D797" t="b">
        <f>TRUE()</f>
        <v>1</v>
      </c>
      <c r="E797" t="b">
        <f>COUNTIF(connections!A:A, A797) &gt; 0</f>
        <v>0</v>
      </c>
      <c r="G797" t="s">
        <v>2402</v>
      </c>
    </row>
    <row r="798" spans="1:10" x14ac:dyDescent="0.25">
      <c r="A798" t="s">
        <v>2403</v>
      </c>
      <c r="B798">
        <v>2023</v>
      </c>
      <c r="C798" t="s">
        <v>26</v>
      </c>
      <c r="D798" t="b">
        <f>TRUE()</f>
        <v>1</v>
      </c>
      <c r="E798" t="b">
        <f>COUNTIF(connections!A:A, A798) &gt; 0</f>
        <v>0</v>
      </c>
      <c r="F798" t="s">
        <v>149</v>
      </c>
      <c r="G798" t="s">
        <v>2404</v>
      </c>
    </row>
    <row r="799" spans="1:10" x14ac:dyDescent="0.25">
      <c r="A799" t="s">
        <v>2405</v>
      </c>
      <c r="B799">
        <v>2025</v>
      </c>
      <c r="C799" t="s">
        <v>15</v>
      </c>
      <c r="D799" t="b">
        <f>TRUE()</f>
        <v>1</v>
      </c>
      <c r="E799" t="b">
        <f>COUNTIF(connections!A:A, A799) &gt; 0</f>
        <v>0</v>
      </c>
      <c r="G799" t="s">
        <v>2406</v>
      </c>
      <c r="H799" t="s">
        <v>70</v>
      </c>
      <c r="I799" t="s">
        <v>2407</v>
      </c>
      <c r="J799" s="1" t="s">
        <v>2408</v>
      </c>
    </row>
    <row r="800" spans="1:10" x14ac:dyDescent="0.25">
      <c r="A800" t="s">
        <v>2409</v>
      </c>
      <c r="B800">
        <v>2017</v>
      </c>
      <c r="C800" t="s">
        <v>18</v>
      </c>
      <c r="D800" t="b">
        <f>TRUE()</f>
        <v>1</v>
      </c>
      <c r="E800" t="b">
        <f>COUNTIF(connections!A:A, A800) &gt; 0</f>
        <v>0</v>
      </c>
      <c r="G800" t="s">
        <v>2410</v>
      </c>
      <c r="H800" t="s">
        <v>70</v>
      </c>
      <c r="I800" t="s">
        <v>2411</v>
      </c>
      <c r="J800" s="1" t="s">
        <v>2412</v>
      </c>
    </row>
    <row r="801" spans="1:10" x14ac:dyDescent="0.25">
      <c r="A801" t="s">
        <v>2413</v>
      </c>
      <c r="B801">
        <v>2011</v>
      </c>
      <c r="C801" t="s">
        <v>26</v>
      </c>
      <c r="D801" t="b">
        <f>TRUE()</f>
        <v>1</v>
      </c>
      <c r="E801" t="b">
        <f>COUNTIF(connections!A:A, A801) &gt; 0</f>
        <v>0</v>
      </c>
      <c r="G801" t="s">
        <v>2414</v>
      </c>
    </row>
    <row r="802" spans="1:10" x14ac:dyDescent="0.25">
      <c r="A802" t="s">
        <v>2415</v>
      </c>
      <c r="B802">
        <v>2012</v>
      </c>
      <c r="C802" t="s">
        <v>18</v>
      </c>
      <c r="D802" t="b">
        <f>TRUE()</f>
        <v>1</v>
      </c>
      <c r="E802" t="b">
        <f>COUNTIF(connections!A:A, A802) &gt; 0</f>
        <v>0</v>
      </c>
      <c r="G802" t="s">
        <v>2416</v>
      </c>
      <c r="H802" t="s">
        <v>70</v>
      </c>
      <c r="I802" t="s">
        <v>2417</v>
      </c>
      <c r="J802" s="1" t="s">
        <v>2418</v>
      </c>
    </row>
    <row r="803" spans="1:10" x14ac:dyDescent="0.25">
      <c r="A803" t="s">
        <v>2419</v>
      </c>
      <c r="B803">
        <v>2017</v>
      </c>
      <c r="C803" t="s">
        <v>15</v>
      </c>
      <c r="D803" t="b">
        <f>FALSE()</f>
        <v>0</v>
      </c>
      <c r="E803" t="b">
        <f>COUNTIF(connections!A:A, A803) &gt; 0</f>
        <v>0</v>
      </c>
      <c r="F803" t="s">
        <v>485</v>
      </c>
      <c r="G803" t="s">
        <v>2420</v>
      </c>
      <c r="H803" t="s">
        <v>70</v>
      </c>
      <c r="I803" t="s">
        <v>2421</v>
      </c>
      <c r="J803" s="1" t="s">
        <v>2422</v>
      </c>
    </row>
    <row r="804" spans="1:10" x14ac:dyDescent="0.25">
      <c r="A804" t="s">
        <v>2423</v>
      </c>
      <c r="B804">
        <v>2005</v>
      </c>
      <c r="C804" t="s">
        <v>18</v>
      </c>
      <c r="D804" t="b">
        <f>TRUE()</f>
        <v>1</v>
      </c>
      <c r="E804" t="b">
        <f>COUNTIF(connections!A:A, A804) &gt; 0</f>
        <v>1</v>
      </c>
      <c r="F804" t="s">
        <v>149</v>
      </c>
      <c r="G804" t="s">
        <v>2424</v>
      </c>
      <c r="H804" t="s">
        <v>70</v>
      </c>
      <c r="I804" t="s">
        <v>2425</v>
      </c>
      <c r="J804" s="1" t="s">
        <v>2426</v>
      </c>
    </row>
    <row r="805" spans="1:10" x14ac:dyDescent="0.25">
      <c r="A805" t="s">
        <v>6398</v>
      </c>
      <c r="B805">
        <v>2020</v>
      </c>
      <c r="C805" t="s">
        <v>15</v>
      </c>
      <c r="D805" t="b">
        <f>FALSE()</f>
        <v>0</v>
      </c>
      <c r="E805" t="b">
        <f>COUNTIF(connections!A:A, A805) &gt; 0</f>
        <v>1</v>
      </c>
      <c r="G805" t="s">
        <v>6399</v>
      </c>
      <c r="J805" s="11" t="s">
        <v>6400</v>
      </c>
    </row>
    <row r="806" spans="1:10" x14ac:dyDescent="0.25">
      <c r="A806" t="s">
        <v>2427</v>
      </c>
      <c r="B806">
        <v>2025</v>
      </c>
      <c r="C806" t="s">
        <v>15</v>
      </c>
      <c r="D806" t="b">
        <f>TRUE()</f>
        <v>1</v>
      </c>
      <c r="E806" t="b">
        <f>COUNTIF(connections!A:A, A806) &gt; 0</f>
        <v>0</v>
      </c>
      <c r="G806" t="s">
        <v>2428</v>
      </c>
    </row>
    <row r="807" spans="1:10" x14ac:dyDescent="0.25">
      <c r="A807" t="s">
        <v>2429</v>
      </c>
      <c r="B807">
        <v>2025</v>
      </c>
      <c r="C807" t="s">
        <v>15</v>
      </c>
      <c r="D807" t="b">
        <f>FALSE()</f>
        <v>0</v>
      </c>
      <c r="E807" t="b">
        <f>COUNTIF(connections!A:A, A807) &gt; 0</f>
        <v>0</v>
      </c>
      <c r="G807" t="s">
        <v>2430</v>
      </c>
    </row>
    <row r="808" spans="1:10" x14ac:dyDescent="0.25">
      <c r="A808" t="s">
        <v>2431</v>
      </c>
      <c r="B808">
        <v>2024</v>
      </c>
      <c r="C808" t="s">
        <v>15</v>
      </c>
      <c r="D808" t="b">
        <f>TRUE()</f>
        <v>1</v>
      </c>
      <c r="E808" t="b">
        <f>COUNTIF(connections!A:A, A808) &gt; 0</f>
        <v>0</v>
      </c>
      <c r="G808" t="s">
        <v>2432</v>
      </c>
    </row>
    <row r="809" spans="1:10" x14ac:dyDescent="0.25">
      <c r="A809" t="s">
        <v>2433</v>
      </c>
      <c r="B809">
        <v>2019</v>
      </c>
      <c r="C809" t="s">
        <v>18</v>
      </c>
      <c r="D809" t="b">
        <f>FALSE()</f>
        <v>0</v>
      </c>
      <c r="E809" t="b">
        <f>COUNTIF(connections!A:A, A809) &gt; 0</f>
        <v>0</v>
      </c>
      <c r="G809" t="s">
        <v>2434</v>
      </c>
    </row>
    <row r="810" spans="1:10" x14ac:dyDescent="0.25">
      <c r="A810" t="s">
        <v>2435</v>
      </c>
      <c r="B810">
        <v>2023</v>
      </c>
      <c r="C810" t="s">
        <v>22</v>
      </c>
      <c r="D810" t="b">
        <f>TRUE()</f>
        <v>1</v>
      </c>
      <c r="E810" t="b">
        <f>COUNTIF(connections!A:A, A810) &gt; 0</f>
        <v>1</v>
      </c>
      <c r="G810" t="s">
        <v>2436</v>
      </c>
      <c r="H810" t="s">
        <v>70</v>
      </c>
      <c r="I810" t="s">
        <v>2437</v>
      </c>
      <c r="J810" s="1" t="s">
        <v>2438</v>
      </c>
    </row>
    <row r="811" spans="1:10" x14ac:dyDescent="0.25">
      <c r="A811" t="s">
        <v>2439</v>
      </c>
      <c r="B811">
        <v>2024</v>
      </c>
      <c r="C811" t="s">
        <v>15</v>
      </c>
      <c r="D811" t="b">
        <f>TRUE()</f>
        <v>1</v>
      </c>
      <c r="E811" t="b">
        <f>COUNTIF(connections!A:A, A811) &gt; 0</f>
        <v>0</v>
      </c>
      <c r="G811" t="s">
        <v>2440</v>
      </c>
    </row>
    <row r="812" spans="1:10" x14ac:dyDescent="0.25">
      <c r="A812" t="s">
        <v>2441</v>
      </c>
      <c r="B812">
        <v>2026</v>
      </c>
      <c r="C812" t="s">
        <v>22</v>
      </c>
      <c r="D812" t="b">
        <f>TRUE()</f>
        <v>1</v>
      </c>
      <c r="E812" t="b">
        <f>COUNTIF(connections!A:A, A812) &gt; 0</f>
        <v>0</v>
      </c>
      <c r="G812" t="s">
        <v>2442</v>
      </c>
    </row>
    <row r="813" spans="1:10" x14ac:dyDescent="0.25">
      <c r="A813" t="s">
        <v>2443</v>
      </c>
      <c r="B813">
        <v>2026</v>
      </c>
      <c r="C813" t="s">
        <v>18</v>
      </c>
      <c r="D813" t="b">
        <f>FALSE()</f>
        <v>0</v>
      </c>
      <c r="E813" t="b">
        <f>COUNTIF(connections!A:A, A813) &gt; 0</f>
        <v>0</v>
      </c>
      <c r="F813" t="s">
        <v>260</v>
      </c>
      <c r="G813" t="s">
        <v>2444</v>
      </c>
      <c r="J813" s="1" t="s">
        <v>2445</v>
      </c>
    </row>
    <row r="814" spans="1:10" x14ac:dyDescent="0.25">
      <c r="A814" t="s">
        <v>2446</v>
      </c>
      <c r="B814">
        <v>2024</v>
      </c>
      <c r="C814" t="s">
        <v>15</v>
      </c>
      <c r="D814" t="b">
        <f>FALSE()</f>
        <v>0</v>
      </c>
      <c r="E814" t="b">
        <f>COUNTIF(connections!A:A, A814) &gt; 0</f>
        <v>1</v>
      </c>
      <c r="G814" t="s">
        <v>2447</v>
      </c>
      <c r="J814" s="1" t="s">
        <v>2448</v>
      </c>
    </row>
    <row r="815" spans="1:10" x14ac:dyDescent="0.25">
      <c r="A815" t="s">
        <v>2449</v>
      </c>
      <c r="B815">
        <v>2026</v>
      </c>
      <c r="C815" t="s">
        <v>22</v>
      </c>
      <c r="D815" t="b">
        <f>TRUE()</f>
        <v>1</v>
      </c>
      <c r="E815" t="b">
        <f>COUNTIF(connections!A:A, A815) &gt; 0</f>
        <v>0</v>
      </c>
      <c r="G815" t="s">
        <v>2450</v>
      </c>
    </row>
    <row r="816" spans="1:10" x14ac:dyDescent="0.25">
      <c r="A816" t="s">
        <v>2451</v>
      </c>
      <c r="B816">
        <v>2018</v>
      </c>
      <c r="C816" t="s">
        <v>15</v>
      </c>
      <c r="D816" t="b">
        <f>TRUE()</f>
        <v>1</v>
      </c>
      <c r="E816" t="b">
        <f>COUNTIF(connections!A:A, A816) &gt; 0</f>
        <v>1</v>
      </c>
      <c r="G816" t="s">
        <v>2452</v>
      </c>
      <c r="H816" t="s">
        <v>70</v>
      </c>
      <c r="I816" t="s">
        <v>2453</v>
      </c>
      <c r="J816" s="1" t="s">
        <v>2454</v>
      </c>
    </row>
    <row r="817" spans="1:10" x14ac:dyDescent="0.25">
      <c r="A817" t="s">
        <v>2455</v>
      </c>
      <c r="B817">
        <v>2024</v>
      </c>
      <c r="C817" t="s">
        <v>15</v>
      </c>
      <c r="D817" t="b">
        <f>TRUE()</f>
        <v>1</v>
      </c>
      <c r="E817" t="b">
        <f>COUNTIF(connections!A:A, A817) &gt; 0</f>
        <v>0</v>
      </c>
      <c r="G817" t="s">
        <v>2456</v>
      </c>
      <c r="H817" t="s">
        <v>70</v>
      </c>
      <c r="I817" t="s">
        <v>2457</v>
      </c>
      <c r="J817" s="1" t="s">
        <v>2458</v>
      </c>
    </row>
    <row r="818" spans="1:10" x14ac:dyDescent="0.25">
      <c r="A818" t="s">
        <v>2459</v>
      </c>
      <c r="B818">
        <v>2021</v>
      </c>
      <c r="C818" t="s">
        <v>18</v>
      </c>
      <c r="D818" t="b">
        <f>TRUE()</f>
        <v>1</v>
      </c>
      <c r="E818" t="b">
        <f>COUNTIF(connections!A:A, A818) &gt; 0</f>
        <v>0</v>
      </c>
      <c r="F818" t="s">
        <v>927</v>
      </c>
      <c r="G818" t="s">
        <v>2460</v>
      </c>
      <c r="H818" t="s">
        <v>70</v>
      </c>
      <c r="I818" t="s">
        <v>2461</v>
      </c>
      <c r="J818" s="1" t="s">
        <v>2462</v>
      </c>
    </row>
    <row r="819" spans="1:10" x14ac:dyDescent="0.25">
      <c r="A819" t="s">
        <v>2463</v>
      </c>
      <c r="B819">
        <v>2025</v>
      </c>
      <c r="C819" t="s">
        <v>22</v>
      </c>
      <c r="D819" t="b">
        <f>TRUE()</f>
        <v>1</v>
      </c>
      <c r="E819" t="b">
        <f>COUNTIF(connections!A:A, A819) &gt; 0</f>
        <v>0</v>
      </c>
      <c r="F819" t="s">
        <v>552</v>
      </c>
      <c r="G819" t="s">
        <v>2464</v>
      </c>
    </row>
    <row r="820" spans="1:10" x14ac:dyDescent="0.25">
      <c r="A820" t="s">
        <v>2465</v>
      </c>
      <c r="B820">
        <v>2025</v>
      </c>
      <c r="C820" t="s">
        <v>22</v>
      </c>
      <c r="D820" t="b">
        <f>TRUE()</f>
        <v>1</v>
      </c>
      <c r="E820" t="b">
        <f>COUNTIF(connections!A:A, A820) &gt; 0</f>
        <v>0</v>
      </c>
      <c r="F820" t="s">
        <v>552</v>
      </c>
      <c r="G820" t="s">
        <v>2466</v>
      </c>
      <c r="H820" t="s">
        <v>70</v>
      </c>
      <c r="I820" t="s">
        <v>2467</v>
      </c>
      <c r="J820" s="1" t="s">
        <v>2468</v>
      </c>
    </row>
    <row r="821" spans="1:10" x14ac:dyDescent="0.25">
      <c r="A821" t="s">
        <v>2469</v>
      </c>
      <c r="B821">
        <v>2022</v>
      </c>
      <c r="C821" t="s">
        <v>22</v>
      </c>
      <c r="D821" t="b">
        <f>TRUE()</f>
        <v>1</v>
      </c>
      <c r="E821" t="b">
        <f>COUNTIF(connections!A:A, A821) &gt; 0</f>
        <v>0</v>
      </c>
      <c r="F821" t="s">
        <v>552</v>
      </c>
      <c r="G821" t="s">
        <v>2470</v>
      </c>
      <c r="H821" t="s">
        <v>70</v>
      </c>
      <c r="I821" t="s">
        <v>2471</v>
      </c>
      <c r="J821" s="1" t="s">
        <v>2472</v>
      </c>
    </row>
    <row r="822" spans="1:10" x14ac:dyDescent="0.25">
      <c r="A822" t="s">
        <v>2473</v>
      </c>
      <c r="B822">
        <v>2025</v>
      </c>
      <c r="C822" t="s">
        <v>15</v>
      </c>
      <c r="D822" t="b">
        <f>TRUE()</f>
        <v>1</v>
      </c>
      <c r="E822" t="b">
        <f>COUNTIF(connections!A:A, A822) &gt; 0</f>
        <v>0</v>
      </c>
      <c r="G822" t="s">
        <v>2474</v>
      </c>
    </row>
    <row r="823" spans="1:10" x14ac:dyDescent="0.25">
      <c r="A823" t="s">
        <v>2475</v>
      </c>
      <c r="B823">
        <v>2023</v>
      </c>
      <c r="C823" t="s">
        <v>15</v>
      </c>
      <c r="D823" t="b">
        <f>TRUE()</f>
        <v>1</v>
      </c>
      <c r="E823" t="b">
        <f>COUNTIF(connections!A:A, A823) &gt; 0</f>
        <v>0</v>
      </c>
      <c r="F823" t="s">
        <v>308</v>
      </c>
      <c r="G823" t="s">
        <v>2476</v>
      </c>
      <c r="H823" t="s">
        <v>70</v>
      </c>
      <c r="I823" t="s">
        <v>2477</v>
      </c>
      <c r="J823" s="1" t="s">
        <v>2478</v>
      </c>
    </row>
    <row r="824" spans="1:10" x14ac:dyDescent="0.25">
      <c r="A824" t="s">
        <v>2479</v>
      </c>
      <c r="B824">
        <v>2024</v>
      </c>
      <c r="C824" t="s">
        <v>22</v>
      </c>
      <c r="D824" t="b">
        <f>TRUE()</f>
        <v>1</v>
      </c>
      <c r="E824" t="b">
        <f>COUNTIF(connections!A:A, A824) &gt; 0</f>
        <v>0</v>
      </c>
      <c r="F824" t="s">
        <v>855</v>
      </c>
      <c r="G824" t="s">
        <v>2480</v>
      </c>
      <c r="H824" t="s">
        <v>70</v>
      </c>
      <c r="I824" t="s">
        <v>2481</v>
      </c>
      <c r="J824" s="1" t="s">
        <v>2482</v>
      </c>
    </row>
    <row r="825" spans="1:10" x14ac:dyDescent="0.25">
      <c r="A825" t="s">
        <v>2483</v>
      </c>
      <c r="B825">
        <v>2017</v>
      </c>
      <c r="C825" t="s">
        <v>26</v>
      </c>
      <c r="D825" t="b">
        <f>TRUE()</f>
        <v>1</v>
      </c>
      <c r="E825" t="b">
        <f>COUNTIF(connections!A:A, A825) &gt; 0</f>
        <v>0</v>
      </c>
      <c r="G825" t="s">
        <v>2484</v>
      </c>
    </row>
    <row r="826" spans="1:10" x14ac:dyDescent="0.25">
      <c r="A826" t="s">
        <v>2485</v>
      </c>
      <c r="B826">
        <v>2010</v>
      </c>
      <c r="C826" t="s">
        <v>26</v>
      </c>
      <c r="D826" t="b">
        <f>TRUE()</f>
        <v>1</v>
      </c>
      <c r="E826" t="b">
        <f>COUNTIF(connections!A:A, A826) &gt; 0</f>
        <v>1</v>
      </c>
      <c r="G826" t="s">
        <v>2486</v>
      </c>
      <c r="J826" s="11" t="s">
        <v>6506</v>
      </c>
    </row>
    <row r="827" spans="1:10" x14ac:dyDescent="0.25">
      <c r="A827" t="s">
        <v>2487</v>
      </c>
      <c r="B827">
        <v>1994</v>
      </c>
      <c r="C827" t="s">
        <v>26</v>
      </c>
      <c r="D827" t="b">
        <f>TRUE()</f>
        <v>1</v>
      </c>
      <c r="E827" t="b">
        <f>COUNTIF(connections!A:A, A827) &gt; 0</f>
        <v>1</v>
      </c>
      <c r="G827" t="s">
        <v>2488</v>
      </c>
      <c r="H827" t="s">
        <v>70</v>
      </c>
      <c r="I827" t="s">
        <v>2489</v>
      </c>
    </row>
    <row r="828" spans="1:10" x14ac:dyDescent="0.25">
      <c r="A828" t="s">
        <v>2490</v>
      </c>
      <c r="B828">
        <v>2024</v>
      </c>
      <c r="C828" t="s">
        <v>22</v>
      </c>
      <c r="D828" t="b">
        <f>TRUE()</f>
        <v>1</v>
      </c>
      <c r="E828" t="b">
        <f>COUNTIF(connections!A:A, A828) &gt; 0</f>
        <v>0</v>
      </c>
      <c r="F828" t="s">
        <v>149</v>
      </c>
      <c r="G828" t="s">
        <v>2491</v>
      </c>
      <c r="H828" t="s">
        <v>70</v>
      </c>
      <c r="I828" t="s">
        <v>2492</v>
      </c>
      <c r="J828" s="1" t="s">
        <v>2493</v>
      </c>
    </row>
    <row r="829" spans="1:10" x14ac:dyDescent="0.25">
      <c r="A829" t="s">
        <v>2494</v>
      </c>
      <c r="B829">
        <v>2014</v>
      </c>
      <c r="C829" t="s">
        <v>15</v>
      </c>
      <c r="D829" t="b">
        <f>TRUE()</f>
        <v>1</v>
      </c>
      <c r="E829" t="b">
        <f>COUNTIF(connections!A:A, A829) &gt; 0</f>
        <v>1</v>
      </c>
      <c r="G829" t="s">
        <v>2495</v>
      </c>
      <c r="H829" t="s">
        <v>70</v>
      </c>
      <c r="I829" t="s">
        <v>2496</v>
      </c>
      <c r="J829" s="1" t="s">
        <v>2497</v>
      </c>
    </row>
    <row r="830" spans="1:10" x14ac:dyDescent="0.25">
      <c r="A830" t="s">
        <v>2498</v>
      </c>
      <c r="B830">
        <v>2020</v>
      </c>
      <c r="C830" t="s">
        <v>15</v>
      </c>
      <c r="D830" t="b">
        <f>TRUE()</f>
        <v>1</v>
      </c>
      <c r="E830" t="b">
        <f>COUNTIF(connections!A:A, A830) &gt; 0</f>
        <v>0</v>
      </c>
      <c r="G830" t="s">
        <v>2499</v>
      </c>
      <c r="H830" t="s">
        <v>70</v>
      </c>
      <c r="I830" t="s">
        <v>2500</v>
      </c>
      <c r="J830" s="1" t="s">
        <v>2501</v>
      </c>
    </row>
    <row r="831" spans="1:10" x14ac:dyDescent="0.25">
      <c r="A831" t="s">
        <v>2502</v>
      </c>
      <c r="B831">
        <v>2025</v>
      </c>
      <c r="C831" t="s">
        <v>26</v>
      </c>
      <c r="D831" t="b">
        <f>TRUE()</f>
        <v>1</v>
      </c>
      <c r="E831" t="b">
        <f>COUNTIF(connections!A:A, A831) &gt; 0</f>
        <v>0</v>
      </c>
      <c r="G831" t="s">
        <v>2503</v>
      </c>
      <c r="H831" t="s">
        <v>70</v>
      </c>
      <c r="I831" t="s">
        <v>2504</v>
      </c>
    </row>
    <row r="832" spans="1:10" x14ac:dyDescent="0.25">
      <c r="A832" t="s">
        <v>2505</v>
      </c>
      <c r="B832">
        <v>2023</v>
      </c>
      <c r="C832" t="s">
        <v>22</v>
      </c>
      <c r="D832" t="b">
        <f>TRUE()</f>
        <v>1</v>
      </c>
      <c r="E832" t="b">
        <f>COUNTIF(connections!A:A, A832) &gt; 0</f>
        <v>1</v>
      </c>
      <c r="G832" t="s">
        <v>2506</v>
      </c>
      <c r="H832" t="s">
        <v>70</v>
      </c>
      <c r="I832" t="s">
        <v>2507</v>
      </c>
      <c r="J832" s="1" t="s">
        <v>2508</v>
      </c>
    </row>
    <row r="833" spans="1:10" x14ac:dyDescent="0.25">
      <c r="A833" t="s">
        <v>6319</v>
      </c>
      <c r="B833">
        <v>2026</v>
      </c>
      <c r="C833" t="s">
        <v>22</v>
      </c>
      <c r="D833" t="b">
        <f>TRUE()</f>
        <v>1</v>
      </c>
      <c r="E833" t="b">
        <f>COUNTIF(connections!A:A, A833) &gt; 0</f>
        <v>0</v>
      </c>
      <c r="G833" t="s">
        <v>6320</v>
      </c>
      <c r="J833" s="11" t="s">
        <v>6321</v>
      </c>
    </row>
    <row r="834" spans="1:10" x14ac:dyDescent="0.25">
      <c r="A834" t="s">
        <v>2509</v>
      </c>
      <c r="B834">
        <v>2022</v>
      </c>
      <c r="C834" t="s">
        <v>26</v>
      </c>
      <c r="D834" t="b">
        <f>TRUE()</f>
        <v>1</v>
      </c>
      <c r="E834" t="b">
        <f>COUNTIF(connections!A:A, A834) &gt; 0</f>
        <v>0</v>
      </c>
      <c r="G834" t="s">
        <v>2510</v>
      </c>
      <c r="H834" t="s">
        <v>70</v>
      </c>
      <c r="I834" t="s">
        <v>2511</v>
      </c>
      <c r="J834" s="11" t="s">
        <v>2512</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7" r:id="rId10" xr:uid="{00000000-0004-0000-0100-000009000000}"/>
    <hyperlink ref="J18" r:id="rId11" xr:uid="{00000000-0004-0000-0100-00000A000000}"/>
    <hyperlink ref="J19" r:id="rId12" xr:uid="{00000000-0004-0000-0100-00000B000000}"/>
    <hyperlink ref="J20" r:id="rId13" xr:uid="{00000000-0004-0000-0100-00000C000000}"/>
    <hyperlink ref="J21" r:id="rId14" xr:uid="{00000000-0004-0000-0100-00000D000000}"/>
    <hyperlink ref="J22" r:id="rId15" xr:uid="{00000000-0004-0000-0100-00000E000000}"/>
    <hyperlink ref="J24" r:id="rId16" xr:uid="{00000000-0004-0000-0100-00000F000000}"/>
    <hyperlink ref="J26" r:id="rId17" xr:uid="{00000000-0004-0000-0100-000010000000}"/>
    <hyperlink ref="J32" r:id="rId18" xr:uid="{00000000-0004-0000-0100-000011000000}"/>
    <hyperlink ref="J33" r:id="rId19" xr:uid="{00000000-0004-0000-0100-000012000000}"/>
    <hyperlink ref="J34" r:id="rId20" xr:uid="{00000000-0004-0000-0100-000013000000}"/>
    <hyperlink ref="J38" r:id="rId21" xr:uid="{00000000-0004-0000-0100-000014000000}"/>
    <hyperlink ref="J40" r:id="rId22" xr:uid="{00000000-0004-0000-0100-000015000000}"/>
    <hyperlink ref="J41" r:id="rId23" xr:uid="{00000000-0004-0000-0100-000016000000}"/>
    <hyperlink ref="J42" r:id="rId24" xr:uid="{00000000-0004-0000-0100-000017000000}"/>
    <hyperlink ref="J43" r:id="rId25" xr:uid="{00000000-0004-0000-0100-000018000000}"/>
    <hyperlink ref="J46" r:id="rId26" xr:uid="{00000000-0004-0000-0100-000019000000}"/>
    <hyperlink ref="J51" r:id="rId27" xr:uid="{00000000-0004-0000-0100-00001A000000}"/>
    <hyperlink ref="J52" r:id="rId28" xr:uid="{00000000-0004-0000-0100-00001B000000}"/>
    <hyperlink ref="J53" r:id="rId29" xr:uid="{00000000-0004-0000-0100-00001C000000}"/>
    <hyperlink ref="J55" r:id="rId30" xr:uid="{00000000-0004-0000-0100-00001D000000}"/>
    <hyperlink ref="J56" r:id="rId31" xr:uid="{00000000-0004-0000-0100-00001E000000}"/>
    <hyperlink ref="J57" r:id="rId32" xr:uid="{00000000-0004-0000-0100-00001F000000}"/>
    <hyperlink ref="J59" r:id="rId33" xr:uid="{00000000-0004-0000-0100-000020000000}"/>
    <hyperlink ref="J62" r:id="rId34" xr:uid="{00000000-0004-0000-0100-000021000000}"/>
    <hyperlink ref="J63" r:id="rId35" xr:uid="{00000000-0004-0000-0100-000022000000}"/>
    <hyperlink ref="J65" r:id="rId36" xr:uid="{00000000-0004-0000-0100-000023000000}"/>
    <hyperlink ref="J66" r:id="rId37" xr:uid="{00000000-0004-0000-0100-000024000000}"/>
    <hyperlink ref="J67" r:id="rId38" xr:uid="{00000000-0004-0000-0100-000025000000}"/>
    <hyperlink ref="J69" r:id="rId39" xr:uid="{00000000-0004-0000-0100-000026000000}"/>
    <hyperlink ref="J70" r:id="rId40" xr:uid="{00000000-0004-0000-0100-000027000000}"/>
    <hyperlink ref="J72" r:id="rId41" xr:uid="{00000000-0004-0000-0100-000028000000}"/>
    <hyperlink ref="J75" r:id="rId42" xr:uid="{00000000-0004-0000-0100-000029000000}"/>
    <hyperlink ref="J76" r:id="rId43" xr:uid="{00000000-0004-0000-0100-00002A000000}"/>
    <hyperlink ref="J77" r:id="rId44" xr:uid="{00000000-0004-0000-0100-00002B000000}"/>
    <hyperlink ref="J78" r:id="rId45" xr:uid="{00000000-0004-0000-0100-00002C000000}"/>
    <hyperlink ref="J80" r:id="rId46" xr:uid="{00000000-0004-0000-0100-00002D000000}"/>
    <hyperlink ref="J83" r:id="rId47" xr:uid="{00000000-0004-0000-0100-00002E000000}"/>
    <hyperlink ref="J85" r:id="rId48" xr:uid="{00000000-0004-0000-0100-00002F000000}"/>
    <hyperlink ref="J86" r:id="rId49" xr:uid="{00000000-0004-0000-0100-000030000000}"/>
    <hyperlink ref="J87" r:id="rId50" xr:uid="{00000000-0004-0000-0100-000031000000}"/>
    <hyperlink ref="J88" r:id="rId51" xr:uid="{00000000-0004-0000-0100-000032000000}"/>
    <hyperlink ref="J89" r:id="rId52" xr:uid="{00000000-0004-0000-0100-000033000000}"/>
    <hyperlink ref="J90" r:id="rId53" xr:uid="{00000000-0004-0000-0100-000034000000}"/>
    <hyperlink ref="J93" r:id="rId54" xr:uid="{00000000-0004-0000-0100-000035000000}"/>
    <hyperlink ref="J94" r:id="rId55" xr:uid="{00000000-0004-0000-0100-000036000000}"/>
    <hyperlink ref="J95" r:id="rId56" xr:uid="{00000000-0004-0000-0100-000037000000}"/>
    <hyperlink ref="J96" r:id="rId57" xr:uid="{00000000-0004-0000-0100-000038000000}"/>
    <hyperlink ref="J98" r:id="rId58" xr:uid="{00000000-0004-0000-0100-000039000000}"/>
    <hyperlink ref="J108" r:id="rId59" xr:uid="{00000000-0004-0000-0100-00003A000000}"/>
    <hyperlink ref="J109" r:id="rId60" xr:uid="{00000000-0004-0000-0100-00003B000000}"/>
    <hyperlink ref="J111" r:id="rId61" xr:uid="{00000000-0004-0000-0100-00003C000000}"/>
    <hyperlink ref="J112" r:id="rId62" xr:uid="{00000000-0004-0000-0100-00003D000000}"/>
    <hyperlink ref="J113" r:id="rId63" xr:uid="{00000000-0004-0000-0100-00003E000000}"/>
    <hyperlink ref="J115" r:id="rId64" xr:uid="{00000000-0004-0000-0100-00003F000000}"/>
    <hyperlink ref="J118" r:id="rId65" xr:uid="{00000000-0004-0000-0100-000040000000}"/>
    <hyperlink ref="J122" r:id="rId66" xr:uid="{00000000-0004-0000-0100-000041000000}"/>
    <hyperlink ref="J123" r:id="rId67" xr:uid="{00000000-0004-0000-0100-000042000000}"/>
    <hyperlink ref="J124" r:id="rId68" xr:uid="{00000000-0004-0000-0100-000043000000}"/>
    <hyperlink ref="J127" r:id="rId69" xr:uid="{00000000-0004-0000-0100-000044000000}"/>
    <hyperlink ref="J131" r:id="rId70" xr:uid="{00000000-0004-0000-0100-000045000000}"/>
    <hyperlink ref="J133" r:id="rId71" xr:uid="{00000000-0004-0000-0100-000046000000}"/>
    <hyperlink ref="J134" r:id="rId72" xr:uid="{00000000-0004-0000-0100-000047000000}"/>
    <hyperlink ref="J136" r:id="rId73" xr:uid="{00000000-0004-0000-0100-000048000000}"/>
    <hyperlink ref="J137" r:id="rId74" xr:uid="{00000000-0004-0000-0100-000049000000}"/>
    <hyperlink ref="J138" r:id="rId75" xr:uid="{00000000-0004-0000-0100-00004A000000}"/>
    <hyperlink ref="J139" r:id="rId76" xr:uid="{00000000-0004-0000-0100-00004B000000}"/>
    <hyperlink ref="J140" r:id="rId77" xr:uid="{00000000-0004-0000-0100-00004C000000}"/>
    <hyperlink ref="J142" r:id="rId78" xr:uid="{00000000-0004-0000-0100-00004D000000}"/>
    <hyperlink ref="J143" r:id="rId79" xr:uid="{00000000-0004-0000-0100-00004E000000}"/>
    <hyperlink ref="J144" r:id="rId80" xr:uid="{00000000-0004-0000-0100-00004F000000}"/>
    <hyperlink ref="J146" r:id="rId81" xr:uid="{00000000-0004-0000-0100-000050000000}"/>
    <hyperlink ref="J147" r:id="rId82" xr:uid="{00000000-0004-0000-0100-000051000000}"/>
    <hyperlink ref="J148" r:id="rId83" xr:uid="{00000000-0004-0000-0100-000052000000}"/>
    <hyperlink ref="J149" r:id="rId84" xr:uid="{00000000-0004-0000-0100-000053000000}"/>
    <hyperlink ref="J150" r:id="rId85" xr:uid="{00000000-0004-0000-0100-000054000000}"/>
    <hyperlink ref="J151" r:id="rId86" xr:uid="{00000000-0004-0000-0100-000055000000}"/>
    <hyperlink ref="J154" r:id="rId87" xr:uid="{00000000-0004-0000-0100-000056000000}"/>
    <hyperlink ref="J155" r:id="rId88" xr:uid="{00000000-0004-0000-0100-000057000000}"/>
    <hyperlink ref="J156" r:id="rId89" xr:uid="{00000000-0004-0000-0100-000058000000}"/>
    <hyperlink ref="J158" r:id="rId90" xr:uid="{00000000-0004-0000-0100-000059000000}"/>
    <hyperlink ref="J160" r:id="rId91" xr:uid="{00000000-0004-0000-0100-00005A000000}"/>
    <hyperlink ref="J162" r:id="rId92" xr:uid="{00000000-0004-0000-0100-00005B000000}"/>
    <hyperlink ref="J163" r:id="rId93" xr:uid="{00000000-0004-0000-0100-00005C000000}"/>
    <hyperlink ref="J166" r:id="rId94" xr:uid="{00000000-0004-0000-0100-00005D000000}"/>
    <hyperlink ref="J167" r:id="rId95" xr:uid="{00000000-0004-0000-0100-00005E000000}"/>
    <hyperlink ref="J168" r:id="rId96" xr:uid="{00000000-0004-0000-0100-00005F000000}"/>
    <hyperlink ref="J169" r:id="rId97" xr:uid="{00000000-0004-0000-0100-000060000000}"/>
    <hyperlink ref="J170" r:id="rId98" xr:uid="{00000000-0004-0000-0100-000061000000}"/>
    <hyperlink ref="J171" r:id="rId99" xr:uid="{00000000-0004-0000-0100-000062000000}"/>
    <hyperlink ref="J175" r:id="rId100" xr:uid="{00000000-0004-0000-0100-000063000000}"/>
    <hyperlink ref="J176" r:id="rId101" xr:uid="{00000000-0004-0000-0100-000064000000}"/>
    <hyperlink ref="J177" r:id="rId102" xr:uid="{00000000-0004-0000-0100-000065000000}"/>
    <hyperlink ref="J178" r:id="rId103" xr:uid="{00000000-0004-0000-0100-000066000000}"/>
    <hyperlink ref="J179" r:id="rId104" xr:uid="{00000000-0004-0000-0100-000067000000}"/>
    <hyperlink ref="J180" r:id="rId105" xr:uid="{00000000-0004-0000-0100-000068000000}"/>
    <hyperlink ref="J181" r:id="rId106" xr:uid="{00000000-0004-0000-0100-000069000000}"/>
    <hyperlink ref="J182" r:id="rId107" xr:uid="{00000000-0004-0000-0100-00006A000000}"/>
    <hyperlink ref="J185" r:id="rId108" xr:uid="{00000000-0004-0000-0100-00006B000000}"/>
    <hyperlink ref="J187" r:id="rId109" xr:uid="{00000000-0004-0000-0100-00006C000000}"/>
    <hyperlink ref="J189" r:id="rId110" xr:uid="{00000000-0004-0000-0100-00006D000000}"/>
    <hyperlink ref="J190" r:id="rId111" xr:uid="{00000000-0004-0000-0100-00006E000000}"/>
    <hyperlink ref="J192" r:id="rId112" xr:uid="{00000000-0004-0000-0100-00006F000000}"/>
    <hyperlink ref="J193" r:id="rId113" xr:uid="{00000000-0004-0000-0100-000070000000}"/>
    <hyperlink ref="J196" r:id="rId114" xr:uid="{00000000-0004-0000-0100-000071000000}"/>
    <hyperlink ref="J200" r:id="rId115" xr:uid="{00000000-0004-0000-0100-000072000000}"/>
    <hyperlink ref="J201" r:id="rId116" xr:uid="{00000000-0004-0000-0100-000073000000}"/>
    <hyperlink ref="J202" r:id="rId117" xr:uid="{00000000-0004-0000-0100-000074000000}"/>
    <hyperlink ref="J204" r:id="rId118" xr:uid="{00000000-0004-0000-0100-000075000000}"/>
    <hyperlink ref="J205" r:id="rId119" xr:uid="{00000000-0004-0000-0100-000076000000}"/>
    <hyperlink ref="J207" r:id="rId120" xr:uid="{00000000-0004-0000-0100-000077000000}"/>
    <hyperlink ref="J211" r:id="rId121" xr:uid="{00000000-0004-0000-0100-000078000000}"/>
    <hyperlink ref="J212" r:id="rId122" xr:uid="{00000000-0004-0000-0100-000079000000}"/>
    <hyperlink ref="J214" r:id="rId123" xr:uid="{00000000-0004-0000-0100-00007A000000}"/>
    <hyperlink ref="J215" r:id="rId124" xr:uid="{00000000-0004-0000-0100-00007B000000}"/>
    <hyperlink ref="J218" r:id="rId125" xr:uid="{00000000-0004-0000-0100-00007C000000}"/>
    <hyperlink ref="J219" r:id="rId126" xr:uid="{00000000-0004-0000-0100-00007D000000}"/>
    <hyperlink ref="J222" r:id="rId127" xr:uid="{00000000-0004-0000-0100-00007E000000}"/>
    <hyperlink ref="J224" r:id="rId128" xr:uid="{00000000-0004-0000-0100-00007F000000}"/>
    <hyperlink ref="J226" r:id="rId129" xr:uid="{00000000-0004-0000-0100-000080000000}"/>
    <hyperlink ref="J228" r:id="rId130" xr:uid="{00000000-0004-0000-0100-000081000000}"/>
    <hyperlink ref="J230" r:id="rId131" xr:uid="{00000000-0004-0000-0100-000082000000}"/>
    <hyperlink ref="J235" r:id="rId132" xr:uid="{00000000-0004-0000-0100-000083000000}"/>
    <hyperlink ref="J236" r:id="rId133" xr:uid="{00000000-0004-0000-0100-000084000000}"/>
    <hyperlink ref="J238" r:id="rId134" xr:uid="{00000000-0004-0000-0100-000085000000}"/>
    <hyperlink ref="J239" r:id="rId135" xr:uid="{00000000-0004-0000-0100-000086000000}"/>
    <hyperlink ref="J241" r:id="rId136" xr:uid="{00000000-0004-0000-0100-000087000000}"/>
    <hyperlink ref="J243" r:id="rId137" xr:uid="{00000000-0004-0000-0100-000088000000}"/>
    <hyperlink ref="J245" r:id="rId138" xr:uid="{00000000-0004-0000-0100-000089000000}"/>
    <hyperlink ref="J249" r:id="rId139" xr:uid="{00000000-0004-0000-0100-00008A000000}"/>
    <hyperlink ref="J250" r:id="rId140" xr:uid="{00000000-0004-0000-0100-00008B000000}"/>
    <hyperlink ref="J251" r:id="rId141" xr:uid="{00000000-0004-0000-0100-00008C000000}"/>
    <hyperlink ref="J252" r:id="rId142" xr:uid="{00000000-0004-0000-0100-00008D000000}"/>
    <hyperlink ref="J253" r:id="rId143" xr:uid="{00000000-0004-0000-0100-00008E000000}"/>
    <hyperlink ref="J257" r:id="rId144" xr:uid="{00000000-0004-0000-0100-00008F000000}"/>
    <hyperlink ref="J258" r:id="rId145" xr:uid="{00000000-0004-0000-0100-000090000000}"/>
    <hyperlink ref="J259" r:id="rId146" xr:uid="{00000000-0004-0000-0100-000091000000}"/>
    <hyperlink ref="J260" r:id="rId147" xr:uid="{00000000-0004-0000-0100-000092000000}"/>
    <hyperlink ref="J261" r:id="rId148" xr:uid="{00000000-0004-0000-0100-000093000000}"/>
    <hyperlink ref="J264" r:id="rId149" xr:uid="{00000000-0004-0000-0100-000094000000}"/>
    <hyperlink ref="J265" r:id="rId150" xr:uid="{00000000-0004-0000-0100-000095000000}"/>
    <hyperlink ref="J267" r:id="rId151" xr:uid="{00000000-0004-0000-0100-000096000000}"/>
    <hyperlink ref="J270" r:id="rId152" xr:uid="{00000000-0004-0000-0100-000097000000}"/>
    <hyperlink ref="J271" r:id="rId153" xr:uid="{00000000-0004-0000-0100-000098000000}"/>
    <hyperlink ref="J272" r:id="rId154" xr:uid="{00000000-0004-0000-0100-000099000000}"/>
    <hyperlink ref="J273" r:id="rId155" xr:uid="{00000000-0004-0000-0100-00009A000000}"/>
    <hyperlink ref="J274" r:id="rId156" xr:uid="{00000000-0004-0000-0100-00009B000000}"/>
    <hyperlink ref="J277" r:id="rId157" xr:uid="{00000000-0004-0000-0100-00009C000000}"/>
    <hyperlink ref="J278" r:id="rId158" xr:uid="{00000000-0004-0000-0100-00009D000000}"/>
    <hyperlink ref="J279" r:id="rId159" xr:uid="{00000000-0004-0000-0100-00009E000000}"/>
    <hyperlink ref="J281" r:id="rId160" xr:uid="{00000000-0004-0000-0100-00009F000000}"/>
    <hyperlink ref="J283" r:id="rId161" xr:uid="{00000000-0004-0000-0100-0000A0000000}"/>
    <hyperlink ref="J286" r:id="rId162" xr:uid="{00000000-0004-0000-0100-0000A1000000}"/>
    <hyperlink ref="J292" r:id="rId163" xr:uid="{00000000-0004-0000-0100-0000A2000000}"/>
    <hyperlink ref="J293" r:id="rId164" xr:uid="{00000000-0004-0000-0100-0000A3000000}"/>
    <hyperlink ref="J294" r:id="rId165" xr:uid="{00000000-0004-0000-0100-0000A4000000}"/>
    <hyperlink ref="J295" r:id="rId166" xr:uid="{00000000-0004-0000-0100-0000A5000000}"/>
    <hyperlink ref="J297" r:id="rId167" xr:uid="{00000000-0004-0000-0100-0000A6000000}"/>
    <hyperlink ref="J298" r:id="rId168" xr:uid="{00000000-0004-0000-0100-0000A7000000}"/>
    <hyperlink ref="J299" r:id="rId169" xr:uid="{00000000-0004-0000-0100-0000A8000000}"/>
    <hyperlink ref="J301" r:id="rId170" xr:uid="{00000000-0004-0000-0100-0000A9000000}"/>
    <hyperlink ref="J302" r:id="rId171" xr:uid="{00000000-0004-0000-0100-0000AA000000}"/>
    <hyperlink ref="J303" r:id="rId172" xr:uid="{00000000-0004-0000-0100-0000AB000000}"/>
    <hyperlink ref="J304" r:id="rId173" xr:uid="{00000000-0004-0000-0100-0000AC000000}"/>
    <hyperlink ref="J305" r:id="rId174" xr:uid="{00000000-0004-0000-0100-0000AD000000}"/>
    <hyperlink ref="J306" r:id="rId175" xr:uid="{00000000-0004-0000-0100-0000AE000000}"/>
    <hyperlink ref="J307" r:id="rId176" xr:uid="{00000000-0004-0000-0100-0000AF000000}"/>
    <hyperlink ref="J308" r:id="rId177" xr:uid="{00000000-0004-0000-0100-0000B0000000}"/>
    <hyperlink ref="J311" r:id="rId178" xr:uid="{00000000-0004-0000-0100-0000B1000000}"/>
    <hyperlink ref="J312" r:id="rId179" xr:uid="{00000000-0004-0000-0100-0000B2000000}"/>
    <hyperlink ref="J315" r:id="rId180" xr:uid="{00000000-0004-0000-0100-0000B3000000}"/>
    <hyperlink ref="J316" r:id="rId181" xr:uid="{00000000-0004-0000-0100-0000B4000000}"/>
    <hyperlink ref="J317" r:id="rId182" xr:uid="{00000000-0004-0000-0100-0000B5000000}"/>
    <hyperlink ref="J318" r:id="rId183" xr:uid="{00000000-0004-0000-0100-0000B6000000}"/>
    <hyperlink ref="J319" r:id="rId184" xr:uid="{00000000-0004-0000-0100-0000B7000000}"/>
    <hyperlink ref="J322" r:id="rId185" xr:uid="{00000000-0004-0000-0100-0000B8000000}"/>
    <hyperlink ref="J323" r:id="rId186" xr:uid="{00000000-0004-0000-0100-0000B9000000}"/>
    <hyperlink ref="J324" r:id="rId187" xr:uid="{00000000-0004-0000-0100-0000BA000000}"/>
    <hyperlink ref="J325" r:id="rId188" xr:uid="{00000000-0004-0000-0100-0000BB000000}"/>
    <hyperlink ref="J326" r:id="rId189" xr:uid="{00000000-0004-0000-0100-0000BC000000}"/>
    <hyperlink ref="J328" r:id="rId190" xr:uid="{00000000-0004-0000-0100-0000BD000000}"/>
    <hyperlink ref="J330" r:id="rId191" xr:uid="{00000000-0004-0000-0100-0000BE000000}"/>
    <hyperlink ref="J332" r:id="rId192" xr:uid="{00000000-0004-0000-0100-0000BF000000}"/>
    <hyperlink ref="J333" r:id="rId193" xr:uid="{00000000-0004-0000-0100-0000C0000000}"/>
    <hyperlink ref="J334" r:id="rId194" xr:uid="{00000000-0004-0000-0100-0000C1000000}"/>
    <hyperlink ref="J336" r:id="rId195" xr:uid="{00000000-0004-0000-0100-0000C2000000}"/>
    <hyperlink ref="J337" r:id="rId196" xr:uid="{00000000-0004-0000-0100-0000C3000000}"/>
    <hyperlink ref="J338" r:id="rId197" xr:uid="{00000000-0004-0000-0100-0000C4000000}"/>
    <hyperlink ref="J341" r:id="rId198" xr:uid="{00000000-0004-0000-0100-0000C5000000}"/>
    <hyperlink ref="J342" r:id="rId199" xr:uid="{00000000-0004-0000-0100-0000C6000000}"/>
    <hyperlink ref="J343" r:id="rId200" xr:uid="{00000000-0004-0000-0100-0000C7000000}"/>
    <hyperlink ref="J344" r:id="rId201" xr:uid="{00000000-0004-0000-0100-0000C8000000}"/>
    <hyperlink ref="J345" r:id="rId202" xr:uid="{00000000-0004-0000-0100-0000C9000000}"/>
    <hyperlink ref="J348" r:id="rId203" xr:uid="{00000000-0004-0000-0100-0000CA000000}"/>
    <hyperlink ref="J352" r:id="rId204" xr:uid="{00000000-0004-0000-0100-0000CB000000}"/>
    <hyperlink ref="J356" r:id="rId205" xr:uid="{00000000-0004-0000-0100-0000CC000000}"/>
    <hyperlink ref="J358" r:id="rId206" xr:uid="{00000000-0004-0000-0100-0000CD000000}"/>
    <hyperlink ref="J359" r:id="rId207" xr:uid="{00000000-0004-0000-0100-0000CE000000}"/>
    <hyperlink ref="J360" r:id="rId208" xr:uid="{00000000-0004-0000-0100-0000CF000000}"/>
    <hyperlink ref="J365" r:id="rId209" xr:uid="{00000000-0004-0000-0100-0000D0000000}"/>
    <hyperlink ref="J366" r:id="rId210" xr:uid="{00000000-0004-0000-0100-0000D1000000}"/>
    <hyperlink ref="J367" r:id="rId211" xr:uid="{00000000-0004-0000-0100-0000D2000000}"/>
    <hyperlink ref="J369" r:id="rId212" xr:uid="{00000000-0004-0000-0100-0000D3000000}"/>
    <hyperlink ref="J375" r:id="rId213" xr:uid="{00000000-0004-0000-0100-0000D4000000}"/>
    <hyperlink ref="J376" r:id="rId214" xr:uid="{00000000-0004-0000-0100-0000D5000000}"/>
    <hyperlink ref="J377" r:id="rId215" xr:uid="{00000000-0004-0000-0100-0000D6000000}"/>
    <hyperlink ref="J379" r:id="rId216" xr:uid="{00000000-0004-0000-0100-0000D7000000}"/>
    <hyperlink ref="J380" r:id="rId217" xr:uid="{00000000-0004-0000-0100-0000D8000000}"/>
    <hyperlink ref="J382" r:id="rId218" xr:uid="{00000000-0004-0000-0100-0000D9000000}"/>
    <hyperlink ref="J383" r:id="rId219" xr:uid="{00000000-0004-0000-0100-0000DA000000}"/>
    <hyperlink ref="J384" r:id="rId220" xr:uid="{00000000-0004-0000-0100-0000DB000000}"/>
    <hyperlink ref="J385" r:id="rId221" xr:uid="{00000000-0004-0000-0100-0000DC000000}"/>
    <hyperlink ref="J386" r:id="rId222" xr:uid="{00000000-0004-0000-0100-0000DD000000}"/>
    <hyperlink ref="J389" r:id="rId223" xr:uid="{00000000-0004-0000-0100-0000DE000000}"/>
    <hyperlink ref="J392" r:id="rId224" xr:uid="{00000000-0004-0000-0100-0000DF000000}"/>
    <hyperlink ref="J395" r:id="rId225" xr:uid="{00000000-0004-0000-0100-0000E0000000}"/>
    <hyperlink ref="J397" r:id="rId226" xr:uid="{00000000-0004-0000-0100-0000E1000000}"/>
    <hyperlink ref="J398" r:id="rId227" xr:uid="{00000000-0004-0000-0100-0000E2000000}"/>
    <hyperlink ref="J399" r:id="rId228" xr:uid="{00000000-0004-0000-0100-0000E3000000}"/>
    <hyperlink ref="J401" r:id="rId229" xr:uid="{00000000-0004-0000-0100-0000E4000000}"/>
    <hyperlink ref="J410" r:id="rId230" xr:uid="{00000000-0004-0000-0100-0000E5000000}"/>
    <hyperlink ref="J411" r:id="rId231" xr:uid="{00000000-0004-0000-0100-0000E6000000}"/>
    <hyperlink ref="J413" r:id="rId232" xr:uid="{00000000-0004-0000-0100-0000E7000000}"/>
    <hyperlink ref="J417" r:id="rId233" xr:uid="{00000000-0004-0000-0100-0000E8000000}"/>
    <hyperlink ref="J418" r:id="rId234" xr:uid="{00000000-0004-0000-0100-0000E9000000}"/>
    <hyperlink ref="J421" r:id="rId235" xr:uid="{00000000-0004-0000-0100-0000EA000000}"/>
    <hyperlink ref="J422" r:id="rId236" xr:uid="{00000000-0004-0000-0100-0000EB000000}"/>
    <hyperlink ref="J423" r:id="rId237" xr:uid="{00000000-0004-0000-0100-0000EC000000}"/>
    <hyperlink ref="J425" r:id="rId238" xr:uid="{00000000-0004-0000-0100-0000ED000000}"/>
    <hyperlink ref="J427" r:id="rId239" xr:uid="{00000000-0004-0000-0100-0000EE000000}"/>
    <hyperlink ref="J428" r:id="rId240" xr:uid="{00000000-0004-0000-0100-0000EF000000}"/>
    <hyperlink ref="J429" r:id="rId241" xr:uid="{00000000-0004-0000-0100-0000F0000000}"/>
    <hyperlink ref="J430" r:id="rId242" xr:uid="{00000000-0004-0000-0100-0000F1000000}"/>
    <hyperlink ref="J431" r:id="rId243" xr:uid="{00000000-0004-0000-0100-0000F2000000}"/>
    <hyperlink ref="J433" r:id="rId244" xr:uid="{00000000-0004-0000-0100-0000F3000000}"/>
    <hyperlink ref="J437" r:id="rId245" xr:uid="{00000000-0004-0000-0100-0000F4000000}"/>
    <hyperlink ref="J439" r:id="rId246" xr:uid="{00000000-0004-0000-0100-0000F5000000}"/>
    <hyperlink ref="J444" r:id="rId247" xr:uid="{00000000-0004-0000-0100-0000F6000000}"/>
    <hyperlink ref="J445" r:id="rId248" xr:uid="{00000000-0004-0000-0100-0000F7000000}"/>
    <hyperlink ref="J447" r:id="rId249" xr:uid="{00000000-0004-0000-0100-0000F8000000}"/>
    <hyperlink ref="J448" r:id="rId250" xr:uid="{00000000-0004-0000-0100-0000F9000000}"/>
    <hyperlink ref="J449" r:id="rId251" xr:uid="{00000000-0004-0000-0100-0000FA000000}"/>
    <hyperlink ref="J451" r:id="rId252" xr:uid="{00000000-0004-0000-0100-0000FB000000}"/>
    <hyperlink ref="J453" r:id="rId253" xr:uid="{00000000-0004-0000-0100-0000FC000000}"/>
    <hyperlink ref="J456" r:id="rId254" xr:uid="{00000000-0004-0000-0100-0000FD000000}"/>
    <hyperlink ref="J458" r:id="rId255" xr:uid="{00000000-0004-0000-0100-0000FE000000}"/>
    <hyperlink ref="J459" r:id="rId256" xr:uid="{00000000-0004-0000-0100-0000FF000000}"/>
    <hyperlink ref="J460" r:id="rId257" xr:uid="{00000000-0004-0000-0100-000000010000}"/>
    <hyperlink ref="J462" r:id="rId258" xr:uid="{00000000-0004-0000-0100-000001010000}"/>
    <hyperlink ref="J463" r:id="rId259" xr:uid="{00000000-0004-0000-0100-000002010000}"/>
    <hyperlink ref="J467" r:id="rId260" xr:uid="{00000000-0004-0000-0100-000003010000}"/>
    <hyperlink ref="J469" r:id="rId261" xr:uid="{00000000-0004-0000-0100-000004010000}"/>
    <hyperlink ref="J470" r:id="rId262" xr:uid="{00000000-0004-0000-0100-000005010000}"/>
    <hyperlink ref="J471" r:id="rId263" xr:uid="{00000000-0004-0000-0100-000006010000}"/>
    <hyperlink ref="J472" r:id="rId264" xr:uid="{00000000-0004-0000-0100-000007010000}"/>
    <hyperlink ref="J473" r:id="rId265" xr:uid="{00000000-0004-0000-0100-000008010000}"/>
    <hyperlink ref="J478" r:id="rId266" xr:uid="{00000000-0004-0000-0100-000009010000}"/>
    <hyperlink ref="J482" r:id="rId267" xr:uid="{00000000-0004-0000-0100-00000A010000}"/>
    <hyperlink ref="J483" r:id="rId268" xr:uid="{00000000-0004-0000-0100-00000B010000}"/>
    <hyperlink ref="J484" r:id="rId269" xr:uid="{00000000-0004-0000-0100-00000C010000}"/>
    <hyperlink ref="J485" r:id="rId270" xr:uid="{00000000-0004-0000-0100-00000D010000}"/>
    <hyperlink ref="J486" r:id="rId271" xr:uid="{00000000-0004-0000-0100-00000E010000}"/>
    <hyperlink ref="J487" r:id="rId272" xr:uid="{00000000-0004-0000-0100-00000F010000}"/>
    <hyperlink ref="J489" r:id="rId273" xr:uid="{00000000-0004-0000-0100-000010010000}"/>
    <hyperlink ref="J490" r:id="rId274" xr:uid="{00000000-0004-0000-0100-000011010000}"/>
    <hyperlink ref="J491" r:id="rId275" xr:uid="{00000000-0004-0000-0100-000012010000}"/>
    <hyperlink ref="J492" r:id="rId276" xr:uid="{00000000-0004-0000-0100-000013010000}"/>
    <hyperlink ref="J493" r:id="rId277" xr:uid="{00000000-0004-0000-0100-000014010000}"/>
    <hyperlink ref="J496" r:id="rId278" xr:uid="{00000000-0004-0000-0100-000015010000}"/>
    <hyperlink ref="J497" r:id="rId279" xr:uid="{00000000-0004-0000-0100-000016010000}"/>
    <hyperlink ref="J505" r:id="rId280" xr:uid="{00000000-0004-0000-0100-000017010000}"/>
    <hyperlink ref="J507" r:id="rId281" xr:uid="{00000000-0004-0000-0100-000018010000}"/>
    <hyperlink ref="J508" r:id="rId282" xr:uid="{00000000-0004-0000-0100-000019010000}"/>
    <hyperlink ref="J509" r:id="rId283" xr:uid="{00000000-0004-0000-0100-00001A010000}"/>
    <hyperlink ref="J510" r:id="rId284" xr:uid="{00000000-0004-0000-0100-00001B010000}"/>
    <hyperlink ref="J511" r:id="rId285" xr:uid="{00000000-0004-0000-0100-00001C010000}"/>
    <hyperlink ref="J513" r:id="rId286" xr:uid="{00000000-0004-0000-0100-00001D010000}"/>
    <hyperlink ref="J515" r:id="rId287" xr:uid="{00000000-0004-0000-0100-00001E010000}"/>
    <hyperlink ref="J516" r:id="rId288" xr:uid="{00000000-0004-0000-0100-00001F010000}"/>
    <hyperlink ref="J517" r:id="rId289" xr:uid="{00000000-0004-0000-0100-000020010000}"/>
    <hyperlink ref="J519" r:id="rId290" xr:uid="{00000000-0004-0000-0100-000021010000}"/>
    <hyperlink ref="J520" r:id="rId291" xr:uid="{00000000-0004-0000-0100-000022010000}"/>
    <hyperlink ref="J521" r:id="rId292" xr:uid="{00000000-0004-0000-0100-000023010000}"/>
    <hyperlink ref="J522" r:id="rId293" xr:uid="{00000000-0004-0000-0100-000024010000}"/>
    <hyperlink ref="J523" r:id="rId294" xr:uid="{00000000-0004-0000-0100-000025010000}"/>
    <hyperlink ref="J525" r:id="rId295" xr:uid="{00000000-0004-0000-0100-000026010000}"/>
    <hyperlink ref="J526" r:id="rId296" xr:uid="{00000000-0004-0000-0100-000027010000}"/>
    <hyperlink ref="J530" r:id="rId297" xr:uid="{00000000-0004-0000-0100-000028010000}"/>
    <hyperlink ref="J545" r:id="rId298" xr:uid="{00000000-0004-0000-0100-000029010000}"/>
    <hyperlink ref="J546" r:id="rId299" xr:uid="{00000000-0004-0000-0100-00002A010000}"/>
    <hyperlink ref="J547" r:id="rId300" xr:uid="{00000000-0004-0000-0100-00002B010000}"/>
    <hyperlink ref="J548" r:id="rId301" xr:uid="{00000000-0004-0000-0100-00002C010000}"/>
    <hyperlink ref="J550" r:id="rId302" xr:uid="{00000000-0004-0000-0100-00002D010000}"/>
    <hyperlink ref="J551" r:id="rId303" xr:uid="{00000000-0004-0000-0100-00002E010000}"/>
    <hyperlink ref="J555" r:id="rId304" xr:uid="{00000000-0004-0000-0100-00002F010000}"/>
    <hyperlink ref="J556" r:id="rId305" xr:uid="{00000000-0004-0000-0100-000030010000}"/>
    <hyperlink ref="J559" r:id="rId306" xr:uid="{00000000-0004-0000-0100-000031010000}"/>
    <hyperlink ref="J561" r:id="rId307" xr:uid="{00000000-0004-0000-0100-000032010000}"/>
    <hyperlink ref="J563" r:id="rId308" xr:uid="{00000000-0004-0000-0100-000033010000}"/>
    <hyperlink ref="J564" r:id="rId309" xr:uid="{00000000-0004-0000-0100-000034010000}"/>
    <hyperlink ref="J565" r:id="rId310" xr:uid="{00000000-0004-0000-0100-000035010000}"/>
    <hyperlink ref="J566" r:id="rId311" xr:uid="{00000000-0004-0000-0100-000036010000}"/>
    <hyperlink ref="J567" r:id="rId312" xr:uid="{00000000-0004-0000-0100-000037010000}"/>
    <hyperlink ref="J568" r:id="rId313" xr:uid="{00000000-0004-0000-0100-000038010000}"/>
    <hyperlink ref="J569" r:id="rId314" xr:uid="{00000000-0004-0000-0100-000039010000}"/>
    <hyperlink ref="J570" r:id="rId315" xr:uid="{00000000-0004-0000-0100-00003A010000}"/>
    <hyperlink ref="J571" r:id="rId316" xr:uid="{00000000-0004-0000-0100-00003B010000}"/>
    <hyperlink ref="J572" r:id="rId317" xr:uid="{00000000-0004-0000-0100-00003C010000}"/>
    <hyperlink ref="J574" r:id="rId318" xr:uid="{00000000-0004-0000-0100-00003D010000}"/>
    <hyperlink ref="J575" r:id="rId319" xr:uid="{00000000-0004-0000-0100-00003E010000}"/>
    <hyperlink ref="J576" r:id="rId320" xr:uid="{00000000-0004-0000-0100-00003F010000}"/>
    <hyperlink ref="J578" r:id="rId321" xr:uid="{00000000-0004-0000-0100-000040010000}"/>
    <hyperlink ref="J579" r:id="rId322" xr:uid="{00000000-0004-0000-0100-000041010000}"/>
    <hyperlink ref="J580" r:id="rId323" xr:uid="{00000000-0004-0000-0100-000042010000}"/>
    <hyperlink ref="J585" r:id="rId324" xr:uid="{00000000-0004-0000-0100-000043010000}"/>
    <hyperlink ref="J586" r:id="rId325" xr:uid="{00000000-0004-0000-0100-000044010000}"/>
    <hyperlink ref="J587" r:id="rId326" xr:uid="{00000000-0004-0000-0100-000045010000}"/>
    <hyperlink ref="J588" r:id="rId327" xr:uid="{00000000-0004-0000-0100-000046010000}"/>
    <hyperlink ref="J590" r:id="rId328" xr:uid="{00000000-0004-0000-0100-000047010000}"/>
    <hyperlink ref="J592" r:id="rId329" xr:uid="{00000000-0004-0000-0100-000048010000}"/>
    <hyperlink ref="J593" r:id="rId330" xr:uid="{00000000-0004-0000-0100-000049010000}"/>
    <hyperlink ref="J596" r:id="rId331" xr:uid="{00000000-0004-0000-0100-00004A010000}"/>
    <hyperlink ref="J597" r:id="rId332" xr:uid="{00000000-0004-0000-0100-00004B010000}"/>
    <hyperlink ref="J598" r:id="rId333" xr:uid="{00000000-0004-0000-0100-00004C010000}"/>
    <hyperlink ref="J599" r:id="rId334" xr:uid="{00000000-0004-0000-0100-00004D010000}"/>
    <hyperlink ref="J600" r:id="rId335" xr:uid="{00000000-0004-0000-0100-00004E010000}"/>
    <hyperlink ref="J602" r:id="rId336" xr:uid="{00000000-0004-0000-0100-00004F010000}"/>
    <hyperlink ref="J604" r:id="rId337" xr:uid="{00000000-0004-0000-0100-000050010000}"/>
    <hyperlink ref="J609" r:id="rId338" xr:uid="{00000000-0004-0000-0100-000051010000}"/>
    <hyperlink ref="J610" r:id="rId339" xr:uid="{00000000-0004-0000-0100-000052010000}"/>
    <hyperlink ref="J611" r:id="rId340" xr:uid="{00000000-0004-0000-0100-000053010000}"/>
    <hyperlink ref="J613" r:id="rId341" xr:uid="{00000000-0004-0000-0100-000054010000}"/>
    <hyperlink ref="J614" r:id="rId342" xr:uid="{00000000-0004-0000-0100-000055010000}"/>
    <hyperlink ref="J616" r:id="rId343" xr:uid="{00000000-0004-0000-0100-000056010000}"/>
    <hyperlink ref="J623" r:id="rId344" xr:uid="{00000000-0004-0000-0100-000057010000}"/>
    <hyperlink ref="J630" r:id="rId345" xr:uid="{00000000-0004-0000-0100-000058010000}"/>
    <hyperlink ref="J631" r:id="rId346" xr:uid="{00000000-0004-0000-0100-000059010000}"/>
    <hyperlink ref="J632" r:id="rId347" xr:uid="{00000000-0004-0000-0100-00005A010000}"/>
    <hyperlink ref="J634" r:id="rId348" xr:uid="{00000000-0004-0000-0100-00005B010000}"/>
    <hyperlink ref="J638" r:id="rId349" xr:uid="{00000000-0004-0000-0100-00005C010000}"/>
    <hyperlink ref="J641" r:id="rId350" xr:uid="{00000000-0004-0000-0100-00005D010000}"/>
    <hyperlink ref="J643" r:id="rId351" xr:uid="{00000000-0004-0000-0100-00005E010000}"/>
    <hyperlink ref="J644" r:id="rId352" xr:uid="{00000000-0004-0000-0100-00005F010000}"/>
    <hyperlink ref="J645" r:id="rId353" xr:uid="{00000000-0004-0000-0100-000060010000}"/>
    <hyperlink ref="J646" r:id="rId354" xr:uid="{00000000-0004-0000-0100-000061010000}"/>
    <hyperlink ref="J647" r:id="rId355" xr:uid="{00000000-0004-0000-0100-000062010000}"/>
    <hyperlink ref="J650" r:id="rId356" xr:uid="{00000000-0004-0000-0100-000063010000}"/>
    <hyperlink ref="J651" r:id="rId357" xr:uid="{00000000-0004-0000-0100-000064010000}"/>
    <hyperlink ref="J652" r:id="rId358" xr:uid="{00000000-0004-0000-0100-000065010000}"/>
    <hyperlink ref="J653" r:id="rId359" xr:uid="{00000000-0004-0000-0100-000066010000}"/>
    <hyperlink ref="J654" r:id="rId360" xr:uid="{00000000-0004-0000-0100-000067010000}"/>
    <hyperlink ref="J657" r:id="rId361" xr:uid="{00000000-0004-0000-0100-000068010000}"/>
    <hyperlink ref="J659" r:id="rId362" xr:uid="{00000000-0004-0000-0100-000069010000}"/>
    <hyperlink ref="J661" r:id="rId363" xr:uid="{00000000-0004-0000-0100-00006A010000}"/>
    <hyperlink ref="J663" r:id="rId364" xr:uid="{00000000-0004-0000-0100-00006B010000}"/>
    <hyperlink ref="J664" r:id="rId365" xr:uid="{00000000-0004-0000-0100-00006C010000}"/>
    <hyperlink ref="J665" r:id="rId366" xr:uid="{00000000-0004-0000-0100-00006D010000}"/>
    <hyperlink ref="J667" r:id="rId367" xr:uid="{00000000-0004-0000-0100-00006E010000}"/>
    <hyperlink ref="J668" r:id="rId368" xr:uid="{00000000-0004-0000-0100-00006F010000}"/>
    <hyperlink ref="J669" r:id="rId369" xr:uid="{00000000-0004-0000-0100-000070010000}"/>
    <hyperlink ref="J670" r:id="rId370" xr:uid="{00000000-0004-0000-0100-000071010000}"/>
    <hyperlink ref="J671" r:id="rId371" xr:uid="{00000000-0004-0000-0100-000072010000}"/>
    <hyperlink ref="J672" r:id="rId372" xr:uid="{00000000-0004-0000-0100-000073010000}"/>
    <hyperlink ref="J673" r:id="rId373" xr:uid="{00000000-0004-0000-0100-000074010000}"/>
    <hyperlink ref="J674" r:id="rId374" xr:uid="{00000000-0004-0000-0100-000075010000}"/>
    <hyperlink ref="J675" r:id="rId375" xr:uid="{00000000-0004-0000-0100-000076010000}"/>
    <hyperlink ref="J676" r:id="rId376" xr:uid="{00000000-0004-0000-0100-000077010000}"/>
    <hyperlink ref="J677" r:id="rId377" xr:uid="{00000000-0004-0000-0100-000078010000}"/>
    <hyperlink ref="J679" r:id="rId378" xr:uid="{00000000-0004-0000-0100-000079010000}"/>
    <hyperlink ref="J682" r:id="rId379" xr:uid="{00000000-0004-0000-0100-00007A010000}"/>
    <hyperlink ref="J684" r:id="rId380" xr:uid="{00000000-0004-0000-0100-00007B010000}"/>
    <hyperlink ref="J686" r:id="rId381" xr:uid="{00000000-0004-0000-0100-00007C010000}"/>
    <hyperlink ref="J687" r:id="rId382" xr:uid="{00000000-0004-0000-0100-00007D010000}"/>
    <hyperlink ref="J688" r:id="rId383" xr:uid="{00000000-0004-0000-0100-00007E010000}"/>
    <hyperlink ref="J689" r:id="rId384" xr:uid="{00000000-0004-0000-0100-00007F010000}"/>
    <hyperlink ref="J690" r:id="rId385" xr:uid="{00000000-0004-0000-0100-000080010000}"/>
    <hyperlink ref="J691" r:id="rId386" xr:uid="{00000000-0004-0000-0100-000081010000}"/>
    <hyperlink ref="J694" r:id="rId387" xr:uid="{00000000-0004-0000-0100-000082010000}"/>
    <hyperlink ref="J695" r:id="rId388" xr:uid="{00000000-0004-0000-0100-000083010000}"/>
    <hyperlink ref="J699" r:id="rId389" xr:uid="{00000000-0004-0000-0100-000084010000}"/>
    <hyperlink ref="J700" r:id="rId390" xr:uid="{00000000-0004-0000-0100-000085010000}"/>
    <hyperlink ref="J701" r:id="rId391" xr:uid="{00000000-0004-0000-0100-000086010000}"/>
    <hyperlink ref="J703" r:id="rId392" xr:uid="{00000000-0004-0000-0100-000087010000}"/>
    <hyperlink ref="J704" r:id="rId393" xr:uid="{00000000-0004-0000-0100-000088010000}"/>
    <hyperlink ref="J705" r:id="rId394" xr:uid="{00000000-0004-0000-0100-000089010000}"/>
    <hyperlink ref="J706" r:id="rId395" xr:uid="{00000000-0004-0000-0100-00008A010000}"/>
    <hyperlink ref="J707" r:id="rId396" xr:uid="{00000000-0004-0000-0100-00008B010000}"/>
    <hyperlink ref="J709" r:id="rId397" xr:uid="{00000000-0004-0000-0100-00008C010000}"/>
    <hyperlink ref="J710" r:id="rId398" xr:uid="{00000000-0004-0000-0100-00008D010000}"/>
    <hyperlink ref="J712" r:id="rId399" xr:uid="{00000000-0004-0000-0100-00008E010000}"/>
    <hyperlink ref="J714" r:id="rId400" xr:uid="{00000000-0004-0000-0100-00008F010000}"/>
    <hyperlink ref="J715" r:id="rId401" xr:uid="{00000000-0004-0000-0100-000090010000}"/>
    <hyperlink ref="J717" r:id="rId402" xr:uid="{00000000-0004-0000-0100-000091010000}"/>
    <hyperlink ref="J718" r:id="rId403" xr:uid="{00000000-0004-0000-0100-000092010000}"/>
    <hyperlink ref="J721" r:id="rId404" xr:uid="{00000000-0004-0000-0100-000093010000}"/>
    <hyperlink ref="J722" r:id="rId405" xr:uid="{00000000-0004-0000-0100-000094010000}"/>
    <hyperlink ref="J725" r:id="rId406" xr:uid="{00000000-0004-0000-0100-000095010000}"/>
    <hyperlink ref="J728" r:id="rId407" xr:uid="{00000000-0004-0000-0100-000096010000}"/>
    <hyperlink ref="J731" r:id="rId408" xr:uid="{00000000-0004-0000-0100-000097010000}"/>
    <hyperlink ref="J732" r:id="rId409" xr:uid="{00000000-0004-0000-0100-000098010000}"/>
    <hyperlink ref="J734" r:id="rId410" xr:uid="{00000000-0004-0000-0100-000099010000}"/>
    <hyperlink ref="J735" r:id="rId411" xr:uid="{00000000-0004-0000-0100-00009A010000}"/>
    <hyperlink ref="J738" r:id="rId412" xr:uid="{00000000-0004-0000-0100-00009B010000}"/>
    <hyperlink ref="J739" r:id="rId413" xr:uid="{00000000-0004-0000-0100-00009C010000}"/>
    <hyperlink ref="J745" r:id="rId414" xr:uid="{00000000-0004-0000-0100-00009D010000}"/>
    <hyperlink ref="J747" r:id="rId415" xr:uid="{00000000-0004-0000-0100-00009E010000}"/>
    <hyperlink ref="J748" r:id="rId416" xr:uid="{00000000-0004-0000-0100-00009F010000}"/>
    <hyperlink ref="J751" r:id="rId417" xr:uid="{00000000-0004-0000-0100-0000A0010000}"/>
    <hyperlink ref="J755" r:id="rId418" xr:uid="{00000000-0004-0000-0100-0000A1010000}"/>
    <hyperlink ref="J760" r:id="rId419" xr:uid="{00000000-0004-0000-0100-0000A2010000}"/>
    <hyperlink ref="J763" r:id="rId420" xr:uid="{00000000-0004-0000-0100-0000A3010000}"/>
    <hyperlink ref="J764" r:id="rId421" xr:uid="{00000000-0004-0000-0100-0000A4010000}"/>
    <hyperlink ref="J766" r:id="rId422" xr:uid="{00000000-0004-0000-0100-0000A5010000}"/>
    <hyperlink ref="J768" r:id="rId423" xr:uid="{00000000-0004-0000-0100-0000A6010000}"/>
    <hyperlink ref="J769" r:id="rId424" xr:uid="{00000000-0004-0000-0100-0000A7010000}"/>
    <hyperlink ref="J771" r:id="rId425" xr:uid="{00000000-0004-0000-0100-0000A8010000}"/>
    <hyperlink ref="J772" r:id="rId426" xr:uid="{00000000-0004-0000-0100-0000A9010000}"/>
    <hyperlink ref="J774" r:id="rId427" xr:uid="{00000000-0004-0000-0100-0000AA010000}"/>
    <hyperlink ref="J778" r:id="rId428" xr:uid="{00000000-0004-0000-0100-0000AB010000}"/>
    <hyperlink ref="J781" r:id="rId429" xr:uid="{00000000-0004-0000-0100-0000AC010000}"/>
    <hyperlink ref="J782" r:id="rId430" xr:uid="{00000000-0004-0000-0100-0000AD010000}"/>
    <hyperlink ref="J783" r:id="rId431" xr:uid="{00000000-0004-0000-0100-0000AE010000}"/>
    <hyperlink ref="J785" r:id="rId432" xr:uid="{00000000-0004-0000-0100-0000AF010000}"/>
    <hyperlink ref="J789" r:id="rId433" xr:uid="{00000000-0004-0000-0100-0000B0010000}"/>
    <hyperlink ref="J790" r:id="rId434" xr:uid="{00000000-0004-0000-0100-0000B1010000}"/>
    <hyperlink ref="J792" r:id="rId435" xr:uid="{00000000-0004-0000-0100-0000B2010000}"/>
    <hyperlink ref="J794" r:id="rId436" xr:uid="{00000000-0004-0000-0100-0000B3010000}"/>
    <hyperlink ref="J795" r:id="rId437" xr:uid="{00000000-0004-0000-0100-0000B4010000}"/>
    <hyperlink ref="J799" r:id="rId438" xr:uid="{00000000-0004-0000-0100-0000B5010000}"/>
    <hyperlink ref="J800" r:id="rId439" xr:uid="{00000000-0004-0000-0100-0000B6010000}"/>
    <hyperlink ref="J802" r:id="rId440" xr:uid="{00000000-0004-0000-0100-0000B7010000}"/>
    <hyperlink ref="J803" r:id="rId441" xr:uid="{00000000-0004-0000-0100-0000B8010000}"/>
    <hyperlink ref="J804" r:id="rId442" xr:uid="{00000000-0004-0000-0100-0000B9010000}"/>
    <hyperlink ref="J810" r:id="rId443" xr:uid="{00000000-0004-0000-0100-0000BA010000}"/>
    <hyperlink ref="J813" r:id="rId444" xr:uid="{00000000-0004-0000-0100-0000BB010000}"/>
    <hyperlink ref="J814" r:id="rId445" xr:uid="{00000000-0004-0000-0100-0000BC010000}"/>
    <hyperlink ref="J816" r:id="rId446" xr:uid="{00000000-0004-0000-0100-0000BD010000}"/>
    <hyperlink ref="J817" r:id="rId447" xr:uid="{00000000-0004-0000-0100-0000BE010000}"/>
    <hyperlink ref="J818" r:id="rId448" xr:uid="{00000000-0004-0000-0100-0000BF010000}"/>
    <hyperlink ref="J820" r:id="rId449" xr:uid="{00000000-0004-0000-0100-0000C0010000}"/>
    <hyperlink ref="J821" r:id="rId450" xr:uid="{00000000-0004-0000-0100-0000C1010000}"/>
    <hyperlink ref="J823" r:id="rId451" xr:uid="{00000000-0004-0000-0100-0000C2010000}"/>
    <hyperlink ref="J824" r:id="rId452" xr:uid="{00000000-0004-0000-0100-0000C3010000}"/>
    <hyperlink ref="J828" r:id="rId453" xr:uid="{00000000-0004-0000-0100-0000C4010000}"/>
    <hyperlink ref="J829" r:id="rId454" xr:uid="{00000000-0004-0000-0100-0000C5010000}"/>
    <hyperlink ref="J830" r:id="rId455" xr:uid="{00000000-0004-0000-0100-0000C6010000}"/>
    <hyperlink ref="J832" r:id="rId456" xr:uid="{00000000-0004-0000-0100-0000C7010000}"/>
    <hyperlink ref="J834" r:id="rId457" xr:uid="{00000000-0004-0000-0100-0000C8010000}"/>
    <hyperlink ref="J833" r:id="rId458" xr:uid="{1F83659C-AD21-4F34-8F4C-6E76C87F659D}"/>
    <hyperlink ref="J605" r:id="rId459" xr:uid="{A6EF2753-EC6D-439D-B0FD-440F5C05FFF4}"/>
    <hyperlink ref="J364" r:id="rId460" xr:uid="{0405F14B-04E6-4160-A748-7EA48AA85A4B}"/>
    <hyperlink ref="J198" r:id="rId461" xr:uid="{2A97819F-3AF7-45E3-A0C8-071A794D84C8}"/>
    <hyperlink ref="J506" r:id="rId462" xr:uid="{9AE74BE8-D7BF-4F27-9FD5-4D413663818A}"/>
    <hyperlink ref="J465" r:id="rId463" xr:uid="{337B11CE-99AD-40C9-9A85-DAB9A0895675}"/>
    <hyperlink ref="J74" r:id="rId464" xr:uid="{88CA5DDF-61D3-413E-A56B-2CABC03B8D55}"/>
    <hyperlink ref="J157" r:id="rId465" xr:uid="{18141CEA-086F-496E-B741-681185F29F3F}"/>
    <hyperlink ref="J128" r:id="rId466" xr:uid="{22FFA159-FD8E-489E-8535-05FD16D24C90}"/>
    <hyperlink ref="J603" r:id="rId467" xr:uid="{54E317BD-067D-40E7-92C8-A4C6977FEEF9}"/>
    <hyperlink ref="J208" r:id="rId468" xr:uid="{F95C9838-A92C-40E0-A7B6-0F8271CF6D49}"/>
    <hyperlink ref="J172" r:id="rId469" xr:uid="{A035CF96-3C05-4FFF-9837-BB6573901202}"/>
    <hyperlink ref="J339" r:id="rId470" xr:uid="{EC58BF03-D3C3-4F73-88A1-1925AC021BA0}"/>
    <hyperlink ref="J805" r:id="rId471" xr:uid="{67CA89D0-B0D3-4FCA-AD06-862119C2F217}"/>
    <hyperlink ref="J117" r:id="rId472" xr:uid="{BFE665DB-4351-44C0-B11E-9B00FAAC777B}"/>
    <hyperlink ref="J346" r:id="rId473" xr:uid="{C5CDF9B8-A090-4937-8C57-3E800827D0D3}"/>
    <hyperlink ref="J73" r:id="rId474" xr:uid="{9E4FF88C-53A2-4D06-9158-0342A52C0B51}"/>
    <hyperlink ref="J744" r:id="rId475" xr:uid="{85DAD64C-F120-4969-8709-2AA7E5DE2677}"/>
    <hyperlink ref="J621" r:id="rId476" xr:uid="{D0CAF2ED-6ACA-4BC7-8F6B-EA13BFAFE62C}"/>
    <hyperlink ref="J246" r:id="rId477" xr:uid="{2015D57F-1A19-4636-BB70-75A581AAEF5F}"/>
    <hyperlink ref="J355" r:id="rId478" xr:uid="{A7DBCAE7-A1B8-4976-94A5-EF89C74C83DB}"/>
    <hyperlink ref="J100" r:id="rId479" xr:uid="{252CAAC4-8F70-435B-AFE0-9CD598019058}"/>
    <hyperlink ref="J660" r:id="rId480" xr:uid="{D2FD42AE-D279-4051-83AC-D26561F5DF72}"/>
    <hyperlink ref="J640" r:id="rId481" xr:uid="{6CB579AC-D040-4143-A8C7-D2B55C866828}"/>
    <hyperlink ref="J696" r:id="rId482" xr:uid="{D7F364F7-F663-43A2-A84E-A7949D3318AC}"/>
    <hyperlink ref="J741" r:id="rId483" xr:uid="{FDA4444D-B886-4B97-8D1C-C1D287553C9C}"/>
    <hyperlink ref="J231" r:id="rId484" xr:uid="{3A5B74C3-F1A2-4770-9562-8E932E3C129D}"/>
    <hyperlink ref="J282" r:id="rId485" xr:uid="{71F7EB63-69F6-4847-8DEF-8AEEA25A77D6}"/>
    <hyperlink ref="J349" r:id="rId486" xr:uid="{1F106AB3-3D5F-4095-A230-AD830C9B7BE5}"/>
    <hyperlink ref="J502" r:id="rId487" xr:uid="{8696F05D-D483-45F2-A058-C5AA642285DB}"/>
    <hyperlink ref="J314" r:id="rId488" xr:uid="{EA699CC5-D859-425A-A467-E167083BC61E}"/>
    <hyperlink ref="J606" r:id="rId489" xr:uid="{555D99B5-F955-4E9E-816E-BFEA0E783007}"/>
    <hyperlink ref="J826" r:id="rId490" xr:uid="{966A13C9-CAC6-4F72-A794-9469481A8030}"/>
    <hyperlink ref="J554" r:id="rId491" xr:uid="{BA562D42-7BD3-4480-8EE2-95C333AE51D7}"/>
    <hyperlink ref="J757" r:id="rId492" xr:uid="{C24494DF-A71D-4EF2-A82B-BC274E2030BD}"/>
    <hyperlink ref="J756" r:id="rId493" xr:uid="{9DB152FE-8133-4225-8ECD-EA065B35332F}"/>
    <hyperlink ref="J15" r:id="rId494" xr:uid="{A8BD32C7-66B8-4592-9930-DB785A9379F3}"/>
    <hyperlink ref="J524" r:id="rId495" xr:uid="{C68D4930-E3BD-4654-BD61-52E8032CBA4C}"/>
    <hyperlink ref="J234" r:id="rId496" xr:uid="{57F050B9-B5E4-4C2B-BD76-94F2D5CE5D2A}"/>
    <hyperlink ref="J477" r:id="rId497" xr:uid="{9B04E0D5-E1E1-47CB-91F3-63D8B05D4570}"/>
    <hyperlink ref="J767" r:id="rId498" xr:uid="{A43B24C6-DA6A-4ACF-99CC-E385B061550F}"/>
    <hyperlink ref="J617" r:id="rId499" xr:uid="{518C7A3F-9DFC-4291-8D17-3F66D1671F7C}"/>
    <hyperlink ref="J164" r:id="rId500" xr:uid="{E8492299-4CB3-4B2D-A8AB-979F945E3830}"/>
    <hyperlink ref="J368" r:id="rId501" xr:uid="{A13C051A-26CB-4DBD-9274-44BA85CD8C0C}"/>
    <hyperlink ref="J275" r:id="rId502" xr:uid="{4F764C2E-CE57-44EE-B91E-DEE38D1A7E83}"/>
    <hyperlink ref="J30" r:id="rId503" xr:uid="{7509A92D-CA71-4CB9-8F8F-AC8340E53B69}"/>
    <hyperlink ref="J708" r:id="rId504" xr:uid="{21BC3AC7-C1D0-468E-9C71-8D126B474359}"/>
    <hyperlink ref="J405" r:id="rId505" xr:uid="{8708DE4F-9771-4FA1-9A23-3550FACB1AFF}"/>
    <hyperlink ref="J562" r:id="rId506" xr:uid="{95A62F7E-AF32-4F79-BD94-E801078DC965}"/>
    <hyperlink ref="J420" r:id="rId507" xr:uid="{11B7FE0D-6976-4ED5-9BB4-336DB9B01B78}"/>
    <hyperlink ref="J762" r:id="rId508" xr:uid="{9D45BF93-4A27-4C5F-9E4A-DB03F27F6E38}"/>
    <hyperlink ref="J746" r:id="rId509" xr:uid="{F6888294-9D2B-40C7-950B-AD8B977F3AD7}"/>
    <hyperlink ref="J637" r:id="rId510" xr:uid="{DDD986F2-3056-4CF9-96C6-9564E19BF0CA}"/>
    <hyperlink ref="J58" r:id="rId511" xr:uid="{F2A36F77-A664-4D55-9706-7EB89CEE8262}"/>
    <hyperlink ref="J378" r:id="rId512" xr:uid="{E347537C-4D5F-4B05-A819-3B1034B3FD26}"/>
    <hyperlink ref="J45" r:id="rId513" xr:uid="{89B851EE-7230-419B-9631-46F8DB82211D}"/>
    <hyperlink ref="J23" r:id="rId514" xr:uid="{99CC129A-4301-4FCF-8230-E2D0A857A2EC}"/>
    <hyperlink ref="J608" r:id="rId515" xr:uid="{294D9191-64A3-44ED-B0CC-96D1CDC703BA}"/>
    <hyperlink ref="J468" r:id="rId516" xr:uid="{63D0CCAE-7AF3-437B-925B-985783257C8B}"/>
    <hyperlink ref="J697" r:id="rId517" xr:uid="{A769C1C8-42EA-4D4E-8EB9-B90A1BD6FECD}"/>
    <hyperlink ref="J698" r:id="rId518" xr:uid="{4B17B6A0-93FF-4551-9156-F45EE4AC25A6}"/>
    <hyperlink ref="J244" r:id="rId519" xr:uid="{0A2BC191-0FAF-4AAC-B746-CD0B3F25D8FF}"/>
    <hyperlink ref="J419" r:id="rId520" xr:uid="{AEDFB095-A912-4130-BECA-72E1F7FF4912}"/>
    <hyperlink ref="J730" r:id="rId521" xr:uid="{842E2951-E6CD-4169-8131-C0B35F96814F}"/>
  </hyperlinks>
  <pageMargins left="0.7" right="0.7" top="0.75" bottom="0.75" header="0.511811023622047" footer="0.511811023622047"/>
  <pageSetup orientation="portrait" horizontalDpi="300" verticalDpi="300"/>
  <tableParts count="1">
    <tablePart r:id="rId52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188"/>
  <sheetViews>
    <sheetView topLeftCell="A1150" zoomScaleNormal="100" workbookViewId="0">
      <selection activeCell="B1195" sqref="B1195"/>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2513</v>
      </c>
      <c r="B1" t="s">
        <v>2514</v>
      </c>
      <c r="C1" t="s">
        <v>2515</v>
      </c>
      <c r="D1" t="s">
        <v>2516</v>
      </c>
      <c r="E1" t="s">
        <v>2517</v>
      </c>
    </row>
    <row r="2" spans="1:5" ht="15" customHeight="1" x14ac:dyDescent="0.25">
      <c r="A2" t="s">
        <v>63</v>
      </c>
      <c r="B2" t="s">
        <v>198</v>
      </c>
      <c r="C2">
        <v>2010</v>
      </c>
      <c r="D2" t="s">
        <v>70</v>
      </c>
      <c r="E2" s="1"/>
    </row>
    <row r="3" spans="1:5" ht="15" customHeight="1" x14ac:dyDescent="0.25">
      <c r="A3" t="s">
        <v>63</v>
      </c>
      <c r="B3" t="s">
        <v>1692</v>
      </c>
      <c r="C3">
        <v>2010</v>
      </c>
      <c r="E3" s="1" t="s">
        <v>2518</v>
      </c>
    </row>
    <row r="4" spans="1:5" ht="15" customHeight="1" x14ac:dyDescent="0.25">
      <c r="A4" t="s">
        <v>68</v>
      </c>
      <c r="B4" t="s">
        <v>697</v>
      </c>
      <c r="C4">
        <v>2022</v>
      </c>
      <c r="E4" s="1" t="s">
        <v>2519</v>
      </c>
    </row>
    <row r="5" spans="1:5" ht="15" customHeight="1" x14ac:dyDescent="0.25">
      <c r="A5" t="s">
        <v>68</v>
      </c>
      <c r="B5" t="s">
        <v>1798</v>
      </c>
      <c r="C5">
        <v>2022</v>
      </c>
      <c r="E5" s="1" t="s">
        <v>2520</v>
      </c>
    </row>
    <row r="6" spans="1:5" ht="15" customHeight="1" x14ac:dyDescent="0.25">
      <c r="A6" t="s">
        <v>73</v>
      </c>
      <c r="B6" t="s">
        <v>77</v>
      </c>
      <c r="C6">
        <v>2017</v>
      </c>
      <c r="D6" t="s">
        <v>70</v>
      </c>
      <c r="E6" s="1"/>
    </row>
    <row r="7" spans="1:5" ht="15" customHeight="1" x14ac:dyDescent="0.25">
      <c r="A7" t="s">
        <v>88</v>
      </c>
      <c r="B7" t="s">
        <v>85</v>
      </c>
      <c r="C7">
        <v>2015</v>
      </c>
      <c r="D7" t="s">
        <v>70</v>
      </c>
      <c r="E7" s="1"/>
    </row>
    <row r="8" spans="1:5" ht="15" customHeight="1" x14ac:dyDescent="0.25">
      <c r="A8" t="s">
        <v>115</v>
      </c>
      <c r="B8" t="s">
        <v>2244</v>
      </c>
      <c r="C8">
        <v>2021</v>
      </c>
      <c r="E8" s="1" t="s">
        <v>2521</v>
      </c>
    </row>
    <row r="9" spans="1:5" ht="15" customHeight="1" x14ac:dyDescent="0.25">
      <c r="A9" t="s">
        <v>131</v>
      </c>
      <c r="B9" t="s">
        <v>397</v>
      </c>
      <c r="C9">
        <v>1994</v>
      </c>
      <c r="E9" s="1"/>
    </row>
    <row r="10" spans="1:5" ht="15" customHeight="1" x14ac:dyDescent="0.25">
      <c r="A10" t="s">
        <v>131</v>
      </c>
      <c r="B10" t="s">
        <v>6533</v>
      </c>
      <c r="C10">
        <v>1994</v>
      </c>
      <c r="E10" s="11" t="s">
        <v>6536</v>
      </c>
    </row>
    <row r="11" spans="1:5" ht="15" customHeight="1" x14ac:dyDescent="0.25">
      <c r="A11" t="s">
        <v>131</v>
      </c>
      <c r="B11" t="s">
        <v>773</v>
      </c>
      <c r="C11">
        <v>1994</v>
      </c>
      <c r="E11" s="11" t="s">
        <v>6440</v>
      </c>
    </row>
    <row r="12" spans="1:5" ht="15" customHeight="1" x14ac:dyDescent="0.25">
      <c r="A12" t="s">
        <v>131</v>
      </c>
      <c r="B12" t="s">
        <v>809</v>
      </c>
      <c r="C12">
        <v>1994</v>
      </c>
      <c r="E12" s="1"/>
    </row>
    <row r="13" spans="1:5" ht="15" customHeight="1" x14ac:dyDescent="0.25">
      <c r="A13" t="s">
        <v>131</v>
      </c>
      <c r="B13" t="s">
        <v>6443</v>
      </c>
      <c r="C13">
        <v>1994</v>
      </c>
      <c r="E13" s="11" t="s">
        <v>6446</v>
      </c>
    </row>
    <row r="14" spans="1:5" ht="15" customHeight="1" x14ac:dyDescent="0.25">
      <c r="A14" t="s">
        <v>131</v>
      </c>
      <c r="B14" t="s">
        <v>940</v>
      </c>
      <c r="C14">
        <v>1994</v>
      </c>
      <c r="E14" s="11" t="s">
        <v>2522</v>
      </c>
    </row>
    <row r="15" spans="1:5" ht="15" customHeight="1" x14ac:dyDescent="0.25">
      <c r="A15" t="s">
        <v>131</v>
      </c>
      <c r="B15" t="s">
        <v>6424</v>
      </c>
      <c r="C15">
        <v>1994</v>
      </c>
      <c r="E15" s="11" t="s">
        <v>6427</v>
      </c>
    </row>
    <row r="16" spans="1:5" ht="15" customHeight="1" x14ac:dyDescent="0.25">
      <c r="A16" t="s">
        <v>131</v>
      </c>
      <c r="B16" t="s">
        <v>1158</v>
      </c>
      <c r="C16">
        <v>1994</v>
      </c>
      <c r="E16" s="1" t="s">
        <v>2523</v>
      </c>
    </row>
    <row r="17" spans="1:5" ht="15" customHeight="1" x14ac:dyDescent="0.25">
      <c r="A17" t="s">
        <v>131</v>
      </c>
      <c r="B17" t="s">
        <v>1205</v>
      </c>
      <c r="C17">
        <v>1994</v>
      </c>
      <c r="E17" s="1" t="s">
        <v>2519</v>
      </c>
    </row>
    <row r="18" spans="1:5" ht="15" customHeight="1" x14ac:dyDescent="0.25">
      <c r="A18" t="s">
        <v>131</v>
      </c>
      <c r="B18" t="s">
        <v>1242</v>
      </c>
      <c r="C18">
        <v>1994</v>
      </c>
      <c r="E18" s="11" t="s">
        <v>2524</v>
      </c>
    </row>
    <row r="19" spans="1:5" ht="15" customHeight="1" x14ac:dyDescent="0.25">
      <c r="A19" t="s">
        <v>131</v>
      </c>
      <c r="B19" t="s">
        <v>1415</v>
      </c>
      <c r="C19">
        <v>1994</v>
      </c>
      <c r="E19" s="1" t="s">
        <v>2519</v>
      </c>
    </row>
    <row r="20" spans="1:5" ht="15" customHeight="1" x14ac:dyDescent="0.25">
      <c r="A20" t="s">
        <v>131</v>
      </c>
      <c r="B20" t="s">
        <v>1677</v>
      </c>
      <c r="C20">
        <v>1994</v>
      </c>
      <c r="E20" s="11" t="s">
        <v>6428</v>
      </c>
    </row>
    <row r="21" spans="1:5" ht="15" customHeight="1" x14ac:dyDescent="0.25">
      <c r="A21" t="s">
        <v>131</v>
      </c>
      <c r="B21" t="s">
        <v>1800</v>
      </c>
      <c r="C21">
        <v>1994</v>
      </c>
      <c r="E21" s="1" t="s">
        <v>2525</v>
      </c>
    </row>
    <row r="22" spans="1:5" ht="15" customHeight="1" x14ac:dyDescent="0.25">
      <c r="A22" t="s">
        <v>131</v>
      </c>
      <c r="B22" t="s">
        <v>6554</v>
      </c>
      <c r="C22">
        <v>1994</v>
      </c>
      <c r="E22" s="11" t="s">
        <v>6556</v>
      </c>
    </row>
    <row r="23" spans="1:5" ht="15" customHeight="1" x14ac:dyDescent="0.25">
      <c r="A23" t="s">
        <v>131</v>
      </c>
      <c r="B23" t="s">
        <v>1994</v>
      </c>
      <c r="C23">
        <v>1994</v>
      </c>
      <c r="E23" s="1" t="s">
        <v>2526</v>
      </c>
    </row>
    <row r="24" spans="1:5" ht="15" customHeight="1" x14ac:dyDescent="0.25">
      <c r="A24" t="s">
        <v>131</v>
      </c>
      <c r="B24" t="s">
        <v>2044</v>
      </c>
      <c r="C24">
        <v>1994</v>
      </c>
      <c r="E24" s="1" t="s">
        <v>2527</v>
      </c>
    </row>
    <row r="25" spans="1:5" ht="15" customHeight="1" x14ac:dyDescent="0.25">
      <c r="A25" t="s">
        <v>131</v>
      </c>
      <c r="B25" t="s">
        <v>2078</v>
      </c>
      <c r="C25">
        <v>1994</v>
      </c>
      <c r="E25" s="1" t="s">
        <v>2528</v>
      </c>
    </row>
    <row r="26" spans="1:5" ht="15" customHeight="1" x14ac:dyDescent="0.25">
      <c r="A26" t="s">
        <v>131</v>
      </c>
      <c r="B26" t="s">
        <v>2323</v>
      </c>
      <c r="C26">
        <v>1994</v>
      </c>
      <c r="E26" s="1"/>
    </row>
    <row r="27" spans="1:5" ht="15" customHeight="1" x14ac:dyDescent="0.25">
      <c r="A27" t="s">
        <v>135</v>
      </c>
      <c r="B27" t="s">
        <v>6447</v>
      </c>
      <c r="C27">
        <v>1990</v>
      </c>
      <c r="E27" s="11" t="s">
        <v>6451</v>
      </c>
    </row>
    <row r="28" spans="1:5" ht="15" customHeight="1" x14ac:dyDescent="0.25">
      <c r="A28" t="s">
        <v>135</v>
      </c>
      <c r="B28" t="s">
        <v>6533</v>
      </c>
      <c r="C28">
        <v>1990</v>
      </c>
      <c r="E28" s="11" t="s">
        <v>6537</v>
      </c>
    </row>
    <row r="29" spans="1:5" ht="15" customHeight="1" x14ac:dyDescent="0.25">
      <c r="A29" t="s">
        <v>135</v>
      </c>
      <c r="B29" t="s">
        <v>6430</v>
      </c>
      <c r="C29">
        <v>1990</v>
      </c>
      <c r="E29" s="11" t="s">
        <v>6432</v>
      </c>
    </row>
    <row r="30" spans="1:5" ht="15" customHeight="1" x14ac:dyDescent="0.25">
      <c r="A30" t="s">
        <v>135</v>
      </c>
      <c r="B30" t="s">
        <v>773</v>
      </c>
      <c r="C30">
        <v>1990</v>
      </c>
      <c r="E30" s="11" t="s">
        <v>6440</v>
      </c>
    </row>
    <row r="31" spans="1:5" ht="15" customHeight="1" x14ac:dyDescent="0.25">
      <c r="A31" t="s">
        <v>135</v>
      </c>
      <c r="B31" t="s">
        <v>809</v>
      </c>
      <c r="C31">
        <v>1990</v>
      </c>
      <c r="E31" s="1"/>
    </row>
    <row r="32" spans="1:5" ht="15" customHeight="1" x14ac:dyDescent="0.25">
      <c r="A32" t="s">
        <v>135</v>
      </c>
      <c r="B32" t="s">
        <v>1158</v>
      </c>
      <c r="C32">
        <v>1990</v>
      </c>
      <c r="E32" s="1" t="s">
        <v>2523</v>
      </c>
    </row>
    <row r="33" spans="1:5" ht="15" customHeight="1" x14ac:dyDescent="0.25">
      <c r="A33" t="s">
        <v>135</v>
      </c>
      <c r="B33" t="s">
        <v>1163</v>
      </c>
      <c r="C33">
        <v>1990</v>
      </c>
      <c r="E33" s="1" t="s">
        <v>2519</v>
      </c>
    </row>
    <row r="34" spans="1:5" ht="15" customHeight="1" x14ac:dyDescent="0.25">
      <c r="A34" t="s">
        <v>135</v>
      </c>
      <c r="B34" t="s">
        <v>1242</v>
      </c>
      <c r="C34">
        <v>1990</v>
      </c>
      <c r="E34" s="11" t="s">
        <v>2524</v>
      </c>
    </row>
    <row r="35" spans="1:5" ht="15" customHeight="1" x14ac:dyDescent="0.25">
      <c r="A35" t="s">
        <v>135</v>
      </c>
      <c r="B35" t="s">
        <v>1677</v>
      </c>
      <c r="C35">
        <v>1990</v>
      </c>
      <c r="E35" s="11" t="s">
        <v>6428</v>
      </c>
    </row>
    <row r="36" spans="1:5" ht="15" customHeight="1" x14ac:dyDescent="0.25">
      <c r="A36" t="s">
        <v>135</v>
      </c>
      <c r="B36" t="s">
        <v>1935</v>
      </c>
      <c r="C36">
        <v>1990</v>
      </c>
      <c r="E36" s="1" t="s">
        <v>2529</v>
      </c>
    </row>
    <row r="37" spans="1:5" ht="15" customHeight="1" x14ac:dyDescent="0.25">
      <c r="A37" t="s">
        <v>135</v>
      </c>
      <c r="B37" t="s">
        <v>2215</v>
      </c>
      <c r="C37">
        <v>1990</v>
      </c>
      <c r="E37" s="1" t="s">
        <v>2530</v>
      </c>
    </row>
    <row r="38" spans="1:5" ht="15" customHeight="1" x14ac:dyDescent="0.25">
      <c r="A38" t="s">
        <v>135</v>
      </c>
      <c r="B38" t="s">
        <v>2487</v>
      </c>
      <c r="C38">
        <v>1990</v>
      </c>
      <c r="E38" s="1" t="s">
        <v>2531</v>
      </c>
    </row>
    <row r="39" spans="1:5" ht="15" customHeight="1" x14ac:dyDescent="0.25">
      <c r="A39" t="s">
        <v>135</v>
      </c>
      <c r="B39" t="s">
        <v>2502</v>
      </c>
      <c r="C39">
        <v>1990</v>
      </c>
      <c r="E39" s="1" t="s">
        <v>2532</v>
      </c>
    </row>
    <row r="40" spans="1:5" ht="15" customHeight="1" x14ac:dyDescent="0.25">
      <c r="A40" t="s">
        <v>135</v>
      </c>
      <c r="B40" t="s">
        <v>2509</v>
      </c>
      <c r="C40">
        <v>1990</v>
      </c>
      <c r="E40" s="1" t="s">
        <v>2519</v>
      </c>
    </row>
    <row r="41" spans="1:5" ht="15" customHeight="1" x14ac:dyDescent="0.25">
      <c r="A41" t="s">
        <v>138</v>
      </c>
      <c r="B41" t="s">
        <v>143</v>
      </c>
      <c r="C41">
        <v>2022</v>
      </c>
      <c r="D41" t="s">
        <v>70</v>
      </c>
      <c r="E41" s="1"/>
    </row>
    <row r="42" spans="1:5" ht="15" customHeight="1" x14ac:dyDescent="0.25">
      <c r="A42" t="s">
        <v>190</v>
      </c>
      <c r="B42" t="s">
        <v>2224</v>
      </c>
      <c r="C42">
        <v>2020</v>
      </c>
      <c r="E42" s="1" t="s">
        <v>2533</v>
      </c>
    </row>
    <row r="43" spans="1:5" ht="15" customHeight="1" x14ac:dyDescent="0.25">
      <c r="A43" t="s">
        <v>194</v>
      </c>
      <c r="B43" t="s">
        <v>1616</v>
      </c>
      <c r="C43">
        <v>2020</v>
      </c>
      <c r="E43" s="1" t="s">
        <v>1619</v>
      </c>
    </row>
    <row r="44" spans="1:5" ht="15" customHeight="1" x14ac:dyDescent="0.25">
      <c r="A44" t="s">
        <v>198</v>
      </c>
      <c r="B44" t="s">
        <v>1702</v>
      </c>
      <c r="C44">
        <v>2014</v>
      </c>
      <c r="E44" s="1" t="s">
        <v>2534</v>
      </c>
    </row>
    <row r="45" spans="1:5" ht="15" customHeight="1" x14ac:dyDescent="0.25">
      <c r="A45" t="s">
        <v>202</v>
      </c>
      <c r="B45" t="s">
        <v>1067</v>
      </c>
      <c r="C45">
        <v>1997</v>
      </c>
      <c r="E45" s="1" t="s">
        <v>2535</v>
      </c>
    </row>
    <row r="46" spans="1:5" ht="15" customHeight="1" x14ac:dyDescent="0.25">
      <c r="A46" t="s">
        <v>202</v>
      </c>
      <c r="B46" t="s">
        <v>2171</v>
      </c>
      <c r="C46">
        <v>1997</v>
      </c>
      <c r="D46" t="s">
        <v>70</v>
      </c>
      <c r="E46" s="1"/>
    </row>
    <row r="47" spans="1:5" ht="15" customHeight="1" x14ac:dyDescent="0.25">
      <c r="A47" t="s">
        <v>204</v>
      </c>
      <c r="B47" t="s">
        <v>1080</v>
      </c>
      <c r="C47">
        <v>2023</v>
      </c>
      <c r="E47" s="1" t="s">
        <v>2519</v>
      </c>
    </row>
    <row r="48" spans="1:5" ht="15" customHeight="1" x14ac:dyDescent="0.25">
      <c r="A48" t="s">
        <v>204</v>
      </c>
      <c r="B48" t="s">
        <v>1226</v>
      </c>
      <c r="C48">
        <v>2023</v>
      </c>
      <c r="E48" s="1" t="s">
        <v>2536</v>
      </c>
    </row>
    <row r="49" spans="1:5" ht="15" customHeight="1" x14ac:dyDescent="0.25">
      <c r="A49" t="s">
        <v>204</v>
      </c>
      <c r="B49" t="s">
        <v>1281</v>
      </c>
      <c r="C49">
        <v>2023</v>
      </c>
      <c r="E49" s="1" t="s">
        <v>2537</v>
      </c>
    </row>
    <row r="50" spans="1:5" ht="15" customHeight="1" x14ac:dyDescent="0.25">
      <c r="A50" t="s">
        <v>204</v>
      </c>
      <c r="B50" t="s">
        <v>1542</v>
      </c>
      <c r="C50">
        <v>2023</v>
      </c>
      <c r="E50" s="1" t="s">
        <v>2519</v>
      </c>
    </row>
    <row r="51" spans="1:5" ht="15" customHeight="1" x14ac:dyDescent="0.25">
      <c r="A51" t="s">
        <v>204</v>
      </c>
      <c r="B51" t="s">
        <v>2310</v>
      </c>
      <c r="C51">
        <v>2023</v>
      </c>
      <c r="E51" s="1" t="s">
        <v>2538</v>
      </c>
    </row>
    <row r="52" spans="1:5" ht="15" customHeight="1" x14ac:dyDescent="0.25">
      <c r="A52" t="s">
        <v>204</v>
      </c>
      <c r="B52" t="s">
        <v>2315</v>
      </c>
      <c r="C52">
        <v>2023</v>
      </c>
      <c r="E52" s="1" t="s">
        <v>2539</v>
      </c>
    </row>
    <row r="53" spans="1:5" ht="15" customHeight="1" x14ac:dyDescent="0.25">
      <c r="A53" t="s">
        <v>206</v>
      </c>
      <c r="B53" t="s">
        <v>204</v>
      </c>
      <c r="C53">
        <v>2022</v>
      </c>
      <c r="E53" s="1" t="s">
        <v>2540</v>
      </c>
    </row>
    <row r="54" spans="1:5" ht="15" customHeight="1" x14ac:dyDescent="0.25">
      <c r="A54" t="s">
        <v>206</v>
      </c>
      <c r="B54" t="s">
        <v>1407</v>
      </c>
      <c r="C54">
        <v>2022</v>
      </c>
      <c r="D54" t="s">
        <v>70</v>
      </c>
      <c r="E54" s="1"/>
    </row>
    <row r="55" spans="1:5" ht="15" customHeight="1" x14ac:dyDescent="0.25">
      <c r="A55" t="s">
        <v>206</v>
      </c>
      <c r="B55" t="s">
        <v>1824</v>
      </c>
      <c r="C55">
        <v>2022</v>
      </c>
      <c r="E55" s="11" t="s">
        <v>2541</v>
      </c>
    </row>
    <row r="56" spans="1:5" ht="15" customHeight="1" x14ac:dyDescent="0.25">
      <c r="A56" t="s">
        <v>206</v>
      </c>
      <c r="B56" t="s">
        <v>2028</v>
      </c>
      <c r="C56">
        <v>2022</v>
      </c>
      <c r="E56" s="1" t="s">
        <v>2519</v>
      </c>
    </row>
    <row r="57" spans="1:5" ht="15" customHeight="1" x14ac:dyDescent="0.25">
      <c r="A57" t="s">
        <v>210</v>
      </c>
      <c r="B57" t="s">
        <v>2147</v>
      </c>
      <c r="C57">
        <v>2018</v>
      </c>
      <c r="E57" s="1" t="s">
        <v>2519</v>
      </c>
    </row>
    <row r="58" spans="1:5" ht="15" customHeight="1" x14ac:dyDescent="0.25">
      <c r="A58" t="s">
        <v>213</v>
      </c>
      <c r="B58" t="s">
        <v>145</v>
      </c>
      <c r="C58">
        <v>2023</v>
      </c>
      <c r="E58" s="1" t="s">
        <v>2542</v>
      </c>
    </row>
    <row r="59" spans="1:5" ht="15" customHeight="1" x14ac:dyDescent="0.25">
      <c r="A59" t="s">
        <v>213</v>
      </c>
      <c r="B59" t="s">
        <v>248</v>
      </c>
      <c r="C59">
        <v>2023</v>
      </c>
      <c r="E59" s="1" t="s">
        <v>2543</v>
      </c>
    </row>
    <row r="60" spans="1:5" ht="15" customHeight="1" x14ac:dyDescent="0.25">
      <c r="A60" t="s">
        <v>213</v>
      </c>
      <c r="B60" t="s">
        <v>275</v>
      </c>
      <c r="C60">
        <v>2023</v>
      </c>
      <c r="E60" s="1" t="s">
        <v>2544</v>
      </c>
    </row>
    <row r="61" spans="1:5" ht="15" customHeight="1" x14ac:dyDescent="0.25">
      <c r="A61" t="s">
        <v>213</v>
      </c>
      <c r="B61" t="s">
        <v>277</v>
      </c>
      <c r="C61">
        <v>2023</v>
      </c>
      <c r="E61" s="1" t="s">
        <v>2519</v>
      </c>
    </row>
    <row r="62" spans="1:5" ht="15" customHeight="1" x14ac:dyDescent="0.25">
      <c r="A62" t="s">
        <v>213</v>
      </c>
      <c r="B62" t="s">
        <v>6352</v>
      </c>
      <c r="C62">
        <v>2023</v>
      </c>
      <c r="E62" s="11" t="s">
        <v>6351</v>
      </c>
    </row>
    <row r="63" spans="1:5" ht="15" customHeight="1" x14ac:dyDescent="0.25">
      <c r="A63" t="s">
        <v>213</v>
      </c>
      <c r="B63" t="s">
        <v>388</v>
      </c>
      <c r="C63">
        <v>2023</v>
      </c>
      <c r="E63" s="1" t="s">
        <v>2545</v>
      </c>
    </row>
    <row r="64" spans="1:5" ht="15" customHeight="1" x14ac:dyDescent="0.25">
      <c r="A64" t="s">
        <v>213</v>
      </c>
      <c r="B64" t="s">
        <v>442</v>
      </c>
      <c r="C64">
        <v>2023</v>
      </c>
      <c r="E64" s="1" t="s">
        <v>445</v>
      </c>
    </row>
    <row r="65" spans="1:5" ht="15" customHeight="1" x14ac:dyDescent="0.25">
      <c r="A65" t="s">
        <v>213</v>
      </c>
      <c r="B65" t="s">
        <v>446</v>
      </c>
      <c r="C65">
        <v>2023</v>
      </c>
      <c r="E65" s="1" t="s">
        <v>2546</v>
      </c>
    </row>
    <row r="66" spans="1:5" ht="15" customHeight="1" x14ac:dyDescent="0.25">
      <c r="A66" t="s">
        <v>213</v>
      </c>
      <c r="B66" t="s">
        <v>501</v>
      </c>
      <c r="C66">
        <v>2023</v>
      </c>
      <c r="E66" s="1" t="s">
        <v>2519</v>
      </c>
    </row>
    <row r="67" spans="1:5" ht="15" customHeight="1" x14ac:dyDescent="0.25">
      <c r="A67" t="s">
        <v>213</v>
      </c>
      <c r="B67" t="s">
        <v>551</v>
      </c>
      <c r="C67">
        <v>2023</v>
      </c>
      <c r="E67" s="1" t="s">
        <v>2547</v>
      </c>
    </row>
    <row r="68" spans="1:5" ht="15" customHeight="1" x14ac:dyDescent="0.25">
      <c r="A68" t="s">
        <v>213</v>
      </c>
      <c r="B68" t="s">
        <v>585</v>
      </c>
      <c r="C68">
        <v>2023</v>
      </c>
      <c r="E68" s="1" t="s">
        <v>2548</v>
      </c>
    </row>
    <row r="69" spans="1:5" ht="15" customHeight="1" x14ac:dyDescent="0.25">
      <c r="A69" t="s">
        <v>213</v>
      </c>
      <c r="B69" t="s">
        <v>667</v>
      </c>
      <c r="C69">
        <v>2023</v>
      </c>
      <c r="E69" s="1" t="s">
        <v>2538</v>
      </c>
    </row>
    <row r="70" spans="1:5" ht="15" customHeight="1" x14ac:dyDescent="0.25">
      <c r="A70" t="s">
        <v>213</v>
      </c>
      <c r="B70" t="s">
        <v>671</v>
      </c>
      <c r="C70">
        <v>2023</v>
      </c>
      <c r="E70" s="1" t="s">
        <v>2549</v>
      </c>
    </row>
    <row r="71" spans="1:5" ht="15" customHeight="1" x14ac:dyDescent="0.25">
      <c r="A71" t="s">
        <v>213</v>
      </c>
      <c r="B71" t="s">
        <v>705</v>
      </c>
      <c r="C71">
        <v>2023</v>
      </c>
      <c r="E71" s="1" t="s">
        <v>2550</v>
      </c>
    </row>
    <row r="72" spans="1:5" ht="15" customHeight="1" x14ac:dyDescent="0.25">
      <c r="A72" t="s">
        <v>213</v>
      </c>
      <c r="B72" t="s">
        <v>752</v>
      </c>
      <c r="C72">
        <v>2023</v>
      </c>
      <c r="E72" s="1" t="s">
        <v>2519</v>
      </c>
    </row>
    <row r="73" spans="1:5" ht="15" customHeight="1" x14ac:dyDescent="0.25">
      <c r="A73" t="s">
        <v>213</v>
      </c>
      <c r="B73" t="s">
        <v>756</v>
      </c>
      <c r="C73">
        <v>2023</v>
      </c>
      <c r="E73" s="1" t="s">
        <v>2551</v>
      </c>
    </row>
    <row r="74" spans="1:5" ht="15" customHeight="1" x14ac:dyDescent="0.25">
      <c r="A74" t="s">
        <v>213</v>
      </c>
      <c r="B74" t="s">
        <v>926</v>
      </c>
      <c r="C74">
        <v>2023</v>
      </c>
      <c r="E74" s="1" t="s">
        <v>2552</v>
      </c>
    </row>
    <row r="75" spans="1:5" ht="15" customHeight="1" x14ac:dyDescent="0.25">
      <c r="A75" t="s">
        <v>213</v>
      </c>
      <c r="B75" t="s">
        <v>1132</v>
      </c>
      <c r="C75">
        <v>2023</v>
      </c>
      <c r="E75" s="11" t="s">
        <v>2888</v>
      </c>
    </row>
    <row r="76" spans="1:5" ht="15" customHeight="1" x14ac:dyDescent="0.25">
      <c r="A76" t="s">
        <v>213</v>
      </c>
      <c r="B76" t="s">
        <v>1135</v>
      </c>
      <c r="C76">
        <v>2023</v>
      </c>
      <c r="E76" s="1" t="s">
        <v>2553</v>
      </c>
    </row>
    <row r="77" spans="1:5" ht="15" customHeight="1" x14ac:dyDescent="0.25">
      <c r="A77" t="s">
        <v>213</v>
      </c>
      <c r="B77" t="s">
        <v>1281</v>
      </c>
      <c r="C77">
        <v>2023</v>
      </c>
      <c r="E77" s="1" t="s">
        <v>2537</v>
      </c>
    </row>
    <row r="78" spans="1:5" ht="15" customHeight="1" x14ac:dyDescent="0.25">
      <c r="A78" t="s">
        <v>213</v>
      </c>
      <c r="B78" t="s">
        <v>1340</v>
      </c>
      <c r="C78">
        <v>2023</v>
      </c>
      <c r="E78" s="1" t="s">
        <v>2554</v>
      </c>
    </row>
    <row r="79" spans="1:5" ht="15" customHeight="1" x14ac:dyDescent="0.25">
      <c r="A79" t="s">
        <v>213</v>
      </c>
      <c r="B79" t="s">
        <v>1561</v>
      </c>
      <c r="C79">
        <v>2023</v>
      </c>
      <c r="E79" s="1" t="s">
        <v>2555</v>
      </c>
    </row>
    <row r="80" spans="1:5" ht="15" customHeight="1" x14ac:dyDescent="0.25">
      <c r="A80" t="s">
        <v>213</v>
      </c>
      <c r="B80" t="s">
        <v>1592</v>
      </c>
      <c r="C80">
        <v>2023</v>
      </c>
      <c r="E80" s="1" t="s">
        <v>2556</v>
      </c>
    </row>
    <row r="81" spans="1:5" ht="15" customHeight="1" x14ac:dyDescent="0.25">
      <c r="A81" t="s">
        <v>213</v>
      </c>
      <c r="B81" t="s">
        <v>1624</v>
      </c>
      <c r="C81">
        <v>2023</v>
      </c>
      <c r="E81" s="1" t="s">
        <v>1627</v>
      </c>
    </row>
    <row r="82" spans="1:5" ht="15" customHeight="1" x14ac:dyDescent="0.25">
      <c r="A82" t="s">
        <v>213</v>
      </c>
      <c r="B82" t="s">
        <v>1634</v>
      </c>
      <c r="C82">
        <v>2023</v>
      </c>
      <c r="E82" s="1" t="s">
        <v>2538</v>
      </c>
    </row>
    <row r="83" spans="1:5" ht="15" customHeight="1" x14ac:dyDescent="0.25">
      <c r="A83" t="s">
        <v>213</v>
      </c>
      <c r="B83" t="s">
        <v>1698</v>
      </c>
      <c r="C83">
        <v>2023</v>
      </c>
      <c r="E83" s="1" t="s">
        <v>2557</v>
      </c>
    </row>
    <row r="84" spans="1:5" ht="15" customHeight="1" x14ac:dyDescent="0.25">
      <c r="A84" t="s">
        <v>213</v>
      </c>
      <c r="B84" t="s">
        <v>1802</v>
      </c>
      <c r="C84">
        <v>2023</v>
      </c>
      <c r="E84" s="1" t="s">
        <v>2519</v>
      </c>
    </row>
    <row r="85" spans="1:5" ht="15" customHeight="1" x14ac:dyDescent="0.25">
      <c r="A85" t="s">
        <v>213</v>
      </c>
      <c r="B85" t="s">
        <v>1839</v>
      </c>
      <c r="C85">
        <v>2023</v>
      </c>
      <c r="E85" s="1" t="s">
        <v>2558</v>
      </c>
    </row>
    <row r="86" spans="1:5" ht="15" customHeight="1" x14ac:dyDescent="0.25">
      <c r="A86" t="s">
        <v>213</v>
      </c>
      <c r="B86" t="s">
        <v>1852</v>
      </c>
      <c r="C86">
        <v>2023</v>
      </c>
      <c r="E86" s="1" t="s">
        <v>2559</v>
      </c>
    </row>
    <row r="87" spans="1:5" ht="15" customHeight="1" x14ac:dyDescent="0.25">
      <c r="A87" t="s">
        <v>213</v>
      </c>
      <c r="B87" t="s">
        <v>1863</v>
      </c>
      <c r="C87">
        <v>2023</v>
      </c>
      <c r="E87" s="1" t="s">
        <v>2560</v>
      </c>
    </row>
    <row r="88" spans="1:5" ht="15" customHeight="1" x14ac:dyDescent="0.25">
      <c r="A88" t="s">
        <v>213</v>
      </c>
      <c r="B88" t="s">
        <v>6323</v>
      </c>
      <c r="C88">
        <v>2023</v>
      </c>
      <c r="E88" s="11" t="s">
        <v>6326</v>
      </c>
    </row>
    <row r="89" spans="1:5" ht="15" customHeight="1" x14ac:dyDescent="0.25">
      <c r="A89" t="s">
        <v>213</v>
      </c>
      <c r="B89" t="s">
        <v>1871</v>
      </c>
      <c r="C89">
        <v>2023</v>
      </c>
      <c r="E89" t="s">
        <v>2519</v>
      </c>
    </row>
    <row r="90" spans="1:5" ht="15" customHeight="1" x14ac:dyDescent="0.25">
      <c r="A90" t="s">
        <v>213</v>
      </c>
      <c r="B90" t="s">
        <v>1943</v>
      </c>
      <c r="C90">
        <v>2023</v>
      </c>
      <c r="E90" s="1" t="s">
        <v>2561</v>
      </c>
    </row>
    <row r="91" spans="1:5" ht="15" customHeight="1" x14ac:dyDescent="0.25">
      <c r="A91" t="s">
        <v>213</v>
      </c>
      <c r="B91" t="s">
        <v>1972</v>
      </c>
      <c r="C91">
        <v>2023</v>
      </c>
      <c r="E91" s="1" t="s">
        <v>2562</v>
      </c>
    </row>
    <row r="92" spans="1:5" ht="15" customHeight="1" x14ac:dyDescent="0.25">
      <c r="A92" t="s">
        <v>213</v>
      </c>
      <c r="B92" t="s">
        <v>1982</v>
      </c>
      <c r="C92">
        <v>2023</v>
      </c>
      <c r="E92" s="1" t="s">
        <v>2563</v>
      </c>
    </row>
    <row r="93" spans="1:5" ht="15" customHeight="1" x14ac:dyDescent="0.25">
      <c r="A93" t="s">
        <v>213</v>
      </c>
      <c r="B93" t="s">
        <v>1986</v>
      </c>
      <c r="C93">
        <v>2023</v>
      </c>
      <c r="E93" s="11" t="s">
        <v>6466</v>
      </c>
    </row>
    <row r="94" spans="1:5" ht="15" customHeight="1" x14ac:dyDescent="0.25">
      <c r="A94" t="s">
        <v>213</v>
      </c>
      <c r="B94" t="s">
        <v>2052</v>
      </c>
      <c r="C94">
        <v>2023</v>
      </c>
      <c r="E94" s="1" t="s">
        <v>2538</v>
      </c>
    </row>
    <row r="95" spans="1:5" ht="15" customHeight="1" x14ac:dyDescent="0.25">
      <c r="A95" t="s">
        <v>213</v>
      </c>
      <c r="B95" t="s">
        <v>2072</v>
      </c>
      <c r="C95">
        <v>2023</v>
      </c>
      <c r="E95" s="1" t="s">
        <v>2564</v>
      </c>
    </row>
    <row r="96" spans="1:5" ht="15" customHeight="1" x14ac:dyDescent="0.25">
      <c r="A96" t="s">
        <v>213</v>
      </c>
      <c r="B96" t="s">
        <v>2244</v>
      </c>
      <c r="C96">
        <v>2023</v>
      </c>
      <c r="E96" s="1" t="s">
        <v>2521</v>
      </c>
    </row>
    <row r="97" spans="1:5" ht="15" customHeight="1" x14ac:dyDescent="0.25">
      <c r="A97" t="s">
        <v>213</v>
      </c>
      <c r="B97" t="s">
        <v>2260</v>
      </c>
      <c r="C97">
        <v>2023</v>
      </c>
      <c r="E97" s="1" t="s">
        <v>2565</v>
      </c>
    </row>
    <row r="98" spans="1:5" ht="15" customHeight="1" x14ac:dyDescent="0.25">
      <c r="A98" t="s">
        <v>213</v>
      </c>
      <c r="B98" t="s">
        <v>2463</v>
      </c>
      <c r="C98">
        <v>2023</v>
      </c>
      <c r="E98" s="1" t="s">
        <v>2566</v>
      </c>
    </row>
    <row r="99" spans="1:5" ht="15" customHeight="1" x14ac:dyDescent="0.25">
      <c r="A99" t="s">
        <v>213</v>
      </c>
      <c r="B99" t="s">
        <v>2465</v>
      </c>
      <c r="C99">
        <v>2023</v>
      </c>
      <c r="E99" s="1" t="s">
        <v>2567</v>
      </c>
    </row>
    <row r="100" spans="1:5" ht="15" customHeight="1" x14ac:dyDescent="0.25">
      <c r="A100" t="s">
        <v>213</v>
      </c>
      <c r="B100" t="s">
        <v>6319</v>
      </c>
      <c r="C100">
        <v>2023</v>
      </c>
      <c r="E100" s="11" t="s">
        <v>6322</v>
      </c>
    </row>
    <row r="101" spans="1:5" ht="15" customHeight="1" x14ac:dyDescent="0.25">
      <c r="A101" t="s">
        <v>224</v>
      </c>
      <c r="B101" t="s">
        <v>1340</v>
      </c>
      <c r="C101">
        <v>2024</v>
      </c>
      <c r="E101" s="1" t="s">
        <v>2554</v>
      </c>
    </row>
    <row r="102" spans="1:5" ht="15" customHeight="1" x14ac:dyDescent="0.25">
      <c r="A102" t="s">
        <v>224</v>
      </c>
      <c r="B102" t="s">
        <v>1561</v>
      </c>
      <c r="C102">
        <v>2024</v>
      </c>
      <c r="E102" s="1" t="s">
        <v>2555</v>
      </c>
    </row>
    <row r="103" spans="1:5" ht="15" customHeight="1" x14ac:dyDescent="0.25">
      <c r="A103" t="s">
        <v>236</v>
      </c>
      <c r="B103" t="s">
        <v>238</v>
      </c>
      <c r="C103">
        <v>1998</v>
      </c>
      <c r="D103" t="s">
        <v>70</v>
      </c>
    </row>
    <row r="104" spans="1:5" ht="15" customHeight="1" x14ac:dyDescent="0.25">
      <c r="A104" t="s">
        <v>240</v>
      </c>
      <c r="B104" t="s">
        <v>1248</v>
      </c>
      <c r="C104">
        <v>2017</v>
      </c>
      <c r="E104" s="1" t="s">
        <v>2568</v>
      </c>
    </row>
    <row r="105" spans="1:5" ht="15" customHeight="1" x14ac:dyDescent="0.25">
      <c r="A105" t="s">
        <v>240</v>
      </c>
      <c r="B105" t="s">
        <v>2226</v>
      </c>
      <c r="C105">
        <v>2017</v>
      </c>
      <c r="E105" s="11" t="s">
        <v>2569</v>
      </c>
    </row>
    <row r="106" spans="1:5" ht="15" customHeight="1" x14ac:dyDescent="0.25">
      <c r="A106" t="s">
        <v>285</v>
      </c>
      <c r="B106" t="s">
        <v>1874</v>
      </c>
      <c r="C106">
        <v>2019</v>
      </c>
      <c r="E106" s="1" t="s">
        <v>2519</v>
      </c>
    </row>
    <row r="107" spans="1:5" ht="15" customHeight="1" x14ac:dyDescent="0.25">
      <c r="A107" t="s">
        <v>289</v>
      </c>
      <c r="B107" t="s">
        <v>293</v>
      </c>
      <c r="C107">
        <v>2023</v>
      </c>
      <c r="D107" t="s">
        <v>70</v>
      </c>
      <c r="E107" s="1"/>
    </row>
    <row r="108" spans="1:5" ht="15" customHeight="1" x14ac:dyDescent="0.25">
      <c r="A108" t="s">
        <v>307</v>
      </c>
      <c r="B108" t="s">
        <v>250</v>
      </c>
      <c r="C108">
        <v>2022</v>
      </c>
      <c r="E108" s="11" t="s">
        <v>2570</v>
      </c>
    </row>
    <row r="109" spans="1:5" ht="15" customHeight="1" x14ac:dyDescent="0.25">
      <c r="A109" t="s">
        <v>307</v>
      </c>
      <c r="B109" t="s">
        <v>2390</v>
      </c>
      <c r="C109">
        <v>2022</v>
      </c>
      <c r="D109" t="s">
        <v>70</v>
      </c>
    </row>
    <row r="110" spans="1:5" ht="15" customHeight="1" x14ac:dyDescent="0.25">
      <c r="A110" t="s">
        <v>312</v>
      </c>
      <c r="B110" t="s">
        <v>1100</v>
      </c>
      <c r="C110">
        <v>2018</v>
      </c>
      <c r="D110" t="s">
        <v>70</v>
      </c>
      <c r="E110" s="1" t="s">
        <v>2571</v>
      </c>
    </row>
    <row r="111" spans="1:5" ht="15" customHeight="1" x14ac:dyDescent="0.25">
      <c r="A111" t="s">
        <v>314</v>
      </c>
      <c r="B111" t="s">
        <v>1120</v>
      </c>
      <c r="C111">
        <v>2022</v>
      </c>
      <c r="D111" t="s">
        <v>70</v>
      </c>
      <c r="E111" s="1"/>
    </row>
    <row r="112" spans="1:5" ht="15" customHeight="1" x14ac:dyDescent="0.25">
      <c r="A112" t="s">
        <v>340</v>
      </c>
      <c r="B112" t="s">
        <v>832</v>
      </c>
      <c r="C112">
        <v>2009</v>
      </c>
      <c r="E112" s="11" t="s">
        <v>6439</v>
      </c>
    </row>
    <row r="113" spans="1:5" ht="15" customHeight="1" x14ac:dyDescent="0.25">
      <c r="A113" t="s">
        <v>340</v>
      </c>
      <c r="B113" t="s">
        <v>1236</v>
      </c>
      <c r="C113">
        <v>2009</v>
      </c>
      <c r="E113" s="1" t="s">
        <v>2572</v>
      </c>
    </row>
    <row r="114" spans="1:5" ht="15" customHeight="1" x14ac:dyDescent="0.25">
      <c r="A114" t="s">
        <v>340</v>
      </c>
      <c r="B114" t="s">
        <v>1415</v>
      </c>
      <c r="C114">
        <v>2009</v>
      </c>
      <c r="E114" s="1" t="s">
        <v>2519</v>
      </c>
    </row>
    <row r="115" spans="1:5" ht="15" customHeight="1" x14ac:dyDescent="0.25">
      <c r="A115" t="s">
        <v>340</v>
      </c>
      <c r="B115" t="s">
        <v>1628</v>
      </c>
      <c r="C115">
        <v>2009</v>
      </c>
      <c r="E115" s="1" t="s">
        <v>2573</v>
      </c>
    </row>
    <row r="116" spans="1:5" ht="15" customHeight="1" x14ac:dyDescent="0.25">
      <c r="A116" t="s">
        <v>340</v>
      </c>
      <c r="B116" t="s">
        <v>1837</v>
      </c>
      <c r="C116">
        <v>2009</v>
      </c>
      <c r="E116" s="1" t="s">
        <v>2574</v>
      </c>
    </row>
    <row r="117" spans="1:5" ht="15" customHeight="1" x14ac:dyDescent="0.25">
      <c r="A117" t="s">
        <v>340</v>
      </c>
      <c r="B117" t="s">
        <v>6454</v>
      </c>
      <c r="C117">
        <v>2009</v>
      </c>
      <c r="E117" s="11" t="s">
        <v>6457</v>
      </c>
    </row>
    <row r="118" spans="1:5" ht="15" customHeight="1" x14ac:dyDescent="0.25">
      <c r="A118" t="s">
        <v>340</v>
      </c>
      <c r="B118" t="s">
        <v>2340</v>
      </c>
      <c r="C118">
        <v>2009</v>
      </c>
      <c r="E118" s="1" t="s">
        <v>2575</v>
      </c>
    </row>
    <row r="119" spans="1:5" ht="15" customHeight="1" x14ac:dyDescent="0.25">
      <c r="A119" t="s">
        <v>340</v>
      </c>
      <c r="B119" t="s">
        <v>2403</v>
      </c>
      <c r="C119">
        <v>2009</v>
      </c>
      <c r="E119" s="1" t="s">
        <v>2576</v>
      </c>
    </row>
    <row r="120" spans="1:5" ht="15" customHeight="1" x14ac:dyDescent="0.25">
      <c r="A120" t="s">
        <v>347</v>
      </c>
      <c r="B120" t="s">
        <v>186</v>
      </c>
      <c r="C120">
        <v>2022</v>
      </c>
      <c r="E120" s="1" t="s">
        <v>2519</v>
      </c>
    </row>
    <row r="121" spans="1:5" ht="15" customHeight="1" x14ac:dyDescent="0.25">
      <c r="A121" t="s">
        <v>347</v>
      </c>
      <c r="B121" t="s">
        <v>6355</v>
      </c>
      <c r="C121">
        <v>2022</v>
      </c>
      <c r="E121" s="11" t="s">
        <v>6361</v>
      </c>
    </row>
    <row r="122" spans="1:5" ht="15" customHeight="1" x14ac:dyDescent="0.25">
      <c r="A122" t="s">
        <v>347</v>
      </c>
      <c r="B122" t="s">
        <v>1132</v>
      </c>
      <c r="C122">
        <v>2022</v>
      </c>
      <c r="E122" t="s">
        <v>2519</v>
      </c>
    </row>
    <row r="123" spans="1:5" ht="15" customHeight="1" x14ac:dyDescent="0.25">
      <c r="A123" t="s">
        <v>347</v>
      </c>
      <c r="B123" t="s">
        <v>1215</v>
      </c>
      <c r="C123">
        <v>2022</v>
      </c>
      <c r="E123" s="1" t="s">
        <v>2577</v>
      </c>
    </row>
    <row r="124" spans="1:5" ht="15" customHeight="1" x14ac:dyDescent="0.25">
      <c r="A124" t="s">
        <v>347</v>
      </c>
      <c r="B124" t="s">
        <v>1312</v>
      </c>
      <c r="C124">
        <v>2022</v>
      </c>
      <c r="E124" s="1" t="s">
        <v>2578</v>
      </c>
    </row>
    <row r="125" spans="1:5" ht="15" customHeight="1" x14ac:dyDescent="0.25">
      <c r="A125" t="s">
        <v>347</v>
      </c>
      <c r="B125" t="s">
        <v>1504</v>
      </c>
      <c r="C125">
        <v>2022</v>
      </c>
      <c r="E125" s="1" t="s">
        <v>1507</v>
      </c>
    </row>
    <row r="126" spans="1:5" ht="15" customHeight="1" x14ac:dyDescent="0.25">
      <c r="A126" t="s">
        <v>347</v>
      </c>
      <c r="B126" t="s">
        <v>1616</v>
      </c>
      <c r="C126">
        <v>2022</v>
      </c>
      <c r="E126" s="1" t="s">
        <v>1619</v>
      </c>
    </row>
    <row r="127" spans="1:5" ht="15" customHeight="1" x14ac:dyDescent="0.25">
      <c r="A127" t="s">
        <v>347</v>
      </c>
      <c r="B127" t="s">
        <v>1702</v>
      </c>
      <c r="C127">
        <v>2022</v>
      </c>
      <c r="E127" s="1" t="s">
        <v>2534</v>
      </c>
    </row>
    <row r="128" spans="1:5" ht="15" customHeight="1" x14ac:dyDescent="0.25">
      <c r="A128" t="s">
        <v>347</v>
      </c>
      <c r="B128" t="s">
        <v>6417</v>
      </c>
      <c r="C128">
        <v>2022</v>
      </c>
      <c r="E128" s="11" t="s">
        <v>6416</v>
      </c>
    </row>
    <row r="129" spans="1:5" ht="15" customHeight="1" x14ac:dyDescent="0.25">
      <c r="A129" t="s">
        <v>347</v>
      </c>
      <c r="B129" t="s">
        <v>2390</v>
      </c>
      <c r="C129">
        <v>2022</v>
      </c>
      <c r="E129" s="1" t="s">
        <v>2579</v>
      </c>
    </row>
    <row r="130" spans="1:5" ht="15" customHeight="1" x14ac:dyDescent="0.25">
      <c r="A130" t="s">
        <v>355</v>
      </c>
      <c r="B130" t="s">
        <v>442</v>
      </c>
      <c r="C130">
        <v>2024</v>
      </c>
      <c r="E130" s="1" t="s">
        <v>445</v>
      </c>
    </row>
    <row r="131" spans="1:5" ht="15" customHeight="1" x14ac:dyDescent="0.25">
      <c r="A131" t="s">
        <v>360</v>
      </c>
      <c r="B131" t="s">
        <v>503</v>
      </c>
      <c r="C131">
        <v>2018</v>
      </c>
      <c r="D131" t="s">
        <v>70</v>
      </c>
      <c r="E131" s="1"/>
    </row>
    <row r="132" spans="1:5" ht="15" customHeight="1" x14ac:dyDescent="0.25">
      <c r="A132" t="s">
        <v>6447</v>
      </c>
      <c r="B132" t="s">
        <v>6448</v>
      </c>
      <c r="C132">
        <v>2010</v>
      </c>
      <c r="D132" t="s">
        <v>70</v>
      </c>
    </row>
    <row r="133" spans="1:5" ht="15" customHeight="1" x14ac:dyDescent="0.25">
      <c r="A133" t="s">
        <v>367</v>
      </c>
      <c r="B133" t="s">
        <v>773</v>
      </c>
      <c r="C133">
        <v>1989</v>
      </c>
      <c r="E133" s="1" t="s">
        <v>2580</v>
      </c>
    </row>
    <row r="134" spans="1:5" ht="15" customHeight="1" x14ac:dyDescent="0.25">
      <c r="A134" t="s">
        <v>370</v>
      </c>
      <c r="B134" t="s">
        <v>2502</v>
      </c>
      <c r="C134">
        <v>2005</v>
      </c>
      <c r="E134" s="1" t="s">
        <v>2532</v>
      </c>
    </row>
    <row r="135" spans="1:5" ht="15" customHeight="1" x14ac:dyDescent="0.25">
      <c r="A135" t="s">
        <v>376</v>
      </c>
      <c r="B135" t="s">
        <v>379</v>
      </c>
      <c r="C135">
        <v>2010</v>
      </c>
      <c r="E135" s="1" t="s">
        <v>2581</v>
      </c>
    </row>
    <row r="136" spans="1:5" ht="15" customHeight="1" x14ac:dyDescent="0.25">
      <c r="A136" t="s">
        <v>376</v>
      </c>
      <c r="B136" t="s">
        <v>381</v>
      </c>
      <c r="C136">
        <v>2010</v>
      </c>
      <c r="E136" s="1" t="s">
        <v>2582</v>
      </c>
    </row>
    <row r="137" spans="1:5" ht="15" customHeight="1" x14ac:dyDescent="0.25">
      <c r="A137" t="s">
        <v>381</v>
      </c>
      <c r="B137" t="s">
        <v>383</v>
      </c>
      <c r="C137">
        <v>2013</v>
      </c>
      <c r="D137" t="s">
        <v>70</v>
      </c>
      <c r="E137" s="1"/>
    </row>
    <row r="138" spans="1:5" ht="15" customHeight="1" x14ac:dyDescent="0.25">
      <c r="A138" t="s">
        <v>385</v>
      </c>
      <c r="B138" t="s">
        <v>6459</v>
      </c>
      <c r="C138">
        <v>2015</v>
      </c>
      <c r="E138" s="11" t="s">
        <v>6461</v>
      </c>
    </row>
    <row r="139" spans="1:5" ht="15" customHeight="1" x14ac:dyDescent="0.25">
      <c r="A139" t="s">
        <v>393</v>
      </c>
      <c r="B139" t="s">
        <v>2435</v>
      </c>
      <c r="C139">
        <v>2017</v>
      </c>
      <c r="E139" s="1" t="s">
        <v>2583</v>
      </c>
    </row>
    <row r="140" spans="1:5" ht="15" customHeight="1" x14ac:dyDescent="0.25">
      <c r="A140" t="s">
        <v>397</v>
      </c>
      <c r="B140" t="s">
        <v>148</v>
      </c>
      <c r="C140">
        <v>2010</v>
      </c>
      <c r="E140" s="1" t="s">
        <v>2519</v>
      </c>
    </row>
    <row r="141" spans="1:5" ht="15" customHeight="1" x14ac:dyDescent="0.25">
      <c r="A141" t="s">
        <v>397</v>
      </c>
      <c r="B141" t="s">
        <v>2044</v>
      </c>
      <c r="C141">
        <v>2010</v>
      </c>
      <c r="D141" t="s">
        <v>70</v>
      </c>
      <c r="E141" s="1"/>
    </row>
    <row r="142" spans="1:5" ht="15" customHeight="1" x14ac:dyDescent="0.25">
      <c r="A142" t="s">
        <v>6402</v>
      </c>
      <c r="B142" t="s">
        <v>6404</v>
      </c>
      <c r="C142">
        <v>2022</v>
      </c>
      <c r="D142" t="s">
        <v>70</v>
      </c>
    </row>
    <row r="143" spans="1:5" ht="15" customHeight="1" x14ac:dyDescent="0.25">
      <c r="A143" t="s">
        <v>415</v>
      </c>
      <c r="B143" t="s">
        <v>177</v>
      </c>
      <c r="C143">
        <v>2019</v>
      </c>
      <c r="E143" s="1" t="s">
        <v>2584</v>
      </c>
    </row>
    <row r="144" spans="1:5" ht="15" customHeight="1" x14ac:dyDescent="0.25">
      <c r="A144" t="s">
        <v>419</v>
      </c>
      <c r="B144" t="s">
        <v>871</v>
      </c>
      <c r="C144">
        <v>1998</v>
      </c>
      <c r="D144" t="s">
        <v>70</v>
      </c>
      <c r="E144" s="1"/>
    </row>
    <row r="145" spans="1:5" ht="15" customHeight="1" x14ac:dyDescent="0.25">
      <c r="A145" t="s">
        <v>421</v>
      </c>
      <c r="B145" t="s">
        <v>419</v>
      </c>
      <c r="C145">
        <v>1997</v>
      </c>
      <c r="D145" t="s">
        <v>70</v>
      </c>
      <c r="E145" s="1"/>
    </row>
    <row r="146" spans="1:5" ht="15" customHeight="1" x14ac:dyDescent="0.25">
      <c r="A146" t="s">
        <v>425</v>
      </c>
      <c r="B146" t="s">
        <v>430</v>
      </c>
      <c r="C146">
        <v>2023</v>
      </c>
      <c r="D146" t="s">
        <v>70</v>
      </c>
      <c r="E146" s="1"/>
    </row>
    <row r="147" spans="1:5" ht="15" customHeight="1" x14ac:dyDescent="0.25">
      <c r="A147" t="s">
        <v>456</v>
      </c>
      <c r="B147" t="s">
        <v>1314</v>
      </c>
      <c r="C147">
        <v>2017</v>
      </c>
      <c r="E147" s="1" t="s">
        <v>2585</v>
      </c>
    </row>
    <row r="148" spans="1:5" ht="15" customHeight="1" x14ac:dyDescent="0.25">
      <c r="A148" t="s">
        <v>456</v>
      </c>
      <c r="B148" t="s">
        <v>2207</v>
      </c>
      <c r="C148">
        <v>2017</v>
      </c>
      <c r="E148" s="1" t="s">
        <v>2586</v>
      </c>
    </row>
    <row r="149" spans="1:5" ht="15" customHeight="1" x14ac:dyDescent="0.25">
      <c r="A149" t="s">
        <v>476</v>
      </c>
      <c r="B149" t="s">
        <v>259</v>
      </c>
      <c r="C149">
        <v>2020</v>
      </c>
      <c r="D149" t="s">
        <v>70</v>
      </c>
      <c r="E149" s="1"/>
    </row>
    <row r="150" spans="1:5" ht="15" customHeight="1" x14ac:dyDescent="0.25">
      <c r="A150" t="s">
        <v>484</v>
      </c>
      <c r="B150" t="s">
        <v>1554</v>
      </c>
      <c r="C150">
        <v>2023</v>
      </c>
      <c r="E150" s="1" t="s">
        <v>2587</v>
      </c>
    </row>
    <row r="151" spans="1:5" ht="15" customHeight="1" x14ac:dyDescent="0.25">
      <c r="A151" t="s">
        <v>484</v>
      </c>
      <c r="B151" t="s">
        <v>2364</v>
      </c>
      <c r="C151">
        <v>2023</v>
      </c>
      <c r="E151" s="1" t="s">
        <v>2588</v>
      </c>
    </row>
    <row r="152" spans="1:5" ht="15" customHeight="1" x14ac:dyDescent="0.25">
      <c r="A152" t="s">
        <v>519</v>
      </c>
      <c r="B152" t="s">
        <v>73</v>
      </c>
      <c r="C152">
        <v>2015</v>
      </c>
      <c r="E152" s="1" t="s">
        <v>2589</v>
      </c>
    </row>
    <row r="153" spans="1:5" ht="15" customHeight="1" x14ac:dyDescent="0.25">
      <c r="A153" t="s">
        <v>519</v>
      </c>
      <c r="B153" t="s">
        <v>323</v>
      </c>
      <c r="C153">
        <v>2015</v>
      </c>
      <c r="E153" s="1" t="s">
        <v>2590</v>
      </c>
    </row>
    <row r="154" spans="1:5" ht="15" customHeight="1" x14ac:dyDescent="0.25">
      <c r="A154" t="s">
        <v>519</v>
      </c>
      <c r="B154" t="s">
        <v>6402</v>
      </c>
      <c r="C154">
        <v>2015</v>
      </c>
      <c r="E154" s="11" t="s">
        <v>6401</v>
      </c>
    </row>
    <row r="155" spans="1:5" ht="15" customHeight="1" x14ac:dyDescent="0.25">
      <c r="A155" t="s">
        <v>519</v>
      </c>
      <c r="B155" t="s">
        <v>636</v>
      </c>
      <c r="C155">
        <v>2015</v>
      </c>
      <c r="E155" s="1" t="s">
        <v>2591</v>
      </c>
    </row>
    <row r="156" spans="1:5" ht="15" customHeight="1" x14ac:dyDescent="0.25">
      <c r="A156" t="s">
        <v>519</v>
      </c>
      <c r="B156" t="s">
        <v>6497</v>
      </c>
      <c r="C156">
        <v>2015</v>
      </c>
      <c r="E156" t="s">
        <v>2519</v>
      </c>
    </row>
    <row r="157" spans="1:5" ht="15" customHeight="1" x14ac:dyDescent="0.25">
      <c r="A157" t="s">
        <v>519</v>
      </c>
      <c r="B157" t="s">
        <v>6424</v>
      </c>
      <c r="C157">
        <v>2015</v>
      </c>
      <c r="E157" s="11" t="s">
        <v>6427</v>
      </c>
    </row>
    <row r="158" spans="1:5" ht="15" customHeight="1" x14ac:dyDescent="0.25">
      <c r="A158" t="s">
        <v>519</v>
      </c>
      <c r="B158" t="s">
        <v>1215</v>
      </c>
      <c r="C158">
        <v>2015</v>
      </c>
      <c r="E158" s="1" t="s">
        <v>2592</v>
      </c>
    </row>
    <row r="159" spans="1:5" ht="15" customHeight="1" x14ac:dyDescent="0.25">
      <c r="A159" t="s">
        <v>519</v>
      </c>
      <c r="B159" t="s">
        <v>1923</v>
      </c>
      <c r="C159">
        <v>2015</v>
      </c>
      <c r="E159" s="1" t="s">
        <v>2593</v>
      </c>
    </row>
    <row r="160" spans="1:5" ht="15" customHeight="1" x14ac:dyDescent="0.25">
      <c r="A160" t="s">
        <v>533</v>
      </c>
      <c r="B160" t="s">
        <v>438</v>
      </c>
      <c r="C160">
        <v>2022</v>
      </c>
      <c r="E160" s="1" t="s">
        <v>2519</v>
      </c>
    </row>
    <row r="161" spans="1:5" ht="15" customHeight="1" x14ac:dyDescent="0.25">
      <c r="A161" t="s">
        <v>533</v>
      </c>
      <c r="B161" t="s">
        <v>929</v>
      </c>
      <c r="C161">
        <v>2022</v>
      </c>
      <c r="E161" s="1" t="s">
        <v>2594</v>
      </c>
    </row>
    <row r="162" spans="1:5" ht="15" customHeight="1" x14ac:dyDescent="0.25">
      <c r="A162" t="s">
        <v>6356</v>
      </c>
      <c r="B162" t="s">
        <v>1698</v>
      </c>
      <c r="C162">
        <v>2024</v>
      </c>
      <c r="E162" s="11" t="s">
        <v>6361</v>
      </c>
    </row>
    <row r="163" spans="1:5" ht="15" customHeight="1" x14ac:dyDescent="0.25">
      <c r="A163" t="s">
        <v>541</v>
      </c>
      <c r="B163" t="s">
        <v>545</v>
      </c>
      <c r="C163">
        <v>2016</v>
      </c>
      <c r="D163" t="s">
        <v>70</v>
      </c>
      <c r="E163" s="1" t="s">
        <v>2583</v>
      </c>
    </row>
    <row r="164" spans="1:5" ht="15" customHeight="1" x14ac:dyDescent="0.25">
      <c r="A164" t="s">
        <v>541</v>
      </c>
      <c r="B164" t="s">
        <v>1170</v>
      </c>
      <c r="C164">
        <v>2016</v>
      </c>
      <c r="E164" s="1" t="s">
        <v>2595</v>
      </c>
    </row>
    <row r="165" spans="1:5" ht="15" customHeight="1" x14ac:dyDescent="0.25">
      <c r="A165" t="s">
        <v>547</v>
      </c>
      <c r="B165" t="s">
        <v>1715</v>
      </c>
      <c r="C165">
        <v>2020</v>
      </c>
      <c r="D165" t="s">
        <v>70</v>
      </c>
      <c r="E165" s="1"/>
    </row>
    <row r="166" spans="1:5" ht="15" customHeight="1" x14ac:dyDescent="0.25">
      <c r="A166" t="s">
        <v>558</v>
      </c>
      <c r="B166" t="s">
        <v>177</v>
      </c>
      <c r="C166">
        <v>2019</v>
      </c>
      <c r="D166" t="s">
        <v>70</v>
      </c>
      <c r="E166" s="1" t="s">
        <v>2584</v>
      </c>
    </row>
    <row r="167" spans="1:5" ht="15" customHeight="1" x14ac:dyDescent="0.25">
      <c r="A167" t="s">
        <v>564</v>
      </c>
      <c r="B167" t="s">
        <v>115</v>
      </c>
      <c r="C167">
        <v>2015</v>
      </c>
      <c r="E167" s="1" t="s">
        <v>2596</v>
      </c>
    </row>
    <row r="168" spans="1:5" ht="15" customHeight="1" x14ac:dyDescent="0.25">
      <c r="A168" t="s">
        <v>564</v>
      </c>
      <c r="B168" t="s">
        <v>168</v>
      </c>
      <c r="C168">
        <v>2015</v>
      </c>
      <c r="D168" t="s">
        <v>2597</v>
      </c>
      <c r="E168" s="1" t="s">
        <v>2598</v>
      </c>
    </row>
    <row r="169" spans="1:5" ht="15" customHeight="1" x14ac:dyDescent="0.25">
      <c r="A169" t="s">
        <v>564</v>
      </c>
      <c r="B169" t="s">
        <v>434</v>
      </c>
      <c r="C169">
        <v>2015</v>
      </c>
      <c r="E169" s="1" t="s">
        <v>2519</v>
      </c>
    </row>
    <row r="170" spans="1:5" ht="15" customHeight="1" x14ac:dyDescent="0.25">
      <c r="A170" t="s">
        <v>564</v>
      </c>
      <c r="B170" t="s">
        <v>480</v>
      </c>
      <c r="C170">
        <v>2015</v>
      </c>
      <c r="E170" s="1" t="s">
        <v>2599</v>
      </c>
    </row>
    <row r="171" spans="1:5" ht="15" customHeight="1" x14ac:dyDescent="0.25">
      <c r="A171" t="s">
        <v>564</v>
      </c>
      <c r="B171" t="s">
        <v>547</v>
      </c>
      <c r="C171">
        <v>2015</v>
      </c>
      <c r="E171" s="1" t="s">
        <v>2600</v>
      </c>
    </row>
    <row r="172" spans="1:5" ht="15" customHeight="1" x14ac:dyDescent="0.25">
      <c r="A172" t="s">
        <v>564</v>
      </c>
      <c r="B172" t="s">
        <v>558</v>
      </c>
      <c r="C172">
        <v>2015</v>
      </c>
      <c r="E172" s="1" t="s">
        <v>2601</v>
      </c>
    </row>
    <row r="173" spans="1:5" ht="15" customHeight="1" x14ac:dyDescent="0.25">
      <c r="A173" t="s">
        <v>564</v>
      </c>
      <c r="B173" t="s">
        <v>568</v>
      </c>
      <c r="C173">
        <v>2015</v>
      </c>
      <c r="E173" s="1"/>
    </row>
    <row r="174" spans="1:5" ht="15" customHeight="1" x14ac:dyDescent="0.25">
      <c r="A174" t="s">
        <v>564</v>
      </c>
      <c r="B174" t="s">
        <v>610</v>
      </c>
      <c r="C174">
        <v>2015</v>
      </c>
      <c r="E174" s="1" t="s">
        <v>2602</v>
      </c>
    </row>
    <row r="175" spans="1:5" ht="15" customHeight="1" x14ac:dyDescent="0.25">
      <c r="A175" t="s">
        <v>564</v>
      </c>
      <c r="B175" t="s">
        <v>628</v>
      </c>
      <c r="C175">
        <v>2015</v>
      </c>
      <c r="E175" s="1" t="s">
        <v>2603</v>
      </c>
    </row>
    <row r="176" spans="1:5" ht="15" customHeight="1" x14ac:dyDescent="0.25">
      <c r="A176" t="s">
        <v>564</v>
      </c>
      <c r="B176" t="s">
        <v>685</v>
      </c>
      <c r="C176">
        <v>2015</v>
      </c>
      <c r="E176" s="1" t="s">
        <v>2604</v>
      </c>
    </row>
    <row r="177" spans="1:5" ht="15" customHeight="1" x14ac:dyDescent="0.25">
      <c r="A177" t="s">
        <v>564</v>
      </c>
      <c r="B177" t="s">
        <v>6546</v>
      </c>
      <c r="C177">
        <v>2015</v>
      </c>
      <c r="E177" s="11" t="s">
        <v>6545</v>
      </c>
    </row>
    <row r="178" spans="1:5" ht="15" customHeight="1" x14ac:dyDescent="0.25">
      <c r="A178" t="s">
        <v>564</v>
      </c>
      <c r="B178" t="s">
        <v>832</v>
      </c>
      <c r="C178">
        <v>2015</v>
      </c>
      <c r="E178" s="1" t="s">
        <v>2605</v>
      </c>
    </row>
    <row r="179" spans="1:5" ht="15" customHeight="1" x14ac:dyDescent="0.25">
      <c r="A179" t="s">
        <v>564</v>
      </c>
      <c r="B179" t="s">
        <v>1094</v>
      </c>
      <c r="C179">
        <v>2015</v>
      </c>
      <c r="E179" s="1" t="s">
        <v>2606</v>
      </c>
    </row>
    <row r="180" spans="1:5" ht="15" customHeight="1" x14ac:dyDescent="0.25">
      <c r="A180" t="s">
        <v>564</v>
      </c>
      <c r="B180" t="s">
        <v>1178</v>
      </c>
      <c r="C180">
        <v>2015</v>
      </c>
      <c r="E180" s="1" t="s">
        <v>2607</v>
      </c>
    </row>
    <row r="181" spans="1:5" ht="15" customHeight="1" x14ac:dyDescent="0.25">
      <c r="A181" t="s">
        <v>564</v>
      </c>
      <c r="B181" t="s">
        <v>1248</v>
      </c>
      <c r="C181">
        <v>2015</v>
      </c>
      <c r="E181" s="1" t="s">
        <v>2568</v>
      </c>
    </row>
    <row r="182" spans="1:5" ht="15" customHeight="1" x14ac:dyDescent="0.25">
      <c r="A182" t="s">
        <v>564</v>
      </c>
      <c r="B182" t="s">
        <v>1293</v>
      </c>
      <c r="C182">
        <v>2015</v>
      </c>
      <c r="E182" s="1" t="s">
        <v>2519</v>
      </c>
    </row>
    <row r="183" spans="1:5" ht="15" customHeight="1" x14ac:dyDescent="0.25">
      <c r="A183" t="s">
        <v>564</v>
      </c>
      <c r="B183" t="s">
        <v>1893</v>
      </c>
      <c r="C183">
        <v>2015</v>
      </c>
      <c r="E183" s="1" t="s">
        <v>2608</v>
      </c>
    </row>
    <row r="184" spans="1:5" ht="15" customHeight="1" x14ac:dyDescent="0.25">
      <c r="A184" t="s">
        <v>564</v>
      </c>
      <c r="B184" t="s">
        <v>1923</v>
      </c>
      <c r="C184">
        <v>2015</v>
      </c>
      <c r="E184" s="1" t="s">
        <v>2593</v>
      </c>
    </row>
    <row r="185" spans="1:5" ht="15" customHeight="1" x14ac:dyDescent="0.25">
      <c r="A185" t="s">
        <v>564</v>
      </c>
      <c r="B185" t="s">
        <v>1954</v>
      </c>
      <c r="C185">
        <v>2015</v>
      </c>
      <c r="E185" s="1" t="s">
        <v>2609</v>
      </c>
    </row>
    <row r="186" spans="1:5" ht="15" customHeight="1" x14ac:dyDescent="0.25">
      <c r="A186" t="s">
        <v>564</v>
      </c>
      <c r="B186" t="s">
        <v>2078</v>
      </c>
      <c r="C186">
        <v>2015</v>
      </c>
      <c r="E186" s="1" t="s">
        <v>2528</v>
      </c>
    </row>
    <row r="187" spans="1:5" ht="15" customHeight="1" x14ac:dyDescent="0.25">
      <c r="A187" t="s">
        <v>564</v>
      </c>
      <c r="B187" t="s">
        <v>2270</v>
      </c>
      <c r="C187">
        <v>2015</v>
      </c>
      <c r="E187" s="1" t="s">
        <v>2519</v>
      </c>
    </row>
    <row r="188" spans="1:5" ht="15" customHeight="1" x14ac:dyDescent="0.25">
      <c r="A188" t="s">
        <v>564</v>
      </c>
      <c r="B188" t="s">
        <v>2374</v>
      </c>
      <c r="C188">
        <v>2015</v>
      </c>
      <c r="E188" s="1" t="s">
        <v>2610</v>
      </c>
    </row>
    <row r="189" spans="1:5" ht="15" customHeight="1" x14ac:dyDescent="0.25">
      <c r="A189" t="s">
        <v>572</v>
      </c>
      <c r="B189" t="s">
        <v>6367</v>
      </c>
      <c r="C189">
        <v>2022</v>
      </c>
      <c r="E189" s="11" t="s">
        <v>6368</v>
      </c>
    </row>
    <row r="190" spans="1:5" ht="15" customHeight="1" x14ac:dyDescent="0.25">
      <c r="A190" t="s">
        <v>577</v>
      </c>
      <c r="B190" t="s">
        <v>106</v>
      </c>
      <c r="C190">
        <v>2018</v>
      </c>
      <c r="E190" s="1" t="s">
        <v>2611</v>
      </c>
    </row>
    <row r="191" spans="1:5" ht="15" customHeight="1" x14ac:dyDescent="0.25">
      <c r="A191" t="s">
        <v>577</v>
      </c>
      <c r="B191" t="s">
        <v>119</v>
      </c>
      <c r="C191">
        <v>2018</v>
      </c>
      <c r="E191" s="1" t="s">
        <v>2519</v>
      </c>
    </row>
    <row r="192" spans="1:5" ht="15" customHeight="1" x14ac:dyDescent="0.25">
      <c r="A192" t="s">
        <v>577</v>
      </c>
      <c r="B192" t="s">
        <v>177</v>
      </c>
      <c r="C192">
        <v>2018</v>
      </c>
      <c r="E192" s="1" t="s">
        <v>2584</v>
      </c>
    </row>
    <row r="193" spans="1:5" ht="15" customHeight="1" x14ac:dyDescent="0.25">
      <c r="A193" t="s">
        <v>577</v>
      </c>
      <c r="B193" t="s">
        <v>244</v>
      </c>
      <c r="C193">
        <v>2018</v>
      </c>
      <c r="E193" s="1" t="s">
        <v>2612</v>
      </c>
    </row>
    <row r="194" spans="1:5" ht="15" customHeight="1" x14ac:dyDescent="0.25">
      <c r="A194" t="s">
        <v>577</v>
      </c>
      <c r="B194" t="s">
        <v>533</v>
      </c>
      <c r="C194">
        <v>2018</v>
      </c>
      <c r="E194" s="1" t="s">
        <v>2613</v>
      </c>
    </row>
    <row r="195" spans="1:5" ht="15" customHeight="1" x14ac:dyDescent="0.25">
      <c r="A195" t="s">
        <v>577</v>
      </c>
      <c r="B195" t="s">
        <v>661</v>
      </c>
      <c r="C195">
        <v>2018</v>
      </c>
      <c r="E195" s="1" t="s">
        <v>2614</v>
      </c>
    </row>
    <row r="196" spans="1:5" ht="15" customHeight="1" x14ac:dyDescent="0.25">
      <c r="A196" t="s">
        <v>577</v>
      </c>
      <c r="B196" t="s">
        <v>746</v>
      </c>
      <c r="C196">
        <v>2018</v>
      </c>
      <c r="E196" s="1" t="s">
        <v>2615</v>
      </c>
    </row>
    <row r="197" spans="1:5" ht="15" customHeight="1" x14ac:dyDescent="0.25">
      <c r="A197" t="s">
        <v>577</v>
      </c>
      <c r="B197" t="s">
        <v>791</v>
      </c>
      <c r="C197">
        <v>2018</v>
      </c>
      <c r="E197" s="1" t="s">
        <v>2616</v>
      </c>
    </row>
    <row r="198" spans="1:5" ht="15" customHeight="1" x14ac:dyDescent="0.25">
      <c r="A198" t="s">
        <v>577</v>
      </c>
      <c r="B198" t="s">
        <v>811</v>
      </c>
      <c r="C198">
        <v>2018</v>
      </c>
      <c r="E198" s="1" t="s">
        <v>2519</v>
      </c>
    </row>
    <row r="199" spans="1:5" ht="15" customHeight="1" x14ac:dyDescent="0.25">
      <c r="A199" t="s">
        <v>577</v>
      </c>
      <c r="B199" t="s">
        <v>918</v>
      </c>
      <c r="C199">
        <v>2018</v>
      </c>
      <c r="E199" s="1" t="s">
        <v>2617</v>
      </c>
    </row>
    <row r="200" spans="1:5" ht="15" customHeight="1" x14ac:dyDescent="0.25">
      <c r="A200" t="s">
        <v>577</v>
      </c>
      <c r="B200" t="s">
        <v>922</v>
      </c>
      <c r="C200">
        <v>2018</v>
      </c>
      <c r="E200" s="1" t="s">
        <v>2618</v>
      </c>
    </row>
    <row r="201" spans="1:5" ht="15" customHeight="1" x14ac:dyDescent="0.25">
      <c r="A201" t="s">
        <v>577</v>
      </c>
      <c r="B201" t="s">
        <v>1350</v>
      </c>
      <c r="C201">
        <v>2018</v>
      </c>
      <c r="E201" s="1" t="s">
        <v>2619</v>
      </c>
    </row>
    <row r="202" spans="1:5" ht="15" customHeight="1" x14ac:dyDescent="0.25">
      <c r="A202" t="s">
        <v>577</v>
      </c>
      <c r="B202" t="s">
        <v>1544</v>
      </c>
      <c r="C202">
        <v>2018</v>
      </c>
      <c r="E202" s="1" t="s">
        <v>2538</v>
      </c>
    </row>
    <row r="203" spans="1:5" ht="15" customHeight="1" x14ac:dyDescent="0.25">
      <c r="A203" t="s">
        <v>577</v>
      </c>
      <c r="B203" t="s">
        <v>1719</v>
      </c>
      <c r="C203">
        <v>2018</v>
      </c>
      <c r="E203" s="1" t="s">
        <v>2519</v>
      </c>
    </row>
    <row r="204" spans="1:5" ht="15" customHeight="1" x14ac:dyDescent="0.25">
      <c r="A204" t="s">
        <v>577</v>
      </c>
      <c r="B204" t="s">
        <v>1786</v>
      </c>
      <c r="C204">
        <v>2018</v>
      </c>
      <c r="E204" s="1" t="s">
        <v>2620</v>
      </c>
    </row>
    <row r="205" spans="1:5" ht="15" customHeight="1" x14ac:dyDescent="0.25">
      <c r="A205" t="s">
        <v>577</v>
      </c>
      <c r="B205" t="s">
        <v>1874</v>
      </c>
      <c r="C205">
        <v>2018</v>
      </c>
      <c r="E205" s="1" t="s">
        <v>2519</v>
      </c>
    </row>
    <row r="206" spans="1:5" ht="15" customHeight="1" x14ac:dyDescent="0.25">
      <c r="A206" t="s">
        <v>577</v>
      </c>
      <c r="B206" t="s">
        <v>2004</v>
      </c>
      <c r="C206">
        <v>2018</v>
      </c>
      <c r="E206" s="1" t="s">
        <v>2621</v>
      </c>
    </row>
    <row r="207" spans="1:5" ht="15" customHeight="1" x14ac:dyDescent="0.25">
      <c r="A207" t="s">
        <v>577</v>
      </c>
      <c r="B207" t="s">
        <v>2240</v>
      </c>
      <c r="C207">
        <v>2018</v>
      </c>
      <c r="D207" t="s">
        <v>70</v>
      </c>
      <c r="E207" s="1" t="s">
        <v>2622</v>
      </c>
    </row>
    <row r="208" spans="1:5" ht="15" customHeight="1" x14ac:dyDescent="0.25">
      <c r="A208" t="s">
        <v>577</v>
      </c>
      <c r="B208" t="s">
        <v>2318</v>
      </c>
      <c r="C208">
        <v>2018</v>
      </c>
      <c r="E208" s="1" t="s">
        <v>2519</v>
      </c>
    </row>
    <row r="209" spans="1:5" ht="15" customHeight="1" x14ac:dyDescent="0.25">
      <c r="A209" t="s">
        <v>577</v>
      </c>
      <c r="B209" t="s">
        <v>2334</v>
      </c>
      <c r="C209">
        <v>2018</v>
      </c>
      <c r="E209" s="1" t="s">
        <v>2623</v>
      </c>
    </row>
    <row r="210" spans="1:5" ht="15" customHeight="1" x14ac:dyDescent="0.25">
      <c r="A210" t="s">
        <v>577</v>
      </c>
      <c r="B210" t="s">
        <v>2439</v>
      </c>
      <c r="C210">
        <v>2018</v>
      </c>
      <c r="D210" t="s">
        <v>70</v>
      </c>
      <c r="E210" s="1" t="s">
        <v>2624</v>
      </c>
    </row>
    <row r="211" spans="1:5" ht="15" customHeight="1" x14ac:dyDescent="0.25">
      <c r="A211" t="s">
        <v>593</v>
      </c>
      <c r="B211" t="s">
        <v>250</v>
      </c>
      <c r="C211">
        <v>2023</v>
      </c>
      <c r="E211" s="11" t="s">
        <v>2570</v>
      </c>
    </row>
    <row r="212" spans="1:5" ht="15" customHeight="1" x14ac:dyDescent="0.25">
      <c r="A212" t="s">
        <v>593</v>
      </c>
      <c r="B212" t="s">
        <v>838</v>
      </c>
      <c r="C212">
        <v>2023</v>
      </c>
      <c r="E212" s="1" t="s">
        <v>2519</v>
      </c>
    </row>
    <row r="213" spans="1:5" ht="15" customHeight="1" x14ac:dyDescent="0.25">
      <c r="A213" t="s">
        <v>593</v>
      </c>
      <c r="B213" t="s">
        <v>1189</v>
      </c>
      <c r="C213">
        <v>2023</v>
      </c>
      <c r="E213" s="1" t="s">
        <v>2625</v>
      </c>
    </row>
    <row r="214" spans="1:5" ht="15" customHeight="1" x14ac:dyDescent="0.25">
      <c r="A214" t="s">
        <v>593</v>
      </c>
      <c r="B214" t="s">
        <v>1982</v>
      </c>
      <c r="C214">
        <v>2023</v>
      </c>
      <c r="E214" s="1" t="s">
        <v>2563</v>
      </c>
    </row>
    <row r="215" spans="1:5" ht="15" customHeight="1" x14ac:dyDescent="0.25">
      <c r="A215" t="s">
        <v>593</v>
      </c>
      <c r="B215" t="s">
        <v>2246</v>
      </c>
      <c r="C215">
        <v>2023</v>
      </c>
      <c r="E215" s="1" t="s">
        <v>2626</v>
      </c>
    </row>
    <row r="216" spans="1:5" ht="15" customHeight="1" x14ac:dyDescent="0.25">
      <c r="A216" t="s">
        <v>601</v>
      </c>
      <c r="B216" t="s">
        <v>885</v>
      </c>
      <c r="C216">
        <v>2023</v>
      </c>
      <c r="E216" t="s">
        <v>2519</v>
      </c>
    </row>
    <row r="217" spans="1:5" ht="15" customHeight="1" x14ac:dyDescent="0.25">
      <c r="A217" t="s">
        <v>626</v>
      </c>
      <c r="B217" t="s">
        <v>1062</v>
      </c>
      <c r="C217">
        <v>2024</v>
      </c>
      <c r="E217" t="s">
        <v>2519</v>
      </c>
    </row>
    <row r="218" spans="1:5" ht="15" customHeight="1" x14ac:dyDescent="0.25">
      <c r="A218" t="s">
        <v>626</v>
      </c>
      <c r="B218" t="s">
        <v>2246</v>
      </c>
      <c r="C218">
        <v>2024</v>
      </c>
      <c r="E218" s="1" t="s">
        <v>2626</v>
      </c>
    </row>
    <row r="219" spans="1:5" ht="15" customHeight="1" x14ac:dyDescent="0.25">
      <c r="A219" t="s">
        <v>628</v>
      </c>
      <c r="B219" t="s">
        <v>601</v>
      </c>
      <c r="C219">
        <v>2018</v>
      </c>
      <c r="E219" s="1" t="s">
        <v>2519</v>
      </c>
    </row>
    <row r="220" spans="1:5" ht="15" customHeight="1" x14ac:dyDescent="0.25">
      <c r="A220" t="s">
        <v>641</v>
      </c>
      <c r="B220" t="s">
        <v>343</v>
      </c>
      <c r="C220">
        <v>2019</v>
      </c>
      <c r="E220" s="1" t="s">
        <v>2519</v>
      </c>
    </row>
    <row r="221" spans="1:5" ht="15" customHeight="1" x14ac:dyDescent="0.25">
      <c r="A221" t="s">
        <v>651</v>
      </c>
      <c r="B221" t="s">
        <v>2199</v>
      </c>
      <c r="C221">
        <v>2010</v>
      </c>
      <c r="E221" s="1" t="s">
        <v>2627</v>
      </c>
    </row>
    <row r="222" spans="1:5" ht="15" customHeight="1" x14ac:dyDescent="0.25">
      <c r="A222" t="s">
        <v>657</v>
      </c>
      <c r="B222" t="s">
        <v>1941</v>
      </c>
      <c r="C222">
        <v>2021</v>
      </c>
      <c r="E222" s="1" t="s">
        <v>2519</v>
      </c>
    </row>
    <row r="223" spans="1:5" ht="15" customHeight="1" x14ac:dyDescent="0.25">
      <c r="A223" t="s">
        <v>657</v>
      </c>
      <c r="B223" t="s">
        <v>1966</v>
      </c>
      <c r="C223">
        <v>2021</v>
      </c>
      <c r="D223" t="s">
        <v>70</v>
      </c>
      <c r="E223" s="1"/>
    </row>
    <row r="224" spans="1:5" ht="15" customHeight="1" x14ac:dyDescent="0.25">
      <c r="A224" t="s">
        <v>6430</v>
      </c>
      <c r="B224" t="s">
        <v>312</v>
      </c>
      <c r="C224">
        <v>1996</v>
      </c>
      <c r="E224" s="11" t="s">
        <v>6438</v>
      </c>
    </row>
    <row r="225" spans="1:5" ht="15" customHeight="1" x14ac:dyDescent="0.25">
      <c r="A225" t="s">
        <v>6430</v>
      </c>
      <c r="B225" t="s">
        <v>6447</v>
      </c>
      <c r="C225">
        <v>1996</v>
      </c>
      <c r="E225" s="11" t="s">
        <v>6451</v>
      </c>
    </row>
    <row r="226" spans="1:5" ht="15" customHeight="1" x14ac:dyDescent="0.25">
      <c r="A226" t="s">
        <v>6430</v>
      </c>
      <c r="B226" t="s">
        <v>593</v>
      </c>
      <c r="C226">
        <v>1996</v>
      </c>
      <c r="E226" s="11" t="s">
        <v>6435</v>
      </c>
    </row>
    <row r="227" spans="1:5" ht="15" customHeight="1" x14ac:dyDescent="0.25">
      <c r="A227" t="s">
        <v>6430</v>
      </c>
      <c r="B227" t="s">
        <v>773</v>
      </c>
      <c r="C227">
        <v>1996</v>
      </c>
      <c r="E227" s="11" t="s">
        <v>2580</v>
      </c>
    </row>
    <row r="228" spans="1:5" ht="15" customHeight="1" x14ac:dyDescent="0.25">
      <c r="A228" t="s">
        <v>6430</v>
      </c>
      <c r="B228" t="s">
        <v>832</v>
      </c>
      <c r="C228">
        <v>1996</v>
      </c>
      <c r="E228" s="11" t="s">
        <v>6439</v>
      </c>
    </row>
    <row r="229" spans="1:5" ht="15" customHeight="1" x14ac:dyDescent="0.25">
      <c r="A229" t="s">
        <v>6430</v>
      </c>
      <c r="B229" t="s">
        <v>1052</v>
      </c>
      <c r="C229">
        <v>1996</v>
      </c>
      <c r="E229" s="11" t="s">
        <v>6434</v>
      </c>
    </row>
    <row r="230" spans="1:5" ht="15" customHeight="1" x14ac:dyDescent="0.25">
      <c r="A230" t="s">
        <v>6430</v>
      </c>
      <c r="B230" t="s">
        <v>1094</v>
      </c>
      <c r="C230">
        <v>1996</v>
      </c>
      <c r="E230" s="11" t="s">
        <v>6442</v>
      </c>
    </row>
    <row r="231" spans="1:5" ht="15" customHeight="1" x14ac:dyDescent="0.25">
      <c r="A231" t="s">
        <v>6430</v>
      </c>
      <c r="B231" t="s">
        <v>1189</v>
      </c>
      <c r="C231">
        <v>1996</v>
      </c>
      <c r="E231" s="11" t="s">
        <v>2625</v>
      </c>
    </row>
    <row r="232" spans="1:5" ht="15" customHeight="1" x14ac:dyDescent="0.25">
      <c r="A232" t="s">
        <v>6430</v>
      </c>
      <c r="B232" t="s">
        <v>1242</v>
      </c>
      <c r="C232">
        <v>1996</v>
      </c>
      <c r="E232" s="11" t="s">
        <v>6436</v>
      </c>
    </row>
    <row r="233" spans="1:5" ht="15" customHeight="1" x14ac:dyDescent="0.25">
      <c r="A233" t="s">
        <v>6430</v>
      </c>
      <c r="B233" t="s">
        <v>1677</v>
      </c>
      <c r="C233">
        <v>1996</v>
      </c>
      <c r="E233" s="11" t="s">
        <v>6428</v>
      </c>
    </row>
    <row r="234" spans="1:5" ht="15" customHeight="1" x14ac:dyDescent="0.25">
      <c r="A234" t="s">
        <v>6430</v>
      </c>
      <c r="B234" t="s">
        <v>1747</v>
      </c>
      <c r="C234">
        <v>1996</v>
      </c>
      <c r="E234" s="11" t="s">
        <v>6441</v>
      </c>
    </row>
    <row r="235" spans="1:5" ht="15" customHeight="1" x14ac:dyDescent="0.25">
      <c r="A235" t="s">
        <v>6430</v>
      </c>
      <c r="B235" t="s">
        <v>2130</v>
      </c>
      <c r="C235">
        <v>1996</v>
      </c>
      <c r="E235" s="11" t="s">
        <v>6433</v>
      </c>
    </row>
    <row r="236" spans="1:5" ht="15" customHeight="1" x14ac:dyDescent="0.25">
      <c r="A236" t="s">
        <v>681</v>
      </c>
      <c r="B236" t="s">
        <v>157</v>
      </c>
      <c r="C236">
        <v>2019</v>
      </c>
      <c r="E236" s="11" t="s">
        <v>2628</v>
      </c>
    </row>
    <row r="237" spans="1:5" ht="15" customHeight="1" x14ac:dyDescent="0.25">
      <c r="A237" t="s">
        <v>681</v>
      </c>
      <c r="B237" t="s">
        <v>206</v>
      </c>
      <c r="C237">
        <v>2019</v>
      </c>
      <c r="E237" s="1" t="s">
        <v>2519</v>
      </c>
    </row>
    <row r="238" spans="1:5" ht="15" customHeight="1" x14ac:dyDescent="0.25">
      <c r="A238" t="s">
        <v>681</v>
      </c>
      <c r="B238" t="s">
        <v>663</v>
      </c>
      <c r="C238">
        <v>2019</v>
      </c>
      <c r="E238" s="1" t="s">
        <v>2629</v>
      </c>
    </row>
    <row r="239" spans="1:5" ht="15" customHeight="1" x14ac:dyDescent="0.25">
      <c r="A239" t="s">
        <v>681</v>
      </c>
      <c r="B239" t="s">
        <v>671</v>
      </c>
      <c r="C239">
        <v>2019</v>
      </c>
      <c r="E239" s="1" t="s">
        <v>2549</v>
      </c>
    </row>
    <row r="240" spans="1:5" ht="15" customHeight="1" x14ac:dyDescent="0.25">
      <c r="A240" t="s">
        <v>681</v>
      </c>
      <c r="B240" t="s">
        <v>685</v>
      </c>
      <c r="C240">
        <v>2019</v>
      </c>
      <c r="E240" s="1" t="s">
        <v>2604</v>
      </c>
    </row>
    <row r="241" spans="1:5" ht="15" customHeight="1" x14ac:dyDescent="0.25">
      <c r="A241" t="s">
        <v>681</v>
      </c>
      <c r="B241" t="s">
        <v>703</v>
      </c>
      <c r="C241">
        <v>2019</v>
      </c>
      <c r="E241" s="1" t="s">
        <v>2630</v>
      </c>
    </row>
    <row r="242" spans="1:5" ht="15" customHeight="1" x14ac:dyDescent="0.25">
      <c r="A242" t="s">
        <v>681</v>
      </c>
      <c r="B242" t="s">
        <v>758</v>
      </c>
      <c r="C242">
        <v>2019</v>
      </c>
      <c r="E242" s="1" t="s">
        <v>2631</v>
      </c>
    </row>
    <row r="243" spans="1:5" ht="15" customHeight="1" x14ac:dyDescent="0.25">
      <c r="A243" t="s">
        <v>681</v>
      </c>
      <c r="B243" t="s">
        <v>2013</v>
      </c>
      <c r="C243">
        <v>2019</v>
      </c>
      <c r="E243" s="1" t="s">
        <v>2519</v>
      </c>
    </row>
    <row r="244" spans="1:5" ht="15" customHeight="1" x14ac:dyDescent="0.25">
      <c r="A244" t="s">
        <v>709</v>
      </c>
      <c r="B244" t="s">
        <v>863</v>
      </c>
      <c r="C244">
        <v>2022</v>
      </c>
      <c r="E244" s="1" t="s">
        <v>866</v>
      </c>
    </row>
    <row r="245" spans="1:5" ht="15" customHeight="1" x14ac:dyDescent="0.25">
      <c r="A245" t="s">
        <v>709</v>
      </c>
      <c r="B245" t="s">
        <v>1395</v>
      </c>
      <c r="C245">
        <v>2022</v>
      </c>
      <c r="E245" s="1" t="s">
        <v>2632</v>
      </c>
    </row>
    <row r="246" spans="1:5" ht="15" customHeight="1" x14ac:dyDescent="0.25">
      <c r="A246" t="s">
        <v>709</v>
      </c>
      <c r="B246" t="s">
        <v>2395</v>
      </c>
      <c r="C246">
        <v>2022</v>
      </c>
      <c r="E246" s="1" t="s">
        <v>2633</v>
      </c>
    </row>
    <row r="247" spans="1:5" ht="15" customHeight="1" x14ac:dyDescent="0.25">
      <c r="A247" t="s">
        <v>716</v>
      </c>
      <c r="B247" t="s">
        <v>533</v>
      </c>
      <c r="C247">
        <v>2013</v>
      </c>
      <c r="E247" s="1" t="s">
        <v>2613</v>
      </c>
    </row>
    <row r="248" spans="1:5" ht="15" customHeight="1" x14ac:dyDescent="0.25">
      <c r="A248" t="s">
        <v>716</v>
      </c>
      <c r="B248" t="s">
        <v>720</v>
      </c>
      <c r="C248">
        <v>2013</v>
      </c>
      <c r="D248" t="s">
        <v>70</v>
      </c>
      <c r="E248" s="1"/>
    </row>
    <row r="249" spans="1:5" ht="15" customHeight="1" x14ac:dyDescent="0.25">
      <c r="A249" t="s">
        <v>716</v>
      </c>
      <c r="B249" t="s">
        <v>1135</v>
      </c>
      <c r="C249">
        <v>2013</v>
      </c>
      <c r="E249" s="1" t="s">
        <v>2553</v>
      </c>
    </row>
    <row r="250" spans="1:5" ht="15" customHeight="1" x14ac:dyDescent="0.25">
      <c r="A250" t="s">
        <v>716</v>
      </c>
      <c r="B250" t="s">
        <v>1784</v>
      </c>
      <c r="C250">
        <v>2013</v>
      </c>
      <c r="E250" s="1" t="s">
        <v>2634</v>
      </c>
    </row>
    <row r="251" spans="1:5" ht="15" customHeight="1" x14ac:dyDescent="0.25">
      <c r="A251" t="s">
        <v>716</v>
      </c>
      <c r="B251" t="s">
        <v>2211</v>
      </c>
      <c r="C251">
        <v>2013</v>
      </c>
      <c r="E251" s="1" t="s">
        <v>2635</v>
      </c>
    </row>
    <row r="252" spans="1:5" ht="15" customHeight="1" x14ac:dyDescent="0.25">
      <c r="A252" t="s">
        <v>724</v>
      </c>
      <c r="B252" t="s">
        <v>6447</v>
      </c>
      <c r="C252">
        <v>2002</v>
      </c>
      <c r="E252" s="11" t="s">
        <v>6453</v>
      </c>
    </row>
    <row r="253" spans="1:5" ht="15" customHeight="1" x14ac:dyDescent="0.25">
      <c r="A253" t="s">
        <v>724</v>
      </c>
      <c r="B253" t="s">
        <v>376</v>
      </c>
      <c r="C253">
        <v>2002</v>
      </c>
      <c r="E253" s="1" t="s">
        <v>2636</v>
      </c>
    </row>
    <row r="254" spans="1:5" ht="15" customHeight="1" x14ac:dyDescent="0.25">
      <c r="A254" t="s">
        <v>724</v>
      </c>
      <c r="B254" t="s">
        <v>773</v>
      </c>
      <c r="C254">
        <v>2002</v>
      </c>
      <c r="E254" s="11" t="s">
        <v>6440</v>
      </c>
    </row>
    <row r="255" spans="1:5" ht="15" customHeight="1" x14ac:dyDescent="0.25">
      <c r="A255" t="s">
        <v>724</v>
      </c>
      <c r="B255" t="s">
        <v>6443</v>
      </c>
      <c r="C255">
        <v>2002</v>
      </c>
      <c r="E255" s="11" t="s">
        <v>6446</v>
      </c>
    </row>
    <row r="256" spans="1:5" ht="15" customHeight="1" x14ac:dyDescent="0.25">
      <c r="A256" t="s">
        <v>724</v>
      </c>
      <c r="B256" t="s">
        <v>1163</v>
      </c>
      <c r="C256">
        <v>2002</v>
      </c>
      <c r="E256" s="1" t="s">
        <v>2519</v>
      </c>
    </row>
    <row r="257" spans="1:5" ht="15" customHeight="1" x14ac:dyDescent="0.25">
      <c r="A257" t="s">
        <v>724</v>
      </c>
      <c r="B257" t="s">
        <v>1193</v>
      </c>
      <c r="C257">
        <v>2002</v>
      </c>
      <c r="D257" t="s">
        <v>70</v>
      </c>
      <c r="E257" s="1"/>
    </row>
    <row r="258" spans="1:5" ht="15" customHeight="1" x14ac:dyDescent="0.25">
      <c r="A258" t="s">
        <v>724</v>
      </c>
      <c r="B258" t="s">
        <v>1688</v>
      </c>
      <c r="C258">
        <v>2002</v>
      </c>
      <c r="E258" s="1" t="s">
        <v>2637</v>
      </c>
    </row>
    <row r="259" spans="1:5" ht="15" customHeight="1" x14ac:dyDescent="0.25">
      <c r="A259" t="s">
        <v>724</v>
      </c>
      <c r="B259" t="s">
        <v>6454</v>
      </c>
      <c r="C259">
        <v>2002</v>
      </c>
      <c r="E259" s="11" t="s">
        <v>6457</v>
      </c>
    </row>
    <row r="260" spans="1:5" ht="15" customHeight="1" x14ac:dyDescent="0.25">
      <c r="A260" t="s">
        <v>726</v>
      </c>
      <c r="B260" t="s">
        <v>1652</v>
      </c>
      <c r="C260">
        <v>2019</v>
      </c>
      <c r="E260" s="1"/>
    </row>
    <row r="261" spans="1:5" ht="15" customHeight="1" x14ac:dyDescent="0.25">
      <c r="A261" t="s">
        <v>726</v>
      </c>
      <c r="B261" t="s">
        <v>2177</v>
      </c>
      <c r="C261">
        <v>2019</v>
      </c>
      <c r="E261" s="1" t="s">
        <v>2638</v>
      </c>
    </row>
    <row r="262" spans="1:5" ht="15" customHeight="1" x14ac:dyDescent="0.25">
      <c r="A262" t="s">
        <v>726</v>
      </c>
      <c r="B262" t="s">
        <v>2197</v>
      </c>
      <c r="C262">
        <v>2019</v>
      </c>
      <c r="E262" s="1" t="s">
        <v>2639</v>
      </c>
    </row>
    <row r="263" spans="1:5" ht="15" customHeight="1" x14ac:dyDescent="0.25">
      <c r="A263" t="s">
        <v>726</v>
      </c>
      <c r="B263" t="s">
        <v>2370</v>
      </c>
      <c r="C263">
        <v>2019</v>
      </c>
      <c r="E263" s="1" t="s">
        <v>2640</v>
      </c>
    </row>
    <row r="264" spans="1:5" ht="15" customHeight="1" x14ac:dyDescent="0.25">
      <c r="A264" t="s">
        <v>732</v>
      </c>
      <c r="B264" t="s">
        <v>995</v>
      </c>
      <c r="C264">
        <v>2015</v>
      </c>
      <c r="E264" s="1" t="s">
        <v>2641</v>
      </c>
    </row>
    <row r="265" spans="1:5" ht="15" customHeight="1" x14ac:dyDescent="0.25">
      <c r="A265" t="s">
        <v>732</v>
      </c>
      <c r="B265" t="s">
        <v>1263</v>
      </c>
      <c r="C265">
        <v>2015</v>
      </c>
      <c r="E265" s="1" t="s">
        <v>2642</v>
      </c>
    </row>
    <row r="266" spans="1:5" ht="15" customHeight="1" x14ac:dyDescent="0.25">
      <c r="A266" t="s">
        <v>732</v>
      </c>
      <c r="B266" t="s">
        <v>1275</v>
      </c>
      <c r="C266">
        <v>2015</v>
      </c>
      <c r="E266" s="1" t="s">
        <v>2643</v>
      </c>
    </row>
    <row r="267" spans="1:5" ht="15" customHeight="1" x14ac:dyDescent="0.25">
      <c r="A267" t="s">
        <v>732</v>
      </c>
      <c r="B267" t="s">
        <v>1770</v>
      </c>
      <c r="C267">
        <v>2015</v>
      </c>
      <c r="E267" s="1" t="s">
        <v>2644</v>
      </c>
    </row>
    <row r="268" spans="1:5" ht="15" customHeight="1" x14ac:dyDescent="0.25">
      <c r="A268" t="s">
        <v>732</v>
      </c>
      <c r="B268" t="s">
        <v>1874</v>
      </c>
      <c r="C268">
        <v>2015</v>
      </c>
      <c r="E268" s="1" t="s">
        <v>2519</v>
      </c>
    </row>
    <row r="269" spans="1:5" ht="15" customHeight="1" x14ac:dyDescent="0.25">
      <c r="A269" t="s">
        <v>732</v>
      </c>
      <c r="B269" t="s">
        <v>1933</v>
      </c>
      <c r="C269">
        <v>2015</v>
      </c>
      <c r="E269" s="1" t="s">
        <v>2645</v>
      </c>
    </row>
    <row r="270" spans="1:5" ht="15" customHeight="1" x14ac:dyDescent="0.25">
      <c r="A270" t="s">
        <v>732</v>
      </c>
      <c r="B270" t="s">
        <v>6567</v>
      </c>
      <c r="C270">
        <v>2015</v>
      </c>
      <c r="E270" s="11" t="s">
        <v>6570</v>
      </c>
    </row>
    <row r="271" spans="1:5" ht="15" customHeight="1" x14ac:dyDescent="0.25">
      <c r="A271" t="s">
        <v>744</v>
      </c>
      <c r="B271" t="s">
        <v>681</v>
      </c>
      <c r="C271">
        <v>2014</v>
      </c>
      <c r="E271" s="1" t="s">
        <v>2646</v>
      </c>
    </row>
    <row r="272" spans="1:5" ht="15" customHeight="1" x14ac:dyDescent="0.25">
      <c r="A272" t="s">
        <v>744</v>
      </c>
      <c r="B272" t="s">
        <v>1385</v>
      </c>
      <c r="C272">
        <v>2014</v>
      </c>
      <c r="E272" s="1" t="s">
        <v>1388</v>
      </c>
    </row>
    <row r="273" spans="1:5" ht="15" customHeight="1" x14ac:dyDescent="0.25">
      <c r="A273" t="s">
        <v>744</v>
      </c>
      <c r="B273" t="s">
        <v>1526</v>
      </c>
      <c r="C273">
        <v>2014</v>
      </c>
      <c r="E273" s="1" t="s">
        <v>2647</v>
      </c>
    </row>
    <row r="274" spans="1:5" ht="15" customHeight="1" x14ac:dyDescent="0.25">
      <c r="A274" t="s">
        <v>744</v>
      </c>
      <c r="B274" t="s">
        <v>1954</v>
      </c>
      <c r="C274">
        <v>2014</v>
      </c>
      <c r="E274" s="1" t="s">
        <v>2648</v>
      </c>
    </row>
    <row r="275" spans="1:5" ht="15" customHeight="1" x14ac:dyDescent="0.25">
      <c r="A275" t="s">
        <v>758</v>
      </c>
      <c r="B275" t="s">
        <v>1856</v>
      </c>
      <c r="C275">
        <v>2024</v>
      </c>
      <c r="E275" t="s">
        <v>2519</v>
      </c>
    </row>
    <row r="276" spans="1:5" ht="15" customHeight="1" x14ac:dyDescent="0.25">
      <c r="A276" t="s">
        <v>762</v>
      </c>
      <c r="B276" t="s">
        <v>376</v>
      </c>
      <c r="C276">
        <v>2006</v>
      </c>
      <c r="E276" s="1" t="s">
        <v>2636</v>
      </c>
    </row>
    <row r="277" spans="1:5" ht="15" customHeight="1" x14ac:dyDescent="0.25">
      <c r="A277" t="s">
        <v>762</v>
      </c>
      <c r="B277" t="s">
        <v>456</v>
      </c>
      <c r="C277">
        <v>2006</v>
      </c>
      <c r="E277" s="1" t="s">
        <v>2649</v>
      </c>
    </row>
    <row r="278" spans="1:5" ht="15" customHeight="1" x14ac:dyDescent="0.25">
      <c r="A278" t="s">
        <v>762</v>
      </c>
      <c r="B278" t="s">
        <v>651</v>
      </c>
      <c r="C278">
        <v>2006</v>
      </c>
      <c r="E278" s="1" t="s">
        <v>2650</v>
      </c>
    </row>
    <row r="279" spans="1:5" ht="15" customHeight="1" x14ac:dyDescent="0.25">
      <c r="A279" t="s">
        <v>762</v>
      </c>
      <c r="B279" t="s">
        <v>773</v>
      </c>
      <c r="C279">
        <v>2006</v>
      </c>
      <c r="E279" s="1" t="s">
        <v>2580</v>
      </c>
    </row>
    <row r="280" spans="1:5" ht="15" customHeight="1" x14ac:dyDescent="0.25">
      <c r="A280" t="s">
        <v>762</v>
      </c>
      <c r="B280" t="s">
        <v>983</v>
      </c>
      <c r="C280">
        <v>2006</v>
      </c>
      <c r="E280" s="1" t="s">
        <v>2519</v>
      </c>
    </row>
    <row r="281" spans="1:5" ht="15" customHeight="1" x14ac:dyDescent="0.25">
      <c r="A281" t="s">
        <v>762</v>
      </c>
      <c r="B281" t="s">
        <v>1598</v>
      </c>
      <c r="C281">
        <v>2006</v>
      </c>
      <c r="E281" s="1" t="s">
        <v>1601</v>
      </c>
    </row>
    <row r="282" spans="1:5" ht="15" customHeight="1" x14ac:dyDescent="0.25">
      <c r="A282" t="s">
        <v>762</v>
      </c>
      <c r="B282" t="s">
        <v>1747</v>
      </c>
      <c r="C282">
        <v>2006</v>
      </c>
      <c r="E282" s="11" t="s">
        <v>6441</v>
      </c>
    </row>
    <row r="283" spans="1:5" ht="15" customHeight="1" x14ac:dyDescent="0.25">
      <c r="A283" t="s">
        <v>762</v>
      </c>
      <c r="B283" t="s">
        <v>2288</v>
      </c>
      <c r="C283">
        <v>2006</v>
      </c>
      <c r="E283" s="1" t="s">
        <v>2291</v>
      </c>
    </row>
    <row r="284" spans="1:5" ht="15" customHeight="1" x14ac:dyDescent="0.25">
      <c r="A284" t="s">
        <v>762</v>
      </c>
      <c r="B284" t="s">
        <v>2348</v>
      </c>
      <c r="C284">
        <v>2018</v>
      </c>
      <c r="E284" s="1" t="s">
        <v>2651</v>
      </c>
    </row>
    <row r="285" spans="1:5" ht="15" customHeight="1" x14ac:dyDescent="0.25">
      <c r="A285" t="s">
        <v>762</v>
      </c>
      <c r="B285" t="s">
        <v>2502</v>
      </c>
      <c r="C285">
        <v>2006</v>
      </c>
      <c r="E285" s="1" t="s">
        <v>2532</v>
      </c>
    </row>
    <row r="286" spans="1:5" ht="15" customHeight="1" x14ac:dyDescent="0.25">
      <c r="A286" t="s">
        <v>773</v>
      </c>
      <c r="B286" t="s">
        <v>2162</v>
      </c>
      <c r="C286">
        <v>2010</v>
      </c>
      <c r="E286" s="1" t="s">
        <v>2652</v>
      </c>
    </row>
    <row r="287" spans="1:5" ht="15" customHeight="1" x14ac:dyDescent="0.25">
      <c r="A287" t="s">
        <v>783</v>
      </c>
      <c r="B287" t="s">
        <v>1145</v>
      </c>
      <c r="C287">
        <v>2011</v>
      </c>
      <c r="E287" s="1" t="s">
        <v>2653</v>
      </c>
    </row>
    <row r="288" spans="1:5" ht="15" customHeight="1" x14ac:dyDescent="0.25">
      <c r="A288" t="s">
        <v>783</v>
      </c>
      <c r="B288" t="s">
        <v>1692</v>
      </c>
      <c r="C288">
        <v>2011</v>
      </c>
      <c r="E288" s="1" t="s">
        <v>2518</v>
      </c>
    </row>
    <row r="289" spans="1:5" ht="15" customHeight="1" x14ac:dyDescent="0.25">
      <c r="A289" t="s">
        <v>783</v>
      </c>
      <c r="B289" t="s">
        <v>1827</v>
      </c>
      <c r="C289">
        <v>2011</v>
      </c>
      <c r="E289" s="11" t="s">
        <v>6467</v>
      </c>
    </row>
    <row r="290" spans="1:5" ht="15" customHeight="1" x14ac:dyDescent="0.25">
      <c r="A290" t="s">
        <v>783</v>
      </c>
      <c r="B290" t="s">
        <v>2207</v>
      </c>
      <c r="C290">
        <v>2011</v>
      </c>
      <c r="E290" s="1" t="s">
        <v>2586</v>
      </c>
    </row>
    <row r="291" spans="1:5" ht="15" customHeight="1" x14ac:dyDescent="0.25">
      <c r="A291" t="s">
        <v>787</v>
      </c>
      <c r="B291" t="s">
        <v>1887</v>
      </c>
      <c r="C291">
        <v>2018</v>
      </c>
      <c r="D291" t="s">
        <v>70</v>
      </c>
      <c r="E291" s="1"/>
    </row>
    <row r="292" spans="1:5" ht="15" customHeight="1" x14ac:dyDescent="0.25">
      <c r="A292" t="s">
        <v>793</v>
      </c>
      <c r="B292" t="s">
        <v>773</v>
      </c>
      <c r="C292">
        <v>2006</v>
      </c>
      <c r="E292" s="11" t="s">
        <v>6440</v>
      </c>
    </row>
    <row r="293" spans="1:5" ht="15" customHeight="1" x14ac:dyDescent="0.25">
      <c r="A293" t="s">
        <v>793</v>
      </c>
      <c r="B293" t="s">
        <v>1205</v>
      </c>
      <c r="C293">
        <v>2006</v>
      </c>
      <c r="E293" s="1" t="s">
        <v>2654</v>
      </c>
    </row>
    <row r="294" spans="1:5" ht="15" customHeight="1" x14ac:dyDescent="0.25">
      <c r="A294" t="s">
        <v>793</v>
      </c>
      <c r="B294" t="s">
        <v>1996</v>
      </c>
      <c r="C294">
        <v>2006</v>
      </c>
      <c r="E294" s="1" t="s">
        <v>2655</v>
      </c>
    </row>
    <row r="295" spans="1:5" ht="15" customHeight="1" x14ac:dyDescent="0.25">
      <c r="A295" t="s">
        <v>793</v>
      </c>
      <c r="B295" t="s">
        <v>2110</v>
      </c>
      <c r="C295">
        <v>2006</v>
      </c>
      <c r="E295" s="1" t="s">
        <v>2656</v>
      </c>
    </row>
    <row r="296" spans="1:5" ht="15" customHeight="1" x14ac:dyDescent="0.25">
      <c r="A296" t="s">
        <v>793</v>
      </c>
      <c r="B296" t="s">
        <v>2207</v>
      </c>
      <c r="C296">
        <v>2006</v>
      </c>
      <c r="E296" s="1" t="s">
        <v>2657</v>
      </c>
    </row>
    <row r="297" spans="1:5" ht="15" customHeight="1" x14ac:dyDescent="0.25">
      <c r="A297" t="s">
        <v>793</v>
      </c>
      <c r="B297" t="s">
        <v>2321</v>
      </c>
      <c r="C297">
        <v>2006</v>
      </c>
      <c r="E297" s="1" t="s">
        <v>2658</v>
      </c>
    </row>
    <row r="298" spans="1:5" ht="15" customHeight="1" x14ac:dyDescent="0.25">
      <c r="A298" t="s">
        <v>793</v>
      </c>
      <c r="B298" t="s">
        <v>2384</v>
      </c>
      <c r="C298">
        <v>2006</v>
      </c>
      <c r="E298" s="1" t="s">
        <v>2659</v>
      </c>
    </row>
    <row r="299" spans="1:5" ht="15" customHeight="1" x14ac:dyDescent="0.25">
      <c r="A299" t="s">
        <v>793</v>
      </c>
      <c r="B299" t="s">
        <v>2409</v>
      </c>
      <c r="C299">
        <v>2006</v>
      </c>
      <c r="E299" s="1" t="s">
        <v>2660</v>
      </c>
    </row>
    <row r="300" spans="1:5" ht="15" customHeight="1" x14ac:dyDescent="0.25">
      <c r="A300" t="s">
        <v>793</v>
      </c>
      <c r="B300" t="s">
        <v>2413</v>
      </c>
      <c r="C300">
        <v>2006</v>
      </c>
      <c r="E300" s="1" t="s">
        <v>2661</v>
      </c>
    </row>
    <row r="301" spans="1:5" ht="15" customHeight="1" x14ac:dyDescent="0.25">
      <c r="A301" t="s">
        <v>799</v>
      </c>
      <c r="B301" t="s">
        <v>6572</v>
      </c>
      <c r="C301">
        <v>2025</v>
      </c>
      <c r="E301" s="11" t="s">
        <v>6571</v>
      </c>
    </row>
    <row r="302" spans="1:5" ht="15" customHeight="1" x14ac:dyDescent="0.25">
      <c r="A302" t="s">
        <v>809</v>
      </c>
      <c r="B302" t="s">
        <v>773</v>
      </c>
      <c r="C302">
        <v>2008</v>
      </c>
      <c r="E302" s="11" t="s">
        <v>6440</v>
      </c>
    </row>
    <row r="303" spans="1:5" ht="15" customHeight="1" x14ac:dyDescent="0.25">
      <c r="A303" t="s">
        <v>809</v>
      </c>
      <c r="B303" t="s">
        <v>807</v>
      </c>
      <c r="C303">
        <v>2008</v>
      </c>
      <c r="D303" t="s">
        <v>70</v>
      </c>
      <c r="E303" s="1"/>
    </row>
    <row r="304" spans="1:5" ht="15" customHeight="1" x14ac:dyDescent="0.25">
      <c r="A304" t="s">
        <v>811</v>
      </c>
      <c r="B304" t="s">
        <v>2364</v>
      </c>
      <c r="C304">
        <v>2022</v>
      </c>
      <c r="E304" s="1" t="s">
        <v>2588</v>
      </c>
    </row>
    <row r="305" spans="1:5" ht="15" customHeight="1" x14ac:dyDescent="0.25">
      <c r="A305" t="s">
        <v>828</v>
      </c>
      <c r="B305" t="s">
        <v>104</v>
      </c>
      <c r="C305">
        <v>2016</v>
      </c>
      <c r="E305" s="1" t="s">
        <v>2662</v>
      </c>
    </row>
    <row r="306" spans="1:5" ht="15" customHeight="1" x14ac:dyDescent="0.25">
      <c r="A306" t="s">
        <v>828</v>
      </c>
      <c r="B306" t="s">
        <v>123</v>
      </c>
      <c r="C306">
        <v>2016</v>
      </c>
      <c r="E306" s="1" t="s">
        <v>2663</v>
      </c>
    </row>
    <row r="307" spans="1:5" ht="15" customHeight="1" x14ac:dyDescent="0.25">
      <c r="A307" t="s">
        <v>828</v>
      </c>
      <c r="B307" t="s">
        <v>175</v>
      </c>
      <c r="C307">
        <v>2016</v>
      </c>
      <c r="E307" s="1" t="s">
        <v>2664</v>
      </c>
    </row>
    <row r="308" spans="1:5" ht="15" customHeight="1" x14ac:dyDescent="0.25">
      <c r="A308" t="s">
        <v>828</v>
      </c>
      <c r="B308" t="s">
        <v>186</v>
      </c>
      <c r="C308">
        <v>2016</v>
      </c>
      <c r="E308" s="1" t="s">
        <v>2519</v>
      </c>
    </row>
    <row r="309" spans="1:5" ht="15" customHeight="1" x14ac:dyDescent="0.25">
      <c r="A309" t="s">
        <v>828</v>
      </c>
      <c r="B309" t="s">
        <v>194</v>
      </c>
      <c r="C309">
        <v>2016</v>
      </c>
      <c r="E309" s="1" t="s">
        <v>2665</v>
      </c>
    </row>
    <row r="310" spans="1:5" ht="15" customHeight="1" x14ac:dyDescent="0.25">
      <c r="A310" t="s">
        <v>828</v>
      </c>
      <c r="B310" t="s">
        <v>271</v>
      </c>
      <c r="C310">
        <v>2016</v>
      </c>
      <c r="E310" s="1" t="s">
        <v>2666</v>
      </c>
    </row>
    <row r="311" spans="1:5" ht="15" customHeight="1" x14ac:dyDescent="0.25">
      <c r="A311" t="s">
        <v>828</v>
      </c>
      <c r="B311" t="s">
        <v>351</v>
      </c>
      <c r="C311">
        <v>2016</v>
      </c>
      <c r="E311" s="1" t="s">
        <v>2667</v>
      </c>
    </row>
    <row r="312" spans="1:5" ht="15" customHeight="1" x14ac:dyDescent="0.25">
      <c r="A312" t="s">
        <v>828</v>
      </c>
      <c r="B312" t="s">
        <v>533</v>
      </c>
      <c r="C312">
        <v>2016</v>
      </c>
      <c r="E312" s="1" t="s">
        <v>2613</v>
      </c>
    </row>
    <row r="313" spans="1:5" ht="15" customHeight="1" x14ac:dyDescent="0.25">
      <c r="A313" t="s">
        <v>828</v>
      </c>
      <c r="B313" t="s">
        <v>832</v>
      </c>
      <c r="C313">
        <v>2016</v>
      </c>
      <c r="E313" s="1" t="s">
        <v>2605</v>
      </c>
    </row>
    <row r="314" spans="1:5" ht="15" customHeight="1" x14ac:dyDescent="0.25">
      <c r="A314" t="s">
        <v>828</v>
      </c>
      <c r="B314" t="s">
        <v>846</v>
      </c>
      <c r="C314">
        <v>2016</v>
      </c>
      <c r="D314" t="s">
        <v>70</v>
      </c>
      <c r="E314" s="1"/>
    </row>
    <row r="315" spans="1:5" ht="15" customHeight="1" x14ac:dyDescent="0.25">
      <c r="A315" t="s">
        <v>828</v>
      </c>
      <c r="B315" t="s">
        <v>922</v>
      </c>
      <c r="C315">
        <v>2016</v>
      </c>
      <c r="E315" s="1" t="s">
        <v>2618</v>
      </c>
    </row>
    <row r="316" spans="1:5" ht="15" customHeight="1" x14ac:dyDescent="0.25">
      <c r="A316" t="s">
        <v>828</v>
      </c>
      <c r="B316" t="s">
        <v>979</v>
      </c>
      <c r="C316">
        <v>2016</v>
      </c>
      <c r="E316" s="1" t="s">
        <v>2519</v>
      </c>
    </row>
    <row r="317" spans="1:5" ht="15" customHeight="1" x14ac:dyDescent="0.25">
      <c r="A317" t="s">
        <v>828</v>
      </c>
      <c r="B317" t="s">
        <v>1022</v>
      </c>
      <c r="C317">
        <v>2016</v>
      </c>
      <c r="E317" s="1" t="s">
        <v>2668</v>
      </c>
    </row>
    <row r="318" spans="1:5" ht="15" customHeight="1" x14ac:dyDescent="0.25">
      <c r="A318" t="s">
        <v>828</v>
      </c>
      <c r="B318" t="s">
        <v>1238</v>
      </c>
      <c r="C318">
        <v>2016</v>
      </c>
      <c r="E318" s="1" t="s">
        <v>2519</v>
      </c>
    </row>
    <row r="319" spans="1:5" ht="15" customHeight="1" x14ac:dyDescent="0.25">
      <c r="A319" t="s">
        <v>828</v>
      </c>
      <c r="B319" t="s">
        <v>1458</v>
      </c>
      <c r="C319">
        <v>2016</v>
      </c>
      <c r="E319" s="1" t="s">
        <v>2669</v>
      </c>
    </row>
    <row r="320" spans="1:5" ht="15" customHeight="1" x14ac:dyDescent="0.25">
      <c r="A320" t="s">
        <v>828</v>
      </c>
      <c r="B320" t="s">
        <v>1556</v>
      </c>
      <c r="C320">
        <v>2016</v>
      </c>
      <c r="E320" s="1" t="s">
        <v>2670</v>
      </c>
    </row>
    <row r="321" spans="1:5" ht="15" customHeight="1" x14ac:dyDescent="0.25">
      <c r="A321" t="s">
        <v>828</v>
      </c>
      <c r="B321" t="s">
        <v>1709</v>
      </c>
      <c r="C321">
        <v>2016</v>
      </c>
      <c r="E321" s="1" t="s">
        <v>2671</v>
      </c>
    </row>
    <row r="322" spans="1:5" ht="15" customHeight="1" x14ac:dyDescent="0.25">
      <c r="A322" t="s">
        <v>828</v>
      </c>
      <c r="B322" t="s">
        <v>1887</v>
      </c>
      <c r="C322">
        <v>2016</v>
      </c>
      <c r="E322" s="1" t="s">
        <v>2519</v>
      </c>
    </row>
    <row r="323" spans="1:5" ht="15" customHeight="1" x14ac:dyDescent="0.25">
      <c r="A323" t="s">
        <v>828</v>
      </c>
      <c r="B323" t="s">
        <v>2252</v>
      </c>
      <c r="C323">
        <v>2016</v>
      </c>
      <c r="E323" s="1" t="s">
        <v>2672</v>
      </c>
    </row>
    <row r="324" spans="1:5" ht="15" customHeight="1" x14ac:dyDescent="0.25">
      <c r="A324" t="s">
        <v>828</v>
      </c>
      <c r="B324" t="s">
        <v>2266</v>
      </c>
      <c r="C324">
        <v>2016</v>
      </c>
      <c r="E324" s="1" t="s">
        <v>2673</v>
      </c>
    </row>
    <row r="325" spans="1:5" ht="15" customHeight="1" x14ac:dyDescent="0.25">
      <c r="A325" t="s">
        <v>828</v>
      </c>
      <c r="B325" t="s">
        <v>2278</v>
      </c>
      <c r="C325">
        <v>2016</v>
      </c>
      <c r="E325" s="1" t="s">
        <v>2674</v>
      </c>
    </row>
    <row r="326" spans="1:5" ht="15" customHeight="1" x14ac:dyDescent="0.25">
      <c r="A326" t="s">
        <v>834</v>
      </c>
      <c r="B326" t="s">
        <v>836</v>
      </c>
      <c r="C326">
        <v>2015</v>
      </c>
      <c r="D326" t="s">
        <v>70</v>
      </c>
      <c r="E326" s="1"/>
    </row>
    <row r="327" spans="1:5" ht="15" customHeight="1" x14ac:dyDescent="0.25">
      <c r="A327" t="s">
        <v>867</v>
      </c>
      <c r="B327" t="s">
        <v>65</v>
      </c>
      <c r="C327">
        <v>2021</v>
      </c>
      <c r="D327" t="s">
        <v>70</v>
      </c>
      <c r="E327" s="1"/>
    </row>
    <row r="328" spans="1:5" ht="15" customHeight="1" x14ac:dyDescent="0.25">
      <c r="A328" t="s">
        <v>867</v>
      </c>
      <c r="B328" t="s">
        <v>885</v>
      </c>
      <c r="C328">
        <v>2021</v>
      </c>
      <c r="E328" t="s">
        <v>2519</v>
      </c>
    </row>
    <row r="329" spans="1:5" ht="15" customHeight="1" x14ac:dyDescent="0.25">
      <c r="A329" t="s">
        <v>867</v>
      </c>
      <c r="B329" t="s">
        <v>1230</v>
      </c>
      <c r="C329">
        <v>2021</v>
      </c>
      <c r="D329" t="s">
        <v>70</v>
      </c>
      <c r="E329" s="1"/>
    </row>
    <row r="330" spans="1:5" ht="15" customHeight="1" x14ac:dyDescent="0.25">
      <c r="A330" t="s">
        <v>871</v>
      </c>
      <c r="B330" t="s">
        <v>423</v>
      </c>
      <c r="C330">
        <v>2007</v>
      </c>
      <c r="D330" t="s">
        <v>70</v>
      </c>
      <c r="E330" s="1"/>
    </row>
    <row r="331" spans="1:5" ht="15" customHeight="1" x14ac:dyDescent="0.25">
      <c r="A331" t="s">
        <v>877</v>
      </c>
      <c r="B331" t="s">
        <v>407</v>
      </c>
      <c r="C331">
        <v>2022</v>
      </c>
      <c r="E331" s="1" t="s">
        <v>410</v>
      </c>
    </row>
    <row r="332" spans="1:5" ht="15" customHeight="1" x14ac:dyDescent="0.25">
      <c r="A332" t="s">
        <v>892</v>
      </c>
      <c r="B332" t="s">
        <v>896</v>
      </c>
      <c r="C332">
        <v>2018</v>
      </c>
      <c r="D332" t="s">
        <v>70</v>
      </c>
      <c r="E332" s="1"/>
    </row>
    <row r="333" spans="1:5" ht="15" customHeight="1" x14ac:dyDescent="0.25">
      <c r="A333" t="s">
        <v>892</v>
      </c>
      <c r="B333" t="s">
        <v>1248</v>
      </c>
      <c r="C333">
        <v>2018</v>
      </c>
      <c r="E333" s="1" t="s">
        <v>2568</v>
      </c>
    </row>
    <row r="334" spans="1:5" ht="15" customHeight="1" x14ac:dyDescent="0.25">
      <c r="A334" t="s">
        <v>6584</v>
      </c>
      <c r="B334" t="s">
        <v>6588</v>
      </c>
      <c r="C334">
        <v>2020</v>
      </c>
      <c r="D334" t="s">
        <v>70</v>
      </c>
    </row>
    <row r="335" spans="1:5" ht="15" customHeight="1" x14ac:dyDescent="0.25">
      <c r="A335" t="s">
        <v>902</v>
      </c>
      <c r="B335" t="s">
        <v>663</v>
      </c>
      <c r="C335">
        <v>2022</v>
      </c>
      <c r="E335" t="s">
        <v>2519</v>
      </c>
    </row>
    <row r="336" spans="1:5" ht="15" customHeight="1" x14ac:dyDescent="0.25">
      <c r="A336" t="s">
        <v>914</v>
      </c>
      <c r="B336" t="s">
        <v>6538</v>
      </c>
      <c r="C336">
        <v>2012</v>
      </c>
      <c r="E336" s="11" t="s">
        <v>6541</v>
      </c>
    </row>
    <row r="337" spans="1:5" ht="15" customHeight="1" x14ac:dyDescent="0.25">
      <c r="A337" t="s">
        <v>914</v>
      </c>
      <c r="B337" t="s">
        <v>153</v>
      </c>
      <c r="C337">
        <v>2018</v>
      </c>
      <c r="E337" s="1" t="s">
        <v>2675</v>
      </c>
    </row>
    <row r="338" spans="1:5" ht="15" customHeight="1" x14ac:dyDescent="0.25">
      <c r="A338" t="s">
        <v>914</v>
      </c>
      <c r="B338" t="s">
        <v>334</v>
      </c>
      <c r="C338">
        <v>2012</v>
      </c>
      <c r="E338" s="1" t="s">
        <v>2676</v>
      </c>
    </row>
    <row r="339" spans="1:5" ht="15" customHeight="1" x14ac:dyDescent="0.25">
      <c r="A339" t="s">
        <v>914</v>
      </c>
      <c r="B339" t="s">
        <v>343</v>
      </c>
      <c r="C339">
        <v>2012</v>
      </c>
      <c r="E339" s="1" t="s">
        <v>2519</v>
      </c>
    </row>
    <row r="340" spans="1:5" ht="15" customHeight="1" x14ac:dyDescent="0.25">
      <c r="A340" t="s">
        <v>914</v>
      </c>
      <c r="B340" t="s">
        <v>472</v>
      </c>
      <c r="C340">
        <v>2012</v>
      </c>
      <c r="E340" s="1" t="s">
        <v>475</v>
      </c>
    </row>
    <row r="341" spans="1:5" ht="15" customHeight="1" x14ac:dyDescent="0.25">
      <c r="A341" t="s">
        <v>914</v>
      </c>
      <c r="B341" t="s">
        <v>515</v>
      </c>
      <c r="C341">
        <v>2012</v>
      </c>
      <c r="E341" s="1" t="s">
        <v>2677</v>
      </c>
    </row>
    <row r="342" spans="1:5" ht="15" customHeight="1" x14ac:dyDescent="0.25">
      <c r="A342" t="s">
        <v>914</v>
      </c>
      <c r="B342" t="s">
        <v>537</v>
      </c>
      <c r="C342">
        <v>2012</v>
      </c>
      <c r="E342" s="1" t="s">
        <v>2678</v>
      </c>
    </row>
    <row r="343" spans="1:5" ht="15" customHeight="1" x14ac:dyDescent="0.25">
      <c r="A343" t="s">
        <v>914</v>
      </c>
      <c r="B343" t="s">
        <v>601</v>
      </c>
      <c r="C343">
        <v>2012</v>
      </c>
      <c r="E343" s="1" t="s">
        <v>2519</v>
      </c>
    </row>
    <row r="344" spans="1:5" ht="15" customHeight="1" x14ac:dyDescent="0.25">
      <c r="A344" t="s">
        <v>914</v>
      </c>
      <c r="B344" t="s">
        <v>606</v>
      </c>
      <c r="C344">
        <v>2012</v>
      </c>
      <c r="E344" s="11" t="s">
        <v>2679</v>
      </c>
    </row>
    <row r="345" spans="1:5" ht="15" customHeight="1" x14ac:dyDescent="0.25">
      <c r="A345" t="s">
        <v>914</v>
      </c>
      <c r="B345" t="s">
        <v>628</v>
      </c>
      <c r="C345">
        <v>2012</v>
      </c>
      <c r="E345" s="1" t="s">
        <v>2603</v>
      </c>
    </row>
    <row r="346" spans="1:5" ht="15" customHeight="1" x14ac:dyDescent="0.25">
      <c r="A346" t="s">
        <v>914</v>
      </c>
      <c r="B346" t="s">
        <v>673</v>
      </c>
      <c r="C346">
        <v>2012</v>
      </c>
      <c r="E346" s="1" t="s">
        <v>2680</v>
      </c>
    </row>
    <row r="347" spans="1:5" ht="15" customHeight="1" x14ac:dyDescent="0.25">
      <c r="A347" t="s">
        <v>914</v>
      </c>
      <c r="B347" t="s">
        <v>6584</v>
      </c>
      <c r="C347">
        <v>2012</v>
      </c>
      <c r="E347" s="11" t="s">
        <v>6583</v>
      </c>
    </row>
    <row r="348" spans="1:5" ht="15" customHeight="1" x14ac:dyDescent="0.25">
      <c r="A348" t="s">
        <v>914</v>
      </c>
      <c r="B348" t="s">
        <v>1056</v>
      </c>
      <c r="C348">
        <v>2012</v>
      </c>
      <c r="E348" s="1" t="s">
        <v>2681</v>
      </c>
    </row>
    <row r="349" spans="1:5" ht="15" customHeight="1" x14ac:dyDescent="0.25">
      <c r="A349" t="s">
        <v>914</v>
      </c>
      <c r="B349" t="s">
        <v>1070</v>
      </c>
      <c r="C349">
        <v>2012</v>
      </c>
      <c r="E349" s="1" t="s">
        <v>2682</v>
      </c>
    </row>
    <row r="350" spans="1:5" ht="15" customHeight="1" x14ac:dyDescent="0.25">
      <c r="A350" t="s">
        <v>914</v>
      </c>
      <c r="B350" t="s">
        <v>1170</v>
      </c>
      <c r="C350">
        <v>2012</v>
      </c>
      <c r="E350" s="1" t="s">
        <v>2595</v>
      </c>
    </row>
    <row r="351" spans="1:5" ht="15" customHeight="1" x14ac:dyDescent="0.25">
      <c r="A351" t="s">
        <v>914</v>
      </c>
      <c r="B351" t="s">
        <v>1174</v>
      </c>
      <c r="C351">
        <v>2012</v>
      </c>
      <c r="D351" t="s">
        <v>70</v>
      </c>
      <c r="E351" s="1" t="s">
        <v>2683</v>
      </c>
    </row>
    <row r="352" spans="1:5" ht="15" customHeight="1" x14ac:dyDescent="0.25">
      <c r="A352" t="s">
        <v>914</v>
      </c>
      <c r="B352" t="s">
        <v>1267</v>
      </c>
      <c r="C352">
        <v>2012</v>
      </c>
      <c r="E352" s="1" t="s">
        <v>2538</v>
      </c>
    </row>
    <row r="353" spans="1:5" ht="15" customHeight="1" x14ac:dyDescent="0.25">
      <c r="A353" t="s">
        <v>914</v>
      </c>
      <c r="B353" t="s">
        <v>1399</v>
      </c>
      <c r="C353">
        <v>2012</v>
      </c>
      <c r="E353" s="1" t="s">
        <v>2684</v>
      </c>
    </row>
    <row r="354" spans="1:5" ht="15" customHeight="1" x14ac:dyDescent="0.25">
      <c r="A354" t="s">
        <v>914</v>
      </c>
      <c r="B354" t="s">
        <v>1526</v>
      </c>
      <c r="C354">
        <v>2012</v>
      </c>
      <c r="E354" s="1" t="s">
        <v>2685</v>
      </c>
    </row>
    <row r="355" spans="1:5" ht="15" customHeight="1" x14ac:dyDescent="0.25">
      <c r="A355" t="s">
        <v>914</v>
      </c>
      <c r="B355" t="s">
        <v>1563</v>
      </c>
      <c r="C355">
        <v>2012</v>
      </c>
      <c r="E355" s="1" t="s">
        <v>2686</v>
      </c>
    </row>
    <row r="356" spans="1:5" ht="15" customHeight="1" x14ac:dyDescent="0.25">
      <c r="A356" t="s">
        <v>914</v>
      </c>
      <c r="B356" t="s">
        <v>1575</v>
      </c>
      <c r="C356">
        <v>2012</v>
      </c>
      <c r="E356" s="11" t="s">
        <v>2687</v>
      </c>
    </row>
    <row r="357" spans="1:5" ht="15" customHeight="1" x14ac:dyDescent="0.25">
      <c r="A357" t="s">
        <v>914</v>
      </c>
      <c r="B357" t="s">
        <v>1784</v>
      </c>
      <c r="C357">
        <v>2012</v>
      </c>
      <c r="E357" s="1" t="s">
        <v>2634</v>
      </c>
    </row>
    <row r="358" spans="1:5" ht="15" customHeight="1" x14ac:dyDescent="0.25">
      <c r="A358" t="s">
        <v>914</v>
      </c>
      <c r="B358" t="s">
        <v>1824</v>
      </c>
      <c r="C358">
        <v>2012</v>
      </c>
      <c r="E358" s="11" t="s">
        <v>2541</v>
      </c>
    </row>
    <row r="359" spans="1:5" ht="15" customHeight="1" x14ac:dyDescent="0.25">
      <c r="A359" t="s">
        <v>914</v>
      </c>
      <c r="B359" t="s">
        <v>1895</v>
      </c>
      <c r="C359">
        <v>2012</v>
      </c>
      <c r="E359" s="1" t="s">
        <v>2688</v>
      </c>
    </row>
    <row r="360" spans="1:5" ht="15" customHeight="1" x14ac:dyDescent="0.25">
      <c r="A360" t="s">
        <v>914</v>
      </c>
      <c r="B360" t="s">
        <v>1954</v>
      </c>
      <c r="C360">
        <v>2012</v>
      </c>
      <c r="E360" s="1" t="s">
        <v>2689</v>
      </c>
    </row>
    <row r="361" spans="1:5" ht="15" customHeight="1" x14ac:dyDescent="0.25">
      <c r="A361" t="s">
        <v>914</v>
      </c>
      <c r="B361" t="s">
        <v>1962</v>
      </c>
      <c r="C361">
        <v>2012</v>
      </c>
      <c r="E361" s="1" t="s">
        <v>2519</v>
      </c>
    </row>
    <row r="362" spans="1:5" ht="15" customHeight="1" x14ac:dyDescent="0.25">
      <c r="A362" t="s">
        <v>914</v>
      </c>
      <c r="B362" t="s">
        <v>1990</v>
      </c>
      <c r="C362">
        <v>2012</v>
      </c>
      <c r="E362" s="11" t="s">
        <v>6471</v>
      </c>
    </row>
    <row r="363" spans="1:5" ht="15" customHeight="1" x14ac:dyDescent="0.25">
      <c r="A363" t="s">
        <v>914</v>
      </c>
      <c r="B363" t="s">
        <v>2099</v>
      </c>
      <c r="C363">
        <v>2012</v>
      </c>
      <c r="E363" s="1" t="s">
        <v>2678</v>
      </c>
    </row>
    <row r="364" spans="1:5" ht="15" customHeight="1" x14ac:dyDescent="0.25">
      <c r="A364" t="s">
        <v>914</v>
      </c>
      <c r="B364" t="s">
        <v>2126</v>
      </c>
      <c r="C364">
        <v>2012</v>
      </c>
      <c r="E364" s="1" t="s">
        <v>2690</v>
      </c>
    </row>
    <row r="365" spans="1:5" ht="15" customHeight="1" x14ac:dyDescent="0.25">
      <c r="A365" t="s">
        <v>914</v>
      </c>
      <c r="B365" t="s">
        <v>2188</v>
      </c>
      <c r="C365">
        <v>2012</v>
      </c>
      <c r="E365" s="1" t="s">
        <v>2519</v>
      </c>
    </row>
    <row r="366" spans="1:5" ht="15" customHeight="1" x14ac:dyDescent="0.25">
      <c r="A366" t="s">
        <v>914</v>
      </c>
      <c r="B366" t="s">
        <v>2306</v>
      </c>
      <c r="C366">
        <v>2012</v>
      </c>
      <c r="E366" s="1" t="s">
        <v>2519</v>
      </c>
    </row>
    <row r="367" spans="1:5" ht="15" customHeight="1" x14ac:dyDescent="0.25">
      <c r="A367" t="s">
        <v>914</v>
      </c>
      <c r="B367" t="s">
        <v>2312</v>
      </c>
      <c r="C367">
        <v>2012</v>
      </c>
      <c r="E367" s="1" t="s">
        <v>2519</v>
      </c>
    </row>
    <row r="368" spans="1:5" ht="15" customHeight="1" x14ac:dyDescent="0.25">
      <c r="A368" t="s">
        <v>914</v>
      </c>
      <c r="B368" t="s">
        <v>2376</v>
      </c>
      <c r="C368">
        <v>2012</v>
      </c>
      <c r="E368" s="1" t="s">
        <v>2691</v>
      </c>
    </row>
    <row r="369" spans="1:5" ht="15" customHeight="1" x14ac:dyDescent="0.25">
      <c r="A369" t="s">
        <v>914</v>
      </c>
      <c r="B369" t="s">
        <v>2384</v>
      </c>
      <c r="C369">
        <v>2012</v>
      </c>
      <c r="E369" s="1" t="s">
        <v>2659</v>
      </c>
    </row>
    <row r="370" spans="1:5" ht="15" customHeight="1" x14ac:dyDescent="0.25">
      <c r="A370" t="s">
        <v>914</v>
      </c>
      <c r="B370" t="s">
        <v>2403</v>
      </c>
      <c r="C370">
        <v>2012</v>
      </c>
      <c r="E370" s="1" t="s">
        <v>2576</v>
      </c>
    </row>
    <row r="371" spans="1:5" ht="15" customHeight="1" x14ac:dyDescent="0.25">
      <c r="A371" t="s">
        <v>6512</v>
      </c>
      <c r="B371" t="s">
        <v>6516</v>
      </c>
      <c r="C371">
        <v>2010</v>
      </c>
      <c r="D371" t="s">
        <v>70</v>
      </c>
    </row>
    <row r="372" spans="1:5" ht="15" customHeight="1" x14ac:dyDescent="0.25">
      <c r="A372" t="s">
        <v>6512</v>
      </c>
      <c r="B372" t="s">
        <v>6522</v>
      </c>
      <c r="C372">
        <v>2010</v>
      </c>
      <c r="D372" t="s">
        <v>70</v>
      </c>
    </row>
    <row r="373" spans="1:5" ht="15" customHeight="1" x14ac:dyDescent="0.25">
      <c r="A373" t="s">
        <v>6512</v>
      </c>
      <c r="B373" t="s">
        <v>6518</v>
      </c>
      <c r="C373">
        <v>2010</v>
      </c>
      <c r="D373" t="s">
        <v>70</v>
      </c>
    </row>
    <row r="374" spans="1:5" ht="15" customHeight="1" x14ac:dyDescent="0.25">
      <c r="A374" t="s">
        <v>6512</v>
      </c>
      <c r="B374" t="s">
        <v>6514</v>
      </c>
      <c r="C374">
        <v>2010</v>
      </c>
      <c r="D374" t="s">
        <v>70</v>
      </c>
    </row>
    <row r="375" spans="1:5" ht="15" customHeight="1" x14ac:dyDescent="0.25">
      <c r="A375" t="s">
        <v>6520</v>
      </c>
      <c r="B375" t="s">
        <v>6531</v>
      </c>
      <c r="C375">
        <v>2014</v>
      </c>
      <c r="D375" t="s">
        <v>70</v>
      </c>
    </row>
    <row r="376" spans="1:5" ht="15" customHeight="1" x14ac:dyDescent="0.25">
      <c r="A376" t="s">
        <v>933</v>
      </c>
      <c r="B376" t="s">
        <v>937</v>
      </c>
      <c r="C376">
        <v>2002</v>
      </c>
      <c r="D376" t="s">
        <v>70</v>
      </c>
    </row>
    <row r="377" spans="1:5" ht="15" customHeight="1" x14ac:dyDescent="0.25">
      <c r="A377" t="s">
        <v>937</v>
      </c>
      <c r="B377" t="s">
        <v>940</v>
      </c>
      <c r="C377">
        <v>2007</v>
      </c>
      <c r="D377" t="s">
        <v>70</v>
      </c>
    </row>
    <row r="378" spans="1:5" ht="15" customHeight="1" x14ac:dyDescent="0.25">
      <c r="A378" t="s">
        <v>943</v>
      </c>
      <c r="B378" t="s">
        <v>405</v>
      </c>
      <c r="C378">
        <v>2024</v>
      </c>
      <c r="D378" t="s">
        <v>70</v>
      </c>
      <c r="E378" s="1"/>
    </row>
    <row r="379" spans="1:5" ht="15" customHeight="1" x14ac:dyDescent="0.25">
      <c r="A379" t="s">
        <v>947</v>
      </c>
      <c r="B379" t="s">
        <v>951</v>
      </c>
      <c r="C379">
        <v>2020</v>
      </c>
      <c r="D379" t="s">
        <v>70</v>
      </c>
      <c r="E379" s="1"/>
    </row>
    <row r="380" spans="1:5" ht="15" customHeight="1" x14ac:dyDescent="0.25">
      <c r="A380" t="s">
        <v>995</v>
      </c>
      <c r="B380" t="s">
        <v>999</v>
      </c>
      <c r="C380">
        <v>2026</v>
      </c>
      <c r="D380" t="s">
        <v>70</v>
      </c>
      <c r="E380" s="1"/>
    </row>
    <row r="381" spans="1:5" ht="15" customHeight="1" x14ac:dyDescent="0.25">
      <c r="A381" t="s">
        <v>1011</v>
      </c>
      <c r="B381" t="s">
        <v>2505</v>
      </c>
      <c r="C381">
        <v>2020</v>
      </c>
      <c r="E381" s="1" t="s">
        <v>2692</v>
      </c>
    </row>
    <row r="382" spans="1:5" ht="15" customHeight="1" x14ac:dyDescent="0.25">
      <c r="A382" t="s">
        <v>6497</v>
      </c>
      <c r="B382" t="s">
        <v>6499</v>
      </c>
      <c r="C382">
        <v>2021</v>
      </c>
      <c r="D382" t="s">
        <v>70</v>
      </c>
    </row>
    <row r="383" spans="1:5" ht="15" customHeight="1" x14ac:dyDescent="0.25">
      <c r="A383" t="s">
        <v>1015</v>
      </c>
      <c r="B383" t="s">
        <v>610</v>
      </c>
      <c r="C383">
        <v>2015</v>
      </c>
      <c r="E383" s="1" t="s">
        <v>2602</v>
      </c>
    </row>
    <row r="384" spans="1:5" ht="15" customHeight="1" x14ac:dyDescent="0.25">
      <c r="A384" t="s">
        <v>1022</v>
      </c>
      <c r="B384" t="s">
        <v>338</v>
      </c>
      <c r="C384">
        <v>2020</v>
      </c>
      <c r="E384" s="1" t="s">
        <v>2693</v>
      </c>
    </row>
    <row r="385" spans="1:5" ht="15" customHeight="1" x14ac:dyDescent="0.25">
      <c r="A385" t="s">
        <v>1022</v>
      </c>
      <c r="B385" t="s">
        <v>562</v>
      </c>
      <c r="C385">
        <v>2020</v>
      </c>
      <c r="E385" s="1" t="s">
        <v>2694</v>
      </c>
    </row>
    <row r="386" spans="1:5" ht="15" customHeight="1" x14ac:dyDescent="0.25">
      <c r="A386" t="s">
        <v>1022</v>
      </c>
      <c r="B386" t="s">
        <v>1786</v>
      </c>
      <c r="C386">
        <v>2020</v>
      </c>
      <c r="E386" s="1" t="s">
        <v>2620</v>
      </c>
    </row>
    <row r="387" spans="1:5" ht="15" customHeight="1" x14ac:dyDescent="0.25">
      <c r="A387" t="s">
        <v>1022</v>
      </c>
      <c r="B387" t="s">
        <v>2364</v>
      </c>
      <c r="C387">
        <v>2020</v>
      </c>
      <c r="E387" s="1" t="s">
        <v>2588</v>
      </c>
    </row>
    <row r="388" spans="1:5" ht="15" customHeight="1" x14ac:dyDescent="0.25">
      <c r="A388" t="s">
        <v>1026</v>
      </c>
      <c r="B388" t="s">
        <v>1030</v>
      </c>
      <c r="C388">
        <v>2022</v>
      </c>
      <c r="D388" t="s">
        <v>70</v>
      </c>
      <c r="E388" s="1"/>
    </row>
    <row r="389" spans="1:5" ht="15" customHeight="1" x14ac:dyDescent="0.25">
      <c r="A389" t="s">
        <v>1034</v>
      </c>
      <c r="B389" t="s">
        <v>131</v>
      </c>
      <c r="C389">
        <v>1984</v>
      </c>
      <c r="E389" s="1" t="s">
        <v>2695</v>
      </c>
    </row>
    <row r="390" spans="1:5" ht="15" customHeight="1" x14ac:dyDescent="0.25">
      <c r="A390" t="s">
        <v>1034</v>
      </c>
      <c r="B390" t="s">
        <v>793</v>
      </c>
      <c r="C390">
        <v>1984</v>
      </c>
      <c r="E390" s="1" t="s">
        <v>2696</v>
      </c>
    </row>
    <row r="391" spans="1:5" ht="15" customHeight="1" x14ac:dyDescent="0.25">
      <c r="A391" t="s">
        <v>1034</v>
      </c>
      <c r="B391" t="s">
        <v>933</v>
      </c>
      <c r="C391">
        <v>1984</v>
      </c>
      <c r="E391" s="11" t="s">
        <v>2697</v>
      </c>
    </row>
    <row r="392" spans="1:5" ht="15" customHeight="1" x14ac:dyDescent="0.25">
      <c r="A392" t="s">
        <v>1034</v>
      </c>
      <c r="B392" t="s">
        <v>940</v>
      </c>
      <c r="C392">
        <v>1984</v>
      </c>
      <c r="E392" s="11" t="s">
        <v>2522</v>
      </c>
    </row>
    <row r="393" spans="1:5" ht="15" customHeight="1" x14ac:dyDescent="0.25">
      <c r="A393" t="s">
        <v>1034</v>
      </c>
      <c r="B393" t="s">
        <v>1291</v>
      </c>
      <c r="C393">
        <v>1984</v>
      </c>
      <c r="E393" s="1" t="s">
        <v>2698</v>
      </c>
    </row>
    <row r="394" spans="1:5" ht="15" customHeight="1" x14ac:dyDescent="0.25">
      <c r="A394" t="s">
        <v>1034</v>
      </c>
      <c r="B394" t="s">
        <v>1482</v>
      </c>
      <c r="C394">
        <v>1984</v>
      </c>
      <c r="E394" s="1" t="s">
        <v>2699</v>
      </c>
    </row>
    <row r="395" spans="1:5" ht="15" customHeight="1" x14ac:dyDescent="0.25">
      <c r="A395" t="s">
        <v>1037</v>
      </c>
      <c r="B395" t="s">
        <v>2502</v>
      </c>
      <c r="C395">
        <v>2022</v>
      </c>
      <c r="E395" s="1" t="s">
        <v>2532</v>
      </c>
    </row>
    <row r="396" spans="1:5" ht="15" customHeight="1" x14ac:dyDescent="0.25">
      <c r="A396" t="s">
        <v>1044</v>
      </c>
      <c r="B396" t="s">
        <v>61</v>
      </c>
      <c r="C396">
        <v>2019</v>
      </c>
      <c r="E396" s="1" t="s">
        <v>2538</v>
      </c>
    </row>
    <row r="397" spans="1:5" ht="15" customHeight="1" x14ac:dyDescent="0.25">
      <c r="A397" t="s">
        <v>1044</v>
      </c>
      <c r="B397" t="s">
        <v>170</v>
      </c>
      <c r="C397">
        <v>2019</v>
      </c>
      <c r="E397" s="1" t="s">
        <v>2700</v>
      </c>
    </row>
    <row r="398" spans="1:5" ht="15" customHeight="1" x14ac:dyDescent="0.25">
      <c r="A398" t="s">
        <v>1044</v>
      </c>
      <c r="B398" t="s">
        <v>177</v>
      </c>
      <c r="C398">
        <v>2019</v>
      </c>
      <c r="E398" s="1" t="s">
        <v>2584</v>
      </c>
    </row>
    <row r="399" spans="1:5" ht="15" customHeight="1" x14ac:dyDescent="0.25">
      <c r="A399" t="s">
        <v>1044</v>
      </c>
      <c r="B399" t="s">
        <v>244</v>
      </c>
      <c r="C399">
        <v>2019</v>
      </c>
      <c r="E399" s="1" t="s">
        <v>2612</v>
      </c>
    </row>
    <row r="400" spans="1:5" ht="15" customHeight="1" x14ac:dyDescent="0.25">
      <c r="A400" t="s">
        <v>1044</v>
      </c>
      <c r="B400" t="s">
        <v>6352</v>
      </c>
      <c r="C400">
        <v>2019</v>
      </c>
      <c r="E400" s="11" t="s">
        <v>6351</v>
      </c>
    </row>
    <row r="401" spans="1:5" ht="15" customHeight="1" x14ac:dyDescent="0.25">
      <c r="A401" t="s">
        <v>1044</v>
      </c>
      <c r="B401" t="s">
        <v>297</v>
      </c>
      <c r="C401">
        <v>2019</v>
      </c>
      <c r="E401" s="1" t="s">
        <v>2519</v>
      </c>
    </row>
    <row r="402" spans="1:5" ht="15" customHeight="1" x14ac:dyDescent="0.25">
      <c r="A402" t="s">
        <v>1044</v>
      </c>
      <c r="B402" t="s">
        <v>338</v>
      </c>
      <c r="C402">
        <v>2019</v>
      </c>
      <c r="E402" s="1" t="s">
        <v>2693</v>
      </c>
    </row>
    <row r="403" spans="1:5" ht="15" customHeight="1" x14ac:dyDescent="0.25">
      <c r="A403" t="s">
        <v>1044</v>
      </c>
      <c r="B403" t="s">
        <v>438</v>
      </c>
      <c r="C403">
        <v>2019</v>
      </c>
      <c r="E403" s="1" t="s">
        <v>2519</v>
      </c>
    </row>
    <row r="404" spans="1:5" ht="15" customHeight="1" x14ac:dyDescent="0.25">
      <c r="A404" t="s">
        <v>1044</v>
      </c>
      <c r="B404" t="s">
        <v>533</v>
      </c>
      <c r="C404">
        <v>2019</v>
      </c>
      <c r="E404" s="1" t="s">
        <v>2613</v>
      </c>
    </row>
    <row r="405" spans="1:5" ht="15" customHeight="1" x14ac:dyDescent="0.25">
      <c r="A405" t="s">
        <v>1044</v>
      </c>
      <c r="B405" t="s">
        <v>562</v>
      </c>
      <c r="C405">
        <v>2019</v>
      </c>
      <c r="E405" s="1" t="s">
        <v>2694</v>
      </c>
    </row>
    <row r="406" spans="1:5" ht="15" customHeight="1" x14ac:dyDescent="0.25">
      <c r="A406" t="s">
        <v>1044</v>
      </c>
      <c r="B406" t="s">
        <v>593</v>
      </c>
      <c r="C406">
        <v>2019</v>
      </c>
      <c r="E406" s="1" t="s">
        <v>2701</v>
      </c>
    </row>
    <row r="407" spans="1:5" ht="15" customHeight="1" x14ac:dyDescent="0.25">
      <c r="A407" t="s">
        <v>1044</v>
      </c>
      <c r="B407" t="s">
        <v>636</v>
      </c>
      <c r="C407">
        <v>2019</v>
      </c>
      <c r="E407" s="1" t="s">
        <v>2591</v>
      </c>
    </row>
    <row r="408" spans="1:5" ht="15" customHeight="1" x14ac:dyDescent="0.25">
      <c r="A408" t="s">
        <v>1044</v>
      </c>
      <c r="B408" t="s">
        <v>746</v>
      </c>
      <c r="C408">
        <v>2019</v>
      </c>
      <c r="E408" s="1" t="s">
        <v>2615</v>
      </c>
    </row>
    <row r="409" spans="1:5" ht="15" customHeight="1" x14ac:dyDescent="0.25">
      <c r="A409" t="s">
        <v>1044</v>
      </c>
      <c r="B409" t="s">
        <v>791</v>
      </c>
      <c r="C409">
        <v>2019</v>
      </c>
      <c r="E409" s="1" t="s">
        <v>2616</v>
      </c>
    </row>
    <row r="410" spans="1:5" ht="15" customHeight="1" x14ac:dyDescent="0.25">
      <c r="A410" t="s">
        <v>1044</v>
      </c>
      <c r="B410" t="s">
        <v>811</v>
      </c>
      <c r="C410">
        <v>2019</v>
      </c>
      <c r="E410" s="1" t="s">
        <v>2519</v>
      </c>
    </row>
    <row r="411" spans="1:5" ht="15" customHeight="1" x14ac:dyDescent="0.25">
      <c r="A411" t="s">
        <v>1044</v>
      </c>
      <c r="B411" t="s">
        <v>902</v>
      </c>
      <c r="C411">
        <v>2019</v>
      </c>
      <c r="E411" s="1" t="s">
        <v>2702</v>
      </c>
    </row>
    <row r="412" spans="1:5" ht="15" customHeight="1" x14ac:dyDescent="0.25">
      <c r="A412" t="s">
        <v>1044</v>
      </c>
      <c r="B412" t="s">
        <v>929</v>
      </c>
      <c r="C412">
        <v>2019</v>
      </c>
      <c r="E412" s="1" t="s">
        <v>2594</v>
      </c>
    </row>
    <row r="413" spans="1:5" ht="15" customHeight="1" x14ac:dyDescent="0.25">
      <c r="A413" t="s">
        <v>1044</v>
      </c>
      <c r="B413" t="s">
        <v>979</v>
      </c>
      <c r="C413">
        <v>2019</v>
      </c>
      <c r="E413" s="1" t="s">
        <v>2519</v>
      </c>
    </row>
    <row r="414" spans="1:5" ht="15" customHeight="1" x14ac:dyDescent="0.25">
      <c r="A414" t="s">
        <v>1044</v>
      </c>
      <c r="B414" t="s">
        <v>1048</v>
      </c>
      <c r="C414">
        <v>2019</v>
      </c>
      <c r="D414" t="s">
        <v>70</v>
      </c>
      <c r="E414" s="1"/>
    </row>
    <row r="415" spans="1:5" ht="15" customHeight="1" x14ac:dyDescent="0.25">
      <c r="A415" t="s">
        <v>1044</v>
      </c>
      <c r="B415" t="s">
        <v>1076</v>
      </c>
      <c r="C415">
        <v>2019</v>
      </c>
      <c r="E415" s="1" t="s">
        <v>2703</v>
      </c>
    </row>
    <row r="416" spans="1:5" ht="15" customHeight="1" x14ac:dyDescent="0.25">
      <c r="A416" t="s">
        <v>1044</v>
      </c>
      <c r="B416" t="s">
        <v>1094</v>
      </c>
      <c r="C416">
        <v>2019</v>
      </c>
      <c r="E416" s="1" t="s">
        <v>2606</v>
      </c>
    </row>
    <row r="417" spans="1:5" ht="15" customHeight="1" x14ac:dyDescent="0.25">
      <c r="A417" t="s">
        <v>1044</v>
      </c>
      <c r="B417" t="s">
        <v>6393</v>
      </c>
      <c r="C417">
        <v>2019</v>
      </c>
      <c r="E417" s="11" t="s">
        <v>6392</v>
      </c>
    </row>
    <row r="418" spans="1:5" ht="15" customHeight="1" x14ac:dyDescent="0.25">
      <c r="A418" t="s">
        <v>1044</v>
      </c>
      <c r="B418" t="s">
        <v>1104</v>
      </c>
      <c r="C418">
        <v>2019</v>
      </c>
      <c r="E418" s="1" t="s">
        <v>2704</v>
      </c>
    </row>
    <row r="419" spans="1:5" ht="15" customHeight="1" x14ac:dyDescent="0.25">
      <c r="A419" t="s">
        <v>1044</v>
      </c>
      <c r="B419" t="s">
        <v>1215</v>
      </c>
      <c r="C419">
        <v>2019</v>
      </c>
      <c r="E419" s="1" t="s">
        <v>2592</v>
      </c>
    </row>
    <row r="420" spans="1:5" ht="15" customHeight="1" x14ac:dyDescent="0.25">
      <c r="A420" t="s">
        <v>1044</v>
      </c>
      <c r="B420" t="s">
        <v>1289</v>
      </c>
      <c r="C420">
        <v>2019</v>
      </c>
      <c r="E420" s="1" t="s">
        <v>2705</v>
      </c>
    </row>
    <row r="421" spans="1:5" ht="15" customHeight="1" x14ac:dyDescent="0.25">
      <c r="A421" t="s">
        <v>1044</v>
      </c>
      <c r="B421" t="s">
        <v>6558</v>
      </c>
      <c r="C421">
        <v>2019</v>
      </c>
      <c r="E421" t="s">
        <v>2538</v>
      </c>
    </row>
    <row r="422" spans="1:5" ht="15" customHeight="1" x14ac:dyDescent="0.25">
      <c r="A422" t="s">
        <v>1044</v>
      </c>
      <c r="B422" t="s">
        <v>1538</v>
      </c>
      <c r="C422">
        <v>2019</v>
      </c>
      <c r="E422" s="1" t="s">
        <v>2538</v>
      </c>
    </row>
    <row r="423" spans="1:5" ht="15" customHeight="1" x14ac:dyDescent="0.25">
      <c r="A423" t="s">
        <v>1044</v>
      </c>
      <c r="B423" t="s">
        <v>1684</v>
      </c>
      <c r="C423">
        <v>2019</v>
      </c>
      <c r="E423" s="1" t="s">
        <v>2706</v>
      </c>
    </row>
    <row r="424" spans="1:5" ht="15" customHeight="1" x14ac:dyDescent="0.25">
      <c r="A424" t="s">
        <v>1044</v>
      </c>
      <c r="B424" t="s">
        <v>1719</v>
      </c>
      <c r="C424">
        <v>2019</v>
      </c>
      <c r="E424" s="1" t="s">
        <v>2519</v>
      </c>
    </row>
    <row r="425" spans="1:5" ht="15" customHeight="1" x14ac:dyDescent="0.25">
      <c r="A425" t="s">
        <v>1044</v>
      </c>
      <c r="B425" t="s">
        <v>1721</v>
      </c>
      <c r="C425">
        <v>2019</v>
      </c>
      <c r="E425" s="1" t="s">
        <v>2707</v>
      </c>
    </row>
    <row r="426" spans="1:5" ht="15" customHeight="1" x14ac:dyDescent="0.25">
      <c r="A426" t="s">
        <v>1044</v>
      </c>
      <c r="B426" t="s">
        <v>6572</v>
      </c>
      <c r="C426">
        <v>2019</v>
      </c>
      <c r="E426" s="23" t="s">
        <v>2519</v>
      </c>
    </row>
    <row r="427" spans="1:5" ht="15" customHeight="1" x14ac:dyDescent="0.25">
      <c r="A427" t="s">
        <v>1044</v>
      </c>
      <c r="B427" t="s">
        <v>1899</v>
      </c>
      <c r="C427">
        <v>2019</v>
      </c>
      <c r="E427" s="1" t="s">
        <v>2519</v>
      </c>
    </row>
    <row r="428" spans="1:5" ht="15" customHeight="1" x14ac:dyDescent="0.25">
      <c r="A428" t="s">
        <v>1044</v>
      </c>
      <c r="B428" t="s">
        <v>1998</v>
      </c>
      <c r="C428">
        <v>2019</v>
      </c>
      <c r="E428" s="1" t="s">
        <v>2708</v>
      </c>
    </row>
    <row r="429" spans="1:5" ht="15" customHeight="1" x14ac:dyDescent="0.25">
      <c r="A429" t="s">
        <v>1044</v>
      </c>
      <c r="B429" t="s">
        <v>2036</v>
      </c>
      <c r="C429">
        <v>2019</v>
      </c>
      <c r="E429" s="1" t="s">
        <v>2519</v>
      </c>
    </row>
    <row r="430" spans="1:5" ht="15" customHeight="1" x14ac:dyDescent="0.25">
      <c r="A430" t="s">
        <v>1044</v>
      </c>
      <c r="B430" t="s">
        <v>2064</v>
      </c>
      <c r="C430">
        <v>2019</v>
      </c>
      <c r="E430" s="1" t="s">
        <v>2709</v>
      </c>
    </row>
    <row r="431" spans="1:5" ht="15" customHeight="1" x14ac:dyDescent="0.25">
      <c r="A431" t="s">
        <v>1044</v>
      </c>
      <c r="B431" t="s">
        <v>2110</v>
      </c>
      <c r="C431">
        <v>2019</v>
      </c>
      <c r="E431" s="1" t="s">
        <v>2656</v>
      </c>
    </row>
    <row r="432" spans="1:5" ht="15" customHeight="1" x14ac:dyDescent="0.25">
      <c r="A432" t="s">
        <v>1044</v>
      </c>
      <c r="B432" t="s">
        <v>2137</v>
      </c>
      <c r="C432">
        <v>2019</v>
      </c>
      <c r="E432" s="1" t="s">
        <v>2710</v>
      </c>
    </row>
    <row r="433" spans="1:5" ht="15" customHeight="1" x14ac:dyDescent="0.25">
      <c r="A433" t="s">
        <v>1044</v>
      </c>
      <c r="B433" t="s">
        <v>2173</v>
      </c>
      <c r="C433">
        <v>2019</v>
      </c>
      <c r="E433" s="1" t="s">
        <v>2711</v>
      </c>
    </row>
    <row r="434" spans="1:5" ht="15" customHeight="1" x14ac:dyDescent="0.25">
      <c r="A434" t="s">
        <v>1044</v>
      </c>
      <c r="B434" t="s">
        <v>2182</v>
      </c>
      <c r="C434">
        <v>2019</v>
      </c>
      <c r="E434" s="1" t="s">
        <v>2712</v>
      </c>
    </row>
    <row r="435" spans="1:5" ht="15" customHeight="1" x14ac:dyDescent="0.25">
      <c r="A435" t="s">
        <v>1044</v>
      </c>
      <c r="B435" t="s">
        <v>2252</v>
      </c>
      <c r="C435">
        <v>2019</v>
      </c>
      <c r="E435" s="1" t="s">
        <v>2672</v>
      </c>
    </row>
    <row r="436" spans="1:5" ht="15" customHeight="1" x14ac:dyDescent="0.25">
      <c r="A436" t="s">
        <v>1044</v>
      </c>
      <c r="B436" t="s">
        <v>2266</v>
      </c>
      <c r="C436">
        <v>2019</v>
      </c>
      <c r="E436" s="1" t="s">
        <v>2673</v>
      </c>
    </row>
    <row r="437" spans="1:5" ht="15" customHeight="1" x14ac:dyDescent="0.25">
      <c r="A437" t="s">
        <v>1044</v>
      </c>
      <c r="B437" t="s">
        <v>2364</v>
      </c>
      <c r="C437">
        <v>2019</v>
      </c>
      <c r="E437" s="1" t="s">
        <v>2588</v>
      </c>
    </row>
    <row r="438" spans="1:5" ht="15" customHeight="1" x14ac:dyDescent="0.25">
      <c r="A438" t="s">
        <v>1044</v>
      </c>
      <c r="B438" t="s">
        <v>2473</v>
      </c>
      <c r="C438">
        <v>2019</v>
      </c>
      <c r="E438" s="1" t="s">
        <v>2538</v>
      </c>
    </row>
    <row r="439" spans="1:5" ht="15" customHeight="1" x14ac:dyDescent="0.25">
      <c r="A439" t="s">
        <v>1044</v>
      </c>
      <c r="B439" t="s">
        <v>2490</v>
      </c>
      <c r="C439">
        <v>2019</v>
      </c>
      <c r="E439" s="1" t="s">
        <v>2519</v>
      </c>
    </row>
    <row r="440" spans="1:5" ht="15" customHeight="1" x14ac:dyDescent="0.25">
      <c r="A440" t="s">
        <v>1052</v>
      </c>
      <c r="B440" t="s">
        <v>250</v>
      </c>
      <c r="C440">
        <v>2023</v>
      </c>
      <c r="E440" s="11" t="s">
        <v>2570</v>
      </c>
    </row>
    <row r="441" spans="1:5" ht="15" customHeight="1" x14ac:dyDescent="0.25">
      <c r="A441" t="s">
        <v>1052</v>
      </c>
      <c r="B441" t="s">
        <v>6393</v>
      </c>
      <c r="C441">
        <v>2023</v>
      </c>
      <c r="E441" s="11" t="s">
        <v>6394</v>
      </c>
    </row>
    <row r="442" spans="1:5" ht="15" customHeight="1" x14ac:dyDescent="0.25">
      <c r="A442" t="s">
        <v>1052</v>
      </c>
      <c r="B442" t="s">
        <v>1189</v>
      </c>
      <c r="C442">
        <v>2023</v>
      </c>
      <c r="E442" s="1" t="s">
        <v>2625</v>
      </c>
    </row>
    <row r="443" spans="1:5" ht="15" customHeight="1" x14ac:dyDescent="0.25">
      <c r="A443" t="s">
        <v>1056</v>
      </c>
      <c r="B443" t="s">
        <v>1060</v>
      </c>
      <c r="C443">
        <v>2014</v>
      </c>
      <c r="E443" s="1"/>
    </row>
    <row r="444" spans="1:5" ht="15" customHeight="1" x14ac:dyDescent="0.25">
      <c r="A444" t="s">
        <v>1056</v>
      </c>
      <c r="B444" t="s">
        <v>1062</v>
      </c>
      <c r="C444">
        <v>2014</v>
      </c>
      <c r="D444" t="s">
        <v>70</v>
      </c>
    </row>
    <row r="445" spans="1:5" ht="15" customHeight="1" x14ac:dyDescent="0.25">
      <c r="A445" t="s">
        <v>1112</v>
      </c>
      <c r="B445" t="s">
        <v>832</v>
      </c>
      <c r="C445">
        <v>2018</v>
      </c>
      <c r="E445" s="1" t="s">
        <v>2605</v>
      </c>
    </row>
    <row r="446" spans="1:5" ht="15" customHeight="1" x14ac:dyDescent="0.25">
      <c r="A446" t="s">
        <v>1112</v>
      </c>
      <c r="B446" t="s">
        <v>1116</v>
      </c>
      <c r="C446">
        <v>2018</v>
      </c>
      <c r="D446" t="s">
        <v>70</v>
      </c>
      <c r="E446" s="1"/>
    </row>
    <row r="447" spans="1:5" ht="15" customHeight="1" x14ac:dyDescent="0.25">
      <c r="A447" t="s">
        <v>1112</v>
      </c>
      <c r="B447" t="s">
        <v>2300</v>
      </c>
      <c r="C447">
        <v>2018</v>
      </c>
      <c r="E447" s="1" t="s">
        <v>2519</v>
      </c>
    </row>
    <row r="448" spans="1:5" ht="15" customHeight="1" x14ac:dyDescent="0.25">
      <c r="A448" t="s">
        <v>1126</v>
      </c>
      <c r="B448" t="s">
        <v>6424</v>
      </c>
      <c r="C448">
        <v>2013</v>
      </c>
      <c r="E448" s="11" t="s">
        <v>6427</v>
      </c>
    </row>
    <row r="449" spans="1:5" ht="15" customHeight="1" x14ac:dyDescent="0.25">
      <c r="A449" t="s">
        <v>1126</v>
      </c>
      <c r="B449" t="s">
        <v>1174</v>
      </c>
      <c r="C449">
        <v>2013</v>
      </c>
      <c r="E449" s="1" t="s">
        <v>2713</v>
      </c>
    </row>
    <row r="450" spans="1:5" ht="15" customHeight="1" x14ac:dyDescent="0.25">
      <c r="A450" t="s">
        <v>1158</v>
      </c>
      <c r="B450" t="s">
        <v>2215</v>
      </c>
      <c r="C450">
        <v>2007</v>
      </c>
      <c r="E450" s="1" t="s">
        <v>2530</v>
      </c>
    </row>
    <row r="451" spans="1:5" ht="15" customHeight="1" x14ac:dyDescent="0.25">
      <c r="A451" t="s">
        <v>1166</v>
      </c>
      <c r="B451" t="s">
        <v>206</v>
      </c>
      <c r="C451">
        <v>2021</v>
      </c>
      <c r="E451" s="1" t="s">
        <v>2519</v>
      </c>
    </row>
    <row r="452" spans="1:5" ht="15" customHeight="1" x14ac:dyDescent="0.25">
      <c r="A452" t="s">
        <v>1166</v>
      </c>
      <c r="B452" t="s">
        <v>6352</v>
      </c>
      <c r="C452">
        <v>2021</v>
      </c>
      <c r="E452" s="11" t="s">
        <v>6351</v>
      </c>
    </row>
    <row r="453" spans="1:5" ht="15" customHeight="1" x14ac:dyDescent="0.25">
      <c r="A453" t="s">
        <v>1166</v>
      </c>
      <c r="B453" t="s">
        <v>452</v>
      </c>
      <c r="C453">
        <v>2021</v>
      </c>
      <c r="E453" s="1" t="s">
        <v>2714</v>
      </c>
    </row>
    <row r="454" spans="1:5" ht="15" customHeight="1" x14ac:dyDescent="0.25">
      <c r="A454" t="s">
        <v>1166</v>
      </c>
      <c r="B454" t="s">
        <v>551</v>
      </c>
      <c r="C454">
        <v>2021</v>
      </c>
      <c r="E454" s="1" t="s">
        <v>2547</v>
      </c>
    </row>
    <row r="455" spans="1:5" ht="15" customHeight="1" x14ac:dyDescent="0.25">
      <c r="A455" t="s">
        <v>1166</v>
      </c>
      <c r="B455" t="s">
        <v>671</v>
      </c>
      <c r="C455">
        <v>2021</v>
      </c>
      <c r="E455" s="1" t="s">
        <v>2549</v>
      </c>
    </row>
    <row r="456" spans="1:5" ht="15" customHeight="1" x14ac:dyDescent="0.25">
      <c r="A456" t="s">
        <v>1166</v>
      </c>
      <c r="B456" t="s">
        <v>910</v>
      </c>
      <c r="C456">
        <v>2021</v>
      </c>
      <c r="E456" s="1" t="s">
        <v>2715</v>
      </c>
    </row>
    <row r="457" spans="1:5" ht="15" customHeight="1" x14ac:dyDescent="0.25">
      <c r="A457" t="s">
        <v>1166</v>
      </c>
      <c r="B457" t="s">
        <v>1450</v>
      </c>
      <c r="C457">
        <v>2021</v>
      </c>
      <c r="E457" s="1" t="s">
        <v>2519</v>
      </c>
    </row>
    <row r="458" spans="1:5" ht="15" customHeight="1" x14ac:dyDescent="0.25">
      <c r="A458" t="s">
        <v>1166</v>
      </c>
      <c r="B458" t="s">
        <v>1641</v>
      </c>
      <c r="C458">
        <v>2021</v>
      </c>
      <c r="E458" s="1" t="s">
        <v>2716</v>
      </c>
    </row>
    <row r="459" spans="1:5" ht="15" customHeight="1" x14ac:dyDescent="0.25">
      <c r="A459" t="s">
        <v>1166</v>
      </c>
      <c r="B459" t="s">
        <v>1672</v>
      </c>
      <c r="C459">
        <v>2021</v>
      </c>
      <c r="E459" s="1" t="s">
        <v>2717</v>
      </c>
    </row>
    <row r="460" spans="1:5" ht="15" customHeight="1" x14ac:dyDescent="0.25">
      <c r="A460" t="s">
        <v>1166</v>
      </c>
      <c r="B460" t="s">
        <v>2244</v>
      </c>
      <c r="C460">
        <v>2021</v>
      </c>
      <c r="E460" s="1" t="s">
        <v>2521</v>
      </c>
    </row>
    <row r="461" spans="1:5" ht="15" customHeight="1" x14ac:dyDescent="0.25">
      <c r="A461" t="s">
        <v>1174</v>
      </c>
      <c r="B461" t="s">
        <v>127</v>
      </c>
      <c r="C461">
        <v>2018</v>
      </c>
      <c r="E461" s="1" t="s">
        <v>2718</v>
      </c>
    </row>
    <row r="462" spans="1:5" ht="15" customHeight="1" x14ac:dyDescent="0.25">
      <c r="A462" t="s">
        <v>1174</v>
      </c>
      <c r="B462" t="s">
        <v>6588</v>
      </c>
      <c r="C462">
        <v>2018</v>
      </c>
      <c r="E462" t="s">
        <v>2538</v>
      </c>
    </row>
    <row r="463" spans="1:5" ht="15" customHeight="1" x14ac:dyDescent="0.25">
      <c r="A463" t="s">
        <v>1174</v>
      </c>
      <c r="B463" t="s">
        <v>206</v>
      </c>
      <c r="C463">
        <v>2018</v>
      </c>
      <c r="E463" s="1" t="s">
        <v>2719</v>
      </c>
    </row>
    <row r="464" spans="1:5" ht="15" customHeight="1" x14ac:dyDescent="0.25">
      <c r="A464" t="s">
        <v>1174</v>
      </c>
      <c r="B464" t="s">
        <v>501</v>
      </c>
      <c r="C464">
        <v>2018</v>
      </c>
      <c r="E464" s="1" t="s">
        <v>2519</v>
      </c>
    </row>
    <row r="465" spans="1:5" ht="15" customHeight="1" x14ac:dyDescent="0.25">
      <c r="A465" t="s">
        <v>1174</v>
      </c>
      <c r="B465" t="s">
        <v>6372</v>
      </c>
      <c r="C465">
        <v>2018</v>
      </c>
      <c r="E465" s="11" t="s">
        <v>6371</v>
      </c>
    </row>
    <row r="466" spans="1:5" ht="15" customHeight="1" x14ac:dyDescent="0.25">
      <c r="A466" t="s">
        <v>1174</v>
      </c>
      <c r="B466" t="s">
        <v>601</v>
      </c>
      <c r="C466">
        <v>2018</v>
      </c>
      <c r="E466" s="1" t="s">
        <v>2519</v>
      </c>
    </row>
    <row r="467" spans="1:5" ht="15" customHeight="1" x14ac:dyDescent="0.25">
      <c r="A467" t="s">
        <v>1174</v>
      </c>
      <c r="B467" t="s">
        <v>673</v>
      </c>
      <c r="C467">
        <v>2018</v>
      </c>
      <c r="E467" s="1" t="s">
        <v>2680</v>
      </c>
    </row>
    <row r="468" spans="1:5" ht="15" customHeight="1" x14ac:dyDescent="0.25">
      <c r="A468" t="s">
        <v>1174</v>
      </c>
      <c r="B468" t="s">
        <v>6476</v>
      </c>
      <c r="C468">
        <v>2018</v>
      </c>
      <c r="E468" t="s">
        <v>2519</v>
      </c>
    </row>
    <row r="469" spans="1:5" ht="15" customHeight="1" x14ac:dyDescent="0.25">
      <c r="A469" t="s">
        <v>1174</v>
      </c>
      <c r="B469" t="s">
        <v>867</v>
      </c>
      <c r="C469">
        <v>2018</v>
      </c>
      <c r="E469" s="1" t="s">
        <v>2720</v>
      </c>
    </row>
    <row r="470" spans="1:5" ht="15" customHeight="1" x14ac:dyDescent="0.25">
      <c r="A470" t="s">
        <v>1174</v>
      </c>
      <c r="B470" t="s">
        <v>885</v>
      </c>
      <c r="C470">
        <v>2018</v>
      </c>
      <c r="E470" s="11" t="s">
        <v>2721</v>
      </c>
    </row>
    <row r="471" spans="1:5" ht="15" customHeight="1" x14ac:dyDescent="0.25">
      <c r="A471" t="s">
        <v>1174</v>
      </c>
      <c r="B471" t="s">
        <v>1346</v>
      </c>
      <c r="C471">
        <v>2018</v>
      </c>
      <c r="E471" s="1" t="s">
        <v>2722</v>
      </c>
    </row>
    <row r="472" spans="1:5" ht="15" customHeight="1" x14ac:dyDescent="0.25">
      <c r="A472" t="s">
        <v>1174</v>
      </c>
      <c r="B472" t="s">
        <v>1608</v>
      </c>
      <c r="C472">
        <v>2018</v>
      </c>
      <c r="E472" s="1" t="s">
        <v>2723</v>
      </c>
    </row>
    <row r="473" spans="1:5" ht="15" customHeight="1" x14ac:dyDescent="0.25">
      <c r="A473" t="s">
        <v>1174</v>
      </c>
      <c r="B473" t="s">
        <v>1824</v>
      </c>
      <c r="C473">
        <v>2018</v>
      </c>
      <c r="E473" s="11" t="s">
        <v>2541</v>
      </c>
    </row>
    <row r="474" spans="1:5" ht="15" customHeight="1" x14ac:dyDescent="0.25">
      <c r="A474" t="s">
        <v>1174</v>
      </c>
      <c r="B474" t="s">
        <v>1923</v>
      </c>
      <c r="C474">
        <v>2018</v>
      </c>
      <c r="E474" s="1" t="s">
        <v>2593</v>
      </c>
    </row>
    <row r="475" spans="1:5" ht="15" customHeight="1" x14ac:dyDescent="0.25">
      <c r="A475" t="s">
        <v>1174</v>
      </c>
      <c r="B475" t="s">
        <v>2011</v>
      </c>
      <c r="C475">
        <v>2018</v>
      </c>
      <c r="E475" s="1" t="s">
        <v>2724</v>
      </c>
    </row>
    <row r="476" spans="1:5" ht="15" customHeight="1" x14ac:dyDescent="0.25">
      <c r="A476" t="s">
        <v>1174</v>
      </c>
      <c r="B476" t="s">
        <v>2133</v>
      </c>
      <c r="C476">
        <v>2018</v>
      </c>
      <c r="E476" s="1" t="s">
        <v>2519</v>
      </c>
    </row>
    <row r="477" spans="1:5" ht="15" customHeight="1" x14ac:dyDescent="0.25">
      <c r="A477" t="s">
        <v>1174</v>
      </c>
      <c r="B477" t="s">
        <v>2226</v>
      </c>
      <c r="C477">
        <v>2018</v>
      </c>
      <c r="E477" s="1" t="s">
        <v>2569</v>
      </c>
    </row>
    <row r="478" spans="1:5" ht="15" customHeight="1" x14ac:dyDescent="0.25">
      <c r="A478" t="s">
        <v>1174</v>
      </c>
      <c r="B478" t="s">
        <v>2236</v>
      </c>
      <c r="C478">
        <v>2018</v>
      </c>
      <c r="E478" s="1" t="s">
        <v>2725</v>
      </c>
    </row>
    <row r="479" spans="1:5" ht="15" customHeight="1" x14ac:dyDescent="0.25">
      <c r="A479" t="s">
        <v>1182</v>
      </c>
      <c r="B479" t="s">
        <v>385</v>
      </c>
      <c r="C479">
        <v>2001</v>
      </c>
      <c r="E479" s="11" t="s">
        <v>2726</v>
      </c>
    </row>
    <row r="480" spans="1:5" ht="15" customHeight="1" x14ac:dyDescent="0.25">
      <c r="A480" t="s">
        <v>1187</v>
      </c>
      <c r="B480" t="s">
        <v>1185</v>
      </c>
      <c r="C480">
        <v>2006</v>
      </c>
      <c r="D480" t="s">
        <v>70</v>
      </c>
      <c r="E480" s="1"/>
    </row>
    <row r="481" spans="1:5" ht="15" customHeight="1" x14ac:dyDescent="0.25">
      <c r="A481" t="s">
        <v>1219</v>
      </c>
      <c r="B481" t="s">
        <v>709</v>
      </c>
      <c r="C481">
        <v>2016</v>
      </c>
      <c r="E481" s="1" t="s">
        <v>2519</v>
      </c>
    </row>
    <row r="482" spans="1:5" ht="15" customHeight="1" x14ac:dyDescent="0.25">
      <c r="A482" t="s">
        <v>1219</v>
      </c>
      <c r="B482" t="s">
        <v>750</v>
      </c>
      <c r="C482">
        <v>2016</v>
      </c>
      <c r="E482" s="1" t="s">
        <v>2727</v>
      </c>
    </row>
    <row r="483" spans="1:5" ht="15" customHeight="1" x14ac:dyDescent="0.25">
      <c r="A483" t="s">
        <v>1219</v>
      </c>
      <c r="B483" t="s">
        <v>1711</v>
      </c>
      <c r="C483">
        <v>2016</v>
      </c>
      <c r="E483" s="1" t="s">
        <v>2538</v>
      </c>
    </row>
    <row r="484" spans="1:5" ht="15" customHeight="1" x14ac:dyDescent="0.25">
      <c r="A484" t="s">
        <v>1260</v>
      </c>
      <c r="B484" t="s">
        <v>762</v>
      </c>
      <c r="C484">
        <v>1995</v>
      </c>
      <c r="E484" s="1" t="s">
        <v>2728</v>
      </c>
    </row>
    <row r="485" spans="1:5" ht="15" customHeight="1" x14ac:dyDescent="0.25">
      <c r="A485" t="s">
        <v>1260</v>
      </c>
      <c r="B485" t="s">
        <v>6443</v>
      </c>
      <c r="C485">
        <v>1995</v>
      </c>
      <c r="E485" s="11" t="s">
        <v>6446</v>
      </c>
    </row>
    <row r="486" spans="1:5" ht="15" customHeight="1" x14ac:dyDescent="0.25">
      <c r="A486" t="s">
        <v>1260</v>
      </c>
      <c r="B486" t="s">
        <v>1677</v>
      </c>
      <c r="C486">
        <v>1995</v>
      </c>
      <c r="E486" s="11" t="s">
        <v>6428</v>
      </c>
    </row>
    <row r="487" spans="1:5" ht="15" customHeight="1" x14ac:dyDescent="0.25">
      <c r="A487" t="s">
        <v>1260</v>
      </c>
      <c r="B487" t="s">
        <v>2086</v>
      </c>
      <c r="C487">
        <v>1995</v>
      </c>
      <c r="E487" s="1" t="s">
        <v>2729</v>
      </c>
    </row>
    <row r="488" spans="1:5" ht="15" customHeight="1" x14ac:dyDescent="0.25">
      <c r="A488" t="s">
        <v>1271</v>
      </c>
      <c r="B488" t="s">
        <v>6503</v>
      </c>
      <c r="C488">
        <v>2021</v>
      </c>
      <c r="E488" s="11" t="s">
        <v>6505</v>
      </c>
    </row>
    <row r="489" spans="1:5" ht="15" customHeight="1" x14ac:dyDescent="0.25">
      <c r="A489" t="s">
        <v>1271</v>
      </c>
      <c r="B489" t="s">
        <v>2110</v>
      </c>
      <c r="C489">
        <v>2021</v>
      </c>
      <c r="E489" s="1" t="s">
        <v>2656</v>
      </c>
    </row>
    <row r="490" spans="1:5" ht="15" customHeight="1" x14ac:dyDescent="0.25">
      <c r="A490" t="s">
        <v>1271</v>
      </c>
      <c r="B490" t="s">
        <v>2441</v>
      </c>
      <c r="C490">
        <v>2021</v>
      </c>
      <c r="E490" s="1" t="s">
        <v>2730</v>
      </c>
    </row>
    <row r="491" spans="1:5" ht="15" customHeight="1" x14ac:dyDescent="0.25">
      <c r="A491" t="s">
        <v>1291</v>
      </c>
      <c r="B491" t="s">
        <v>1145</v>
      </c>
      <c r="C491">
        <v>2001</v>
      </c>
      <c r="E491" s="1" t="s">
        <v>2653</v>
      </c>
    </row>
    <row r="492" spans="1:5" ht="15" customHeight="1" x14ac:dyDescent="0.25">
      <c r="A492" t="s">
        <v>1295</v>
      </c>
      <c r="B492" t="s">
        <v>206</v>
      </c>
      <c r="C492">
        <v>2021</v>
      </c>
      <c r="E492" s="1" t="s">
        <v>2519</v>
      </c>
    </row>
    <row r="493" spans="1:5" ht="15" customHeight="1" x14ac:dyDescent="0.25">
      <c r="A493" t="s">
        <v>1295</v>
      </c>
      <c r="B493" t="s">
        <v>213</v>
      </c>
      <c r="C493">
        <v>2021</v>
      </c>
      <c r="E493" s="1" t="s">
        <v>2731</v>
      </c>
    </row>
    <row r="494" spans="1:5" ht="15" customHeight="1" x14ac:dyDescent="0.25">
      <c r="A494" t="s">
        <v>1295</v>
      </c>
      <c r="B494" t="s">
        <v>224</v>
      </c>
      <c r="C494">
        <v>2021</v>
      </c>
      <c r="E494" s="1" t="s">
        <v>2519</v>
      </c>
    </row>
    <row r="495" spans="1:5" ht="15" customHeight="1" x14ac:dyDescent="0.25">
      <c r="A495" t="s">
        <v>1295</v>
      </c>
      <c r="B495" t="s">
        <v>277</v>
      </c>
      <c r="C495">
        <v>2021</v>
      </c>
      <c r="E495" s="1" t="s">
        <v>2519</v>
      </c>
    </row>
    <row r="496" spans="1:5" ht="15" customHeight="1" x14ac:dyDescent="0.25">
      <c r="A496" t="s">
        <v>1295</v>
      </c>
      <c r="B496" t="s">
        <v>343</v>
      </c>
      <c r="C496">
        <v>2021</v>
      </c>
      <c r="E496" s="1" t="s">
        <v>2519</v>
      </c>
    </row>
    <row r="497" spans="1:5" ht="15" customHeight="1" x14ac:dyDescent="0.25">
      <c r="A497" t="s">
        <v>1295</v>
      </c>
      <c r="B497" t="s">
        <v>373</v>
      </c>
      <c r="C497">
        <v>2021</v>
      </c>
      <c r="E497" s="1" t="s">
        <v>2732</v>
      </c>
    </row>
    <row r="498" spans="1:5" ht="15" customHeight="1" x14ac:dyDescent="0.25">
      <c r="A498" t="s">
        <v>1295</v>
      </c>
      <c r="B498" t="s">
        <v>497</v>
      </c>
      <c r="C498">
        <v>2021</v>
      </c>
      <c r="E498" s="1" t="s">
        <v>2519</v>
      </c>
    </row>
    <row r="499" spans="1:5" ht="15" customHeight="1" x14ac:dyDescent="0.25">
      <c r="A499" t="s">
        <v>1295</v>
      </c>
      <c r="B499" t="s">
        <v>6356</v>
      </c>
      <c r="C499">
        <v>2021</v>
      </c>
      <c r="E499" s="11" t="s">
        <v>6362</v>
      </c>
    </row>
    <row r="500" spans="1:5" ht="15" customHeight="1" x14ac:dyDescent="0.25">
      <c r="A500" t="s">
        <v>1295</v>
      </c>
      <c r="B500" t="s">
        <v>701</v>
      </c>
      <c r="C500">
        <v>2021</v>
      </c>
      <c r="E500" s="1" t="s">
        <v>2733</v>
      </c>
    </row>
    <row r="501" spans="1:5" ht="15" customHeight="1" x14ac:dyDescent="0.25">
      <c r="A501" t="s">
        <v>1295</v>
      </c>
      <c r="B501" t="s">
        <v>777</v>
      </c>
      <c r="C501">
        <v>2021</v>
      </c>
      <c r="E501" s="1" t="s">
        <v>2519</v>
      </c>
    </row>
    <row r="502" spans="1:5" ht="15" customHeight="1" x14ac:dyDescent="0.25">
      <c r="A502" t="s">
        <v>1295</v>
      </c>
      <c r="B502" t="s">
        <v>820</v>
      </c>
      <c r="C502">
        <v>2021</v>
      </c>
      <c r="E502" s="1" t="s">
        <v>2538</v>
      </c>
    </row>
    <row r="503" spans="1:5" ht="15" customHeight="1" x14ac:dyDescent="0.25">
      <c r="A503" t="s">
        <v>1295</v>
      </c>
      <c r="B503" t="s">
        <v>1299</v>
      </c>
      <c r="C503">
        <v>2021</v>
      </c>
      <c r="E503" s="1" t="s">
        <v>2538</v>
      </c>
    </row>
    <row r="504" spans="1:5" ht="15" customHeight="1" x14ac:dyDescent="0.25">
      <c r="A504" t="s">
        <v>1295</v>
      </c>
      <c r="B504" t="s">
        <v>1492</v>
      </c>
      <c r="C504">
        <v>2021</v>
      </c>
      <c r="E504" s="1" t="s">
        <v>2519</v>
      </c>
    </row>
    <row r="505" spans="1:5" ht="15" customHeight="1" x14ac:dyDescent="0.25">
      <c r="A505" t="s">
        <v>1295</v>
      </c>
      <c r="B505" t="s">
        <v>1561</v>
      </c>
      <c r="C505">
        <v>2021</v>
      </c>
      <c r="E505" s="1" t="s">
        <v>2555</v>
      </c>
    </row>
    <row r="506" spans="1:5" ht="15" customHeight="1" x14ac:dyDescent="0.25">
      <c r="A506" t="s">
        <v>1295</v>
      </c>
      <c r="B506" t="s">
        <v>1637</v>
      </c>
      <c r="C506">
        <v>2021</v>
      </c>
      <c r="E506" s="1" t="s">
        <v>2734</v>
      </c>
    </row>
    <row r="507" spans="1:5" ht="15" customHeight="1" x14ac:dyDescent="0.25">
      <c r="A507" t="s">
        <v>1295</v>
      </c>
      <c r="B507" t="s">
        <v>1863</v>
      </c>
      <c r="C507">
        <v>2021</v>
      </c>
      <c r="E507" s="1" t="s">
        <v>2735</v>
      </c>
    </row>
    <row r="508" spans="1:5" ht="15" customHeight="1" x14ac:dyDescent="0.25">
      <c r="A508" t="s">
        <v>1295</v>
      </c>
      <c r="B508" t="s">
        <v>2028</v>
      </c>
      <c r="C508">
        <v>2021</v>
      </c>
      <c r="E508" s="1" t="s">
        <v>2519</v>
      </c>
    </row>
    <row r="509" spans="1:5" ht="15" customHeight="1" x14ac:dyDescent="0.25">
      <c r="A509" t="s">
        <v>1295</v>
      </c>
      <c r="B509" t="s">
        <v>2072</v>
      </c>
      <c r="C509">
        <v>2021</v>
      </c>
      <c r="E509" s="1" t="s">
        <v>2564</v>
      </c>
    </row>
    <row r="510" spans="1:5" ht="15" customHeight="1" x14ac:dyDescent="0.25">
      <c r="A510" t="s">
        <v>1295</v>
      </c>
      <c r="B510" t="s">
        <v>2118</v>
      </c>
      <c r="C510">
        <v>2021</v>
      </c>
      <c r="E510" s="1" t="s">
        <v>2736</v>
      </c>
    </row>
    <row r="511" spans="1:5" ht="15" customHeight="1" x14ac:dyDescent="0.25">
      <c r="A511" t="s">
        <v>1308</v>
      </c>
      <c r="B511" t="s">
        <v>2356</v>
      </c>
      <c r="C511">
        <v>2019</v>
      </c>
      <c r="E511" s="1" t="s">
        <v>2737</v>
      </c>
    </row>
    <row r="512" spans="1:5" ht="15" customHeight="1" x14ac:dyDescent="0.25">
      <c r="A512" t="s">
        <v>1310</v>
      </c>
      <c r="B512" t="s">
        <v>186</v>
      </c>
      <c r="C512">
        <v>2023</v>
      </c>
      <c r="E512" s="1" t="s">
        <v>2519</v>
      </c>
    </row>
    <row r="513" spans="1:5" ht="15" customHeight="1" x14ac:dyDescent="0.25">
      <c r="A513" t="s">
        <v>1364</v>
      </c>
      <c r="B513" t="s">
        <v>1254</v>
      </c>
      <c r="C513">
        <v>2024</v>
      </c>
      <c r="D513" t="s">
        <v>70</v>
      </c>
      <c r="E513" s="1"/>
    </row>
    <row r="514" spans="1:5" ht="15" customHeight="1" x14ac:dyDescent="0.25">
      <c r="A514" t="s">
        <v>6524</v>
      </c>
      <c r="B514" t="s">
        <v>6528</v>
      </c>
      <c r="C514">
        <v>2012</v>
      </c>
      <c r="D514" t="s">
        <v>70</v>
      </c>
    </row>
    <row r="515" spans="1:5" ht="15" customHeight="1" x14ac:dyDescent="0.25">
      <c r="A515" t="s">
        <v>6522</v>
      </c>
      <c r="B515" t="s">
        <v>6520</v>
      </c>
      <c r="C515">
        <v>2011</v>
      </c>
      <c r="D515" t="s">
        <v>70</v>
      </c>
    </row>
    <row r="516" spans="1:5" ht="15" customHeight="1" x14ac:dyDescent="0.25">
      <c r="A516" t="s">
        <v>6522</v>
      </c>
      <c r="B516" t="s">
        <v>6524</v>
      </c>
      <c r="C516">
        <v>2011</v>
      </c>
      <c r="D516" t="s">
        <v>70</v>
      </c>
    </row>
    <row r="517" spans="1:5" ht="15" customHeight="1" x14ac:dyDescent="0.25">
      <c r="A517" t="s">
        <v>6479</v>
      </c>
      <c r="B517" t="s">
        <v>6476</v>
      </c>
      <c r="C517">
        <v>2002</v>
      </c>
      <c r="E517" t="s">
        <v>2519</v>
      </c>
    </row>
    <row r="518" spans="1:5" ht="15" customHeight="1" x14ac:dyDescent="0.25">
      <c r="A518" t="s">
        <v>6479</v>
      </c>
      <c r="B518" t="s">
        <v>6481</v>
      </c>
      <c r="C518">
        <v>2002</v>
      </c>
      <c r="D518" t="s">
        <v>70</v>
      </c>
    </row>
    <row r="519" spans="1:5" ht="15" customHeight="1" x14ac:dyDescent="0.25">
      <c r="A519" t="s">
        <v>1381</v>
      </c>
      <c r="B519" t="s">
        <v>1383</v>
      </c>
      <c r="C519">
        <v>2022</v>
      </c>
      <c r="D519" t="s">
        <v>70</v>
      </c>
      <c r="E519" s="1"/>
    </row>
    <row r="520" spans="1:5" ht="15" customHeight="1" x14ac:dyDescent="0.25">
      <c r="A520" t="s">
        <v>1385</v>
      </c>
      <c r="B520" t="s">
        <v>610</v>
      </c>
      <c r="C520">
        <v>2017</v>
      </c>
      <c r="E520" s="1" t="s">
        <v>2602</v>
      </c>
    </row>
    <row r="521" spans="1:5" ht="15" customHeight="1" x14ac:dyDescent="0.25">
      <c r="A521" t="s">
        <v>1389</v>
      </c>
      <c r="B521" t="s">
        <v>503</v>
      </c>
      <c r="C521">
        <v>2020</v>
      </c>
      <c r="E521" s="1" t="s">
        <v>2519</v>
      </c>
    </row>
    <row r="522" spans="1:5" ht="15" customHeight="1" x14ac:dyDescent="0.25">
      <c r="A522" t="s">
        <v>1389</v>
      </c>
      <c r="B522" t="s">
        <v>671</v>
      </c>
      <c r="C522">
        <v>2020</v>
      </c>
      <c r="E522" s="1" t="s">
        <v>2549</v>
      </c>
    </row>
    <row r="523" spans="1:5" ht="15" customHeight="1" x14ac:dyDescent="0.25">
      <c r="A523" t="s">
        <v>1389</v>
      </c>
      <c r="B523" t="s">
        <v>673</v>
      </c>
      <c r="C523">
        <v>2020</v>
      </c>
      <c r="E523" s="1" t="s">
        <v>2680</v>
      </c>
    </row>
    <row r="524" spans="1:5" ht="15" customHeight="1" x14ac:dyDescent="0.25">
      <c r="A524" t="s">
        <v>1389</v>
      </c>
      <c r="B524" t="s">
        <v>6327</v>
      </c>
      <c r="C524">
        <v>2020</v>
      </c>
      <c r="D524" t="s">
        <v>70</v>
      </c>
    </row>
    <row r="525" spans="1:5" ht="15" customHeight="1" x14ac:dyDescent="0.25">
      <c r="A525" t="s">
        <v>1389</v>
      </c>
      <c r="B525" t="s">
        <v>1393</v>
      </c>
      <c r="C525">
        <v>2020</v>
      </c>
      <c r="D525" t="s">
        <v>70</v>
      </c>
      <c r="E525" s="1"/>
    </row>
    <row r="526" spans="1:5" ht="15" customHeight="1" x14ac:dyDescent="0.25">
      <c r="A526" t="s">
        <v>1389</v>
      </c>
      <c r="B526" t="s">
        <v>1798</v>
      </c>
      <c r="C526">
        <v>2020</v>
      </c>
      <c r="E526" s="1" t="s">
        <v>2520</v>
      </c>
    </row>
    <row r="527" spans="1:5" ht="15" customHeight="1" x14ac:dyDescent="0.25">
      <c r="A527" t="s">
        <v>1389</v>
      </c>
      <c r="B527" t="s">
        <v>1899</v>
      </c>
      <c r="C527">
        <v>2020</v>
      </c>
      <c r="E527" s="1" t="s">
        <v>2519</v>
      </c>
    </row>
    <row r="528" spans="1:5" ht="15" customHeight="1" x14ac:dyDescent="0.25">
      <c r="A528" t="s">
        <v>1389</v>
      </c>
      <c r="B528" t="s">
        <v>2244</v>
      </c>
      <c r="C528">
        <v>2020</v>
      </c>
      <c r="E528" s="1" t="s">
        <v>2521</v>
      </c>
    </row>
    <row r="529" spans="1:5" ht="15" customHeight="1" x14ac:dyDescent="0.25">
      <c r="A529" t="s">
        <v>1389</v>
      </c>
      <c r="B529" t="s">
        <v>2296</v>
      </c>
      <c r="C529">
        <v>2020</v>
      </c>
      <c r="E529" s="1" t="s">
        <v>2519</v>
      </c>
    </row>
    <row r="530" spans="1:5" ht="15" customHeight="1" x14ac:dyDescent="0.25">
      <c r="A530" t="s">
        <v>1389</v>
      </c>
      <c r="B530" t="s">
        <v>2435</v>
      </c>
      <c r="C530">
        <v>2020</v>
      </c>
      <c r="E530" s="1" t="s">
        <v>2583</v>
      </c>
    </row>
    <row r="531" spans="1:5" ht="15" customHeight="1" x14ac:dyDescent="0.25">
      <c r="A531" t="s">
        <v>1403</v>
      </c>
      <c r="B531" t="s">
        <v>319</v>
      </c>
      <c r="C531">
        <v>2016</v>
      </c>
      <c r="D531" t="s">
        <v>70</v>
      </c>
      <c r="E531" s="1"/>
    </row>
    <row r="532" spans="1:5" ht="15" customHeight="1" x14ac:dyDescent="0.25">
      <c r="A532" t="s">
        <v>1409</v>
      </c>
      <c r="B532" t="s">
        <v>1413</v>
      </c>
      <c r="C532">
        <v>2018</v>
      </c>
      <c r="D532" t="s">
        <v>70</v>
      </c>
      <c r="E532" s="1"/>
    </row>
    <row r="533" spans="1:5" ht="15" customHeight="1" x14ac:dyDescent="0.25">
      <c r="A533" t="s">
        <v>1421</v>
      </c>
      <c r="B533" t="s">
        <v>135</v>
      </c>
      <c r="C533">
        <v>1983</v>
      </c>
      <c r="E533" s="1" t="s">
        <v>2738</v>
      </c>
    </row>
    <row r="534" spans="1:5" ht="15" customHeight="1" x14ac:dyDescent="0.25">
      <c r="A534" t="s">
        <v>1421</v>
      </c>
      <c r="B534" t="s">
        <v>6430</v>
      </c>
      <c r="C534">
        <v>1983</v>
      </c>
      <c r="E534" s="11" t="s">
        <v>6432</v>
      </c>
    </row>
    <row r="535" spans="1:5" ht="15" customHeight="1" x14ac:dyDescent="0.25">
      <c r="A535" t="s">
        <v>1421</v>
      </c>
      <c r="B535" t="s">
        <v>1677</v>
      </c>
      <c r="C535">
        <v>1983</v>
      </c>
      <c r="E535" s="11" t="s">
        <v>6428</v>
      </c>
    </row>
    <row r="536" spans="1:5" ht="15" customHeight="1" x14ac:dyDescent="0.25">
      <c r="A536" t="s">
        <v>1434</v>
      </c>
      <c r="B536" t="s">
        <v>1438</v>
      </c>
      <c r="C536">
        <v>2018</v>
      </c>
      <c r="D536" t="s">
        <v>70</v>
      </c>
      <c r="E536" s="1"/>
    </row>
    <row r="537" spans="1:5" ht="15" customHeight="1" x14ac:dyDescent="0.25">
      <c r="A537" t="s">
        <v>6518</v>
      </c>
      <c r="B537" t="s">
        <v>6520</v>
      </c>
      <c r="C537">
        <v>2011</v>
      </c>
      <c r="D537" t="s">
        <v>70</v>
      </c>
    </row>
    <row r="538" spans="1:5" ht="15" customHeight="1" x14ac:dyDescent="0.25">
      <c r="A538" t="s">
        <v>1446</v>
      </c>
      <c r="B538" t="s">
        <v>1283</v>
      </c>
      <c r="C538">
        <v>2021</v>
      </c>
      <c r="E538" s="1" t="s">
        <v>2739</v>
      </c>
    </row>
    <row r="539" spans="1:5" ht="15" customHeight="1" x14ac:dyDescent="0.25">
      <c r="A539" t="s">
        <v>1452</v>
      </c>
      <c r="B539" t="s">
        <v>63</v>
      </c>
      <c r="C539">
        <v>1995</v>
      </c>
      <c r="E539" s="1" t="s">
        <v>2740</v>
      </c>
    </row>
    <row r="540" spans="1:5" ht="15" customHeight="1" x14ac:dyDescent="0.25">
      <c r="A540" t="s">
        <v>1452</v>
      </c>
      <c r="B540" t="s">
        <v>6476</v>
      </c>
      <c r="C540">
        <v>1995</v>
      </c>
      <c r="E540" t="s">
        <v>2519</v>
      </c>
    </row>
    <row r="541" spans="1:5" ht="15" customHeight="1" x14ac:dyDescent="0.25">
      <c r="A541" t="s">
        <v>1452</v>
      </c>
      <c r="B541" t="s">
        <v>1129</v>
      </c>
      <c r="C541">
        <v>1995</v>
      </c>
      <c r="E541" s="1" t="s">
        <v>2741</v>
      </c>
    </row>
    <row r="542" spans="1:5" ht="15" customHeight="1" x14ac:dyDescent="0.25">
      <c r="A542" t="s">
        <v>1452</v>
      </c>
      <c r="B542" t="s">
        <v>6335</v>
      </c>
      <c r="C542">
        <v>1995</v>
      </c>
      <c r="E542" s="11" t="s">
        <v>6333</v>
      </c>
    </row>
    <row r="543" spans="1:5" ht="15" customHeight="1" x14ac:dyDescent="0.25">
      <c r="A543" t="s">
        <v>1452</v>
      </c>
      <c r="B543" t="s">
        <v>1905</v>
      </c>
      <c r="C543">
        <v>1995</v>
      </c>
      <c r="D543" t="s">
        <v>70</v>
      </c>
      <c r="E543" s="1"/>
    </row>
    <row r="544" spans="1:5" ht="15" customHeight="1" x14ac:dyDescent="0.25">
      <c r="A544" t="s">
        <v>1452</v>
      </c>
      <c r="B544" t="s">
        <v>1911</v>
      </c>
      <c r="C544">
        <v>1995</v>
      </c>
      <c r="D544" t="s">
        <v>70</v>
      </c>
      <c r="E544" s="1"/>
    </row>
    <row r="545" spans="1:5" ht="15" customHeight="1" x14ac:dyDescent="0.25">
      <c r="A545" t="s">
        <v>1452</v>
      </c>
      <c r="B545" t="s">
        <v>2162</v>
      </c>
      <c r="C545">
        <v>1995</v>
      </c>
      <c r="E545" s="1" t="s">
        <v>2742</v>
      </c>
    </row>
    <row r="546" spans="1:5" ht="15" customHeight="1" x14ac:dyDescent="0.25">
      <c r="A546" t="s">
        <v>1466</v>
      </c>
      <c r="B546" t="s">
        <v>250</v>
      </c>
      <c r="C546">
        <v>2022</v>
      </c>
      <c r="E546" s="11" t="s">
        <v>2570</v>
      </c>
    </row>
    <row r="547" spans="1:5" ht="15" customHeight="1" x14ac:dyDescent="0.25">
      <c r="A547" t="s">
        <v>1466</v>
      </c>
      <c r="B547" t="s">
        <v>1470</v>
      </c>
      <c r="C547">
        <v>2022</v>
      </c>
      <c r="D547" t="s">
        <v>70</v>
      </c>
      <c r="E547" s="1"/>
    </row>
    <row r="548" spans="1:5" ht="15" customHeight="1" x14ac:dyDescent="0.25">
      <c r="A548" t="s">
        <v>1474</v>
      </c>
      <c r="B548" t="s">
        <v>1478</v>
      </c>
      <c r="C548">
        <v>2019</v>
      </c>
      <c r="D548" t="s">
        <v>70</v>
      </c>
      <c r="E548" s="1"/>
    </row>
    <row r="549" spans="1:5" ht="15" customHeight="1" x14ac:dyDescent="0.25">
      <c r="A549" t="s">
        <v>1482</v>
      </c>
      <c r="B549" t="s">
        <v>232</v>
      </c>
      <c r="C549">
        <v>1987</v>
      </c>
      <c r="E549" s="1" t="s">
        <v>2743</v>
      </c>
    </row>
    <row r="550" spans="1:5" ht="15" customHeight="1" x14ac:dyDescent="0.25">
      <c r="A550" t="s">
        <v>1482</v>
      </c>
      <c r="B550" t="s">
        <v>622</v>
      </c>
      <c r="C550">
        <v>1987</v>
      </c>
      <c r="E550" s="1" t="s">
        <v>2744</v>
      </c>
    </row>
    <row r="551" spans="1:5" ht="15" customHeight="1" x14ac:dyDescent="0.25">
      <c r="A551" t="s">
        <v>1482</v>
      </c>
      <c r="B551" t="s">
        <v>6430</v>
      </c>
      <c r="C551">
        <v>1987</v>
      </c>
      <c r="E551" s="11" t="s">
        <v>6432</v>
      </c>
    </row>
    <row r="552" spans="1:5" ht="15" customHeight="1" x14ac:dyDescent="0.25">
      <c r="A552" t="s">
        <v>1482</v>
      </c>
      <c r="B552" t="s">
        <v>738</v>
      </c>
      <c r="C552">
        <v>1987</v>
      </c>
      <c r="E552" s="1" t="s">
        <v>2745</v>
      </c>
    </row>
    <row r="553" spans="1:5" ht="15" customHeight="1" x14ac:dyDescent="0.25">
      <c r="A553" t="s">
        <v>1482</v>
      </c>
      <c r="B553" t="s">
        <v>783</v>
      </c>
      <c r="C553">
        <v>1987</v>
      </c>
      <c r="E553" s="1" t="s">
        <v>2746</v>
      </c>
    </row>
    <row r="554" spans="1:5" ht="15" customHeight="1" x14ac:dyDescent="0.25">
      <c r="A554" t="s">
        <v>1482</v>
      </c>
      <c r="B554" t="s">
        <v>809</v>
      </c>
      <c r="C554">
        <v>1987</v>
      </c>
      <c r="E554" s="1"/>
    </row>
    <row r="555" spans="1:5" ht="15" customHeight="1" x14ac:dyDescent="0.25">
      <c r="A555" t="s">
        <v>1482</v>
      </c>
      <c r="B555" t="s">
        <v>861</v>
      </c>
      <c r="C555">
        <v>1987</v>
      </c>
      <c r="E555" s="1" t="s">
        <v>2747</v>
      </c>
    </row>
    <row r="556" spans="1:5" ht="15" customHeight="1" x14ac:dyDescent="0.25">
      <c r="A556" t="s">
        <v>1482</v>
      </c>
      <c r="B556" t="s">
        <v>6443</v>
      </c>
      <c r="C556">
        <v>1987</v>
      </c>
      <c r="E556" s="11" t="s">
        <v>6446</v>
      </c>
    </row>
    <row r="557" spans="1:5" ht="15" customHeight="1" x14ac:dyDescent="0.25">
      <c r="A557" t="s">
        <v>1482</v>
      </c>
      <c r="B557" t="s">
        <v>957</v>
      </c>
      <c r="C557">
        <v>1987</v>
      </c>
      <c r="E557" s="1" t="s">
        <v>2748</v>
      </c>
    </row>
    <row r="558" spans="1:5" ht="15" customHeight="1" x14ac:dyDescent="0.25">
      <c r="A558" t="s">
        <v>1482</v>
      </c>
      <c r="B558" t="s">
        <v>1067</v>
      </c>
      <c r="C558">
        <v>1987</v>
      </c>
      <c r="E558" s="1" t="s">
        <v>2749</v>
      </c>
    </row>
    <row r="559" spans="1:5" ht="15" customHeight="1" x14ac:dyDescent="0.25">
      <c r="A559" t="s">
        <v>1482</v>
      </c>
      <c r="B559" t="s">
        <v>6424</v>
      </c>
      <c r="C559">
        <v>1987</v>
      </c>
      <c r="E559" s="11" t="s">
        <v>6427</v>
      </c>
    </row>
    <row r="560" spans="1:5" ht="15" customHeight="1" x14ac:dyDescent="0.25">
      <c r="A560" t="s">
        <v>1482</v>
      </c>
      <c r="B560" t="s">
        <v>1158</v>
      </c>
      <c r="C560">
        <v>1987</v>
      </c>
      <c r="E560" s="1" t="s">
        <v>2523</v>
      </c>
    </row>
    <row r="561" spans="1:5" ht="15" customHeight="1" x14ac:dyDescent="0.25">
      <c r="A561" t="s">
        <v>1482</v>
      </c>
      <c r="B561" t="s">
        <v>1182</v>
      </c>
      <c r="C561">
        <v>1987</v>
      </c>
      <c r="E561" s="1" t="s">
        <v>2750</v>
      </c>
    </row>
    <row r="562" spans="1:5" ht="15" customHeight="1" x14ac:dyDescent="0.25">
      <c r="A562" t="s">
        <v>1482</v>
      </c>
      <c r="B562" t="s">
        <v>1205</v>
      </c>
      <c r="C562">
        <v>1987</v>
      </c>
      <c r="E562" s="1" t="s">
        <v>2519</v>
      </c>
    </row>
    <row r="563" spans="1:5" ht="15" customHeight="1" x14ac:dyDescent="0.25">
      <c r="A563" t="s">
        <v>1482</v>
      </c>
      <c r="B563" t="s">
        <v>1242</v>
      </c>
      <c r="C563">
        <v>1987</v>
      </c>
      <c r="E563" s="11" t="s">
        <v>2524</v>
      </c>
    </row>
    <row r="564" spans="1:5" ht="15" customHeight="1" x14ac:dyDescent="0.25">
      <c r="A564" t="s">
        <v>1482</v>
      </c>
      <c r="B564" t="s">
        <v>1260</v>
      </c>
      <c r="C564">
        <v>1987</v>
      </c>
      <c r="E564" s="1" t="s">
        <v>2751</v>
      </c>
    </row>
    <row r="565" spans="1:5" ht="15" customHeight="1" x14ac:dyDescent="0.25">
      <c r="A565" t="s">
        <v>1482</v>
      </c>
      <c r="B565" t="s">
        <v>1285</v>
      </c>
      <c r="C565">
        <v>1987</v>
      </c>
      <c r="E565" s="1" t="s">
        <v>2519</v>
      </c>
    </row>
    <row r="566" spans="1:5" ht="15" customHeight="1" x14ac:dyDescent="0.25">
      <c r="A566" t="s">
        <v>1482</v>
      </c>
      <c r="B566" t="s">
        <v>1415</v>
      </c>
      <c r="C566">
        <v>1987</v>
      </c>
      <c r="E566" s="1" t="s">
        <v>2519</v>
      </c>
    </row>
    <row r="567" spans="1:5" ht="15" customHeight="1" x14ac:dyDescent="0.25">
      <c r="A567" t="s">
        <v>1482</v>
      </c>
      <c r="B567" t="s">
        <v>1605</v>
      </c>
      <c r="C567">
        <v>1987</v>
      </c>
      <c r="E567" s="1" t="s">
        <v>2752</v>
      </c>
    </row>
    <row r="568" spans="1:5" ht="15" customHeight="1" x14ac:dyDescent="0.25">
      <c r="A568" t="s">
        <v>1482</v>
      </c>
      <c r="B568" t="s">
        <v>1677</v>
      </c>
      <c r="C568">
        <v>1987</v>
      </c>
      <c r="E568" s="1" t="s">
        <v>2753</v>
      </c>
    </row>
    <row r="569" spans="1:5" ht="15" customHeight="1" x14ac:dyDescent="0.25">
      <c r="A569" t="s">
        <v>1482</v>
      </c>
      <c r="B569" t="s">
        <v>1706</v>
      </c>
      <c r="C569">
        <v>1987</v>
      </c>
      <c r="E569" s="1" t="s">
        <v>2754</v>
      </c>
    </row>
    <row r="570" spans="1:5" ht="15" customHeight="1" x14ac:dyDescent="0.25">
      <c r="A570" t="s">
        <v>1482</v>
      </c>
      <c r="B570" t="s">
        <v>1747</v>
      </c>
      <c r="C570">
        <v>1987</v>
      </c>
      <c r="E570" s="11" t="s">
        <v>6441</v>
      </c>
    </row>
    <row r="571" spans="1:5" ht="15" customHeight="1" x14ac:dyDescent="0.25">
      <c r="A571" t="s">
        <v>1482</v>
      </c>
      <c r="B571" t="s">
        <v>1947</v>
      </c>
      <c r="C571">
        <v>1987</v>
      </c>
      <c r="E571" s="1" t="s">
        <v>2755</v>
      </c>
    </row>
    <row r="572" spans="1:5" ht="15" customHeight="1" x14ac:dyDescent="0.25">
      <c r="A572" t="s">
        <v>1482</v>
      </c>
      <c r="B572" t="s">
        <v>2025</v>
      </c>
      <c r="C572">
        <v>1987</v>
      </c>
      <c r="E572" s="1" t="s">
        <v>2756</v>
      </c>
    </row>
    <row r="573" spans="1:5" ht="15" customHeight="1" x14ac:dyDescent="0.25">
      <c r="A573" t="s">
        <v>1482</v>
      </c>
      <c r="B573" t="s">
        <v>2086</v>
      </c>
      <c r="C573">
        <v>1987</v>
      </c>
      <c r="E573" s="1" t="s">
        <v>2729</v>
      </c>
    </row>
    <row r="574" spans="1:5" ht="15" customHeight="1" x14ac:dyDescent="0.25">
      <c r="A574" t="s">
        <v>1482</v>
      </c>
      <c r="B574" t="s">
        <v>2130</v>
      </c>
      <c r="C574">
        <v>1987</v>
      </c>
      <c r="E574" s="1" t="s">
        <v>2757</v>
      </c>
    </row>
    <row r="575" spans="1:5" ht="15" customHeight="1" x14ac:dyDescent="0.25">
      <c r="A575" t="s">
        <v>1482</v>
      </c>
      <c r="B575" t="s">
        <v>2344</v>
      </c>
      <c r="C575">
        <v>1987</v>
      </c>
      <c r="E575" s="1" t="s">
        <v>2758</v>
      </c>
    </row>
    <row r="576" spans="1:5" ht="15" customHeight="1" x14ac:dyDescent="0.25">
      <c r="A576" t="s">
        <v>1482</v>
      </c>
      <c r="B576" t="s">
        <v>2415</v>
      </c>
      <c r="C576">
        <v>1987</v>
      </c>
      <c r="E576" s="1" t="s">
        <v>2759</v>
      </c>
    </row>
    <row r="577" spans="1:5" ht="15" customHeight="1" x14ac:dyDescent="0.25">
      <c r="A577" t="s">
        <v>1494</v>
      </c>
      <c r="B577" t="s">
        <v>1492</v>
      </c>
      <c r="C577">
        <v>2024</v>
      </c>
      <c r="D577" t="s">
        <v>70</v>
      </c>
      <c r="E577" s="1"/>
    </row>
    <row r="578" spans="1:5" ht="15" customHeight="1" x14ac:dyDescent="0.25">
      <c r="A578" t="s">
        <v>1496</v>
      </c>
      <c r="B578" t="s">
        <v>440</v>
      </c>
      <c r="C578">
        <v>2019</v>
      </c>
      <c r="E578" s="1" t="s">
        <v>2760</v>
      </c>
    </row>
    <row r="579" spans="1:5" ht="15" customHeight="1" x14ac:dyDescent="0.25">
      <c r="A579" t="s">
        <v>1496</v>
      </c>
      <c r="B579" t="s">
        <v>1310</v>
      </c>
      <c r="C579">
        <v>2019</v>
      </c>
      <c r="E579" s="1" t="s">
        <v>2761</v>
      </c>
    </row>
    <row r="580" spans="1:5" ht="15" customHeight="1" x14ac:dyDescent="0.25">
      <c r="A580" t="s">
        <v>1496</v>
      </c>
      <c r="B580" t="s">
        <v>1602</v>
      </c>
      <c r="C580">
        <v>2019</v>
      </c>
      <c r="E580" s="11" t="s">
        <v>2762</v>
      </c>
    </row>
    <row r="581" spans="1:5" ht="15" customHeight="1" x14ac:dyDescent="0.25">
      <c r="A581" t="s">
        <v>1496</v>
      </c>
      <c r="B581" t="s">
        <v>1679</v>
      </c>
      <c r="C581">
        <v>2019</v>
      </c>
      <c r="E581" s="1" t="s">
        <v>2763</v>
      </c>
    </row>
    <row r="582" spans="1:5" ht="15" customHeight="1" x14ac:dyDescent="0.25">
      <c r="A582" t="s">
        <v>1496</v>
      </c>
      <c r="B582" t="s">
        <v>2093</v>
      </c>
      <c r="C582">
        <v>2019</v>
      </c>
      <c r="E582" s="1" t="s">
        <v>2764</v>
      </c>
    </row>
    <row r="583" spans="1:5" ht="15" customHeight="1" x14ac:dyDescent="0.25">
      <c r="A583" t="s">
        <v>1530</v>
      </c>
      <c r="B583" t="s">
        <v>551</v>
      </c>
      <c r="C583">
        <v>2024</v>
      </c>
      <c r="E583" s="1" t="s">
        <v>2547</v>
      </c>
    </row>
    <row r="584" spans="1:5" ht="15" customHeight="1" x14ac:dyDescent="0.25">
      <c r="A584" t="s">
        <v>1534</v>
      </c>
      <c r="B584" t="s">
        <v>123</v>
      </c>
      <c r="C584">
        <v>2015</v>
      </c>
      <c r="E584" s="1" t="s">
        <v>2663</v>
      </c>
    </row>
    <row r="585" spans="1:5" ht="15" customHeight="1" x14ac:dyDescent="0.25">
      <c r="A585" t="s">
        <v>1534</v>
      </c>
      <c r="B585" t="s">
        <v>186</v>
      </c>
      <c r="C585">
        <v>2015</v>
      </c>
      <c r="E585" s="1" t="s">
        <v>2519</v>
      </c>
    </row>
    <row r="586" spans="1:5" ht="15" customHeight="1" x14ac:dyDescent="0.25">
      <c r="A586" t="s">
        <v>1534</v>
      </c>
      <c r="B586" t="s">
        <v>194</v>
      </c>
      <c r="C586">
        <v>2015</v>
      </c>
      <c r="E586" s="1" t="s">
        <v>2665</v>
      </c>
    </row>
    <row r="587" spans="1:5" ht="15" customHeight="1" x14ac:dyDescent="0.25">
      <c r="A587" t="s">
        <v>1534</v>
      </c>
      <c r="B587" t="s">
        <v>281</v>
      </c>
      <c r="C587">
        <v>2015</v>
      </c>
      <c r="E587" s="1" t="s">
        <v>2519</v>
      </c>
    </row>
    <row r="588" spans="1:5" ht="15" customHeight="1" x14ac:dyDescent="0.25">
      <c r="A588" t="s">
        <v>1534</v>
      </c>
      <c r="B588" t="s">
        <v>462</v>
      </c>
      <c r="C588">
        <v>2015</v>
      </c>
      <c r="E588" s="1" t="s">
        <v>2765</v>
      </c>
    </row>
    <row r="589" spans="1:5" ht="15" customHeight="1" x14ac:dyDescent="0.25">
      <c r="A589" t="s">
        <v>1534</v>
      </c>
      <c r="B589" t="s">
        <v>581</v>
      </c>
      <c r="C589">
        <v>2015</v>
      </c>
      <c r="E589" s="1" t="s">
        <v>2766</v>
      </c>
    </row>
    <row r="590" spans="1:5" ht="15" customHeight="1" x14ac:dyDescent="0.25">
      <c r="A590" t="s">
        <v>1534</v>
      </c>
      <c r="B590" t="s">
        <v>828</v>
      </c>
      <c r="C590">
        <v>2015</v>
      </c>
      <c r="E590" s="1" t="s">
        <v>2767</v>
      </c>
    </row>
    <row r="591" spans="1:5" ht="15" customHeight="1" x14ac:dyDescent="0.25">
      <c r="A591" t="s">
        <v>1534</v>
      </c>
      <c r="B591" t="s">
        <v>995</v>
      </c>
      <c r="C591">
        <v>2015</v>
      </c>
      <c r="E591" s="1" t="s">
        <v>2768</v>
      </c>
    </row>
    <row r="592" spans="1:5" ht="15" customHeight="1" x14ac:dyDescent="0.25">
      <c r="A592" t="s">
        <v>1534</v>
      </c>
      <c r="B592" t="s">
        <v>1067</v>
      </c>
      <c r="C592">
        <v>2015</v>
      </c>
      <c r="E592" s="1" t="s">
        <v>2535</v>
      </c>
    </row>
    <row r="593" spans="1:5" ht="15" customHeight="1" x14ac:dyDescent="0.25">
      <c r="A593" t="s">
        <v>1534</v>
      </c>
      <c r="B593" t="s">
        <v>1263</v>
      </c>
      <c r="C593">
        <v>2015</v>
      </c>
      <c r="E593" s="1" t="s">
        <v>2642</v>
      </c>
    </row>
    <row r="594" spans="1:5" ht="15" customHeight="1" x14ac:dyDescent="0.25">
      <c r="A594" t="s">
        <v>1534</v>
      </c>
      <c r="B594" t="s">
        <v>1458</v>
      </c>
      <c r="C594">
        <v>2015</v>
      </c>
      <c r="E594" s="1" t="s">
        <v>2669</v>
      </c>
    </row>
    <row r="595" spans="1:5" ht="15" customHeight="1" x14ac:dyDescent="0.25">
      <c r="A595" t="s">
        <v>1534</v>
      </c>
      <c r="B595" t="s">
        <v>1556</v>
      </c>
      <c r="C595">
        <v>2015</v>
      </c>
      <c r="E595" s="1" t="s">
        <v>2670</v>
      </c>
    </row>
    <row r="596" spans="1:5" ht="15" customHeight="1" x14ac:dyDescent="0.25">
      <c r="A596" t="s">
        <v>1534</v>
      </c>
      <c r="B596" t="s">
        <v>1563</v>
      </c>
      <c r="C596">
        <v>2015</v>
      </c>
      <c r="E596" s="1" t="s">
        <v>2686</v>
      </c>
    </row>
    <row r="597" spans="1:5" ht="15" customHeight="1" x14ac:dyDescent="0.25">
      <c r="A597" t="s">
        <v>1534</v>
      </c>
      <c r="B597" t="s">
        <v>1709</v>
      </c>
      <c r="C597">
        <v>2015</v>
      </c>
      <c r="E597" s="1" t="s">
        <v>2671</v>
      </c>
    </row>
    <row r="598" spans="1:5" ht="15" customHeight="1" x14ac:dyDescent="0.25">
      <c r="A598" t="s">
        <v>1534</v>
      </c>
      <c r="B598" t="s">
        <v>1727</v>
      </c>
      <c r="C598">
        <v>2015</v>
      </c>
      <c r="E598" s="1" t="s">
        <v>2519</v>
      </c>
    </row>
    <row r="599" spans="1:5" ht="15" customHeight="1" x14ac:dyDescent="0.25">
      <c r="A599" t="s">
        <v>1534</v>
      </c>
      <c r="B599" t="s">
        <v>1786</v>
      </c>
      <c r="C599">
        <v>2015</v>
      </c>
      <c r="E599" s="1" t="s">
        <v>2620</v>
      </c>
    </row>
    <row r="600" spans="1:5" ht="15" customHeight="1" x14ac:dyDescent="0.25">
      <c r="A600" t="s">
        <v>1534</v>
      </c>
      <c r="B600" t="s">
        <v>1790</v>
      </c>
      <c r="C600">
        <v>2015</v>
      </c>
      <c r="E600" s="1" t="s">
        <v>2519</v>
      </c>
    </row>
    <row r="601" spans="1:5" ht="15" customHeight="1" x14ac:dyDescent="0.25">
      <c r="A601" t="s">
        <v>1534</v>
      </c>
      <c r="B601" t="s">
        <v>2089</v>
      </c>
      <c r="C601">
        <v>2015</v>
      </c>
      <c r="E601" s="1" t="s">
        <v>2092</v>
      </c>
    </row>
    <row r="602" spans="1:5" ht="15" customHeight="1" x14ac:dyDescent="0.25">
      <c r="A602" t="s">
        <v>1534</v>
      </c>
      <c r="B602" t="s">
        <v>2266</v>
      </c>
      <c r="C602">
        <v>2015</v>
      </c>
      <c r="E602" s="1" t="s">
        <v>2673</v>
      </c>
    </row>
    <row r="603" spans="1:5" ht="15" customHeight="1" x14ac:dyDescent="0.25">
      <c r="A603" t="s">
        <v>1534</v>
      </c>
      <c r="B603" t="s">
        <v>2386</v>
      </c>
      <c r="C603">
        <v>2015</v>
      </c>
      <c r="E603" s="1" t="s">
        <v>2769</v>
      </c>
    </row>
    <row r="604" spans="1:5" ht="15" customHeight="1" x14ac:dyDescent="0.25">
      <c r="A604" t="s">
        <v>1558</v>
      </c>
      <c r="B604" t="s">
        <v>1158</v>
      </c>
      <c r="C604">
        <v>1987</v>
      </c>
      <c r="E604" s="1" t="s">
        <v>2523</v>
      </c>
    </row>
    <row r="605" spans="1:5" ht="15" customHeight="1" x14ac:dyDescent="0.25">
      <c r="A605" t="s">
        <v>1558</v>
      </c>
      <c r="B605" t="s">
        <v>6554</v>
      </c>
      <c r="C605">
        <v>1987</v>
      </c>
      <c r="E605" s="11" t="s">
        <v>6556</v>
      </c>
    </row>
    <row r="606" spans="1:5" ht="15" customHeight="1" x14ac:dyDescent="0.25">
      <c r="A606" t="s">
        <v>1558</v>
      </c>
      <c r="B606" t="s">
        <v>2344</v>
      </c>
      <c r="C606">
        <v>1987</v>
      </c>
      <c r="E606" s="1" t="s">
        <v>2758</v>
      </c>
    </row>
    <row r="607" spans="1:5" ht="15" customHeight="1" x14ac:dyDescent="0.25">
      <c r="A607" t="s">
        <v>6490</v>
      </c>
      <c r="B607" t="s">
        <v>6492</v>
      </c>
      <c r="C607">
        <v>2015</v>
      </c>
      <c r="D607" t="s">
        <v>70</v>
      </c>
    </row>
    <row r="608" spans="1:5" ht="15" customHeight="1" x14ac:dyDescent="0.25">
      <c r="A608" t="s">
        <v>6492</v>
      </c>
      <c r="B608" t="s">
        <v>6493</v>
      </c>
      <c r="C608">
        <v>2017</v>
      </c>
      <c r="D608" t="s">
        <v>70</v>
      </c>
    </row>
    <row r="609" spans="1:5" ht="15" customHeight="1" x14ac:dyDescent="0.25">
      <c r="A609" t="s">
        <v>6335</v>
      </c>
      <c r="B609" t="s">
        <v>6338</v>
      </c>
      <c r="C609">
        <v>2014</v>
      </c>
      <c r="D609" t="s">
        <v>70</v>
      </c>
      <c r="E609" s="11"/>
    </row>
    <row r="610" spans="1:5" ht="15" customHeight="1" x14ac:dyDescent="0.25">
      <c r="A610" t="s">
        <v>1594</v>
      </c>
      <c r="B610" t="s">
        <v>1201</v>
      </c>
      <c r="C610">
        <v>2021</v>
      </c>
      <c r="E610" s="1" t="s">
        <v>2519</v>
      </c>
    </row>
    <row r="611" spans="1:5" ht="15" customHeight="1" x14ac:dyDescent="0.25">
      <c r="A611" t="s">
        <v>1608</v>
      </c>
      <c r="B611" t="s">
        <v>2236</v>
      </c>
      <c r="C611">
        <v>2021</v>
      </c>
      <c r="E611" s="1" t="s">
        <v>2725</v>
      </c>
    </row>
    <row r="612" spans="1:5" ht="15" customHeight="1" x14ac:dyDescent="0.25">
      <c r="A612" t="s">
        <v>1612</v>
      </c>
      <c r="B612" t="s">
        <v>166</v>
      </c>
      <c r="C612">
        <v>2022</v>
      </c>
      <c r="E612" s="1" t="s">
        <v>2770</v>
      </c>
    </row>
    <row r="613" spans="1:5" ht="15" customHeight="1" x14ac:dyDescent="0.25">
      <c r="A613" t="s">
        <v>1612</v>
      </c>
      <c r="B613" t="s">
        <v>758</v>
      </c>
      <c r="C613">
        <v>2022</v>
      </c>
      <c r="E613" s="1" t="s">
        <v>2631</v>
      </c>
    </row>
    <row r="614" spans="1:5" ht="15" customHeight="1" x14ac:dyDescent="0.25">
      <c r="A614" t="s">
        <v>1612</v>
      </c>
      <c r="B614" t="s">
        <v>6363</v>
      </c>
      <c r="C614">
        <v>2022</v>
      </c>
      <c r="E614" s="11" t="s">
        <v>6364</v>
      </c>
    </row>
    <row r="615" spans="1:5" ht="15" customHeight="1" x14ac:dyDescent="0.25">
      <c r="A615" t="s">
        <v>1612</v>
      </c>
      <c r="B615" t="s">
        <v>2072</v>
      </c>
      <c r="C615">
        <v>2022</v>
      </c>
      <c r="E615" s="1" t="s">
        <v>2564</v>
      </c>
    </row>
    <row r="616" spans="1:5" ht="15" customHeight="1" x14ac:dyDescent="0.25">
      <c r="A616" t="s">
        <v>1628</v>
      </c>
      <c r="B616" t="s">
        <v>1567</v>
      </c>
      <c r="C616">
        <v>2012</v>
      </c>
      <c r="E616" s="1" t="s">
        <v>2771</v>
      </c>
    </row>
    <row r="617" spans="1:5" ht="15" customHeight="1" x14ac:dyDescent="0.25">
      <c r="A617" t="s">
        <v>1628</v>
      </c>
      <c r="B617" t="s">
        <v>1897</v>
      </c>
      <c r="C617">
        <v>2012</v>
      </c>
      <c r="D617" t="s">
        <v>70</v>
      </c>
      <c r="E617" s="1"/>
    </row>
    <row r="618" spans="1:5" ht="15" customHeight="1" x14ac:dyDescent="0.25">
      <c r="A618" t="s">
        <v>1652</v>
      </c>
      <c r="B618" t="s">
        <v>1655</v>
      </c>
      <c r="C618">
        <v>2021</v>
      </c>
      <c r="E618" s="1"/>
    </row>
    <row r="619" spans="1:5" ht="15" customHeight="1" x14ac:dyDescent="0.25">
      <c r="A619" t="s">
        <v>1660</v>
      </c>
      <c r="B619" t="s">
        <v>1658</v>
      </c>
      <c r="C619">
        <v>2007</v>
      </c>
      <c r="D619" t="s">
        <v>70</v>
      </c>
      <c r="E619" s="1"/>
    </row>
    <row r="620" spans="1:5" ht="15" customHeight="1" x14ac:dyDescent="0.25">
      <c r="A620" t="s">
        <v>1664</v>
      </c>
      <c r="B620" t="s">
        <v>1586</v>
      </c>
      <c r="C620">
        <v>2005</v>
      </c>
      <c r="E620" s="1" t="s">
        <v>2772</v>
      </c>
    </row>
    <row r="621" spans="1:5" ht="15" customHeight="1" x14ac:dyDescent="0.25">
      <c r="A621" t="s">
        <v>1664</v>
      </c>
      <c r="B621" t="s">
        <v>1660</v>
      </c>
      <c r="C621">
        <v>2005</v>
      </c>
      <c r="D621" t="s">
        <v>70</v>
      </c>
      <c r="E621" s="1"/>
    </row>
    <row r="622" spans="1:5" ht="15" customHeight="1" x14ac:dyDescent="0.25">
      <c r="A622" t="s">
        <v>1664</v>
      </c>
      <c r="B622" t="s">
        <v>1662</v>
      </c>
      <c r="C622">
        <v>2005</v>
      </c>
      <c r="D622" t="s">
        <v>70</v>
      </c>
      <c r="E622" s="1"/>
    </row>
    <row r="623" spans="1:5" ht="15" customHeight="1" x14ac:dyDescent="0.25">
      <c r="A623" t="s">
        <v>1664</v>
      </c>
      <c r="B623" t="s">
        <v>1666</v>
      </c>
      <c r="C623">
        <v>2005</v>
      </c>
      <c r="D623" t="s">
        <v>70</v>
      </c>
      <c r="E623" s="1"/>
    </row>
    <row r="624" spans="1:5" ht="15" customHeight="1" x14ac:dyDescent="0.25">
      <c r="A624" t="s">
        <v>1664</v>
      </c>
      <c r="B624" t="s">
        <v>1668</v>
      </c>
      <c r="C624">
        <v>2005</v>
      </c>
      <c r="D624" t="s">
        <v>70</v>
      </c>
      <c r="E624" s="1"/>
    </row>
    <row r="625" spans="1:5" ht="15" customHeight="1" x14ac:dyDescent="0.25">
      <c r="A625" t="s">
        <v>1670</v>
      </c>
      <c r="B625" t="s">
        <v>1672</v>
      </c>
      <c r="C625">
        <v>2024</v>
      </c>
      <c r="E625" s="1" t="s">
        <v>2717</v>
      </c>
    </row>
    <row r="626" spans="1:5" ht="15" customHeight="1" x14ac:dyDescent="0.25">
      <c r="A626" t="s">
        <v>1675</v>
      </c>
      <c r="B626" t="s">
        <v>111</v>
      </c>
      <c r="C626">
        <v>2020</v>
      </c>
      <c r="E626" s="1" t="s">
        <v>2773</v>
      </c>
    </row>
    <row r="627" spans="1:5" ht="15" customHeight="1" x14ac:dyDescent="0.25">
      <c r="A627" t="s">
        <v>1677</v>
      </c>
      <c r="B627" t="s">
        <v>63</v>
      </c>
      <c r="C627">
        <v>2003</v>
      </c>
      <c r="E627" s="1" t="s">
        <v>2740</v>
      </c>
    </row>
    <row r="628" spans="1:5" ht="15" customHeight="1" x14ac:dyDescent="0.25">
      <c r="A628" t="s">
        <v>1677</v>
      </c>
      <c r="B628" t="s">
        <v>385</v>
      </c>
      <c r="C628">
        <v>2003</v>
      </c>
      <c r="E628" s="11" t="s">
        <v>2726</v>
      </c>
    </row>
    <row r="629" spans="1:5" ht="15" customHeight="1" x14ac:dyDescent="0.25">
      <c r="A629" t="s">
        <v>1677</v>
      </c>
      <c r="B629" t="s">
        <v>1067</v>
      </c>
      <c r="C629">
        <v>2003</v>
      </c>
      <c r="E629" s="1" t="s">
        <v>2774</v>
      </c>
    </row>
    <row r="630" spans="1:5" ht="15" customHeight="1" x14ac:dyDescent="0.25">
      <c r="A630" t="s">
        <v>1677</v>
      </c>
      <c r="B630" t="s">
        <v>2215</v>
      </c>
      <c r="C630">
        <v>2003</v>
      </c>
      <c r="E630" s="1" t="s">
        <v>2530</v>
      </c>
    </row>
    <row r="631" spans="1:5" ht="15" customHeight="1" x14ac:dyDescent="0.25">
      <c r="A631" t="s">
        <v>1677</v>
      </c>
      <c r="B631" t="s">
        <v>2413</v>
      </c>
      <c r="C631">
        <v>2003</v>
      </c>
      <c r="E631" s="11" t="s">
        <v>6437</v>
      </c>
    </row>
    <row r="632" spans="1:5" ht="15" customHeight="1" x14ac:dyDescent="0.25">
      <c r="A632" t="s">
        <v>1706</v>
      </c>
      <c r="B632" t="s">
        <v>6424</v>
      </c>
      <c r="C632">
        <v>1992</v>
      </c>
      <c r="E632" s="11" t="s">
        <v>6427</v>
      </c>
    </row>
    <row r="633" spans="1:5" ht="15" customHeight="1" x14ac:dyDescent="0.25">
      <c r="A633" t="s">
        <v>1715</v>
      </c>
      <c r="B633" t="s">
        <v>1895</v>
      </c>
      <c r="C633">
        <v>2023</v>
      </c>
      <c r="E633" s="1" t="s">
        <v>2688</v>
      </c>
    </row>
    <row r="634" spans="1:5" ht="15" customHeight="1" x14ac:dyDescent="0.25">
      <c r="A634" t="s">
        <v>1723</v>
      </c>
      <c r="B634" t="s">
        <v>81</v>
      </c>
      <c r="C634">
        <v>2010</v>
      </c>
      <c r="E634" s="1" t="s">
        <v>2519</v>
      </c>
    </row>
    <row r="635" spans="1:5" ht="15" customHeight="1" x14ac:dyDescent="0.25">
      <c r="A635" t="s">
        <v>1723</v>
      </c>
      <c r="B635" t="s">
        <v>2154</v>
      </c>
      <c r="C635">
        <v>2010</v>
      </c>
      <c r="E635" s="1" t="s">
        <v>2519</v>
      </c>
    </row>
    <row r="636" spans="1:5" ht="15" customHeight="1" x14ac:dyDescent="0.25">
      <c r="A636" t="s">
        <v>1735</v>
      </c>
      <c r="B636" t="s">
        <v>6577</v>
      </c>
      <c r="C636">
        <v>2023</v>
      </c>
      <c r="E636" s="11" t="s">
        <v>6576</v>
      </c>
    </row>
    <row r="637" spans="1:5" ht="15" customHeight="1" x14ac:dyDescent="0.25">
      <c r="A637" t="s">
        <v>1735</v>
      </c>
      <c r="B637" t="s">
        <v>2120</v>
      </c>
      <c r="C637">
        <v>2023</v>
      </c>
      <c r="E637" s="1" t="s">
        <v>2775</v>
      </c>
    </row>
    <row r="638" spans="1:5" ht="15" customHeight="1" x14ac:dyDescent="0.25">
      <c r="A638" t="s">
        <v>1747</v>
      </c>
      <c r="B638" t="s">
        <v>1598</v>
      </c>
      <c r="C638">
        <v>2020</v>
      </c>
      <c r="E638" s="1" t="s">
        <v>1601</v>
      </c>
    </row>
    <row r="639" spans="1:5" ht="15" customHeight="1" x14ac:dyDescent="0.25">
      <c r="A639" t="s">
        <v>1747</v>
      </c>
      <c r="B639" t="s">
        <v>1751</v>
      </c>
      <c r="C639">
        <v>2020</v>
      </c>
      <c r="D639" t="s">
        <v>70</v>
      </c>
      <c r="E639" s="1"/>
    </row>
    <row r="640" spans="1:5" ht="15" customHeight="1" x14ac:dyDescent="0.25">
      <c r="A640" t="s">
        <v>1751</v>
      </c>
      <c r="B640" t="s">
        <v>1755</v>
      </c>
      <c r="C640">
        <v>2024</v>
      </c>
      <c r="D640" t="s">
        <v>70</v>
      </c>
      <c r="E640" s="1"/>
    </row>
    <row r="641" spans="1:5" ht="15" customHeight="1" x14ac:dyDescent="0.25">
      <c r="A641" t="s">
        <v>1762</v>
      </c>
      <c r="B641" t="s">
        <v>2441</v>
      </c>
      <c r="C641">
        <v>2020</v>
      </c>
      <c r="D641" t="s">
        <v>70</v>
      </c>
      <c r="E641" s="1"/>
    </row>
    <row r="642" spans="1:5" ht="15" customHeight="1" x14ac:dyDescent="0.25">
      <c r="A642" t="s">
        <v>1770</v>
      </c>
      <c r="B642" t="s">
        <v>1874</v>
      </c>
      <c r="C642">
        <v>2017</v>
      </c>
      <c r="E642" s="1" t="s">
        <v>2519</v>
      </c>
    </row>
    <row r="643" spans="1:5" ht="15" customHeight="1" x14ac:dyDescent="0.25">
      <c r="A643" t="s">
        <v>1772</v>
      </c>
      <c r="B643" t="s">
        <v>577</v>
      </c>
      <c r="C643">
        <v>2013</v>
      </c>
      <c r="E643" s="1" t="s">
        <v>2776</v>
      </c>
    </row>
    <row r="644" spans="1:5" ht="15" customHeight="1" x14ac:dyDescent="0.25">
      <c r="A644" t="s">
        <v>1772</v>
      </c>
      <c r="B644" t="s">
        <v>1155</v>
      </c>
      <c r="C644">
        <v>2013</v>
      </c>
      <c r="E644" s="11" t="s">
        <v>2777</v>
      </c>
    </row>
    <row r="645" spans="1:5" ht="15" customHeight="1" x14ac:dyDescent="0.25">
      <c r="A645" t="s">
        <v>1772</v>
      </c>
      <c r="B645" t="s">
        <v>1684</v>
      </c>
      <c r="C645">
        <v>2013</v>
      </c>
      <c r="E645" s="1" t="s">
        <v>2706</v>
      </c>
    </row>
    <row r="646" spans="1:5" ht="15" customHeight="1" x14ac:dyDescent="0.25">
      <c r="A646" t="s">
        <v>1772</v>
      </c>
      <c r="B646" t="s">
        <v>1776</v>
      </c>
      <c r="C646">
        <v>2013</v>
      </c>
      <c r="D646" t="s">
        <v>70</v>
      </c>
      <c r="E646" s="1"/>
    </row>
    <row r="647" spans="1:5" ht="15" customHeight="1" x14ac:dyDescent="0.25">
      <c r="A647" t="s">
        <v>1772</v>
      </c>
      <c r="B647" t="s">
        <v>1780</v>
      </c>
      <c r="C647">
        <v>2013</v>
      </c>
      <c r="D647" t="s">
        <v>70</v>
      </c>
      <c r="E647" s="1"/>
    </row>
    <row r="648" spans="1:5" ht="15" customHeight="1" x14ac:dyDescent="0.25">
      <c r="A648" t="s">
        <v>1772</v>
      </c>
      <c r="B648" t="s">
        <v>1895</v>
      </c>
      <c r="C648">
        <v>2013</v>
      </c>
      <c r="E648" s="1" t="s">
        <v>2688</v>
      </c>
    </row>
    <row r="649" spans="1:5" ht="15" customHeight="1" x14ac:dyDescent="0.25">
      <c r="A649" t="s">
        <v>1772</v>
      </c>
      <c r="B649" t="s">
        <v>2143</v>
      </c>
      <c r="C649">
        <v>2013</v>
      </c>
      <c r="E649" s="1" t="s">
        <v>2778</v>
      </c>
    </row>
    <row r="650" spans="1:5" ht="15" customHeight="1" x14ac:dyDescent="0.25">
      <c r="A650" t="s">
        <v>1772</v>
      </c>
      <c r="B650" t="s">
        <v>2435</v>
      </c>
      <c r="C650">
        <v>2013</v>
      </c>
      <c r="E650" s="1" t="s">
        <v>2583</v>
      </c>
    </row>
    <row r="651" spans="1:5" ht="15" customHeight="1" x14ac:dyDescent="0.25">
      <c r="A651" t="s">
        <v>1776</v>
      </c>
      <c r="B651" t="s">
        <v>824</v>
      </c>
      <c r="C651">
        <v>2020</v>
      </c>
      <c r="E651" s="1" t="s">
        <v>2779</v>
      </c>
    </row>
    <row r="652" spans="1:5" ht="15" customHeight="1" x14ac:dyDescent="0.25">
      <c r="A652" t="s">
        <v>1776</v>
      </c>
      <c r="B652" t="s">
        <v>838</v>
      </c>
      <c r="C652">
        <v>2020</v>
      </c>
      <c r="E652" s="1" t="s">
        <v>2519</v>
      </c>
    </row>
    <row r="653" spans="1:5" ht="15" customHeight="1" x14ac:dyDescent="0.25">
      <c r="A653" t="s">
        <v>1776</v>
      </c>
      <c r="B653" t="s">
        <v>931</v>
      </c>
      <c r="C653">
        <v>2020</v>
      </c>
      <c r="E653" s="1" t="s">
        <v>2538</v>
      </c>
    </row>
    <row r="654" spans="1:5" ht="15" customHeight="1" x14ac:dyDescent="0.25">
      <c r="A654" t="s">
        <v>1776</v>
      </c>
      <c r="B654" t="s">
        <v>1283</v>
      </c>
      <c r="C654">
        <v>2020</v>
      </c>
      <c r="E654" s="1" t="s">
        <v>2739</v>
      </c>
    </row>
    <row r="655" spans="1:5" ht="15" customHeight="1" x14ac:dyDescent="0.25">
      <c r="A655" t="s">
        <v>1776</v>
      </c>
      <c r="B655" t="s">
        <v>1330</v>
      </c>
      <c r="C655">
        <v>2020</v>
      </c>
      <c r="E655" s="1" t="s">
        <v>2519</v>
      </c>
    </row>
    <row r="656" spans="1:5" ht="15" customHeight="1" x14ac:dyDescent="0.25">
      <c r="A656" t="s">
        <v>1776</v>
      </c>
      <c r="B656" t="s">
        <v>1419</v>
      </c>
      <c r="C656">
        <v>2020</v>
      </c>
      <c r="E656" s="1" t="s">
        <v>2519</v>
      </c>
    </row>
    <row r="657" spans="1:5" ht="15" customHeight="1" x14ac:dyDescent="0.25">
      <c r="A657" t="s">
        <v>1776</v>
      </c>
      <c r="B657" t="s">
        <v>1446</v>
      </c>
      <c r="C657">
        <v>2020</v>
      </c>
      <c r="E657" s="1" t="s">
        <v>2780</v>
      </c>
    </row>
    <row r="658" spans="1:5" ht="15" customHeight="1" x14ac:dyDescent="0.25">
      <c r="A658" t="s">
        <v>1776</v>
      </c>
      <c r="B658" t="s">
        <v>1670</v>
      </c>
      <c r="C658">
        <v>2020</v>
      </c>
      <c r="E658" s="1" t="s">
        <v>2519</v>
      </c>
    </row>
    <row r="659" spans="1:5" ht="15" customHeight="1" x14ac:dyDescent="0.25">
      <c r="A659" t="s">
        <v>1776</v>
      </c>
      <c r="B659" t="s">
        <v>6572</v>
      </c>
      <c r="C659">
        <v>2020</v>
      </c>
      <c r="E659" t="s">
        <v>2519</v>
      </c>
    </row>
    <row r="660" spans="1:5" ht="15" customHeight="1" x14ac:dyDescent="0.25">
      <c r="A660" t="s">
        <v>1776</v>
      </c>
      <c r="B660" t="s">
        <v>6417</v>
      </c>
      <c r="C660">
        <v>2020</v>
      </c>
      <c r="E660" s="11" t="s">
        <v>6416</v>
      </c>
    </row>
    <row r="661" spans="1:5" ht="15" customHeight="1" x14ac:dyDescent="0.25">
      <c r="A661" t="s">
        <v>1776</v>
      </c>
      <c r="B661" t="s">
        <v>2120</v>
      </c>
      <c r="C661">
        <v>2020</v>
      </c>
      <c r="E661" s="1" t="s">
        <v>2775</v>
      </c>
    </row>
    <row r="662" spans="1:5" ht="15" customHeight="1" x14ac:dyDescent="0.25">
      <c r="A662" t="s">
        <v>1776</v>
      </c>
      <c r="B662" t="s">
        <v>2179</v>
      </c>
      <c r="C662">
        <v>2020</v>
      </c>
      <c r="E662" s="11" t="s">
        <v>2781</v>
      </c>
    </row>
    <row r="663" spans="1:5" ht="15" customHeight="1" x14ac:dyDescent="0.25">
      <c r="A663" t="s">
        <v>1776</v>
      </c>
      <c r="B663" t="s">
        <v>2195</v>
      </c>
      <c r="C663">
        <v>2020</v>
      </c>
      <c r="E663" s="1" t="s">
        <v>2782</v>
      </c>
    </row>
    <row r="664" spans="1:5" ht="15" customHeight="1" x14ac:dyDescent="0.25">
      <c r="A664" t="s">
        <v>1776</v>
      </c>
      <c r="B664" t="s">
        <v>2364</v>
      </c>
      <c r="C664">
        <v>2020</v>
      </c>
      <c r="E664" s="1" t="s">
        <v>2588</v>
      </c>
    </row>
    <row r="665" spans="1:5" ht="15" customHeight="1" x14ac:dyDescent="0.25">
      <c r="A665" t="s">
        <v>1786</v>
      </c>
      <c r="B665" t="s">
        <v>338</v>
      </c>
      <c r="C665">
        <v>2020</v>
      </c>
      <c r="E665" s="1" t="s">
        <v>2693</v>
      </c>
    </row>
    <row r="666" spans="1:5" ht="15" customHeight="1" x14ac:dyDescent="0.25">
      <c r="A666" t="s">
        <v>1786</v>
      </c>
      <c r="B666" t="s">
        <v>2120</v>
      </c>
      <c r="C666">
        <v>2020</v>
      </c>
      <c r="E666" s="1" t="s">
        <v>2775</v>
      </c>
    </row>
    <row r="667" spans="1:5" ht="15" customHeight="1" x14ac:dyDescent="0.25">
      <c r="A667" t="s">
        <v>1794</v>
      </c>
      <c r="B667" t="s">
        <v>88</v>
      </c>
      <c r="C667">
        <v>1980</v>
      </c>
      <c r="E667" s="1" t="s">
        <v>2783</v>
      </c>
    </row>
    <row r="668" spans="1:5" ht="15" customHeight="1" x14ac:dyDescent="0.25">
      <c r="A668" t="s">
        <v>1794</v>
      </c>
      <c r="B668" t="s">
        <v>340</v>
      </c>
      <c r="C668">
        <v>1980</v>
      </c>
      <c r="E668" s="1" t="s">
        <v>2784</v>
      </c>
    </row>
    <row r="669" spans="1:5" ht="15" customHeight="1" x14ac:dyDescent="0.25">
      <c r="A669" t="s">
        <v>1794</v>
      </c>
      <c r="B669" t="s">
        <v>367</v>
      </c>
      <c r="C669">
        <v>1980</v>
      </c>
      <c r="E669" s="1"/>
    </row>
    <row r="670" spans="1:5" ht="15" customHeight="1" x14ac:dyDescent="0.25">
      <c r="A670" t="s">
        <v>1794</v>
      </c>
      <c r="B670" t="s">
        <v>391</v>
      </c>
      <c r="C670">
        <v>1980</v>
      </c>
      <c r="E670" s="1" t="s">
        <v>2785</v>
      </c>
    </row>
    <row r="671" spans="1:5" ht="15" customHeight="1" x14ac:dyDescent="0.25">
      <c r="A671" t="s">
        <v>1794</v>
      </c>
      <c r="B671" t="s">
        <v>519</v>
      </c>
      <c r="C671">
        <v>1980</v>
      </c>
      <c r="E671" s="1" t="s">
        <v>2786</v>
      </c>
    </row>
    <row r="672" spans="1:5" ht="15" customHeight="1" x14ac:dyDescent="0.25">
      <c r="A672" t="s">
        <v>1794</v>
      </c>
      <c r="B672" t="s">
        <v>859</v>
      </c>
      <c r="C672">
        <v>1980</v>
      </c>
      <c r="E672" s="1" t="s">
        <v>2787</v>
      </c>
    </row>
    <row r="673" spans="1:5" ht="15" customHeight="1" x14ac:dyDescent="0.25">
      <c r="A673" t="s">
        <v>1794</v>
      </c>
      <c r="B673" t="s">
        <v>987</v>
      </c>
      <c r="C673">
        <v>1980</v>
      </c>
      <c r="E673" s="1" t="s">
        <v>2788</v>
      </c>
    </row>
    <row r="674" spans="1:5" ht="15" customHeight="1" x14ac:dyDescent="0.25">
      <c r="A674" t="s">
        <v>1794</v>
      </c>
      <c r="B674" t="s">
        <v>1034</v>
      </c>
      <c r="C674">
        <v>1980</v>
      </c>
      <c r="E674" s="1"/>
    </row>
    <row r="675" spans="1:5" ht="15" customHeight="1" x14ac:dyDescent="0.25">
      <c r="A675" t="s">
        <v>1794</v>
      </c>
      <c r="B675" t="s">
        <v>6424</v>
      </c>
      <c r="C675">
        <v>1980</v>
      </c>
      <c r="E675" s="11" t="s">
        <v>6427</v>
      </c>
    </row>
    <row r="676" spans="1:5" ht="15" customHeight="1" x14ac:dyDescent="0.25">
      <c r="A676" t="s">
        <v>1794</v>
      </c>
      <c r="B676" t="s">
        <v>1163</v>
      </c>
      <c r="C676">
        <v>1980</v>
      </c>
      <c r="E676" s="1" t="s">
        <v>2519</v>
      </c>
    </row>
    <row r="677" spans="1:5" ht="15" customHeight="1" x14ac:dyDescent="0.25">
      <c r="A677" t="s">
        <v>1794</v>
      </c>
      <c r="B677" t="s">
        <v>1245</v>
      </c>
      <c r="C677">
        <v>1980</v>
      </c>
      <c r="E677" s="1" t="s">
        <v>2789</v>
      </c>
    </row>
    <row r="678" spans="1:5" ht="15" customHeight="1" x14ac:dyDescent="0.25">
      <c r="A678" t="s">
        <v>1794</v>
      </c>
      <c r="B678" t="s">
        <v>1368</v>
      </c>
      <c r="C678">
        <v>1980</v>
      </c>
      <c r="E678" t="s">
        <v>2538</v>
      </c>
    </row>
    <row r="679" spans="1:5" ht="15" customHeight="1" x14ac:dyDescent="0.25">
      <c r="A679" t="s">
        <v>1794</v>
      </c>
      <c r="B679" t="s">
        <v>1421</v>
      </c>
      <c r="C679">
        <v>1980</v>
      </c>
      <c r="E679" s="1" t="s">
        <v>2790</v>
      </c>
    </row>
    <row r="680" spans="1:5" ht="15" customHeight="1" x14ac:dyDescent="0.25">
      <c r="A680" t="s">
        <v>1794</v>
      </c>
      <c r="B680" t="s">
        <v>1688</v>
      </c>
      <c r="C680">
        <v>1980</v>
      </c>
      <c r="E680" s="1" t="s">
        <v>2637</v>
      </c>
    </row>
    <row r="681" spans="1:5" ht="15" customHeight="1" x14ac:dyDescent="0.25">
      <c r="A681" t="s">
        <v>1794</v>
      </c>
      <c r="B681" t="s">
        <v>1706</v>
      </c>
      <c r="C681">
        <v>1980</v>
      </c>
      <c r="E681" s="1" t="s">
        <v>2754</v>
      </c>
    </row>
    <row r="682" spans="1:5" ht="15" customHeight="1" x14ac:dyDescent="0.25">
      <c r="A682" t="s">
        <v>1794</v>
      </c>
      <c r="B682" t="s">
        <v>6459</v>
      </c>
      <c r="C682">
        <v>1980</v>
      </c>
      <c r="E682" s="11" t="s">
        <v>6458</v>
      </c>
    </row>
    <row r="683" spans="1:5" ht="15" customHeight="1" x14ac:dyDescent="0.25">
      <c r="A683" t="s">
        <v>1794</v>
      </c>
      <c r="B683" t="s">
        <v>1837</v>
      </c>
      <c r="C683">
        <v>1980</v>
      </c>
      <c r="E683" s="1" t="s">
        <v>2574</v>
      </c>
    </row>
    <row r="684" spans="1:5" ht="15" customHeight="1" x14ac:dyDescent="0.25">
      <c r="A684" t="s">
        <v>1794</v>
      </c>
      <c r="B684" t="s">
        <v>1841</v>
      </c>
      <c r="C684">
        <v>1980</v>
      </c>
      <c r="E684" s="1" t="s">
        <v>2791</v>
      </c>
    </row>
    <row r="685" spans="1:5" ht="15" customHeight="1" x14ac:dyDescent="0.25">
      <c r="A685" t="s">
        <v>1794</v>
      </c>
      <c r="B685" t="s">
        <v>2130</v>
      </c>
      <c r="C685">
        <v>1980</v>
      </c>
      <c r="E685" s="1" t="s">
        <v>2757</v>
      </c>
    </row>
    <row r="686" spans="1:5" ht="15" customHeight="1" x14ac:dyDescent="0.25">
      <c r="A686" t="s">
        <v>1794</v>
      </c>
      <c r="B686" t="s">
        <v>2274</v>
      </c>
      <c r="C686">
        <v>1980</v>
      </c>
      <c r="E686" s="1" t="s">
        <v>2792</v>
      </c>
    </row>
    <row r="687" spans="1:5" ht="15" customHeight="1" x14ac:dyDescent="0.25">
      <c r="A687" t="s">
        <v>1794</v>
      </c>
      <c r="B687" t="s">
        <v>2286</v>
      </c>
      <c r="C687">
        <v>1980</v>
      </c>
      <c r="E687" s="1" t="s">
        <v>2793</v>
      </c>
    </row>
    <row r="688" spans="1:5" ht="15" customHeight="1" x14ac:dyDescent="0.25">
      <c r="A688" t="s">
        <v>1810</v>
      </c>
      <c r="B688" t="s">
        <v>519</v>
      </c>
      <c r="C688">
        <v>2013</v>
      </c>
      <c r="E688" s="1" t="s">
        <v>2786</v>
      </c>
    </row>
    <row r="689" spans="1:5" ht="15" customHeight="1" x14ac:dyDescent="0.25">
      <c r="A689" t="s">
        <v>1810</v>
      </c>
      <c r="B689" t="s">
        <v>577</v>
      </c>
      <c r="C689">
        <v>2013</v>
      </c>
      <c r="E689" s="1" t="s">
        <v>2794</v>
      </c>
    </row>
    <row r="690" spans="1:5" ht="15" customHeight="1" x14ac:dyDescent="0.25">
      <c r="A690" t="s">
        <v>1810</v>
      </c>
      <c r="B690" t="s">
        <v>791</v>
      </c>
      <c r="C690">
        <v>2013</v>
      </c>
      <c r="E690" s="1" t="s">
        <v>2616</v>
      </c>
    </row>
    <row r="691" spans="1:5" ht="15" customHeight="1" x14ac:dyDescent="0.25">
      <c r="A691" t="s">
        <v>1810</v>
      </c>
      <c r="B691" t="s">
        <v>881</v>
      </c>
      <c r="C691">
        <v>2013</v>
      </c>
      <c r="E691" s="1" t="s">
        <v>2795</v>
      </c>
    </row>
    <row r="692" spans="1:5" ht="15" customHeight="1" x14ac:dyDescent="0.25">
      <c r="A692" t="s">
        <v>1810</v>
      </c>
      <c r="B692" t="s">
        <v>918</v>
      </c>
      <c r="C692">
        <v>2013</v>
      </c>
      <c r="E692" s="1" t="s">
        <v>2617</v>
      </c>
    </row>
    <row r="693" spans="1:5" ht="15" customHeight="1" x14ac:dyDescent="0.25">
      <c r="A693" t="s">
        <v>1810</v>
      </c>
      <c r="B693" t="s">
        <v>1151</v>
      </c>
      <c r="C693">
        <v>2013</v>
      </c>
      <c r="E693" s="1" t="s">
        <v>2796</v>
      </c>
    </row>
    <row r="694" spans="1:5" ht="15" customHeight="1" x14ac:dyDescent="0.25">
      <c r="A694" t="s">
        <v>1810</v>
      </c>
      <c r="B694" t="s">
        <v>1409</v>
      </c>
      <c r="C694">
        <v>2013</v>
      </c>
      <c r="E694" s="1" t="s">
        <v>2797</v>
      </c>
    </row>
    <row r="695" spans="1:5" ht="15" customHeight="1" x14ac:dyDescent="0.25">
      <c r="A695" t="s">
        <v>1810</v>
      </c>
      <c r="B695" t="s">
        <v>1806</v>
      </c>
      <c r="C695">
        <v>2013</v>
      </c>
      <c r="E695" s="1" t="s">
        <v>2798</v>
      </c>
    </row>
    <row r="696" spans="1:5" ht="15" customHeight="1" x14ac:dyDescent="0.25">
      <c r="A696" t="s">
        <v>1810</v>
      </c>
      <c r="B696" t="s">
        <v>1814</v>
      </c>
      <c r="C696">
        <v>2013</v>
      </c>
      <c r="D696" t="s">
        <v>70</v>
      </c>
      <c r="E696" s="1"/>
    </row>
    <row r="697" spans="1:5" ht="15" customHeight="1" x14ac:dyDescent="0.25">
      <c r="A697" t="s">
        <v>1810</v>
      </c>
      <c r="B697" t="s">
        <v>2004</v>
      </c>
      <c r="C697">
        <v>2013</v>
      </c>
      <c r="E697" s="1" t="s">
        <v>2621</v>
      </c>
    </row>
    <row r="698" spans="1:5" ht="15" customHeight="1" x14ac:dyDescent="0.25">
      <c r="A698" t="s">
        <v>1810</v>
      </c>
      <c r="B698" t="s">
        <v>2095</v>
      </c>
      <c r="C698">
        <v>2013</v>
      </c>
      <c r="E698" s="1" t="s">
        <v>2799</v>
      </c>
    </row>
    <row r="699" spans="1:5" ht="15" customHeight="1" x14ac:dyDescent="0.25">
      <c r="A699" t="s">
        <v>1810</v>
      </c>
      <c r="B699" t="s">
        <v>2334</v>
      </c>
      <c r="C699">
        <v>2013</v>
      </c>
      <c r="E699" s="1" t="s">
        <v>2623</v>
      </c>
    </row>
    <row r="700" spans="1:5" ht="15" customHeight="1" x14ac:dyDescent="0.25">
      <c r="A700" t="s">
        <v>1822</v>
      </c>
      <c r="B700" t="s">
        <v>1512</v>
      </c>
      <c r="C700">
        <v>2022</v>
      </c>
      <c r="E700" s="1" t="s">
        <v>2519</v>
      </c>
    </row>
    <row r="701" spans="1:5" ht="15" customHeight="1" x14ac:dyDescent="0.25">
      <c r="A701" t="s">
        <v>1822</v>
      </c>
      <c r="B701" t="s">
        <v>2294</v>
      </c>
      <c r="C701">
        <v>2022</v>
      </c>
      <c r="E701" s="1" t="s">
        <v>2800</v>
      </c>
    </row>
    <row r="702" spans="1:5" ht="15" customHeight="1" x14ac:dyDescent="0.25">
      <c r="A702" t="s">
        <v>1833</v>
      </c>
      <c r="B702" t="s">
        <v>673</v>
      </c>
      <c r="C702">
        <v>2021</v>
      </c>
      <c r="E702" s="1" t="s">
        <v>2680</v>
      </c>
    </row>
    <row r="703" spans="1:5" ht="15" customHeight="1" x14ac:dyDescent="0.25">
      <c r="A703" t="s">
        <v>1833</v>
      </c>
      <c r="B703" t="s">
        <v>2248</v>
      </c>
      <c r="C703">
        <v>2021</v>
      </c>
      <c r="E703" s="1" t="s">
        <v>2801</v>
      </c>
    </row>
    <row r="704" spans="1:5" ht="15" customHeight="1" x14ac:dyDescent="0.25">
      <c r="A704" t="s">
        <v>1848</v>
      </c>
      <c r="B704" t="s">
        <v>1852</v>
      </c>
      <c r="C704">
        <v>2021</v>
      </c>
      <c r="E704" s="1" t="s">
        <v>2559</v>
      </c>
    </row>
    <row r="705" spans="1:5" ht="15" customHeight="1" x14ac:dyDescent="0.25">
      <c r="A705" t="s">
        <v>1874</v>
      </c>
      <c r="B705" t="s">
        <v>922</v>
      </c>
      <c r="C705">
        <v>2020</v>
      </c>
      <c r="E705" s="1" t="s">
        <v>2519</v>
      </c>
    </row>
    <row r="706" spans="1:5" ht="15" customHeight="1" x14ac:dyDescent="0.25">
      <c r="A706" t="s">
        <v>1889</v>
      </c>
      <c r="B706" t="s">
        <v>92</v>
      </c>
      <c r="C706">
        <v>2022</v>
      </c>
      <c r="D706" t="s">
        <v>70</v>
      </c>
      <c r="E706" s="1"/>
    </row>
    <row r="707" spans="1:5" ht="15" customHeight="1" x14ac:dyDescent="0.25">
      <c r="A707" t="s">
        <v>1903</v>
      </c>
      <c r="B707" t="s">
        <v>1907</v>
      </c>
      <c r="C707">
        <v>2008</v>
      </c>
      <c r="D707" t="s">
        <v>70</v>
      </c>
      <c r="E707" s="1"/>
    </row>
    <row r="708" spans="1:5" ht="15" customHeight="1" x14ac:dyDescent="0.25">
      <c r="A708" t="s">
        <v>1905</v>
      </c>
      <c r="B708" t="s">
        <v>1903</v>
      </c>
      <c r="C708">
        <v>2000</v>
      </c>
      <c r="D708" t="s">
        <v>70</v>
      </c>
      <c r="E708" s="1"/>
    </row>
    <row r="709" spans="1:5" ht="15" customHeight="1" x14ac:dyDescent="0.25">
      <c r="A709" t="s">
        <v>1905</v>
      </c>
      <c r="B709" t="s">
        <v>1909</v>
      </c>
      <c r="C709">
        <v>2000</v>
      </c>
      <c r="D709" t="s">
        <v>70</v>
      </c>
      <c r="E709" s="1"/>
    </row>
    <row r="710" spans="1:5" ht="15" customHeight="1" x14ac:dyDescent="0.25">
      <c r="A710" t="s">
        <v>1907</v>
      </c>
      <c r="B710" t="s">
        <v>1919</v>
      </c>
      <c r="C710">
        <v>2010</v>
      </c>
      <c r="D710" t="s">
        <v>70</v>
      </c>
      <c r="E710" s="1"/>
    </row>
    <row r="711" spans="1:5" ht="15" customHeight="1" x14ac:dyDescent="0.25">
      <c r="A711" t="s">
        <v>1911</v>
      </c>
      <c r="B711" t="s">
        <v>1913</v>
      </c>
      <c r="C711">
        <v>1996</v>
      </c>
      <c r="D711" t="s">
        <v>70</v>
      </c>
      <c r="E711" s="1"/>
    </row>
    <row r="712" spans="1:5" ht="15" customHeight="1" x14ac:dyDescent="0.25">
      <c r="A712" t="s">
        <v>1919</v>
      </c>
      <c r="B712" t="s">
        <v>1915</v>
      </c>
      <c r="C712">
        <v>2010</v>
      </c>
      <c r="D712" t="s">
        <v>70</v>
      </c>
      <c r="E712" s="1"/>
    </row>
    <row r="713" spans="1:5" ht="15" customHeight="1" x14ac:dyDescent="0.25">
      <c r="A713" t="s">
        <v>1923</v>
      </c>
      <c r="B713" t="s">
        <v>2260</v>
      </c>
      <c r="C713">
        <v>2023</v>
      </c>
      <c r="E713" s="1" t="s">
        <v>2519</v>
      </c>
    </row>
    <row r="714" spans="1:5" ht="15" customHeight="1" x14ac:dyDescent="0.25">
      <c r="A714" t="s">
        <v>1927</v>
      </c>
      <c r="B714" t="s">
        <v>1534</v>
      </c>
      <c r="C714">
        <v>2010</v>
      </c>
      <c r="E714" s="1" t="s">
        <v>2802</v>
      </c>
    </row>
    <row r="715" spans="1:5" ht="15" customHeight="1" x14ac:dyDescent="0.25">
      <c r="A715" t="s">
        <v>1929</v>
      </c>
      <c r="B715" t="s">
        <v>277</v>
      </c>
      <c r="C715">
        <v>2022</v>
      </c>
      <c r="E715" s="1" t="s">
        <v>2519</v>
      </c>
    </row>
    <row r="716" spans="1:5" ht="15" customHeight="1" x14ac:dyDescent="0.25">
      <c r="A716" t="s">
        <v>1929</v>
      </c>
      <c r="B716" t="s">
        <v>6402</v>
      </c>
      <c r="C716">
        <v>2022</v>
      </c>
      <c r="E716" s="11" t="s">
        <v>6401</v>
      </c>
    </row>
    <row r="717" spans="1:5" ht="15" customHeight="1" x14ac:dyDescent="0.25">
      <c r="A717" t="s">
        <v>1929</v>
      </c>
      <c r="B717" t="s">
        <v>2236</v>
      </c>
      <c r="C717">
        <v>2022</v>
      </c>
      <c r="E717" s="1" t="s">
        <v>2725</v>
      </c>
    </row>
    <row r="718" spans="1:5" ht="15" customHeight="1" x14ac:dyDescent="0.25">
      <c r="A718" t="s">
        <v>1937</v>
      </c>
      <c r="B718" t="s">
        <v>1721</v>
      </c>
      <c r="C718">
        <v>2020</v>
      </c>
      <c r="E718" s="1" t="s">
        <v>2707</v>
      </c>
    </row>
    <row r="719" spans="1:5" ht="15" customHeight="1" x14ac:dyDescent="0.25">
      <c r="A719" t="s">
        <v>1947</v>
      </c>
      <c r="B719" t="s">
        <v>1037</v>
      </c>
      <c r="C719">
        <v>2006</v>
      </c>
      <c r="E719" s="1" t="s">
        <v>2803</v>
      </c>
    </row>
    <row r="720" spans="1:5" ht="15" customHeight="1" x14ac:dyDescent="0.25">
      <c r="A720" t="s">
        <v>1954</v>
      </c>
      <c r="B720" t="s">
        <v>92</v>
      </c>
      <c r="C720">
        <v>2017</v>
      </c>
      <c r="E720" s="1" t="s">
        <v>2804</v>
      </c>
    </row>
    <row r="721" spans="1:5" ht="15" customHeight="1" x14ac:dyDescent="0.25">
      <c r="A721" t="s">
        <v>1954</v>
      </c>
      <c r="B721" t="s">
        <v>98</v>
      </c>
      <c r="C721">
        <v>2017</v>
      </c>
      <c r="E721" s="1" t="s">
        <v>2519</v>
      </c>
    </row>
    <row r="722" spans="1:5" ht="15" customHeight="1" x14ac:dyDescent="0.25">
      <c r="A722" t="s">
        <v>1954</v>
      </c>
      <c r="B722" t="s">
        <v>111</v>
      </c>
      <c r="C722">
        <v>2017</v>
      </c>
      <c r="E722" s="1" t="s">
        <v>2773</v>
      </c>
    </row>
    <row r="723" spans="1:5" ht="15" customHeight="1" x14ac:dyDescent="0.25">
      <c r="A723" t="s">
        <v>1954</v>
      </c>
      <c r="B723" t="s">
        <v>115</v>
      </c>
      <c r="C723">
        <v>2017</v>
      </c>
      <c r="E723" s="1" t="s">
        <v>2805</v>
      </c>
    </row>
    <row r="724" spans="1:5" ht="15" customHeight="1" x14ac:dyDescent="0.25">
      <c r="A724" t="s">
        <v>1954</v>
      </c>
      <c r="B724" t="s">
        <v>127</v>
      </c>
      <c r="C724">
        <v>2017</v>
      </c>
      <c r="E724" s="1" t="s">
        <v>2718</v>
      </c>
    </row>
    <row r="725" spans="1:5" ht="15" customHeight="1" x14ac:dyDescent="0.25">
      <c r="A725" t="s">
        <v>1954</v>
      </c>
      <c r="B725" t="s">
        <v>153</v>
      </c>
      <c r="C725">
        <v>2017</v>
      </c>
      <c r="E725" s="1" t="s">
        <v>2675</v>
      </c>
    </row>
    <row r="726" spans="1:5" ht="15" customHeight="1" x14ac:dyDescent="0.25">
      <c r="A726" t="s">
        <v>1954</v>
      </c>
      <c r="B726" t="s">
        <v>157</v>
      </c>
      <c r="C726">
        <v>2017</v>
      </c>
      <c r="E726" s="11" t="s">
        <v>2628</v>
      </c>
    </row>
    <row r="727" spans="1:5" ht="15" customHeight="1" x14ac:dyDescent="0.25">
      <c r="A727" t="s">
        <v>1954</v>
      </c>
      <c r="B727" t="s">
        <v>166</v>
      </c>
      <c r="C727">
        <v>2017</v>
      </c>
      <c r="E727" s="1" t="s">
        <v>2770</v>
      </c>
    </row>
    <row r="728" spans="1:5" ht="15" customHeight="1" x14ac:dyDescent="0.25">
      <c r="A728" t="s">
        <v>1954</v>
      </c>
      <c r="B728" t="s">
        <v>168</v>
      </c>
      <c r="C728">
        <v>2017</v>
      </c>
      <c r="E728" s="1" t="s">
        <v>2519</v>
      </c>
    </row>
    <row r="729" spans="1:5" ht="15" customHeight="1" x14ac:dyDescent="0.25">
      <c r="A729" t="s">
        <v>1954</v>
      </c>
      <c r="B729" t="s">
        <v>177</v>
      </c>
      <c r="C729">
        <v>2017</v>
      </c>
      <c r="E729" s="1" t="s">
        <v>2806</v>
      </c>
    </row>
    <row r="730" spans="1:5" ht="15" customHeight="1" x14ac:dyDescent="0.25">
      <c r="A730" t="s">
        <v>1954</v>
      </c>
      <c r="B730" t="s">
        <v>181</v>
      </c>
      <c r="C730">
        <v>2017</v>
      </c>
      <c r="E730" s="1" t="s">
        <v>2807</v>
      </c>
    </row>
    <row r="731" spans="1:5" ht="15" customHeight="1" x14ac:dyDescent="0.25">
      <c r="A731" t="s">
        <v>1954</v>
      </c>
      <c r="B731" t="s">
        <v>194</v>
      </c>
      <c r="C731">
        <v>2017</v>
      </c>
      <c r="E731" s="1" t="s">
        <v>2665</v>
      </c>
    </row>
    <row r="732" spans="1:5" ht="15" customHeight="1" x14ac:dyDescent="0.25">
      <c r="A732" t="s">
        <v>1954</v>
      </c>
      <c r="B732" t="s">
        <v>206</v>
      </c>
      <c r="C732">
        <v>2017</v>
      </c>
      <c r="E732" s="1" t="s">
        <v>2719</v>
      </c>
    </row>
    <row r="733" spans="1:5" ht="15" customHeight="1" x14ac:dyDescent="0.25">
      <c r="A733" t="s">
        <v>1954</v>
      </c>
      <c r="B733" t="s">
        <v>228</v>
      </c>
      <c r="C733">
        <v>2017</v>
      </c>
      <c r="E733" s="1" t="s">
        <v>2538</v>
      </c>
    </row>
    <row r="734" spans="1:5" ht="15" customHeight="1" x14ac:dyDescent="0.25">
      <c r="A734" t="s">
        <v>1954</v>
      </c>
      <c r="B734" t="s">
        <v>259</v>
      </c>
      <c r="C734">
        <v>2017</v>
      </c>
      <c r="E734" s="1" t="s">
        <v>2808</v>
      </c>
    </row>
    <row r="735" spans="1:5" ht="15" customHeight="1" x14ac:dyDescent="0.25">
      <c r="A735" t="s">
        <v>1954</v>
      </c>
      <c r="B735" t="s">
        <v>267</v>
      </c>
      <c r="C735">
        <v>2017</v>
      </c>
      <c r="E735" s="1" t="s">
        <v>2809</v>
      </c>
    </row>
    <row r="736" spans="1:5" ht="15" customHeight="1" x14ac:dyDescent="0.25">
      <c r="A736" t="s">
        <v>1954</v>
      </c>
      <c r="B736" t="s">
        <v>6352</v>
      </c>
      <c r="C736">
        <v>2017</v>
      </c>
      <c r="E736" s="11" t="s">
        <v>6351</v>
      </c>
    </row>
    <row r="737" spans="1:5" ht="15" customHeight="1" x14ac:dyDescent="0.25">
      <c r="A737" t="s">
        <v>1954</v>
      </c>
      <c r="B737" t="s">
        <v>314</v>
      </c>
      <c r="C737">
        <v>2017</v>
      </c>
      <c r="E737" s="1" t="s">
        <v>2519</v>
      </c>
    </row>
    <row r="738" spans="1:5" ht="15" customHeight="1" x14ac:dyDescent="0.25">
      <c r="A738" t="s">
        <v>1954</v>
      </c>
      <c r="B738" t="s">
        <v>327</v>
      </c>
      <c r="C738">
        <v>2017</v>
      </c>
      <c r="E738" s="1" t="s">
        <v>2519</v>
      </c>
    </row>
    <row r="739" spans="1:5" ht="15" customHeight="1" x14ac:dyDescent="0.25">
      <c r="A739" t="s">
        <v>1954</v>
      </c>
      <c r="B739" t="s">
        <v>330</v>
      </c>
      <c r="C739">
        <v>2017</v>
      </c>
      <c r="E739" s="1" t="s">
        <v>2810</v>
      </c>
    </row>
    <row r="740" spans="1:5" ht="15" customHeight="1" x14ac:dyDescent="0.25">
      <c r="A740" t="s">
        <v>1954</v>
      </c>
      <c r="B740" t="s">
        <v>334</v>
      </c>
      <c r="C740">
        <v>2017</v>
      </c>
      <c r="E740" s="1" t="s">
        <v>2676</v>
      </c>
    </row>
    <row r="741" spans="1:5" ht="15" customHeight="1" x14ac:dyDescent="0.25">
      <c r="A741" t="s">
        <v>1954</v>
      </c>
      <c r="B741" t="s">
        <v>343</v>
      </c>
      <c r="C741">
        <v>2017</v>
      </c>
      <c r="E741" s="1" t="s">
        <v>2519</v>
      </c>
    </row>
    <row r="742" spans="1:5" ht="15" customHeight="1" x14ac:dyDescent="0.25">
      <c r="A742" t="s">
        <v>1954</v>
      </c>
      <c r="B742" t="s">
        <v>411</v>
      </c>
      <c r="C742">
        <v>2017</v>
      </c>
      <c r="E742" s="1" t="s">
        <v>2811</v>
      </c>
    </row>
    <row r="743" spans="1:5" ht="15" customHeight="1" x14ac:dyDescent="0.25">
      <c r="A743" t="s">
        <v>1954</v>
      </c>
      <c r="B743" t="s">
        <v>6402</v>
      </c>
      <c r="C743">
        <v>2017</v>
      </c>
      <c r="E743" s="11" t="s">
        <v>6403</v>
      </c>
    </row>
    <row r="744" spans="1:5" ht="15" customHeight="1" x14ac:dyDescent="0.25">
      <c r="A744" t="s">
        <v>1954</v>
      </c>
      <c r="B744" t="s">
        <v>434</v>
      </c>
      <c r="C744">
        <v>2017</v>
      </c>
      <c r="E744" s="1" t="s">
        <v>2519</v>
      </c>
    </row>
    <row r="745" spans="1:5" ht="15" customHeight="1" x14ac:dyDescent="0.25">
      <c r="A745" t="s">
        <v>1954</v>
      </c>
      <c r="B745" t="s">
        <v>6355</v>
      </c>
      <c r="C745">
        <v>2017</v>
      </c>
      <c r="E745" s="11" t="s">
        <v>6361</v>
      </c>
    </row>
    <row r="746" spans="1:5" ht="15" customHeight="1" x14ac:dyDescent="0.25">
      <c r="A746" t="s">
        <v>1954</v>
      </c>
      <c r="B746" t="s">
        <v>452</v>
      </c>
      <c r="C746">
        <v>2017</v>
      </c>
      <c r="E746" s="1" t="s">
        <v>2714</v>
      </c>
    </row>
    <row r="747" spans="1:5" ht="15" customHeight="1" x14ac:dyDescent="0.25">
      <c r="A747" t="s">
        <v>1954</v>
      </c>
      <c r="B747" t="s">
        <v>466</v>
      </c>
      <c r="C747">
        <v>2017</v>
      </c>
      <c r="E747" s="1" t="s">
        <v>2812</v>
      </c>
    </row>
    <row r="748" spans="1:5" ht="15" customHeight="1" x14ac:dyDescent="0.25">
      <c r="A748" t="s">
        <v>1954</v>
      </c>
      <c r="B748" t="s">
        <v>476</v>
      </c>
      <c r="C748">
        <v>2017</v>
      </c>
      <c r="E748" s="1" t="s">
        <v>2813</v>
      </c>
    </row>
    <row r="749" spans="1:5" ht="15" customHeight="1" x14ac:dyDescent="0.25">
      <c r="A749" t="s">
        <v>1954</v>
      </c>
      <c r="B749" t="s">
        <v>501</v>
      </c>
      <c r="C749">
        <v>2017</v>
      </c>
      <c r="E749" s="1" t="s">
        <v>2519</v>
      </c>
    </row>
    <row r="750" spans="1:5" ht="15" customHeight="1" x14ac:dyDescent="0.25">
      <c r="A750" t="s">
        <v>1954</v>
      </c>
      <c r="B750" t="s">
        <v>511</v>
      </c>
      <c r="C750">
        <v>2017</v>
      </c>
      <c r="E750" s="1" t="s">
        <v>2814</v>
      </c>
    </row>
    <row r="751" spans="1:5" ht="15" customHeight="1" x14ac:dyDescent="0.25">
      <c r="A751" t="s">
        <v>1954</v>
      </c>
      <c r="B751" t="s">
        <v>551</v>
      </c>
      <c r="C751">
        <v>2017</v>
      </c>
      <c r="E751" s="1" t="s">
        <v>2547</v>
      </c>
    </row>
    <row r="752" spans="1:5" ht="15" customHeight="1" x14ac:dyDescent="0.25">
      <c r="A752" t="s">
        <v>1954</v>
      </c>
      <c r="B752" t="s">
        <v>610</v>
      </c>
      <c r="C752">
        <v>2017</v>
      </c>
      <c r="E752" s="1" t="s">
        <v>2602</v>
      </c>
    </row>
    <row r="753" spans="1:5" ht="15" customHeight="1" x14ac:dyDescent="0.25">
      <c r="A753" t="s">
        <v>1954</v>
      </c>
      <c r="B753" t="s">
        <v>614</v>
      </c>
      <c r="C753">
        <v>2017</v>
      </c>
      <c r="E753" s="1" t="s">
        <v>2815</v>
      </c>
    </row>
    <row r="754" spans="1:5" ht="15" customHeight="1" x14ac:dyDescent="0.25">
      <c r="A754" t="s">
        <v>1954</v>
      </c>
      <c r="B754" t="s">
        <v>618</v>
      </c>
      <c r="C754">
        <v>2017</v>
      </c>
      <c r="E754" s="1" t="s">
        <v>2519</v>
      </c>
    </row>
    <row r="755" spans="1:5" ht="15" customHeight="1" x14ac:dyDescent="0.25">
      <c r="A755" t="s">
        <v>1954</v>
      </c>
      <c r="B755" t="s">
        <v>630</v>
      </c>
      <c r="C755">
        <v>2017</v>
      </c>
      <c r="E755" s="1" t="s">
        <v>2816</v>
      </c>
    </row>
    <row r="756" spans="1:5" ht="15" customHeight="1" x14ac:dyDescent="0.25">
      <c r="A756" t="s">
        <v>1954</v>
      </c>
      <c r="B756" t="s">
        <v>643</v>
      </c>
      <c r="C756">
        <v>2017</v>
      </c>
      <c r="E756" s="1" t="s">
        <v>2519</v>
      </c>
    </row>
    <row r="757" spans="1:5" ht="15" customHeight="1" x14ac:dyDescent="0.25">
      <c r="A757" t="s">
        <v>1954</v>
      </c>
      <c r="B757" t="s">
        <v>671</v>
      </c>
      <c r="C757">
        <v>2017</v>
      </c>
      <c r="E757" s="1" t="s">
        <v>2549</v>
      </c>
    </row>
    <row r="758" spans="1:5" ht="15" customHeight="1" x14ac:dyDescent="0.25">
      <c r="A758" t="s">
        <v>1954</v>
      </c>
      <c r="B758" t="s">
        <v>673</v>
      </c>
      <c r="C758">
        <v>2017</v>
      </c>
      <c r="E758" s="1" t="s">
        <v>2680</v>
      </c>
    </row>
    <row r="759" spans="1:5" ht="15" customHeight="1" x14ac:dyDescent="0.25">
      <c r="A759" t="s">
        <v>1954</v>
      </c>
      <c r="B759" t="s">
        <v>677</v>
      </c>
      <c r="C759">
        <v>2017</v>
      </c>
      <c r="E759" t="s">
        <v>2519</v>
      </c>
    </row>
    <row r="760" spans="1:5" ht="15" customHeight="1" x14ac:dyDescent="0.25">
      <c r="A760" t="s">
        <v>1954</v>
      </c>
      <c r="B760" t="s">
        <v>685</v>
      </c>
      <c r="C760">
        <v>2017</v>
      </c>
      <c r="E760" s="1" t="s">
        <v>2604</v>
      </c>
    </row>
    <row r="761" spans="1:5" ht="15" customHeight="1" x14ac:dyDescent="0.25">
      <c r="A761" t="s">
        <v>1954</v>
      </c>
      <c r="B761" t="s">
        <v>687</v>
      </c>
      <c r="C761">
        <v>2017</v>
      </c>
      <c r="E761" s="1" t="s">
        <v>2817</v>
      </c>
    </row>
    <row r="762" spans="1:5" ht="15" customHeight="1" x14ac:dyDescent="0.25">
      <c r="A762" t="s">
        <v>1954</v>
      </c>
      <c r="B762" t="s">
        <v>695</v>
      </c>
      <c r="C762">
        <v>2017</v>
      </c>
      <c r="E762" s="1" t="s">
        <v>2519</v>
      </c>
    </row>
    <row r="763" spans="1:5" ht="15" customHeight="1" x14ac:dyDescent="0.25">
      <c r="A763" t="s">
        <v>1954</v>
      </c>
      <c r="B763" t="s">
        <v>703</v>
      </c>
      <c r="C763">
        <v>2017</v>
      </c>
      <c r="E763" s="1" t="s">
        <v>2630</v>
      </c>
    </row>
    <row r="764" spans="1:5" ht="15" customHeight="1" x14ac:dyDescent="0.25">
      <c r="A764" t="s">
        <v>1954</v>
      </c>
      <c r="B764" t="s">
        <v>758</v>
      </c>
      <c r="C764">
        <v>2017</v>
      </c>
      <c r="E764" s="1" t="s">
        <v>2631</v>
      </c>
    </row>
    <row r="765" spans="1:5" ht="15" customHeight="1" x14ac:dyDescent="0.25">
      <c r="A765" t="s">
        <v>1954</v>
      </c>
      <c r="B765" t="s">
        <v>811</v>
      </c>
      <c r="C765">
        <v>2017</v>
      </c>
      <c r="E765" s="1" t="s">
        <v>2519</v>
      </c>
    </row>
    <row r="766" spans="1:5" ht="15" customHeight="1" x14ac:dyDescent="0.25">
      <c r="A766" t="s">
        <v>1954</v>
      </c>
      <c r="B766" t="s">
        <v>816</v>
      </c>
      <c r="C766">
        <v>2017</v>
      </c>
      <c r="E766" s="1" t="s">
        <v>2818</v>
      </c>
    </row>
    <row r="767" spans="1:5" ht="15" customHeight="1" x14ac:dyDescent="0.25">
      <c r="A767" t="s">
        <v>1954</v>
      </c>
      <c r="B767" t="s">
        <v>838</v>
      </c>
      <c r="C767">
        <v>2017</v>
      </c>
      <c r="E767" s="1" t="s">
        <v>2519</v>
      </c>
    </row>
    <row r="768" spans="1:5" ht="15" customHeight="1" x14ac:dyDescent="0.25">
      <c r="A768" t="s">
        <v>1954</v>
      </c>
      <c r="B768" t="s">
        <v>867</v>
      </c>
      <c r="C768">
        <v>2017</v>
      </c>
      <c r="E768" s="1" t="s">
        <v>2720</v>
      </c>
    </row>
    <row r="769" spans="1:5" ht="15" customHeight="1" x14ac:dyDescent="0.25">
      <c r="A769" t="s">
        <v>1954</v>
      </c>
      <c r="B769" t="s">
        <v>885</v>
      </c>
      <c r="C769">
        <v>2017</v>
      </c>
      <c r="E769" s="11" t="s">
        <v>2721</v>
      </c>
    </row>
    <row r="770" spans="1:5" ht="15" customHeight="1" x14ac:dyDescent="0.25">
      <c r="A770" t="s">
        <v>1954</v>
      </c>
      <c r="B770" t="s">
        <v>6584</v>
      </c>
      <c r="C770">
        <v>2017</v>
      </c>
      <c r="E770" s="11" t="s">
        <v>6583</v>
      </c>
    </row>
    <row r="771" spans="1:5" ht="15" customHeight="1" x14ac:dyDescent="0.25">
      <c r="A771" t="s">
        <v>1954</v>
      </c>
      <c r="B771" t="s">
        <v>902</v>
      </c>
      <c r="C771">
        <v>2017</v>
      </c>
      <c r="E771" s="1" t="s">
        <v>2702</v>
      </c>
    </row>
    <row r="772" spans="1:5" ht="15" customHeight="1" x14ac:dyDescent="0.25">
      <c r="A772" t="s">
        <v>1954</v>
      </c>
      <c r="B772" t="s">
        <v>991</v>
      </c>
      <c r="C772">
        <v>2022</v>
      </c>
      <c r="E772" s="1" t="s">
        <v>2819</v>
      </c>
    </row>
    <row r="773" spans="1:5" ht="15" customHeight="1" x14ac:dyDescent="0.25">
      <c r="A773" t="s">
        <v>1954</v>
      </c>
      <c r="B773" t="s">
        <v>1011</v>
      </c>
      <c r="C773">
        <v>2017</v>
      </c>
      <c r="E773" s="1" t="s">
        <v>2820</v>
      </c>
    </row>
    <row r="774" spans="1:5" ht="15" customHeight="1" x14ac:dyDescent="0.25">
      <c r="A774" t="s">
        <v>1954</v>
      </c>
      <c r="B774" t="s">
        <v>1040</v>
      </c>
      <c r="C774">
        <v>2017</v>
      </c>
      <c r="E774" s="1"/>
    </row>
    <row r="775" spans="1:5" ht="15" customHeight="1" x14ac:dyDescent="0.25">
      <c r="A775" t="s">
        <v>1954</v>
      </c>
      <c r="B775" t="s">
        <v>6393</v>
      </c>
      <c r="C775">
        <v>2017</v>
      </c>
      <c r="E775" s="11" t="s">
        <v>6395</v>
      </c>
    </row>
    <row r="776" spans="1:5" ht="15" customHeight="1" x14ac:dyDescent="0.25">
      <c r="A776" t="s">
        <v>1954</v>
      </c>
      <c r="B776" t="s">
        <v>1100</v>
      </c>
      <c r="C776">
        <v>2017</v>
      </c>
      <c r="E776" s="1" t="s">
        <v>2571</v>
      </c>
    </row>
    <row r="777" spans="1:5" ht="15" customHeight="1" x14ac:dyDescent="0.25">
      <c r="A777" t="s">
        <v>1954</v>
      </c>
      <c r="B777" t="s">
        <v>1120</v>
      </c>
      <c r="C777">
        <v>2017</v>
      </c>
      <c r="E777" s="1" t="s">
        <v>2519</v>
      </c>
    </row>
    <row r="778" spans="1:5" ht="15" customHeight="1" x14ac:dyDescent="0.25">
      <c r="A778" t="s">
        <v>1954</v>
      </c>
      <c r="B778" t="s">
        <v>1135</v>
      </c>
      <c r="C778">
        <v>2017</v>
      </c>
      <c r="E778" s="1" t="s">
        <v>2553</v>
      </c>
    </row>
    <row r="779" spans="1:5" ht="15" customHeight="1" x14ac:dyDescent="0.25">
      <c r="A779" t="s">
        <v>1954</v>
      </c>
      <c r="B779" t="s">
        <v>6581</v>
      </c>
      <c r="C779">
        <v>2017</v>
      </c>
      <c r="E779" t="s">
        <v>2519</v>
      </c>
    </row>
    <row r="780" spans="1:5" ht="15" customHeight="1" x14ac:dyDescent="0.25">
      <c r="A780" t="s">
        <v>1954</v>
      </c>
      <c r="B780" t="s">
        <v>1178</v>
      </c>
      <c r="C780">
        <v>2017</v>
      </c>
      <c r="E780" s="1" t="s">
        <v>2607</v>
      </c>
    </row>
    <row r="781" spans="1:5" ht="15" customHeight="1" x14ac:dyDescent="0.25">
      <c r="A781" t="s">
        <v>1954</v>
      </c>
      <c r="B781" t="s">
        <v>1201</v>
      </c>
      <c r="C781">
        <v>2017</v>
      </c>
      <c r="E781" s="1" t="s">
        <v>2821</v>
      </c>
    </row>
    <row r="782" spans="1:5" ht="15" customHeight="1" x14ac:dyDescent="0.25">
      <c r="A782" t="s">
        <v>1954</v>
      </c>
      <c r="B782" t="s">
        <v>1234</v>
      </c>
      <c r="C782">
        <v>2017</v>
      </c>
      <c r="E782" s="1" t="s">
        <v>2519</v>
      </c>
    </row>
    <row r="783" spans="1:5" ht="15" customHeight="1" x14ac:dyDescent="0.25">
      <c r="A783" t="s">
        <v>1954</v>
      </c>
      <c r="B783" t="s">
        <v>1248</v>
      </c>
      <c r="C783">
        <v>2017</v>
      </c>
      <c r="E783" s="1" t="s">
        <v>2568</v>
      </c>
    </row>
    <row r="784" spans="1:5" ht="15" customHeight="1" x14ac:dyDescent="0.25">
      <c r="A784" t="s">
        <v>1954</v>
      </c>
      <c r="B784" t="s">
        <v>1287</v>
      </c>
      <c r="C784">
        <v>2017</v>
      </c>
      <c r="E784" s="1" t="s">
        <v>2822</v>
      </c>
    </row>
    <row r="785" spans="1:5" ht="15" customHeight="1" x14ac:dyDescent="0.25">
      <c r="A785" t="s">
        <v>1954</v>
      </c>
      <c r="B785" t="s">
        <v>1293</v>
      </c>
      <c r="C785">
        <v>2017</v>
      </c>
      <c r="E785" s="1" t="s">
        <v>2519</v>
      </c>
    </row>
    <row r="786" spans="1:5" ht="15" customHeight="1" x14ac:dyDescent="0.25">
      <c r="A786" t="s">
        <v>1954</v>
      </c>
      <c r="B786" t="s">
        <v>1295</v>
      </c>
      <c r="C786">
        <v>2017</v>
      </c>
      <c r="E786" s="1" t="s">
        <v>2823</v>
      </c>
    </row>
    <row r="787" spans="1:5" ht="15" customHeight="1" x14ac:dyDescent="0.25">
      <c r="A787" t="s">
        <v>1954</v>
      </c>
      <c r="B787" t="s">
        <v>1310</v>
      </c>
      <c r="C787">
        <v>2017</v>
      </c>
      <c r="E787" s="1" t="s">
        <v>2761</v>
      </c>
    </row>
    <row r="788" spans="1:5" ht="15" customHeight="1" x14ac:dyDescent="0.25">
      <c r="A788" t="s">
        <v>1954</v>
      </c>
      <c r="B788" t="s">
        <v>1334</v>
      </c>
      <c r="C788">
        <v>2017</v>
      </c>
      <c r="E788" s="1" t="s">
        <v>2824</v>
      </c>
    </row>
    <row r="789" spans="1:5" ht="15" customHeight="1" x14ac:dyDescent="0.25">
      <c r="A789" t="s">
        <v>1954</v>
      </c>
      <c r="B789" t="s">
        <v>1336</v>
      </c>
      <c r="C789">
        <v>2017</v>
      </c>
      <c r="E789" s="1" t="s">
        <v>2825</v>
      </c>
    </row>
    <row r="790" spans="1:5" ht="15" customHeight="1" x14ac:dyDescent="0.25">
      <c r="A790" t="s">
        <v>1954</v>
      </c>
      <c r="B790" t="s">
        <v>1377</v>
      </c>
      <c r="C790">
        <v>2017</v>
      </c>
      <c r="E790" s="1" t="s">
        <v>2826</v>
      </c>
    </row>
    <row r="791" spans="1:5" ht="15" customHeight="1" x14ac:dyDescent="0.25">
      <c r="A791" t="s">
        <v>1954</v>
      </c>
      <c r="B791" t="s">
        <v>1389</v>
      </c>
      <c r="C791">
        <v>2017</v>
      </c>
      <c r="E791" s="1" t="s">
        <v>2538</v>
      </c>
    </row>
    <row r="792" spans="1:5" ht="15" customHeight="1" x14ac:dyDescent="0.25">
      <c r="A792" t="s">
        <v>1954</v>
      </c>
      <c r="B792" t="s">
        <v>1424</v>
      </c>
      <c r="C792">
        <v>2017</v>
      </c>
      <c r="E792" s="1" t="s">
        <v>2827</v>
      </c>
    </row>
    <row r="793" spans="1:5" ht="15" customHeight="1" x14ac:dyDescent="0.25">
      <c r="A793" t="s">
        <v>1954</v>
      </c>
      <c r="B793" t="s">
        <v>1430</v>
      </c>
      <c r="C793">
        <v>2017</v>
      </c>
      <c r="E793" s="1" t="s">
        <v>2519</v>
      </c>
    </row>
    <row r="794" spans="1:5" ht="15" customHeight="1" x14ac:dyDescent="0.25">
      <c r="A794" t="s">
        <v>1954</v>
      </c>
      <c r="B794" t="s">
        <v>1492</v>
      </c>
      <c r="C794">
        <v>2017</v>
      </c>
      <c r="E794" s="1" t="s">
        <v>2519</v>
      </c>
    </row>
    <row r="795" spans="1:5" ht="15" customHeight="1" x14ac:dyDescent="0.25">
      <c r="A795" t="s">
        <v>1954</v>
      </c>
      <c r="B795" t="s">
        <v>1512</v>
      </c>
      <c r="C795">
        <v>2017</v>
      </c>
      <c r="E795" s="1" t="s">
        <v>2519</v>
      </c>
    </row>
    <row r="796" spans="1:5" ht="15" customHeight="1" x14ac:dyDescent="0.25">
      <c r="A796" t="s">
        <v>1954</v>
      </c>
      <c r="B796" t="s">
        <v>1546</v>
      </c>
      <c r="C796">
        <v>2017</v>
      </c>
      <c r="E796" s="11" t="s">
        <v>2828</v>
      </c>
    </row>
    <row r="797" spans="1:5" ht="15" customHeight="1" x14ac:dyDescent="0.25">
      <c r="A797" t="s">
        <v>1954</v>
      </c>
      <c r="B797" t="s">
        <v>1563</v>
      </c>
      <c r="C797">
        <v>2017</v>
      </c>
      <c r="E797" s="1" t="s">
        <v>2686</v>
      </c>
    </row>
    <row r="798" spans="1:5" ht="15" customHeight="1" x14ac:dyDescent="0.25">
      <c r="A798" t="s">
        <v>1954</v>
      </c>
      <c r="B798" t="s">
        <v>1582</v>
      </c>
      <c r="C798">
        <v>2017</v>
      </c>
      <c r="E798" s="1" t="s">
        <v>2538</v>
      </c>
    </row>
    <row r="799" spans="1:5" ht="15" customHeight="1" x14ac:dyDescent="0.25">
      <c r="A799" t="s">
        <v>1954</v>
      </c>
      <c r="B799" t="s">
        <v>1608</v>
      </c>
      <c r="C799">
        <v>2017</v>
      </c>
      <c r="E799" s="1" t="s">
        <v>2723</v>
      </c>
    </row>
    <row r="800" spans="1:5" ht="15" customHeight="1" x14ac:dyDescent="0.25">
      <c r="A800" t="s">
        <v>1954</v>
      </c>
      <c r="B800" t="s">
        <v>1612</v>
      </c>
      <c r="C800">
        <v>2017</v>
      </c>
      <c r="E800" s="1" t="s">
        <v>2829</v>
      </c>
    </row>
    <row r="801" spans="1:5" ht="15" customHeight="1" x14ac:dyDescent="0.25">
      <c r="A801" t="s">
        <v>1954</v>
      </c>
      <c r="B801" t="s">
        <v>1639</v>
      </c>
      <c r="C801">
        <v>2017</v>
      </c>
      <c r="E801" s="1" t="s">
        <v>2519</v>
      </c>
    </row>
    <row r="802" spans="1:5" ht="15" customHeight="1" x14ac:dyDescent="0.25">
      <c r="A802" t="s">
        <v>1954</v>
      </c>
      <c r="B802" t="s">
        <v>1649</v>
      </c>
      <c r="C802">
        <v>2017</v>
      </c>
      <c r="E802" s="1" t="s">
        <v>2830</v>
      </c>
    </row>
    <row r="803" spans="1:5" ht="15" customHeight="1" x14ac:dyDescent="0.25">
      <c r="A803" t="s">
        <v>1954</v>
      </c>
      <c r="B803" t="s">
        <v>1655</v>
      </c>
      <c r="C803">
        <v>2017</v>
      </c>
      <c r="E803" s="1"/>
    </row>
    <row r="804" spans="1:5" ht="15" customHeight="1" x14ac:dyDescent="0.25">
      <c r="A804" t="s">
        <v>1954</v>
      </c>
      <c r="B804" t="s">
        <v>1672</v>
      </c>
      <c r="C804">
        <v>2017</v>
      </c>
      <c r="E804" s="1" t="s">
        <v>2717</v>
      </c>
    </row>
    <row r="805" spans="1:5" ht="15" customHeight="1" x14ac:dyDescent="0.25">
      <c r="A805" t="s">
        <v>1954</v>
      </c>
      <c r="B805" t="s">
        <v>1711</v>
      </c>
      <c r="C805">
        <v>2017</v>
      </c>
      <c r="E805" s="1" t="s">
        <v>2538</v>
      </c>
    </row>
    <row r="806" spans="1:5" ht="15" customHeight="1" x14ac:dyDescent="0.25">
      <c r="A806" t="s">
        <v>1954</v>
      </c>
      <c r="B806" t="s">
        <v>1758</v>
      </c>
      <c r="C806">
        <v>2017</v>
      </c>
      <c r="E806" s="1" t="s">
        <v>2831</v>
      </c>
    </row>
    <row r="807" spans="1:5" ht="15" customHeight="1" x14ac:dyDescent="0.25">
      <c r="A807" t="s">
        <v>1954</v>
      </c>
      <c r="B807" t="s">
        <v>1762</v>
      </c>
      <c r="C807">
        <v>2017</v>
      </c>
      <c r="E807" s="1" t="s">
        <v>2832</v>
      </c>
    </row>
    <row r="808" spans="1:5" ht="15" customHeight="1" x14ac:dyDescent="0.25">
      <c r="A808" t="s">
        <v>1954</v>
      </c>
      <c r="B808" t="s">
        <v>1798</v>
      </c>
      <c r="C808">
        <v>2017</v>
      </c>
      <c r="E808" s="1" t="s">
        <v>2520</v>
      </c>
    </row>
    <row r="809" spans="1:5" ht="15" customHeight="1" x14ac:dyDescent="0.25">
      <c r="A809" t="s">
        <v>1954</v>
      </c>
      <c r="B809" t="s">
        <v>1818</v>
      </c>
      <c r="C809">
        <v>2017</v>
      </c>
      <c r="E809" s="1"/>
    </row>
    <row r="810" spans="1:5" ht="15" customHeight="1" x14ac:dyDescent="0.25">
      <c r="A810" t="s">
        <v>1954</v>
      </c>
      <c r="B810" t="s">
        <v>1824</v>
      </c>
      <c r="C810">
        <v>2017</v>
      </c>
      <c r="E810" s="11" t="s">
        <v>2541</v>
      </c>
    </row>
    <row r="811" spans="1:5" ht="15" customHeight="1" x14ac:dyDescent="0.25">
      <c r="A811" t="s">
        <v>1954</v>
      </c>
      <c r="B811" t="s">
        <v>1833</v>
      </c>
      <c r="C811">
        <v>2017</v>
      </c>
      <c r="E811" s="1" t="s">
        <v>2833</v>
      </c>
    </row>
    <row r="812" spans="1:5" ht="15" customHeight="1" x14ac:dyDescent="0.25">
      <c r="A812" t="s">
        <v>1954</v>
      </c>
      <c r="B812" t="s">
        <v>1839</v>
      </c>
      <c r="C812">
        <v>2017</v>
      </c>
      <c r="E812" s="1" t="s">
        <v>2558</v>
      </c>
    </row>
    <row r="813" spans="1:5" ht="15" customHeight="1" x14ac:dyDescent="0.25">
      <c r="A813" t="s">
        <v>1954</v>
      </c>
      <c r="B813" t="s">
        <v>6323</v>
      </c>
      <c r="C813">
        <v>2017</v>
      </c>
      <c r="E813" s="11" t="s">
        <v>6326</v>
      </c>
    </row>
    <row r="814" spans="1:5" ht="15" customHeight="1" x14ac:dyDescent="0.25">
      <c r="A814" t="s">
        <v>1954</v>
      </c>
      <c r="B814" t="s">
        <v>6503</v>
      </c>
      <c r="C814">
        <v>2017</v>
      </c>
      <c r="E814" s="11" t="s">
        <v>6505</v>
      </c>
    </row>
    <row r="815" spans="1:5" ht="15" customHeight="1" x14ac:dyDescent="0.25">
      <c r="A815" t="s">
        <v>1954</v>
      </c>
      <c r="B815" t="s">
        <v>1884</v>
      </c>
      <c r="C815">
        <v>2017</v>
      </c>
      <c r="E815" s="1" t="s">
        <v>2834</v>
      </c>
    </row>
    <row r="816" spans="1:5" ht="15" customHeight="1" x14ac:dyDescent="0.25">
      <c r="A816" t="s">
        <v>1954</v>
      </c>
      <c r="B816" t="s">
        <v>1893</v>
      </c>
      <c r="C816">
        <v>2017</v>
      </c>
      <c r="E816" s="1" t="s">
        <v>2608</v>
      </c>
    </row>
    <row r="817" spans="1:5" ht="15" customHeight="1" x14ac:dyDescent="0.25">
      <c r="A817" t="s">
        <v>1954</v>
      </c>
      <c r="B817" t="s">
        <v>1923</v>
      </c>
      <c r="C817">
        <v>2017</v>
      </c>
      <c r="E817" s="1" t="s">
        <v>2593</v>
      </c>
    </row>
    <row r="818" spans="1:5" ht="15" customHeight="1" x14ac:dyDescent="0.25">
      <c r="A818" t="s">
        <v>1954</v>
      </c>
      <c r="B818" t="s">
        <v>1958</v>
      </c>
      <c r="C818">
        <v>2017</v>
      </c>
      <c r="D818" t="s">
        <v>70</v>
      </c>
      <c r="E818" s="1"/>
    </row>
    <row r="819" spans="1:5" ht="15" customHeight="1" x14ac:dyDescent="0.25">
      <c r="A819" t="s">
        <v>1954</v>
      </c>
      <c r="B819" t="s">
        <v>1962</v>
      </c>
      <c r="C819">
        <v>2017</v>
      </c>
      <c r="E819" s="1" t="s">
        <v>2519</v>
      </c>
    </row>
    <row r="820" spans="1:5" ht="15" customHeight="1" x14ac:dyDescent="0.25">
      <c r="A820" t="s">
        <v>1954</v>
      </c>
      <c r="B820" t="s">
        <v>1972</v>
      </c>
      <c r="C820">
        <v>2017</v>
      </c>
      <c r="E820" s="1" t="s">
        <v>2562</v>
      </c>
    </row>
    <row r="821" spans="1:5" ht="15" customHeight="1" x14ac:dyDescent="0.25">
      <c r="A821" t="s">
        <v>1954</v>
      </c>
      <c r="B821" t="s">
        <v>2013</v>
      </c>
      <c r="C821">
        <v>2017</v>
      </c>
      <c r="E821" s="1" t="s">
        <v>2519</v>
      </c>
    </row>
    <row r="822" spans="1:5" ht="15" customHeight="1" x14ac:dyDescent="0.25">
      <c r="A822" t="s">
        <v>1954</v>
      </c>
      <c r="B822" t="s">
        <v>2028</v>
      </c>
      <c r="C822">
        <v>2017</v>
      </c>
      <c r="E822" s="1" t="s">
        <v>2519</v>
      </c>
    </row>
    <row r="823" spans="1:5" ht="15" customHeight="1" x14ac:dyDescent="0.25">
      <c r="A823" t="s">
        <v>1954</v>
      </c>
      <c r="B823" t="s">
        <v>2036</v>
      </c>
      <c r="C823">
        <v>2017</v>
      </c>
      <c r="E823" s="1" t="s">
        <v>2519</v>
      </c>
    </row>
    <row r="824" spans="1:5" ht="15" customHeight="1" x14ac:dyDescent="0.25">
      <c r="A824" t="s">
        <v>1954</v>
      </c>
      <c r="B824" t="s">
        <v>2068</v>
      </c>
      <c r="C824">
        <v>2017</v>
      </c>
      <c r="E824" s="1" t="s">
        <v>2835</v>
      </c>
    </row>
    <row r="825" spans="1:5" ht="15" customHeight="1" x14ac:dyDescent="0.25">
      <c r="A825" t="s">
        <v>1954</v>
      </c>
      <c r="B825" t="s">
        <v>2147</v>
      </c>
      <c r="C825">
        <v>2017</v>
      </c>
      <c r="E825" s="1" t="s">
        <v>2836</v>
      </c>
    </row>
    <row r="826" spans="1:5" ht="15" customHeight="1" x14ac:dyDescent="0.25">
      <c r="A826" t="s">
        <v>1954</v>
      </c>
      <c r="B826" t="s">
        <v>2150</v>
      </c>
      <c r="C826">
        <v>2017</v>
      </c>
      <c r="E826" s="1" t="s">
        <v>2837</v>
      </c>
    </row>
    <row r="827" spans="1:5" ht="15" customHeight="1" x14ac:dyDescent="0.25">
      <c r="A827" t="s">
        <v>1954</v>
      </c>
      <c r="B827" t="s">
        <v>2173</v>
      </c>
      <c r="C827">
        <v>2017</v>
      </c>
      <c r="E827" s="1" t="s">
        <v>2711</v>
      </c>
    </row>
    <row r="828" spans="1:5" ht="15" customHeight="1" x14ac:dyDescent="0.25">
      <c r="A828" t="s">
        <v>1954</v>
      </c>
      <c r="B828" t="s">
        <v>2224</v>
      </c>
      <c r="C828">
        <v>2017</v>
      </c>
      <c r="E828" s="1" t="s">
        <v>2838</v>
      </c>
    </row>
    <row r="829" spans="1:5" ht="15" customHeight="1" x14ac:dyDescent="0.25">
      <c r="A829" t="s">
        <v>1954</v>
      </c>
      <c r="B829" t="s">
        <v>2226</v>
      </c>
      <c r="C829">
        <v>2017</v>
      </c>
      <c r="E829" s="1" t="s">
        <v>2569</v>
      </c>
    </row>
    <row r="830" spans="1:5" ht="15" customHeight="1" x14ac:dyDescent="0.25">
      <c r="A830" t="s">
        <v>1954</v>
      </c>
      <c r="B830" t="s">
        <v>2236</v>
      </c>
      <c r="C830">
        <v>2017</v>
      </c>
      <c r="E830" s="1" t="s">
        <v>2725</v>
      </c>
    </row>
    <row r="831" spans="1:5" ht="15" customHeight="1" x14ac:dyDescent="0.25">
      <c r="A831" t="s">
        <v>1954</v>
      </c>
      <c r="B831" t="s">
        <v>2244</v>
      </c>
      <c r="C831">
        <v>2017</v>
      </c>
      <c r="E831" s="1" t="s">
        <v>2521</v>
      </c>
    </row>
    <row r="832" spans="1:5" ht="15" customHeight="1" x14ac:dyDescent="0.25">
      <c r="A832" t="s">
        <v>1954</v>
      </c>
      <c r="B832" t="s">
        <v>2248</v>
      </c>
      <c r="C832">
        <v>2017</v>
      </c>
      <c r="E832" s="1" t="s">
        <v>2519</v>
      </c>
    </row>
    <row r="833" spans="1:5" ht="15" customHeight="1" x14ac:dyDescent="0.25">
      <c r="A833" t="s">
        <v>1954</v>
      </c>
      <c r="B833" t="s">
        <v>2260</v>
      </c>
      <c r="C833">
        <v>2017</v>
      </c>
      <c r="E833" s="1" t="s">
        <v>2519</v>
      </c>
    </row>
    <row r="834" spans="1:5" ht="15" customHeight="1" x14ac:dyDescent="0.25">
      <c r="A834" t="s">
        <v>1954</v>
      </c>
      <c r="B834" t="s">
        <v>2292</v>
      </c>
      <c r="C834">
        <v>2017</v>
      </c>
      <c r="E834" s="1" t="s">
        <v>2839</v>
      </c>
    </row>
    <row r="835" spans="1:5" ht="15" customHeight="1" x14ac:dyDescent="0.25">
      <c r="A835" t="s">
        <v>1954</v>
      </c>
      <c r="B835" t="s">
        <v>2296</v>
      </c>
      <c r="C835">
        <v>2017</v>
      </c>
      <c r="E835" s="1" t="s">
        <v>2519</v>
      </c>
    </row>
    <row r="836" spans="1:5" ht="15" customHeight="1" x14ac:dyDescent="0.25">
      <c r="A836" t="s">
        <v>1954</v>
      </c>
      <c r="B836" t="s">
        <v>2306</v>
      </c>
      <c r="C836">
        <v>2017</v>
      </c>
      <c r="E836" s="1" t="s">
        <v>2519</v>
      </c>
    </row>
    <row r="837" spans="1:5" ht="15" customHeight="1" x14ac:dyDescent="0.25">
      <c r="A837" t="s">
        <v>1954</v>
      </c>
      <c r="B837" t="s">
        <v>2334</v>
      </c>
      <c r="C837">
        <v>2017</v>
      </c>
      <c r="E837" s="1" t="s">
        <v>2623</v>
      </c>
    </row>
    <row r="838" spans="1:5" ht="15" customHeight="1" x14ac:dyDescent="0.25">
      <c r="A838" t="s">
        <v>1954</v>
      </c>
      <c r="B838" t="s">
        <v>2360</v>
      </c>
      <c r="C838">
        <v>2017</v>
      </c>
      <c r="E838" s="1" t="s">
        <v>2840</v>
      </c>
    </row>
    <row r="839" spans="1:5" ht="15" customHeight="1" x14ac:dyDescent="0.25">
      <c r="A839" t="s">
        <v>1954</v>
      </c>
      <c r="B839" t="s">
        <v>2370</v>
      </c>
      <c r="C839">
        <v>2017</v>
      </c>
      <c r="E839" s="1" t="s">
        <v>2640</v>
      </c>
    </row>
    <row r="840" spans="1:5" ht="15" customHeight="1" x14ac:dyDescent="0.25">
      <c r="A840" t="s">
        <v>1954</v>
      </c>
      <c r="B840" t="s">
        <v>2374</v>
      </c>
      <c r="C840">
        <v>2017</v>
      </c>
      <c r="E840" s="1" t="s">
        <v>2519</v>
      </c>
    </row>
    <row r="841" spans="1:5" ht="15" customHeight="1" x14ac:dyDescent="0.25">
      <c r="A841" t="s">
        <v>1954</v>
      </c>
      <c r="B841" t="s">
        <v>2405</v>
      </c>
      <c r="C841">
        <v>2017</v>
      </c>
      <c r="E841" s="1" t="s">
        <v>2841</v>
      </c>
    </row>
    <row r="842" spans="1:5" ht="15" customHeight="1" x14ac:dyDescent="0.25">
      <c r="A842" t="s">
        <v>1954</v>
      </c>
      <c r="B842" t="s">
        <v>2435</v>
      </c>
      <c r="C842">
        <v>2017</v>
      </c>
      <c r="E842" s="1" t="s">
        <v>2583</v>
      </c>
    </row>
    <row r="843" spans="1:5" ht="15" customHeight="1" x14ac:dyDescent="0.25">
      <c r="A843" t="s">
        <v>1954</v>
      </c>
      <c r="B843" t="s">
        <v>2441</v>
      </c>
      <c r="C843">
        <v>2017</v>
      </c>
      <c r="E843" s="1" t="s">
        <v>2842</v>
      </c>
    </row>
    <row r="844" spans="1:5" ht="15" customHeight="1" x14ac:dyDescent="0.25">
      <c r="A844" t="s">
        <v>1954</v>
      </c>
      <c r="B844" t="s">
        <v>2449</v>
      </c>
      <c r="C844">
        <v>2017</v>
      </c>
      <c r="E844" s="1" t="s">
        <v>2843</v>
      </c>
    </row>
    <row r="845" spans="1:5" ht="15" customHeight="1" x14ac:dyDescent="0.25">
      <c r="A845" t="s">
        <v>1954</v>
      </c>
      <c r="B845" t="s">
        <v>2469</v>
      </c>
      <c r="C845">
        <v>2017</v>
      </c>
      <c r="E845" s="1" t="s">
        <v>2844</v>
      </c>
    </row>
    <row r="846" spans="1:5" ht="15" customHeight="1" x14ac:dyDescent="0.25">
      <c r="A846" t="s">
        <v>1954</v>
      </c>
      <c r="B846" t="s">
        <v>2479</v>
      </c>
      <c r="C846">
        <v>2017</v>
      </c>
      <c r="E846" s="1" t="s">
        <v>2538</v>
      </c>
    </row>
    <row r="847" spans="1:5" ht="15" customHeight="1" x14ac:dyDescent="0.25">
      <c r="A847" t="s">
        <v>1954</v>
      </c>
      <c r="B847" t="s">
        <v>2490</v>
      </c>
      <c r="C847">
        <v>2017</v>
      </c>
      <c r="E847" s="1" t="s">
        <v>2519</v>
      </c>
    </row>
    <row r="848" spans="1:5" ht="15" customHeight="1" x14ac:dyDescent="0.25">
      <c r="A848" t="s">
        <v>1954</v>
      </c>
      <c r="B848" t="s">
        <v>2505</v>
      </c>
      <c r="C848">
        <v>2017</v>
      </c>
      <c r="E848" s="1" t="s">
        <v>2692</v>
      </c>
    </row>
    <row r="849" spans="1:5" ht="15" customHeight="1" x14ac:dyDescent="0.25">
      <c r="A849" t="s">
        <v>1962</v>
      </c>
      <c r="B849" t="s">
        <v>388</v>
      </c>
      <c r="C849">
        <v>2018</v>
      </c>
      <c r="E849" s="1" t="s">
        <v>2545</v>
      </c>
    </row>
    <row r="850" spans="1:5" ht="15" customHeight="1" x14ac:dyDescent="0.25">
      <c r="A850" t="s">
        <v>1962</v>
      </c>
      <c r="B850" t="s">
        <v>1293</v>
      </c>
      <c r="C850">
        <v>2018</v>
      </c>
      <c r="E850" s="1" t="s">
        <v>2519</v>
      </c>
    </row>
    <row r="851" spans="1:5" ht="15" customHeight="1" x14ac:dyDescent="0.25">
      <c r="A851" t="s">
        <v>1966</v>
      </c>
      <c r="B851" t="s">
        <v>1941</v>
      </c>
      <c r="C851">
        <v>2023</v>
      </c>
      <c r="E851" s="1" t="s">
        <v>2519</v>
      </c>
    </row>
    <row r="852" spans="1:5" ht="15" customHeight="1" x14ac:dyDescent="0.25">
      <c r="A852" t="s">
        <v>1978</v>
      </c>
      <c r="B852" t="s">
        <v>407</v>
      </c>
      <c r="C852">
        <v>2021</v>
      </c>
      <c r="E852" s="1" t="s">
        <v>410</v>
      </c>
    </row>
    <row r="853" spans="1:5" ht="15" customHeight="1" x14ac:dyDescent="0.25">
      <c r="A853" t="s">
        <v>1978</v>
      </c>
      <c r="B853" t="s">
        <v>877</v>
      </c>
      <c r="C853">
        <v>2021</v>
      </c>
      <c r="E853" s="1" t="s">
        <v>2538</v>
      </c>
    </row>
    <row r="854" spans="1:5" ht="15" customHeight="1" x14ac:dyDescent="0.25">
      <c r="A854" t="s">
        <v>1978</v>
      </c>
      <c r="B854" t="s">
        <v>1197</v>
      </c>
      <c r="C854">
        <v>2021</v>
      </c>
      <c r="E854" s="1" t="s">
        <v>2538</v>
      </c>
    </row>
    <row r="855" spans="1:5" ht="15" customHeight="1" x14ac:dyDescent="0.25">
      <c r="A855" t="s">
        <v>1978</v>
      </c>
      <c r="B855" t="s">
        <v>1263</v>
      </c>
      <c r="C855">
        <v>2021</v>
      </c>
      <c r="E855" s="1" t="s">
        <v>2642</v>
      </c>
    </row>
    <row r="856" spans="1:5" ht="15" customHeight="1" x14ac:dyDescent="0.25">
      <c r="A856" t="s">
        <v>1978</v>
      </c>
      <c r="B856" t="s">
        <v>1492</v>
      </c>
      <c r="C856">
        <v>2021</v>
      </c>
      <c r="E856" s="1" t="s">
        <v>2519</v>
      </c>
    </row>
    <row r="857" spans="1:5" ht="15" customHeight="1" x14ac:dyDescent="0.25">
      <c r="A857" t="s">
        <v>1978</v>
      </c>
      <c r="B857" t="s">
        <v>2052</v>
      </c>
      <c r="C857">
        <v>2021</v>
      </c>
      <c r="E857" s="1" t="s">
        <v>2519</v>
      </c>
    </row>
    <row r="858" spans="1:5" ht="15" customHeight="1" x14ac:dyDescent="0.25">
      <c r="A858" t="s">
        <v>1994</v>
      </c>
      <c r="B858" t="s">
        <v>1996</v>
      </c>
      <c r="C858">
        <v>2022</v>
      </c>
      <c r="D858" t="s">
        <v>70</v>
      </c>
      <c r="E858" s="1"/>
    </row>
    <row r="859" spans="1:5" ht="15" customHeight="1" x14ac:dyDescent="0.25">
      <c r="A859" t="s">
        <v>2004</v>
      </c>
      <c r="B859" t="s">
        <v>347</v>
      </c>
      <c r="C859">
        <v>2019</v>
      </c>
      <c r="D859" t="s">
        <v>70</v>
      </c>
      <c r="E859" s="1"/>
    </row>
    <row r="860" spans="1:5" ht="15" customHeight="1" x14ac:dyDescent="0.25">
      <c r="A860" t="s">
        <v>2017</v>
      </c>
      <c r="B860" t="s">
        <v>2021</v>
      </c>
      <c r="C860">
        <v>2012</v>
      </c>
      <c r="D860" t="s">
        <v>70</v>
      </c>
      <c r="E860" s="1"/>
    </row>
    <row r="861" spans="1:5" ht="15" customHeight="1" x14ac:dyDescent="0.25">
      <c r="A861" s="2" t="s">
        <v>2025</v>
      </c>
      <c r="B861" s="3" t="s">
        <v>96</v>
      </c>
      <c r="C861" s="3">
        <v>2008</v>
      </c>
      <c r="D861" s="3"/>
      <c r="E861" s="1" t="s">
        <v>2845</v>
      </c>
    </row>
    <row r="862" spans="1:5" ht="15" customHeight="1" x14ac:dyDescent="0.25">
      <c r="A862" t="s">
        <v>2025</v>
      </c>
      <c r="B862" t="s">
        <v>232</v>
      </c>
      <c r="C862">
        <v>2008</v>
      </c>
      <c r="E862" s="1" t="s">
        <v>2743</v>
      </c>
    </row>
    <row r="863" spans="1:5" ht="15" customHeight="1" x14ac:dyDescent="0.25">
      <c r="A863" s="2" t="s">
        <v>2025</v>
      </c>
      <c r="B863" s="3" t="s">
        <v>281</v>
      </c>
      <c r="C863" s="3">
        <v>2008</v>
      </c>
      <c r="D863" s="3"/>
      <c r="E863" s="1" t="s">
        <v>2519</v>
      </c>
    </row>
    <row r="864" spans="1:5" ht="15" customHeight="1" x14ac:dyDescent="0.25">
      <c r="A864" t="s">
        <v>2025</v>
      </c>
      <c r="B864" t="s">
        <v>385</v>
      </c>
      <c r="C864">
        <v>2008</v>
      </c>
      <c r="E864" s="11" t="s">
        <v>2726</v>
      </c>
    </row>
    <row r="865" spans="1:5" ht="15" customHeight="1" x14ac:dyDescent="0.25">
      <c r="A865" t="s">
        <v>2025</v>
      </c>
      <c r="B865" t="s">
        <v>393</v>
      </c>
      <c r="C865">
        <v>2008</v>
      </c>
      <c r="E865" s="1" t="s">
        <v>2846</v>
      </c>
    </row>
    <row r="866" spans="1:5" ht="15" customHeight="1" x14ac:dyDescent="0.25">
      <c r="A866" t="s">
        <v>2025</v>
      </c>
      <c r="B866" t="s">
        <v>458</v>
      </c>
      <c r="C866">
        <v>2008</v>
      </c>
      <c r="E866" s="1" t="s">
        <v>2847</v>
      </c>
    </row>
    <row r="867" spans="1:5" ht="15" customHeight="1" x14ac:dyDescent="0.25">
      <c r="A867" t="s">
        <v>2025</v>
      </c>
      <c r="B867" t="s">
        <v>519</v>
      </c>
      <c r="C867">
        <v>2008</v>
      </c>
      <c r="E867" s="1" t="s">
        <v>2786</v>
      </c>
    </row>
    <row r="868" spans="1:5" ht="15" customHeight="1" x14ac:dyDescent="0.25">
      <c r="A868" t="s">
        <v>2025</v>
      </c>
      <c r="B868" t="s">
        <v>673</v>
      </c>
      <c r="C868">
        <v>2008</v>
      </c>
      <c r="E868" s="1" t="s">
        <v>2680</v>
      </c>
    </row>
    <row r="869" spans="1:5" ht="15" customHeight="1" x14ac:dyDescent="0.25">
      <c r="A869" t="s">
        <v>2025</v>
      </c>
      <c r="B869" t="s">
        <v>732</v>
      </c>
      <c r="C869">
        <v>2008</v>
      </c>
      <c r="E869" s="1" t="s">
        <v>2848</v>
      </c>
    </row>
    <row r="870" spans="1:5" ht="15" customHeight="1" x14ac:dyDescent="0.25">
      <c r="A870" t="s">
        <v>2025</v>
      </c>
      <c r="B870" t="s">
        <v>791</v>
      </c>
      <c r="C870">
        <v>2008</v>
      </c>
      <c r="E870" s="1" t="s">
        <v>2616</v>
      </c>
    </row>
    <row r="871" spans="1:5" ht="15" customHeight="1" x14ac:dyDescent="0.25">
      <c r="A871" t="s">
        <v>2025</v>
      </c>
      <c r="B871" t="s">
        <v>828</v>
      </c>
      <c r="C871">
        <v>2008</v>
      </c>
      <c r="E871" s="1" t="s">
        <v>2767</v>
      </c>
    </row>
    <row r="872" spans="1:5" ht="15" customHeight="1" x14ac:dyDescent="0.25">
      <c r="A872" t="s">
        <v>2025</v>
      </c>
      <c r="B872" t="s">
        <v>863</v>
      </c>
      <c r="C872">
        <v>2008</v>
      </c>
      <c r="E872" s="1" t="s">
        <v>866</v>
      </c>
    </row>
    <row r="873" spans="1:5" ht="15" customHeight="1" x14ac:dyDescent="0.25">
      <c r="A873" t="s">
        <v>2025</v>
      </c>
      <c r="B873" t="s">
        <v>881</v>
      </c>
      <c r="C873">
        <v>2008</v>
      </c>
      <c r="E873" s="1" t="s">
        <v>2795</v>
      </c>
    </row>
    <row r="874" spans="1:5" ht="15" customHeight="1" x14ac:dyDescent="0.25">
      <c r="A874" t="s">
        <v>2025</v>
      </c>
      <c r="B874" t="s">
        <v>914</v>
      </c>
      <c r="C874">
        <v>2008</v>
      </c>
      <c r="E874" s="1" t="s">
        <v>2849</v>
      </c>
    </row>
    <row r="875" spans="1:5" ht="15" customHeight="1" x14ac:dyDescent="0.25">
      <c r="A875" t="s">
        <v>2025</v>
      </c>
      <c r="B875" t="s">
        <v>979</v>
      </c>
      <c r="C875">
        <v>2008</v>
      </c>
      <c r="E875" s="1" t="s">
        <v>2519</v>
      </c>
    </row>
    <row r="876" spans="1:5" ht="15" customHeight="1" x14ac:dyDescent="0.25">
      <c r="A876" t="s">
        <v>2025</v>
      </c>
      <c r="B876" t="s">
        <v>995</v>
      </c>
      <c r="C876">
        <v>2008</v>
      </c>
      <c r="E876" s="1" t="s">
        <v>2768</v>
      </c>
    </row>
    <row r="877" spans="1:5" ht="15" customHeight="1" x14ac:dyDescent="0.25">
      <c r="A877" t="s">
        <v>2025</v>
      </c>
      <c r="B877" t="s">
        <v>1275</v>
      </c>
      <c r="C877">
        <v>2008</v>
      </c>
      <c r="E877" s="1" t="s">
        <v>2643</v>
      </c>
    </row>
    <row r="878" spans="1:5" ht="15" customHeight="1" x14ac:dyDescent="0.25">
      <c r="A878" t="s">
        <v>2025</v>
      </c>
      <c r="B878" t="s">
        <v>1318</v>
      </c>
      <c r="C878">
        <v>2008</v>
      </c>
      <c r="E878" s="1" t="s">
        <v>2850</v>
      </c>
    </row>
    <row r="879" spans="1:5" ht="15" customHeight="1" x14ac:dyDescent="0.25">
      <c r="A879" t="s">
        <v>2025</v>
      </c>
      <c r="B879" t="s">
        <v>1399</v>
      </c>
      <c r="C879">
        <v>2008</v>
      </c>
      <c r="E879" s="1" t="s">
        <v>2684</v>
      </c>
    </row>
    <row r="880" spans="1:5" ht="15" customHeight="1" x14ac:dyDescent="0.25">
      <c r="A880" t="s">
        <v>2025</v>
      </c>
      <c r="B880" t="s">
        <v>1442</v>
      </c>
      <c r="C880">
        <v>2008</v>
      </c>
      <c r="E880" s="1" t="s">
        <v>2851</v>
      </c>
    </row>
    <row r="881" spans="1:5" ht="15" customHeight="1" x14ac:dyDescent="0.25">
      <c r="A881" t="s">
        <v>2025</v>
      </c>
      <c r="B881" t="s">
        <v>1496</v>
      </c>
      <c r="C881">
        <v>2008</v>
      </c>
      <c r="E881" s="1" t="s">
        <v>2519</v>
      </c>
    </row>
    <row r="882" spans="1:5" ht="15" customHeight="1" x14ac:dyDescent="0.25">
      <c r="A882" t="s">
        <v>2025</v>
      </c>
      <c r="B882" t="s">
        <v>6459</v>
      </c>
      <c r="C882">
        <v>2008</v>
      </c>
      <c r="E882" s="11" t="s">
        <v>6458</v>
      </c>
    </row>
    <row r="883" spans="1:5" ht="15" customHeight="1" x14ac:dyDescent="0.25">
      <c r="A883" t="s">
        <v>2025</v>
      </c>
      <c r="B883" t="s">
        <v>1810</v>
      </c>
      <c r="C883">
        <v>2008</v>
      </c>
      <c r="E883" s="1" t="s">
        <v>2852</v>
      </c>
    </row>
    <row r="884" spans="1:5" ht="15" customHeight="1" x14ac:dyDescent="0.25">
      <c r="A884" t="s">
        <v>2025</v>
      </c>
      <c r="B884" t="s">
        <v>1933</v>
      </c>
      <c r="C884">
        <v>2008</v>
      </c>
      <c r="E884" s="1" t="s">
        <v>2645</v>
      </c>
    </row>
    <row r="885" spans="1:5" ht="15" customHeight="1" x14ac:dyDescent="0.25">
      <c r="A885" t="s">
        <v>2025</v>
      </c>
      <c r="B885" t="s">
        <v>6463</v>
      </c>
      <c r="C885">
        <v>2008</v>
      </c>
      <c r="E885" t="s">
        <v>2519</v>
      </c>
    </row>
    <row r="886" spans="1:5" ht="15" customHeight="1" x14ac:dyDescent="0.25">
      <c r="A886" t="s">
        <v>2025</v>
      </c>
      <c r="B886" t="s">
        <v>2017</v>
      </c>
      <c r="C886">
        <v>2008</v>
      </c>
      <c r="D886" t="s">
        <v>70</v>
      </c>
      <c r="E886" s="1"/>
    </row>
    <row r="887" spans="1:5" ht="15" customHeight="1" x14ac:dyDescent="0.25">
      <c r="A887" t="s">
        <v>2025</v>
      </c>
      <c r="B887" t="s">
        <v>2040</v>
      </c>
      <c r="C887">
        <v>2008</v>
      </c>
      <c r="E887" s="1" t="s">
        <v>2043</v>
      </c>
    </row>
    <row r="888" spans="1:5" ht="15" customHeight="1" x14ac:dyDescent="0.25">
      <c r="A888" t="s">
        <v>2025</v>
      </c>
      <c r="B888" t="s">
        <v>2082</v>
      </c>
      <c r="C888">
        <v>2008</v>
      </c>
      <c r="E888" s="11" t="s">
        <v>2853</v>
      </c>
    </row>
    <row r="889" spans="1:5" ht="15" customHeight="1" x14ac:dyDescent="0.25">
      <c r="A889" t="s">
        <v>2025</v>
      </c>
      <c r="B889" t="s">
        <v>2089</v>
      </c>
      <c r="C889">
        <v>2008</v>
      </c>
      <c r="E889" s="1" t="s">
        <v>2854</v>
      </c>
    </row>
    <row r="890" spans="1:5" ht="15" customHeight="1" x14ac:dyDescent="0.25">
      <c r="A890" t="s">
        <v>2025</v>
      </c>
      <c r="B890" t="s">
        <v>2126</v>
      </c>
      <c r="C890">
        <v>2008</v>
      </c>
      <c r="E890" s="1" t="s">
        <v>2690</v>
      </c>
    </row>
    <row r="891" spans="1:5" ht="15" customHeight="1" x14ac:dyDescent="0.25">
      <c r="A891" t="s">
        <v>2025</v>
      </c>
      <c r="B891" t="s">
        <v>2199</v>
      </c>
      <c r="C891">
        <v>2008</v>
      </c>
      <c r="E891" s="1" t="s">
        <v>2627</v>
      </c>
    </row>
    <row r="892" spans="1:5" ht="15" customHeight="1" x14ac:dyDescent="0.25">
      <c r="A892" t="s">
        <v>2025</v>
      </c>
      <c r="B892" t="s">
        <v>6567</v>
      </c>
      <c r="C892">
        <v>2008</v>
      </c>
      <c r="E892" s="11" t="s">
        <v>6570</v>
      </c>
    </row>
    <row r="893" spans="1:5" ht="15" customHeight="1" x14ac:dyDescent="0.25">
      <c r="A893" t="s">
        <v>2025</v>
      </c>
      <c r="B893" t="s">
        <v>2348</v>
      </c>
      <c r="C893">
        <v>2018</v>
      </c>
      <c r="E893" s="1" t="s">
        <v>2651</v>
      </c>
    </row>
    <row r="894" spans="1:5" ht="15" customHeight="1" x14ac:dyDescent="0.25">
      <c r="A894" t="s">
        <v>2025</v>
      </c>
      <c r="B894" t="s">
        <v>2435</v>
      </c>
      <c r="C894">
        <v>2008</v>
      </c>
      <c r="E894" s="1" t="s">
        <v>2583</v>
      </c>
    </row>
    <row r="895" spans="1:5" ht="15" customHeight="1" x14ac:dyDescent="0.25">
      <c r="A895" t="s">
        <v>2040</v>
      </c>
      <c r="B895" t="s">
        <v>307</v>
      </c>
      <c r="C895">
        <v>2019</v>
      </c>
      <c r="D895" t="s">
        <v>70</v>
      </c>
    </row>
    <row r="896" spans="1:5" ht="15" customHeight="1" x14ac:dyDescent="0.25">
      <c r="A896" t="s">
        <v>2044</v>
      </c>
      <c r="B896" t="s">
        <v>2483</v>
      </c>
      <c r="C896">
        <v>2014</v>
      </c>
      <c r="E896" s="1" t="s">
        <v>2855</v>
      </c>
    </row>
    <row r="897" spans="1:5" ht="15" customHeight="1" x14ac:dyDescent="0.25">
      <c r="A897" t="s">
        <v>2056</v>
      </c>
      <c r="B897" t="s">
        <v>1874</v>
      </c>
      <c r="C897">
        <v>2017</v>
      </c>
      <c r="E897" s="1" t="s">
        <v>2519</v>
      </c>
    </row>
    <row r="898" spans="1:5" ht="15" customHeight="1" x14ac:dyDescent="0.25">
      <c r="A898" t="s">
        <v>2078</v>
      </c>
      <c r="B898" t="s">
        <v>832</v>
      </c>
      <c r="C898">
        <v>2020</v>
      </c>
      <c r="E898" s="11" t="s">
        <v>6439</v>
      </c>
    </row>
    <row r="899" spans="1:5" ht="15" customHeight="1" x14ac:dyDescent="0.25">
      <c r="A899" t="s">
        <v>2086</v>
      </c>
      <c r="B899" t="s">
        <v>2423</v>
      </c>
      <c r="C899">
        <v>2002</v>
      </c>
      <c r="D899" t="s">
        <v>70</v>
      </c>
      <c r="E899" s="1"/>
    </row>
    <row r="900" spans="1:5" ht="15" customHeight="1" x14ac:dyDescent="0.25">
      <c r="A900" t="s">
        <v>2095</v>
      </c>
      <c r="B900" t="s">
        <v>81</v>
      </c>
      <c r="C900">
        <v>2017</v>
      </c>
      <c r="D900" t="s">
        <v>70</v>
      </c>
      <c r="E900" s="1"/>
    </row>
    <row r="901" spans="1:5" ht="15" customHeight="1" x14ac:dyDescent="0.25">
      <c r="A901" t="s">
        <v>2099</v>
      </c>
      <c r="B901" t="s">
        <v>537</v>
      </c>
      <c r="C901">
        <v>2015</v>
      </c>
      <c r="D901" t="s">
        <v>70</v>
      </c>
      <c r="E901" s="1"/>
    </row>
    <row r="902" spans="1:5" ht="15" customHeight="1" x14ac:dyDescent="0.25">
      <c r="A902" t="s">
        <v>2102</v>
      </c>
      <c r="B902" t="s">
        <v>204</v>
      </c>
      <c r="C902">
        <v>2021</v>
      </c>
      <c r="E902" s="1" t="s">
        <v>2519</v>
      </c>
    </row>
    <row r="903" spans="1:5" ht="15" customHeight="1" x14ac:dyDescent="0.25">
      <c r="A903" t="s">
        <v>2102</v>
      </c>
      <c r="B903" t="s">
        <v>551</v>
      </c>
      <c r="C903">
        <v>2021</v>
      </c>
      <c r="E903" s="1" t="s">
        <v>2547</v>
      </c>
    </row>
    <row r="904" spans="1:5" ht="15" customHeight="1" x14ac:dyDescent="0.25">
      <c r="A904" t="s">
        <v>2102</v>
      </c>
      <c r="B904" t="s">
        <v>850</v>
      </c>
      <c r="C904">
        <v>2021</v>
      </c>
      <c r="E904" s="1" t="s">
        <v>2538</v>
      </c>
    </row>
    <row r="905" spans="1:5" ht="15" customHeight="1" x14ac:dyDescent="0.25">
      <c r="A905" t="s">
        <v>2102</v>
      </c>
      <c r="B905" t="s">
        <v>1201</v>
      </c>
      <c r="C905">
        <v>2021</v>
      </c>
      <c r="E905" s="1" t="s">
        <v>2519</v>
      </c>
    </row>
    <row r="906" spans="1:5" ht="15" customHeight="1" x14ac:dyDescent="0.25">
      <c r="A906" t="s">
        <v>2102</v>
      </c>
      <c r="B906" t="s">
        <v>1226</v>
      </c>
      <c r="C906">
        <v>2021</v>
      </c>
      <c r="E906" s="1" t="s">
        <v>2536</v>
      </c>
    </row>
    <row r="907" spans="1:5" ht="15" customHeight="1" x14ac:dyDescent="0.25">
      <c r="A907" t="s">
        <v>2102</v>
      </c>
      <c r="B907" t="s">
        <v>1303</v>
      </c>
      <c r="C907">
        <v>2021</v>
      </c>
      <c r="E907" s="1" t="s">
        <v>2519</v>
      </c>
    </row>
    <row r="908" spans="1:5" ht="15" customHeight="1" x14ac:dyDescent="0.25">
      <c r="A908" t="s">
        <v>2102</v>
      </c>
      <c r="B908" t="s">
        <v>1342</v>
      </c>
      <c r="C908">
        <v>2021</v>
      </c>
      <c r="E908" s="1" t="s">
        <v>2519</v>
      </c>
    </row>
    <row r="909" spans="1:5" ht="15" customHeight="1" x14ac:dyDescent="0.25">
      <c r="A909" t="s">
        <v>2102</v>
      </c>
      <c r="B909" t="s">
        <v>1530</v>
      </c>
      <c r="C909">
        <v>2021</v>
      </c>
      <c r="E909" s="1" t="s">
        <v>2519</v>
      </c>
    </row>
    <row r="910" spans="1:5" ht="15" customHeight="1" x14ac:dyDescent="0.25">
      <c r="A910" t="s">
        <v>2102</v>
      </c>
      <c r="B910" t="s">
        <v>1542</v>
      </c>
      <c r="C910">
        <v>2021</v>
      </c>
      <c r="E910" s="1" t="s">
        <v>2519</v>
      </c>
    </row>
    <row r="911" spans="1:5" ht="15" customHeight="1" x14ac:dyDescent="0.25">
      <c r="A911" t="s">
        <v>2114</v>
      </c>
      <c r="B911" t="s">
        <v>995</v>
      </c>
      <c r="C911">
        <v>2013</v>
      </c>
      <c r="E911" s="1" t="s">
        <v>2768</v>
      </c>
    </row>
    <row r="912" spans="1:5" ht="15" customHeight="1" x14ac:dyDescent="0.25">
      <c r="A912" t="s">
        <v>2118</v>
      </c>
      <c r="B912" t="s">
        <v>1492</v>
      </c>
      <c r="C912">
        <v>2025</v>
      </c>
      <c r="E912" s="1" t="s">
        <v>2519</v>
      </c>
    </row>
    <row r="913" spans="1:5" ht="15" customHeight="1" x14ac:dyDescent="0.25">
      <c r="A913" t="s">
        <v>6468</v>
      </c>
      <c r="B913" t="s">
        <v>1827</v>
      </c>
      <c r="C913">
        <v>1982</v>
      </c>
      <c r="E913" s="11" t="s">
        <v>6467</v>
      </c>
    </row>
    <row r="914" spans="1:5" ht="15" customHeight="1" x14ac:dyDescent="0.25">
      <c r="A914" t="s">
        <v>2143</v>
      </c>
      <c r="B914" t="s">
        <v>2141</v>
      </c>
      <c r="C914">
        <v>2018</v>
      </c>
      <c r="D914" t="s">
        <v>70</v>
      </c>
      <c r="E914" s="1"/>
    </row>
    <row r="915" spans="1:5" ht="15" customHeight="1" x14ac:dyDescent="0.25">
      <c r="A915" t="s">
        <v>2158</v>
      </c>
      <c r="B915" t="s">
        <v>6447</v>
      </c>
      <c r="C915">
        <v>1998</v>
      </c>
      <c r="E915" s="11" t="s">
        <v>6453</v>
      </c>
    </row>
    <row r="916" spans="1:5" ht="15" customHeight="1" x14ac:dyDescent="0.25">
      <c r="A916" t="s">
        <v>2158</v>
      </c>
      <c r="B916" t="s">
        <v>773</v>
      </c>
      <c r="C916">
        <v>1998</v>
      </c>
      <c r="E916" s="11" t="s">
        <v>6440</v>
      </c>
    </row>
    <row r="917" spans="1:5" ht="15" customHeight="1" x14ac:dyDescent="0.25">
      <c r="A917" t="s">
        <v>2158</v>
      </c>
      <c r="B917" t="s">
        <v>1158</v>
      </c>
      <c r="C917">
        <v>1998</v>
      </c>
      <c r="E917" s="1" t="s">
        <v>2523</v>
      </c>
    </row>
    <row r="918" spans="1:5" ht="15" customHeight="1" x14ac:dyDescent="0.25">
      <c r="A918" t="s">
        <v>2158</v>
      </c>
      <c r="B918" t="s">
        <v>1236</v>
      </c>
      <c r="C918">
        <v>1998</v>
      </c>
      <c r="E918" s="1" t="s">
        <v>2572</v>
      </c>
    </row>
    <row r="919" spans="1:5" ht="15" customHeight="1" x14ac:dyDescent="0.25">
      <c r="A919" t="s">
        <v>2158</v>
      </c>
      <c r="B919" t="s">
        <v>1598</v>
      </c>
      <c r="C919">
        <v>1998</v>
      </c>
      <c r="E919" s="1" t="s">
        <v>1601</v>
      </c>
    </row>
    <row r="920" spans="1:5" ht="15" customHeight="1" x14ac:dyDescent="0.25">
      <c r="A920" t="s">
        <v>2158</v>
      </c>
      <c r="B920" t="s">
        <v>1747</v>
      </c>
      <c r="C920">
        <v>1998</v>
      </c>
      <c r="E920" s="11" t="s">
        <v>6441</v>
      </c>
    </row>
    <row r="921" spans="1:5" ht="15" customHeight="1" x14ac:dyDescent="0.25">
      <c r="A921" t="s">
        <v>2158</v>
      </c>
      <c r="B921" t="s">
        <v>1800</v>
      </c>
      <c r="C921">
        <v>1998</v>
      </c>
      <c r="E921" s="1" t="s">
        <v>2525</v>
      </c>
    </row>
    <row r="922" spans="1:5" ht="15" customHeight="1" x14ac:dyDescent="0.25">
      <c r="A922" t="s">
        <v>2158</v>
      </c>
      <c r="B922" t="s">
        <v>2162</v>
      </c>
      <c r="C922">
        <v>1998</v>
      </c>
      <c r="E922" s="1" t="s">
        <v>2652</v>
      </c>
    </row>
    <row r="923" spans="1:5" ht="15" customHeight="1" x14ac:dyDescent="0.25">
      <c r="A923" t="s">
        <v>2162</v>
      </c>
      <c r="B923" t="s">
        <v>1236</v>
      </c>
      <c r="C923">
        <v>2017</v>
      </c>
      <c r="E923" s="1" t="s">
        <v>2572</v>
      </c>
    </row>
    <row r="924" spans="1:5" ht="15" customHeight="1" x14ac:dyDescent="0.25">
      <c r="A924" t="s">
        <v>2177</v>
      </c>
      <c r="B924" t="s">
        <v>797</v>
      </c>
      <c r="C924">
        <v>2019</v>
      </c>
      <c r="E924" s="1" t="s">
        <v>2519</v>
      </c>
    </row>
    <row r="925" spans="1:5" ht="15" customHeight="1" x14ac:dyDescent="0.25">
      <c r="A925" t="s">
        <v>2177</v>
      </c>
      <c r="B925" t="s">
        <v>1226</v>
      </c>
      <c r="C925">
        <v>2019</v>
      </c>
      <c r="E925" s="1" t="s">
        <v>2536</v>
      </c>
    </row>
    <row r="926" spans="1:5" ht="15" customHeight="1" x14ac:dyDescent="0.25">
      <c r="A926" t="s">
        <v>2177</v>
      </c>
      <c r="B926" t="s">
        <v>1884</v>
      </c>
      <c r="C926">
        <v>2019</v>
      </c>
      <c r="E926" s="1" t="s">
        <v>2834</v>
      </c>
    </row>
    <row r="927" spans="1:5" ht="15" customHeight="1" x14ac:dyDescent="0.25">
      <c r="A927" t="s">
        <v>2177</v>
      </c>
      <c r="B927" t="s">
        <v>2197</v>
      </c>
      <c r="C927">
        <v>2019</v>
      </c>
      <c r="E927" s="1" t="s">
        <v>2639</v>
      </c>
    </row>
    <row r="928" spans="1:5" ht="15" customHeight="1" x14ac:dyDescent="0.25">
      <c r="A928" t="s">
        <v>2197</v>
      </c>
      <c r="B928" t="s">
        <v>1542</v>
      </c>
      <c r="C928">
        <v>2025</v>
      </c>
      <c r="E928" s="1" t="s">
        <v>2519</v>
      </c>
    </row>
    <row r="929" spans="1:5" ht="15" customHeight="1" x14ac:dyDescent="0.25">
      <c r="A929" t="s">
        <v>2197</v>
      </c>
      <c r="B929" t="s">
        <v>2315</v>
      </c>
      <c r="C929">
        <v>2025</v>
      </c>
      <c r="E929" s="1" t="s">
        <v>2539</v>
      </c>
    </row>
    <row r="930" spans="1:5" ht="15" customHeight="1" x14ac:dyDescent="0.25">
      <c r="A930" t="s">
        <v>2199</v>
      </c>
      <c r="B930" t="s">
        <v>73</v>
      </c>
      <c r="C930">
        <v>2011</v>
      </c>
      <c r="E930" s="1" t="s">
        <v>2589</v>
      </c>
    </row>
    <row r="931" spans="1:5" ht="15" customHeight="1" x14ac:dyDescent="0.25">
      <c r="A931" t="s">
        <v>2199</v>
      </c>
      <c r="B931" t="s">
        <v>96</v>
      </c>
      <c r="C931">
        <v>2011</v>
      </c>
      <c r="E931" s="1" t="s">
        <v>2845</v>
      </c>
    </row>
    <row r="932" spans="1:5" ht="15" customHeight="1" x14ac:dyDescent="0.25">
      <c r="A932" t="s">
        <v>2199</v>
      </c>
      <c r="B932" t="s">
        <v>100</v>
      </c>
      <c r="C932">
        <v>2011</v>
      </c>
      <c r="E932" s="1" t="s">
        <v>2856</v>
      </c>
    </row>
    <row r="933" spans="1:5" ht="15" customHeight="1" x14ac:dyDescent="0.25">
      <c r="A933" t="s">
        <v>2199</v>
      </c>
      <c r="B933" t="s">
        <v>175</v>
      </c>
      <c r="C933">
        <v>2011</v>
      </c>
      <c r="E933" s="1" t="s">
        <v>2664</v>
      </c>
    </row>
    <row r="934" spans="1:5" ht="15" customHeight="1" x14ac:dyDescent="0.25">
      <c r="A934" t="s">
        <v>2199</v>
      </c>
      <c r="B934" t="s">
        <v>271</v>
      </c>
      <c r="C934">
        <v>2011</v>
      </c>
      <c r="E934" s="1" t="s">
        <v>2666</v>
      </c>
    </row>
    <row r="935" spans="1:5" ht="15" customHeight="1" x14ac:dyDescent="0.25">
      <c r="A935" t="s">
        <v>2199</v>
      </c>
      <c r="B935" t="s">
        <v>281</v>
      </c>
      <c r="C935">
        <v>2011</v>
      </c>
      <c r="E935" s="1" t="s">
        <v>2519</v>
      </c>
    </row>
    <row r="936" spans="1:5" ht="15" customHeight="1" x14ac:dyDescent="0.25">
      <c r="A936" t="s">
        <v>2199</v>
      </c>
      <c r="B936" t="s">
        <v>351</v>
      </c>
      <c r="C936">
        <v>2011</v>
      </c>
      <c r="E936" s="1" t="s">
        <v>2667</v>
      </c>
    </row>
    <row r="937" spans="1:5" ht="15" customHeight="1" x14ac:dyDescent="0.25">
      <c r="A937" t="s">
        <v>2199</v>
      </c>
      <c r="B937" t="s">
        <v>401</v>
      </c>
      <c r="C937">
        <v>2011</v>
      </c>
      <c r="E937" s="1" t="s">
        <v>2857</v>
      </c>
    </row>
    <row r="938" spans="1:5" ht="15" customHeight="1" x14ac:dyDescent="0.25">
      <c r="A938" t="s">
        <v>2199</v>
      </c>
      <c r="B938" t="s">
        <v>6355</v>
      </c>
      <c r="C938">
        <v>2011</v>
      </c>
      <c r="E938" s="11" t="s">
        <v>6361</v>
      </c>
    </row>
    <row r="939" spans="1:5" ht="15" customHeight="1" x14ac:dyDescent="0.25">
      <c r="A939" t="s">
        <v>2199</v>
      </c>
      <c r="B939" t="s">
        <v>468</v>
      </c>
      <c r="C939">
        <v>2011</v>
      </c>
      <c r="E939" s="1" t="s">
        <v>2858</v>
      </c>
    </row>
    <row r="940" spans="1:5" ht="15" customHeight="1" x14ac:dyDescent="0.25">
      <c r="A940" t="s">
        <v>2199</v>
      </c>
      <c r="B940" t="s">
        <v>519</v>
      </c>
      <c r="C940">
        <v>2011</v>
      </c>
      <c r="E940" s="1" t="s">
        <v>2786</v>
      </c>
    </row>
    <row r="941" spans="1:5" ht="15" customHeight="1" x14ac:dyDescent="0.25">
      <c r="A941" t="s">
        <v>2199</v>
      </c>
      <c r="B941" t="s">
        <v>533</v>
      </c>
      <c r="C941">
        <v>2011</v>
      </c>
      <c r="E941" s="1" t="s">
        <v>2613</v>
      </c>
    </row>
    <row r="942" spans="1:5" ht="15" customHeight="1" x14ac:dyDescent="0.25">
      <c r="A942" t="s">
        <v>2199</v>
      </c>
      <c r="B942" t="s">
        <v>577</v>
      </c>
      <c r="C942">
        <v>2011</v>
      </c>
      <c r="E942" s="1" t="s">
        <v>2776</v>
      </c>
    </row>
    <row r="943" spans="1:5" ht="15" customHeight="1" x14ac:dyDescent="0.25">
      <c r="A943" t="s">
        <v>2199</v>
      </c>
      <c r="B943" t="s">
        <v>581</v>
      </c>
      <c r="C943">
        <v>2011</v>
      </c>
      <c r="E943" s="1" t="s">
        <v>2859</v>
      </c>
    </row>
    <row r="944" spans="1:5" ht="15" customHeight="1" x14ac:dyDescent="0.25">
      <c r="A944" t="s">
        <v>2199</v>
      </c>
      <c r="B944" t="s">
        <v>661</v>
      </c>
      <c r="C944">
        <v>2011</v>
      </c>
      <c r="E944" s="1" t="s">
        <v>2614</v>
      </c>
    </row>
    <row r="945" spans="1:5" ht="15" customHeight="1" x14ac:dyDescent="0.25">
      <c r="A945" t="s">
        <v>2199</v>
      </c>
      <c r="B945" t="s">
        <v>667</v>
      </c>
      <c r="C945">
        <v>2011</v>
      </c>
      <c r="E945" s="1" t="s">
        <v>2860</v>
      </c>
    </row>
    <row r="946" spans="1:5" ht="15" customHeight="1" x14ac:dyDescent="0.25">
      <c r="A946" t="s">
        <v>2199</v>
      </c>
      <c r="B946" t="s">
        <v>746</v>
      </c>
      <c r="C946">
        <v>2011</v>
      </c>
      <c r="E946" s="1" t="s">
        <v>2615</v>
      </c>
    </row>
    <row r="947" spans="1:5" ht="15" customHeight="1" x14ac:dyDescent="0.25">
      <c r="A947" t="s">
        <v>2199</v>
      </c>
      <c r="B947" t="s">
        <v>781</v>
      </c>
      <c r="C947">
        <v>2011</v>
      </c>
      <c r="E947" s="1" t="s">
        <v>2519</v>
      </c>
    </row>
    <row r="948" spans="1:5" ht="15" customHeight="1" x14ac:dyDescent="0.25">
      <c r="A948" t="s">
        <v>2199</v>
      </c>
      <c r="B948" t="s">
        <v>811</v>
      </c>
      <c r="C948">
        <v>2011</v>
      </c>
      <c r="E948" s="1" t="s">
        <v>2519</v>
      </c>
    </row>
    <row r="949" spans="1:5" ht="15" customHeight="1" x14ac:dyDescent="0.25">
      <c r="A949" t="s">
        <v>2199</v>
      </c>
      <c r="B949" t="s">
        <v>828</v>
      </c>
      <c r="C949">
        <v>2011</v>
      </c>
      <c r="E949" s="1" t="s">
        <v>2767</v>
      </c>
    </row>
    <row r="950" spans="1:5" ht="15" customHeight="1" x14ac:dyDescent="0.25">
      <c r="A950" t="s">
        <v>2199</v>
      </c>
      <c r="B950" t="s">
        <v>906</v>
      </c>
      <c r="C950">
        <v>2011</v>
      </c>
      <c r="E950" s="1" t="s">
        <v>2538</v>
      </c>
    </row>
    <row r="951" spans="1:5" x14ac:dyDescent="0.25">
      <c r="A951" t="s">
        <v>2199</v>
      </c>
      <c r="B951" t="s">
        <v>6484</v>
      </c>
      <c r="C951">
        <v>2011</v>
      </c>
      <c r="E951" s="11" t="s">
        <v>6483</v>
      </c>
    </row>
    <row r="952" spans="1:5" x14ac:dyDescent="0.25">
      <c r="A952" t="s">
        <v>2199</v>
      </c>
      <c r="B952" t="s">
        <v>979</v>
      </c>
      <c r="C952">
        <v>2011</v>
      </c>
      <c r="E952" s="1" t="s">
        <v>2519</v>
      </c>
    </row>
    <row r="953" spans="1:5" x14ac:dyDescent="0.25">
      <c r="A953" t="s">
        <v>2199</v>
      </c>
      <c r="B953" t="s">
        <v>987</v>
      </c>
      <c r="C953">
        <v>2011</v>
      </c>
      <c r="E953" s="1" t="s">
        <v>2788</v>
      </c>
    </row>
    <row r="954" spans="1:5" x14ac:dyDescent="0.25">
      <c r="A954" t="s">
        <v>2199</v>
      </c>
      <c r="B954" t="s">
        <v>1070</v>
      </c>
      <c r="C954">
        <v>2011</v>
      </c>
      <c r="E954" s="1" t="s">
        <v>2682</v>
      </c>
    </row>
    <row r="955" spans="1:5" x14ac:dyDescent="0.25">
      <c r="A955" t="s">
        <v>2199</v>
      </c>
      <c r="B955" t="s">
        <v>1238</v>
      </c>
      <c r="C955">
        <v>2011</v>
      </c>
      <c r="E955" s="1" t="s">
        <v>2519</v>
      </c>
    </row>
    <row r="956" spans="1:5" x14ac:dyDescent="0.25">
      <c r="A956" t="s">
        <v>2199</v>
      </c>
      <c r="B956" t="s">
        <v>1285</v>
      </c>
      <c r="C956">
        <v>2011</v>
      </c>
      <c r="E956" s="1" t="s">
        <v>2519</v>
      </c>
    </row>
    <row r="957" spans="1:5" x14ac:dyDescent="0.25">
      <c r="A957" t="s">
        <v>2199</v>
      </c>
      <c r="B957" t="s">
        <v>1310</v>
      </c>
      <c r="C957">
        <v>2011</v>
      </c>
      <c r="E957" s="1" t="s">
        <v>2761</v>
      </c>
    </row>
    <row r="958" spans="1:5" x14ac:dyDescent="0.25">
      <c r="A958" t="s">
        <v>2199</v>
      </c>
      <c r="B958" t="s">
        <v>1318</v>
      </c>
      <c r="C958">
        <v>2011</v>
      </c>
      <c r="E958" s="1" t="s">
        <v>2850</v>
      </c>
    </row>
    <row r="959" spans="1:5" x14ac:dyDescent="0.25">
      <c r="A959" t="s">
        <v>2199</v>
      </c>
      <c r="B959" t="s">
        <v>1358</v>
      </c>
      <c r="C959">
        <v>2011</v>
      </c>
      <c r="D959" t="s">
        <v>70</v>
      </c>
      <c r="E959" s="1"/>
    </row>
    <row r="960" spans="1:5" x14ac:dyDescent="0.25">
      <c r="A960" t="s">
        <v>2199</v>
      </c>
      <c r="B960" t="s">
        <v>1399</v>
      </c>
      <c r="C960">
        <v>2011</v>
      </c>
      <c r="E960" s="1" t="s">
        <v>2684</v>
      </c>
    </row>
    <row r="961" spans="1:5" x14ac:dyDescent="0.25">
      <c r="A961" t="s">
        <v>2199</v>
      </c>
      <c r="B961" t="s">
        <v>1409</v>
      </c>
      <c r="C961">
        <v>2011</v>
      </c>
      <c r="E961" s="1" t="s">
        <v>2797</v>
      </c>
    </row>
    <row r="962" spans="1:5" x14ac:dyDescent="0.25">
      <c r="A962" t="s">
        <v>2199</v>
      </c>
      <c r="B962" t="s">
        <v>1474</v>
      </c>
      <c r="C962">
        <v>2011</v>
      </c>
      <c r="E962" s="1" t="s">
        <v>2519</v>
      </c>
    </row>
    <row r="963" spans="1:5" x14ac:dyDescent="0.25">
      <c r="A963" t="s">
        <v>2199</v>
      </c>
      <c r="B963" t="s">
        <v>1504</v>
      </c>
      <c r="C963">
        <v>2011</v>
      </c>
      <c r="E963" s="1" t="s">
        <v>1507</v>
      </c>
    </row>
    <row r="964" spans="1:5" x14ac:dyDescent="0.25">
      <c r="A964" t="s">
        <v>2199</v>
      </c>
      <c r="B964" t="s">
        <v>1522</v>
      </c>
      <c r="C964">
        <v>2011</v>
      </c>
      <c r="E964" s="1" t="s">
        <v>2861</v>
      </c>
    </row>
    <row r="965" spans="1:5" x14ac:dyDescent="0.25">
      <c r="A965" t="s">
        <v>2199</v>
      </c>
      <c r="B965" t="s">
        <v>1530</v>
      </c>
      <c r="C965">
        <v>2011</v>
      </c>
      <c r="E965" s="1" t="s">
        <v>2519</v>
      </c>
    </row>
    <row r="966" spans="1:5" x14ac:dyDescent="0.25">
      <c r="A966" t="s">
        <v>2199</v>
      </c>
      <c r="B966" t="s">
        <v>1546</v>
      </c>
      <c r="C966">
        <v>2011</v>
      </c>
      <c r="E966" s="11" t="s">
        <v>2828</v>
      </c>
    </row>
    <row r="967" spans="1:5" x14ac:dyDescent="0.25">
      <c r="A967" t="s">
        <v>2199</v>
      </c>
      <c r="B967" t="s">
        <v>1575</v>
      </c>
      <c r="C967">
        <v>2011</v>
      </c>
      <c r="E967" s="11" t="s">
        <v>2687</v>
      </c>
    </row>
    <row r="968" spans="1:5" x14ac:dyDescent="0.25">
      <c r="A968" t="s">
        <v>2199</v>
      </c>
      <c r="B968" t="s">
        <v>1588</v>
      </c>
      <c r="C968">
        <v>2011</v>
      </c>
      <c r="E968" s="1" t="s">
        <v>2519</v>
      </c>
    </row>
    <row r="969" spans="1:5" x14ac:dyDescent="0.25">
      <c r="A969" t="s">
        <v>2199</v>
      </c>
      <c r="B969" t="s">
        <v>1594</v>
      </c>
      <c r="C969">
        <v>2011</v>
      </c>
      <c r="E969" s="1" t="s">
        <v>2862</v>
      </c>
    </row>
    <row r="970" spans="1:5" x14ac:dyDescent="0.25">
      <c r="A970" t="s">
        <v>2199</v>
      </c>
      <c r="B970" t="s">
        <v>1602</v>
      </c>
      <c r="C970">
        <v>2011</v>
      </c>
      <c r="E970" s="11" t="s">
        <v>2863</v>
      </c>
    </row>
    <row r="971" spans="1:5" x14ac:dyDescent="0.25">
      <c r="A971" t="s">
        <v>2199</v>
      </c>
      <c r="B971" t="s">
        <v>1681</v>
      </c>
      <c r="C971">
        <v>2011</v>
      </c>
      <c r="E971" s="1" t="s">
        <v>2864</v>
      </c>
    </row>
    <row r="972" spans="1:5" x14ac:dyDescent="0.25">
      <c r="A972" t="s">
        <v>2199</v>
      </c>
      <c r="B972" t="s">
        <v>6508</v>
      </c>
      <c r="C972">
        <v>2011</v>
      </c>
      <c r="E972" s="11" t="s">
        <v>6507</v>
      </c>
    </row>
    <row r="973" spans="1:5" x14ac:dyDescent="0.25">
      <c r="A973" t="s">
        <v>2199</v>
      </c>
      <c r="B973" t="s">
        <v>1739</v>
      </c>
      <c r="C973">
        <v>2011</v>
      </c>
      <c r="E973" s="1" t="s">
        <v>2865</v>
      </c>
    </row>
    <row r="974" spans="1:5" x14ac:dyDescent="0.25">
      <c r="A974" t="s">
        <v>2199</v>
      </c>
      <c r="B974" t="s">
        <v>1810</v>
      </c>
      <c r="C974">
        <v>2011</v>
      </c>
      <c r="E974" s="1" t="s">
        <v>2852</v>
      </c>
    </row>
    <row r="975" spans="1:5" x14ac:dyDescent="0.25">
      <c r="A975" t="s">
        <v>2199</v>
      </c>
      <c r="B975" t="s">
        <v>1871</v>
      </c>
      <c r="C975">
        <v>2011</v>
      </c>
      <c r="E975" t="s">
        <v>2519</v>
      </c>
    </row>
    <row r="976" spans="1:5" x14ac:dyDescent="0.25">
      <c r="A976" t="s">
        <v>2199</v>
      </c>
      <c r="B976" t="s">
        <v>1899</v>
      </c>
      <c r="C976">
        <v>2011</v>
      </c>
      <c r="E976" s="1" t="s">
        <v>2519</v>
      </c>
    </row>
    <row r="977" spans="1:5" x14ac:dyDescent="0.25">
      <c r="A977" t="s">
        <v>2199</v>
      </c>
      <c r="B977" t="s">
        <v>1954</v>
      </c>
      <c r="C977">
        <v>2011</v>
      </c>
      <c r="E977" s="1" t="s">
        <v>2648</v>
      </c>
    </row>
    <row r="978" spans="1:5" x14ac:dyDescent="0.25">
      <c r="A978" t="s">
        <v>2199</v>
      </c>
      <c r="B978" t="s">
        <v>2004</v>
      </c>
      <c r="C978">
        <v>2011</v>
      </c>
      <c r="E978" s="1" t="s">
        <v>2621</v>
      </c>
    </row>
    <row r="979" spans="1:5" x14ac:dyDescent="0.25">
      <c r="A979" t="s">
        <v>2199</v>
      </c>
      <c r="B979" t="s">
        <v>2056</v>
      </c>
      <c r="C979">
        <v>2011</v>
      </c>
      <c r="E979" s="1" t="s">
        <v>2866</v>
      </c>
    </row>
    <row r="980" spans="1:5" x14ac:dyDescent="0.25">
      <c r="A980" t="s">
        <v>2199</v>
      </c>
      <c r="B980" t="s">
        <v>2089</v>
      </c>
      <c r="C980">
        <v>2011</v>
      </c>
      <c r="E980" s="1" t="s">
        <v>2854</v>
      </c>
    </row>
    <row r="981" spans="1:5" x14ac:dyDescent="0.25">
      <c r="A981" t="s">
        <v>2199</v>
      </c>
      <c r="B981" t="s">
        <v>2126</v>
      </c>
      <c r="C981">
        <v>2011</v>
      </c>
      <c r="E981" s="1" t="s">
        <v>2690</v>
      </c>
    </row>
    <row r="982" spans="1:5" x14ac:dyDescent="0.25">
      <c r="A982" t="s">
        <v>2199</v>
      </c>
      <c r="B982" t="s">
        <v>2154</v>
      </c>
      <c r="C982">
        <v>2011</v>
      </c>
      <c r="E982" s="1" t="s">
        <v>2519</v>
      </c>
    </row>
    <row r="983" spans="1:5" x14ac:dyDescent="0.25">
      <c r="A983" t="s">
        <v>2199</v>
      </c>
      <c r="B983" t="s">
        <v>2203</v>
      </c>
      <c r="C983">
        <v>2011</v>
      </c>
      <c r="D983" t="s">
        <v>70</v>
      </c>
      <c r="E983" s="1"/>
    </row>
    <row r="984" spans="1:5" x14ac:dyDescent="0.25">
      <c r="A984" t="s">
        <v>2199</v>
      </c>
      <c r="B984" t="s">
        <v>2230</v>
      </c>
      <c r="C984">
        <v>2011</v>
      </c>
      <c r="D984" t="s">
        <v>70</v>
      </c>
      <c r="E984" s="1"/>
    </row>
    <row r="985" spans="1:5" x14ac:dyDescent="0.25">
      <c r="A985" t="s">
        <v>2199</v>
      </c>
      <c r="B985" t="s">
        <v>2256</v>
      </c>
      <c r="C985">
        <v>2011</v>
      </c>
      <c r="E985" s="1" t="s">
        <v>2867</v>
      </c>
    </row>
    <row r="986" spans="1:5" x14ac:dyDescent="0.25">
      <c r="A986" t="s">
        <v>2199</v>
      </c>
      <c r="B986" t="s">
        <v>2266</v>
      </c>
      <c r="C986">
        <v>2011</v>
      </c>
      <c r="E986" s="1" t="s">
        <v>2673</v>
      </c>
    </row>
    <row r="987" spans="1:5" x14ac:dyDescent="0.25">
      <c r="A987" t="s">
        <v>2199</v>
      </c>
      <c r="B987" t="s">
        <v>2278</v>
      </c>
      <c r="C987">
        <v>2011</v>
      </c>
      <c r="E987" s="1" t="s">
        <v>2674</v>
      </c>
    </row>
    <row r="988" spans="1:5" x14ac:dyDescent="0.25">
      <c r="A988" t="s">
        <v>2199</v>
      </c>
      <c r="B988" t="s">
        <v>2302</v>
      </c>
      <c r="C988">
        <v>2011</v>
      </c>
      <c r="E988" s="1" t="s">
        <v>2868</v>
      </c>
    </row>
    <row r="989" spans="1:5" x14ac:dyDescent="0.25">
      <c r="A989" t="s">
        <v>2199</v>
      </c>
      <c r="B989" t="s">
        <v>6567</v>
      </c>
      <c r="C989">
        <v>2011</v>
      </c>
      <c r="E989" s="11" t="s">
        <v>6570</v>
      </c>
    </row>
    <row r="990" spans="1:5" x14ac:dyDescent="0.25">
      <c r="A990" t="s">
        <v>2199</v>
      </c>
      <c r="B990" t="s">
        <v>2321</v>
      </c>
      <c r="C990">
        <v>2011</v>
      </c>
      <c r="E990" s="1" t="s">
        <v>2658</v>
      </c>
    </row>
    <row r="991" spans="1:5" x14ac:dyDescent="0.25">
      <c r="A991" t="s">
        <v>2199</v>
      </c>
      <c r="B991" t="s">
        <v>2334</v>
      </c>
      <c r="C991">
        <v>2011</v>
      </c>
      <c r="E991" s="1" t="s">
        <v>2623</v>
      </c>
    </row>
    <row r="992" spans="1:5" x14ac:dyDescent="0.25">
      <c r="A992" t="s">
        <v>2199</v>
      </c>
      <c r="B992" t="s">
        <v>2435</v>
      </c>
      <c r="C992">
        <v>2011</v>
      </c>
      <c r="E992" s="1" t="s">
        <v>2583</v>
      </c>
    </row>
    <row r="993" spans="1:5" x14ac:dyDescent="0.25">
      <c r="A993" t="s">
        <v>2199</v>
      </c>
      <c r="B993" t="s">
        <v>2459</v>
      </c>
      <c r="C993">
        <v>2011</v>
      </c>
      <c r="E993" s="1" t="s">
        <v>2519</v>
      </c>
    </row>
    <row r="994" spans="1:5" x14ac:dyDescent="0.25">
      <c r="A994" t="s">
        <v>2215</v>
      </c>
      <c r="B994" t="s">
        <v>2502</v>
      </c>
      <c r="C994">
        <v>2014</v>
      </c>
      <c r="E994" s="1" t="s">
        <v>2532</v>
      </c>
    </row>
    <row r="995" spans="1:5" x14ac:dyDescent="0.25">
      <c r="A995" t="s">
        <v>2230</v>
      </c>
      <c r="B995" t="s">
        <v>351</v>
      </c>
      <c r="C995">
        <v>2019</v>
      </c>
      <c r="E995" s="1" t="s">
        <v>2667</v>
      </c>
    </row>
    <row r="996" spans="1:5" x14ac:dyDescent="0.25">
      <c r="A996" t="s">
        <v>2230</v>
      </c>
      <c r="B996" t="s">
        <v>1681</v>
      </c>
      <c r="C996">
        <v>2019</v>
      </c>
      <c r="E996" s="1" t="s">
        <v>2869</v>
      </c>
    </row>
    <row r="997" spans="1:5" x14ac:dyDescent="0.25">
      <c r="A997" t="s">
        <v>2252</v>
      </c>
      <c r="B997" t="s">
        <v>250</v>
      </c>
      <c r="C997">
        <v>2022</v>
      </c>
      <c r="E997" s="11" t="s">
        <v>2570</v>
      </c>
    </row>
    <row r="998" spans="1:5" x14ac:dyDescent="0.25">
      <c r="A998" t="s">
        <v>2274</v>
      </c>
      <c r="B998" t="s">
        <v>218</v>
      </c>
      <c r="C998">
        <v>1991</v>
      </c>
      <c r="E998" s="1" t="s">
        <v>2870</v>
      </c>
    </row>
    <row r="999" spans="1:5" x14ac:dyDescent="0.25">
      <c r="A999" t="s">
        <v>2274</v>
      </c>
      <c r="B999" t="s">
        <v>2276</v>
      </c>
      <c r="C999">
        <v>1991</v>
      </c>
      <c r="D999" t="s">
        <v>70</v>
      </c>
      <c r="E999" s="1"/>
    </row>
    <row r="1000" spans="1:5" x14ac:dyDescent="0.25">
      <c r="A1000" t="s">
        <v>2282</v>
      </c>
      <c r="B1000" t="s">
        <v>6512</v>
      </c>
      <c r="C1000">
        <v>1999</v>
      </c>
      <c r="E1000" s="11" t="s">
        <v>6511</v>
      </c>
    </row>
    <row r="1001" spans="1:5" x14ac:dyDescent="0.25">
      <c r="A1001" t="s">
        <v>2282</v>
      </c>
      <c r="B1001" t="s">
        <v>2284</v>
      </c>
      <c r="C1001">
        <v>1999</v>
      </c>
      <c r="D1001" t="s">
        <v>70</v>
      </c>
      <c r="E1001" s="1"/>
    </row>
    <row r="1002" spans="1:5" x14ac:dyDescent="0.25">
      <c r="A1002" t="s">
        <v>2286</v>
      </c>
      <c r="B1002" t="s">
        <v>202</v>
      </c>
      <c r="C1002">
        <v>1993</v>
      </c>
      <c r="E1002" s="1" t="s">
        <v>2538</v>
      </c>
    </row>
    <row r="1003" spans="1:5" x14ac:dyDescent="0.25">
      <c r="A1003" t="s">
        <v>2286</v>
      </c>
      <c r="B1003" t="s">
        <v>236</v>
      </c>
      <c r="C1003">
        <v>1993</v>
      </c>
      <c r="E1003" s="1" t="s">
        <v>2871</v>
      </c>
    </row>
    <row r="1004" spans="1:5" x14ac:dyDescent="0.25">
      <c r="A1004" t="s">
        <v>2286</v>
      </c>
      <c r="B1004" t="s">
        <v>421</v>
      </c>
      <c r="C1004">
        <v>1993</v>
      </c>
      <c r="D1004" t="s">
        <v>70</v>
      </c>
      <c r="E1004" s="1" t="s">
        <v>2553</v>
      </c>
    </row>
    <row r="1005" spans="1:5" x14ac:dyDescent="0.25">
      <c r="A1005" t="s">
        <v>2286</v>
      </c>
      <c r="B1005" t="s">
        <v>572</v>
      </c>
      <c r="C1005">
        <v>1993</v>
      </c>
      <c r="E1005" s="1" t="s">
        <v>2872</v>
      </c>
    </row>
    <row r="1006" spans="1:5" x14ac:dyDescent="0.25">
      <c r="A1006" t="s">
        <v>2286</v>
      </c>
      <c r="B1006" t="s">
        <v>736</v>
      </c>
      <c r="C1006">
        <v>1993</v>
      </c>
      <c r="D1006" t="s">
        <v>70</v>
      </c>
      <c r="E1006" s="1"/>
    </row>
    <row r="1007" spans="1:5" x14ac:dyDescent="0.25">
      <c r="A1007" t="s">
        <v>2286</v>
      </c>
      <c r="B1007" t="s">
        <v>6476</v>
      </c>
      <c r="C1007">
        <v>1993</v>
      </c>
      <c r="E1007" t="s">
        <v>2519</v>
      </c>
    </row>
    <row r="1008" spans="1:5" x14ac:dyDescent="0.25">
      <c r="A1008" t="s">
        <v>2286</v>
      </c>
      <c r="B1008" t="s">
        <v>771</v>
      </c>
      <c r="C1008">
        <v>1993</v>
      </c>
      <c r="E1008" s="1" t="s">
        <v>2538</v>
      </c>
    </row>
    <row r="1009" spans="1:5" x14ac:dyDescent="0.25">
      <c r="A1009" t="s">
        <v>2286</v>
      </c>
      <c r="B1009" t="s">
        <v>834</v>
      </c>
      <c r="C1009">
        <v>1993</v>
      </c>
      <c r="D1009" t="s">
        <v>70</v>
      </c>
      <c r="E1009" s="1"/>
    </row>
    <row r="1010" spans="1:5" x14ac:dyDescent="0.25">
      <c r="A1010" t="s">
        <v>2286</v>
      </c>
      <c r="B1010" t="s">
        <v>6488</v>
      </c>
      <c r="C1010">
        <v>1993</v>
      </c>
      <c r="E1010" t="s">
        <v>2538</v>
      </c>
    </row>
    <row r="1011" spans="1:5" x14ac:dyDescent="0.25">
      <c r="A1011" t="s">
        <v>2286</v>
      </c>
      <c r="B1011" t="s">
        <v>1129</v>
      </c>
      <c r="C1011">
        <v>1993</v>
      </c>
      <c r="E1011" s="1" t="s">
        <v>2741</v>
      </c>
    </row>
    <row r="1012" spans="1:5" x14ac:dyDescent="0.25">
      <c r="A1012" t="s">
        <v>2286</v>
      </c>
      <c r="B1012" t="s">
        <v>1187</v>
      </c>
      <c r="C1012">
        <v>1993</v>
      </c>
      <c r="E1012" s="1" t="s">
        <v>2538</v>
      </c>
    </row>
    <row r="1013" spans="1:5" x14ac:dyDescent="0.25">
      <c r="A1013" t="s">
        <v>2286</v>
      </c>
      <c r="B1013" t="s">
        <v>1371</v>
      </c>
      <c r="C1013">
        <v>1993</v>
      </c>
      <c r="E1013" s="1" t="s">
        <v>1374</v>
      </c>
    </row>
    <row r="1014" spans="1:5" x14ac:dyDescent="0.25">
      <c r="A1014" t="s">
        <v>2286</v>
      </c>
      <c r="B1014" t="s">
        <v>6479</v>
      </c>
      <c r="C1014">
        <v>1993</v>
      </c>
      <c r="E1014" t="s">
        <v>2538</v>
      </c>
    </row>
    <row r="1015" spans="1:5" x14ac:dyDescent="0.25">
      <c r="A1015" t="s">
        <v>2286</v>
      </c>
      <c r="B1015" t="s">
        <v>1381</v>
      </c>
      <c r="C1015">
        <v>1993</v>
      </c>
      <c r="E1015" s="1" t="s">
        <v>2873</v>
      </c>
    </row>
    <row r="1016" spans="1:5" x14ac:dyDescent="0.25">
      <c r="A1016" t="s">
        <v>2286</v>
      </c>
      <c r="B1016" t="s">
        <v>1452</v>
      </c>
      <c r="C1016">
        <v>1993</v>
      </c>
      <c r="D1016" t="s">
        <v>70</v>
      </c>
      <c r="E1016" s="1" t="s">
        <v>2553</v>
      </c>
    </row>
    <row r="1017" spans="1:5" x14ac:dyDescent="0.25">
      <c r="A1017" t="s">
        <v>2286</v>
      </c>
      <c r="B1017" t="s">
        <v>6490</v>
      </c>
      <c r="C1017">
        <v>1993</v>
      </c>
      <c r="D1017" t="s">
        <v>70</v>
      </c>
    </row>
    <row r="1018" spans="1:5" x14ac:dyDescent="0.25">
      <c r="A1018" t="s">
        <v>2286</v>
      </c>
      <c r="B1018" t="s">
        <v>6335</v>
      </c>
      <c r="C1018">
        <v>1993</v>
      </c>
      <c r="E1018" s="11" t="s">
        <v>6333</v>
      </c>
    </row>
    <row r="1019" spans="1:5" x14ac:dyDescent="0.25">
      <c r="A1019" t="s">
        <v>2286</v>
      </c>
      <c r="B1019" t="s">
        <v>1664</v>
      </c>
      <c r="C1019">
        <v>1993</v>
      </c>
      <c r="D1019" t="s">
        <v>70</v>
      </c>
      <c r="E1019" s="1"/>
    </row>
    <row r="1020" spans="1:5" x14ac:dyDescent="0.25">
      <c r="A1020" t="s">
        <v>2286</v>
      </c>
      <c r="B1020" t="s">
        <v>2234</v>
      </c>
      <c r="C1020">
        <v>1993</v>
      </c>
      <c r="D1020" t="s">
        <v>70</v>
      </c>
      <c r="E1020" s="1"/>
    </row>
    <row r="1021" spans="1:5" x14ac:dyDescent="0.25">
      <c r="A1021" t="s">
        <v>2286</v>
      </c>
      <c r="B1021" t="s">
        <v>6473</v>
      </c>
      <c r="C1021">
        <v>1993</v>
      </c>
      <c r="E1021" s="11" t="s">
        <v>6472</v>
      </c>
    </row>
    <row r="1022" spans="1:5" x14ac:dyDescent="0.25">
      <c r="A1022" t="s">
        <v>2286</v>
      </c>
      <c r="B1022" t="s">
        <v>2282</v>
      </c>
      <c r="C1022">
        <v>1993</v>
      </c>
      <c r="D1022" t="s">
        <v>70</v>
      </c>
      <c r="E1022" s="1"/>
    </row>
    <row r="1023" spans="1:5" x14ac:dyDescent="0.25">
      <c r="A1023" t="s">
        <v>2286</v>
      </c>
      <c r="B1023" t="s">
        <v>2370</v>
      </c>
      <c r="C1023">
        <v>1993</v>
      </c>
      <c r="E1023" s="1" t="s">
        <v>2640</v>
      </c>
    </row>
    <row r="1024" spans="1:5" x14ac:dyDescent="0.25">
      <c r="A1024" t="s">
        <v>2286</v>
      </c>
      <c r="B1024" t="s">
        <v>2485</v>
      </c>
      <c r="C1024">
        <v>1993</v>
      </c>
      <c r="E1024" s="1" t="s">
        <v>2874</v>
      </c>
    </row>
    <row r="1025" spans="1:5" x14ac:dyDescent="0.25">
      <c r="A1025" t="s">
        <v>2302</v>
      </c>
      <c r="B1025" t="s">
        <v>1434</v>
      </c>
      <c r="C1025">
        <v>2014</v>
      </c>
      <c r="D1025" t="s">
        <v>70</v>
      </c>
      <c r="E1025" s="1"/>
    </row>
    <row r="1026" spans="1:5" x14ac:dyDescent="0.25">
      <c r="A1026" t="s">
        <v>2306</v>
      </c>
      <c r="B1026" t="s">
        <v>327</v>
      </c>
      <c r="C1026">
        <v>2021</v>
      </c>
      <c r="D1026" t="s">
        <v>70</v>
      </c>
      <c r="E1026" s="1"/>
    </row>
    <row r="1027" spans="1:5" x14ac:dyDescent="0.25">
      <c r="A1027" t="s">
        <v>2334</v>
      </c>
      <c r="B1027" t="s">
        <v>2338</v>
      </c>
      <c r="C1027">
        <v>2019</v>
      </c>
      <c r="D1027" t="s">
        <v>70</v>
      </c>
      <c r="E1027" s="1"/>
    </row>
    <row r="1028" spans="1:5" x14ac:dyDescent="0.25">
      <c r="A1028" t="s">
        <v>2340</v>
      </c>
      <c r="B1028" t="s">
        <v>1415</v>
      </c>
      <c r="C1028">
        <v>2017</v>
      </c>
      <c r="E1028" s="1" t="s">
        <v>2519</v>
      </c>
    </row>
    <row r="1029" spans="1:5" x14ac:dyDescent="0.25">
      <c r="A1029" t="s">
        <v>2340</v>
      </c>
      <c r="B1029" t="s">
        <v>2342</v>
      </c>
      <c r="C1029">
        <v>2017</v>
      </c>
      <c r="D1029" t="s">
        <v>70</v>
      </c>
      <c r="E1029" s="1"/>
    </row>
    <row r="1030" spans="1:5" x14ac:dyDescent="0.25">
      <c r="A1030" t="s">
        <v>2344</v>
      </c>
      <c r="B1030" t="s">
        <v>1994</v>
      </c>
      <c r="C1030">
        <v>1992</v>
      </c>
      <c r="E1030" s="1" t="s">
        <v>2526</v>
      </c>
    </row>
    <row r="1031" spans="1:5" x14ac:dyDescent="0.25">
      <c r="A1031" t="s">
        <v>2356</v>
      </c>
      <c r="B1031" t="s">
        <v>68</v>
      </c>
      <c r="C1031">
        <v>2021</v>
      </c>
      <c r="E1031" s="1" t="s">
        <v>2538</v>
      </c>
    </row>
    <row r="1032" spans="1:5" x14ac:dyDescent="0.25">
      <c r="A1032" t="s">
        <v>2356</v>
      </c>
      <c r="B1032" t="s">
        <v>160</v>
      </c>
      <c r="C1032">
        <v>2021</v>
      </c>
      <c r="E1032" s="1" t="s">
        <v>2538</v>
      </c>
    </row>
    <row r="1033" spans="1:5" x14ac:dyDescent="0.25">
      <c r="A1033" t="s">
        <v>2356</v>
      </c>
      <c r="B1033" t="s">
        <v>164</v>
      </c>
      <c r="C1033">
        <v>2021</v>
      </c>
      <c r="E1033" s="1" t="s">
        <v>2519</v>
      </c>
    </row>
    <row r="1034" spans="1:5" x14ac:dyDescent="0.25">
      <c r="A1034" t="s">
        <v>2356</v>
      </c>
      <c r="B1034" t="s">
        <v>170</v>
      </c>
      <c r="C1034">
        <v>2021</v>
      </c>
      <c r="E1034" s="1" t="s">
        <v>2538</v>
      </c>
    </row>
    <row r="1035" spans="1:5" x14ac:dyDescent="0.25">
      <c r="A1035" t="s">
        <v>2356</v>
      </c>
      <c r="B1035" t="s">
        <v>186</v>
      </c>
      <c r="C1035">
        <v>2021</v>
      </c>
      <c r="E1035" s="1" t="s">
        <v>2519</v>
      </c>
    </row>
    <row r="1036" spans="1:5" x14ac:dyDescent="0.25">
      <c r="A1036" t="s">
        <v>2356</v>
      </c>
      <c r="B1036" t="s">
        <v>220</v>
      </c>
      <c r="C1036">
        <v>2021</v>
      </c>
      <c r="E1036" s="1" t="s">
        <v>2875</v>
      </c>
    </row>
    <row r="1037" spans="1:5" x14ac:dyDescent="0.25">
      <c r="A1037" t="s">
        <v>2356</v>
      </c>
      <c r="B1037" t="s">
        <v>250</v>
      </c>
      <c r="C1037">
        <v>2021</v>
      </c>
      <c r="E1037" s="11" t="s">
        <v>2570</v>
      </c>
    </row>
    <row r="1038" spans="1:5" x14ac:dyDescent="0.25">
      <c r="A1038" t="s">
        <v>2356</v>
      </c>
      <c r="B1038" t="s">
        <v>6409</v>
      </c>
      <c r="C1038">
        <v>2021</v>
      </c>
      <c r="E1038" s="11" t="s">
        <v>2538</v>
      </c>
    </row>
    <row r="1039" spans="1:5" x14ac:dyDescent="0.25">
      <c r="A1039" t="s">
        <v>2356</v>
      </c>
      <c r="B1039" t="s">
        <v>6352</v>
      </c>
      <c r="C1039">
        <v>2021</v>
      </c>
      <c r="E1039" s="11" t="s">
        <v>6351</v>
      </c>
    </row>
    <row r="1040" spans="1:5" x14ac:dyDescent="0.25">
      <c r="A1040" t="s">
        <v>2356</v>
      </c>
      <c r="B1040" t="s">
        <v>297</v>
      </c>
      <c r="C1040">
        <v>2021</v>
      </c>
      <c r="E1040" s="1" t="s">
        <v>2538</v>
      </c>
    </row>
    <row r="1041" spans="1:5" x14ac:dyDescent="0.25">
      <c r="A1041" t="s">
        <v>2356</v>
      </c>
      <c r="B1041" t="s">
        <v>299</v>
      </c>
      <c r="C1041">
        <v>2021</v>
      </c>
      <c r="E1041" s="1" t="s">
        <v>2538</v>
      </c>
    </row>
    <row r="1042" spans="1:5" x14ac:dyDescent="0.25">
      <c r="A1042" t="s">
        <v>2356</v>
      </c>
      <c r="B1042" t="s">
        <v>307</v>
      </c>
      <c r="C1042">
        <v>2021</v>
      </c>
      <c r="E1042" s="1" t="s">
        <v>2538</v>
      </c>
    </row>
    <row r="1043" spans="1:5" x14ac:dyDescent="0.25">
      <c r="A1043" t="s">
        <v>2356</v>
      </c>
      <c r="B1043" t="s">
        <v>314</v>
      </c>
      <c r="C1043">
        <v>2021</v>
      </c>
      <c r="E1043" s="1" t="s">
        <v>2538</v>
      </c>
    </row>
    <row r="1044" spans="1:5" x14ac:dyDescent="0.25">
      <c r="A1044" t="s">
        <v>2356</v>
      </c>
      <c r="B1044" t="s">
        <v>347</v>
      </c>
      <c r="C1044">
        <v>2021</v>
      </c>
      <c r="E1044" s="1" t="s">
        <v>2538</v>
      </c>
    </row>
    <row r="1045" spans="1:5" x14ac:dyDescent="0.25">
      <c r="A1045" t="s">
        <v>2356</v>
      </c>
      <c r="B1045" t="s">
        <v>6402</v>
      </c>
      <c r="C1045">
        <v>2021</v>
      </c>
      <c r="E1045" s="11" t="s">
        <v>6401</v>
      </c>
    </row>
    <row r="1046" spans="1:5" x14ac:dyDescent="0.25">
      <c r="A1046" t="s">
        <v>2356</v>
      </c>
      <c r="B1046" t="s">
        <v>425</v>
      </c>
      <c r="C1046">
        <v>2021</v>
      </c>
      <c r="E1046" s="1" t="s">
        <v>2538</v>
      </c>
    </row>
    <row r="1047" spans="1:5" x14ac:dyDescent="0.25">
      <c r="A1047" t="s">
        <v>2356</v>
      </c>
      <c r="B1047" t="s">
        <v>489</v>
      </c>
      <c r="C1047">
        <v>2021</v>
      </c>
      <c r="E1047" s="1" t="s">
        <v>2538</v>
      </c>
    </row>
    <row r="1048" spans="1:5" x14ac:dyDescent="0.25">
      <c r="A1048" t="s">
        <v>2356</v>
      </c>
      <c r="B1048" t="s">
        <v>6577</v>
      </c>
      <c r="C1048">
        <v>2021</v>
      </c>
      <c r="E1048" s="11" t="s">
        <v>6575</v>
      </c>
    </row>
    <row r="1049" spans="1:5" x14ac:dyDescent="0.25">
      <c r="A1049" t="s">
        <v>2356</v>
      </c>
      <c r="B1049" t="s">
        <v>593</v>
      </c>
      <c r="C1049">
        <v>2021</v>
      </c>
      <c r="E1049" s="11" t="s">
        <v>6435</v>
      </c>
    </row>
    <row r="1050" spans="1:5" x14ac:dyDescent="0.25">
      <c r="A1050" t="s">
        <v>2356</v>
      </c>
      <c r="B1050" t="s">
        <v>626</v>
      </c>
      <c r="C1050">
        <v>2021</v>
      </c>
      <c r="E1050" s="1" t="s">
        <v>2538</v>
      </c>
    </row>
    <row r="1051" spans="1:5" x14ac:dyDescent="0.25">
      <c r="A1051" t="s">
        <v>2356</v>
      </c>
      <c r="B1051" t="s">
        <v>653</v>
      </c>
      <c r="C1051">
        <v>2021</v>
      </c>
      <c r="E1051" s="1" t="s">
        <v>2876</v>
      </c>
    </row>
    <row r="1052" spans="1:5" x14ac:dyDescent="0.25">
      <c r="A1052" t="s">
        <v>2356</v>
      </c>
      <c r="B1052" t="s">
        <v>697</v>
      </c>
      <c r="C1052">
        <v>2021</v>
      </c>
      <c r="E1052" s="1" t="s">
        <v>2519</v>
      </c>
    </row>
    <row r="1053" spans="1:5" x14ac:dyDescent="0.25">
      <c r="A1053" t="s">
        <v>2356</v>
      </c>
      <c r="B1053" t="s">
        <v>803</v>
      </c>
      <c r="C1053">
        <v>2021</v>
      </c>
      <c r="E1053" s="1" t="s">
        <v>2538</v>
      </c>
    </row>
    <row r="1054" spans="1:5" x14ac:dyDescent="0.25">
      <c r="A1054" t="s">
        <v>2356</v>
      </c>
      <c r="B1054" t="s">
        <v>6420</v>
      </c>
      <c r="C1054">
        <v>2021</v>
      </c>
      <c r="E1054" t="s">
        <v>2538</v>
      </c>
    </row>
    <row r="1055" spans="1:5" x14ac:dyDescent="0.25">
      <c r="A1055" t="s">
        <v>2356</v>
      </c>
      <c r="B1055" t="s">
        <v>873</v>
      </c>
      <c r="C1055">
        <v>2021</v>
      </c>
      <c r="E1055" s="1" t="s">
        <v>876</v>
      </c>
    </row>
    <row r="1056" spans="1:5" x14ac:dyDescent="0.25">
      <c r="A1056" t="s">
        <v>2356</v>
      </c>
      <c r="B1056" t="s">
        <v>955</v>
      </c>
      <c r="C1056">
        <v>2021</v>
      </c>
      <c r="E1056" s="1" t="s">
        <v>2877</v>
      </c>
    </row>
    <row r="1057" spans="1:5" x14ac:dyDescent="0.25">
      <c r="A1057" t="s">
        <v>2356</v>
      </c>
      <c r="B1057" t="s">
        <v>971</v>
      </c>
      <c r="C1057">
        <v>2021</v>
      </c>
      <c r="E1057" s="1" t="s">
        <v>2538</v>
      </c>
    </row>
    <row r="1058" spans="1:5" x14ac:dyDescent="0.25">
      <c r="A1058" t="s">
        <v>2356</v>
      </c>
      <c r="B1058" t="s">
        <v>1003</v>
      </c>
      <c r="C1058">
        <v>2021</v>
      </c>
      <c r="E1058" s="1" t="s">
        <v>2538</v>
      </c>
    </row>
    <row r="1059" spans="1:5" x14ac:dyDescent="0.25">
      <c r="A1059" t="s">
        <v>2356</v>
      </c>
      <c r="B1059" t="s">
        <v>1007</v>
      </c>
      <c r="C1059">
        <v>2021</v>
      </c>
      <c r="E1059" s="1" t="s">
        <v>1010</v>
      </c>
    </row>
    <row r="1060" spans="1:5" x14ac:dyDescent="0.25">
      <c r="A1060" t="s">
        <v>2356</v>
      </c>
      <c r="B1060" t="s">
        <v>1026</v>
      </c>
      <c r="C1060">
        <v>2021</v>
      </c>
      <c r="E1060" s="1" t="s">
        <v>2519</v>
      </c>
    </row>
    <row r="1061" spans="1:5" x14ac:dyDescent="0.25">
      <c r="A1061" t="s">
        <v>2356</v>
      </c>
      <c r="B1061" t="s">
        <v>1052</v>
      </c>
      <c r="C1061">
        <v>2021</v>
      </c>
      <c r="E1061" s="1" t="s">
        <v>2538</v>
      </c>
    </row>
    <row r="1062" spans="1:5" x14ac:dyDescent="0.25">
      <c r="A1062" t="s">
        <v>2356</v>
      </c>
      <c r="B1062" t="s">
        <v>6393</v>
      </c>
      <c r="C1062">
        <v>2021</v>
      </c>
      <c r="E1062" s="11" t="s">
        <v>6394</v>
      </c>
    </row>
    <row r="1063" spans="1:5" x14ac:dyDescent="0.25">
      <c r="A1063" t="s">
        <v>2356</v>
      </c>
      <c r="B1063" t="s">
        <v>1108</v>
      </c>
      <c r="C1063">
        <v>2021</v>
      </c>
      <c r="E1063" s="1" t="s">
        <v>2538</v>
      </c>
    </row>
    <row r="1064" spans="1:5" x14ac:dyDescent="0.25">
      <c r="A1064" t="s">
        <v>2356</v>
      </c>
      <c r="B1064" t="s">
        <v>1122</v>
      </c>
      <c r="C1064">
        <v>2021</v>
      </c>
      <c r="E1064" s="1" t="s">
        <v>2538</v>
      </c>
    </row>
    <row r="1065" spans="1:5" x14ac:dyDescent="0.25">
      <c r="A1065" t="s">
        <v>2356</v>
      </c>
      <c r="B1065" t="s">
        <v>1137</v>
      </c>
      <c r="C1065">
        <v>2021</v>
      </c>
      <c r="E1065" s="1" t="s">
        <v>2538</v>
      </c>
    </row>
    <row r="1066" spans="1:5" x14ac:dyDescent="0.25">
      <c r="A1066" t="s">
        <v>2356</v>
      </c>
      <c r="B1066" t="s">
        <v>1141</v>
      </c>
      <c r="C1066">
        <v>2021</v>
      </c>
      <c r="E1066" s="1" t="s">
        <v>2538</v>
      </c>
    </row>
    <row r="1067" spans="1:5" x14ac:dyDescent="0.25">
      <c r="A1067" t="s">
        <v>2356</v>
      </c>
      <c r="B1067" t="s">
        <v>1147</v>
      </c>
      <c r="C1067">
        <v>2021</v>
      </c>
      <c r="E1067" s="1" t="s">
        <v>2878</v>
      </c>
    </row>
    <row r="1068" spans="1:5" x14ac:dyDescent="0.25">
      <c r="A1068" t="s">
        <v>2356</v>
      </c>
      <c r="B1068" t="s">
        <v>1189</v>
      </c>
      <c r="C1068">
        <v>2021</v>
      </c>
      <c r="E1068" s="1" t="s">
        <v>2625</v>
      </c>
    </row>
    <row r="1069" spans="1:5" x14ac:dyDescent="0.25">
      <c r="A1069" t="s">
        <v>2356</v>
      </c>
      <c r="B1069" t="s">
        <v>1209</v>
      </c>
      <c r="C1069">
        <v>2021</v>
      </c>
      <c r="E1069" s="1" t="s">
        <v>2538</v>
      </c>
    </row>
    <row r="1070" spans="1:5" x14ac:dyDescent="0.25">
      <c r="A1070" t="s">
        <v>2356</v>
      </c>
      <c r="B1070" t="s">
        <v>1215</v>
      </c>
      <c r="C1070">
        <v>2021</v>
      </c>
      <c r="E1070" s="1" t="s">
        <v>2592</v>
      </c>
    </row>
    <row r="1071" spans="1:5" x14ac:dyDescent="0.25">
      <c r="A1071" t="s">
        <v>2356</v>
      </c>
      <c r="B1071" t="s">
        <v>1223</v>
      </c>
      <c r="C1071">
        <v>2021</v>
      </c>
      <c r="E1071" s="1" t="s">
        <v>2538</v>
      </c>
    </row>
    <row r="1072" spans="1:5" x14ac:dyDescent="0.25">
      <c r="A1072" t="s">
        <v>2356</v>
      </c>
      <c r="B1072" t="s">
        <v>1252</v>
      </c>
      <c r="C1072">
        <v>2021</v>
      </c>
      <c r="E1072" s="1" t="s">
        <v>2538</v>
      </c>
    </row>
    <row r="1073" spans="1:5" x14ac:dyDescent="0.25">
      <c r="A1073" t="s">
        <v>2356</v>
      </c>
      <c r="B1073" t="s">
        <v>1322</v>
      </c>
      <c r="C1073">
        <v>2021</v>
      </c>
      <c r="E1073" s="1" t="s">
        <v>2879</v>
      </c>
    </row>
    <row r="1074" spans="1:5" x14ac:dyDescent="0.25">
      <c r="A1074" t="s">
        <v>2356</v>
      </c>
      <c r="B1074" t="s">
        <v>1330</v>
      </c>
      <c r="C1074">
        <v>2021</v>
      </c>
      <c r="E1074" s="1" t="s">
        <v>2519</v>
      </c>
    </row>
    <row r="1075" spans="1:5" x14ac:dyDescent="0.25">
      <c r="A1075" t="s">
        <v>2356</v>
      </c>
      <c r="B1075" t="s">
        <v>1375</v>
      </c>
      <c r="C1075">
        <v>2021</v>
      </c>
      <c r="E1075" s="1" t="s">
        <v>2538</v>
      </c>
    </row>
    <row r="1076" spans="1:5" x14ac:dyDescent="0.25">
      <c r="A1076" t="s">
        <v>2356</v>
      </c>
      <c r="B1076" t="s">
        <v>1395</v>
      </c>
      <c r="C1076">
        <v>2021</v>
      </c>
      <c r="E1076" s="1" t="s">
        <v>2632</v>
      </c>
    </row>
    <row r="1077" spans="1:5" x14ac:dyDescent="0.25">
      <c r="A1077" t="s">
        <v>2356</v>
      </c>
      <c r="B1077" t="s">
        <v>1430</v>
      </c>
      <c r="C1077">
        <v>2021</v>
      </c>
      <c r="E1077" s="1" t="s">
        <v>2519</v>
      </c>
    </row>
    <row r="1078" spans="1:5" x14ac:dyDescent="0.25">
      <c r="A1078" t="s">
        <v>2356</v>
      </c>
      <c r="B1078" t="s">
        <v>1454</v>
      </c>
      <c r="C1078">
        <v>2021</v>
      </c>
      <c r="E1078" s="1" t="s">
        <v>2538</v>
      </c>
    </row>
    <row r="1079" spans="1:5" x14ac:dyDescent="0.25">
      <c r="A1079" t="s">
        <v>2356</v>
      </c>
      <c r="B1079" t="s">
        <v>1480</v>
      </c>
      <c r="C1079">
        <v>2021</v>
      </c>
      <c r="E1079" s="1" t="s">
        <v>2538</v>
      </c>
    </row>
    <row r="1080" spans="1:5" x14ac:dyDescent="0.25">
      <c r="A1080" t="s">
        <v>2356</v>
      </c>
      <c r="B1080" t="s">
        <v>1485</v>
      </c>
      <c r="C1080">
        <v>2021</v>
      </c>
      <c r="E1080" s="1" t="s">
        <v>2538</v>
      </c>
    </row>
    <row r="1081" spans="1:5" x14ac:dyDescent="0.25">
      <c r="A1081" t="s">
        <v>2356</v>
      </c>
      <c r="B1081" t="s">
        <v>1490</v>
      </c>
      <c r="C1081">
        <v>2021</v>
      </c>
      <c r="E1081" s="1" t="s">
        <v>2519</v>
      </c>
    </row>
    <row r="1082" spans="1:5" x14ac:dyDescent="0.25">
      <c r="A1082" t="s">
        <v>2356</v>
      </c>
      <c r="B1082" t="s">
        <v>1500</v>
      </c>
      <c r="C1082">
        <v>2021</v>
      </c>
      <c r="E1082" s="1" t="s">
        <v>2538</v>
      </c>
    </row>
    <row r="1083" spans="1:5" x14ac:dyDescent="0.25">
      <c r="A1083" t="s">
        <v>2356</v>
      </c>
      <c r="B1083" t="s">
        <v>1508</v>
      </c>
      <c r="C1083">
        <v>2021</v>
      </c>
      <c r="E1083" s="1" t="s">
        <v>2538</v>
      </c>
    </row>
    <row r="1084" spans="1:5" x14ac:dyDescent="0.25">
      <c r="A1084" t="s">
        <v>2356</v>
      </c>
      <c r="B1084" t="s">
        <v>1516</v>
      </c>
      <c r="C1084">
        <v>2021</v>
      </c>
      <c r="E1084" s="1" t="s">
        <v>2538</v>
      </c>
    </row>
    <row r="1085" spans="1:5" x14ac:dyDescent="0.25">
      <c r="A1085" t="s">
        <v>2356</v>
      </c>
      <c r="B1085" t="s">
        <v>1530</v>
      </c>
      <c r="C1085">
        <v>2021</v>
      </c>
      <c r="E1085" s="1" t="s">
        <v>2519</v>
      </c>
    </row>
    <row r="1086" spans="1:5" x14ac:dyDescent="0.25">
      <c r="A1086" t="s">
        <v>2356</v>
      </c>
      <c r="B1086" t="s">
        <v>1616</v>
      </c>
      <c r="C1086">
        <v>2021</v>
      </c>
      <c r="E1086" s="1" t="s">
        <v>1619</v>
      </c>
    </row>
    <row r="1087" spans="1:5" x14ac:dyDescent="0.25">
      <c r="A1087" t="s">
        <v>2356</v>
      </c>
      <c r="B1087" t="s">
        <v>1620</v>
      </c>
      <c r="C1087">
        <v>2021</v>
      </c>
      <c r="E1087" s="1" t="s">
        <v>2538</v>
      </c>
    </row>
    <row r="1088" spans="1:5" x14ac:dyDescent="0.25">
      <c r="A1088" t="s">
        <v>2356</v>
      </c>
      <c r="B1088" t="s">
        <v>1731</v>
      </c>
      <c r="C1088">
        <v>2021</v>
      </c>
      <c r="E1088" s="1" t="s">
        <v>2538</v>
      </c>
    </row>
    <row r="1089" spans="1:5" x14ac:dyDescent="0.25">
      <c r="A1089" t="s">
        <v>2356</v>
      </c>
      <c r="B1089" t="s">
        <v>1743</v>
      </c>
      <c r="C1089">
        <v>2021</v>
      </c>
      <c r="E1089" s="1" t="s">
        <v>2538</v>
      </c>
    </row>
    <row r="1090" spans="1:5" x14ac:dyDescent="0.25">
      <c r="A1090" t="s">
        <v>2356</v>
      </c>
      <c r="B1090" t="s">
        <v>1802</v>
      </c>
      <c r="C1090">
        <v>2021</v>
      </c>
      <c r="E1090" s="1" t="s">
        <v>2519</v>
      </c>
    </row>
    <row r="1091" spans="1:5" x14ac:dyDescent="0.25">
      <c r="A1091" t="s">
        <v>2356</v>
      </c>
      <c r="B1091" t="s">
        <v>1829</v>
      </c>
      <c r="C1091">
        <v>2021</v>
      </c>
      <c r="E1091" s="1" t="s">
        <v>2538</v>
      </c>
    </row>
    <row r="1092" spans="1:5" x14ac:dyDescent="0.25">
      <c r="A1092" t="s">
        <v>2356</v>
      </c>
      <c r="B1092" t="s">
        <v>1867</v>
      </c>
      <c r="C1092">
        <v>2021</v>
      </c>
      <c r="E1092" s="1" t="s">
        <v>2538</v>
      </c>
    </row>
    <row r="1093" spans="1:5" x14ac:dyDescent="0.25">
      <c r="A1093" t="s">
        <v>2356</v>
      </c>
      <c r="B1093" t="s">
        <v>1878</v>
      </c>
      <c r="C1093">
        <v>2021</v>
      </c>
      <c r="E1093" s="1" t="s">
        <v>2538</v>
      </c>
    </row>
    <row r="1094" spans="1:5" x14ac:dyDescent="0.25">
      <c r="A1094" t="s">
        <v>2356</v>
      </c>
      <c r="B1094" t="s">
        <v>1966</v>
      </c>
      <c r="C1094">
        <v>2021</v>
      </c>
      <c r="E1094" s="1" t="s">
        <v>2538</v>
      </c>
    </row>
    <row r="1095" spans="1:5" x14ac:dyDescent="0.25">
      <c r="A1095" t="s">
        <v>2356</v>
      </c>
      <c r="B1095" t="s">
        <v>1982</v>
      </c>
      <c r="C1095">
        <v>2021</v>
      </c>
      <c r="E1095" s="1" t="s">
        <v>2519</v>
      </c>
    </row>
    <row r="1096" spans="1:5" x14ac:dyDescent="0.25">
      <c r="A1096" t="s">
        <v>2356</v>
      </c>
      <c r="B1096" t="s">
        <v>1998</v>
      </c>
      <c r="C1096">
        <v>2021</v>
      </c>
      <c r="E1096" s="1" t="s">
        <v>2708</v>
      </c>
    </row>
    <row r="1097" spans="1:5" x14ac:dyDescent="0.25">
      <c r="A1097" t="s">
        <v>2356</v>
      </c>
      <c r="B1097" t="s">
        <v>2007</v>
      </c>
      <c r="C1097">
        <v>2021</v>
      </c>
      <c r="E1097" s="1" t="s">
        <v>2538</v>
      </c>
    </row>
    <row r="1098" spans="1:5" x14ac:dyDescent="0.25">
      <c r="A1098" t="s">
        <v>2356</v>
      </c>
      <c r="B1098" t="s">
        <v>2032</v>
      </c>
      <c r="C1098">
        <v>2021</v>
      </c>
      <c r="E1098" s="1" t="s">
        <v>2538</v>
      </c>
    </row>
    <row r="1099" spans="1:5" x14ac:dyDescent="0.25">
      <c r="A1099" t="s">
        <v>2356</v>
      </c>
      <c r="B1099" t="s">
        <v>2060</v>
      </c>
      <c r="C1099">
        <v>2021</v>
      </c>
      <c r="E1099" s="1" t="s">
        <v>2880</v>
      </c>
    </row>
    <row r="1100" spans="1:5" x14ac:dyDescent="0.25">
      <c r="A1100" t="s">
        <v>2356</v>
      </c>
      <c r="B1100" t="s">
        <v>2122</v>
      </c>
      <c r="C1100">
        <v>2021</v>
      </c>
      <c r="E1100" s="1" t="s">
        <v>2881</v>
      </c>
    </row>
    <row r="1101" spans="1:5" x14ac:dyDescent="0.25">
      <c r="A1101" t="s">
        <v>2356</v>
      </c>
      <c r="B1101" t="s">
        <v>2186</v>
      </c>
      <c r="C1101">
        <v>2021</v>
      </c>
      <c r="E1101" s="1" t="s">
        <v>2538</v>
      </c>
    </row>
    <row r="1102" spans="1:5" x14ac:dyDescent="0.25">
      <c r="A1102" t="s">
        <v>2356</v>
      </c>
      <c r="B1102" t="s">
        <v>2192</v>
      </c>
      <c r="C1102">
        <v>2021</v>
      </c>
      <c r="E1102" s="11" t="s">
        <v>2882</v>
      </c>
    </row>
    <row r="1103" spans="1:5" x14ac:dyDescent="0.25">
      <c r="A1103" t="s">
        <v>2356</v>
      </c>
      <c r="B1103" t="s">
        <v>2246</v>
      </c>
      <c r="C1103">
        <v>2021</v>
      </c>
      <c r="E1103" s="1" t="s">
        <v>2538</v>
      </c>
    </row>
    <row r="1104" spans="1:5" x14ac:dyDescent="0.25">
      <c r="A1104" t="s">
        <v>2356</v>
      </c>
      <c r="B1104" t="s">
        <v>6413</v>
      </c>
      <c r="C1104">
        <v>2021</v>
      </c>
      <c r="E1104" s="11" t="s">
        <v>6412</v>
      </c>
    </row>
    <row r="1105" spans="1:5" x14ac:dyDescent="0.25">
      <c r="A1105" t="s">
        <v>2356</v>
      </c>
      <c r="B1105" t="s">
        <v>2262</v>
      </c>
      <c r="C1105">
        <v>2021</v>
      </c>
      <c r="E1105" s="1" t="s">
        <v>2538</v>
      </c>
    </row>
    <row r="1106" spans="1:5" x14ac:dyDescent="0.25">
      <c r="A1106" t="s">
        <v>2356</v>
      </c>
      <c r="B1106" t="s">
        <v>2266</v>
      </c>
      <c r="C1106">
        <v>2021</v>
      </c>
      <c r="E1106" s="1" t="s">
        <v>2673</v>
      </c>
    </row>
    <row r="1107" spans="1:5" x14ac:dyDescent="0.25">
      <c r="A1107" t="s">
        <v>2356</v>
      </c>
      <c r="B1107" t="s">
        <v>2300</v>
      </c>
      <c r="C1107">
        <v>2021</v>
      </c>
      <c r="E1107" s="1" t="s">
        <v>2519</v>
      </c>
    </row>
    <row r="1108" spans="1:5" x14ac:dyDescent="0.25">
      <c r="A1108" t="s">
        <v>2356</v>
      </c>
      <c r="B1108" t="s">
        <v>2350</v>
      </c>
      <c r="C1108">
        <v>2021</v>
      </c>
      <c r="D1108" t="s">
        <v>70</v>
      </c>
      <c r="E1108" s="1"/>
    </row>
    <row r="1109" spans="1:5" x14ac:dyDescent="0.25">
      <c r="A1109" t="s">
        <v>2356</v>
      </c>
      <c r="B1109" t="s">
        <v>2352</v>
      </c>
      <c r="C1109">
        <v>2021</v>
      </c>
      <c r="E1109" s="1" t="s">
        <v>2519</v>
      </c>
    </row>
    <row r="1110" spans="1:5" x14ac:dyDescent="0.25">
      <c r="A1110" t="s">
        <v>2356</v>
      </c>
      <c r="B1110" t="s">
        <v>2366</v>
      </c>
      <c r="C1110">
        <v>2021</v>
      </c>
      <c r="E1110" s="1" t="s">
        <v>2519</v>
      </c>
    </row>
    <row r="1111" spans="1:5" x14ac:dyDescent="0.25">
      <c r="A1111" t="s">
        <v>2356</v>
      </c>
      <c r="B1111" t="s">
        <v>2380</v>
      </c>
      <c r="C1111">
        <v>2021</v>
      </c>
      <c r="E1111" s="1" t="s">
        <v>2519</v>
      </c>
    </row>
    <row r="1112" spans="1:5" x14ac:dyDescent="0.25">
      <c r="A1112" t="s">
        <v>2356</v>
      </c>
      <c r="B1112" t="s">
        <v>2401</v>
      </c>
      <c r="C1112">
        <v>2021</v>
      </c>
      <c r="D1112" t="s">
        <v>70</v>
      </c>
      <c r="E1112" s="1" t="s">
        <v>2883</v>
      </c>
    </row>
    <row r="1113" spans="1:5" x14ac:dyDescent="0.25">
      <c r="A1113" t="s">
        <v>2356</v>
      </c>
      <c r="B1113" t="s">
        <v>2427</v>
      </c>
      <c r="C1113">
        <v>2021</v>
      </c>
      <c r="E1113" s="1" t="s">
        <v>2884</v>
      </c>
    </row>
    <row r="1114" spans="1:5" x14ac:dyDescent="0.25">
      <c r="A1114" t="s">
        <v>2356</v>
      </c>
      <c r="B1114" t="s">
        <v>2475</v>
      </c>
      <c r="C1114">
        <v>2021</v>
      </c>
      <c r="E1114" s="1" t="s">
        <v>2538</v>
      </c>
    </row>
    <row r="1115" spans="1:5" x14ac:dyDescent="0.25">
      <c r="A1115" t="s">
        <v>2370</v>
      </c>
      <c r="B1115" t="s">
        <v>2372</v>
      </c>
      <c r="C1115">
        <v>2021</v>
      </c>
      <c r="D1115" t="s">
        <v>70</v>
      </c>
      <c r="E1115" s="1"/>
    </row>
    <row r="1116" spans="1:5" x14ac:dyDescent="0.25">
      <c r="A1116" t="s">
        <v>2376</v>
      </c>
      <c r="B1116" t="s">
        <v>2431</v>
      </c>
      <c r="C1116">
        <v>2019</v>
      </c>
      <c r="D1116" t="s">
        <v>70</v>
      </c>
      <c r="E1116" s="1"/>
    </row>
    <row r="1117" spans="1:5" x14ac:dyDescent="0.25">
      <c r="A1117" t="s">
        <v>2380</v>
      </c>
      <c r="B1117" t="s">
        <v>1941</v>
      </c>
      <c r="C1117">
        <v>2022</v>
      </c>
      <c r="D1117" t="s">
        <v>70</v>
      </c>
      <c r="E1117" s="1"/>
    </row>
    <row r="1118" spans="1:5" x14ac:dyDescent="0.25">
      <c r="A1118" t="s">
        <v>2395</v>
      </c>
      <c r="B1118" t="s">
        <v>2399</v>
      </c>
      <c r="C1118">
        <v>2023</v>
      </c>
      <c r="D1118" t="s">
        <v>70</v>
      </c>
      <c r="E1118" s="1"/>
    </row>
    <row r="1119" spans="1:5" x14ac:dyDescent="0.25">
      <c r="A1119" t="s">
        <v>2423</v>
      </c>
      <c r="B1119" t="s">
        <v>1161</v>
      </c>
      <c r="C1119">
        <v>2005</v>
      </c>
      <c r="D1119" t="s">
        <v>70</v>
      </c>
      <c r="E1119" s="1"/>
    </row>
    <row r="1120" spans="1:5" x14ac:dyDescent="0.25">
      <c r="A1120" t="s">
        <v>6398</v>
      </c>
      <c r="B1120" t="s">
        <v>1098</v>
      </c>
      <c r="C1120">
        <v>2020</v>
      </c>
      <c r="D1120" t="s">
        <v>70</v>
      </c>
    </row>
    <row r="1121" spans="1:5" x14ac:dyDescent="0.25">
      <c r="A1121" t="s">
        <v>2435</v>
      </c>
      <c r="B1121" t="s">
        <v>618</v>
      </c>
      <c r="C1121">
        <v>2023</v>
      </c>
      <c r="E1121" s="1" t="s">
        <v>2519</v>
      </c>
    </row>
    <row r="1122" spans="1:5" x14ac:dyDescent="0.25">
      <c r="A1122" t="s">
        <v>2435</v>
      </c>
      <c r="B1122" t="s">
        <v>1135</v>
      </c>
      <c r="C1122">
        <v>2023</v>
      </c>
      <c r="E1122" s="1" t="s">
        <v>2553</v>
      </c>
    </row>
    <row r="1123" spans="1:5" x14ac:dyDescent="0.25">
      <c r="A1123" t="s">
        <v>2446</v>
      </c>
      <c r="B1123" t="s">
        <v>2392</v>
      </c>
      <c r="C1123">
        <v>2024</v>
      </c>
      <c r="E1123" s="1" t="s">
        <v>2885</v>
      </c>
    </row>
    <row r="1124" spans="1:5" x14ac:dyDescent="0.25">
      <c r="A1124" t="s">
        <v>2451</v>
      </c>
      <c r="B1124" t="s">
        <v>104</v>
      </c>
      <c r="C1124">
        <v>2018</v>
      </c>
      <c r="E1124" s="1" t="s">
        <v>2662</v>
      </c>
    </row>
    <row r="1125" spans="1:5" x14ac:dyDescent="0.25">
      <c r="A1125" t="s">
        <v>2451</v>
      </c>
      <c r="B1125" t="s">
        <v>177</v>
      </c>
      <c r="C1125">
        <v>2018</v>
      </c>
      <c r="E1125" s="1" t="s">
        <v>2584</v>
      </c>
    </row>
    <row r="1126" spans="1:5" x14ac:dyDescent="0.25">
      <c r="A1126" t="s">
        <v>2451</v>
      </c>
      <c r="B1126" t="s">
        <v>1684</v>
      </c>
      <c r="C1126">
        <v>2018</v>
      </c>
      <c r="E1126" s="1" t="s">
        <v>2706</v>
      </c>
    </row>
    <row r="1127" spans="1:5" x14ac:dyDescent="0.25">
      <c r="A1127" t="s">
        <v>2451</v>
      </c>
      <c r="B1127" t="s">
        <v>2455</v>
      </c>
      <c r="C1127">
        <v>2018</v>
      </c>
      <c r="D1127" t="s">
        <v>70</v>
      </c>
      <c r="E1127" s="1"/>
    </row>
    <row r="1128" spans="1:5" x14ac:dyDescent="0.25">
      <c r="A1128" t="s">
        <v>2485</v>
      </c>
      <c r="B1128" t="s">
        <v>2218</v>
      </c>
      <c r="C1128">
        <v>2010</v>
      </c>
      <c r="D1128" t="s">
        <v>70</v>
      </c>
      <c r="E1128" s="1" t="s">
        <v>2886</v>
      </c>
    </row>
    <row r="1129" spans="1:5" x14ac:dyDescent="0.25">
      <c r="A1129" t="s">
        <v>2487</v>
      </c>
      <c r="B1129" t="s">
        <v>6551</v>
      </c>
      <c r="C1129">
        <v>1994</v>
      </c>
      <c r="E1129" s="11" t="s">
        <v>6553</v>
      </c>
    </row>
    <row r="1130" spans="1:5" x14ac:dyDescent="0.25">
      <c r="A1130" t="s">
        <v>2487</v>
      </c>
      <c r="B1130" t="s">
        <v>2158</v>
      </c>
      <c r="C1130">
        <v>1994</v>
      </c>
      <c r="E1130" s="1" t="s">
        <v>2887</v>
      </c>
    </row>
    <row r="1131" spans="1:5" x14ac:dyDescent="0.25">
      <c r="A1131" t="s">
        <v>2487</v>
      </c>
      <c r="B1131" t="s">
        <v>2502</v>
      </c>
      <c r="C1131">
        <v>1994</v>
      </c>
      <c r="E1131" s="1" t="s">
        <v>2532</v>
      </c>
    </row>
    <row r="1132" spans="1:5" x14ac:dyDescent="0.25">
      <c r="A1132" t="s">
        <v>2494</v>
      </c>
      <c r="B1132" t="s">
        <v>2364</v>
      </c>
      <c r="C1132">
        <v>2014</v>
      </c>
      <c r="E1132" s="1" t="s">
        <v>2588</v>
      </c>
    </row>
    <row r="1133" spans="1:5" x14ac:dyDescent="0.25">
      <c r="A1133" t="s">
        <v>2494</v>
      </c>
      <c r="B1133" t="s">
        <v>2498</v>
      </c>
      <c r="C1133">
        <v>2014</v>
      </c>
      <c r="D1133" t="s">
        <v>70</v>
      </c>
      <c r="E1133" s="1"/>
    </row>
    <row r="1134" spans="1:5" x14ac:dyDescent="0.25">
      <c r="A1134" t="s">
        <v>2505</v>
      </c>
      <c r="B1134" t="s">
        <v>1743</v>
      </c>
      <c r="C1134">
        <v>2023</v>
      </c>
      <c r="D1134" t="s">
        <v>70</v>
      </c>
      <c r="E1134" s="1"/>
    </row>
    <row r="1135" spans="1:5" x14ac:dyDescent="0.25">
      <c r="A1135" t="s">
        <v>1954</v>
      </c>
      <c r="B1135" t="s">
        <v>6618</v>
      </c>
      <c r="C1135">
        <v>2017</v>
      </c>
      <c r="E1135" s="11" t="s">
        <v>6619</v>
      </c>
    </row>
    <row r="1136" spans="1:5" x14ac:dyDescent="0.25">
      <c r="A1136" t="s">
        <v>1776</v>
      </c>
      <c r="B1136" t="s">
        <v>6577</v>
      </c>
      <c r="C1136">
        <v>2020</v>
      </c>
      <c r="E1136" s="11" t="s">
        <v>6622</v>
      </c>
    </row>
    <row r="1137" spans="1:5" x14ac:dyDescent="0.25">
      <c r="A1137" t="s">
        <v>6430</v>
      </c>
      <c r="B1137" t="s">
        <v>6577</v>
      </c>
      <c r="C1137">
        <v>1996</v>
      </c>
      <c r="E1137" s="11" t="s">
        <v>6622</v>
      </c>
    </row>
    <row r="1138" spans="1:5" x14ac:dyDescent="0.25">
      <c r="A1138" t="s">
        <v>1954</v>
      </c>
      <c r="B1138" t="s">
        <v>1970</v>
      </c>
      <c r="C1138">
        <v>2017</v>
      </c>
      <c r="E1138" s="11" t="s">
        <v>6623</v>
      </c>
    </row>
    <row r="1139" spans="1:5" x14ac:dyDescent="0.25">
      <c r="A1139" t="s">
        <v>1295</v>
      </c>
      <c r="B1139" t="s">
        <v>1970</v>
      </c>
      <c r="C1139">
        <v>2021</v>
      </c>
      <c r="E1139" s="11" t="s">
        <v>6623</v>
      </c>
    </row>
    <row r="1140" spans="1:5" x14ac:dyDescent="0.25">
      <c r="A1140" t="s">
        <v>1452</v>
      </c>
      <c r="B1140" t="s">
        <v>1970</v>
      </c>
      <c r="C1140">
        <v>1995</v>
      </c>
      <c r="E1140" s="11" t="s">
        <v>6623</v>
      </c>
    </row>
    <row r="1141" spans="1:5" x14ac:dyDescent="0.25">
      <c r="A1141" t="s">
        <v>6624</v>
      </c>
      <c r="B1141" t="s">
        <v>1970</v>
      </c>
      <c r="C1141">
        <v>2023</v>
      </c>
      <c r="E1141" s="11" t="s">
        <v>6623</v>
      </c>
    </row>
    <row r="1142" spans="1:5" x14ac:dyDescent="0.25">
      <c r="A1142" t="s">
        <v>651</v>
      </c>
      <c r="B1142" t="s">
        <v>6624</v>
      </c>
      <c r="C1142">
        <v>2010</v>
      </c>
      <c r="E1142" s="11" t="s">
        <v>6627</v>
      </c>
    </row>
    <row r="1143" spans="1:5" x14ac:dyDescent="0.25">
      <c r="A1143" t="s">
        <v>1897</v>
      </c>
      <c r="B1143" t="s">
        <v>6624</v>
      </c>
      <c r="C1143">
        <v>2014</v>
      </c>
      <c r="E1143" s="11" t="s">
        <v>6627</v>
      </c>
    </row>
    <row r="1144" spans="1:5" x14ac:dyDescent="0.25">
      <c r="A1144" t="s">
        <v>1954</v>
      </c>
      <c r="B1144" t="s">
        <v>6624</v>
      </c>
      <c r="C1144">
        <v>2017</v>
      </c>
      <c r="E1144" s="11" t="s">
        <v>6627</v>
      </c>
    </row>
    <row r="1145" spans="1:5" x14ac:dyDescent="0.25">
      <c r="A1145" t="s">
        <v>213</v>
      </c>
      <c r="B1145" t="s">
        <v>6628</v>
      </c>
      <c r="C1145">
        <v>2023</v>
      </c>
      <c r="E1145" s="11" t="s">
        <v>6631</v>
      </c>
    </row>
    <row r="1146" spans="1:5" x14ac:dyDescent="0.25">
      <c r="A1146" t="s">
        <v>1954</v>
      </c>
      <c r="B1146" t="s">
        <v>6628</v>
      </c>
      <c r="C1146">
        <v>2017</v>
      </c>
      <c r="E1146" s="11" t="s">
        <v>6631</v>
      </c>
    </row>
    <row r="1147" spans="1:5" x14ac:dyDescent="0.25">
      <c r="A1147" t="s">
        <v>1174</v>
      </c>
      <c r="B1147" t="s">
        <v>6632</v>
      </c>
      <c r="C1147">
        <v>2018</v>
      </c>
      <c r="E1147" s="11" t="s">
        <v>6635</v>
      </c>
    </row>
    <row r="1148" spans="1:5" x14ac:dyDescent="0.25">
      <c r="A1148" t="s">
        <v>1389</v>
      </c>
      <c r="B1148" t="s">
        <v>6632</v>
      </c>
      <c r="C1148">
        <v>2020</v>
      </c>
      <c r="E1148" s="11" t="s">
        <v>6635</v>
      </c>
    </row>
    <row r="1149" spans="1:5" x14ac:dyDescent="0.25">
      <c r="A1149" t="s">
        <v>1166</v>
      </c>
      <c r="B1149" t="s">
        <v>6632</v>
      </c>
      <c r="C1149">
        <v>2021</v>
      </c>
      <c r="E1149" s="11" t="s">
        <v>6635</v>
      </c>
    </row>
    <row r="1150" spans="1:5" x14ac:dyDescent="0.25">
      <c r="A1150" t="s">
        <v>1954</v>
      </c>
      <c r="B1150" t="s">
        <v>6632</v>
      </c>
      <c r="C1150">
        <v>2017</v>
      </c>
      <c r="E1150" s="11" t="s">
        <v>6635</v>
      </c>
    </row>
    <row r="1151" spans="1:5" x14ac:dyDescent="0.25">
      <c r="A1151" t="s">
        <v>732</v>
      </c>
      <c r="B1151" t="s">
        <v>6636</v>
      </c>
      <c r="C1151">
        <v>2015</v>
      </c>
      <c r="E1151" s="11" t="s">
        <v>6639</v>
      </c>
    </row>
    <row r="1152" spans="1:5" x14ac:dyDescent="0.25">
      <c r="A1152" t="s">
        <v>2025</v>
      </c>
      <c r="B1152" t="s">
        <v>440</v>
      </c>
      <c r="C1152">
        <v>2008</v>
      </c>
      <c r="E1152" s="11" t="s">
        <v>6640</v>
      </c>
    </row>
    <row r="1153" spans="1:5" x14ac:dyDescent="0.25">
      <c r="A1153" t="s">
        <v>709</v>
      </c>
      <c r="B1153" t="s">
        <v>440</v>
      </c>
      <c r="C1153">
        <v>2022</v>
      </c>
      <c r="E1153" s="11" t="s">
        <v>6640</v>
      </c>
    </row>
    <row r="1154" spans="1:5" x14ac:dyDescent="0.25">
      <c r="A1154" t="s">
        <v>1954</v>
      </c>
      <c r="B1154" t="s">
        <v>6642</v>
      </c>
      <c r="C1154">
        <v>2017</v>
      </c>
      <c r="E1154" s="11" t="s">
        <v>6641</v>
      </c>
    </row>
    <row r="1155" spans="1:5" x14ac:dyDescent="0.25">
      <c r="A1155" t="s">
        <v>1295</v>
      </c>
      <c r="B1155" t="s">
        <v>6642</v>
      </c>
      <c r="C1155">
        <v>2021</v>
      </c>
      <c r="E1155" s="11" t="s">
        <v>6641</v>
      </c>
    </row>
    <row r="1156" spans="1:5" x14ac:dyDescent="0.25">
      <c r="A1156" t="s">
        <v>2102</v>
      </c>
      <c r="B1156" t="s">
        <v>6642</v>
      </c>
      <c r="C1156">
        <v>2021</v>
      </c>
      <c r="E1156" s="11" t="s">
        <v>6641</v>
      </c>
    </row>
    <row r="1157" spans="1:5" x14ac:dyDescent="0.25">
      <c r="A1157" t="s">
        <v>213</v>
      </c>
      <c r="B1157" t="s">
        <v>6642</v>
      </c>
      <c r="C1157">
        <v>2023</v>
      </c>
      <c r="E1157" s="11" t="s">
        <v>6641</v>
      </c>
    </row>
    <row r="1158" spans="1:5" x14ac:dyDescent="0.25">
      <c r="A1158" t="s">
        <v>2102</v>
      </c>
      <c r="B1158" t="s">
        <v>6645</v>
      </c>
      <c r="C1158">
        <v>2021</v>
      </c>
      <c r="E1158" s="11" t="s">
        <v>6648</v>
      </c>
    </row>
    <row r="1159" spans="1:5" x14ac:dyDescent="0.25">
      <c r="A1159" t="s">
        <v>92</v>
      </c>
      <c r="B1159" t="s">
        <v>6645</v>
      </c>
      <c r="C1159">
        <v>2024</v>
      </c>
      <c r="E1159" s="11" t="s">
        <v>6648</v>
      </c>
    </row>
    <row r="1160" spans="1:5" x14ac:dyDescent="0.25">
      <c r="A1160" t="s">
        <v>204</v>
      </c>
      <c r="B1160" t="s">
        <v>6645</v>
      </c>
      <c r="C1160">
        <v>2023</v>
      </c>
      <c r="E1160" s="11" t="s">
        <v>6648</v>
      </c>
    </row>
    <row r="1161" spans="1:5" x14ac:dyDescent="0.25">
      <c r="A1161" t="s">
        <v>2177</v>
      </c>
      <c r="B1161" t="s">
        <v>6645</v>
      </c>
      <c r="C1161">
        <v>2019</v>
      </c>
      <c r="E1161" s="11" t="s">
        <v>6648</v>
      </c>
    </row>
    <row r="1162" spans="1:5" x14ac:dyDescent="0.25">
      <c r="A1162" t="s">
        <v>6645</v>
      </c>
      <c r="B1162" t="s">
        <v>6650</v>
      </c>
      <c r="C1162">
        <v>2025</v>
      </c>
      <c r="D1162" t="s">
        <v>70</v>
      </c>
    </row>
    <row r="1163" spans="1:5" x14ac:dyDescent="0.25">
      <c r="A1163" t="s">
        <v>206</v>
      </c>
      <c r="B1163" t="s">
        <v>6652</v>
      </c>
      <c r="C1163">
        <v>2022</v>
      </c>
      <c r="E1163" s="11" t="s">
        <v>6655</v>
      </c>
    </row>
    <row r="1164" spans="1:5" x14ac:dyDescent="0.25">
      <c r="A1164" t="s">
        <v>1954</v>
      </c>
      <c r="B1164" t="s">
        <v>6652</v>
      </c>
      <c r="C1164">
        <v>2017</v>
      </c>
      <c r="E1164" s="11" t="s">
        <v>6655</v>
      </c>
    </row>
    <row r="1165" spans="1:5" x14ac:dyDescent="0.25">
      <c r="A1165" t="s">
        <v>726</v>
      </c>
      <c r="B1165" t="s">
        <v>2102</v>
      </c>
      <c r="C1165">
        <v>2019</v>
      </c>
      <c r="E1165" s="11" t="s">
        <v>6656</v>
      </c>
    </row>
    <row r="1166" spans="1:5" x14ac:dyDescent="0.25">
      <c r="A1166" t="s">
        <v>577</v>
      </c>
      <c r="B1166" t="s">
        <v>6657</v>
      </c>
      <c r="C1166">
        <v>2018</v>
      </c>
      <c r="E1166" s="11" t="s">
        <v>6660</v>
      </c>
    </row>
    <row r="1167" spans="1:5" x14ac:dyDescent="0.25">
      <c r="A1167" t="s">
        <v>577</v>
      </c>
      <c r="B1167" t="s">
        <v>6662</v>
      </c>
      <c r="C1167">
        <v>2018</v>
      </c>
      <c r="E1167" s="11" t="s">
        <v>6661</v>
      </c>
    </row>
    <row r="1168" spans="1:5" x14ac:dyDescent="0.25">
      <c r="A1168" t="s">
        <v>577</v>
      </c>
      <c r="B1168" t="s">
        <v>2182</v>
      </c>
      <c r="C1168">
        <v>2018</v>
      </c>
      <c r="E1168" s="11" t="s">
        <v>6665</v>
      </c>
    </row>
    <row r="1169" spans="1:5" x14ac:dyDescent="0.25">
      <c r="A1169" t="s">
        <v>415</v>
      </c>
      <c r="B1169" t="s">
        <v>2182</v>
      </c>
      <c r="C1169">
        <v>2019</v>
      </c>
      <c r="E1169" s="11" t="s">
        <v>6665</v>
      </c>
    </row>
    <row r="1170" spans="1:5" x14ac:dyDescent="0.25">
      <c r="A1170" t="s">
        <v>2199</v>
      </c>
      <c r="B1170" t="s">
        <v>6666</v>
      </c>
      <c r="C1170">
        <v>2011</v>
      </c>
      <c r="E1170" s="11" t="s">
        <v>6669</v>
      </c>
    </row>
    <row r="1171" spans="1:5" x14ac:dyDescent="0.25">
      <c r="A1171" t="s">
        <v>577</v>
      </c>
      <c r="B1171" t="s">
        <v>6666</v>
      </c>
      <c r="C1171">
        <v>2018</v>
      </c>
      <c r="E1171" s="11" t="s">
        <v>6669</v>
      </c>
    </row>
    <row r="1172" spans="1:5" x14ac:dyDescent="0.25">
      <c r="A1172" t="s">
        <v>1044</v>
      </c>
      <c r="B1172" t="s">
        <v>6666</v>
      </c>
      <c r="C1172">
        <v>2019</v>
      </c>
      <c r="E1172" s="11" t="s">
        <v>6669</v>
      </c>
    </row>
    <row r="1173" spans="1:5" x14ac:dyDescent="0.25">
      <c r="A1173" t="s">
        <v>828</v>
      </c>
      <c r="B1173" t="s">
        <v>1602</v>
      </c>
      <c r="C1173">
        <v>2016</v>
      </c>
      <c r="E1173" s="11" t="s">
        <v>6670</v>
      </c>
    </row>
    <row r="1174" spans="1:5" x14ac:dyDescent="0.25">
      <c r="A1174" t="s">
        <v>541</v>
      </c>
      <c r="B1174" t="s">
        <v>6671</v>
      </c>
      <c r="C1174">
        <v>2016</v>
      </c>
      <c r="E1174" s="11" t="s">
        <v>6672</v>
      </c>
    </row>
    <row r="1175" spans="1:5" x14ac:dyDescent="0.25">
      <c r="A1175" t="s">
        <v>564</v>
      </c>
      <c r="B1175" t="s">
        <v>6671</v>
      </c>
      <c r="C1175">
        <v>2015</v>
      </c>
      <c r="E1175" s="11" t="s">
        <v>6672</v>
      </c>
    </row>
    <row r="1176" spans="1:5" x14ac:dyDescent="0.25">
      <c r="A1176" t="s">
        <v>892</v>
      </c>
      <c r="B1176" t="s">
        <v>6671</v>
      </c>
      <c r="C1176">
        <v>2018</v>
      </c>
      <c r="E1176" s="11" t="s">
        <v>6672</v>
      </c>
    </row>
    <row r="1177" spans="1:5" x14ac:dyDescent="0.25">
      <c r="A1177" t="s">
        <v>564</v>
      </c>
      <c r="B1177" t="s">
        <v>6675</v>
      </c>
      <c r="C1177">
        <v>2015</v>
      </c>
      <c r="E1177" s="11" t="s">
        <v>6678</v>
      </c>
    </row>
    <row r="1178" spans="1:5" x14ac:dyDescent="0.25">
      <c r="A1178" t="s">
        <v>1954</v>
      </c>
      <c r="B1178" t="s">
        <v>6675</v>
      </c>
      <c r="C1178">
        <v>2017</v>
      </c>
      <c r="E1178" s="11" t="s">
        <v>6678</v>
      </c>
    </row>
    <row r="1179" spans="1:5" x14ac:dyDescent="0.25">
      <c r="A1179" t="s">
        <v>202</v>
      </c>
      <c r="B1179" t="s">
        <v>6679</v>
      </c>
      <c r="C1179">
        <v>1997</v>
      </c>
      <c r="E1179" s="11" t="s">
        <v>6682</v>
      </c>
    </row>
    <row r="1180" spans="1:5" x14ac:dyDescent="0.25">
      <c r="A1180" t="s">
        <v>828</v>
      </c>
      <c r="B1180" t="s">
        <v>6679</v>
      </c>
      <c r="C1180">
        <v>2016</v>
      </c>
      <c r="E1180" s="11" t="s">
        <v>6682</v>
      </c>
    </row>
    <row r="1181" spans="1:5" x14ac:dyDescent="0.25">
      <c r="A1181" t="s">
        <v>6679</v>
      </c>
      <c r="B1181" t="s">
        <v>6683</v>
      </c>
      <c r="C1181">
        <v>2021</v>
      </c>
      <c r="D1181" t="s">
        <v>70</v>
      </c>
    </row>
    <row r="1182" spans="1:5" x14ac:dyDescent="0.25">
      <c r="A1182" t="s">
        <v>2025</v>
      </c>
      <c r="B1182" t="s">
        <v>6708</v>
      </c>
      <c r="C1182">
        <v>2008</v>
      </c>
      <c r="E1182" s="11" t="s">
        <v>6707</v>
      </c>
    </row>
    <row r="1183" spans="1:5" x14ac:dyDescent="0.25">
      <c r="A1183" t="s">
        <v>1044</v>
      </c>
      <c r="B1183" t="s">
        <v>6711</v>
      </c>
      <c r="C1183">
        <v>2019</v>
      </c>
      <c r="E1183" s="11" t="s">
        <v>6713</v>
      </c>
    </row>
    <row r="1184" spans="1:5" x14ac:dyDescent="0.25">
      <c r="A1184" t="s">
        <v>2199</v>
      </c>
      <c r="B1184" t="s">
        <v>6711</v>
      </c>
      <c r="C1184">
        <v>2011</v>
      </c>
      <c r="E1184" s="11" t="s">
        <v>6713</v>
      </c>
    </row>
    <row r="1185" spans="1:5" x14ac:dyDescent="0.25">
      <c r="A1185" t="s">
        <v>1409</v>
      </c>
      <c r="B1185" t="s">
        <v>6711</v>
      </c>
      <c r="C1185">
        <v>2018</v>
      </c>
      <c r="E1185" s="11" t="s">
        <v>6713</v>
      </c>
    </row>
    <row r="1186" spans="1:5" x14ac:dyDescent="0.25">
      <c r="A1186" t="s">
        <v>6430</v>
      </c>
      <c r="B1186" t="s">
        <v>1358</v>
      </c>
      <c r="C1186">
        <v>1996</v>
      </c>
      <c r="E1186" s="11" t="s">
        <v>6714</v>
      </c>
    </row>
    <row r="1187" spans="1:5" x14ac:dyDescent="0.25">
      <c r="A1187" t="s">
        <v>2199</v>
      </c>
      <c r="B1187" t="s">
        <v>6716</v>
      </c>
      <c r="C1187">
        <v>2011</v>
      </c>
      <c r="E1187" s="11" t="s">
        <v>6715</v>
      </c>
    </row>
    <row r="1188" spans="1:5" x14ac:dyDescent="0.25">
      <c r="A1188" t="s">
        <v>2266</v>
      </c>
      <c r="B1188" t="s">
        <v>6716</v>
      </c>
      <c r="C1188">
        <v>2022</v>
      </c>
      <c r="E1188" s="11" t="s">
        <v>6715</v>
      </c>
    </row>
  </sheetData>
  <hyperlinks>
    <hyperlink ref="E5" r:id="rId1" xr:uid="{00000000-0004-0000-0200-000000000000}"/>
    <hyperlink ref="E8" r:id="rId2" xr:uid="{00000000-0004-0000-0200-000001000000}"/>
    <hyperlink ref="E14" r:id="rId3" xr:uid="{00000000-0004-0000-0200-000002000000}"/>
    <hyperlink ref="E18" r:id="rId4" xr:uid="{00000000-0004-0000-0200-000003000000}"/>
    <hyperlink ref="E21" r:id="rId5" xr:uid="{00000000-0004-0000-0200-000004000000}"/>
    <hyperlink ref="E23" r:id="rId6" xr:uid="{00000000-0004-0000-0200-000005000000}"/>
    <hyperlink ref="E24" r:id="rId7" xr:uid="{00000000-0004-0000-0200-000006000000}"/>
    <hyperlink ref="E25" r:id="rId8" xr:uid="{00000000-0004-0000-0200-000007000000}"/>
    <hyperlink ref="E34" r:id="rId9" xr:uid="{00000000-0004-0000-0200-000008000000}"/>
    <hyperlink ref="E36" r:id="rId10" xr:uid="{00000000-0004-0000-0200-000009000000}"/>
    <hyperlink ref="E37" r:id="rId11" xr:uid="{00000000-0004-0000-0200-00000A000000}"/>
    <hyperlink ref="E38" r:id="rId12" xr:uid="{00000000-0004-0000-0200-00000B000000}"/>
    <hyperlink ref="E39" r:id="rId13" xr:uid="{00000000-0004-0000-0200-00000C000000}"/>
    <hyperlink ref="E42" r:id="rId14" xr:uid="{00000000-0004-0000-0200-00000D000000}"/>
    <hyperlink ref="E43" r:id="rId15" xr:uid="{00000000-0004-0000-0200-00000E000000}"/>
    <hyperlink ref="E44" r:id="rId16" xr:uid="{00000000-0004-0000-0200-00000F000000}"/>
    <hyperlink ref="E45" r:id="rId17" xr:uid="{00000000-0004-0000-0200-000010000000}"/>
    <hyperlink ref="E48" r:id="rId18" xr:uid="{00000000-0004-0000-0200-000011000000}"/>
    <hyperlink ref="E49" r:id="rId19" location=":~:text=A%20downloadable%20game%20for%20Windows,it%20to%20the%20next%20round." xr:uid="{00000000-0004-0000-0200-000012000000}"/>
    <hyperlink ref="E52" r:id="rId20" xr:uid="{00000000-0004-0000-0200-000013000000}"/>
    <hyperlink ref="E53" r:id="rId21" xr:uid="{00000000-0004-0000-0200-000014000000}"/>
    <hyperlink ref="E55" r:id="rId22" location="c4335355681661031211" xr:uid="{00000000-0004-0000-0200-000015000000}"/>
    <hyperlink ref="E60" r:id="rId23" xr:uid="{00000000-0004-0000-0200-000016000000}"/>
    <hyperlink ref="E63" r:id="rId24" xr:uid="{00000000-0004-0000-0200-000017000000}"/>
    <hyperlink ref="E64" r:id="rId25" xr:uid="{00000000-0004-0000-0200-000018000000}"/>
    <hyperlink ref="E65" r:id="rId26" location=":~:text=With%20inspirations%20from%20hometown%20superstars%20Nikola%20Jokić%2C,passion%20project%20using%20basketball%20as%20the%20medium." xr:uid="{00000000-0004-0000-0200-000019000000}"/>
    <hyperlink ref="E67" r:id="rId27" xr:uid="{00000000-0004-0000-0200-00001A000000}"/>
    <hyperlink ref="E68" r:id="rId28" xr:uid="{00000000-0004-0000-0200-00001B000000}"/>
    <hyperlink ref="E71" r:id="rId29" xr:uid="{00000000-0004-0000-0200-00001C000000}"/>
    <hyperlink ref="E74" r:id="rId30" xr:uid="{00000000-0004-0000-0200-00001D000000}"/>
    <hyperlink ref="E77" r:id="rId31" location=":~:text=A%20downloadable%20game%20for%20Windows,it%20to%20the%20next%20round." xr:uid="{00000000-0004-0000-0200-00001E000000}"/>
    <hyperlink ref="E78" r:id="rId32" xr:uid="{00000000-0004-0000-0200-00001F000000}"/>
    <hyperlink ref="E79" r:id="rId33" xr:uid="{00000000-0004-0000-0200-000020000000}"/>
    <hyperlink ref="E80" r:id="rId34" xr:uid="{00000000-0004-0000-0200-000021000000}"/>
    <hyperlink ref="E81" r:id="rId35" xr:uid="{00000000-0004-0000-0200-000022000000}"/>
    <hyperlink ref="E83" r:id="rId36" xr:uid="{00000000-0004-0000-0200-000023000000}"/>
    <hyperlink ref="E86" r:id="rId37" location=":~:text=RollScape%20is%20a%20game%20inspired,I%20played%20throughout%20the%20years." xr:uid="{00000000-0004-0000-0200-000024000000}"/>
    <hyperlink ref="E87" r:id="rId38" location=":~:text=%2C%20say%2C%20Arco?-,RunebornGame,make%20it%20even%20more%20unique." xr:uid="{00000000-0004-0000-0200-000025000000}"/>
    <hyperlink ref="E91" r:id="rId39" xr:uid="{00000000-0004-0000-0200-000026000000}"/>
    <hyperlink ref="E92" r:id="rId40" xr:uid="{00000000-0004-0000-0200-000027000000}"/>
    <hyperlink ref="E95" r:id="rId41" xr:uid="{00000000-0004-0000-0200-000028000000}"/>
    <hyperlink ref="E96" r:id="rId42" xr:uid="{00000000-0004-0000-0200-000029000000}"/>
    <hyperlink ref="E98" r:id="rId43" xr:uid="{00000000-0004-0000-0200-00002A000000}"/>
    <hyperlink ref="E101" r:id="rId44" xr:uid="{00000000-0004-0000-0200-00002B000000}"/>
    <hyperlink ref="E102" r:id="rId45" xr:uid="{00000000-0004-0000-0200-00002C000000}"/>
    <hyperlink ref="E105" r:id="rId46" location=":~:text=The%20Last%20Spell's%20unique%20blend,build%20characters%20however%20they%20want." xr:uid="{00000000-0004-0000-0200-00002D000000}"/>
    <hyperlink ref="E108" r:id="rId47" xr:uid="{00000000-0004-0000-0200-00002E000000}"/>
    <hyperlink ref="E110" r:id="rId48" xr:uid="{00000000-0004-0000-0200-00002F000000}"/>
    <hyperlink ref="E113" r:id="rId49" xr:uid="{00000000-0004-0000-0200-000030000000}"/>
    <hyperlink ref="E115" r:id="rId50" xr:uid="{00000000-0004-0000-0200-000031000000}"/>
    <hyperlink ref="E116" r:id="rId51" xr:uid="{00000000-0004-0000-0200-000032000000}"/>
    <hyperlink ref="E118" r:id="rId52" xr:uid="{00000000-0004-0000-0200-000033000000}"/>
    <hyperlink ref="E119" r:id="rId53" xr:uid="{00000000-0004-0000-0200-000034000000}"/>
    <hyperlink ref="E123" r:id="rId54" xr:uid="{00000000-0004-0000-0200-000035000000}"/>
    <hyperlink ref="E124" r:id="rId55" xr:uid="{00000000-0004-0000-0200-000036000000}"/>
    <hyperlink ref="E125" r:id="rId56" xr:uid="{00000000-0004-0000-0200-000037000000}"/>
    <hyperlink ref="E126" r:id="rId57" xr:uid="{00000000-0004-0000-0200-000038000000}"/>
    <hyperlink ref="E127" r:id="rId58" xr:uid="{00000000-0004-0000-0200-000039000000}"/>
    <hyperlink ref="E129" r:id="rId59" xr:uid="{00000000-0004-0000-0200-00003A000000}"/>
    <hyperlink ref="E130" r:id="rId60" xr:uid="{00000000-0004-0000-0200-00003B000000}"/>
    <hyperlink ref="E133" r:id="rId61" xr:uid="{00000000-0004-0000-0200-00003C000000}"/>
    <hyperlink ref="E134" r:id="rId62" xr:uid="{00000000-0004-0000-0200-00003D000000}"/>
    <hyperlink ref="E135" r:id="rId63" xr:uid="{00000000-0004-0000-0200-00003E000000}"/>
    <hyperlink ref="E136" r:id="rId64" xr:uid="{00000000-0004-0000-0200-00003F000000}"/>
    <hyperlink ref="E147" r:id="rId65" location=":~:text=*Mainframe%20Defenders*%20is%20a%20roguelite%20game%20available,**Earning%20Matter%20and%20drops**%20*%20**Upgrading%20mechs**" xr:uid="{00000000-0004-0000-0200-000040000000}"/>
    <hyperlink ref="E148" r:id="rId66" location="c5456682769558786398" xr:uid="{00000000-0004-0000-0200-000041000000}"/>
    <hyperlink ref="E150" r:id="rId67" xr:uid="{00000000-0004-0000-0200-000042000000}"/>
    <hyperlink ref="E151" r:id="rId68" location=":~:text=Vellum's%20Inspirations,chapter%20of%20the%20original%20series." xr:uid="{00000000-0004-0000-0200-000043000000}"/>
    <hyperlink ref="E152" r:id="rId69" xr:uid="{00000000-0004-0000-0200-000044000000}"/>
    <hyperlink ref="E153" r:id="rId70" location=":~:text=The%20game%20was%20inspired%20by,of%20the%20NecroDancer%20and%20Cuphead." xr:uid="{00000000-0004-0000-0200-000045000000}"/>
    <hyperlink ref="E155" r:id="rId71" xr:uid="{00000000-0004-0000-0200-000046000000}"/>
    <hyperlink ref="E160" r:id="rId72" xr:uid="{00000000-0004-0000-0200-000047000000}"/>
    <hyperlink ref="E161" r:id="rId73" xr:uid="{00000000-0004-0000-0200-000048000000}"/>
    <hyperlink ref="E163" r:id="rId74" xr:uid="{00000000-0004-0000-0200-000049000000}"/>
    <hyperlink ref="E164" r:id="rId75" xr:uid="{00000000-0004-0000-0200-00004A000000}"/>
    <hyperlink ref="E166" r:id="rId76" xr:uid="{00000000-0004-0000-0200-00004B000000}"/>
    <hyperlink ref="E168" r:id="rId77" xr:uid="{00000000-0004-0000-0200-00004C000000}"/>
    <hyperlink ref="E170" r:id="rId78" xr:uid="{00000000-0004-0000-0200-00004D000000}"/>
    <hyperlink ref="E172" r:id="rId79" xr:uid="{00000000-0004-0000-0200-00004E000000}"/>
    <hyperlink ref="E174" r:id="rId80" xr:uid="{00000000-0004-0000-0200-00004F000000}"/>
    <hyperlink ref="E175" r:id="rId81" xr:uid="{00000000-0004-0000-0200-000050000000}"/>
    <hyperlink ref="E176" r:id="rId82" xr:uid="{00000000-0004-0000-0200-000051000000}"/>
    <hyperlink ref="E178" r:id="rId83" xr:uid="{00000000-0004-0000-0200-000052000000}"/>
    <hyperlink ref="E179" r:id="rId84" xr:uid="{00000000-0004-0000-0200-000053000000}"/>
    <hyperlink ref="E180" r:id="rId85" xr:uid="{00000000-0004-0000-0200-000054000000}"/>
    <hyperlink ref="E184" r:id="rId86" xr:uid="{00000000-0004-0000-0200-000055000000}"/>
    <hyperlink ref="E185" r:id="rId87" xr:uid="{00000000-0004-0000-0200-000056000000}"/>
    <hyperlink ref="E186" r:id="rId88" xr:uid="{00000000-0004-0000-0200-000057000000}"/>
    <hyperlink ref="E188" r:id="rId89" xr:uid="{00000000-0004-0000-0200-000058000000}"/>
    <hyperlink ref="E190" r:id="rId90" xr:uid="{00000000-0004-0000-0200-000059000000}"/>
    <hyperlink ref="E193" r:id="rId91" xr:uid="{00000000-0004-0000-0200-00005A000000}"/>
    <hyperlink ref="E197" r:id="rId92" location=":~:text=A%20big%20of%20Rogue%20Legacy%2C%20Spelunky%2C%20Hades.,kinda%20got%20inspiration%20from%20all%20of%20them." xr:uid="{00000000-0004-0000-0200-00005B000000}"/>
    <hyperlink ref="E199" r:id="rId93" location=":~:text=Fury%20Unleashed%20was%20created%20by,like%20Contra%20and%20Metal%20Slug." xr:uid="{00000000-0004-0000-0200-00005C000000}"/>
    <hyperlink ref="E200" r:id="rId94" xr:uid="{00000000-0004-0000-0200-00005D000000}"/>
    <hyperlink ref="E201" r:id="rId95" location=":~:text=Felix%20Soumpholphakdy:%20Dead%20Cells%20is%20a%20big,we%20wanted%20to%20craft%20a%20big%20world." xr:uid="{00000000-0004-0000-0200-00005E000000}"/>
    <hyperlink ref="E204" r:id="rId96" xr:uid="{00000000-0004-0000-0200-00005F000000}"/>
    <hyperlink ref="E206" r:id="rId97" xr:uid="{00000000-0004-0000-0200-000060000000}"/>
    <hyperlink ref="E207" r:id="rId98" xr:uid="{00000000-0004-0000-0200-000061000000}"/>
    <hyperlink ref="E210" r:id="rId99" xr:uid="{00000000-0004-0000-0200-000062000000}"/>
    <hyperlink ref="E211" r:id="rId100" xr:uid="{00000000-0004-0000-0200-000063000000}"/>
    <hyperlink ref="E214" r:id="rId101" xr:uid="{00000000-0004-0000-0200-000064000000}"/>
    <hyperlink ref="E236" r:id="rId102" xr:uid="{00000000-0004-0000-0200-000065000000}"/>
    <hyperlink ref="E238" r:id="rId103" xr:uid="{00000000-0004-0000-0200-000066000000}"/>
    <hyperlink ref="E240" r:id="rId104" xr:uid="{00000000-0004-0000-0200-000067000000}"/>
    <hyperlink ref="E241" r:id="rId105" xr:uid="{00000000-0004-0000-0200-000068000000}"/>
    <hyperlink ref="E245" r:id="rId106" xr:uid="{00000000-0004-0000-0200-000069000000}"/>
    <hyperlink ref="E246" r:id="rId107" xr:uid="{00000000-0004-0000-0200-00006A000000}"/>
    <hyperlink ref="E249" r:id="rId108" xr:uid="{00000000-0004-0000-0200-00006B000000}"/>
    <hyperlink ref="E250" r:id="rId109" xr:uid="{00000000-0004-0000-0200-00006C000000}"/>
    <hyperlink ref="E251" r:id="rId110" xr:uid="{00000000-0004-0000-0200-00006D000000}"/>
    <hyperlink ref="E253" r:id="rId111" xr:uid="{00000000-0004-0000-0200-00006E000000}"/>
    <hyperlink ref="E261" r:id="rId112" xr:uid="{00000000-0004-0000-0200-00006F000000}"/>
    <hyperlink ref="E262" r:id="rId113" xr:uid="{00000000-0004-0000-0200-000070000000}"/>
    <hyperlink ref="E263" r:id="rId114" xr:uid="{00000000-0004-0000-0200-000071000000}"/>
    <hyperlink ref="E264" r:id="rId115" xr:uid="{00000000-0004-0000-0200-000072000000}"/>
    <hyperlink ref="E265" r:id="rId116" location=":~:text=As%20inspiration%20from%20different%20games,dangerous%20to%20go%20alone%22%20line." xr:uid="{00000000-0004-0000-0200-000073000000}"/>
    <hyperlink ref="E266" r:id="rId117" xr:uid="{00000000-0004-0000-0200-000074000000}"/>
    <hyperlink ref="E267" r:id="rId118" location="c1319962683447326488" xr:uid="{00000000-0004-0000-0200-000075000000}"/>
    <hyperlink ref="E269" r:id="rId119" xr:uid="{00000000-0004-0000-0200-000076000000}"/>
    <hyperlink ref="E271" r:id="rId120" xr:uid="{00000000-0004-0000-0200-000077000000}"/>
    <hyperlink ref="E272" r:id="rId121" xr:uid="{00000000-0004-0000-0200-000078000000}"/>
    <hyperlink ref="E273" r:id="rId122" xr:uid="{00000000-0004-0000-0200-000079000000}"/>
    <hyperlink ref="E274" r:id="rId123" xr:uid="{00000000-0004-0000-0200-00007A000000}"/>
    <hyperlink ref="E276" r:id="rId124" xr:uid="{00000000-0004-0000-0200-00007B000000}"/>
    <hyperlink ref="E277" r:id="rId125" location="msg5316" xr:uid="{00000000-0004-0000-0200-00007C000000}"/>
    <hyperlink ref="E278" r:id="rId126" xr:uid="{00000000-0004-0000-0200-00007D000000}"/>
    <hyperlink ref="E279" r:id="rId127" xr:uid="{00000000-0004-0000-0200-00007E000000}"/>
    <hyperlink ref="E283" r:id="rId128" xr:uid="{00000000-0004-0000-0200-00007F000000}"/>
    <hyperlink ref="E284" r:id="rId129" xr:uid="{00000000-0004-0000-0200-000080000000}"/>
    <hyperlink ref="E285" r:id="rId130" xr:uid="{00000000-0004-0000-0200-000081000000}"/>
    <hyperlink ref="E286" r:id="rId131" xr:uid="{00000000-0004-0000-0200-000082000000}"/>
    <hyperlink ref="E287" r:id="rId132" xr:uid="{00000000-0004-0000-0200-000083000000}"/>
    <hyperlink ref="E290" r:id="rId133" location="c5456682769558786398" xr:uid="{00000000-0004-0000-0200-000084000000}"/>
    <hyperlink ref="E293" r:id="rId134" location="c606068060818832019" xr:uid="{00000000-0004-0000-0200-000085000000}"/>
    <hyperlink ref="E294" r:id="rId135" location=":~:text=Escaped%20Lunatic-,Soulash%202%20%2D%20Adventures%20and%20Conquest%20in%20Procedural%20Fantasy%20Worlds,to%20the%20Roguelike%20design%20formula." xr:uid="{00000000-0004-0000-0200-000086000000}"/>
    <hyperlink ref="E295" r:id="rId136" xr:uid="{00000000-0004-0000-0200-000087000000}"/>
    <hyperlink ref="E297" r:id="rId137" xr:uid="{00000000-0004-0000-0200-000088000000}"/>
    <hyperlink ref="E298" r:id="rId138" xr:uid="{00000000-0004-0000-0200-000089000000}"/>
    <hyperlink ref="E299" r:id="rId139" xr:uid="{00000000-0004-0000-0200-00008A000000}"/>
    <hyperlink ref="E300" r:id="rId140" xr:uid="{00000000-0004-0000-0200-00008B000000}"/>
    <hyperlink ref="E304" r:id="rId141" location=":~:text=Vellum's%20Inspirations,chapter%20of%20the%20original%20series." xr:uid="{00000000-0004-0000-0200-00008C000000}"/>
    <hyperlink ref="E305" r:id="rId142" xr:uid="{00000000-0004-0000-0200-00008D000000}"/>
    <hyperlink ref="E306" r:id="rId143" xr:uid="{00000000-0004-0000-0200-00008E000000}"/>
    <hyperlink ref="E309" r:id="rId144" location=":~:text=I%20got%20addicted%20to%20Stardew,simply%20stat%20upgrades%20or%20something)." xr:uid="{00000000-0004-0000-0200-00008F000000}"/>
    <hyperlink ref="E310" r:id="rId145" xr:uid="{00000000-0004-0000-0200-000090000000}"/>
    <hyperlink ref="E313" r:id="rId146" xr:uid="{00000000-0004-0000-0200-000091000000}"/>
    <hyperlink ref="E315" r:id="rId147" xr:uid="{00000000-0004-0000-0200-000092000000}"/>
    <hyperlink ref="E317" r:id="rId148" location=":~:text=Gunfire%20Reborn%20is%20developed%20by,would%20be%20most%20beneficial%20design." xr:uid="{00000000-0004-0000-0200-000093000000}"/>
    <hyperlink ref="E319" r:id="rId149" xr:uid="{00000000-0004-0000-0200-000094000000}"/>
    <hyperlink ref="E320" r:id="rId150" location=":~:text=Odinfall%20Early%20Access%20on%20Steam&amp;text=According%20to%20Oscar%20Axelsson%20from,Throne%20and%20Enter%20the%20Gungeon." xr:uid="{00000000-0004-0000-0200-000095000000}"/>
    <hyperlink ref="E321" r:id="rId151" xr:uid="{00000000-0004-0000-0200-000096000000}"/>
    <hyperlink ref="E325" r:id="rId152" xr:uid="{00000000-0004-0000-0200-000097000000}"/>
    <hyperlink ref="E331" r:id="rId153" xr:uid="{00000000-0004-0000-0200-000098000000}"/>
    <hyperlink ref="E337" r:id="rId154" xr:uid="{00000000-0004-0000-0200-000099000000}"/>
    <hyperlink ref="E338" r:id="rId155" location="c6027566653452797874" xr:uid="{00000000-0004-0000-0200-00009A000000}"/>
    <hyperlink ref="E340" r:id="rId156" xr:uid="{00000000-0004-0000-0200-00009B000000}"/>
    <hyperlink ref="E341" r:id="rId157" xr:uid="{00000000-0004-0000-0200-00009C000000}"/>
    <hyperlink ref="E342" r:id="rId158" xr:uid="{00000000-0004-0000-0200-00009D000000}"/>
    <hyperlink ref="E344" r:id="rId159" location="c617320168065346307" xr:uid="{00000000-0004-0000-0200-00009E000000}"/>
    <hyperlink ref="E345" r:id="rId160" xr:uid="{00000000-0004-0000-0200-00009F000000}"/>
    <hyperlink ref="E348" r:id="rId161" xr:uid="{00000000-0004-0000-0200-0000A0000000}"/>
    <hyperlink ref="E349" r:id="rId162" xr:uid="{00000000-0004-0000-0200-0000A1000000}"/>
    <hyperlink ref="E350" r:id="rId163" xr:uid="{00000000-0004-0000-0200-0000A2000000}"/>
    <hyperlink ref="E353" r:id="rId164" xr:uid="{00000000-0004-0000-0200-0000A3000000}"/>
    <hyperlink ref="E354" r:id="rId165" location="c1675812484339955409" xr:uid="{00000000-0004-0000-0200-0000A4000000}"/>
    <hyperlink ref="E356" r:id="rId166" xr:uid="{00000000-0004-0000-0200-0000A5000000}"/>
    <hyperlink ref="E357" r:id="rId167" xr:uid="{00000000-0004-0000-0200-0000A6000000}"/>
    <hyperlink ref="E358" r:id="rId168" location="c4335355681661031211" xr:uid="{00000000-0004-0000-0200-0000A7000000}"/>
    <hyperlink ref="E359" r:id="rId169" location=":~:text=MOBAs%20were%20a%20key%20inspiration,like%20action%20roguelites%20in%20general." xr:uid="{00000000-0004-0000-0200-0000A8000000}"/>
    <hyperlink ref="E360" r:id="rId170" location=":~:text=Their%20initial%20goal%20was%20to,built%20on%20the%20libGDX%20framework." xr:uid="{00000000-0004-0000-0200-0000A9000000}"/>
    <hyperlink ref="E363" r:id="rId171" xr:uid="{00000000-0004-0000-0200-0000AA000000}"/>
    <hyperlink ref="E364" r:id="rId172" xr:uid="{00000000-0004-0000-0200-0000AB000000}"/>
    <hyperlink ref="E368" r:id="rId173" xr:uid="{00000000-0004-0000-0200-0000AC000000}"/>
    <hyperlink ref="E369" r:id="rId174" xr:uid="{00000000-0004-0000-0200-0000AD000000}"/>
    <hyperlink ref="E370" r:id="rId175" xr:uid="{00000000-0004-0000-0200-0000AE000000}"/>
    <hyperlink ref="E381" r:id="rId176" xr:uid="{00000000-0004-0000-0200-0000AF000000}"/>
    <hyperlink ref="E383" r:id="rId177" xr:uid="{00000000-0004-0000-0200-0000B0000000}"/>
    <hyperlink ref="E384" r:id="rId178" location=":~:text=JW%2C%20GF:%20What%20are%20some,us%20a%20lot%20of%20motivation." xr:uid="{00000000-0004-0000-0200-0000B1000000}"/>
    <hyperlink ref="E385" r:id="rId179" xr:uid="{00000000-0004-0000-0200-0000B2000000}"/>
    <hyperlink ref="E387" r:id="rId180" location=":~:text=Vellum's%20Inspirations,chapter%20of%20the%20original%20series." xr:uid="{00000000-0004-0000-0200-0000B3000000}"/>
    <hyperlink ref="E389" r:id="rId181" xr:uid="{00000000-0004-0000-0200-0000B4000000}"/>
    <hyperlink ref="E390" r:id="rId182" xr:uid="{00000000-0004-0000-0200-0000B5000000}"/>
    <hyperlink ref="E391" r:id="rId183" xr:uid="{00000000-0004-0000-0200-0000B6000000}"/>
    <hyperlink ref="E392" r:id="rId184" xr:uid="{00000000-0004-0000-0200-0000B7000000}"/>
    <hyperlink ref="E394" r:id="rId185" xr:uid="{00000000-0004-0000-0200-0000B8000000}"/>
    <hyperlink ref="E395" r:id="rId186" xr:uid="{00000000-0004-0000-0200-0000B9000000}"/>
    <hyperlink ref="E397" r:id="rId187" xr:uid="{00000000-0004-0000-0200-0000BA000000}"/>
    <hyperlink ref="E399" r:id="rId188" xr:uid="{00000000-0004-0000-0200-0000BB000000}"/>
    <hyperlink ref="E402" r:id="rId189" location=":~:text=JW%2C%20GF:%20What%20are%20some,us%20a%20lot%20of%20motivation." xr:uid="{00000000-0004-0000-0200-0000BC000000}"/>
    <hyperlink ref="E405" r:id="rId190" xr:uid="{00000000-0004-0000-0200-0000BD000000}"/>
    <hyperlink ref="E406" r:id="rId191" location=":~:text=Death%20Must%20Die%20opens%20up,appropriation%2C%20even%20a%20love%20letter." xr:uid="{00000000-0004-0000-0200-0000BE000000}"/>
    <hyperlink ref="E407" r:id="rId192" xr:uid="{00000000-0004-0000-0200-0000BF000000}"/>
    <hyperlink ref="E409" r:id="rId193" location=":~:text=A%20big%20of%20Rogue%20Legacy%2C%20Spelunky%2C%20Hades.,kinda%20got%20inspiration%20from%20all%20of%20them." xr:uid="{00000000-0004-0000-0200-0000C0000000}"/>
    <hyperlink ref="E411" r:id="rId194" xr:uid="{00000000-0004-0000-0200-0000C1000000}"/>
    <hyperlink ref="E412" r:id="rId195" xr:uid="{00000000-0004-0000-0200-0000C2000000}"/>
    <hyperlink ref="E415" r:id="rId196" location=":~:text=Have%20a%20Nice%20Death%20also,movies%2C%20shorts%2C%20and%20ads." xr:uid="{00000000-0004-0000-0200-0000C3000000}"/>
    <hyperlink ref="E416" r:id="rId197" xr:uid="{00000000-0004-0000-0200-0000C4000000}"/>
    <hyperlink ref="E418" r:id="rId198" xr:uid="{00000000-0004-0000-0200-0000C5000000}"/>
    <hyperlink ref="E420" r:id="rId199" xr:uid="{00000000-0004-0000-0200-0000C6000000}"/>
    <hyperlink ref="E425" r:id="rId200" xr:uid="{00000000-0004-0000-0200-0000C7000000}"/>
    <hyperlink ref="E428" r:id="rId201" xr:uid="{00000000-0004-0000-0200-0000C8000000}"/>
    <hyperlink ref="E430" r:id="rId202" xr:uid="{00000000-0004-0000-0200-0000C9000000}"/>
    <hyperlink ref="E431" r:id="rId203" xr:uid="{00000000-0004-0000-0200-0000CA000000}"/>
    <hyperlink ref="E432" r:id="rId204" xr:uid="{00000000-0004-0000-0200-0000CB000000}"/>
    <hyperlink ref="E433" r:id="rId205" location=":~:text=Tape%20to%20Tape%20is%20a,the%20Spire%20and%20NHL%2094!" xr:uid="{00000000-0004-0000-0200-0000CC000000}"/>
    <hyperlink ref="E434" r:id="rId206" xr:uid="{00000000-0004-0000-0200-0000CD000000}"/>
    <hyperlink ref="E437" r:id="rId207" location=":~:text=Vellum's%20Inspirations,chapter%20of%20the%20original%20series." xr:uid="{00000000-0004-0000-0200-0000CE000000}"/>
    <hyperlink ref="E440" r:id="rId208" xr:uid="{00000000-0004-0000-0200-0000CF000000}"/>
    <hyperlink ref="E445" r:id="rId209" xr:uid="{00000000-0004-0000-0200-0000D0000000}"/>
    <hyperlink ref="E449" r:id="rId210" xr:uid="{00000000-0004-0000-0200-0000D1000000}"/>
    <hyperlink ref="E450" r:id="rId211" xr:uid="{00000000-0004-0000-0200-0000D2000000}"/>
    <hyperlink ref="E453" r:id="rId212" xr:uid="{00000000-0004-0000-0200-0000D3000000}"/>
    <hyperlink ref="E454" r:id="rId213" xr:uid="{00000000-0004-0000-0200-0000D4000000}"/>
    <hyperlink ref="E456" r:id="rId214" location="c695373095208229623" xr:uid="{00000000-0004-0000-0200-0000D5000000}"/>
    <hyperlink ref="E458" r:id="rId215" xr:uid="{00000000-0004-0000-0200-0000D6000000}"/>
    <hyperlink ref="E459" r:id="rId216" xr:uid="{00000000-0004-0000-0200-0000D7000000}"/>
    <hyperlink ref="E460" r:id="rId217" xr:uid="{00000000-0004-0000-0200-0000D8000000}"/>
    <hyperlink ref="E461" r:id="rId218" location=":~:text=About%20This%20Game-,ABOUT,and%20'Into%20the%20Breach'." xr:uid="{00000000-0004-0000-0200-0000D9000000}"/>
    <hyperlink ref="E463" r:id="rId219" location=":~:text=Main%20developer%20Jasper%20Cole%20stated,inventory%20as%20an%20additional%20inspiration." xr:uid="{00000000-0004-0000-0200-0000DA000000}"/>
    <hyperlink ref="E469" r:id="rId220" xr:uid="{00000000-0004-0000-0200-0000DB000000}"/>
    <hyperlink ref="E470" r:id="rId221" xr:uid="{00000000-0004-0000-0200-0000DC000000}"/>
    <hyperlink ref="E471" r:id="rId222" xr:uid="{00000000-0004-0000-0200-0000DD000000}"/>
    <hyperlink ref="E472" r:id="rId223" xr:uid="{00000000-0004-0000-0200-0000DE000000}"/>
    <hyperlink ref="E473" r:id="rId224" location="c4335355681661031211" xr:uid="{00000000-0004-0000-0200-0000DF000000}"/>
    <hyperlink ref="E475" r:id="rId225" location=":~:text=is%20blowing%20up!-,830%20concurrent%20players%2C%20I%20can't%20believe%20it!,has%20been%20a%20wild%20ride." xr:uid="{00000000-0004-0000-0200-0000E0000000}"/>
    <hyperlink ref="E477" r:id="rId226" location=":~:text=The%20Last%20Spell's%20unique%20blend,build%20characters%20however%20they%20want." xr:uid="{00000000-0004-0000-0200-0000E1000000}"/>
    <hyperlink ref="E478" r:id="rId227" xr:uid="{00000000-0004-0000-0200-0000E2000000}"/>
    <hyperlink ref="E479" r:id="rId228" xr:uid="{00000000-0004-0000-0200-0000E3000000}"/>
    <hyperlink ref="E482" r:id="rId229" location="c4346617656897843847" xr:uid="{00000000-0004-0000-0200-0000E4000000}"/>
    <hyperlink ref="E484" r:id="rId230" xr:uid="{00000000-0004-0000-0200-0000E5000000}"/>
    <hyperlink ref="E487" r:id="rId231" xr:uid="{00000000-0004-0000-0200-0000E6000000}"/>
    <hyperlink ref="E489" r:id="rId232" xr:uid="{00000000-0004-0000-0200-0000E7000000}"/>
    <hyperlink ref="E490" r:id="rId233" xr:uid="{00000000-0004-0000-0200-0000E8000000}"/>
    <hyperlink ref="E491" r:id="rId234" xr:uid="{00000000-0004-0000-0200-0000E9000000}"/>
    <hyperlink ref="E493" r:id="rId235" xr:uid="{00000000-0004-0000-0200-0000EA000000}"/>
    <hyperlink ref="E497" r:id="rId236" xr:uid="{00000000-0004-0000-0200-0000EB000000}"/>
    <hyperlink ref="E500" r:id="rId237" xr:uid="{00000000-0004-0000-0200-0000EC000000}"/>
    <hyperlink ref="E505" r:id="rId238" xr:uid="{00000000-0004-0000-0200-0000ED000000}"/>
    <hyperlink ref="E506" r:id="rId239" xr:uid="{00000000-0004-0000-0200-0000EE000000}"/>
    <hyperlink ref="E507" r:id="rId240"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EF000000}"/>
    <hyperlink ref="E509" r:id="rId241" xr:uid="{00000000-0004-0000-0200-0000F0000000}"/>
    <hyperlink ref="E510" r:id="rId242" xr:uid="{00000000-0004-0000-0200-0000F1000000}"/>
    <hyperlink ref="E511" r:id="rId243" location=":~:text=The%20game%20was%20inspired%20by,assets%2C%20art%2C%20and%20music." xr:uid="{00000000-0004-0000-0200-0000F2000000}"/>
    <hyperlink ref="E520" r:id="rId244" xr:uid="{00000000-0004-0000-0200-0000F3000000}"/>
    <hyperlink ref="E522" r:id="rId245" xr:uid="{00000000-0004-0000-0200-0000F4000000}"/>
    <hyperlink ref="E526" r:id="rId246" xr:uid="{00000000-0004-0000-0200-0000F5000000}"/>
    <hyperlink ref="E528" r:id="rId247" xr:uid="{00000000-0004-0000-0200-0000F6000000}"/>
    <hyperlink ref="E533" r:id="rId248" xr:uid="{00000000-0004-0000-0200-0000F7000000}"/>
    <hyperlink ref="E538" r:id="rId249" xr:uid="{00000000-0004-0000-0200-0000F8000000}"/>
    <hyperlink ref="E539" r:id="rId250" xr:uid="{00000000-0004-0000-0200-0000F9000000}"/>
    <hyperlink ref="E541" r:id="rId251" location=":~:text=House%20of%20Necrosis%20is%20a,Linux)%20and%20the%20Steam%20Deck" xr:uid="{00000000-0004-0000-0200-0000FA000000}"/>
    <hyperlink ref="E545" r:id="rId252" xr:uid="{00000000-0004-0000-0200-0000FB000000}"/>
    <hyperlink ref="E546" r:id="rId253" xr:uid="{00000000-0004-0000-0200-0000FC000000}"/>
    <hyperlink ref="E549" r:id="rId254" xr:uid="{00000000-0004-0000-0200-0000FD000000}"/>
    <hyperlink ref="E550" r:id="rId255" xr:uid="{00000000-0004-0000-0200-0000FE000000}"/>
    <hyperlink ref="E552" r:id="rId256" xr:uid="{00000000-0004-0000-0200-0000FF000000}"/>
    <hyperlink ref="E553" r:id="rId257" xr:uid="{00000000-0004-0000-0200-000000010000}"/>
    <hyperlink ref="E555" r:id="rId258" xr:uid="{00000000-0004-0000-0200-000001010000}"/>
    <hyperlink ref="E561" r:id="rId259" xr:uid="{00000000-0004-0000-0200-000002010000}"/>
    <hyperlink ref="E563" r:id="rId260" xr:uid="{00000000-0004-0000-0200-000003010000}"/>
    <hyperlink ref="E564" r:id="rId261" xr:uid="{00000000-0004-0000-0200-000004010000}"/>
    <hyperlink ref="E567" r:id="rId262" xr:uid="{00000000-0004-0000-0200-000005010000}"/>
    <hyperlink ref="E568" r:id="rId263" xr:uid="{00000000-0004-0000-0200-000006010000}"/>
    <hyperlink ref="E569" r:id="rId264" xr:uid="{00000000-0004-0000-0200-000007010000}"/>
    <hyperlink ref="E573" r:id="rId265" xr:uid="{00000000-0004-0000-0200-000008010000}"/>
    <hyperlink ref="E574" r:id="rId266" xr:uid="{00000000-0004-0000-0200-000009010000}"/>
    <hyperlink ref="E575" r:id="rId267" xr:uid="{00000000-0004-0000-0200-00000A010000}"/>
    <hyperlink ref="E576" r:id="rId268" xr:uid="{00000000-0004-0000-0200-00000B010000}"/>
    <hyperlink ref="E579" r:id="rId269" xr:uid="{00000000-0004-0000-0200-00000C010000}"/>
    <hyperlink ref="E580" r:id="rId270" location="c574921459914427191" xr:uid="{00000000-0004-0000-0200-00000D010000}"/>
    <hyperlink ref="E581" r:id="rId271" xr:uid="{00000000-0004-0000-0200-00000E010000}"/>
    <hyperlink ref="E583" r:id="rId272" xr:uid="{00000000-0004-0000-0200-00000F010000}"/>
    <hyperlink ref="E584" r:id="rId273" xr:uid="{00000000-0004-0000-0200-000010010000}"/>
    <hyperlink ref="E586" r:id="rId274" location=":~:text=I%20got%20addicted%20to%20Stardew,simply%20stat%20upgrades%20or%20something)." xr:uid="{00000000-0004-0000-0200-000011010000}"/>
    <hyperlink ref="E589" r:id="rId275" xr:uid="{00000000-0004-0000-0200-000012010000}"/>
    <hyperlink ref="E590" r:id="rId276" location=":~:text=Though%20Crooks%20stated%20that%20The,Souls%2C%20and%20Metal%20Gear%20Solid." xr:uid="{00000000-0004-0000-0200-000013010000}"/>
    <hyperlink ref="E591" r:id="rId277" xr:uid="{00000000-0004-0000-0200-000014010000}"/>
    <hyperlink ref="E592" r:id="rId278" xr:uid="{00000000-0004-0000-0200-000015010000}"/>
    <hyperlink ref="E593" r:id="rId279" location=":~:text=As%20inspiration%20from%20different%20games,dangerous%20to%20go%20alone%22%20line." xr:uid="{00000000-0004-0000-0200-000016010000}"/>
    <hyperlink ref="E594" r:id="rId280" xr:uid="{00000000-0004-0000-0200-000017010000}"/>
    <hyperlink ref="E595" r:id="rId281" location=":~:text=Odinfall%20Early%20Access%20on%20Steam&amp;text=According%20to%20Oscar%20Axelsson%20from,Throne%20and%20Enter%20the%20Gungeon." xr:uid="{00000000-0004-0000-0200-000018010000}"/>
    <hyperlink ref="E597" r:id="rId282" xr:uid="{00000000-0004-0000-0200-000019010000}"/>
    <hyperlink ref="E599" r:id="rId283" xr:uid="{00000000-0004-0000-0200-00001A010000}"/>
    <hyperlink ref="E601" r:id="rId284" xr:uid="{00000000-0004-0000-0200-00001B010000}"/>
    <hyperlink ref="E606" r:id="rId285" xr:uid="{00000000-0004-0000-0200-00001C010000}"/>
    <hyperlink ref="E611" r:id="rId286" xr:uid="{00000000-0004-0000-0200-00001D010000}"/>
    <hyperlink ref="E612" r:id="rId287" xr:uid="{00000000-0004-0000-0200-00001E010000}"/>
    <hyperlink ref="E613" r:id="rId288" xr:uid="{00000000-0004-0000-0200-00001F010000}"/>
    <hyperlink ref="E615" r:id="rId289" xr:uid="{00000000-0004-0000-0200-000020010000}"/>
    <hyperlink ref="E616" r:id="rId290" xr:uid="{00000000-0004-0000-0200-000021010000}"/>
    <hyperlink ref="E620" r:id="rId291" xr:uid="{00000000-0004-0000-0200-000022010000}"/>
    <hyperlink ref="E625" r:id="rId292" xr:uid="{00000000-0004-0000-0200-000023010000}"/>
    <hyperlink ref="E626" r:id="rId293" xr:uid="{00000000-0004-0000-0200-000024010000}"/>
    <hyperlink ref="E627" r:id="rId294" xr:uid="{00000000-0004-0000-0200-000025010000}"/>
    <hyperlink ref="E628" r:id="rId295" xr:uid="{00000000-0004-0000-0200-000026010000}"/>
    <hyperlink ref="E629" r:id="rId296" xr:uid="{00000000-0004-0000-0200-000027010000}"/>
    <hyperlink ref="E630" r:id="rId297" xr:uid="{00000000-0004-0000-0200-000028010000}"/>
    <hyperlink ref="E633" r:id="rId298" location=":~:text=MOBAs%20were%20a%20key%20inspiration,like%20action%20roguelites%20in%20general." xr:uid="{00000000-0004-0000-0200-000029010000}"/>
    <hyperlink ref="E637" r:id="rId299" xr:uid="{00000000-0004-0000-0200-00002A010000}"/>
    <hyperlink ref="E644" r:id="rId300" xr:uid="{00000000-0004-0000-0200-00002B010000}"/>
    <hyperlink ref="E648" r:id="rId301" location=":~:text=MOBAs%20were%20a%20key%20inspiration,like%20action%20roguelites%20in%20general." xr:uid="{00000000-0004-0000-0200-00002C010000}"/>
    <hyperlink ref="E649" r:id="rId302" xr:uid="{00000000-0004-0000-0200-00002D010000}"/>
    <hyperlink ref="E651" r:id="rId303" location="c595137684887857500" xr:uid="{00000000-0004-0000-0200-00002E010000}"/>
    <hyperlink ref="E654" r:id="rId304" xr:uid="{00000000-0004-0000-0200-00002F010000}"/>
    <hyperlink ref="E657" r:id="rId305" xr:uid="{00000000-0004-0000-0200-000030010000}"/>
    <hyperlink ref="E661" r:id="rId306" xr:uid="{00000000-0004-0000-0200-000031010000}"/>
    <hyperlink ref="E662" r:id="rId307" xr:uid="{00000000-0004-0000-0200-000032010000}"/>
    <hyperlink ref="E664" r:id="rId308" location=":~:text=Vellum's%20Inspirations,chapter%20of%20the%20original%20series." xr:uid="{00000000-0004-0000-0200-000033010000}"/>
    <hyperlink ref="E665" r:id="rId309" location=":~:text=JW%2C%20GF:%20What%20are%20some,us%20a%20lot%20of%20motivation." xr:uid="{00000000-0004-0000-0200-000034010000}"/>
    <hyperlink ref="E666" r:id="rId310" xr:uid="{00000000-0004-0000-0200-000035010000}"/>
    <hyperlink ref="E667" r:id="rId311" xr:uid="{00000000-0004-0000-0200-000036010000}"/>
    <hyperlink ref="E668" r:id="rId312" xr:uid="{00000000-0004-0000-0200-000037010000}"/>
    <hyperlink ref="E670" r:id="rId313" xr:uid="{00000000-0004-0000-0200-000038010000}"/>
    <hyperlink ref="E671" r:id="rId314" xr:uid="{00000000-0004-0000-0200-000039010000}"/>
    <hyperlink ref="E672" r:id="rId315" location=":~:text=Fatal%20Labyrinth%20is%20Sega's%20first,is%20a%20game%2Dbreaking%20affair.%20Also%20it%20shares%20a%20lot%20of%20similarities" xr:uid="{00000000-0004-0000-0200-00003A010000}"/>
    <hyperlink ref="E673" r:id="rId316" xr:uid="{00000000-0004-0000-0200-00003B010000}"/>
    <hyperlink ref="E677" r:id="rId317" xr:uid="{00000000-0004-0000-0200-00003C010000}"/>
    <hyperlink ref="E679" r:id="rId318" xr:uid="{00000000-0004-0000-0200-00003D010000}"/>
    <hyperlink ref="E683" r:id="rId319" xr:uid="{00000000-0004-0000-0200-00003E010000}"/>
    <hyperlink ref="E684" r:id="rId320" xr:uid="{00000000-0004-0000-0200-00003F010000}"/>
    <hyperlink ref="E685" r:id="rId321" xr:uid="{00000000-0004-0000-0200-000040010000}"/>
    <hyperlink ref="E686" r:id="rId322" xr:uid="{00000000-0004-0000-0200-000041010000}"/>
    <hyperlink ref="E687" r:id="rId323" xr:uid="{00000000-0004-0000-0200-000042010000}"/>
    <hyperlink ref="E688" r:id="rId324" xr:uid="{00000000-0004-0000-0200-000043010000}"/>
    <hyperlink ref="E689" r:id="rId325" xr:uid="{00000000-0004-0000-0200-000044010000}"/>
    <hyperlink ref="E690" r:id="rId326" location=":~:text=A%20big%20of%20Rogue%20Legacy%2C%20Spelunky%2C%20Hades.,kinda%20got%20inspiration%20from%20all%20of%20them." xr:uid="{00000000-0004-0000-0200-000045010000}"/>
    <hyperlink ref="E692" r:id="rId327" location=":~:text=Fury%20Unleashed%20was%20created%20by,like%20Contra%20and%20Metal%20Slug." xr:uid="{00000000-0004-0000-0200-000046010000}"/>
    <hyperlink ref="E693" r:id="rId328" xr:uid="{00000000-0004-0000-0200-000047010000}"/>
    <hyperlink ref="E694" r:id="rId329" xr:uid="{00000000-0004-0000-0200-000048010000}"/>
    <hyperlink ref="E695" r:id="rId330" xr:uid="{00000000-0004-0000-0200-000049010000}"/>
    <hyperlink ref="E697" r:id="rId331" xr:uid="{00000000-0004-0000-0200-00004A010000}"/>
    <hyperlink ref="E698" r:id="rId332" location="c1693785035807819716" xr:uid="{00000000-0004-0000-0200-00004B010000}"/>
    <hyperlink ref="E701" r:id="rId333" xr:uid="{00000000-0004-0000-0200-00004C010000}"/>
    <hyperlink ref="E703" r:id="rId334" xr:uid="{00000000-0004-0000-0200-00004D010000}"/>
    <hyperlink ref="E704" r:id="rId335" location=":~:text=RollScape%20is%20a%20game%20inspired,I%20played%20throughout%20the%20years." xr:uid="{00000000-0004-0000-0200-00004E010000}"/>
    <hyperlink ref="E714" r:id="rId336" xr:uid="{00000000-0004-0000-0200-00004F010000}"/>
    <hyperlink ref="E717" r:id="rId337" xr:uid="{00000000-0004-0000-0200-000050010000}"/>
    <hyperlink ref="E718" r:id="rId338" xr:uid="{00000000-0004-0000-0200-000051010000}"/>
    <hyperlink ref="E720" r:id="rId339" xr:uid="{00000000-0004-0000-0200-000052010000}"/>
    <hyperlink ref="E721" r:id="rId340" xr:uid="{00000000-0004-0000-0200-000053010000}"/>
    <hyperlink ref="E722" r:id="rId341" xr:uid="{00000000-0004-0000-0200-000054010000}"/>
    <hyperlink ref="E724" r:id="rId342" location=":~:text=About%20This%20Game-,ABOUT,and%20'Into%20the%20Breach'." xr:uid="{00000000-0004-0000-0200-000055010000}"/>
    <hyperlink ref="E725" r:id="rId343" xr:uid="{00000000-0004-0000-0200-000056010000}"/>
    <hyperlink ref="E726" r:id="rId344" xr:uid="{00000000-0004-0000-0200-000057010000}"/>
    <hyperlink ref="E727" r:id="rId345" xr:uid="{00000000-0004-0000-0200-000058010000}"/>
    <hyperlink ref="E729" r:id="rId346" location=":~:text=Inspired%20by%20rogue%2Dlite%20games,set%20of%20attacks%20and%20spells." xr:uid="{00000000-0004-0000-0200-000059010000}"/>
    <hyperlink ref="E730" r:id="rId347" xr:uid="{00000000-0004-0000-0200-00005A010000}"/>
    <hyperlink ref="E731" r:id="rId348" location=":~:text=I%20got%20addicted%20to%20Stardew,simply%20stat%20upgrades%20or%20something)." xr:uid="{00000000-0004-0000-0200-00005B010000}"/>
    <hyperlink ref="E734" r:id="rId349" location=":~:text=What%20they%20said%20about%20it,rewards%20that%20come%20with%20them." xr:uid="{00000000-0004-0000-0200-00005C010000}"/>
    <hyperlink ref="E735" r:id="rId350" xr:uid="{00000000-0004-0000-0200-00005D010000}"/>
    <hyperlink ref="E739" r:id="rId351" xr:uid="{00000000-0004-0000-0200-00005E010000}"/>
    <hyperlink ref="E740" r:id="rId352" location="c6027566653452797874" xr:uid="{00000000-0004-0000-0200-00005F010000}"/>
    <hyperlink ref="E742" r:id="rId353" xr:uid="{00000000-0004-0000-0200-000060010000}"/>
    <hyperlink ref="E747" r:id="rId354" xr:uid="{00000000-0004-0000-0200-000061010000}"/>
    <hyperlink ref="E748" r:id="rId355" location=":~:text=Oh%20and%20did%20I%20mention,insanely%20replayable%20for%20similar%20reasons." xr:uid="{00000000-0004-0000-0200-000062010000}"/>
    <hyperlink ref="E750" r:id="rId356" xr:uid="{00000000-0004-0000-0200-000063010000}"/>
    <hyperlink ref="E751" r:id="rId357" xr:uid="{00000000-0004-0000-0200-000064010000}"/>
    <hyperlink ref="E752" r:id="rId358" xr:uid="{00000000-0004-0000-0200-000065010000}"/>
    <hyperlink ref="E753" r:id="rId359" xr:uid="{00000000-0004-0000-0200-000066010000}"/>
    <hyperlink ref="E755" r:id="rId360" xr:uid="{00000000-0004-0000-0200-000067010000}"/>
    <hyperlink ref="E758" r:id="rId361" xr:uid="{00000000-0004-0000-0200-000068010000}"/>
    <hyperlink ref="E760" r:id="rId362" xr:uid="{00000000-0004-0000-0200-000069010000}"/>
    <hyperlink ref="E761" r:id="rId363" xr:uid="{00000000-0004-0000-0200-00006A010000}"/>
    <hyperlink ref="E763" r:id="rId364" xr:uid="{00000000-0004-0000-0200-00006B010000}"/>
    <hyperlink ref="E768" r:id="rId365" xr:uid="{00000000-0004-0000-0200-00006C010000}"/>
    <hyperlink ref="E769" r:id="rId366" xr:uid="{00000000-0004-0000-0200-00006D010000}"/>
    <hyperlink ref="E771" r:id="rId367" xr:uid="{00000000-0004-0000-0200-00006E010000}"/>
    <hyperlink ref="E776" r:id="rId368" xr:uid="{00000000-0004-0000-0200-00006F010000}"/>
    <hyperlink ref="E780" r:id="rId369" xr:uid="{00000000-0004-0000-0200-000070010000}"/>
    <hyperlink ref="E784" r:id="rId370" location="c3194745319530070972" xr:uid="{00000000-0004-0000-0200-000071010000}"/>
    <hyperlink ref="E786" r:id="rId371" location=":~:text=Dan%20DiIorio%20developed%20Luck%20Be,pondering%20why%20rent%20was%20necessary." xr:uid="{00000000-0004-0000-0200-000072010000}"/>
    <hyperlink ref="E787" r:id="rId372" xr:uid="{00000000-0004-0000-0200-000073010000}"/>
    <hyperlink ref="E789" r:id="rId373" xr:uid="{00000000-0004-0000-0200-000074010000}"/>
    <hyperlink ref="E790" r:id="rId374" xr:uid="{00000000-0004-0000-0200-000075010000}"/>
    <hyperlink ref="E792" r:id="rId375" xr:uid="{00000000-0004-0000-0200-000076010000}"/>
    <hyperlink ref="E796" r:id="rId376" xr:uid="{00000000-0004-0000-0200-000077010000}"/>
    <hyperlink ref="E799" r:id="rId377" xr:uid="{00000000-0004-0000-0200-000078010000}"/>
    <hyperlink ref="E800" r:id="rId378" location=":~:text=As%20design%20of%20the%20game,Bandicoot%20and%20Donkey%20Kong%20Country." xr:uid="{00000000-0004-0000-0200-000079010000}"/>
    <hyperlink ref="E802" r:id="rId379" xr:uid="{00000000-0004-0000-0200-00007A010000}"/>
    <hyperlink ref="E804" r:id="rId380" xr:uid="{00000000-0004-0000-0200-00007B010000}"/>
    <hyperlink ref="E806" r:id="rId381" xr:uid="{00000000-0004-0000-0200-00007C010000}"/>
    <hyperlink ref="E808" r:id="rId382" xr:uid="{00000000-0004-0000-0200-00007D010000}"/>
    <hyperlink ref="E810" r:id="rId383" location="c4335355681661031211" xr:uid="{00000000-0004-0000-0200-00007E010000}"/>
    <hyperlink ref="E812" r:id="rId38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7F010000}"/>
    <hyperlink ref="E815" r:id="rId385" xr:uid="{00000000-0004-0000-0200-000080010000}"/>
    <hyperlink ref="E820" r:id="rId386" xr:uid="{00000000-0004-0000-0200-000081010000}"/>
    <hyperlink ref="E824" r:id="rId387" xr:uid="{00000000-0004-0000-0200-000082010000}"/>
    <hyperlink ref="E825" r:id="rId388" xr:uid="{00000000-0004-0000-0200-000083010000}"/>
    <hyperlink ref="E826" r:id="rId389" location="c3005556719742617866" xr:uid="{00000000-0004-0000-0200-000084010000}"/>
    <hyperlink ref="E828" r:id="rId390" location=":~:text=hotloopgames-,I%20am%20a%20solo%20developer%20working%20on%20The%20Last%20Flame,plays%20as%20an%20auto%2Dbattler." xr:uid="{00000000-0004-0000-0200-000085010000}"/>
    <hyperlink ref="E830" r:id="rId391" xr:uid="{00000000-0004-0000-0200-000086010000}"/>
    <hyperlink ref="E831" r:id="rId392" xr:uid="{00000000-0004-0000-0200-000087010000}"/>
    <hyperlink ref="E834" r:id="rId393" xr:uid="{00000000-0004-0000-0200-000088010000}"/>
    <hyperlink ref="E837" r:id="rId394" xr:uid="{00000000-0004-0000-0200-000089010000}"/>
    <hyperlink ref="E838" r:id="rId395" xr:uid="{00000000-0004-0000-0200-00008A010000}"/>
    <hyperlink ref="E839" r:id="rId396" xr:uid="{00000000-0004-0000-0200-00008B010000}"/>
    <hyperlink ref="E841" r:id="rId397" xr:uid="{00000000-0004-0000-0200-00008C010000}"/>
    <hyperlink ref="E842" r:id="rId398" xr:uid="{00000000-0004-0000-0200-00008D010000}"/>
    <hyperlink ref="E843" r:id="rId399" xr:uid="{00000000-0004-0000-0200-00008E010000}"/>
    <hyperlink ref="E844" r:id="rId400" xr:uid="{00000000-0004-0000-0200-00008F010000}"/>
    <hyperlink ref="E845" r:id="rId401" xr:uid="{00000000-0004-0000-0200-000090010000}"/>
    <hyperlink ref="E848" r:id="rId402" xr:uid="{00000000-0004-0000-0200-000091010000}"/>
    <hyperlink ref="E849" r:id="rId403" xr:uid="{00000000-0004-0000-0200-000092010000}"/>
    <hyperlink ref="E852" r:id="rId404" xr:uid="{00000000-0004-0000-0200-000093010000}"/>
    <hyperlink ref="E855" r:id="rId405" location=":~:text=As%20inspiration%20from%20different%20games,dangerous%20to%20go%20alone%22%20line." xr:uid="{00000000-0004-0000-0200-000094010000}"/>
    <hyperlink ref="E862" r:id="rId406" xr:uid="{00000000-0004-0000-0200-000095010000}"/>
    <hyperlink ref="E864" r:id="rId407" xr:uid="{00000000-0004-0000-0200-000096010000}"/>
    <hyperlink ref="E865" r:id="rId408" xr:uid="{00000000-0004-0000-0200-000097010000}"/>
    <hyperlink ref="E866" r:id="rId409" xr:uid="{00000000-0004-0000-0200-000098010000}"/>
    <hyperlink ref="E867" r:id="rId410" xr:uid="{00000000-0004-0000-0200-000099010000}"/>
    <hyperlink ref="E869" r:id="rId411" location=":~:text=Much%20of%20the%20game%20was,similar%20gameplay%20would%20be%20like." xr:uid="{00000000-0004-0000-0200-00009A010000}"/>
    <hyperlink ref="E870" r:id="rId412" location=":~:text=A%20big%20of%20Rogue%20Legacy%2C%20Spelunky%2C%20Hades.,kinda%20got%20inspiration%20from%20all%20of%20them." xr:uid="{00000000-0004-0000-0200-00009B010000}"/>
    <hyperlink ref="E876" r:id="rId413" xr:uid="{00000000-0004-0000-0200-00009C010000}"/>
    <hyperlink ref="E877" r:id="rId414" xr:uid="{00000000-0004-0000-0200-00009D010000}"/>
    <hyperlink ref="E878" r:id="rId415" xr:uid="{00000000-0004-0000-0200-00009E010000}"/>
    <hyperlink ref="E879" r:id="rId416" xr:uid="{00000000-0004-0000-0200-00009F010000}"/>
    <hyperlink ref="E880" r:id="rId417" xr:uid="{00000000-0004-0000-0200-0000A0010000}"/>
    <hyperlink ref="E883" r:id="rId418" location=":~:text=The%20game%20was%20developed%20by,development%2C%20including%20an%20experience%20system." xr:uid="{00000000-0004-0000-0200-0000A1010000}"/>
    <hyperlink ref="E884" r:id="rId419" xr:uid="{00000000-0004-0000-0200-0000A2010000}"/>
    <hyperlink ref="E887" r:id="rId420" xr:uid="{00000000-0004-0000-0200-0000A3010000}"/>
    <hyperlink ref="E888" r:id="rId421" xr:uid="{00000000-0004-0000-0200-0000A4010000}"/>
    <hyperlink ref="E889" r:id="rId422" location=":~:text=Lead%20designer%20Matt%20Dabrowski%20credited,inspirations%20for%20Streets%20of%20Rogue." xr:uid="{00000000-0004-0000-0200-0000A5010000}"/>
    <hyperlink ref="E890" r:id="rId423" xr:uid="{00000000-0004-0000-0200-0000A6010000}"/>
    <hyperlink ref="E893" r:id="rId424" xr:uid="{00000000-0004-0000-0200-0000A7010000}"/>
    <hyperlink ref="E896" r:id="rId425" xr:uid="{00000000-0004-0000-0200-0000A8010000}"/>
    <hyperlink ref="E903" r:id="rId426" xr:uid="{00000000-0004-0000-0200-0000A9010000}"/>
    <hyperlink ref="E906" r:id="rId427" xr:uid="{00000000-0004-0000-0200-0000AA010000}"/>
    <hyperlink ref="E911" r:id="rId428" xr:uid="{00000000-0004-0000-0200-0000AB010000}"/>
    <hyperlink ref="E918" r:id="rId429" xr:uid="{00000000-0004-0000-0200-0000AC010000}"/>
    <hyperlink ref="E921" r:id="rId430" xr:uid="{00000000-0004-0000-0200-0000AD010000}"/>
    <hyperlink ref="E922" r:id="rId431" xr:uid="{00000000-0004-0000-0200-0000AE010000}"/>
    <hyperlink ref="E923" r:id="rId432" xr:uid="{00000000-0004-0000-0200-0000AF010000}"/>
    <hyperlink ref="E925" r:id="rId433" xr:uid="{00000000-0004-0000-0200-0000B0010000}"/>
    <hyperlink ref="E926" r:id="rId434" xr:uid="{00000000-0004-0000-0200-0000B1010000}"/>
    <hyperlink ref="E927" r:id="rId435" xr:uid="{00000000-0004-0000-0200-0000B2010000}"/>
    <hyperlink ref="E929" r:id="rId436" xr:uid="{00000000-0004-0000-0200-0000B3010000}"/>
    <hyperlink ref="E930" r:id="rId437" xr:uid="{00000000-0004-0000-0200-0000B4010000}"/>
    <hyperlink ref="E931" r:id="rId438" xr:uid="{00000000-0004-0000-0200-0000B5010000}"/>
    <hyperlink ref="E932" r:id="rId439" location=":~:text=I%20left%20my%20old%20job,as%20The%20Binding%20of%20Isaac." xr:uid="{00000000-0004-0000-0200-0000B6010000}"/>
    <hyperlink ref="E934" r:id="rId440" xr:uid="{00000000-0004-0000-0200-0000B7010000}"/>
    <hyperlink ref="E936" r:id="rId441" xr:uid="{00000000-0004-0000-0200-0000B8010000}"/>
    <hyperlink ref="E937" r:id="rId442" xr:uid="{00000000-0004-0000-0200-0000B9010000}"/>
    <hyperlink ref="E939" r:id="rId443" xr:uid="{00000000-0004-0000-0200-0000BA010000}"/>
    <hyperlink ref="E940" r:id="rId444" xr:uid="{00000000-0004-0000-0200-0000BB010000}"/>
    <hyperlink ref="E943" r:id="rId445" xr:uid="{00000000-0004-0000-0200-0000BC010000}"/>
    <hyperlink ref="E953" r:id="rId446" xr:uid="{00000000-0004-0000-0200-0000BD010000}"/>
    <hyperlink ref="E954" r:id="rId447" xr:uid="{00000000-0004-0000-0200-0000BE010000}"/>
    <hyperlink ref="E957" r:id="rId448" xr:uid="{00000000-0004-0000-0200-0000BF010000}"/>
    <hyperlink ref="E958" r:id="rId449" xr:uid="{00000000-0004-0000-0200-0000C0010000}"/>
    <hyperlink ref="E960" r:id="rId450" xr:uid="{00000000-0004-0000-0200-0000C1010000}"/>
    <hyperlink ref="E961" r:id="rId451" xr:uid="{00000000-0004-0000-0200-0000C2010000}"/>
    <hyperlink ref="E963" r:id="rId452" xr:uid="{00000000-0004-0000-0200-0000C3010000}"/>
    <hyperlink ref="E964" r:id="rId453" xr:uid="{00000000-0004-0000-0200-0000C4010000}"/>
    <hyperlink ref="E966" r:id="rId454" xr:uid="{00000000-0004-0000-0200-0000C5010000}"/>
    <hyperlink ref="E967" r:id="rId455" xr:uid="{00000000-0004-0000-0200-0000C6010000}"/>
    <hyperlink ref="E969" r:id="rId456" xr:uid="{00000000-0004-0000-0200-0000C7010000}"/>
    <hyperlink ref="E970" r:id="rId457" xr:uid="{00000000-0004-0000-0200-0000C8010000}"/>
    <hyperlink ref="E971" r:id="rId458" xr:uid="{00000000-0004-0000-0200-0000C9010000}"/>
    <hyperlink ref="E974" r:id="rId459" location=":~:text=The%20game%20was%20developed%20by,development%2C%20including%20an%20experience%20system." xr:uid="{00000000-0004-0000-0200-0000CA010000}"/>
    <hyperlink ref="E977" r:id="rId460" xr:uid="{00000000-0004-0000-0200-0000CB010000}"/>
    <hyperlink ref="E978" r:id="rId461" xr:uid="{00000000-0004-0000-0200-0000CC010000}"/>
    <hyperlink ref="E979" r:id="rId462" xr:uid="{00000000-0004-0000-0200-0000CD010000}"/>
    <hyperlink ref="E981" r:id="rId463" xr:uid="{00000000-0004-0000-0200-0000CE010000}"/>
    <hyperlink ref="E987" r:id="rId464" xr:uid="{00000000-0004-0000-0200-0000CF010000}"/>
    <hyperlink ref="E988" r:id="rId465" xr:uid="{00000000-0004-0000-0200-0000D0010000}"/>
    <hyperlink ref="E990" r:id="rId466" xr:uid="{00000000-0004-0000-0200-0000D1010000}"/>
    <hyperlink ref="E991" r:id="rId467" xr:uid="{00000000-0004-0000-0200-0000D2010000}"/>
    <hyperlink ref="E994" r:id="rId468" xr:uid="{00000000-0004-0000-0200-0000D3010000}"/>
    <hyperlink ref="E995" r:id="rId469" xr:uid="{00000000-0004-0000-0200-0000D4010000}"/>
    <hyperlink ref="E996" r:id="rId470" xr:uid="{00000000-0004-0000-0200-0000D5010000}"/>
    <hyperlink ref="E998" r:id="rId471" xr:uid="{00000000-0004-0000-0200-0000D6010000}"/>
    <hyperlink ref="E1003" r:id="rId472" location="cite_note-GuideInterview-40" xr:uid="{00000000-0004-0000-0200-0000D7010000}"/>
    <hyperlink ref="E1004" r:id="rId473" xr:uid="{00000000-0004-0000-0200-0000D8010000}"/>
    <hyperlink ref="E1005" r:id="rId474" xr:uid="{00000000-0004-0000-0200-0000D9010000}"/>
    <hyperlink ref="E1011" r:id="rId475" location=":~:text=House%20of%20Necrosis%20is%20a,Linux)%20and%20the%20Steam%20Deck" xr:uid="{00000000-0004-0000-0200-0000DA010000}"/>
    <hyperlink ref="E1013" r:id="rId476" xr:uid="{00000000-0004-0000-0200-0000DB010000}"/>
    <hyperlink ref="E1015" r:id="rId477" xr:uid="{00000000-0004-0000-0200-0000DC010000}"/>
    <hyperlink ref="E1016" r:id="rId478" xr:uid="{00000000-0004-0000-0200-0000DD010000}"/>
    <hyperlink ref="E1023" r:id="rId479" xr:uid="{00000000-0004-0000-0200-0000DE010000}"/>
    <hyperlink ref="E1030" r:id="rId480" xr:uid="{00000000-0004-0000-0200-0000DF010000}"/>
    <hyperlink ref="E1036" r:id="rId481" location=":~:text=I%20was%20right%20because%20Ball,search%20of%20treasure%20and%20resources.&amp;text=If%20playback%20doesn't%20begin%20shortly%2C%20try%20restarting%20your%20device." xr:uid="{00000000-0004-0000-0200-0000E0010000}"/>
    <hyperlink ref="E1037" r:id="rId482" xr:uid="{00000000-0004-0000-0200-0000E1010000}"/>
    <hyperlink ref="E1051" r:id="rId483" xr:uid="{00000000-0004-0000-0200-0000E2010000}"/>
    <hyperlink ref="E1056" r:id="rId484" xr:uid="{00000000-0004-0000-0200-0000E3010000}"/>
    <hyperlink ref="E1059" r:id="rId485" xr:uid="{00000000-0004-0000-0200-0000E4010000}"/>
    <hyperlink ref="E1067" r:id="rId486" xr:uid="{00000000-0004-0000-0200-0000E5010000}"/>
    <hyperlink ref="E1076" r:id="rId487" xr:uid="{00000000-0004-0000-0200-0000E6010000}"/>
    <hyperlink ref="E1086" r:id="rId488" xr:uid="{00000000-0004-0000-0200-0000E7010000}"/>
    <hyperlink ref="E1099" r:id="rId489" xr:uid="{00000000-0004-0000-0200-0000E8010000}"/>
    <hyperlink ref="E1100" r:id="rId490" xr:uid="{00000000-0004-0000-0200-0000E9010000}"/>
    <hyperlink ref="E1102" r:id="rId491" xr:uid="{00000000-0004-0000-0200-0000EA010000}"/>
    <hyperlink ref="E1113" r:id="rId492" location=":~:text=Runs%20in%20Whisker%20Squadron:%20Survivor,to%20engage%20the%20boost%20thrusters." xr:uid="{00000000-0004-0000-0200-0000EB010000}"/>
    <hyperlink ref="E1123" r:id="rId493" xr:uid="{00000000-0004-0000-0200-0000EC010000}"/>
    <hyperlink ref="E1124" r:id="rId494" xr:uid="{00000000-0004-0000-0200-0000ED010000}"/>
    <hyperlink ref="E1125" r:id="rId495" xr:uid="{00000000-0004-0000-0200-0000EE010000}"/>
    <hyperlink ref="E1130" r:id="rId496" xr:uid="{00000000-0004-0000-0200-0000EF010000}"/>
    <hyperlink ref="E1131" r:id="rId497" xr:uid="{00000000-0004-0000-0200-0000F0010000}"/>
    <hyperlink ref="E1132" r:id="rId498" location=":~:text=Vellum's%20Inspirations,chapter%20of%20the%20original%20series." xr:uid="{00000000-0004-0000-0200-0000F1010000}"/>
    <hyperlink ref="E997" r:id="rId499" xr:uid="{00000000-0004-0000-0200-0000F2010000}"/>
    <hyperlink ref="E75" r:id="rId500" xr:uid="{00000000-0004-0000-0200-0000F3010000}"/>
    <hyperlink ref="E100" r:id="rId501" xr:uid="{609646AA-E4EA-4577-91C2-0A723209DDC2}"/>
    <hyperlink ref="E88" r:id="rId502" xr:uid="{443BFF9C-CA64-4CF1-A899-BEC2807944A9}"/>
    <hyperlink ref="E813" r:id="rId503" xr:uid="{3B9149A7-3351-4877-B66F-D17DB441EA3C}"/>
    <hyperlink ref="E1018" r:id="rId504" xr:uid="{69D8DA5A-59E5-41B3-B66B-1594E0BBF92D}"/>
    <hyperlink ref="E542" r:id="rId505" xr:uid="{C7C5E2BF-0409-4ADC-A6AB-A21210E3F1EE}"/>
    <hyperlink ref="E1039" r:id="rId506" xr:uid="{5E6BE9A4-8D01-4A5B-B4FB-1FF5DBB2ABDC}"/>
    <hyperlink ref="E400" r:id="rId507" xr:uid="{33370B8C-6B3F-421B-A89F-6A65C0E9B0A1}"/>
    <hyperlink ref="E736" r:id="rId508" xr:uid="{621164AA-88FD-4806-B23D-EC2DCF5D747D}"/>
    <hyperlink ref="E62" r:id="rId509" xr:uid="{FF8A2D2D-3023-455F-A755-0A1BE5256206}"/>
    <hyperlink ref="E452" r:id="rId510" xr:uid="{B3F9634A-7A9F-47A1-AD2F-9D6ADA0F00D1}"/>
    <hyperlink ref="E121" r:id="rId511" xr:uid="{B38E5515-C409-41D8-AB6C-B3E3AFE5A173}"/>
    <hyperlink ref="E745" r:id="rId512" xr:uid="{570897E2-7C84-4BC1-8E94-33A8B22FBA16}"/>
    <hyperlink ref="E162" r:id="rId513" xr:uid="{C29F2C30-110E-4EEE-AE41-0736E7B95F89}"/>
    <hyperlink ref="E938" r:id="rId514" xr:uid="{3445EA44-7C0B-4A99-99FE-45E5864226CB}"/>
    <hyperlink ref="E499" r:id="rId515" xr:uid="{E98D0577-4B5F-48DB-806A-A427D2EA8AB8}"/>
    <hyperlink ref="E614" r:id="rId516" xr:uid="{0EC180C1-D475-48C4-A466-520CF1008AA1}"/>
    <hyperlink ref="E189" r:id="rId517" xr:uid="{DFBE4E74-7210-4BAE-B2B9-AA2D51E7E7B9}"/>
    <hyperlink ref="E465" r:id="rId518" xr:uid="{106E7F9B-7981-420E-9834-EC9A4FCB7AC2}"/>
    <hyperlink ref="E417" r:id="rId519" xr:uid="{DABE8332-B3EE-4678-8699-69B27D05FBCB}"/>
    <hyperlink ref="E1062" r:id="rId520" xr:uid="{24EB79D2-FA82-44E4-B75F-A7C6ABD23676}"/>
    <hyperlink ref="E441" r:id="rId521" xr:uid="{BD0D3501-7CB2-48E6-B9DB-A05B014C2515}"/>
    <hyperlink ref="E775" r:id="rId522" xr:uid="{BEA29A84-7287-4F9D-BE8F-EC2AE6B470B4}"/>
    <hyperlink ref="E1045" r:id="rId523" xr:uid="{294FA4F5-B10F-4432-A58A-D4E849C08622}"/>
    <hyperlink ref="E154" r:id="rId524" xr:uid="{FA91D3EE-83DA-4C07-A64D-4387A186BF8E}"/>
    <hyperlink ref="E716" r:id="rId525" xr:uid="{BEAC5B9B-DBA3-4DF7-8A15-A85C6D1A7DDB}"/>
    <hyperlink ref="E743" r:id="rId526" xr:uid="{35DF8A1C-9922-471E-A4EE-EF58E151C1D0}"/>
    <hyperlink ref="E1104" r:id="rId527" xr:uid="{6C3FC4DC-80F5-44C7-9BE6-E3D866EDA917}"/>
    <hyperlink ref="E660" r:id="rId528" xr:uid="{C1E91353-C305-42D6-A655-C6CF6B3519CB}"/>
    <hyperlink ref="E128" r:id="rId529" xr:uid="{0BA6C0CE-9134-477D-BD85-8D6AC3257474}"/>
    <hyperlink ref="E632" r:id="rId530" xr:uid="{BE07D573-910B-46FA-B99B-C15BC566998D}"/>
    <hyperlink ref="E448" r:id="rId531" xr:uid="{CBA7358A-C9AD-4C98-9504-4C2F67BA0A6C}"/>
    <hyperlink ref="E157" r:id="rId532" xr:uid="{9A1DA88E-3CB9-4A9C-9776-4F70ABE3EDBD}"/>
    <hyperlink ref="E675" r:id="rId533" xr:uid="{131962C7-65D8-46DC-9E4C-988D642E9E7C}"/>
    <hyperlink ref="E559" r:id="rId534" xr:uid="{98FAD5F9-B257-4B4F-8BE9-E32DB4CCCD58}"/>
    <hyperlink ref="E15" r:id="rId535" xr:uid="{323EA5BF-2920-4692-8D79-270307BB64AB}"/>
    <hyperlink ref="E20" r:id="rId536" xr:uid="{D2E7E8B7-7A19-40F7-B4D1-5E20113B0841}"/>
    <hyperlink ref="E486" r:id="rId537" xr:uid="{8CA977EE-D0E0-478C-BF03-910F369DA779}"/>
    <hyperlink ref="E535" r:id="rId538" xr:uid="{C3AD23FB-AE5D-4C7D-99C6-CD8669F18A87}"/>
    <hyperlink ref="E35" r:id="rId539" xr:uid="{94BB6638-A408-4B64-A277-30441D2A6594}"/>
    <hyperlink ref="E551" r:id="rId540" xr:uid="{F74F9CF2-412C-494D-A207-557391967929}"/>
    <hyperlink ref="E534" r:id="rId541" xr:uid="{A41E82E8-8E2B-4630-8B2E-453093E08273}"/>
    <hyperlink ref="E29" r:id="rId542" xr:uid="{F3F7EF74-5FD2-4985-A7A0-D28D069D7893}"/>
    <hyperlink ref="E233" r:id="rId543" xr:uid="{B3FD9DC8-D5BD-4A69-B345-6AB2C3BB2BC9}"/>
    <hyperlink ref="E235" r:id="rId544" xr:uid="{51CBD81D-17A9-4712-8115-00F1251D74ED}"/>
    <hyperlink ref="E229" r:id="rId545" xr:uid="{9DF4F6E0-60D7-4C49-B245-9F6E956DA616}"/>
    <hyperlink ref="E231" r:id="rId546" xr:uid="{80CE6CC7-C3D5-4A3C-82F1-6596D99F8221}"/>
    <hyperlink ref="E226" r:id="rId547" xr:uid="{CC6B6B80-9E99-4139-9232-5EE10AF5C430}"/>
    <hyperlink ref="E1049" r:id="rId548" xr:uid="{82C3DD5B-A6FD-4FDE-AF21-1A6C98E7D0E1}"/>
    <hyperlink ref="E232" r:id="rId549" xr:uid="{C02D3586-10D3-45B0-BA29-99B6D981BBFB}"/>
    <hyperlink ref="E631" r:id="rId550" xr:uid="{0D2FCD2D-A0E4-42F9-BD61-9E240731CE45}"/>
    <hyperlink ref="E224" r:id="rId551" location="c353915309337431749" xr:uid="{E8B251DF-439F-4401-8122-5EAA71500FBB}"/>
    <hyperlink ref="E898" r:id="rId552" xr:uid="{BFDA0F27-F83A-4BFC-BC80-C3B1C3C79373}"/>
    <hyperlink ref="E228" r:id="rId553" xr:uid="{7FCBE51E-3E2F-4D47-83AA-9E0948C99365}"/>
    <hyperlink ref="E112" r:id="rId554" xr:uid="{9480AC38-CB13-4C3D-9BE9-C7B79B305797}"/>
    <hyperlink ref="E227" r:id="rId555" xr:uid="{6955821B-6240-4DB6-8CFC-C6A0D5DCCA69}"/>
    <hyperlink ref="E916" r:id="rId556" xr:uid="{DF30810B-2C48-4E5D-AAE9-9F23183E02AB}"/>
    <hyperlink ref="E30" r:id="rId557" xr:uid="{7EA27834-68F2-4ECA-9024-58BD3980BC99}"/>
    <hyperlink ref="E11" r:id="rId558" xr:uid="{D81182FD-DA94-4922-9F71-07447A457DA0}"/>
    <hyperlink ref="E302" r:id="rId559" xr:uid="{05E15A12-990C-46AE-BAD7-30018AD1FC66}"/>
    <hyperlink ref="E292" r:id="rId560" xr:uid="{C3E0BA04-EBF6-495E-9F38-D91638FEEC7D}"/>
    <hyperlink ref="E254" r:id="rId561" xr:uid="{B7EE6490-16E2-4046-81B7-FE2746D97CE7}"/>
    <hyperlink ref="E920" r:id="rId562" xr:uid="{445A5207-452F-4BA9-935E-340589216217}"/>
    <hyperlink ref="E570" r:id="rId563" xr:uid="{537F768B-BDA7-4C91-9069-322460924101}"/>
    <hyperlink ref="E234" r:id="rId564" xr:uid="{940DCAF8-D44A-45D8-9B8C-501B221E4259}"/>
    <hyperlink ref="E282" r:id="rId565" xr:uid="{C37F0215-0A9F-43EC-B02E-5CEFF4C65D5D}"/>
    <hyperlink ref="E230" r:id="rId566" xr:uid="{2F3226D3-2909-40C1-A9F5-057949FD3037}"/>
    <hyperlink ref="E556" r:id="rId567" xr:uid="{044B71DE-A74E-4ADD-818D-521DA3AF3BEA}"/>
    <hyperlink ref="E13" r:id="rId568" xr:uid="{4C3C37CE-AE31-465E-98AD-244ADAD56B00}"/>
    <hyperlink ref="E485" r:id="rId569" xr:uid="{ECBA8D11-2CC0-4B23-B220-EF9DB351FBAF}"/>
    <hyperlink ref="E255" r:id="rId570" xr:uid="{D6011DB4-B579-442A-8FA2-07910C707592}"/>
    <hyperlink ref="E27" r:id="rId571" xr:uid="{C530B08D-B90B-42A9-9634-72B69EB853C5}"/>
    <hyperlink ref="E225" r:id="rId572" xr:uid="{2B87BE08-679D-4884-BDB5-49A73260B1A4}"/>
    <hyperlink ref="E915" r:id="rId573" xr:uid="{9CD71118-1AC5-41E2-AA70-F007E3B86965}"/>
    <hyperlink ref="E252" r:id="rId574" xr:uid="{ACC4B6B6-1C0C-46B6-A89F-28763FFD9032}"/>
    <hyperlink ref="E117" r:id="rId575" location="c494631967651765393" xr:uid="{FFAFA921-FFDA-4EC3-8381-1D2662D06427}"/>
    <hyperlink ref="E259" r:id="rId576" location="c494631967651765393" xr:uid="{7C40BF72-DDFB-4073-B685-1D2697903184}"/>
    <hyperlink ref="E682" r:id="rId577" xr:uid="{C499D71B-126A-46B4-AA82-51BF5C1AB103}"/>
    <hyperlink ref="E882" r:id="rId578" xr:uid="{459FBB74-CB1B-41F5-8DEA-B4DEC1510C3D}"/>
    <hyperlink ref="E138" r:id="rId579" xr:uid="{7BAB2111-9016-4AA3-A405-FA0E383AD631}"/>
    <hyperlink ref="E93" r:id="rId580" xr:uid="{08F5E274-0637-46FA-8FF2-23B52734A86F}"/>
    <hyperlink ref="E289" r:id="rId581" xr:uid="{10A0FEA1-EE26-478B-9801-3505CDCBAE5D}"/>
    <hyperlink ref="E913" r:id="rId582" xr:uid="{2FCFA297-B90A-4541-8265-0AD9DBDE5DBF}"/>
    <hyperlink ref="E362" r:id="rId583" xr:uid="{AD317069-A1E2-4F9E-B8A0-661C7EB1A350}"/>
    <hyperlink ref="E1021" r:id="rId584" xr:uid="{FB6BBA88-0321-4A0C-859C-03A54411B528}"/>
    <hyperlink ref="E951" r:id="rId585" location="c846961716375428005" xr:uid="{EF43E040-CEE7-4773-984A-3D4F7D807E7B}"/>
    <hyperlink ref="E488" r:id="rId586" xr:uid="{1D98C7F9-B335-4251-B9B0-F311AB3AD31E}"/>
    <hyperlink ref="E814" r:id="rId587" xr:uid="{AAF67C58-C882-4213-912E-6151B78B6F71}"/>
    <hyperlink ref="E972" r:id="rId588" xr:uid="{024B37BF-DEED-4C7C-92FB-7DCA85DC1152}"/>
    <hyperlink ref="E1000" r:id="rId589" xr:uid="{1DF1A61E-EFD4-4C37-8C4D-7B1E489D1FCB}"/>
    <hyperlink ref="E10" r:id="rId590" xr:uid="{1AFD452B-DC12-459D-8824-64D333B898B8}"/>
    <hyperlink ref="E28" r:id="rId591" xr:uid="{220C2283-A207-43C0-B239-D84EBCDA0EA2}"/>
    <hyperlink ref="E336" r:id="rId592" xr:uid="{5C44D23A-87FA-44FF-88D5-CBFB1D6A426B}"/>
    <hyperlink ref="E177" r:id="rId593" location="c352788917764129482" xr:uid="{7BD2FA12-0ED5-4E15-A549-38590F1E7BF7}"/>
    <hyperlink ref="E1129" r:id="rId594" xr:uid="{7CD1DB92-59F8-4DDC-92C1-1C43C15EEA53}"/>
    <hyperlink ref="E605" r:id="rId595" xr:uid="{ABD9A2C3-0067-4E7E-BF34-CAB0B584BE81}"/>
    <hyperlink ref="E22" r:id="rId596" xr:uid="{F1269E35-FAB9-4712-9756-745B3867CA2B}"/>
    <hyperlink ref="E892" r:id="rId597" xr:uid="{24B6FD80-975E-4B74-BE28-D318E017C1AB}"/>
    <hyperlink ref="E989" r:id="rId598" xr:uid="{0BA07849-1614-4E37-941E-990BD7710791}"/>
    <hyperlink ref="E270" r:id="rId599" xr:uid="{1AA2DE00-07BC-4ECF-99A0-EBC6241A7CD3}"/>
    <hyperlink ref="E301" r:id="rId600" xr:uid="{54325505-4190-4438-B699-C6887336230B}"/>
    <hyperlink ref="E1048" r:id="rId601" location="c562532756309107833" xr:uid="{787922CB-1951-407D-B086-48A9E7FEDDE7}"/>
    <hyperlink ref="E636" r:id="rId602" xr:uid="{B4CCD70A-24F5-4EE3-B21F-CF1336B02313}"/>
    <hyperlink ref="E770" r:id="rId603" xr:uid="{6BE32786-7742-422C-9499-4619B9527F0D}"/>
    <hyperlink ref="E347" r:id="rId604" xr:uid="{D3BFF15A-A680-4123-A319-8F3983109BE3}"/>
    <hyperlink ref="E1135" r:id="rId605" xr:uid="{1C4CABEC-60B0-44A0-9B55-853BE766FE93}"/>
    <hyperlink ref="E1136" r:id="rId606" xr:uid="{C985C385-A7FB-44E2-8E8C-97D6E6F449FB}"/>
    <hyperlink ref="E1137" r:id="rId607" xr:uid="{7AF523AF-E67D-4AE3-90F3-ECDCA2F3A37B}"/>
    <hyperlink ref="E1138" r:id="rId608" xr:uid="{DA6D6519-F5B8-42A5-8503-26E8195C2E2E}"/>
    <hyperlink ref="E1139" r:id="rId609" xr:uid="{99DE28C8-2FCF-4A76-B527-BDCD1CA3DB80}"/>
    <hyperlink ref="E1140" r:id="rId610" xr:uid="{15DF2D22-72B2-4349-818A-A26F7E6C847E}"/>
    <hyperlink ref="E1141" r:id="rId611" xr:uid="{6D7D65D1-E0BB-4011-B379-5C43A2BC3766}"/>
    <hyperlink ref="E1142" r:id="rId612" xr:uid="{F45A771F-A7E6-41FB-9FAC-8239639F9358}"/>
    <hyperlink ref="E1143" r:id="rId613" xr:uid="{CFA55A04-05AE-43BF-9D8A-95FC9ABE3C3C}"/>
    <hyperlink ref="E1144" r:id="rId614" xr:uid="{1E1A50AA-1A3C-4155-A21B-DB094B33EBDC}"/>
    <hyperlink ref="E1145" r:id="rId615" xr:uid="{CF2968E0-845F-46E0-84C6-6B7CCA99BF2A}"/>
    <hyperlink ref="E1146" r:id="rId616" xr:uid="{1FB7ECF5-6033-4824-B36A-73A0321FCAB1}"/>
    <hyperlink ref="E1147" r:id="rId617" xr:uid="{31DA716C-DE2A-4409-900E-9F76424DA007}"/>
    <hyperlink ref="E1148" r:id="rId618" xr:uid="{59F337BA-05BA-43E1-A290-44AB11FBD5C0}"/>
    <hyperlink ref="E1149" r:id="rId619" xr:uid="{F930464E-4507-4125-84B2-75692F81E90A}"/>
    <hyperlink ref="E1150" r:id="rId620" xr:uid="{E0B34B49-5169-4800-BFEA-A774C6579CB4}"/>
    <hyperlink ref="E1151" r:id="rId621" xr:uid="{12280081-C7CE-42A5-B1C5-9F24475003C0}"/>
    <hyperlink ref="E1152" r:id="rId622" xr:uid="{7261313D-5AF4-4F29-92C6-C4A6DD77F577}"/>
    <hyperlink ref="E1153" r:id="rId623" xr:uid="{50AACFA4-08FD-4CD4-8D38-5D77C02A3CFC}"/>
    <hyperlink ref="E1154" r:id="rId624" xr:uid="{22A5828A-4BA7-4949-BE57-FC36787289B4}"/>
    <hyperlink ref="E1155" r:id="rId625" xr:uid="{1CCA97B5-781A-47A8-86D1-63937BF99CA2}"/>
    <hyperlink ref="E1156" r:id="rId626" xr:uid="{278B3007-1B63-43F7-9259-5FD5276ECE22}"/>
    <hyperlink ref="E1157" r:id="rId627" xr:uid="{D2A699E8-CE17-46FC-A71A-98B92DA7096E}"/>
    <hyperlink ref="E1158" r:id="rId628" xr:uid="{E4C6ED69-B804-43F1-A9D3-FEC9F9AE0AB8}"/>
    <hyperlink ref="E1159" r:id="rId629" xr:uid="{25F3F110-CCFF-401E-B711-7AA91C5CA99A}"/>
    <hyperlink ref="E1160" r:id="rId630" xr:uid="{9F8D164E-2A28-45A0-9D35-C2A1B965C16C}"/>
    <hyperlink ref="E1161" r:id="rId631" xr:uid="{15CE4826-E2B3-4BDD-B8C6-A1EA5BA7D7B6}"/>
    <hyperlink ref="E1163" r:id="rId632" xr:uid="{5ACFD28C-4910-4AF7-8AC1-4EB28362B74D}"/>
    <hyperlink ref="E1164" r:id="rId633" xr:uid="{8E460E67-E44A-4993-82B5-178C01C7898D}"/>
    <hyperlink ref="E1165" r:id="rId634" xr:uid="{7D5034FF-E9C7-4F7E-B2BA-29877DD5FE28}"/>
    <hyperlink ref="E1166" r:id="rId635" xr:uid="{1A73621F-CAD5-475D-A48C-52046EEC40FB}"/>
    <hyperlink ref="E1167" r:id="rId636" xr:uid="{2110D2B8-F8A4-44E0-9E26-DE931C30D156}"/>
    <hyperlink ref="E1168" r:id="rId637" xr:uid="{13182C86-CE9E-4F65-9BE4-BB4EECC172D3}"/>
    <hyperlink ref="E1169" r:id="rId638" xr:uid="{3C4A5A2C-1108-4CEC-871E-FD594622BCEA}"/>
    <hyperlink ref="E1170" r:id="rId639" xr:uid="{37FA2B49-A635-4D21-8995-6471E47B8590}"/>
    <hyperlink ref="E1171" r:id="rId640" xr:uid="{1F3548A9-28E8-42BD-A64E-25268AF6570C}"/>
    <hyperlink ref="E1172" r:id="rId641" xr:uid="{0A993EC2-96A6-43BD-8A2F-4815DF709AD1}"/>
    <hyperlink ref="E1173" r:id="rId642" xr:uid="{0D9DDD7E-C95A-4562-83CA-2F7B35A3719D}"/>
    <hyperlink ref="E1174" r:id="rId643" xr:uid="{5DEA4767-F5BF-422D-B44C-3F88C0A21597}"/>
    <hyperlink ref="E1175" r:id="rId644" xr:uid="{72A74995-C7D8-442D-8CDD-D1895328746C}"/>
    <hyperlink ref="E1176" r:id="rId645" xr:uid="{DC3AEE3A-4CAE-4E74-8479-59CA1037190C}"/>
    <hyperlink ref="E1177" r:id="rId646" xr:uid="{15F04804-E3E7-4545-8F06-C69298F24FE3}"/>
    <hyperlink ref="E1178" r:id="rId647" xr:uid="{D4406E14-20FB-434C-AAA3-8C72DD45D516}"/>
    <hyperlink ref="E1179" r:id="rId648" xr:uid="{E12F2163-0EA9-48BE-9328-D9FF548F5426}"/>
    <hyperlink ref="E1180" r:id="rId649" xr:uid="{698EF0D1-4527-410C-8305-A3C17F551FC3}"/>
    <hyperlink ref="E1182" r:id="rId650" xr:uid="{56A6093F-5A7D-44C4-AE72-CA8F40D192B9}"/>
    <hyperlink ref="E1183" r:id="rId651" xr:uid="{E4FCA2C2-AAD8-4ECF-9BC0-8F87F6E6A219}"/>
    <hyperlink ref="E1184" r:id="rId652" xr:uid="{821AF2A8-2222-4049-83D6-12EA5909C53E}"/>
    <hyperlink ref="E1185" r:id="rId653" xr:uid="{F6952DBA-AD65-4295-BE69-662205569A22}"/>
    <hyperlink ref="E1186" r:id="rId654" xr:uid="{773A54E3-0699-4215-8D90-5FDA98EFDFA5}"/>
    <hyperlink ref="E1187" r:id="rId655" location="c592882772895432824" xr:uid="{B6216276-132A-4354-A4D2-D5DB5BAAF9B8}"/>
    <hyperlink ref="E1188" r:id="rId656" location="c592882772895432824" xr:uid="{256752C0-A132-49C9-B3C9-658ADA31C180}"/>
  </hyperlinks>
  <pageMargins left="0.7" right="0.7" top="0.75" bottom="0.75" header="0.511811023622047" footer="0.511811023622047"/>
  <pageSetup orientation="portrait" horizontalDpi="300" verticalDpi="300"/>
  <tableParts count="1">
    <tablePart r:id="rId65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12"/>
  <sheetViews>
    <sheetView workbookViewId="0">
      <selection activeCell="B13" sqref="B13"/>
    </sheetView>
  </sheetViews>
  <sheetFormatPr defaultRowHeight="15" x14ac:dyDescent="0.25"/>
  <cols>
    <col min="1" max="1" width="16.85546875" bestFit="1" customWidth="1"/>
    <col min="2" max="2" width="29.140625" bestFit="1" customWidth="1"/>
    <col min="4" max="4" width="7.42578125" bestFit="1" customWidth="1"/>
    <col min="5" max="5" width="7.5703125" bestFit="1" customWidth="1"/>
    <col min="6" max="6" width="7.5703125" customWidth="1"/>
    <col min="7" max="7" width="12.7109375" bestFit="1" customWidth="1"/>
    <col min="8" max="8" width="11.42578125" bestFit="1" customWidth="1"/>
    <col min="9" max="9" width="9.28515625" bestFit="1" customWidth="1"/>
    <col min="10" max="10" width="7.42578125" bestFit="1" customWidth="1"/>
    <col min="11" max="11" width="10.5703125" bestFit="1" customWidth="1"/>
    <col min="12" max="12" width="41.5703125" bestFit="1" customWidth="1"/>
    <col min="13" max="13" width="40.140625" bestFit="1" customWidth="1"/>
    <col min="14" max="14" width="115.5703125" customWidth="1"/>
    <col min="15" max="15" width="14" customWidth="1"/>
    <col min="16" max="16" width="16.42578125" bestFit="1" customWidth="1"/>
  </cols>
  <sheetData>
    <row r="1" spans="1:16" x14ac:dyDescent="0.25">
      <c r="A1" t="s">
        <v>52</v>
      </c>
      <c r="B1" t="s">
        <v>9</v>
      </c>
      <c r="C1" t="s">
        <v>2889</v>
      </c>
      <c r="D1" t="s">
        <v>2890</v>
      </c>
      <c r="E1" t="s">
        <v>2891</v>
      </c>
      <c r="F1" t="s">
        <v>2892</v>
      </c>
      <c r="G1" t="s">
        <v>2893</v>
      </c>
      <c r="H1" t="s">
        <v>2894</v>
      </c>
      <c r="I1" t="s">
        <v>2895</v>
      </c>
      <c r="J1" t="s">
        <v>2896</v>
      </c>
      <c r="K1" t="s">
        <v>3431</v>
      </c>
      <c r="L1" t="s">
        <v>2897</v>
      </c>
      <c r="M1" t="s">
        <v>2898</v>
      </c>
      <c r="N1" t="s">
        <v>2899</v>
      </c>
      <c r="O1" t="s">
        <v>2900</v>
      </c>
      <c r="P1" t="s">
        <v>57</v>
      </c>
    </row>
    <row r="2" spans="1:16" x14ac:dyDescent="0.25">
      <c r="A2" t="s">
        <v>2901</v>
      </c>
      <c r="B2" t="s">
        <v>2356</v>
      </c>
      <c r="C2">
        <v>8</v>
      </c>
      <c r="D2">
        <v>1</v>
      </c>
      <c r="E2">
        <v>0</v>
      </c>
      <c r="F2">
        <v>1</v>
      </c>
      <c r="G2">
        <v>0</v>
      </c>
      <c r="H2">
        <v>0</v>
      </c>
      <c r="I2">
        <v>0</v>
      </c>
      <c r="J2">
        <v>0</v>
      </c>
      <c r="K2">
        <v>0</v>
      </c>
      <c r="L2" t="s">
        <v>2902</v>
      </c>
      <c r="M2" t="s">
        <v>2903</v>
      </c>
      <c r="N2" t="s">
        <v>2904</v>
      </c>
      <c r="O2" t="s">
        <v>2905</v>
      </c>
      <c r="P2" t="s">
        <v>2906</v>
      </c>
    </row>
    <row r="3" spans="1:16" x14ac:dyDescent="0.25">
      <c r="A3" t="s">
        <v>2907</v>
      </c>
      <c r="B3" t="s">
        <v>213</v>
      </c>
      <c r="C3">
        <v>8</v>
      </c>
      <c r="D3">
        <v>0</v>
      </c>
      <c r="E3">
        <v>0</v>
      </c>
      <c r="F3">
        <v>0</v>
      </c>
      <c r="G3">
        <v>0</v>
      </c>
      <c r="H3">
        <v>0</v>
      </c>
      <c r="I3">
        <v>0</v>
      </c>
      <c r="J3">
        <v>0</v>
      </c>
      <c r="K3">
        <v>2</v>
      </c>
      <c r="L3" t="s">
        <v>2908</v>
      </c>
      <c r="M3" t="s">
        <v>2909</v>
      </c>
      <c r="N3" t="s">
        <v>2910</v>
      </c>
      <c r="O3" t="s">
        <v>2905</v>
      </c>
      <c r="P3" t="s">
        <v>2911</v>
      </c>
    </row>
    <row r="4" spans="1:16" x14ac:dyDescent="0.25">
      <c r="A4" t="s">
        <v>2912</v>
      </c>
      <c r="B4" t="s">
        <v>1954</v>
      </c>
      <c r="C4">
        <v>10</v>
      </c>
      <c r="D4">
        <v>2</v>
      </c>
      <c r="E4">
        <v>0</v>
      </c>
      <c r="F4">
        <v>0</v>
      </c>
      <c r="G4">
        <v>0</v>
      </c>
      <c r="H4">
        <v>0</v>
      </c>
      <c r="I4">
        <v>0</v>
      </c>
      <c r="J4">
        <v>0</v>
      </c>
      <c r="K4">
        <v>0</v>
      </c>
      <c r="L4" t="s">
        <v>6561</v>
      </c>
      <c r="M4" t="s">
        <v>2914</v>
      </c>
      <c r="N4" t="s">
        <v>2915</v>
      </c>
      <c r="O4" t="s">
        <v>2916</v>
      </c>
      <c r="P4" t="s">
        <v>2912</v>
      </c>
    </row>
    <row r="5" spans="1:16" x14ac:dyDescent="0.25">
      <c r="A5" t="s">
        <v>2917</v>
      </c>
      <c r="B5" t="s">
        <v>2199</v>
      </c>
      <c r="C5">
        <v>6</v>
      </c>
      <c r="D5">
        <v>0</v>
      </c>
      <c r="E5">
        <v>0</v>
      </c>
      <c r="F5">
        <v>0</v>
      </c>
      <c r="G5">
        <v>0</v>
      </c>
      <c r="H5">
        <v>0</v>
      </c>
      <c r="I5">
        <v>1</v>
      </c>
      <c r="J5">
        <v>0</v>
      </c>
      <c r="K5">
        <v>0</v>
      </c>
      <c r="L5" t="s">
        <v>6564</v>
      </c>
      <c r="M5" t="s">
        <v>6563</v>
      </c>
      <c r="N5" t="s">
        <v>2919</v>
      </c>
      <c r="O5" t="s">
        <v>2920</v>
      </c>
      <c r="P5" t="s">
        <v>2917</v>
      </c>
    </row>
    <row r="6" spans="1:16" x14ac:dyDescent="0.25">
      <c r="A6" t="s">
        <v>2921</v>
      </c>
      <c r="B6" t="s">
        <v>1698</v>
      </c>
      <c r="C6">
        <v>8</v>
      </c>
      <c r="D6">
        <v>0</v>
      </c>
      <c r="E6">
        <v>0</v>
      </c>
      <c r="F6">
        <v>2</v>
      </c>
      <c r="G6">
        <v>0</v>
      </c>
      <c r="H6">
        <v>0</v>
      </c>
      <c r="I6">
        <v>0</v>
      </c>
      <c r="J6">
        <v>0</v>
      </c>
      <c r="K6">
        <v>0</v>
      </c>
      <c r="L6" t="s">
        <v>2922</v>
      </c>
      <c r="M6" t="s">
        <v>2923</v>
      </c>
      <c r="N6" t="s">
        <v>2924</v>
      </c>
      <c r="O6" t="s">
        <v>2905</v>
      </c>
      <c r="P6" t="s">
        <v>2921</v>
      </c>
    </row>
    <row r="7" spans="1:16" x14ac:dyDescent="0.25">
      <c r="A7" t="s">
        <v>2925</v>
      </c>
      <c r="B7" t="s">
        <v>1496</v>
      </c>
      <c r="C7">
        <v>8</v>
      </c>
      <c r="D7">
        <v>0</v>
      </c>
      <c r="E7">
        <v>0</v>
      </c>
      <c r="F7">
        <v>0</v>
      </c>
      <c r="G7">
        <v>2</v>
      </c>
      <c r="H7">
        <v>0</v>
      </c>
      <c r="I7">
        <v>0</v>
      </c>
      <c r="J7">
        <v>0</v>
      </c>
      <c r="K7">
        <v>0</v>
      </c>
      <c r="L7" t="s">
        <v>2926</v>
      </c>
      <c r="M7" t="s">
        <v>2927</v>
      </c>
      <c r="N7" t="s">
        <v>2928</v>
      </c>
      <c r="O7" t="s">
        <v>2905</v>
      </c>
      <c r="P7" t="s">
        <v>2925</v>
      </c>
    </row>
    <row r="8" spans="1:16" x14ac:dyDescent="0.25">
      <c r="A8" t="s">
        <v>2929</v>
      </c>
      <c r="B8" t="s">
        <v>2356</v>
      </c>
      <c r="C8">
        <v>10</v>
      </c>
      <c r="D8">
        <v>0</v>
      </c>
      <c r="E8">
        <v>0</v>
      </c>
      <c r="F8">
        <v>2</v>
      </c>
      <c r="G8">
        <v>0</v>
      </c>
      <c r="H8">
        <v>0</v>
      </c>
      <c r="I8">
        <v>0</v>
      </c>
      <c r="J8">
        <v>0</v>
      </c>
      <c r="K8">
        <v>0</v>
      </c>
      <c r="L8" t="s">
        <v>2930</v>
      </c>
      <c r="M8" t="s">
        <v>2903</v>
      </c>
      <c r="N8" t="s">
        <v>2931</v>
      </c>
      <c r="O8" t="s">
        <v>2932</v>
      </c>
      <c r="P8" t="s">
        <v>2933</v>
      </c>
    </row>
    <row r="9" spans="1:16" x14ac:dyDescent="0.25">
      <c r="A9" t="s">
        <v>2934</v>
      </c>
      <c r="B9" t="s">
        <v>1794</v>
      </c>
      <c r="C9">
        <v>5</v>
      </c>
      <c r="D9">
        <v>0</v>
      </c>
      <c r="E9">
        <v>0</v>
      </c>
      <c r="F9">
        <v>0</v>
      </c>
      <c r="G9">
        <v>0</v>
      </c>
      <c r="H9">
        <v>0</v>
      </c>
      <c r="I9">
        <v>0</v>
      </c>
      <c r="J9">
        <v>0</v>
      </c>
      <c r="K9">
        <v>2</v>
      </c>
      <c r="L9" t="s">
        <v>2935</v>
      </c>
      <c r="M9" t="s">
        <v>2936</v>
      </c>
      <c r="N9" t="s">
        <v>2937</v>
      </c>
      <c r="O9" t="s">
        <v>2905</v>
      </c>
      <c r="P9" t="s">
        <v>2934</v>
      </c>
    </row>
    <row r="10" spans="1:16" x14ac:dyDescent="0.25">
      <c r="A10" t="s">
        <v>2938</v>
      </c>
      <c r="B10" t="s">
        <v>1044</v>
      </c>
      <c r="C10">
        <v>8</v>
      </c>
      <c r="D10">
        <v>1</v>
      </c>
      <c r="E10">
        <v>1</v>
      </c>
      <c r="F10">
        <v>0</v>
      </c>
      <c r="G10">
        <v>0</v>
      </c>
      <c r="H10">
        <v>0</v>
      </c>
      <c r="I10">
        <v>0</v>
      </c>
      <c r="J10">
        <v>0</v>
      </c>
      <c r="K10">
        <v>0</v>
      </c>
      <c r="L10" t="s">
        <v>2939</v>
      </c>
      <c r="M10" t="s">
        <v>2940</v>
      </c>
      <c r="N10" t="s">
        <v>2941</v>
      </c>
      <c r="O10" t="s">
        <v>2905</v>
      </c>
      <c r="P10" t="s">
        <v>2938</v>
      </c>
    </row>
    <row r="11" spans="1:16" x14ac:dyDescent="0.25">
      <c r="A11" t="s">
        <v>2942</v>
      </c>
      <c r="B11" t="s">
        <v>1072</v>
      </c>
      <c r="C11">
        <v>8</v>
      </c>
      <c r="D11">
        <v>0</v>
      </c>
      <c r="E11">
        <v>1</v>
      </c>
      <c r="F11">
        <v>1</v>
      </c>
      <c r="G11">
        <v>0</v>
      </c>
      <c r="H11">
        <v>0</v>
      </c>
      <c r="I11">
        <v>0</v>
      </c>
      <c r="J11">
        <v>0</v>
      </c>
      <c r="K11">
        <v>0</v>
      </c>
      <c r="L11" t="s">
        <v>2943</v>
      </c>
      <c r="M11" t="s">
        <v>2944</v>
      </c>
      <c r="N11" t="s">
        <v>2945</v>
      </c>
      <c r="O11" t="s">
        <v>2905</v>
      </c>
      <c r="P11" t="s">
        <v>2942</v>
      </c>
    </row>
    <row r="12" spans="1:16" x14ac:dyDescent="0.25">
      <c r="A12" t="s">
        <v>6565</v>
      </c>
      <c r="B12" t="s">
        <v>1958</v>
      </c>
      <c r="C12">
        <v>8</v>
      </c>
      <c r="D12">
        <v>0</v>
      </c>
      <c r="E12">
        <v>0</v>
      </c>
      <c r="F12">
        <v>1</v>
      </c>
      <c r="G12">
        <v>1</v>
      </c>
      <c r="H12">
        <v>0</v>
      </c>
      <c r="I12">
        <v>0</v>
      </c>
      <c r="J12">
        <v>0</v>
      </c>
      <c r="K12">
        <v>0</v>
      </c>
      <c r="L12" t="s">
        <v>6562</v>
      </c>
      <c r="M12" t="s">
        <v>2914</v>
      </c>
      <c r="N12" t="s">
        <v>6566</v>
      </c>
      <c r="O12" t="s">
        <v>2905</v>
      </c>
      <c r="P12" t="s">
        <v>6565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22"/>
  <sheetViews>
    <sheetView workbookViewId="0">
      <selection activeCell="C26" sqref="C26"/>
    </sheetView>
  </sheetViews>
  <sheetFormatPr defaultRowHeight="15" x14ac:dyDescent="0.25"/>
  <cols>
    <col min="1" max="1" width="19" bestFit="1" customWidth="1"/>
    <col min="2" max="2" width="11.140625" bestFit="1" customWidth="1"/>
    <col min="3" max="3" width="16.42578125" bestFit="1" customWidth="1"/>
    <col min="4" max="4" width="102.7109375" bestFit="1" customWidth="1"/>
    <col min="5" max="5" width="57.85546875" bestFit="1" customWidth="1"/>
    <col min="6" max="6" width="18.7109375" bestFit="1" customWidth="1"/>
    <col min="7" max="7" width="19.85546875" bestFit="1" customWidth="1"/>
    <col min="8" max="8" width="17.85546875" bestFit="1" customWidth="1"/>
    <col min="9" max="9" width="12.7109375" bestFit="1" customWidth="1"/>
    <col min="10" max="10" width="7.28515625" bestFit="1" customWidth="1"/>
  </cols>
  <sheetData>
    <row r="1" spans="1:9" x14ac:dyDescent="0.25">
      <c r="A1" t="s">
        <v>52</v>
      </c>
      <c r="B1" t="s">
        <v>2946</v>
      </c>
      <c r="C1" t="s">
        <v>53</v>
      </c>
      <c r="D1" t="s">
        <v>2899</v>
      </c>
      <c r="E1" t="s">
        <v>2947</v>
      </c>
      <c r="F1" t="s">
        <v>2948</v>
      </c>
      <c r="G1" t="s">
        <v>2949</v>
      </c>
      <c r="H1" t="s">
        <v>57</v>
      </c>
      <c r="I1" t="s">
        <v>2950</v>
      </c>
    </row>
    <row r="2" spans="1:9" x14ac:dyDescent="0.25">
      <c r="A2" t="s">
        <v>2951</v>
      </c>
      <c r="B2" t="s">
        <v>2952</v>
      </c>
      <c r="C2" t="s">
        <v>2953</v>
      </c>
      <c r="D2" t="s">
        <v>2954</v>
      </c>
      <c r="E2" t="s">
        <v>2955</v>
      </c>
      <c r="F2" t="s">
        <v>347</v>
      </c>
      <c r="G2" t="s">
        <v>2956</v>
      </c>
      <c r="H2" t="s">
        <v>2957</v>
      </c>
      <c r="I2" t="s">
        <v>2889</v>
      </c>
    </row>
    <row r="3" spans="1:9" x14ac:dyDescent="0.25">
      <c r="A3" t="s">
        <v>2958</v>
      </c>
      <c r="B3" t="s">
        <v>2959</v>
      </c>
      <c r="C3" t="s">
        <v>2960</v>
      </c>
      <c r="D3" t="s">
        <v>2961</v>
      </c>
      <c r="E3" t="s">
        <v>2962</v>
      </c>
      <c r="F3" t="s">
        <v>1954</v>
      </c>
      <c r="G3" t="s">
        <v>2963</v>
      </c>
      <c r="H3" t="s">
        <v>2958</v>
      </c>
      <c r="I3" t="s">
        <v>2964</v>
      </c>
    </row>
    <row r="4" spans="1:9" x14ac:dyDescent="0.25">
      <c r="A4" t="s">
        <v>2965</v>
      </c>
      <c r="B4" t="s">
        <v>2952</v>
      </c>
      <c r="C4" t="s">
        <v>2960</v>
      </c>
      <c r="D4" t="s">
        <v>2966</v>
      </c>
      <c r="E4" t="s">
        <v>2967</v>
      </c>
      <c r="F4" t="s">
        <v>1954</v>
      </c>
      <c r="G4" t="s">
        <v>2968</v>
      </c>
      <c r="H4" t="s">
        <v>2965</v>
      </c>
      <c r="I4" t="s">
        <v>2969</v>
      </c>
    </row>
    <row r="5" spans="1:9" x14ac:dyDescent="0.25">
      <c r="A5" t="s">
        <v>2970</v>
      </c>
      <c r="B5" t="s">
        <v>2971</v>
      </c>
      <c r="C5" t="s">
        <v>2953</v>
      </c>
      <c r="D5" t="s">
        <v>2972</v>
      </c>
      <c r="E5" t="s">
        <v>2973</v>
      </c>
      <c r="F5" t="s">
        <v>2199</v>
      </c>
      <c r="G5" t="s">
        <v>2974</v>
      </c>
      <c r="H5" t="s">
        <v>2975</v>
      </c>
      <c r="I5" t="s">
        <v>2976</v>
      </c>
    </row>
    <row r="6" spans="1:9" x14ac:dyDescent="0.25">
      <c r="A6" t="s">
        <v>2977</v>
      </c>
      <c r="B6" t="s">
        <v>2952</v>
      </c>
      <c r="C6" t="s">
        <v>2978</v>
      </c>
      <c r="D6" t="s">
        <v>2979</v>
      </c>
      <c r="E6" t="s">
        <v>2980</v>
      </c>
      <c r="F6" t="s">
        <v>2199</v>
      </c>
      <c r="G6" t="s">
        <v>2981</v>
      </c>
      <c r="H6" t="s">
        <v>2982</v>
      </c>
      <c r="I6" t="s">
        <v>6345</v>
      </c>
    </row>
    <row r="7" spans="1:9" x14ac:dyDescent="0.25">
      <c r="A7" t="s">
        <v>2916</v>
      </c>
      <c r="B7" t="s">
        <v>2983</v>
      </c>
      <c r="C7" t="s">
        <v>2960</v>
      </c>
      <c r="D7" t="s">
        <v>2984</v>
      </c>
      <c r="E7" t="s">
        <v>2985</v>
      </c>
      <c r="F7" t="s">
        <v>1954</v>
      </c>
      <c r="H7" t="s">
        <v>2986</v>
      </c>
      <c r="I7" t="s">
        <v>2889</v>
      </c>
    </row>
    <row r="8" spans="1:9" x14ac:dyDescent="0.25">
      <c r="A8" t="s">
        <v>2987</v>
      </c>
      <c r="B8" t="s">
        <v>2971</v>
      </c>
      <c r="C8" t="s">
        <v>2960</v>
      </c>
      <c r="D8" t="s">
        <v>2988</v>
      </c>
      <c r="E8" t="s">
        <v>2989</v>
      </c>
      <c r="F8" t="s">
        <v>2356</v>
      </c>
      <c r="G8" t="s">
        <v>2990</v>
      </c>
      <c r="H8" t="s">
        <v>2987</v>
      </c>
      <c r="I8" t="s">
        <v>2991</v>
      </c>
    </row>
    <row r="9" spans="1:9" x14ac:dyDescent="0.25">
      <c r="A9" t="s">
        <v>2920</v>
      </c>
      <c r="B9" t="s">
        <v>2971</v>
      </c>
      <c r="C9" t="s">
        <v>2992</v>
      </c>
      <c r="D9" t="s">
        <v>2909</v>
      </c>
      <c r="E9" t="s">
        <v>2993</v>
      </c>
      <c r="F9" t="s">
        <v>2199</v>
      </c>
      <c r="G9" t="s">
        <v>182</v>
      </c>
      <c r="H9" t="s">
        <v>2920</v>
      </c>
      <c r="I9" t="s">
        <v>2969</v>
      </c>
    </row>
    <row r="10" spans="1:9" x14ac:dyDescent="0.25">
      <c r="A10" t="s">
        <v>2994</v>
      </c>
      <c r="B10" t="s">
        <v>2959</v>
      </c>
      <c r="C10" t="s">
        <v>2995</v>
      </c>
      <c r="D10" t="s">
        <v>2996</v>
      </c>
      <c r="E10" t="s">
        <v>2997</v>
      </c>
      <c r="F10" t="s">
        <v>2356</v>
      </c>
      <c r="G10" t="s">
        <v>2998</v>
      </c>
      <c r="H10" t="s">
        <v>2999</v>
      </c>
      <c r="I10" t="s">
        <v>2889</v>
      </c>
    </row>
    <row r="11" spans="1:9" x14ac:dyDescent="0.25">
      <c r="A11" t="s">
        <v>3000</v>
      </c>
      <c r="B11" t="s">
        <v>2959</v>
      </c>
      <c r="C11" t="s">
        <v>2995</v>
      </c>
      <c r="D11" t="s">
        <v>3001</v>
      </c>
      <c r="E11" t="s">
        <v>3002</v>
      </c>
      <c r="F11" t="s">
        <v>2199</v>
      </c>
      <c r="G11" t="s">
        <v>139</v>
      </c>
      <c r="H11" t="s">
        <v>3000</v>
      </c>
      <c r="I11" t="s">
        <v>2889</v>
      </c>
    </row>
    <row r="12" spans="1:9" x14ac:dyDescent="0.25">
      <c r="A12" t="s">
        <v>3003</v>
      </c>
      <c r="B12" t="s">
        <v>2952</v>
      </c>
      <c r="C12" t="s">
        <v>2995</v>
      </c>
      <c r="D12" t="s">
        <v>3004</v>
      </c>
      <c r="E12" t="s">
        <v>3005</v>
      </c>
      <c r="F12" t="s">
        <v>1954</v>
      </c>
      <c r="G12" t="s">
        <v>3006</v>
      </c>
      <c r="H12" t="s">
        <v>3003</v>
      </c>
      <c r="I12" t="s">
        <v>2889</v>
      </c>
    </row>
    <row r="13" spans="1:9" x14ac:dyDescent="0.25">
      <c r="A13" t="s">
        <v>3007</v>
      </c>
      <c r="B13" t="s">
        <v>2971</v>
      </c>
      <c r="C13" t="s">
        <v>2960</v>
      </c>
      <c r="D13" t="s">
        <v>3008</v>
      </c>
      <c r="E13" t="s">
        <v>3009</v>
      </c>
      <c r="F13" t="s">
        <v>1954</v>
      </c>
      <c r="G13" t="s">
        <v>3010</v>
      </c>
      <c r="H13" t="s">
        <v>3011</v>
      </c>
      <c r="I13" t="s">
        <v>2889</v>
      </c>
    </row>
    <row r="14" spans="1:9" x14ac:dyDescent="0.25">
      <c r="A14" t="s">
        <v>6341</v>
      </c>
      <c r="B14" t="s">
        <v>2971</v>
      </c>
      <c r="C14" t="s">
        <v>3284</v>
      </c>
      <c r="D14" t="s">
        <v>6342</v>
      </c>
      <c r="E14" t="s">
        <v>6543</v>
      </c>
      <c r="F14" t="s">
        <v>343</v>
      </c>
      <c r="H14" t="s">
        <v>6343</v>
      </c>
      <c r="I14" t="s">
        <v>6344</v>
      </c>
    </row>
    <row r="15" spans="1:9" x14ac:dyDescent="0.25">
      <c r="A15" t="s">
        <v>3600</v>
      </c>
      <c r="B15" t="s">
        <v>2959</v>
      </c>
      <c r="C15" t="s">
        <v>4689</v>
      </c>
      <c r="D15" t="s">
        <v>6703</v>
      </c>
      <c r="E15" t="s">
        <v>6704</v>
      </c>
      <c r="F15" t="s">
        <v>1954</v>
      </c>
      <c r="G15" t="s">
        <v>3603</v>
      </c>
      <c r="H15" t="s">
        <v>3604</v>
      </c>
      <c r="I15" t="s">
        <v>2969</v>
      </c>
    </row>
    <row r="16" spans="1:9" x14ac:dyDescent="0.25">
      <c r="A16" t="s">
        <v>2932</v>
      </c>
      <c r="B16" t="s">
        <v>2971</v>
      </c>
      <c r="C16" t="s">
        <v>2960</v>
      </c>
      <c r="D16" t="s">
        <v>2984</v>
      </c>
      <c r="E16" t="s">
        <v>2985</v>
      </c>
      <c r="F16" t="s">
        <v>2356</v>
      </c>
      <c r="G16" t="s">
        <v>2998</v>
      </c>
      <c r="H16" t="s">
        <v>2932</v>
      </c>
      <c r="I16" t="s">
        <v>2889</v>
      </c>
    </row>
    <row r="17" spans="1:9" x14ac:dyDescent="0.25">
      <c r="A17" t="s">
        <v>3012</v>
      </c>
      <c r="B17" t="s">
        <v>2971</v>
      </c>
      <c r="C17" t="s">
        <v>3013</v>
      </c>
      <c r="D17" t="s">
        <v>3014</v>
      </c>
      <c r="E17" t="s">
        <v>3015</v>
      </c>
      <c r="F17" t="s">
        <v>213</v>
      </c>
      <c r="G17" t="s">
        <v>2968</v>
      </c>
      <c r="H17" t="s">
        <v>3016</v>
      </c>
      <c r="I17" t="s">
        <v>3017</v>
      </c>
    </row>
    <row r="18" spans="1:9" x14ac:dyDescent="0.25">
      <c r="A18" t="s">
        <v>3018</v>
      </c>
      <c r="B18" t="s">
        <v>2971</v>
      </c>
      <c r="C18" t="s">
        <v>2960</v>
      </c>
      <c r="D18" t="s">
        <v>3019</v>
      </c>
      <c r="E18" t="s">
        <v>3020</v>
      </c>
      <c r="F18" t="s">
        <v>347</v>
      </c>
      <c r="G18" t="s">
        <v>3021</v>
      </c>
      <c r="H18" t="s">
        <v>3018</v>
      </c>
      <c r="I18" t="s">
        <v>2969</v>
      </c>
    </row>
    <row r="19" spans="1:9" x14ac:dyDescent="0.25">
      <c r="A19" t="s">
        <v>3022</v>
      </c>
      <c r="B19" t="s">
        <v>2971</v>
      </c>
      <c r="C19" t="s">
        <v>2953</v>
      </c>
      <c r="D19" t="s">
        <v>3023</v>
      </c>
      <c r="E19" t="s">
        <v>3024</v>
      </c>
      <c r="F19" t="s">
        <v>2199</v>
      </c>
      <c r="G19" t="s">
        <v>3025</v>
      </c>
      <c r="H19" t="s">
        <v>3026</v>
      </c>
      <c r="I19" t="s">
        <v>2976</v>
      </c>
    </row>
    <row r="20" spans="1:9" x14ac:dyDescent="0.25">
      <c r="A20" t="s">
        <v>3027</v>
      </c>
      <c r="B20" t="s">
        <v>2971</v>
      </c>
      <c r="C20" t="s">
        <v>2960</v>
      </c>
      <c r="D20" t="s">
        <v>3028</v>
      </c>
      <c r="E20" t="s">
        <v>3029</v>
      </c>
      <c r="F20" t="s">
        <v>397</v>
      </c>
      <c r="G20" t="s">
        <v>3030</v>
      </c>
      <c r="H20" t="s">
        <v>3031</v>
      </c>
      <c r="I20" t="s">
        <v>2991</v>
      </c>
    </row>
    <row r="21" spans="1:9" x14ac:dyDescent="0.25">
      <c r="A21" t="s">
        <v>3032</v>
      </c>
      <c r="B21" t="s">
        <v>2959</v>
      </c>
      <c r="C21" t="s">
        <v>4689</v>
      </c>
      <c r="D21" t="s">
        <v>6705</v>
      </c>
      <c r="E21" t="s">
        <v>6706</v>
      </c>
      <c r="F21" t="s">
        <v>1954</v>
      </c>
      <c r="H21" t="s">
        <v>3032</v>
      </c>
      <c r="I21" t="s">
        <v>2969</v>
      </c>
    </row>
    <row r="22" spans="1:9" x14ac:dyDescent="0.25">
      <c r="A22" t="s">
        <v>3033</v>
      </c>
      <c r="B22" t="s">
        <v>3034</v>
      </c>
      <c r="C22" t="s">
        <v>3035</v>
      </c>
      <c r="D22" t="s">
        <v>3036</v>
      </c>
      <c r="E22" t="s">
        <v>3037</v>
      </c>
      <c r="F22" t="s">
        <v>1482</v>
      </c>
      <c r="G22" t="s">
        <v>3038</v>
      </c>
      <c r="H22" t="s">
        <v>3039</v>
      </c>
      <c r="I22" t="s">
        <v>2991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6"/>
  <sheetViews>
    <sheetView workbookViewId="0">
      <selection activeCell="C46" sqref="C46"/>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3.42578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52</v>
      </c>
      <c r="B1" t="s">
        <v>53</v>
      </c>
      <c r="C1" t="s">
        <v>3040</v>
      </c>
      <c r="D1" t="s">
        <v>3041</v>
      </c>
      <c r="E1" t="s">
        <v>9</v>
      </c>
      <c r="F1" t="s">
        <v>2889</v>
      </c>
      <c r="G1" t="s">
        <v>3042</v>
      </c>
      <c r="H1" t="s">
        <v>3043</v>
      </c>
      <c r="I1" t="s">
        <v>3044</v>
      </c>
      <c r="J1" t="s">
        <v>3045</v>
      </c>
      <c r="K1" t="s">
        <v>57</v>
      </c>
      <c r="L1" t="s">
        <v>3046</v>
      </c>
    </row>
    <row r="2" spans="1:13" x14ac:dyDescent="0.25">
      <c r="A2" t="s">
        <v>3047</v>
      </c>
      <c r="B2" t="s">
        <v>15</v>
      </c>
      <c r="C2" t="s">
        <v>3048</v>
      </c>
      <c r="D2" t="s">
        <v>3049</v>
      </c>
      <c r="E2" t="s">
        <v>2199</v>
      </c>
      <c r="F2">
        <v>1</v>
      </c>
      <c r="G2">
        <v>1</v>
      </c>
      <c r="H2" t="s">
        <v>3050</v>
      </c>
      <c r="I2" t="s">
        <v>3051</v>
      </c>
      <c r="J2" t="s">
        <v>2905</v>
      </c>
      <c r="K2" t="s">
        <v>3052</v>
      </c>
      <c r="L2" t="s">
        <v>3053</v>
      </c>
      <c r="M2" s="4"/>
    </row>
    <row r="3" spans="1:13" x14ac:dyDescent="0.25">
      <c r="A3" t="s">
        <v>3054</v>
      </c>
      <c r="B3" t="s">
        <v>15</v>
      </c>
      <c r="C3" t="s">
        <v>3048</v>
      </c>
      <c r="D3" t="s">
        <v>3049</v>
      </c>
      <c r="E3" t="s">
        <v>347</v>
      </c>
      <c r="F3">
        <v>1</v>
      </c>
      <c r="G3">
        <v>1</v>
      </c>
      <c r="H3" t="s">
        <v>3050</v>
      </c>
      <c r="I3" t="s">
        <v>3055</v>
      </c>
      <c r="J3" t="s">
        <v>2905</v>
      </c>
      <c r="K3" t="s">
        <v>3056</v>
      </c>
      <c r="L3" t="s">
        <v>2956</v>
      </c>
      <c r="M3" s="4"/>
    </row>
    <row r="4" spans="1:13" x14ac:dyDescent="0.25">
      <c r="A4" t="s">
        <v>6608</v>
      </c>
      <c r="B4" t="s">
        <v>15</v>
      </c>
      <c r="C4" t="s">
        <v>3048</v>
      </c>
      <c r="D4" t="s">
        <v>3049</v>
      </c>
      <c r="E4" t="s">
        <v>2199</v>
      </c>
      <c r="F4">
        <v>1</v>
      </c>
      <c r="G4">
        <v>1</v>
      </c>
      <c r="H4" t="s">
        <v>3062</v>
      </c>
      <c r="I4" t="s">
        <v>6609</v>
      </c>
      <c r="J4" t="s">
        <v>2905</v>
      </c>
      <c r="K4" t="s">
        <v>6610</v>
      </c>
      <c r="L4" t="s">
        <v>6598</v>
      </c>
    </row>
    <row r="5" spans="1:13" x14ac:dyDescent="0.25">
      <c r="A5" t="s">
        <v>3057</v>
      </c>
      <c r="B5" t="s">
        <v>15</v>
      </c>
      <c r="C5" t="s">
        <v>3048</v>
      </c>
      <c r="D5" t="s">
        <v>3049</v>
      </c>
      <c r="E5" t="s">
        <v>828</v>
      </c>
      <c r="F5">
        <v>1</v>
      </c>
      <c r="G5">
        <v>1</v>
      </c>
      <c r="H5" t="s">
        <v>3058</v>
      </c>
      <c r="I5" t="s">
        <v>3059</v>
      </c>
      <c r="J5" t="s">
        <v>2905</v>
      </c>
      <c r="K5" t="s">
        <v>3060</v>
      </c>
    </row>
    <row r="6" spans="1:13" x14ac:dyDescent="0.25">
      <c r="A6" t="s">
        <v>3061</v>
      </c>
      <c r="B6" t="s">
        <v>15</v>
      </c>
      <c r="C6" t="s">
        <v>3048</v>
      </c>
      <c r="D6" t="s">
        <v>3049</v>
      </c>
      <c r="E6" t="s">
        <v>1446</v>
      </c>
      <c r="F6">
        <v>1</v>
      </c>
      <c r="G6">
        <v>1</v>
      </c>
      <c r="H6" t="s">
        <v>3062</v>
      </c>
      <c r="I6" t="s">
        <v>3063</v>
      </c>
      <c r="J6" t="s">
        <v>2905</v>
      </c>
      <c r="K6" t="s">
        <v>3064</v>
      </c>
    </row>
    <row r="7" spans="1:13" x14ac:dyDescent="0.25">
      <c r="A7" t="s">
        <v>6379</v>
      </c>
      <c r="B7" t="s">
        <v>15</v>
      </c>
      <c r="C7" t="s">
        <v>3048</v>
      </c>
      <c r="D7" t="s">
        <v>3049</v>
      </c>
      <c r="E7" t="s">
        <v>1044</v>
      </c>
      <c r="F7">
        <v>1</v>
      </c>
      <c r="G7">
        <v>1</v>
      </c>
      <c r="H7" t="s">
        <v>3050</v>
      </c>
      <c r="I7" t="s">
        <v>6380</v>
      </c>
      <c r="J7" t="s">
        <v>2905</v>
      </c>
      <c r="K7" t="s">
        <v>6379</v>
      </c>
      <c r="L7" t="s">
        <v>3071</v>
      </c>
    </row>
    <row r="8" spans="1:13" x14ac:dyDescent="0.25">
      <c r="A8" t="s">
        <v>3065</v>
      </c>
      <c r="B8" t="s">
        <v>15</v>
      </c>
      <c r="C8" t="s">
        <v>3048</v>
      </c>
      <c r="D8" t="s">
        <v>3049</v>
      </c>
      <c r="E8" t="s">
        <v>2199</v>
      </c>
      <c r="F8">
        <v>1</v>
      </c>
      <c r="G8">
        <v>1</v>
      </c>
      <c r="H8" t="s">
        <v>3062</v>
      </c>
      <c r="I8" t="s">
        <v>3066</v>
      </c>
      <c r="J8" t="s">
        <v>2905</v>
      </c>
      <c r="K8" t="s">
        <v>3067</v>
      </c>
    </row>
    <row r="9" spans="1:13" x14ac:dyDescent="0.25">
      <c r="A9" t="s">
        <v>3068</v>
      </c>
      <c r="B9" t="s">
        <v>15</v>
      </c>
      <c r="C9" t="s">
        <v>3048</v>
      </c>
      <c r="D9" t="s">
        <v>3049</v>
      </c>
      <c r="E9" t="s">
        <v>220</v>
      </c>
      <c r="F9">
        <v>1</v>
      </c>
      <c r="G9">
        <v>1</v>
      </c>
      <c r="H9" t="s">
        <v>3050</v>
      </c>
      <c r="I9" t="s">
        <v>3069</v>
      </c>
      <c r="J9" t="s">
        <v>2905</v>
      </c>
      <c r="K9" t="s">
        <v>3070</v>
      </c>
      <c r="L9" t="s">
        <v>3071</v>
      </c>
    </row>
    <row r="10" spans="1:13" x14ac:dyDescent="0.25">
      <c r="A10" t="s">
        <v>3072</v>
      </c>
      <c r="B10" t="s">
        <v>15</v>
      </c>
      <c r="C10" t="s">
        <v>3048</v>
      </c>
      <c r="D10" t="s">
        <v>3049</v>
      </c>
      <c r="E10" t="s">
        <v>2199</v>
      </c>
      <c r="F10">
        <v>1</v>
      </c>
      <c r="G10">
        <v>1</v>
      </c>
      <c r="H10" t="s">
        <v>3050</v>
      </c>
      <c r="I10" t="s">
        <v>3073</v>
      </c>
      <c r="J10" t="s">
        <v>2905</v>
      </c>
      <c r="K10" t="s">
        <v>3072</v>
      </c>
      <c r="L10" t="s">
        <v>3074</v>
      </c>
    </row>
    <row r="11" spans="1:13" x14ac:dyDescent="0.25">
      <c r="A11" t="s">
        <v>6614</v>
      </c>
      <c r="B11" t="s">
        <v>15</v>
      </c>
      <c r="C11" t="s">
        <v>3048</v>
      </c>
      <c r="D11" t="s">
        <v>3049</v>
      </c>
      <c r="E11" t="s">
        <v>1772</v>
      </c>
      <c r="F11">
        <v>1</v>
      </c>
      <c r="G11">
        <v>1</v>
      </c>
      <c r="H11" t="s">
        <v>3050</v>
      </c>
      <c r="I11" t="s">
        <v>6615</v>
      </c>
      <c r="J11" t="s">
        <v>2905</v>
      </c>
      <c r="K11" t="s">
        <v>6614</v>
      </c>
      <c r="L11" t="s">
        <v>6598</v>
      </c>
    </row>
    <row r="12" spans="1:13" x14ac:dyDescent="0.25">
      <c r="A12" t="s">
        <v>6390</v>
      </c>
      <c r="B12" t="s">
        <v>15</v>
      </c>
      <c r="C12" t="s">
        <v>3048</v>
      </c>
      <c r="D12" t="s">
        <v>3049</v>
      </c>
      <c r="E12" t="s">
        <v>1044</v>
      </c>
      <c r="F12">
        <v>1</v>
      </c>
      <c r="G12">
        <v>1</v>
      </c>
      <c r="H12" t="s">
        <v>3062</v>
      </c>
      <c r="I12" t="s">
        <v>6391</v>
      </c>
      <c r="J12" t="s">
        <v>2905</v>
      </c>
      <c r="K12" t="s">
        <v>6390</v>
      </c>
      <c r="L12" t="s">
        <v>308</v>
      </c>
    </row>
    <row r="13" spans="1:13" x14ac:dyDescent="0.25">
      <c r="A13" t="s">
        <v>3075</v>
      </c>
      <c r="B13" t="s">
        <v>15</v>
      </c>
      <c r="C13" t="s">
        <v>3076</v>
      </c>
      <c r="D13" t="s">
        <v>3049</v>
      </c>
      <c r="E13" t="s">
        <v>2199</v>
      </c>
      <c r="F13">
        <v>1</v>
      </c>
      <c r="G13">
        <v>2</v>
      </c>
      <c r="H13" t="s">
        <v>3050</v>
      </c>
      <c r="I13" t="s">
        <v>3077</v>
      </c>
      <c r="J13" t="s">
        <v>2905</v>
      </c>
      <c r="K13" t="s">
        <v>3075</v>
      </c>
      <c r="L13" t="s">
        <v>3071</v>
      </c>
    </row>
    <row r="14" spans="1:13" x14ac:dyDescent="0.25">
      <c r="A14" t="s">
        <v>3078</v>
      </c>
      <c r="B14" t="s">
        <v>15</v>
      </c>
      <c r="C14" t="s">
        <v>3076</v>
      </c>
      <c r="D14" t="s">
        <v>3049</v>
      </c>
      <c r="E14" t="s">
        <v>1772</v>
      </c>
      <c r="F14">
        <v>1</v>
      </c>
      <c r="G14">
        <v>2</v>
      </c>
      <c r="H14" t="s">
        <v>3050</v>
      </c>
      <c r="I14" t="s">
        <v>3079</v>
      </c>
      <c r="J14" t="s">
        <v>2905</v>
      </c>
      <c r="K14" t="s">
        <v>3078</v>
      </c>
      <c r="L14" t="s">
        <v>2956</v>
      </c>
    </row>
    <row r="15" spans="1:13" x14ac:dyDescent="0.25">
      <c r="A15" t="s">
        <v>6603</v>
      </c>
      <c r="B15" t="s">
        <v>15</v>
      </c>
      <c r="C15" t="s">
        <v>3076</v>
      </c>
      <c r="D15" t="s">
        <v>3049</v>
      </c>
      <c r="E15" t="s">
        <v>2199</v>
      </c>
      <c r="F15">
        <v>1</v>
      </c>
      <c r="G15">
        <v>2</v>
      </c>
      <c r="H15" t="s">
        <v>3062</v>
      </c>
      <c r="I15" t="s">
        <v>6607</v>
      </c>
      <c r="J15" t="s">
        <v>2905</v>
      </c>
      <c r="K15" t="s">
        <v>6604</v>
      </c>
      <c r="L15" t="s">
        <v>6605</v>
      </c>
    </row>
    <row r="16" spans="1:13" x14ac:dyDescent="0.25">
      <c r="A16" t="s">
        <v>6611</v>
      </c>
      <c r="B16" t="s">
        <v>15</v>
      </c>
      <c r="C16" t="s">
        <v>3076</v>
      </c>
      <c r="D16" t="s">
        <v>3049</v>
      </c>
      <c r="E16" t="s">
        <v>2199</v>
      </c>
      <c r="F16">
        <v>1</v>
      </c>
      <c r="G16">
        <v>2</v>
      </c>
      <c r="H16" t="s">
        <v>3050</v>
      </c>
      <c r="I16" t="s">
        <v>6612</v>
      </c>
      <c r="J16" t="s">
        <v>2905</v>
      </c>
      <c r="K16" t="s">
        <v>6613</v>
      </c>
      <c r="L16" t="s">
        <v>6598</v>
      </c>
    </row>
    <row r="17" spans="1:12" x14ac:dyDescent="0.25">
      <c r="A17" t="s">
        <v>3080</v>
      </c>
      <c r="B17" t="s">
        <v>15</v>
      </c>
      <c r="C17" t="s">
        <v>3076</v>
      </c>
      <c r="D17" t="s">
        <v>3081</v>
      </c>
      <c r="E17" t="s">
        <v>220</v>
      </c>
      <c r="F17">
        <v>1</v>
      </c>
      <c r="G17">
        <v>2</v>
      </c>
      <c r="H17" t="s">
        <v>3050</v>
      </c>
      <c r="I17" t="s">
        <v>3069</v>
      </c>
      <c r="J17" t="s">
        <v>2905</v>
      </c>
      <c r="K17" t="s">
        <v>3082</v>
      </c>
      <c r="L17" t="s">
        <v>3071</v>
      </c>
    </row>
    <row r="18" spans="1:12" x14ac:dyDescent="0.25">
      <c r="A18" t="s">
        <v>3083</v>
      </c>
      <c r="B18" t="s">
        <v>15</v>
      </c>
      <c r="C18" t="s">
        <v>3084</v>
      </c>
      <c r="D18" t="s">
        <v>3049</v>
      </c>
      <c r="E18" t="s">
        <v>2199</v>
      </c>
      <c r="F18">
        <v>1</v>
      </c>
      <c r="G18">
        <v>3</v>
      </c>
      <c r="H18" t="s">
        <v>3062</v>
      </c>
      <c r="I18" t="s">
        <v>3085</v>
      </c>
      <c r="J18" t="s">
        <v>2905</v>
      </c>
      <c r="K18" t="s">
        <v>3083</v>
      </c>
    </row>
    <row r="19" spans="1:12" x14ac:dyDescent="0.25">
      <c r="A19" t="s">
        <v>6386</v>
      </c>
      <c r="B19" t="s">
        <v>15</v>
      </c>
      <c r="C19" t="s">
        <v>3084</v>
      </c>
      <c r="D19" t="s">
        <v>3119</v>
      </c>
      <c r="E19" t="s">
        <v>1044</v>
      </c>
      <c r="F19">
        <v>1</v>
      </c>
      <c r="G19">
        <v>3</v>
      </c>
      <c r="H19" t="s">
        <v>3050</v>
      </c>
      <c r="I19" t="s">
        <v>6387</v>
      </c>
      <c r="J19" t="s">
        <v>2905</v>
      </c>
      <c r="K19" t="s">
        <v>6388</v>
      </c>
      <c r="L19" t="s">
        <v>6389</v>
      </c>
    </row>
    <row r="20" spans="1:12" x14ac:dyDescent="0.25">
      <c r="A20" t="s">
        <v>6383</v>
      </c>
      <c r="B20" t="s">
        <v>15</v>
      </c>
      <c r="C20" t="s">
        <v>3084</v>
      </c>
      <c r="D20" t="s">
        <v>3049</v>
      </c>
      <c r="E20" t="s">
        <v>1044</v>
      </c>
      <c r="F20">
        <v>1</v>
      </c>
      <c r="G20">
        <v>3</v>
      </c>
      <c r="H20" t="s">
        <v>3062</v>
      </c>
      <c r="I20" t="s">
        <v>6384</v>
      </c>
      <c r="J20" t="s">
        <v>2905</v>
      </c>
      <c r="K20" t="s">
        <v>6385</v>
      </c>
    </row>
    <row r="21" spans="1:12" x14ac:dyDescent="0.25">
      <c r="A21" t="s">
        <v>3086</v>
      </c>
      <c r="B21" t="s">
        <v>15</v>
      </c>
      <c r="C21" t="s">
        <v>3084</v>
      </c>
      <c r="D21" t="s">
        <v>3087</v>
      </c>
      <c r="E21" t="s">
        <v>220</v>
      </c>
      <c r="F21">
        <v>1</v>
      </c>
      <c r="G21">
        <v>3</v>
      </c>
      <c r="H21" t="s">
        <v>3050</v>
      </c>
      <c r="I21" t="s">
        <v>3069</v>
      </c>
      <c r="J21" t="s">
        <v>2905</v>
      </c>
      <c r="K21" t="s">
        <v>3088</v>
      </c>
      <c r="L21" t="s">
        <v>3071</v>
      </c>
    </row>
    <row r="22" spans="1:12" x14ac:dyDescent="0.25">
      <c r="A22" t="s">
        <v>3089</v>
      </c>
      <c r="B22" t="s">
        <v>22</v>
      </c>
      <c r="C22" t="s">
        <v>3048</v>
      </c>
      <c r="D22" t="s">
        <v>3049</v>
      </c>
      <c r="E22" t="s">
        <v>1954</v>
      </c>
      <c r="F22">
        <v>1</v>
      </c>
      <c r="G22">
        <v>1</v>
      </c>
      <c r="H22" t="s">
        <v>3062</v>
      </c>
      <c r="I22" t="s">
        <v>3090</v>
      </c>
      <c r="J22" t="s">
        <v>2905</v>
      </c>
      <c r="K22" t="s">
        <v>3089</v>
      </c>
    </row>
    <row r="23" spans="1:12" x14ac:dyDescent="0.25">
      <c r="A23" t="s">
        <v>3091</v>
      </c>
      <c r="B23" t="s">
        <v>22</v>
      </c>
      <c r="C23" t="s">
        <v>3048</v>
      </c>
      <c r="D23" t="s">
        <v>3049</v>
      </c>
      <c r="E23" t="s">
        <v>1954</v>
      </c>
      <c r="F23">
        <v>1</v>
      </c>
      <c r="G23">
        <v>1</v>
      </c>
      <c r="H23" t="s">
        <v>3062</v>
      </c>
      <c r="I23" t="s">
        <v>3092</v>
      </c>
      <c r="J23" t="s">
        <v>2905</v>
      </c>
      <c r="K23" t="s">
        <v>3093</v>
      </c>
      <c r="L23" t="s">
        <v>3094</v>
      </c>
    </row>
    <row r="24" spans="1:12" x14ac:dyDescent="0.25">
      <c r="A24" t="s">
        <v>6375</v>
      </c>
      <c r="B24" t="s">
        <v>22</v>
      </c>
      <c r="C24" t="s">
        <v>3048</v>
      </c>
      <c r="D24" t="s">
        <v>3049</v>
      </c>
      <c r="E24" t="s">
        <v>758</v>
      </c>
      <c r="F24">
        <v>1</v>
      </c>
      <c r="G24">
        <v>1</v>
      </c>
      <c r="H24" t="s">
        <v>3062</v>
      </c>
      <c r="I24" t="s">
        <v>6377</v>
      </c>
      <c r="J24" t="s">
        <v>2905</v>
      </c>
      <c r="K24" t="s">
        <v>6376</v>
      </c>
      <c r="L24" t="s">
        <v>6378</v>
      </c>
    </row>
    <row r="25" spans="1:12" x14ac:dyDescent="0.25">
      <c r="A25" t="s">
        <v>3095</v>
      </c>
      <c r="B25" t="s">
        <v>22</v>
      </c>
      <c r="C25" t="s">
        <v>3048</v>
      </c>
      <c r="D25" t="s">
        <v>3049</v>
      </c>
      <c r="E25" t="s">
        <v>758</v>
      </c>
      <c r="F25">
        <v>1</v>
      </c>
      <c r="G25">
        <v>1</v>
      </c>
      <c r="H25" t="s">
        <v>3062</v>
      </c>
      <c r="I25" t="s">
        <v>3096</v>
      </c>
      <c r="J25" t="s">
        <v>2905</v>
      </c>
      <c r="K25" t="s">
        <v>3097</v>
      </c>
      <c r="L25" t="s">
        <v>3098</v>
      </c>
    </row>
    <row r="26" spans="1:12" x14ac:dyDescent="0.25">
      <c r="A26" t="s">
        <v>3099</v>
      </c>
      <c r="B26" t="s">
        <v>22</v>
      </c>
      <c r="C26" t="s">
        <v>3048</v>
      </c>
      <c r="D26" t="s">
        <v>3049</v>
      </c>
      <c r="E26" t="s">
        <v>1958</v>
      </c>
      <c r="F26">
        <v>1</v>
      </c>
      <c r="G26">
        <v>1</v>
      </c>
      <c r="H26" t="s">
        <v>3062</v>
      </c>
      <c r="I26" t="s">
        <v>3100</v>
      </c>
      <c r="J26" t="s">
        <v>2905</v>
      </c>
      <c r="K26" t="s">
        <v>3101</v>
      </c>
      <c r="L26" t="s">
        <v>3102</v>
      </c>
    </row>
    <row r="27" spans="1:12" x14ac:dyDescent="0.25">
      <c r="A27" t="s">
        <v>3103</v>
      </c>
      <c r="B27" t="s">
        <v>22</v>
      </c>
      <c r="C27" t="s">
        <v>3048</v>
      </c>
      <c r="D27" t="s">
        <v>3049</v>
      </c>
      <c r="E27" t="s">
        <v>1954</v>
      </c>
      <c r="F27">
        <v>1</v>
      </c>
      <c r="G27">
        <v>1</v>
      </c>
      <c r="H27" t="s">
        <v>3050</v>
      </c>
      <c r="I27" t="s">
        <v>3104</v>
      </c>
      <c r="J27" t="s">
        <v>2905</v>
      </c>
      <c r="K27" t="s">
        <v>3105</v>
      </c>
      <c r="L27" t="s">
        <v>3106</v>
      </c>
    </row>
    <row r="28" spans="1:12" x14ac:dyDescent="0.25">
      <c r="A28" t="s">
        <v>3107</v>
      </c>
      <c r="B28" t="s">
        <v>22</v>
      </c>
      <c r="C28" t="s">
        <v>3076</v>
      </c>
      <c r="D28" t="s">
        <v>3049</v>
      </c>
      <c r="E28" t="s">
        <v>1954</v>
      </c>
      <c r="F28">
        <v>1</v>
      </c>
      <c r="G28">
        <v>2</v>
      </c>
      <c r="H28" t="s">
        <v>3050</v>
      </c>
      <c r="I28" t="s">
        <v>3108</v>
      </c>
      <c r="J28" t="s">
        <v>2905</v>
      </c>
      <c r="K28" t="s">
        <v>3109</v>
      </c>
    </row>
    <row r="29" spans="1:12" x14ac:dyDescent="0.25">
      <c r="A29" t="s">
        <v>3110</v>
      </c>
      <c r="B29" t="s">
        <v>22</v>
      </c>
      <c r="C29" t="s">
        <v>3076</v>
      </c>
      <c r="D29" t="s">
        <v>3049</v>
      </c>
      <c r="E29" t="s">
        <v>1954</v>
      </c>
      <c r="F29">
        <v>1</v>
      </c>
      <c r="G29">
        <v>2</v>
      </c>
      <c r="H29" t="s">
        <v>3111</v>
      </c>
      <c r="I29" t="s">
        <v>3112</v>
      </c>
      <c r="J29" t="s">
        <v>2905</v>
      </c>
      <c r="K29" t="s">
        <v>3110</v>
      </c>
    </row>
    <row r="30" spans="1:12" x14ac:dyDescent="0.25">
      <c r="A30" t="s">
        <v>3113</v>
      </c>
      <c r="B30" t="s">
        <v>22</v>
      </c>
      <c r="C30" t="s">
        <v>3076</v>
      </c>
      <c r="D30" t="s">
        <v>3049</v>
      </c>
      <c r="E30" t="s">
        <v>1958</v>
      </c>
      <c r="F30">
        <v>1</v>
      </c>
      <c r="G30">
        <v>2</v>
      </c>
      <c r="H30" t="s">
        <v>3062</v>
      </c>
      <c r="I30" t="s">
        <v>3114</v>
      </c>
      <c r="J30" t="s">
        <v>2905</v>
      </c>
      <c r="K30" t="s">
        <v>3115</v>
      </c>
    </row>
    <row r="31" spans="1:12" x14ac:dyDescent="0.25">
      <c r="A31" t="s">
        <v>3116</v>
      </c>
      <c r="B31" t="s">
        <v>22</v>
      </c>
      <c r="C31" t="s">
        <v>3084</v>
      </c>
      <c r="D31" t="s">
        <v>3049</v>
      </c>
      <c r="E31" t="s">
        <v>1954</v>
      </c>
      <c r="F31">
        <v>1</v>
      </c>
      <c r="G31">
        <v>3</v>
      </c>
      <c r="H31" t="s">
        <v>3111</v>
      </c>
      <c r="I31" t="s">
        <v>3117</v>
      </c>
      <c r="J31" t="s">
        <v>2905</v>
      </c>
      <c r="K31" t="s">
        <v>3116</v>
      </c>
    </row>
    <row r="32" spans="1:12" x14ac:dyDescent="0.25">
      <c r="A32" t="s">
        <v>3118</v>
      </c>
      <c r="B32" t="s">
        <v>22</v>
      </c>
      <c r="C32" t="s">
        <v>3084</v>
      </c>
      <c r="D32" t="s">
        <v>3119</v>
      </c>
      <c r="E32" t="s">
        <v>1954</v>
      </c>
      <c r="F32">
        <v>1</v>
      </c>
      <c r="G32">
        <v>3</v>
      </c>
      <c r="H32" t="s">
        <v>3120</v>
      </c>
      <c r="I32" t="s">
        <v>3121</v>
      </c>
      <c r="J32" t="s">
        <v>2905</v>
      </c>
      <c r="K32" t="s">
        <v>3118</v>
      </c>
    </row>
    <row r="33" spans="1:12" x14ac:dyDescent="0.25">
      <c r="A33" t="s">
        <v>3122</v>
      </c>
      <c r="B33" t="s">
        <v>18</v>
      </c>
      <c r="C33" t="s">
        <v>3048</v>
      </c>
      <c r="D33" t="s">
        <v>3049</v>
      </c>
      <c r="E33" t="s">
        <v>1358</v>
      </c>
      <c r="F33">
        <v>1</v>
      </c>
      <c r="G33">
        <v>1</v>
      </c>
      <c r="H33" t="s">
        <v>3050</v>
      </c>
      <c r="I33" t="s">
        <v>3123</v>
      </c>
      <c r="J33" t="s">
        <v>2905</v>
      </c>
      <c r="K33" t="s">
        <v>3122</v>
      </c>
    </row>
    <row r="34" spans="1:12" x14ac:dyDescent="0.25">
      <c r="A34" t="s">
        <v>3124</v>
      </c>
      <c r="B34" t="s">
        <v>18</v>
      </c>
      <c r="C34" t="s">
        <v>3048</v>
      </c>
      <c r="D34" t="s">
        <v>3049</v>
      </c>
      <c r="E34" t="s">
        <v>961</v>
      </c>
      <c r="F34">
        <v>1</v>
      </c>
      <c r="G34">
        <v>1</v>
      </c>
      <c r="H34" t="s">
        <v>3050</v>
      </c>
      <c r="I34" t="s">
        <v>3125</v>
      </c>
      <c r="J34" t="s">
        <v>2905</v>
      </c>
      <c r="K34" t="s">
        <v>3124</v>
      </c>
      <c r="L34" t="s">
        <v>3126</v>
      </c>
    </row>
    <row r="35" spans="1:12" x14ac:dyDescent="0.25">
      <c r="A35" t="s">
        <v>3127</v>
      </c>
      <c r="B35" t="s">
        <v>18</v>
      </c>
      <c r="C35" t="s">
        <v>3048</v>
      </c>
      <c r="D35" t="s">
        <v>3049</v>
      </c>
      <c r="E35" t="s">
        <v>351</v>
      </c>
      <c r="F35">
        <v>1</v>
      </c>
      <c r="G35">
        <v>1</v>
      </c>
      <c r="H35" t="s">
        <v>3058</v>
      </c>
      <c r="I35" t="s">
        <v>3128</v>
      </c>
      <c r="J35" t="s">
        <v>2905</v>
      </c>
      <c r="K35" t="s">
        <v>3127</v>
      </c>
      <c r="L35" t="s">
        <v>3129</v>
      </c>
    </row>
    <row r="36" spans="1:12" x14ac:dyDescent="0.25">
      <c r="A36" t="s">
        <v>3130</v>
      </c>
      <c r="B36" t="s">
        <v>18</v>
      </c>
      <c r="C36" t="s">
        <v>3076</v>
      </c>
      <c r="D36" t="s">
        <v>3049</v>
      </c>
      <c r="E36" t="s">
        <v>1358</v>
      </c>
      <c r="F36">
        <v>1</v>
      </c>
      <c r="G36">
        <v>2</v>
      </c>
      <c r="H36" t="s">
        <v>3062</v>
      </c>
      <c r="I36" t="s">
        <v>3131</v>
      </c>
      <c r="J36" t="s">
        <v>2905</v>
      </c>
      <c r="K36" t="s">
        <v>3130</v>
      </c>
    </row>
    <row r="37" spans="1:12" x14ac:dyDescent="0.25">
      <c r="A37" t="s">
        <v>3132</v>
      </c>
      <c r="B37" t="s">
        <v>18</v>
      </c>
      <c r="C37" t="s">
        <v>3076</v>
      </c>
      <c r="D37" t="s">
        <v>3081</v>
      </c>
      <c r="E37" t="s">
        <v>351</v>
      </c>
      <c r="F37">
        <v>1</v>
      </c>
      <c r="G37">
        <v>2</v>
      </c>
      <c r="H37" t="s">
        <v>3062</v>
      </c>
      <c r="I37" t="s">
        <v>3133</v>
      </c>
      <c r="J37" t="s">
        <v>2905</v>
      </c>
      <c r="K37" t="s">
        <v>3132</v>
      </c>
    </row>
    <row r="38" spans="1:12" x14ac:dyDescent="0.25">
      <c r="A38" t="s">
        <v>3134</v>
      </c>
      <c r="B38" t="s">
        <v>18</v>
      </c>
      <c r="C38" t="s">
        <v>3076</v>
      </c>
      <c r="D38" t="s">
        <v>3049</v>
      </c>
      <c r="E38" t="s">
        <v>1358</v>
      </c>
      <c r="F38">
        <v>1</v>
      </c>
      <c r="G38">
        <v>2</v>
      </c>
      <c r="H38" t="s">
        <v>3062</v>
      </c>
      <c r="I38" t="s">
        <v>3135</v>
      </c>
      <c r="J38" t="s">
        <v>2905</v>
      </c>
      <c r="K38" t="s">
        <v>3134</v>
      </c>
      <c r="L38" t="s">
        <v>3136</v>
      </c>
    </row>
    <row r="39" spans="1:12" x14ac:dyDescent="0.25">
      <c r="A39" t="s">
        <v>3137</v>
      </c>
      <c r="B39" t="s">
        <v>18</v>
      </c>
      <c r="C39" t="s">
        <v>3076</v>
      </c>
      <c r="D39" t="s">
        <v>3049</v>
      </c>
      <c r="E39" t="s">
        <v>1358</v>
      </c>
      <c r="F39">
        <v>1</v>
      </c>
      <c r="G39">
        <v>2</v>
      </c>
      <c r="H39" t="s">
        <v>3062</v>
      </c>
      <c r="I39" t="s">
        <v>3138</v>
      </c>
      <c r="J39" t="s">
        <v>2905</v>
      </c>
      <c r="K39" t="s">
        <v>3139</v>
      </c>
      <c r="L39" t="s">
        <v>3140</v>
      </c>
    </row>
    <row r="40" spans="1:12" x14ac:dyDescent="0.25">
      <c r="A40" t="s">
        <v>3141</v>
      </c>
      <c r="B40" t="s">
        <v>18</v>
      </c>
      <c r="C40" t="s">
        <v>3076</v>
      </c>
      <c r="D40" t="s">
        <v>3049</v>
      </c>
      <c r="E40" t="s">
        <v>902</v>
      </c>
      <c r="F40">
        <v>1</v>
      </c>
      <c r="G40">
        <v>2</v>
      </c>
      <c r="H40" t="s">
        <v>3120</v>
      </c>
      <c r="I40" t="s">
        <v>3142</v>
      </c>
      <c r="J40" t="s">
        <v>2905</v>
      </c>
      <c r="K40" t="s">
        <v>3141</v>
      </c>
    </row>
    <row r="41" spans="1:12" x14ac:dyDescent="0.25">
      <c r="A41" t="s">
        <v>3143</v>
      </c>
      <c r="B41" t="s">
        <v>18</v>
      </c>
      <c r="C41" t="s">
        <v>3084</v>
      </c>
      <c r="D41" t="s">
        <v>3049</v>
      </c>
      <c r="E41" t="s">
        <v>351</v>
      </c>
      <c r="F41">
        <v>1</v>
      </c>
      <c r="G41">
        <v>3</v>
      </c>
      <c r="H41" t="s">
        <v>3120</v>
      </c>
      <c r="I41" t="s">
        <v>3144</v>
      </c>
      <c r="J41" t="s">
        <v>2905</v>
      </c>
      <c r="K41" t="s">
        <v>3145</v>
      </c>
    </row>
    <row r="42" spans="1:12" x14ac:dyDescent="0.25">
      <c r="A42" t="s">
        <v>6346</v>
      </c>
      <c r="B42" t="s">
        <v>18</v>
      </c>
      <c r="C42" t="s">
        <v>3084</v>
      </c>
      <c r="D42" t="s">
        <v>3049</v>
      </c>
      <c r="E42" t="s">
        <v>1358</v>
      </c>
      <c r="F42">
        <v>1</v>
      </c>
      <c r="G42">
        <v>3</v>
      </c>
      <c r="H42" t="s">
        <v>3062</v>
      </c>
      <c r="I42" t="s">
        <v>6349</v>
      </c>
      <c r="J42" t="s">
        <v>2905</v>
      </c>
      <c r="K42" t="s">
        <v>6347</v>
      </c>
      <c r="L42" t="s">
        <v>6348</v>
      </c>
    </row>
    <row r="43" spans="1:12" x14ac:dyDescent="0.25">
      <c r="A43" t="s">
        <v>3146</v>
      </c>
      <c r="B43" t="s">
        <v>26</v>
      </c>
      <c r="C43" t="s">
        <v>3048</v>
      </c>
      <c r="D43" t="s">
        <v>3049</v>
      </c>
      <c r="E43" t="s">
        <v>1482</v>
      </c>
      <c r="F43">
        <v>1</v>
      </c>
      <c r="G43">
        <v>1</v>
      </c>
      <c r="H43" t="s">
        <v>3120</v>
      </c>
      <c r="I43" t="s">
        <v>3147</v>
      </c>
      <c r="J43" t="s">
        <v>2905</v>
      </c>
      <c r="K43" t="s">
        <v>3146</v>
      </c>
    </row>
    <row r="44" spans="1:12" x14ac:dyDescent="0.25">
      <c r="A44" t="s">
        <v>3148</v>
      </c>
      <c r="B44" t="s">
        <v>26</v>
      </c>
      <c r="C44" t="s">
        <v>3076</v>
      </c>
      <c r="D44" t="s">
        <v>3049</v>
      </c>
      <c r="E44" t="s">
        <v>1482</v>
      </c>
      <c r="F44">
        <v>1</v>
      </c>
      <c r="G44">
        <v>2</v>
      </c>
      <c r="H44" t="s">
        <v>3111</v>
      </c>
      <c r="I44" t="s">
        <v>3149</v>
      </c>
      <c r="J44" t="s">
        <v>2905</v>
      </c>
      <c r="K44" t="s">
        <v>3150</v>
      </c>
    </row>
    <row r="45" spans="1:12" x14ac:dyDescent="0.25">
      <c r="A45" t="s">
        <v>3151</v>
      </c>
      <c r="B45" t="s">
        <v>26</v>
      </c>
      <c r="C45" t="s">
        <v>3076</v>
      </c>
      <c r="D45" t="s">
        <v>3049</v>
      </c>
      <c r="E45" t="s">
        <v>1482</v>
      </c>
      <c r="F45">
        <v>1</v>
      </c>
      <c r="G45">
        <v>2</v>
      </c>
      <c r="H45" t="s">
        <v>3062</v>
      </c>
      <c r="I45" t="s">
        <v>3152</v>
      </c>
      <c r="J45" t="s">
        <v>2905</v>
      </c>
      <c r="K45" t="s">
        <v>3151</v>
      </c>
    </row>
    <row r="46" spans="1:12" x14ac:dyDescent="0.25">
      <c r="A46" t="s">
        <v>3153</v>
      </c>
      <c r="B46" t="s">
        <v>26</v>
      </c>
      <c r="C46" t="s">
        <v>3084</v>
      </c>
      <c r="D46" t="s">
        <v>3049</v>
      </c>
      <c r="E46" t="s">
        <v>1482</v>
      </c>
      <c r="F46">
        <v>1</v>
      </c>
      <c r="G46">
        <v>3</v>
      </c>
      <c r="H46" t="s">
        <v>3062</v>
      </c>
      <c r="I46" t="s">
        <v>3154</v>
      </c>
      <c r="J46" t="s">
        <v>2905</v>
      </c>
      <c r="K46" t="s">
        <v>3153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8"/>
  <sheetViews>
    <sheetView workbookViewId="0">
      <selection activeCell="A39" sqref="A39"/>
    </sheetView>
  </sheetViews>
  <sheetFormatPr defaultRowHeight="15" x14ac:dyDescent="0.25"/>
  <cols>
    <col min="1" max="1" width="20" bestFit="1" customWidth="1"/>
    <col min="2" max="2" width="11.7109375" bestFit="1" customWidth="1"/>
    <col min="3" max="4" width="11.28515625" customWidth="1"/>
    <col min="5" max="5" width="23.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52</v>
      </c>
      <c r="B1" t="s">
        <v>53</v>
      </c>
      <c r="C1" t="s">
        <v>3040</v>
      </c>
      <c r="D1" t="s">
        <v>3041</v>
      </c>
      <c r="E1" t="s">
        <v>9</v>
      </c>
      <c r="F1" t="s">
        <v>2889</v>
      </c>
      <c r="G1" t="s">
        <v>3042</v>
      </c>
      <c r="H1" t="s">
        <v>3043</v>
      </c>
      <c r="I1" t="s">
        <v>3044</v>
      </c>
      <c r="J1" t="s">
        <v>3045</v>
      </c>
      <c r="K1" t="s">
        <v>57</v>
      </c>
      <c r="L1" t="s">
        <v>3046</v>
      </c>
    </row>
    <row r="2" spans="1:12" x14ac:dyDescent="0.25">
      <c r="A2" t="s">
        <v>3155</v>
      </c>
      <c r="B2" t="s">
        <v>15</v>
      </c>
      <c r="C2" t="s">
        <v>3048</v>
      </c>
      <c r="D2" t="s">
        <v>3119</v>
      </c>
      <c r="E2" t="s">
        <v>828</v>
      </c>
      <c r="F2">
        <v>1</v>
      </c>
      <c r="G2">
        <v>3</v>
      </c>
      <c r="H2" t="s">
        <v>3058</v>
      </c>
      <c r="I2" t="s">
        <v>3156</v>
      </c>
      <c r="J2" t="s">
        <v>2905</v>
      </c>
      <c r="K2" t="s">
        <v>3155</v>
      </c>
      <c r="L2" t="s">
        <v>3157</v>
      </c>
    </row>
    <row r="3" spans="1:12" x14ac:dyDescent="0.25">
      <c r="A3" t="s">
        <v>3158</v>
      </c>
      <c r="B3" t="s">
        <v>15</v>
      </c>
      <c r="C3" t="s">
        <v>3048</v>
      </c>
      <c r="D3" t="s">
        <v>3119</v>
      </c>
      <c r="E3" t="s">
        <v>1446</v>
      </c>
      <c r="F3">
        <v>1</v>
      </c>
      <c r="G3">
        <v>3</v>
      </c>
      <c r="H3" t="s">
        <v>3050</v>
      </c>
      <c r="I3" t="s">
        <v>3159</v>
      </c>
      <c r="J3" t="s">
        <v>2905</v>
      </c>
      <c r="K3" t="s">
        <v>3160</v>
      </c>
      <c r="L3" t="s">
        <v>6606</v>
      </c>
    </row>
    <row r="4" spans="1:12" x14ac:dyDescent="0.25">
      <c r="A4" t="s">
        <v>3161</v>
      </c>
      <c r="B4" t="s">
        <v>15</v>
      </c>
      <c r="C4" t="s">
        <v>3048</v>
      </c>
      <c r="D4" t="s">
        <v>3119</v>
      </c>
      <c r="E4" t="s">
        <v>1772</v>
      </c>
      <c r="F4">
        <v>1</v>
      </c>
      <c r="G4">
        <v>3</v>
      </c>
      <c r="H4" t="s">
        <v>3120</v>
      </c>
      <c r="I4" t="s">
        <v>3162</v>
      </c>
      <c r="J4" t="s">
        <v>2905</v>
      </c>
      <c r="K4" t="s">
        <v>3161</v>
      </c>
    </row>
    <row r="5" spans="1:12" x14ac:dyDescent="0.25">
      <c r="A5" t="s">
        <v>3163</v>
      </c>
      <c r="B5" t="s">
        <v>15</v>
      </c>
      <c r="C5" t="s">
        <v>3048</v>
      </c>
      <c r="D5" t="s">
        <v>3049</v>
      </c>
      <c r="E5" t="s">
        <v>2199</v>
      </c>
      <c r="F5">
        <v>1</v>
      </c>
      <c r="G5">
        <v>3</v>
      </c>
      <c r="H5" t="s">
        <v>3111</v>
      </c>
      <c r="I5" t="s">
        <v>3164</v>
      </c>
      <c r="J5" t="s">
        <v>2905</v>
      </c>
      <c r="K5" t="s">
        <v>3163</v>
      </c>
    </row>
    <row r="6" spans="1:12" x14ac:dyDescent="0.25">
      <c r="A6" t="s">
        <v>3165</v>
      </c>
      <c r="B6" t="s">
        <v>15</v>
      </c>
      <c r="C6" t="s">
        <v>3048</v>
      </c>
      <c r="D6" t="s">
        <v>3119</v>
      </c>
      <c r="E6" t="s">
        <v>2199</v>
      </c>
      <c r="F6">
        <v>1</v>
      </c>
      <c r="G6">
        <v>3</v>
      </c>
      <c r="H6" t="s">
        <v>3050</v>
      </c>
      <c r="I6" t="s">
        <v>3166</v>
      </c>
      <c r="J6" t="s">
        <v>2905</v>
      </c>
      <c r="K6" t="s">
        <v>3167</v>
      </c>
    </row>
    <row r="7" spans="1:12" x14ac:dyDescent="0.25">
      <c r="A7" t="s">
        <v>3168</v>
      </c>
      <c r="B7" t="s">
        <v>15</v>
      </c>
      <c r="C7" t="s">
        <v>3048</v>
      </c>
      <c r="D7" t="s">
        <v>3049</v>
      </c>
      <c r="E7" t="s">
        <v>1044</v>
      </c>
      <c r="F7">
        <v>1</v>
      </c>
      <c r="G7">
        <v>3</v>
      </c>
      <c r="H7" t="s">
        <v>3058</v>
      </c>
      <c r="I7" t="s">
        <v>3169</v>
      </c>
      <c r="J7" t="s">
        <v>2905</v>
      </c>
      <c r="K7" t="s">
        <v>3168</v>
      </c>
    </row>
    <row r="8" spans="1:12" x14ac:dyDescent="0.25">
      <c r="A8" t="s">
        <v>3170</v>
      </c>
      <c r="B8" t="s">
        <v>15</v>
      </c>
      <c r="C8" t="s">
        <v>3048</v>
      </c>
      <c r="D8" t="s">
        <v>3049</v>
      </c>
      <c r="E8" t="s">
        <v>2199</v>
      </c>
      <c r="F8">
        <v>1</v>
      </c>
      <c r="G8">
        <v>3</v>
      </c>
      <c r="H8" t="s">
        <v>3120</v>
      </c>
      <c r="I8" t="s">
        <v>3171</v>
      </c>
      <c r="J8" t="s">
        <v>2905</v>
      </c>
      <c r="K8" t="s">
        <v>3170</v>
      </c>
    </row>
    <row r="9" spans="1:12" x14ac:dyDescent="0.25">
      <c r="A9" t="s">
        <v>3172</v>
      </c>
      <c r="B9" t="s">
        <v>15</v>
      </c>
      <c r="C9" t="s">
        <v>3076</v>
      </c>
      <c r="D9" t="s">
        <v>3173</v>
      </c>
      <c r="E9" t="s">
        <v>1044</v>
      </c>
      <c r="F9">
        <v>1</v>
      </c>
      <c r="G9">
        <v>5</v>
      </c>
      <c r="H9" t="s">
        <v>3058</v>
      </c>
      <c r="I9" t="s">
        <v>3174</v>
      </c>
      <c r="J9" t="s">
        <v>2905</v>
      </c>
      <c r="K9" t="s">
        <v>3172</v>
      </c>
    </row>
    <row r="10" spans="1:12" x14ac:dyDescent="0.25">
      <c r="A10" t="s">
        <v>3243</v>
      </c>
      <c r="B10" t="s">
        <v>15</v>
      </c>
      <c r="C10" t="s">
        <v>3076</v>
      </c>
      <c r="D10" t="s">
        <v>3049</v>
      </c>
      <c r="E10" t="s">
        <v>2199</v>
      </c>
      <c r="F10">
        <v>1</v>
      </c>
      <c r="G10">
        <v>5</v>
      </c>
      <c r="H10" t="s">
        <v>3062</v>
      </c>
      <c r="I10" t="s">
        <v>3244</v>
      </c>
      <c r="J10" t="s">
        <v>2905</v>
      </c>
      <c r="K10" t="s">
        <v>3245</v>
      </c>
    </row>
    <row r="11" spans="1:12" x14ac:dyDescent="0.25">
      <c r="A11" t="s">
        <v>3175</v>
      </c>
      <c r="B11" t="s">
        <v>15</v>
      </c>
      <c r="C11" t="s">
        <v>3076</v>
      </c>
      <c r="D11" t="s">
        <v>3049</v>
      </c>
      <c r="E11" t="s">
        <v>811</v>
      </c>
      <c r="F11">
        <v>1</v>
      </c>
      <c r="G11">
        <v>5</v>
      </c>
      <c r="H11" t="s">
        <v>3062</v>
      </c>
      <c r="I11" t="s">
        <v>3176</v>
      </c>
      <c r="J11" t="s">
        <v>2905</v>
      </c>
      <c r="K11" t="s">
        <v>3177</v>
      </c>
    </row>
    <row r="12" spans="1:12" x14ac:dyDescent="0.25">
      <c r="A12" t="s">
        <v>6381</v>
      </c>
      <c r="B12" t="s">
        <v>15</v>
      </c>
      <c r="C12" t="s">
        <v>3076</v>
      </c>
      <c r="D12" t="s">
        <v>3049</v>
      </c>
      <c r="E12" t="s">
        <v>1048</v>
      </c>
      <c r="F12">
        <v>1</v>
      </c>
      <c r="G12">
        <v>5</v>
      </c>
      <c r="H12" t="s">
        <v>3062</v>
      </c>
      <c r="I12" t="s">
        <v>6382</v>
      </c>
      <c r="J12" t="s">
        <v>2905</v>
      </c>
      <c r="K12" t="s">
        <v>6381</v>
      </c>
    </row>
    <row r="13" spans="1:12" x14ac:dyDescent="0.25">
      <c r="A13" t="s">
        <v>2917</v>
      </c>
      <c r="B13" t="s">
        <v>15</v>
      </c>
      <c r="C13" t="s">
        <v>3084</v>
      </c>
      <c r="D13" t="s">
        <v>3049</v>
      </c>
      <c r="E13" t="s">
        <v>2199</v>
      </c>
      <c r="F13">
        <v>1</v>
      </c>
      <c r="G13">
        <v>7</v>
      </c>
      <c r="H13" t="s">
        <v>3050</v>
      </c>
      <c r="I13" t="s">
        <v>3178</v>
      </c>
      <c r="J13" t="s">
        <v>2905</v>
      </c>
      <c r="K13" t="s">
        <v>2917</v>
      </c>
    </row>
    <row r="14" spans="1:12" x14ac:dyDescent="0.25">
      <c r="A14" t="s">
        <v>3179</v>
      </c>
      <c r="B14" t="s">
        <v>15</v>
      </c>
      <c r="C14" t="s">
        <v>3180</v>
      </c>
      <c r="D14" t="s">
        <v>3081</v>
      </c>
      <c r="E14" t="s">
        <v>828</v>
      </c>
      <c r="F14">
        <v>1</v>
      </c>
      <c r="G14">
        <v>9</v>
      </c>
      <c r="H14" t="s">
        <v>3050</v>
      </c>
      <c r="I14" t="s">
        <v>3181</v>
      </c>
      <c r="J14" t="s">
        <v>2905</v>
      </c>
      <c r="K14" t="s">
        <v>3179</v>
      </c>
      <c r="L14" t="s">
        <v>3071</v>
      </c>
    </row>
    <row r="15" spans="1:12" x14ac:dyDescent="0.25">
      <c r="A15" t="s">
        <v>3182</v>
      </c>
      <c r="B15" t="s">
        <v>22</v>
      </c>
      <c r="C15" t="s">
        <v>3048</v>
      </c>
      <c r="D15" t="s">
        <v>3119</v>
      </c>
      <c r="E15" t="s">
        <v>1954</v>
      </c>
      <c r="F15">
        <v>1</v>
      </c>
      <c r="G15">
        <v>3</v>
      </c>
      <c r="H15" t="s">
        <v>3062</v>
      </c>
      <c r="I15" t="s">
        <v>3183</v>
      </c>
      <c r="J15" t="s">
        <v>2905</v>
      </c>
      <c r="K15" t="s">
        <v>3184</v>
      </c>
    </row>
    <row r="16" spans="1:12" x14ac:dyDescent="0.25">
      <c r="A16" t="s">
        <v>3185</v>
      </c>
      <c r="B16" t="s">
        <v>22</v>
      </c>
      <c r="C16" t="s">
        <v>3048</v>
      </c>
      <c r="D16" t="s">
        <v>3049</v>
      </c>
      <c r="E16" t="s">
        <v>1958</v>
      </c>
      <c r="F16">
        <v>1</v>
      </c>
      <c r="G16">
        <v>3</v>
      </c>
      <c r="H16" t="s">
        <v>3062</v>
      </c>
      <c r="I16" t="s">
        <v>3186</v>
      </c>
      <c r="J16" t="s">
        <v>2905</v>
      </c>
      <c r="K16" t="s">
        <v>3185</v>
      </c>
    </row>
    <row r="17" spans="1:12" x14ac:dyDescent="0.25">
      <c r="A17" t="s">
        <v>3187</v>
      </c>
      <c r="B17" t="s">
        <v>22</v>
      </c>
      <c r="C17" t="s">
        <v>3076</v>
      </c>
      <c r="D17" t="s">
        <v>3049</v>
      </c>
      <c r="E17" t="s">
        <v>213</v>
      </c>
      <c r="F17">
        <v>1</v>
      </c>
      <c r="G17">
        <v>5</v>
      </c>
      <c r="H17" t="s">
        <v>3111</v>
      </c>
      <c r="I17" t="s">
        <v>3188</v>
      </c>
      <c r="J17" t="s">
        <v>2905</v>
      </c>
      <c r="K17" t="s">
        <v>3189</v>
      </c>
    </row>
    <row r="18" spans="1:12" x14ac:dyDescent="0.25">
      <c r="A18" t="s">
        <v>3190</v>
      </c>
      <c r="B18" t="s">
        <v>22</v>
      </c>
      <c r="C18" t="s">
        <v>3076</v>
      </c>
      <c r="D18" t="s">
        <v>3049</v>
      </c>
      <c r="E18" t="s">
        <v>213</v>
      </c>
      <c r="F18">
        <v>1</v>
      </c>
      <c r="G18">
        <v>5</v>
      </c>
      <c r="H18" t="s">
        <v>3111</v>
      </c>
      <c r="I18" t="s">
        <v>3191</v>
      </c>
      <c r="J18" t="s">
        <v>2905</v>
      </c>
      <c r="K18" t="s">
        <v>3192</v>
      </c>
    </row>
    <row r="19" spans="1:12" x14ac:dyDescent="0.25">
      <c r="A19" t="s">
        <v>3193</v>
      </c>
      <c r="B19" t="s">
        <v>22</v>
      </c>
      <c r="C19" t="s">
        <v>3076</v>
      </c>
      <c r="D19" t="s">
        <v>3049</v>
      </c>
      <c r="E19" t="s">
        <v>213</v>
      </c>
      <c r="F19">
        <v>1</v>
      </c>
      <c r="G19">
        <v>5</v>
      </c>
      <c r="H19" t="s">
        <v>3111</v>
      </c>
      <c r="I19" t="s">
        <v>3194</v>
      </c>
      <c r="J19" t="s">
        <v>2905</v>
      </c>
      <c r="K19" t="s">
        <v>3195</v>
      </c>
    </row>
    <row r="20" spans="1:12" x14ac:dyDescent="0.25">
      <c r="A20" t="s">
        <v>3196</v>
      </c>
      <c r="B20" t="s">
        <v>22</v>
      </c>
      <c r="C20" t="s">
        <v>3076</v>
      </c>
      <c r="D20" t="s">
        <v>3119</v>
      </c>
      <c r="E20" t="s">
        <v>1958</v>
      </c>
      <c r="F20">
        <v>1</v>
      </c>
      <c r="G20">
        <v>5</v>
      </c>
      <c r="H20" t="s">
        <v>3050</v>
      </c>
      <c r="I20" t="s">
        <v>3197</v>
      </c>
      <c r="J20" t="s">
        <v>2905</v>
      </c>
      <c r="K20" t="s">
        <v>3198</v>
      </c>
    </row>
    <row r="21" spans="1:12" x14ac:dyDescent="0.25">
      <c r="A21" t="s">
        <v>3199</v>
      </c>
      <c r="B21" t="s">
        <v>22</v>
      </c>
      <c r="C21" t="s">
        <v>3076</v>
      </c>
      <c r="D21" t="s">
        <v>3049</v>
      </c>
      <c r="E21" t="s">
        <v>213</v>
      </c>
      <c r="F21">
        <v>1</v>
      </c>
      <c r="G21">
        <v>5</v>
      </c>
      <c r="H21" t="s">
        <v>3111</v>
      </c>
      <c r="I21" t="s">
        <v>3200</v>
      </c>
      <c r="J21" t="s">
        <v>2905</v>
      </c>
      <c r="K21" t="s">
        <v>3201</v>
      </c>
    </row>
    <row r="22" spans="1:12" x14ac:dyDescent="0.25">
      <c r="A22" t="s">
        <v>3202</v>
      </c>
      <c r="B22" t="s">
        <v>22</v>
      </c>
      <c r="C22" t="s">
        <v>3084</v>
      </c>
      <c r="D22" t="s">
        <v>3049</v>
      </c>
      <c r="E22" t="s">
        <v>213</v>
      </c>
      <c r="F22">
        <v>1</v>
      </c>
      <c r="G22">
        <v>7</v>
      </c>
      <c r="H22" t="s">
        <v>3111</v>
      </c>
      <c r="I22" t="s">
        <v>3203</v>
      </c>
      <c r="J22" t="s">
        <v>2905</v>
      </c>
      <c r="K22" t="s">
        <v>3204</v>
      </c>
    </row>
    <row r="23" spans="1:12" x14ac:dyDescent="0.25">
      <c r="A23" t="s">
        <v>3205</v>
      </c>
      <c r="B23" t="s">
        <v>22</v>
      </c>
      <c r="C23" t="s">
        <v>3084</v>
      </c>
      <c r="D23" t="s">
        <v>3049</v>
      </c>
      <c r="E23" t="s">
        <v>1954</v>
      </c>
      <c r="F23">
        <v>1</v>
      </c>
      <c r="G23">
        <v>7</v>
      </c>
      <c r="H23" t="s">
        <v>3111</v>
      </c>
      <c r="I23" t="s">
        <v>3206</v>
      </c>
      <c r="J23" t="s">
        <v>2905</v>
      </c>
      <c r="K23" t="s">
        <v>3207</v>
      </c>
    </row>
    <row r="24" spans="1:12" x14ac:dyDescent="0.25">
      <c r="A24" t="s">
        <v>3208</v>
      </c>
      <c r="B24" t="s">
        <v>22</v>
      </c>
      <c r="C24" t="s">
        <v>3180</v>
      </c>
      <c r="D24" t="s">
        <v>3119</v>
      </c>
      <c r="E24" t="s">
        <v>1954</v>
      </c>
      <c r="F24">
        <v>1</v>
      </c>
      <c r="G24">
        <v>9</v>
      </c>
      <c r="H24" t="s">
        <v>3062</v>
      </c>
      <c r="I24" t="s">
        <v>6350</v>
      </c>
      <c r="J24" t="s">
        <v>2905</v>
      </c>
      <c r="K24" t="s">
        <v>3209</v>
      </c>
    </row>
    <row r="25" spans="1:12" x14ac:dyDescent="0.25">
      <c r="A25" t="s">
        <v>3210</v>
      </c>
      <c r="B25" t="s">
        <v>18</v>
      </c>
      <c r="C25" t="s">
        <v>3048</v>
      </c>
      <c r="D25" t="s">
        <v>3119</v>
      </c>
      <c r="E25" t="s">
        <v>902</v>
      </c>
      <c r="F25">
        <v>1</v>
      </c>
      <c r="G25">
        <v>3</v>
      </c>
      <c r="H25" t="s">
        <v>3050</v>
      </c>
      <c r="I25" t="s">
        <v>3211</v>
      </c>
      <c r="J25" t="s">
        <v>2905</v>
      </c>
      <c r="K25" t="s">
        <v>3212</v>
      </c>
      <c r="L25" t="s">
        <v>3074</v>
      </c>
    </row>
    <row r="26" spans="1:12" x14ac:dyDescent="0.25">
      <c r="A26" t="s">
        <v>6596</v>
      </c>
      <c r="B26" t="s">
        <v>18</v>
      </c>
      <c r="C26" t="s">
        <v>3048</v>
      </c>
      <c r="D26" t="s">
        <v>3081</v>
      </c>
      <c r="E26" t="s">
        <v>351</v>
      </c>
      <c r="F26">
        <v>1</v>
      </c>
      <c r="G26">
        <v>3</v>
      </c>
      <c r="H26" t="s">
        <v>3062</v>
      </c>
      <c r="I26" t="s">
        <v>6597</v>
      </c>
      <c r="J26" t="s">
        <v>2905</v>
      </c>
      <c r="K26" t="s">
        <v>6596</v>
      </c>
      <c r="L26" t="s">
        <v>6598</v>
      </c>
    </row>
    <row r="27" spans="1:12" x14ac:dyDescent="0.25">
      <c r="A27" t="s">
        <v>3213</v>
      </c>
      <c r="B27" t="s">
        <v>18</v>
      </c>
      <c r="C27" t="s">
        <v>3048</v>
      </c>
      <c r="D27" t="s">
        <v>3049</v>
      </c>
      <c r="E27" t="s">
        <v>1358</v>
      </c>
      <c r="F27">
        <v>1</v>
      </c>
      <c r="G27">
        <v>3</v>
      </c>
      <c r="H27" t="s">
        <v>3062</v>
      </c>
      <c r="I27" t="s">
        <v>3214</v>
      </c>
      <c r="J27" t="s">
        <v>2905</v>
      </c>
      <c r="K27" t="s">
        <v>3213</v>
      </c>
      <c r="L27" t="s">
        <v>3140</v>
      </c>
    </row>
    <row r="28" spans="1:12" x14ac:dyDescent="0.25">
      <c r="A28" t="s">
        <v>3215</v>
      </c>
      <c r="B28" t="s">
        <v>18</v>
      </c>
      <c r="C28" t="s">
        <v>3048</v>
      </c>
      <c r="D28" t="s">
        <v>3119</v>
      </c>
      <c r="E28" t="s">
        <v>351</v>
      </c>
      <c r="F28">
        <v>1</v>
      </c>
      <c r="G28">
        <v>3</v>
      </c>
      <c r="H28" t="s">
        <v>3058</v>
      </c>
      <c r="I28" t="s">
        <v>3216</v>
      </c>
      <c r="J28" t="s">
        <v>2905</v>
      </c>
      <c r="K28" t="s">
        <v>3215</v>
      </c>
      <c r="L28" t="s">
        <v>3129</v>
      </c>
    </row>
    <row r="29" spans="1:12" x14ac:dyDescent="0.25">
      <c r="A29" t="s">
        <v>3217</v>
      </c>
      <c r="B29" t="s">
        <v>18</v>
      </c>
      <c r="C29" t="s">
        <v>3048</v>
      </c>
      <c r="D29" t="s">
        <v>3049</v>
      </c>
      <c r="E29" t="s">
        <v>1358</v>
      </c>
      <c r="F29">
        <v>1</v>
      </c>
      <c r="G29">
        <v>3</v>
      </c>
      <c r="H29" t="s">
        <v>3062</v>
      </c>
      <c r="I29" t="s">
        <v>3218</v>
      </c>
      <c r="J29" t="s">
        <v>2905</v>
      </c>
      <c r="K29" t="s">
        <v>3217</v>
      </c>
      <c r="L29" t="s">
        <v>3140</v>
      </c>
    </row>
    <row r="30" spans="1:12" x14ac:dyDescent="0.25">
      <c r="A30" t="s">
        <v>3219</v>
      </c>
      <c r="B30" t="s">
        <v>18</v>
      </c>
      <c r="C30" t="s">
        <v>3048</v>
      </c>
      <c r="D30" t="s">
        <v>3049</v>
      </c>
      <c r="E30" t="s">
        <v>351</v>
      </c>
      <c r="F30">
        <v>1</v>
      </c>
      <c r="G30">
        <v>3</v>
      </c>
      <c r="H30" t="s">
        <v>3050</v>
      </c>
      <c r="I30" t="s">
        <v>3220</v>
      </c>
      <c r="J30" t="s">
        <v>2905</v>
      </c>
      <c r="K30" t="s">
        <v>3221</v>
      </c>
    </row>
    <row r="31" spans="1:12" x14ac:dyDescent="0.25">
      <c r="A31" t="s">
        <v>3222</v>
      </c>
      <c r="B31" t="s">
        <v>18</v>
      </c>
      <c r="C31" t="s">
        <v>3076</v>
      </c>
      <c r="D31" t="s">
        <v>3173</v>
      </c>
      <c r="E31" t="s">
        <v>1358</v>
      </c>
      <c r="F31">
        <v>1</v>
      </c>
      <c r="G31">
        <v>5</v>
      </c>
      <c r="H31" t="s">
        <v>3058</v>
      </c>
      <c r="I31" t="s">
        <v>3223</v>
      </c>
      <c r="J31" t="s">
        <v>2905</v>
      </c>
      <c r="K31" t="s">
        <v>3224</v>
      </c>
    </row>
    <row r="32" spans="1:12" x14ac:dyDescent="0.25">
      <c r="A32" t="s">
        <v>3225</v>
      </c>
      <c r="B32" t="s">
        <v>18</v>
      </c>
      <c r="C32" t="s">
        <v>3076</v>
      </c>
      <c r="D32" t="s">
        <v>3049</v>
      </c>
      <c r="E32" t="s">
        <v>1358</v>
      </c>
      <c r="F32">
        <v>1</v>
      </c>
      <c r="G32">
        <v>5</v>
      </c>
      <c r="H32" t="s">
        <v>3062</v>
      </c>
      <c r="I32" t="s">
        <v>3226</v>
      </c>
      <c r="J32" t="s">
        <v>2905</v>
      </c>
      <c r="K32" t="s">
        <v>3225</v>
      </c>
      <c r="L32" t="s">
        <v>3140</v>
      </c>
    </row>
    <row r="33" spans="1:12" x14ac:dyDescent="0.25">
      <c r="A33" t="s">
        <v>3227</v>
      </c>
      <c r="B33" t="s">
        <v>18</v>
      </c>
      <c r="C33" t="s">
        <v>3084</v>
      </c>
      <c r="D33" t="s">
        <v>3119</v>
      </c>
      <c r="E33" t="s">
        <v>1358</v>
      </c>
      <c r="F33">
        <v>1</v>
      </c>
      <c r="G33">
        <v>7</v>
      </c>
      <c r="H33" t="s">
        <v>3120</v>
      </c>
      <c r="I33" t="s">
        <v>3228</v>
      </c>
      <c r="J33" t="s">
        <v>2905</v>
      </c>
      <c r="K33" t="s">
        <v>3229</v>
      </c>
    </row>
    <row r="34" spans="1:12" x14ac:dyDescent="0.25">
      <c r="A34" t="s">
        <v>3230</v>
      </c>
      <c r="B34" t="s">
        <v>18</v>
      </c>
      <c r="C34" t="s">
        <v>3084</v>
      </c>
      <c r="D34" t="s">
        <v>3049</v>
      </c>
      <c r="E34" t="s">
        <v>1358</v>
      </c>
      <c r="F34">
        <v>1</v>
      </c>
      <c r="G34">
        <v>7</v>
      </c>
      <c r="H34" t="s">
        <v>3058</v>
      </c>
      <c r="I34" t="s">
        <v>3231</v>
      </c>
      <c r="J34" t="s">
        <v>2905</v>
      </c>
      <c r="K34" t="s">
        <v>3232</v>
      </c>
    </row>
    <row r="35" spans="1:12" x14ac:dyDescent="0.25">
      <c r="A35" t="s">
        <v>3233</v>
      </c>
      <c r="B35" t="s">
        <v>18</v>
      </c>
      <c r="C35" t="s">
        <v>3180</v>
      </c>
      <c r="D35" t="s">
        <v>3119</v>
      </c>
      <c r="E35" t="s">
        <v>1358</v>
      </c>
      <c r="F35">
        <v>1</v>
      </c>
      <c r="G35">
        <v>9</v>
      </c>
      <c r="H35" t="s">
        <v>3050</v>
      </c>
      <c r="I35" t="s">
        <v>3234</v>
      </c>
      <c r="J35" t="s">
        <v>2905</v>
      </c>
      <c r="K35" t="s">
        <v>3235</v>
      </c>
      <c r="L35" t="s">
        <v>3236</v>
      </c>
    </row>
    <row r="36" spans="1:12" x14ac:dyDescent="0.25">
      <c r="A36" t="s">
        <v>3237</v>
      </c>
      <c r="B36" t="s">
        <v>26</v>
      </c>
      <c r="C36" t="s">
        <v>3048</v>
      </c>
      <c r="D36" t="s">
        <v>3049</v>
      </c>
      <c r="E36" t="s">
        <v>519</v>
      </c>
      <c r="F36">
        <v>1</v>
      </c>
      <c r="G36">
        <v>3</v>
      </c>
      <c r="H36" t="s">
        <v>3111</v>
      </c>
      <c r="I36" t="s">
        <v>3238</v>
      </c>
      <c r="J36" t="s">
        <v>2905</v>
      </c>
      <c r="K36" t="s">
        <v>3237</v>
      </c>
    </row>
    <row r="37" spans="1:12" x14ac:dyDescent="0.25">
      <c r="A37" t="s">
        <v>3239</v>
      </c>
      <c r="B37" t="s">
        <v>26</v>
      </c>
      <c r="C37" t="s">
        <v>3076</v>
      </c>
      <c r="D37" t="s">
        <v>3049</v>
      </c>
      <c r="E37" t="s">
        <v>519</v>
      </c>
      <c r="F37">
        <v>1</v>
      </c>
      <c r="G37">
        <v>5</v>
      </c>
      <c r="H37" t="s">
        <v>3111</v>
      </c>
      <c r="I37" t="s">
        <v>3238</v>
      </c>
      <c r="J37" t="s">
        <v>2905</v>
      </c>
      <c r="K37" t="s">
        <v>3240</v>
      </c>
    </row>
    <row r="38" spans="1:12" x14ac:dyDescent="0.25">
      <c r="A38" t="s">
        <v>3241</v>
      </c>
      <c r="B38" t="s">
        <v>26</v>
      </c>
      <c r="C38" t="s">
        <v>3084</v>
      </c>
      <c r="D38" t="s">
        <v>3081</v>
      </c>
      <c r="E38" t="s">
        <v>1794</v>
      </c>
      <c r="F38">
        <v>1</v>
      </c>
      <c r="G38">
        <v>7</v>
      </c>
      <c r="H38" t="s">
        <v>3050</v>
      </c>
      <c r="I38" t="s">
        <v>3242</v>
      </c>
      <c r="J38" t="s">
        <v>2905</v>
      </c>
      <c r="K38" t="s">
        <v>3241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
  <sheetViews>
    <sheetView workbookViewId="0">
      <selection activeCell="F10" sqref="F10"/>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3246</v>
      </c>
      <c r="B1" t="s">
        <v>9</v>
      </c>
      <c r="C1" t="s">
        <v>3247</v>
      </c>
      <c r="D1" t="s">
        <v>2899</v>
      </c>
      <c r="E1" t="s">
        <v>2947</v>
      </c>
      <c r="F1" t="s">
        <v>57</v>
      </c>
    </row>
    <row r="2" spans="1:6" x14ac:dyDescent="0.25">
      <c r="A2" t="s">
        <v>3248</v>
      </c>
      <c r="B2" t="s">
        <v>1794</v>
      </c>
      <c r="C2" t="s">
        <v>3249</v>
      </c>
      <c r="D2" t="s">
        <v>3250</v>
      </c>
      <c r="E2" t="s">
        <v>3251</v>
      </c>
    </row>
    <row r="3" spans="1:6" x14ac:dyDescent="0.25">
      <c r="A3" t="s">
        <v>3252</v>
      </c>
      <c r="B3" t="s">
        <v>1034</v>
      </c>
      <c r="C3" t="s">
        <v>3249</v>
      </c>
      <c r="D3" t="s">
        <v>3253</v>
      </c>
      <c r="E3" t="s">
        <v>3254</v>
      </c>
      <c r="F3" t="s">
        <v>3255</v>
      </c>
    </row>
    <row r="4" spans="1:6" x14ac:dyDescent="0.25">
      <c r="A4" t="s">
        <v>3256</v>
      </c>
      <c r="B4" t="s">
        <v>1794</v>
      </c>
      <c r="C4" t="s">
        <v>3249</v>
      </c>
      <c r="D4" t="s">
        <v>3257</v>
      </c>
      <c r="E4" t="s">
        <v>3258</v>
      </c>
    </row>
    <row r="5" spans="1:6" x14ac:dyDescent="0.25">
      <c r="A5" t="s">
        <v>3259</v>
      </c>
      <c r="B5" t="s">
        <v>1794</v>
      </c>
      <c r="C5" t="s">
        <v>3260</v>
      </c>
      <c r="D5" t="s">
        <v>3261</v>
      </c>
      <c r="E5" t="s">
        <v>3262</v>
      </c>
      <c r="F5" t="s">
        <v>3263</v>
      </c>
    </row>
    <row r="6" spans="1:6" x14ac:dyDescent="0.25">
      <c r="A6" t="s">
        <v>3264</v>
      </c>
      <c r="B6" t="s">
        <v>1794</v>
      </c>
      <c r="C6" t="s">
        <v>3260</v>
      </c>
      <c r="D6" t="s">
        <v>3265</v>
      </c>
      <c r="E6" t="s">
        <v>3266</v>
      </c>
    </row>
    <row r="7" spans="1:6" x14ac:dyDescent="0.25">
      <c r="A7" t="s">
        <v>3267</v>
      </c>
      <c r="B7" t="s">
        <v>1794</v>
      </c>
      <c r="C7" t="s">
        <v>3268</v>
      </c>
      <c r="D7" t="s">
        <v>3269</v>
      </c>
      <c r="E7" t="s">
        <v>3270</v>
      </c>
      <c r="F7" t="s">
        <v>3271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2D2FB-B277-4F94-9DD3-9F922772648C}">
  <dimension ref="A1:I4"/>
  <sheetViews>
    <sheetView workbookViewId="0">
      <selection activeCell="D20" sqref="D20"/>
    </sheetView>
  </sheetViews>
  <sheetFormatPr defaultRowHeight="15" x14ac:dyDescent="0.25"/>
  <cols>
    <col min="1" max="1" width="9.28515625" bestFit="1" customWidth="1"/>
    <col min="2" max="2" width="7.42578125" customWidth="1"/>
    <col min="3" max="3" width="13.140625" bestFit="1" customWidth="1"/>
    <col min="4" max="4" width="86.28515625" bestFit="1" customWidth="1"/>
    <col min="5" max="5" width="17.7109375" customWidth="1"/>
    <col min="6" max="6" width="68.42578125" bestFit="1" customWidth="1"/>
    <col min="7" max="7" width="17.42578125" customWidth="1"/>
    <col min="8" max="8" width="11.7109375" bestFit="1" customWidth="1"/>
    <col min="9" max="9" width="9.28515625" bestFit="1" customWidth="1"/>
  </cols>
  <sheetData>
    <row r="1" spans="1:9" x14ac:dyDescent="0.25">
      <c r="A1" t="s">
        <v>52</v>
      </c>
      <c r="B1" t="s">
        <v>53</v>
      </c>
      <c r="C1" t="s">
        <v>9</v>
      </c>
      <c r="D1" t="s">
        <v>6687</v>
      </c>
      <c r="E1" t="s">
        <v>6695</v>
      </c>
      <c r="F1" t="s">
        <v>6686</v>
      </c>
      <c r="G1" t="s">
        <v>6696</v>
      </c>
      <c r="H1" t="s">
        <v>4023</v>
      </c>
      <c r="I1" t="s">
        <v>5820</v>
      </c>
    </row>
    <row r="2" spans="1:9" x14ac:dyDescent="0.25">
      <c r="A2" t="s">
        <v>5746</v>
      </c>
      <c r="B2" t="s">
        <v>4030</v>
      </c>
      <c r="C2" t="s">
        <v>1954</v>
      </c>
      <c r="D2" t="s">
        <v>6693</v>
      </c>
      <c r="E2" t="s">
        <v>6697</v>
      </c>
      <c r="F2" t="s">
        <v>6690</v>
      </c>
      <c r="G2" t="s">
        <v>6698</v>
      </c>
      <c r="H2" t="s">
        <v>6688</v>
      </c>
      <c r="I2" t="s">
        <v>5746</v>
      </c>
    </row>
    <row r="3" spans="1:9" x14ac:dyDescent="0.25">
      <c r="A3" t="s">
        <v>5750</v>
      </c>
      <c r="B3" t="s">
        <v>4030</v>
      </c>
      <c r="C3" t="s">
        <v>1954</v>
      </c>
      <c r="D3" t="s">
        <v>6694</v>
      </c>
      <c r="E3" t="s">
        <v>6699</v>
      </c>
      <c r="F3" t="s">
        <v>6689</v>
      </c>
      <c r="G3" t="s">
        <v>6700</v>
      </c>
      <c r="H3" t="s">
        <v>6688</v>
      </c>
      <c r="I3" t="s">
        <v>5750</v>
      </c>
    </row>
    <row r="4" spans="1:9" x14ac:dyDescent="0.25">
      <c r="A4" t="s">
        <v>6078</v>
      </c>
      <c r="B4" t="s">
        <v>4034</v>
      </c>
      <c r="C4" t="s">
        <v>1358</v>
      </c>
      <c r="D4" t="s">
        <v>6692</v>
      </c>
      <c r="E4" t="s">
        <v>6701</v>
      </c>
      <c r="F4" t="s">
        <v>6691</v>
      </c>
      <c r="G4" t="s">
        <v>6702</v>
      </c>
      <c r="H4" t="s">
        <v>6688</v>
      </c>
      <c r="I4" t="s">
        <v>6078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F5E5F-E526-4BF9-8460-C5B9CDE1BCA6}">
  <dimension ref="A1:AA3"/>
  <sheetViews>
    <sheetView tabSelected="1" workbookViewId="0">
      <selection activeCell="H27" sqref="H27"/>
    </sheetView>
  </sheetViews>
  <sheetFormatPr defaultRowHeight="15" x14ac:dyDescent="0.25"/>
  <cols>
    <col min="2" max="2" width="22.5703125" customWidth="1"/>
    <col min="3" max="3" width="13.42578125" bestFit="1" customWidth="1"/>
    <col min="4" max="4" width="32.5703125" bestFit="1" customWidth="1"/>
    <col min="5" max="5" width="6.42578125" bestFit="1" customWidth="1"/>
    <col min="7" max="7" width="11.85546875" customWidth="1"/>
  </cols>
  <sheetData>
    <row r="1" spans="1:27">
      <c r="A1" t="inlineStr">
        <is>
          <t xml:space="preserve">Event</t>
        </is>
      </c>
      <c r="B1" t="inlineStr">
        <is>
          <t xml:space="preserve">Game</t>
        </is>
      </c>
      <c r="C1" t="inlineStr">
        <is>
          <t xml:space="preserve">Tier</t>
        </is>
      </c>
      <c r="D1" t="inlineStr">
        <is>
          <t xml:space="preserve">Where</t>
        </is>
      </c>
      <c r="E1" t="inlineStr">
        <is>
          <t xml:space="preserve">Trigger</t>
        </is>
      </c>
      <c r="F1" t="inlineStr">
        <is>
          <t xml:space="preserve">Rarity</t>
        </is>
      </c>
      <c r="G1" t="inlineStr">
        <is>
          <t xml:space="preserve">Limit</t>
        </is>
      </c>
      <c r="H1" t="inlineStr">
        <is>
          <t xml:space="preserve">Image</t>
        </is>
      </c>
      <c r="I1" t="inlineStr">
        <is>
          <t xml:space="preserve">Prompt</t>
        </is>
      </c>
      <c r="J1" t="inlineStr">
        <is>
          <t xml:space="preserve">Goal Met</t>
        </is>
      </c>
      <c r="K1" t="inlineStr">
        <is>
          <t xml:space="preserve">Goal Missed</t>
        </is>
      </c>
      <c r="L1" t="inlineStr">
        <is>
          <t xml:space="preserve">Choice 1</t>
        </is>
      </c>
      <c r="M1" t="inlineStr">
        <is>
          <t xml:space="preserve">Repeat 1</t>
        </is>
      </c>
      <c r="N1" t="inlineStr">
        <is>
          <t xml:space="preserve">Result 1</t>
        </is>
      </c>
      <c r="O1" t="inlineStr">
        <is>
          <t xml:space="preserve">Effect 1</t>
        </is>
      </c>
      <c r="P1" t="inlineStr">
        <is>
          <t xml:space="preserve">Choice 2</t>
        </is>
      </c>
      <c r="Q1" t="inlineStr">
        <is>
          <t xml:space="preserve">Repeat 2</t>
        </is>
      </c>
      <c r="R1" t="inlineStr">
        <is>
          <t xml:space="preserve">Result 2</t>
        </is>
      </c>
      <c r="S1" t="inlineStr">
        <is>
          <t xml:space="preserve">Effect 2</t>
        </is>
      </c>
      <c r="T1" t="inlineStr">
        <is>
          <t xml:space="preserve">Choice 3</t>
        </is>
      </c>
      <c r="U1" t="inlineStr">
        <is>
          <t xml:space="preserve">Repeat 3</t>
        </is>
      </c>
      <c r="V1" t="inlineStr">
        <is>
          <t xml:space="preserve">Result 3</t>
        </is>
      </c>
      <c r="W1" t="inlineStr">
        <is>
          <t xml:space="preserve">Effect 3</t>
        </is>
      </c>
      <c r="X1" t="inlineStr">
        <is>
          <t xml:space="preserve">Choice 4</t>
        </is>
      </c>
      <c r="Y1" t="inlineStr">
        <is>
          <t xml:space="preserve">Repeat 4</t>
        </is>
      </c>
      <c r="Z1" t="inlineStr">
        <is>
          <t xml:space="preserve">Result 4</t>
        </is>
      </c>
      <c r="AA1" t="inlineStr">
        <is>
          <t xml:space="preserve">Effect 4</t>
        </is>
      </c>
    </row>
    <row r="2" spans="1:27">
      <c r="A2" t="inlineStr">
        <is>
          <t xml:space="preserve">Abyssal Baths</t>
        </is>
      </c>
      <c r="B2" t="inlineStr">
        <is>
          <t xml:space="preserve">Slay the Spire 2</t>
        </is>
      </c>
      <c r="C2" t="inlineStr">
        <is>
          <t xml:space="preserve">All</t>
        </is>
      </c>
      <c r="D2" t="inlineStr">
        <is>
          <t xml:space="preserve">Dead End</t>
        </is>
      </c>
      <c r="E2" t="inlineStr">
        <is>
          <t xml:space="preserve">After</t>
        </is>
      </c>
      <c r="F2" t="inlineStr">
        <is>
          <t xml:space="preserve">Common</t>
        </is>
      </c>
      <c r="G2" t="inlineStr">
        <is>
          <t xml:space="preserve">1</t>
        </is>
      </c>
      <c r="H2" t="inlineStr">
        <is>
          <t xml:space="preserve">AbyssalBaths</t>
        </is>
      </c>
      <c r="I2" t="inlineStr">
        <is>
          <t xml:space="preserve">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is>
      </c>
      <c r="L2" t="inlineStr">
        <is>
          <t xml:space="preserve">Immerse</t>
        </is>
      </c>
      <c r="M2" t="inlineStr">
        <is>
          <t xml:space="preserve">Stay</t>
        </is>
      </c>
      <c r="N2" t="inlineStr">
        <is>
          <t xml:space="preserve">The liquid burns against your skin, simultaneously freezing and scalding. Beneath the surface, something brushes against your legs—tendrils? Currents with purpose? But when the pain subsides, you feel... denser somehow. More substantial.</t>
        </is>
      </c>
      <c r="O2" t="inlineStr">
        <is>
          <t xml:space="preserve">gain_max_hp 1; lose_hp 3</t>
        </is>
      </c>
      <c r="P2" t="inlineStr">
        <is>
          <t xml:space="preserve">Linger</t>
        </is>
      </c>
      <c r="Q2" t="inlineStr">
        <is>
          <t xml:space="preserve">Again</t>
        </is>
      </c>
      <c r="S2" t="inlineStr">
        <is>
          <t xml:space="preserve">needs Immerse &gt; 0; gain_max_hp 1; lose_hp {4+X}</t>
        </is>
      </c>
      <c r="T2" t="inlineStr">
        <is>
          <t xml:space="preserve">Abstain</t>
        </is>
      </c>
      <c r="V2" t="inlineStr">
        <is>
          <t xml:space="preserve">You decline the temptation of the waters, instead gathering crystalline salts that have formed along the edges. As you apply them to your skin, the pools churn and froth agitatedly.</t>
        </is>
      </c>
      <c r="W2" t="inlineStr">
        <is>
          <t xml:space="preserve">needs Immerse = 0; gain_hp 3</t>
        </is>
      </c>
      <c r="X2" t="inlineStr">
        <is>
          <t xml:space="preserve">Exit Baths</t>
        </is>
      </c>
      <c r="AA2" t="inlineStr">
        <is>
          <t xml:space="preserve">needs Immerse &gt; 0; nothing</t>
        </is>
      </c>
    </row>
    <row r="3" spans="1:27">
      <c r="A3" t="inlineStr">
        <is>
          <t xml:space="preserve">Battleworn Dummy</t>
        </is>
      </c>
      <c r="B3" t="inlineStr">
        <is>
          <t xml:space="preserve">Slay the Spire 2</t>
        </is>
      </c>
      <c r="C3" t="inlineStr">
        <is>
          <t xml:space="preserve">All</t>
        </is>
      </c>
      <c r="D3" t="inlineStr">
        <is>
          <t xml:space="preserve">Dead End</t>
        </is>
      </c>
      <c r="E3" t="inlineStr">
        <is>
          <t xml:space="preserve">After</t>
        </is>
      </c>
      <c r="F3" t="inlineStr">
        <is>
          <t xml:space="preserve">Common</t>
        </is>
      </c>
      <c r="G3" t="inlineStr">
        <is>
          <t xml:space="preserve">1</t>
        </is>
      </c>
      <c r="H3" t="inlineStr">
        <is>
          <t xml:space="preserve">BattlewornDummy</t>
        </is>
      </c>
      <c r="I3" t="inlineStr">
        <is>
          <t xml:space="preserve">As you approach, it begins to rumble and fizzle and lights up brilliantly! "BZZZT! TIME TO TRAIN!!! YOU HAVE 3 TURNS TO DEFEAT ME! CHOOSE A SETTING OR FACE LETHAL HUMILIATION."</t>
        </is>
      </c>
      <c r="J3" t="inlineStr">
        <is>
          <t xml:space="preserve">"YOU PASS THE TRAINING! YOU ARE NOW EQUIPPED TO DEFEND THIS FACTORY AGAINST INTRUDERS!! BE SURE TO HYDRATE AFTER TRAINING SESSIONS!"</t>
        </is>
      </c>
      <c r="K3" t="inlineStr">
        <is>
          <t xml:space="preserve">"YOU ARE WEAK!! HUMILIATION HAS BEEN ADMINISTERED!" The dummy is silent for a moment and— "Choose a lower setting next time."</t>
        </is>
      </c>
      <c r="L3" t="inlineStr">
        <is>
          <t xml:space="preserve">Setting 1</t>
        </is>
      </c>
      <c r="O3" t="inlineStr">
        <is>
          <t xml:space="preserve">add_goal "beat a game in 5 attempts or fewer" for 3 games -&gt; gain_scroll 1</t>
        </is>
      </c>
      <c r="P3" t="inlineStr">
        <is>
          <t xml:space="preserve">Setting 2</t>
        </is>
      </c>
      <c r="S3" t="inlineStr">
        <is>
          <t xml:space="preserve">add_goal "beat a game in 3 attempts or fewer" for 3 games -&gt; gain_chest small 1</t>
        </is>
      </c>
      <c r="T3" t="inlineStr">
        <is>
          <t xml:space="preserve">Setting 3</t>
        </is>
      </c>
      <c r="W3" t="inlineStr">
        <is>
          <t xml:space="preserve">add_goal "beat a game in 1 attempt" for 3 games -&gt; gain_chest large 1</t>
        </is>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85D393-2741-456E-81C6-DE8CD58367E5}">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52</v>
      </c>
      <c r="B1" t="s">
        <v>9</v>
      </c>
      <c r="C1" t="s">
        <v>3040</v>
      </c>
      <c r="D1" t="s">
        <v>3043</v>
      </c>
      <c r="E1" t="s">
        <v>3044</v>
      </c>
      <c r="F1" t="s">
        <v>6594</v>
      </c>
      <c r="G1" t="s">
        <v>6600</v>
      </c>
      <c r="H1" t="s">
        <v>6599</v>
      </c>
      <c r="I1" t="s">
        <v>6595</v>
      </c>
    </row>
    <row r="2" spans="1:9" x14ac:dyDescent="0.25">
      <c r="A2" t="s">
        <v>6103</v>
      </c>
      <c r="B2" t="s">
        <v>2203</v>
      </c>
      <c r="C2" t="s">
        <v>3048</v>
      </c>
      <c r="D2" t="s">
        <v>3062</v>
      </c>
      <c r="E2" t="s">
        <v>6601</v>
      </c>
      <c r="F2" t="s">
        <v>2914</v>
      </c>
      <c r="G2" t="s">
        <v>3807</v>
      </c>
      <c r="H2" t="s">
        <v>6602</v>
      </c>
      <c r="I2" t="s">
        <v>6598</v>
      </c>
    </row>
    <row r="3" spans="1:9" x14ac:dyDescent="0.25">
      <c r="A3" t="s">
        <v>6105</v>
      </c>
      <c r="B3" t="s">
        <v>2203</v>
      </c>
      <c r="C3" t="s">
        <v>3048</v>
      </c>
      <c r="D3" t="s">
        <v>3050</v>
      </c>
      <c r="E3" t="s">
        <v>6616</v>
      </c>
      <c r="F3" t="s">
        <v>2914</v>
      </c>
      <c r="G3" t="s">
        <v>3807</v>
      </c>
      <c r="I3" t="s">
        <v>6617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3"/>
  <sheetViews>
    <sheetView topLeftCell="A3" zoomScale="85" zoomScaleNormal="85" workbookViewId="0">
      <selection activeCell="N27" sqref="N27"/>
    </sheetView>
  </sheetViews>
  <sheetFormatPr defaultRowHeight="15" x14ac:dyDescent="0.25"/>
  <cols>
    <col min="1" max="1" width="22" customWidth="1"/>
    <col min="2" max="2" width="12" customWidth="1"/>
    <col min="3" max="3" width="52" customWidth="1"/>
    <col min="5" max="5" width="10" customWidth="1"/>
    <col min="6" max="6" width="9" customWidth="1"/>
    <col min="8" max="8" width="14" customWidth="1"/>
    <col min="9" max="9" width="9" customWidth="1"/>
    <col min="11" max="11" width="7" customWidth="1"/>
    <col min="12" max="12" width="32" customWidth="1"/>
    <col min="13" max="13" width="9" customWidth="1"/>
    <col min="15" max="15" width="8" customWidth="1"/>
    <col min="16" max="16" width="9" customWidth="1"/>
    <col min="17" max="17" width="13" customWidth="1"/>
    <col min="19" max="19" width="11" customWidth="1"/>
    <col min="20" max="20" width="13" customWidth="1"/>
  </cols>
  <sheetData>
    <row r="1" spans="1:20" ht="20.25" x14ac:dyDescent="0.3">
      <c r="A1" s="12" t="s">
        <v>0</v>
      </c>
    </row>
    <row r="2" spans="1:20" x14ac:dyDescent="0.25">
      <c r="A2" s="13" t="s">
        <v>1</v>
      </c>
    </row>
    <row r="4" spans="1:20" x14ac:dyDescent="0.25">
      <c r="A4" s="14" t="s">
        <v>2</v>
      </c>
      <c r="B4" s="14" t="s">
        <v>3</v>
      </c>
      <c r="C4" s="14" t="s">
        <v>4</v>
      </c>
      <c r="E4" s="14" t="s">
        <v>5</v>
      </c>
      <c r="F4" s="14" t="s">
        <v>6</v>
      </c>
      <c r="H4" s="14" t="s">
        <v>7</v>
      </c>
      <c r="I4" s="14" t="s">
        <v>6</v>
      </c>
      <c r="K4" s="14" t="s">
        <v>8</v>
      </c>
      <c r="L4" s="14" t="s">
        <v>9</v>
      </c>
      <c r="M4" s="14" t="s">
        <v>5</v>
      </c>
      <c r="O4" s="14" t="s">
        <v>10</v>
      </c>
      <c r="P4" s="14" t="s">
        <v>6</v>
      </c>
      <c r="Q4" s="14" t="s">
        <v>11</v>
      </c>
      <c r="S4" s="14" t="s">
        <v>12</v>
      </c>
      <c r="T4" s="14" t="s">
        <v>11</v>
      </c>
    </row>
    <row r="5" spans="1:20" x14ac:dyDescent="0.25">
      <c r="A5" s="15" t="s">
        <v>6</v>
      </c>
      <c r="B5" s="22">
        <f>COUNTA(games!$A$2:$A$834)</f>
        <v>833</v>
      </c>
      <c r="C5" s="17" t="s">
        <v>13</v>
      </c>
      <c r="E5" t="s">
        <v>14</v>
      </c>
      <c r="F5">
        <f>COUNTIF('Map Calc'!$D$2:$D$820,0)</f>
        <v>81</v>
      </c>
      <c r="H5" t="s">
        <v>15</v>
      </c>
      <c r="I5">
        <f>COUNTIF(games!$C$2:$C$834,$H5)</f>
        <v>361</v>
      </c>
      <c r="K5">
        <v>1</v>
      </c>
      <c r="L5" t="str">
        <f>IFERROR(INDEX('Map Calc'!$A$2:$A$820,MATCH(LARGE('Map Calc'!$O$2:$O$820,1),'Map Calc'!$O$2:$O$820,0)),"")</f>
        <v>Slay the Spire</v>
      </c>
      <c r="M5">
        <f>IFERROR(INDEX('Map Calc'!$D$2:$D$820,MATCH(LARGE('Map Calc'!$O$2:$O$820,1),'Map Calc'!$O$2:$O$820,0)),"")</f>
        <v>141</v>
      </c>
      <c r="O5">
        <v>1978</v>
      </c>
      <c r="P5">
        <f>COUNTIF(games!$B$2:$B$834,$O5)</f>
        <v>1</v>
      </c>
      <c r="Q5">
        <f>COUNTIF('Map Calc'!$T$2:$T$1060,$O5)</f>
        <v>0</v>
      </c>
      <c r="S5">
        <v>0</v>
      </c>
      <c r="T5">
        <f>COUNTIF('Map Calc'!$V$2:$V$1060,$S5)</f>
        <v>9</v>
      </c>
    </row>
    <row r="6" spans="1:20" x14ac:dyDescent="0.25">
      <c r="A6" s="15" t="s">
        <v>11</v>
      </c>
      <c r="B6" s="22">
        <f>COUNTA(connections!$A$2:$A$1188)</f>
        <v>1187</v>
      </c>
      <c r="C6" s="17" t="s">
        <v>16</v>
      </c>
      <c r="E6" t="s">
        <v>17</v>
      </c>
      <c r="F6">
        <f>COUNTIF('Map Calc'!$D$2:$D$820,1)</f>
        <v>322</v>
      </c>
      <c r="H6" t="s">
        <v>18</v>
      </c>
      <c r="I6">
        <f>COUNTIF(games!$C$2:$C$834,$H6)</f>
        <v>146</v>
      </c>
      <c r="K6">
        <v>2</v>
      </c>
      <c r="L6" t="str">
        <f>IFERROR(INDEX('Map Calc'!$A$2:$A$820,MATCH(LARGE('Map Calc'!$O$2:$O$820,2),'Map Calc'!$O$2:$O$820,0)),"")</f>
        <v>Vampire Survivors</v>
      </c>
      <c r="M6">
        <f>IFERROR(INDEX('Map Calc'!$D$2:$D$820,MATCH(LARGE('Map Calc'!$O$2:$O$820,2),'Map Calc'!$O$2:$O$820,0)),"")</f>
        <v>85</v>
      </c>
      <c r="O6">
        <v>1979</v>
      </c>
      <c r="P6">
        <f>COUNTIF(games!$B$2:$B$834,$O6)</f>
        <v>0</v>
      </c>
      <c r="Q6">
        <f>COUNTIF('Map Calc'!$T$2:$T$1060,$O6)</f>
        <v>0</v>
      </c>
      <c r="S6">
        <v>1</v>
      </c>
      <c r="T6">
        <f>COUNTIF('Map Calc'!$V$2:$V$1060,$S6)</f>
        <v>59</v>
      </c>
    </row>
    <row r="7" spans="1:20" x14ac:dyDescent="0.25">
      <c r="A7" s="15" t="s">
        <v>19</v>
      </c>
      <c r="B7" s="18">
        <f>IF(B5=0,0,2*B6/B5)</f>
        <v>2.8499399759903961</v>
      </c>
      <c r="C7" s="17" t="s">
        <v>20</v>
      </c>
      <c r="E7" t="s">
        <v>21</v>
      </c>
      <c r="F7">
        <f>COUNTIF('Map Calc'!$D$2:$D$820,2)</f>
        <v>196</v>
      </c>
      <c r="H7" t="s">
        <v>22</v>
      </c>
      <c r="I7">
        <f>COUNTIF(games!$C$2:$C$834,$H7)</f>
        <v>169</v>
      </c>
      <c r="K7">
        <v>3</v>
      </c>
      <c r="L7" t="str">
        <f>IFERROR(INDEX('Map Calc'!$A$2:$A$820,MATCH(LARGE('Map Calc'!$O$2:$O$820,3),'Map Calc'!$O$2:$O$820,0)),"")</f>
        <v>The Binding of Isaac</v>
      </c>
      <c r="M7">
        <f>IFERROR(INDEX('Map Calc'!$D$2:$D$820,MATCH(LARGE('Map Calc'!$O$2:$O$820,3),'Map Calc'!$O$2:$O$820,0)),"")</f>
        <v>69</v>
      </c>
      <c r="O7">
        <v>1980</v>
      </c>
      <c r="P7">
        <f>COUNTIF(games!$B$2:$B$834,$O7)</f>
        <v>1</v>
      </c>
      <c r="Q7">
        <f>COUNTIF('Map Calc'!$T$2:$T$1060,$O7)</f>
        <v>21</v>
      </c>
      <c r="S7">
        <v>2</v>
      </c>
      <c r="T7">
        <f>COUNTIF('Map Calc'!$V$2:$V$1060,$S7)</f>
        <v>130</v>
      </c>
    </row>
    <row r="8" spans="1:20" x14ac:dyDescent="0.25">
      <c r="A8" s="15" t="s">
        <v>23</v>
      </c>
      <c r="B8" s="16">
        <f>MEDIAN('Map Calc'!$D$2:$D$820)</f>
        <v>2</v>
      </c>
      <c r="C8" s="17" t="s">
        <v>24</v>
      </c>
      <c r="E8" t="s">
        <v>25</v>
      </c>
      <c r="F8">
        <f>COUNTIF('Map Calc'!$D$2:$D$820,3)</f>
        <v>96</v>
      </c>
      <c r="H8" t="s">
        <v>26</v>
      </c>
      <c r="I8">
        <f>COUNTIF(games!$C$2:$C$834,$H8)</f>
        <v>157</v>
      </c>
      <c r="K8">
        <v>4</v>
      </c>
      <c r="L8" t="str">
        <f>IFERROR(INDEX('Map Calc'!$A$2:$A$820,MATCH(LARGE('Map Calc'!$O$2:$O$820,4),'Map Calc'!$O$2:$O$820,0)),"")</f>
        <v>Hades</v>
      </c>
      <c r="M8">
        <f>IFERROR(INDEX('Map Calc'!$D$2:$D$820,MATCH(LARGE('Map Calc'!$O$2:$O$820,4),'Map Calc'!$O$2:$O$820,0)),"")</f>
        <v>46</v>
      </c>
      <c r="O8">
        <v>1981</v>
      </c>
      <c r="P8">
        <f>COUNTIF(games!$B$2:$B$834,$O8)</f>
        <v>0</v>
      </c>
      <c r="Q8">
        <f>COUNTIF('Map Calc'!$T$2:$T$1060,$O8)</f>
        <v>0</v>
      </c>
      <c r="S8">
        <v>3</v>
      </c>
      <c r="T8">
        <f>COUNTIF('Map Calc'!$V$2:$V$1060,$S8)</f>
        <v>129</v>
      </c>
    </row>
    <row r="9" spans="1:20" x14ac:dyDescent="0.25">
      <c r="A9" s="15" t="s">
        <v>27</v>
      </c>
      <c r="B9" s="16">
        <f>MAX('Map Calc'!$D$2:$D$820)</f>
        <v>141</v>
      </c>
      <c r="C9" s="17" t="s">
        <v>28</v>
      </c>
      <c r="E9" t="s">
        <v>29</v>
      </c>
      <c r="F9">
        <f>COUNTIF('Map Calc'!$D$2:$D$820,4)</f>
        <v>42</v>
      </c>
      <c r="K9">
        <v>5</v>
      </c>
      <c r="L9" t="str">
        <f>IFERROR(INDEX('Map Calc'!$A$2:$A$820,MATCH(LARGE('Map Calc'!$O$2:$O$820,5),'Map Calc'!$O$2:$O$820,0)),"")</f>
        <v>Balatro</v>
      </c>
      <c r="M9">
        <f>IFERROR(INDEX('Map Calc'!$D$2:$D$820,MATCH(LARGE('Map Calc'!$O$2:$O$820,5),'Map Calc'!$O$2:$O$820,0)),"")</f>
        <v>46</v>
      </c>
      <c r="O9">
        <v>1982</v>
      </c>
      <c r="P9">
        <f>COUNTIF(games!$B$2:$B$834,$O9)</f>
        <v>1</v>
      </c>
      <c r="Q9">
        <f>COUNTIF('Map Calc'!$T$2:$T$1060,$O9)</f>
        <v>1</v>
      </c>
      <c r="S9">
        <v>4</v>
      </c>
      <c r="T9">
        <f>COUNTIF('Map Calc'!$V$2:$V$1060,$S9)</f>
        <v>108</v>
      </c>
    </row>
    <row r="10" spans="1:20" x14ac:dyDescent="0.25">
      <c r="A10" s="15" t="s">
        <v>30</v>
      </c>
      <c r="B10" s="16">
        <f>COUNTIF('Map Calc'!$D$2:$D$820,1)</f>
        <v>322</v>
      </c>
      <c r="C10" s="17" t="s">
        <v>31</v>
      </c>
      <c r="E10" t="s">
        <v>32</v>
      </c>
      <c r="F10">
        <f>COUNTIF('Map Calc'!$D$2:$D$820,5)</f>
        <v>25</v>
      </c>
      <c r="K10">
        <v>6</v>
      </c>
      <c r="L10" t="str">
        <f>IFERROR(INDEX('Map Calc'!$A$2:$A$820,MATCH(LARGE('Map Calc'!$O$2:$O$820,6),'Map Calc'!$O$2:$O$820,0)),"")</f>
        <v>Spelunky Classic</v>
      </c>
      <c r="M10">
        <f>IFERROR(INDEX('Map Calc'!$D$2:$D$820,MATCH(LARGE('Map Calc'!$O$2:$O$820,6),'Map Calc'!$O$2:$O$820,0)),"")</f>
        <v>37</v>
      </c>
      <c r="O10">
        <v>1983</v>
      </c>
      <c r="P10">
        <f>COUNTIF(games!$B$2:$B$834,$O10)</f>
        <v>1</v>
      </c>
      <c r="Q10">
        <f>COUNTIF('Map Calc'!$T$2:$T$1060,$O10)</f>
        <v>3</v>
      </c>
      <c r="S10">
        <v>5</v>
      </c>
      <c r="T10">
        <f>COUNTIF('Map Calc'!$V$2:$V$1060,$S10)</f>
        <v>100</v>
      </c>
    </row>
    <row r="11" spans="1:20" x14ac:dyDescent="0.25">
      <c r="A11" s="15" t="s">
        <v>33</v>
      </c>
      <c r="B11" s="16">
        <f>COUNTIF('Map Calc'!$D$2:$D$820,0)</f>
        <v>81</v>
      </c>
      <c r="C11" s="17" t="s">
        <v>34</v>
      </c>
      <c r="E11" t="s">
        <v>35</v>
      </c>
      <c r="F11">
        <f>COUNTIFS('Map Calc'!$D$2:$D$820,"&gt;=6",'Map Calc'!$D$2:$D$820,"&lt;=9")</f>
        <v>26</v>
      </c>
      <c r="K11">
        <v>7</v>
      </c>
      <c r="L11" t="str">
        <f>IFERROR(INDEX('Map Calc'!$A$2:$A$820,MATCH(LARGE('Map Calc'!$O$2:$O$820,7),'Map Calc'!$O$2:$O$820,0)),"")</f>
        <v>FTL</v>
      </c>
      <c r="M11">
        <f>IFERROR(INDEX('Map Calc'!$D$2:$D$820,MATCH(LARGE('Map Calc'!$O$2:$O$820,7),'Map Calc'!$O$2:$O$820,0)),"")</f>
        <v>36</v>
      </c>
      <c r="O11">
        <v>1984</v>
      </c>
      <c r="P11">
        <f>COUNTIF(games!$B$2:$B$834,$O11)</f>
        <v>1</v>
      </c>
      <c r="Q11">
        <f>COUNTIF('Map Calc'!$T$2:$T$1060,$O11)</f>
        <v>6</v>
      </c>
      <c r="S11">
        <v>6</v>
      </c>
      <c r="T11">
        <f>COUNTIF('Map Calc'!$V$2:$V$1060,$S11)</f>
        <v>84</v>
      </c>
    </row>
    <row r="12" spans="1:20" x14ac:dyDescent="0.25">
      <c r="A12" s="15" t="s">
        <v>36</v>
      </c>
      <c r="B12" s="16">
        <f>B10+B11</f>
        <v>403</v>
      </c>
      <c r="C12" s="17" t="s">
        <v>37</v>
      </c>
      <c r="E12" t="s">
        <v>38</v>
      </c>
      <c r="F12">
        <f>COUNTIFS('Map Calc'!$D$2:$D$820,"&gt;=10",'Map Calc'!$D$2:$D$820,"&lt;=24")</f>
        <v>21</v>
      </c>
      <c r="K12">
        <v>8</v>
      </c>
      <c r="L12" t="str">
        <f>IFERROR(INDEX('Map Calc'!$A$2:$A$820,MATCH(LARGE('Map Calc'!$O$2:$O$820,8),'Map Calc'!$O$2:$O$820,0)),"")</f>
        <v>NetHack</v>
      </c>
      <c r="M12">
        <f>IFERROR(INDEX('Map Calc'!$D$2:$D$820,MATCH(LARGE('Map Calc'!$O$2:$O$820,8),'Map Calc'!$O$2:$O$820,0)),"")</f>
        <v>29</v>
      </c>
      <c r="O12">
        <v>1985</v>
      </c>
      <c r="P12">
        <f>COUNTIF(games!$B$2:$B$834,$O12)</f>
        <v>0</v>
      </c>
      <c r="Q12">
        <f>COUNTIF('Map Calc'!$T$2:$T$1060,$O12)</f>
        <v>0</v>
      </c>
      <c r="S12">
        <v>7</v>
      </c>
      <c r="T12">
        <f>COUNTIF('Map Calc'!$V$2:$V$1060,$S12)</f>
        <v>76</v>
      </c>
    </row>
    <row r="13" spans="1:20" x14ac:dyDescent="0.25">
      <c r="A13" s="15" t="s">
        <v>39</v>
      </c>
      <c r="B13" s="19" t="e">
        <f>SUMPRODUCT(('Map Calc'!$V$2:$V$1060&lt;&gt;"")*('Map Calc'!$V$2:$V$1060&lt;0))</f>
        <v>#REF!</v>
      </c>
      <c r="C13" s="17" t="s">
        <v>40</v>
      </c>
      <c r="E13" t="s">
        <v>41</v>
      </c>
      <c r="F13">
        <f>COUNTIF('Map Calc'!$D$2:$D$820,"&gt;=25")</f>
        <v>10</v>
      </c>
      <c r="K13">
        <v>9</v>
      </c>
      <c r="L13" t="str">
        <f>IFERROR(INDEX('Map Calc'!$A$2:$A$820,MATCH(LARGE('Map Calc'!$O$2:$O$820,9),'Map Calc'!$O$2:$O$820,0)),"")</f>
        <v>Dead Cells</v>
      </c>
      <c r="M13">
        <f>IFERROR(INDEX('Map Calc'!$D$2:$D$820,MATCH(LARGE('Map Calc'!$O$2:$O$820,9),'Map Calc'!$O$2:$O$820,0)),"")</f>
        <v>28</v>
      </c>
      <c r="O13">
        <v>1986</v>
      </c>
      <c r="P13">
        <f>COUNTIF(games!$B$2:$B$834,$O13)</f>
        <v>1</v>
      </c>
      <c r="Q13">
        <f>COUNTIF('Map Calc'!$T$2:$T$1060,$O13)</f>
        <v>0</v>
      </c>
      <c r="S13">
        <v>8</v>
      </c>
      <c r="T13">
        <f>COUNTIF('Map Calc'!$V$2:$V$1060,$S13)</f>
        <v>65</v>
      </c>
    </row>
    <row r="14" spans="1:20" x14ac:dyDescent="0.25">
      <c r="A14" s="15" t="s">
        <v>42</v>
      </c>
      <c r="B14" s="16" t="e">
        <f>SUMPRODUCT(('Map Calc'!$V$2:$V$1060&lt;&gt;"")*('Map Calc'!$V$2:$V$1060=0))</f>
        <v>#REF!</v>
      </c>
      <c r="C14" s="17" t="s">
        <v>43</v>
      </c>
      <c r="K14">
        <v>10</v>
      </c>
      <c r="L14" t="str">
        <f>IFERROR(INDEX('Map Calc'!$A$2:$A$820,MATCH(LARGE('Map Calc'!$O$2:$O$820,10),'Map Calc'!$O$2:$O$820,0)),"")</f>
        <v>Enter the Gungeon</v>
      </c>
      <c r="M14">
        <f>IFERROR(INDEX('Map Calc'!$D$2:$D$820,MATCH(LARGE('Map Calc'!$O$2:$O$820,10),'Map Calc'!$O$2:$O$820,0)),"")</f>
        <v>26</v>
      </c>
      <c r="O14">
        <v>1987</v>
      </c>
      <c r="P14">
        <f>COUNTIF(games!$B$2:$B$834,$O14)</f>
        <v>3</v>
      </c>
      <c r="Q14">
        <f>COUNTIF('Map Calc'!$T$2:$T$1060,$O14)</f>
        <v>31</v>
      </c>
      <c r="S14">
        <v>9</v>
      </c>
      <c r="T14">
        <f>COUNTIF('Map Calc'!$V$2:$V$1060,$S14)</f>
        <v>56</v>
      </c>
    </row>
    <row r="15" spans="1:20" x14ac:dyDescent="0.25">
      <c r="A15" s="15" t="s">
        <v>44</v>
      </c>
      <c r="B15" s="20" t="e">
        <f>MEDIAN('Map Calc'!$V$2:$V$1060)</f>
        <v>#REF!</v>
      </c>
      <c r="C15" s="17" t="s">
        <v>45</v>
      </c>
      <c r="K15">
        <v>11</v>
      </c>
      <c r="L15" t="str">
        <f>IFERROR(INDEX('Map Calc'!$A$2:$A$820,MATCH(LARGE('Map Calc'!$O$2:$O$820,11),'Map Calc'!$O$2:$O$820,0)),"")</f>
        <v>Torneko's Great Adventure: Mystery Dungeon</v>
      </c>
      <c r="M15">
        <f>IFERROR(INDEX('Map Calc'!$D$2:$D$820,MATCH(LARGE('Map Calc'!$O$2:$O$820,11),'Map Calc'!$O$2:$O$820,0)),"")</f>
        <v>24</v>
      </c>
      <c r="O15">
        <v>1988</v>
      </c>
      <c r="P15">
        <f>COUNTIF(games!$B$2:$B$834,$O15)</f>
        <v>0</v>
      </c>
      <c r="Q15">
        <f>COUNTIF('Map Calc'!$T$2:$T$1060,$O15)</f>
        <v>0</v>
      </c>
      <c r="S15">
        <v>10</v>
      </c>
      <c r="T15">
        <f>COUNTIF('Map Calc'!$V$2:$V$1060,$S15)</f>
        <v>27</v>
      </c>
    </row>
    <row r="16" spans="1:20" x14ac:dyDescent="0.25">
      <c r="A16" s="15" t="s">
        <v>46</v>
      </c>
      <c r="B16" s="22">
        <f>COUNTIF(connections!$D$2:$D$1188,"Yes")</f>
        <v>134</v>
      </c>
      <c r="C16" s="17" t="s">
        <v>47</v>
      </c>
      <c r="K16">
        <v>12</v>
      </c>
      <c r="L16" t="str">
        <f>IFERROR(INDEX('Map Calc'!$A$2:$A$820,MATCH(LARGE('Map Calc'!$O$2:$O$820,12),'Map Calc'!$O$2:$O$820,0)),"")</f>
        <v>Darkest Dungeon</v>
      </c>
      <c r="M16">
        <f>IFERROR(INDEX('Map Calc'!$D$2:$D$820,MATCH(LARGE('Map Calc'!$O$2:$O$820,12),'Map Calc'!$O$2:$O$820,0)),"")</f>
        <v>24</v>
      </c>
      <c r="O16">
        <v>1989</v>
      </c>
      <c r="P16">
        <f>COUNTIF(games!$B$2:$B$834,$O16)</f>
        <v>0</v>
      </c>
      <c r="Q16">
        <f>COUNTIF('Map Calc'!$T$2:$T$1060,$O16)</f>
        <v>0</v>
      </c>
      <c r="S16" t="s">
        <v>48</v>
      </c>
      <c r="T16">
        <f>COUNTIFS('Map Calc'!$V$2:$V$1060,"&gt;=11",'Map Calc'!$V$2:$V$1060,"&lt;=20")</f>
        <v>135</v>
      </c>
    </row>
    <row r="17" spans="1:20" x14ac:dyDescent="0.25">
      <c r="A17" s="15" t="s">
        <v>49</v>
      </c>
      <c r="B17" s="22">
        <f>COUNTA(connections!$E$2:$E$1188)</f>
        <v>1049</v>
      </c>
      <c r="C17" s="17" t="s">
        <v>50</v>
      </c>
      <c r="K17">
        <v>13</v>
      </c>
      <c r="L17" t="str">
        <f>IFERROR(INDEX('Map Calc'!$A$2:$A$820,MATCH(LARGE('Map Calc'!$O$2:$O$820,13),'Map Calc'!$O$2:$O$820,0)),"")</f>
        <v>Luck be a Landlord</v>
      </c>
      <c r="M17">
        <f>IFERROR(INDEX('Map Calc'!$D$2:$D$820,MATCH(LARGE('Map Calc'!$O$2:$O$820,13),'Map Calc'!$O$2:$O$820,0)),"")</f>
        <v>22</v>
      </c>
      <c r="O17">
        <v>1990</v>
      </c>
      <c r="P17">
        <f>COUNTIF(games!$B$2:$B$834,$O17)</f>
        <v>2</v>
      </c>
      <c r="Q17">
        <f>COUNTIF('Map Calc'!$T$2:$T$1060,$O17)</f>
        <v>14</v>
      </c>
      <c r="S17" t="s">
        <v>51</v>
      </c>
      <c r="T17">
        <f>COUNTIF('Map Calc'!$V$2:$V$1060,"&gt;=21")</f>
        <v>75</v>
      </c>
    </row>
    <row r="18" spans="1:20" x14ac:dyDescent="0.25">
      <c r="K18">
        <v>14</v>
      </c>
      <c r="L18" t="str">
        <f>IFERROR(INDEX('Map Calc'!$A$2:$A$820,MATCH(LARGE('Map Calc'!$O$2:$O$820,14),'Map Calc'!$O$2:$O$820,0)),"")</f>
        <v>Rogue</v>
      </c>
      <c r="M18">
        <f>IFERROR(INDEX('Map Calc'!$D$2:$D$820,MATCH(LARGE('Map Calc'!$O$2:$O$820,14),'Map Calc'!$O$2:$O$820,0)),"")</f>
        <v>21</v>
      </c>
      <c r="O18">
        <v>1991</v>
      </c>
      <c r="P18">
        <f>COUNTIF(games!$B$2:$B$834,$O18)</f>
        <v>2</v>
      </c>
      <c r="Q18">
        <f>COUNTIF('Map Calc'!$T$2:$T$1060,$O18)</f>
        <v>2</v>
      </c>
    </row>
    <row r="19" spans="1:20" x14ac:dyDescent="0.25">
      <c r="K19">
        <v>15</v>
      </c>
      <c r="L19" t="str">
        <f>IFERROR(INDEX('Map Calc'!$A$2:$A$820,MATCH(LARGE('Map Calc'!$O$2:$O$820,15),'Map Calc'!$O$2:$O$820,0)),"")</f>
        <v>Nuclear Throne</v>
      </c>
      <c r="M19">
        <f>IFERROR(INDEX('Map Calc'!$D$2:$D$820,MATCH(LARGE('Map Calc'!$O$2:$O$820,15),'Map Calc'!$O$2:$O$820,0)),"")</f>
        <v>21</v>
      </c>
      <c r="O19">
        <v>1992</v>
      </c>
      <c r="P19">
        <f>COUNTIF(games!$B$2:$B$834,$O19)</f>
        <v>2</v>
      </c>
      <c r="Q19">
        <f>COUNTIF('Map Calc'!$T$2:$T$1060,$O19)</f>
        <v>2</v>
      </c>
    </row>
    <row r="20" spans="1:20" x14ac:dyDescent="0.25">
      <c r="K20">
        <v>16</v>
      </c>
      <c r="L20" t="str">
        <f>IFERROR(INDEX('Map Calc'!$A$2:$A$820,MATCH(LARGE('Map Calc'!$O$2:$O$820,16),'Map Calc'!$O$2:$O$820,0)),"")</f>
        <v>Into the Breach</v>
      </c>
      <c r="M20">
        <f>IFERROR(INDEX('Map Calc'!$D$2:$D$820,MATCH(LARGE('Map Calc'!$O$2:$O$820,16),'Map Calc'!$O$2:$O$820,0)),"")</f>
        <v>21</v>
      </c>
      <c r="O20">
        <v>1993</v>
      </c>
      <c r="P20">
        <f>COUNTIF(games!$B$2:$B$834,$O20)</f>
        <v>2</v>
      </c>
      <c r="Q20">
        <f>COUNTIF('Map Calc'!$T$2:$T$1060,$O20)</f>
        <v>23</v>
      </c>
    </row>
    <row r="21" spans="1:20" x14ac:dyDescent="0.25">
      <c r="K21">
        <v>17</v>
      </c>
      <c r="L21" t="str">
        <f>IFERROR(INDEX('Map Calc'!$A$2:$A$820,MATCH(LARGE('Map Calc'!$O$2:$O$820,17),'Map Calc'!$O$2:$O$820,0)),"")</f>
        <v>Ancient Domains of Mystery</v>
      </c>
      <c r="M21">
        <f>IFERROR(INDEX('Map Calc'!$D$2:$D$820,MATCH(LARGE('Map Calc'!$O$2:$O$820,17),'Map Calc'!$O$2:$O$820,0)),"")</f>
        <v>19</v>
      </c>
      <c r="O21">
        <v>1994</v>
      </c>
      <c r="P21">
        <f>COUNTIF(games!$B$2:$B$834,$O21)</f>
        <v>3</v>
      </c>
      <c r="Q21">
        <f>COUNTIF('Map Calc'!$T$2:$T$1060,$O21)</f>
        <v>19</v>
      </c>
    </row>
    <row r="22" spans="1:20" x14ac:dyDescent="0.25">
      <c r="K22">
        <v>18</v>
      </c>
      <c r="L22" t="str">
        <f>IFERROR(INDEX('Map Calc'!$A$2:$A$820,MATCH(LARGE('Map Calc'!$O$2:$O$820,18),'Map Calc'!$O$2:$O$820,0)),"")</f>
        <v>Diablo</v>
      </c>
      <c r="M22">
        <f>IFERROR(INDEX('Map Calc'!$D$2:$D$820,MATCH(LARGE('Map Calc'!$O$2:$O$820,18),'Map Calc'!$O$2:$O$820,0)),"")</f>
        <v>17</v>
      </c>
      <c r="O22">
        <v>1995</v>
      </c>
      <c r="P22">
        <f>COUNTIF(games!$B$2:$B$834,$O22)</f>
        <v>2</v>
      </c>
      <c r="Q22">
        <f>COUNTIF('Map Calc'!$T$2:$T$1060,$O22)</f>
        <v>11</v>
      </c>
    </row>
    <row r="23" spans="1:20" x14ac:dyDescent="0.25">
      <c r="K23">
        <v>19</v>
      </c>
      <c r="L23" t="str">
        <f>IFERROR(INDEX('Map Calc'!$A$2:$A$820,MATCH(LARGE('Map Calc'!$O$2:$O$820,19),'Map Calc'!$O$2:$O$820,0)),"")</f>
        <v>Risk of Rain 2</v>
      </c>
      <c r="M23">
        <f>IFERROR(INDEX('Map Calc'!$D$2:$D$820,MATCH(LARGE('Map Calc'!$O$2:$O$820,19),'Map Calc'!$O$2:$O$820,0)),"")</f>
        <v>16</v>
      </c>
      <c r="O23">
        <v>1996</v>
      </c>
      <c r="P23">
        <f>COUNTIF(games!$B$2:$B$834,$O23)</f>
        <v>2</v>
      </c>
      <c r="Q23">
        <f>COUNTIF('Map Calc'!$T$2:$T$1060,$O23)</f>
        <v>13</v>
      </c>
    </row>
    <row r="24" spans="1:20" x14ac:dyDescent="0.25">
      <c r="K24">
        <v>20</v>
      </c>
      <c r="L24" t="str">
        <f>IFERROR(INDEX('Map Calc'!$A$2:$A$820,MATCH(LARGE('Map Calc'!$O$2:$O$820,20),'Map Calc'!$O$2:$O$820,0)),"")</f>
        <v>Angband</v>
      </c>
      <c r="M24">
        <f>IFERROR(INDEX('Map Calc'!$D$2:$D$820,MATCH(LARGE('Map Calc'!$O$2:$O$820,20),'Map Calc'!$O$2:$O$820,0)),"")</f>
        <v>15</v>
      </c>
      <c r="O24">
        <v>1997</v>
      </c>
      <c r="P24">
        <f>COUNTIF(games!$B$2:$B$834,$O24)</f>
        <v>2</v>
      </c>
      <c r="Q24">
        <f>COUNTIF('Map Calc'!$T$2:$T$1060,$O24)</f>
        <v>3</v>
      </c>
    </row>
    <row r="25" spans="1:20" x14ac:dyDescent="0.25">
      <c r="O25">
        <v>1998</v>
      </c>
      <c r="P25">
        <f>COUNTIF(games!$B$2:$B$834,$O25)</f>
        <v>4</v>
      </c>
      <c r="Q25">
        <f>COUNTIF('Map Calc'!$T$2:$T$1060,$O25)</f>
        <v>10</v>
      </c>
    </row>
    <row r="26" spans="1:20" x14ac:dyDescent="0.25">
      <c r="O26">
        <v>1999</v>
      </c>
      <c r="P26">
        <f>COUNTIF(games!$B$2:$B$834,$O26)</f>
        <v>1</v>
      </c>
      <c r="Q26">
        <f>COUNTIF('Map Calc'!$T$2:$T$1060,$O26)</f>
        <v>1</v>
      </c>
    </row>
    <row r="27" spans="1:20" x14ac:dyDescent="0.25">
      <c r="O27">
        <v>2000</v>
      </c>
      <c r="P27">
        <f>COUNTIF(games!$B$2:$B$834,$O27)</f>
        <v>1</v>
      </c>
      <c r="Q27">
        <f>COUNTIF('Map Calc'!$T$2:$T$1060,$O27)</f>
        <v>2</v>
      </c>
    </row>
    <row r="28" spans="1:20" x14ac:dyDescent="0.25">
      <c r="O28">
        <v>2001</v>
      </c>
      <c r="P28">
        <f>COUNTIF(games!$B$2:$B$834,$O28)</f>
        <v>3</v>
      </c>
      <c r="Q28">
        <f>COUNTIF('Map Calc'!$T$2:$T$1060,$O28)</f>
        <v>2</v>
      </c>
    </row>
    <row r="29" spans="1:20" x14ac:dyDescent="0.25">
      <c r="O29">
        <v>2002</v>
      </c>
      <c r="P29">
        <f>COUNTIF(games!$B$2:$B$834,$O29)</f>
        <v>6</v>
      </c>
      <c r="Q29">
        <f>COUNTIF('Map Calc'!$T$2:$T$1060,$O29)</f>
        <v>12</v>
      </c>
    </row>
    <row r="30" spans="1:20" x14ac:dyDescent="0.25">
      <c r="O30">
        <v>2003</v>
      </c>
      <c r="P30">
        <f>COUNTIF(games!$B$2:$B$834,$O30)</f>
        <v>3</v>
      </c>
      <c r="Q30">
        <f>COUNTIF('Map Calc'!$T$2:$T$1060,$O30)</f>
        <v>5</v>
      </c>
    </row>
    <row r="31" spans="1:20" x14ac:dyDescent="0.25">
      <c r="O31">
        <v>2004</v>
      </c>
      <c r="P31">
        <f>COUNTIF(games!$B$2:$B$834,$O31)</f>
        <v>1</v>
      </c>
      <c r="Q31">
        <f>COUNTIF('Map Calc'!$T$2:$T$1060,$O31)</f>
        <v>0</v>
      </c>
    </row>
    <row r="32" spans="1:20" x14ac:dyDescent="0.25">
      <c r="O32">
        <v>2005</v>
      </c>
      <c r="P32">
        <f>COUNTIF(games!$B$2:$B$834,$O32)</f>
        <v>3</v>
      </c>
      <c r="Q32">
        <f>COUNTIF('Map Calc'!$T$2:$T$1060,$O32)</f>
        <v>6</v>
      </c>
    </row>
    <row r="33" spans="15:17" x14ac:dyDescent="0.25">
      <c r="O33">
        <v>2006</v>
      </c>
      <c r="P33">
        <f>COUNTIF(games!$B$2:$B$834,$O33)</f>
        <v>8</v>
      </c>
      <c r="Q33">
        <f>COUNTIF('Map Calc'!$T$2:$T$1060,$O33)</f>
        <v>21</v>
      </c>
    </row>
    <row r="34" spans="15:17" x14ac:dyDescent="0.25">
      <c r="O34">
        <v>2007</v>
      </c>
      <c r="P34">
        <f>COUNTIF(games!$B$2:$B$834,$O34)</f>
        <v>6</v>
      </c>
      <c r="Q34">
        <f>COUNTIF('Map Calc'!$T$2:$T$1060,$O34)</f>
        <v>4</v>
      </c>
    </row>
    <row r="35" spans="15:17" x14ac:dyDescent="0.25">
      <c r="O35">
        <v>2008</v>
      </c>
      <c r="P35">
        <f>COUNTIF(games!$B$2:$B$834,$O35)</f>
        <v>4</v>
      </c>
      <c r="Q35">
        <f>COUNTIF('Map Calc'!$T$2:$T$1060,$O35)</f>
        <v>37</v>
      </c>
    </row>
    <row r="36" spans="15:17" x14ac:dyDescent="0.25">
      <c r="O36">
        <v>2009</v>
      </c>
      <c r="P36">
        <f>COUNTIF(games!$B$2:$B$834,$O36)</f>
        <v>2</v>
      </c>
      <c r="Q36">
        <f>COUNTIF('Map Calc'!$T$2:$T$1060,$O36)</f>
        <v>8</v>
      </c>
    </row>
    <row r="37" spans="15:17" x14ac:dyDescent="0.25">
      <c r="O37">
        <v>2010</v>
      </c>
      <c r="P37">
        <f>COUNTIF(games!$B$2:$B$834,$O37)</f>
        <v>14</v>
      </c>
      <c r="Q37">
        <f>COUNTIF('Map Calc'!$T$2:$T$1060,$O37)</f>
        <v>18</v>
      </c>
    </row>
    <row r="38" spans="15:17" x14ac:dyDescent="0.25">
      <c r="O38">
        <v>2011</v>
      </c>
      <c r="P38">
        <f>COUNTIF(games!$B$2:$B$834,$O38)</f>
        <v>6</v>
      </c>
      <c r="Q38">
        <f>COUNTIF('Map Calc'!$T$2:$T$1060,$O38)</f>
        <v>71</v>
      </c>
    </row>
    <row r="39" spans="15:17" x14ac:dyDescent="0.25">
      <c r="O39">
        <v>2012</v>
      </c>
      <c r="P39">
        <f>COUNTIF(games!$B$2:$B$834,$O39)</f>
        <v>11</v>
      </c>
      <c r="Q39">
        <f>COUNTIF('Map Calc'!$T$2:$T$1060,$O39)</f>
        <v>39</v>
      </c>
    </row>
    <row r="40" spans="15:17" x14ac:dyDescent="0.25">
      <c r="O40">
        <v>2013</v>
      </c>
      <c r="P40">
        <f>COUNTIF(games!$B$2:$B$834,$O40)</f>
        <v>12</v>
      </c>
      <c r="Q40">
        <f>COUNTIF('Map Calc'!$T$2:$T$1060,$O40)</f>
        <v>29</v>
      </c>
    </row>
    <row r="41" spans="15:17" x14ac:dyDescent="0.25">
      <c r="O41">
        <v>2014</v>
      </c>
      <c r="P41">
        <f>COUNTIF(games!$B$2:$B$834,$O41)</f>
        <v>23</v>
      </c>
      <c r="Q41">
        <f>COUNTIF('Map Calc'!$T$2:$T$1060,$O41)</f>
        <v>12</v>
      </c>
    </row>
    <row r="42" spans="15:17" x14ac:dyDescent="0.25">
      <c r="O42">
        <v>2015</v>
      </c>
      <c r="P42">
        <f>COUNTIF(games!$B$2:$B$834,$O42)</f>
        <v>20</v>
      </c>
      <c r="Q42">
        <f>COUNTIF('Map Calc'!$T$2:$T$1060,$O42)</f>
        <v>63</v>
      </c>
    </row>
    <row r="43" spans="15:17" x14ac:dyDescent="0.25">
      <c r="O43">
        <v>2016</v>
      </c>
      <c r="P43">
        <f>COUNTIF(games!$B$2:$B$834,$O43)</f>
        <v>15</v>
      </c>
      <c r="Q43">
        <f>COUNTIF('Map Calc'!$T$2:$T$1060,$O43)</f>
        <v>28</v>
      </c>
    </row>
    <row r="44" spans="15:17" x14ac:dyDescent="0.25">
      <c r="O44">
        <v>2017</v>
      </c>
      <c r="P44">
        <f>COUNTIF(games!$B$2:$B$834,$O44)</f>
        <v>32</v>
      </c>
      <c r="Q44">
        <f>COUNTIF('Map Calc'!$T$2:$T$1060,$O44)</f>
        <v>143</v>
      </c>
    </row>
    <row r="45" spans="15:17" x14ac:dyDescent="0.25">
      <c r="O45">
        <v>2018</v>
      </c>
      <c r="P45">
        <f>COUNTIF(games!$B$2:$B$834,$O45)</f>
        <v>22</v>
      </c>
      <c r="Q45">
        <f>COUNTIF('Map Calc'!$T$2:$T$1060,$O45)</f>
        <v>54</v>
      </c>
    </row>
    <row r="46" spans="15:17" x14ac:dyDescent="0.25">
      <c r="O46">
        <v>2019</v>
      </c>
      <c r="P46">
        <f>COUNTIF(games!$B$2:$B$834,$O46)</f>
        <v>37</v>
      </c>
      <c r="Q46">
        <f>COUNTIF('Map Calc'!$T$2:$T$1060,$O46)</f>
        <v>76</v>
      </c>
    </row>
    <row r="47" spans="15:17" x14ac:dyDescent="0.25">
      <c r="O47">
        <v>2020</v>
      </c>
      <c r="P47">
        <f>COUNTIF(games!$B$2:$B$834,$O47)</f>
        <v>49</v>
      </c>
      <c r="Q47">
        <f>COUNTIF('Map Calc'!$T$2:$T$1060,$O47)</f>
        <v>45</v>
      </c>
    </row>
    <row r="48" spans="15:17" x14ac:dyDescent="0.25">
      <c r="O48">
        <v>2021</v>
      </c>
      <c r="P48">
        <f>COUNTIF(games!$B$2:$B$834,$O48)</f>
        <v>44</v>
      </c>
      <c r="Q48">
        <f>COUNTIF('Map Calc'!$T$2:$T$1060,$O48)</f>
        <v>92</v>
      </c>
    </row>
    <row r="49" spans="15:17" x14ac:dyDescent="0.25">
      <c r="O49">
        <v>2022</v>
      </c>
      <c r="P49">
        <f>COUNTIF(games!$B$2:$B$834,$O49)</f>
        <v>68</v>
      </c>
      <c r="Q49">
        <f>COUNTIF('Map Calc'!$T$2:$T$1060,$O49)</f>
        <v>46</v>
      </c>
    </row>
    <row r="50" spans="15:17" x14ac:dyDescent="0.25">
      <c r="O50">
        <v>2023</v>
      </c>
      <c r="P50">
        <f>COUNTIF(games!$B$2:$B$834,$O50)</f>
        <v>96</v>
      </c>
      <c r="Q50">
        <f>COUNTIF('Map Calc'!$T$2:$T$1060,$O50)</f>
        <v>69</v>
      </c>
    </row>
    <row r="51" spans="15:17" x14ac:dyDescent="0.25">
      <c r="O51">
        <v>2024</v>
      </c>
      <c r="P51">
        <f>COUNTIF(games!$B$2:$B$834,$O51)</f>
        <v>96</v>
      </c>
      <c r="Q51">
        <f>COUNTIF('Map Calc'!$T$2:$T$1060,$O51)</f>
        <v>12</v>
      </c>
    </row>
    <row r="52" spans="15:17" x14ac:dyDescent="0.25">
      <c r="O52">
        <v>2025</v>
      </c>
      <c r="P52">
        <f>COUNTIF(games!$B$2:$B$834,$O52)</f>
        <v>148</v>
      </c>
      <c r="Q52">
        <f>COUNTIF('Map Calc'!$T$2:$T$1060,$O52)</f>
        <v>4</v>
      </c>
    </row>
    <row r="53" spans="15:17" x14ac:dyDescent="0.25">
      <c r="O53">
        <v>2026</v>
      </c>
      <c r="P53">
        <f>COUNTIF(games!$B$2:$B$834,$O53)</f>
        <v>72</v>
      </c>
      <c r="Q53">
        <f>COUNTIF('Map Calc'!$T$2:$T$1060,$O53)</f>
        <v>0</v>
      </c>
    </row>
  </sheetData>
  <pageMargins left="0.75" right="0.75" top="1" bottom="1" header="0.5" footer="0.5"/>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52</v>
      </c>
      <c r="B1" t="s">
        <v>3040</v>
      </c>
      <c r="C1" t="s">
        <v>9</v>
      </c>
      <c r="D1" t="s">
        <v>53</v>
      </c>
      <c r="E1" t="s">
        <v>2947</v>
      </c>
    </row>
    <row r="2" spans="1:5" ht="15" customHeight="1" x14ac:dyDescent="0.25">
      <c r="A2" t="s">
        <v>6092</v>
      </c>
      <c r="B2" t="s">
        <v>3897</v>
      </c>
      <c r="C2" t="s">
        <v>828</v>
      </c>
      <c r="D2" t="s">
        <v>5843</v>
      </c>
      <c r="E2" t="s">
        <v>6093</v>
      </c>
    </row>
    <row r="3" spans="1:5" ht="15" customHeight="1" x14ac:dyDescent="0.25">
      <c r="A3" t="s">
        <v>6094</v>
      </c>
      <c r="B3" t="s">
        <v>3900</v>
      </c>
      <c r="C3" t="s">
        <v>828</v>
      </c>
      <c r="D3" t="s">
        <v>6095</v>
      </c>
      <c r="E3" t="s">
        <v>6093</v>
      </c>
    </row>
    <row r="4" spans="1:5" ht="15" customHeight="1" x14ac:dyDescent="0.25">
      <c r="A4" t="s">
        <v>6096</v>
      </c>
      <c r="B4" t="s">
        <v>3900</v>
      </c>
      <c r="C4" t="s">
        <v>828</v>
      </c>
      <c r="D4" t="s">
        <v>6097</v>
      </c>
      <c r="E4" t="s">
        <v>6093</v>
      </c>
    </row>
    <row r="5" spans="1:5" ht="15" customHeight="1" x14ac:dyDescent="0.25">
      <c r="A5" t="s">
        <v>6098</v>
      </c>
      <c r="B5" t="s">
        <v>6099</v>
      </c>
      <c r="C5" t="s">
        <v>828</v>
      </c>
      <c r="D5" t="s">
        <v>5829</v>
      </c>
      <c r="E5" t="s">
        <v>6093</v>
      </c>
    </row>
    <row r="6" spans="1:5" ht="15" customHeight="1" x14ac:dyDescent="0.25">
      <c r="A6" t="s">
        <v>6100</v>
      </c>
      <c r="B6" t="s">
        <v>6099</v>
      </c>
      <c r="C6" t="s">
        <v>828</v>
      </c>
      <c r="D6" t="s">
        <v>5822</v>
      </c>
      <c r="E6" t="s">
        <v>6093</v>
      </c>
    </row>
    <row r="7" spans="1:5" ht="15" customHeight="1" x14ac:dyDescent="0.25">
      <c r="A7" t="s">
        <v>6101</v>
      </c>
      <c r="B7" t="s">
        <v>3897</v>
      </c>
      <c r="C7" t="s">
        <v>2199</v>
      </c>
      <c r="D7" t="s">
        <v>5843</v>
      </c>
      <c r="E7" t="s">
        <v>6102</v>
      </c>
    </row>
    <row r="8" spans="1:5" ht="15" customHeight="1" x14ac:dyDescent="0.25">
      <c r="A8" t="s">
        <v>6103</v>
      </c>
      <c r="B8" t="s">
        <v>3897</v>
      </c>
      <c r="C8" t="s">
        <v>2199</v>
      </c>
      <c r="D8" t="s">
        <v>6104</v>
      </c>
      <c r="E8" t="s">
        <v>6102</v>
      </c>
    </row>
    <row r="9" spans="1:5" ht="15" customHeight="1" x14ac:dyDescent="0.25">
      <c r="A9" t="s">
        <v>6105</v>
      </c>
      <c r="B9" t="s">
        <v>3897</v>
      </c>
      <c r="C9" t="s">
        <v>2199</v>
      </c>
      <c r="D9" t="s">
        <v>6106</v>
      </c>
      <c r="E9" t="s">
        <v>6102</v>
      </c>
    </row>
    <row r="10" spans="1:5" ht="15" customHeight="1" x14ac:dyDescent="0.25">
      <c r="A10" t="s">
        <v>6107</v>
      </c>
      <c r="B10" t="s">
        <v>3900</v>
      </c>
      <c r="C10" t="s">
        <v>2199</v>
      </c>
      <c r="D10" t="s">
        <v>6095</v>
      </c>
      <c r="E10" t="s">
        <v>6102</v>
      </c>
    </row>
    <row r="11" spans="1:5" ht="15" customHeight="1" x14ac:dyDescent="0.25">
      <c r="A11" t="s">
        <v>6108</v>
      </c>
      <c r="B11" t="s">
        <v>3900</v>
      </c>
      <c r="C11" t="s">
        <v>2199</v>
      </c>
      <c r="D11" t="s">
        <v>5836</v>
      </c>
      <c r="E11" t="s">
        <v>6102</v>
      </c>
    </row>
    <row r="12" spans="1:5" ht="15" customHeight="1" x14ac:dyDescent="0.25">
      <c r="A12" t="s">
        <v>6109</v>
      </c>
      <c r="B12" t="s">
        <v>3900</v>
      </c>
      <c r="C12" t="s">
        <v>2199</v>
      </c>
      <c r="D12" t="s">
        <v>5822</v>
      </c>
      <c r="E12" t="s">
        <v>6102</v>
      </c>
    </row>
    <row r="13" spans="1:5" ht="15" customHeight="1" x14ac:dyDescent="0.25">
      <c r="A13" t="s">
        <v>6110</v>
      </c>
      <c r="B13" t="s">
        <v>6099</v>
      </c>
      <c r="C13" t="s">
        <v>2199</v>
      </c>
      <c r="D13" t="s">
        <v>6111</v>
      </c>
      <c r="E13" t="s">
        <v>6102</v>
      </c>
    </row>
    <row r="14" spans="1:5" ht="15" customHeight="1" x14ac:dyDescent="0.25">
      <c r="A14" t="s">
        <v>6112</v>
      </c>
      <c r="B14" t="s">
        <v>6099</v>
      </c>
      <c r="C14" t="s">
        <v>2199</v>
      </c>
      <c r="D14" t="s">
        <v>6076</v>
      </c>
      <c r="E14" t="s">
        <v>6102</v>
      </c>
    </row>
    <row r="15" spans="1:5" ht="15" customHeight="1" x14ac:dyDescent="0.25">
      <c r="A15" t="s">
        <v>6113</v>
      </c>
      <c r="B15" t="s">
        <v>6099</v>
      </c>
      <c r="C15" t="s">
        <v>2199</v>
      </c>
      <c r="D15" t="s">
        <v>5850</v>
      </c>
      <c r="E15" t="s">
        <v>6102</v>
      </c>
    </row>
    <row r="16" spans="1:5" ht="15" customHeight="1" x14ac:dyDescent="0.25">
      <c r="A16" t="s">
        <v>6114</v>
      </c>
      <c r="B16" t="s">
        <v>3897</v>
      </c>
      <c r="C16" t="s">
        <v>1044</v>
      </c>
      <c r="D16" t="s">
        <v>5822</v>
      </c>
      <c r="E16" t="s">
        <v>6115</v>
      </c>
    </row>
    <row r="17" spans="1:5" ht="15" customHeight="1" x14ac:dyDescent="0.25">
      <c r="A17" t="s">
        <v>6116</v>
      </c>
      <c r="B17" t="s">
        <v>3897</v>
      </c>
      <c r="C17" t="s">
        <v>1044</v>
      </c>
      <c r="D17" t="s">
        <v>6104</v>
      </c>
      <c r="E17" t="s">
        <v>6115</v>
      </c>
    </row>
    <row r="18" spans="1:5" ht="15" customHeight="1" x14ac:dyDescent="0.25">
      <c r="A18" t="s">
        <v>6117</v>
      </c>
      <c r="B18" t="s">
        <v>3900</v>
      </c>
      <c r="C18" t="s">
        <v>1044</v>
      </c>
      <c r="D18" t="s">
        <v>5836</v>
      </c>
      <c r="E18" t="s">
        <v>6115</v>
      </c>
    </row>
    <row r="19" spans="1:5" ht="15" customHeight="1" x14ac:dyDescent="0.25">
      <c r="A19" t="s">
        <v>5850</v>
      </c>
      <c r="B19" t="s">
        <v>3900</v>
      </c>
      <c r="C19" t="s">
        <v>1044</v>
      </c>
      <c r="D19" t="s">
        <v>5850</v>
      </c>
      <c r="E19" t="s">
        <v>6115</v>
      </c>
    </row>
    <row r="20" spans="1:5" ht="15" customHeight="1" x14ac:dyDescent="0.25">
      <c r="A20" t="s">
        <v>6118</v>
      </c>
      <c r="B20" t="s">
        <v>6099</v>
      </c>
      <c r="C20" t="s">
        <v>1044</v>
      </c>
      <c r="D20" t="s">
        <v>5843</v>
      </c>
      <c r="E20" t="s">
        <v>6115</v>
      </c>
    </row>
    <row r="21" spans="1:5" ht="15" customHeight="1" x14ac:dyDescent="0.25">
      <c r="A21" t="s">
        <v>6119</v>
      </c>
      <c r="B21" t="s">
        <v>3897</v>
      </c>
      <c r="C21" t="s">
        <v>1776</v>
      </c>
      <c r="D21" t="s">
        <v>3898</v>
      </c>
      <c r="E21" t="s">
        <v>6120</v>
      </c>
    </row>
    <row r="22" spans="1:5" ht="15" customHeight="1" x14ac:dyDescent="0.25">
      <c r="A22" t="s">
        <v>6121</v>
      </c>
      <c r="B22" t="s">
        <v>3897</v>
      </c>
      <c r="C22" t="s">
        <v>1776</v>
      </c>
      <c r="D22" t="s">
        <v>5925</v>
      </c>
      <c r="E22" t="s">
        <v>6120</v>
      </c>
    </row>
    <row r="23" spans="1:5" ht="15" customHeight="1" x14ac:dyDescent="0.25">
      <c r="A23" t="s">
        <v>6122</v>
      </c>
      <c r="B23" t="s">
        <v>3897</v>
      </c>
      <c r="C23" t="s">
        <v>1776</v>
      </c>
      <c r="D23" t="s">
        <v>6097</v>
      </c>
      <c r="E23" t="s">
        <v>6120</v>
      </c>
    </row>
    <row r="24" spans="1:5" ht="15" customHeight="1" x14ac:dyDescent="0.25">
      <c r="A24" t="s">
        <v>6123</v>
      </c>
      <c r="B24" t="s">
        <v>3897</v>
      </c>
      <c r="C24" t="s">
        <v>1776</v>
      </c>
      <c r="D24" t="s">
        <v>5886</v>
      </c>
      <c r="E24" t="s">
        <v>6120</v>
      </c>
    </row>
    <row r="25" spans="1:5" ht="15" customHeight="1" x14ac:dyDescent="0.25">
      <c r="A25" t="s">
        <v>6124</v>
      </c>
      <c r="B25" t="s">
        <v>3900</v>
      </c>
      <c r="C25" t="s">
        <v>1776</v>
      </c>
      <c r="D25" t="s">
        <v>6097</v>
      </c>
      <c r="E25" t="s">
        <v>6120</v>
      </c>
    </row>
    <row r="26" spans="1:5" ht="15" customHeight="1" x14ac:dyDescent="0.25">
      <c r="A26" t="s">
        <v>6125</v>
      </c>
      <c r="B26" t="s">
        <v>3900</v>
      </c>
      <c r="C26" t="s">
        <v>1776</v>
      </c>
      <c r="D26" t="s">
        <v>6104</v>
      </c>
      <c r="E26" t="s">
        <v>6120</v>
      </c>
    </row>
    <row r="27" spans="1:5" ht="15" customHeight="1" x14ac:dyDescent="0.25">
      <c r="A27" t="s">
        <v>6126</v>
      </c>
      <c r="B27" t="s">
        <v>3900</v>
      </c>
      <c r="C27" t="s">
        <v>1776</v>
      </c>
      <c r="D27" t="s">
        <v>3898</v>
      </c>
      <c r="E27" t="s">
        <v>6120</v>
      </c>
    </row>
    <row r="28" spans="1:5" ht="15" customHeight="1" x14ac:dyDescent="0.25">
      <c r="A28" t="s">
        <v>6127</v>
      </c>
      <c r="B28" t="s">
        <v>3900</v>
      </c>
      <c r="C28" t="s">
        <v>1776</v>
      </c>
      <c r="D28" t="s">
        <v>6128</v>
      </c>
      <c r="E28" t="s">
        <v>6120</v>
      </c>
    </row>
    <row r="29" spans="1:5" ht="15" customHeight="1" x14ac:dyDescent="0.25">
      <c r="A29" t="s">
        <v>6129</v>
      </c>
      <c r="B29" t="s">
        <v>6099</v>
      </c>
      <c r="C29" t="s">
        <v>1776</v>
      </c>
      <c r="D29" t="s">
        <v>6130</v>
      </c>
      <c r="E29" t="s">
        <v>6120</v>
      </c>
    </row>
    <row r="30" spans="1:5" ht="15" customHeight="1" x14ac:dyDescent="0.25">
      <c r="A30" t="s">
        <v>6131</v>
      </c>
      <c r="B30" t="s">
        <v>6099</v>
      </c>
      <c r="C30" t="s">
        <v>1776</v>
      </c>
      <c r="D30" t="s">
        <v>6132</v>
      </c>
      <c r="E30" t="s">
        <v>6120</v>
      </c>
    </row>
    <row r="31" spans="1:5" ht="15" customHeight="1" x14ac:dyDescent="0.25">
      <c r="A31" t="s">
        <v>6133</v>
      </c>
      <c r="B31" t="s">
        <v>3897</v>
      </c>
      <c r="C31" t="s">
        <v>397</v>
      </c>
      <c r="D31" t="s">
        <v>5886</v>
      </c>
      <c r="E31" t="s">
        <v>6134</v>
      </c>
    </row>
    <row r="32" spans="1:5" ht="15" customHeight="1" x14ac:dyDescent="0.25">
      <c r="A32" t="s">
        <v>6135</v>
      </c>
      <c r="B32" t="s">
        <v>6099</v>
      </c>
      <c r="C32" t="s">
        <v>397</v>
      </c>
      <c r="D32" t="s">
        <v>5886</v>
      </c>
      <c r="E32" t="s">
        <v>6134</v>
      </c>
    </row>
    <row r="33" spans="1:5" ht="15" customHeight="1" x14ac:dyDescent="0.25">
      <c r="A33" t="s">
        <v>6136</v>
      </c>
      <c r="B33" t="s">
        <v>3900</v>
      </c>
      <c r="C33" t="s">
        <v>397</v>
      </c>
      <c r="D33" t="s">
        <v>6095</v>
      </c>
      <c r="E33" t="s">
        <v>6134</v>
      </c>
    </row>
    <row r="34" spans="1:5" ht="15" customHeight="1" x14ac:dyDescent="0.25">
      <c r="A34" t="s">
        <v>6137</v>
      </c>
      <c r="B34" t="s">
        <v>6099</v>
      </c>
      <c r="C34" t="s">
        <v>397</v>
      </c>
      <c r="D34" t="s">
        <v>6132</v>
      </c>
      <c r="E34" t="s">
        <v>6134</v>
      </c>
    </row>
    <row r="35" spans="1:5" ht="15" customHeight="1" x14ac:dyDescent="0.25">
      <c r="A35" t="s">
        <v>6138</v>
      </c>
      <c r="B35" t="s">
        <v>3900</v>
      </c>
      <c r="C35" t="s">
        <v>397</v>
      </c>
      <c r="D35" t="s">
        <v>3898</v>
      </c>
      <c r="E35" t="s">
        <v>6134</v>
      </c>
    </row>
    <row r="36" spans="1:5" ht="15" customHeight="1" x14ac:dyDescent="0.25">
      <c r="A36" t="s">
        <v>6139</v>
      </c>
      <c r="B36" t="s">
        <v>3897</v>
      </c>
      <c r="C36" t="s">
        <v>397</v>
      </c>
      <c r="D36" t="s">
        <v>6095</v>
      </c>
      <c r="E36" t="s">
        <v>6134</v>
      </c>
    </row>
    <row r="37" spans="1:5" ht="15" customHeight="1" x14ac:dyDescent="0.25">
      <c r="A37" t="s">
        <v>6140</v>
      </c>
      <c r="B37" t="s">
        <v>3897</v>
      </c>
      <c r="C37" t="s">
        <v>351</v>
      </c>
      <c r="D37" t="s">
        <v>5925</v>
      </c>
      <c r="E37" t="s">
        <v>6141</v>
      </c>
    </row>
    <row r="38" spans="1:5" ht="15" customHeight="1" x14ac:dyDescent="0.25">
      <c r="A38" t="s">
        <v>6142</v>
      </c>
      <c r="B38" t="s">
        <v>3900</v>
      </c>
      <c r="C38" t="s">
        <v>351</v>
      </c>
      <c r="D38" t="s">
        <v>5836</v>
      </c>
      <c r="E38" t="s">
        <v>6141</v>
      </c>
    </row>
    <row r="39" spans="1:5" ht="15" customHeight="1" x14ac:dyDescent="0.25">
      <c r="A39" t="s">
        <v>6143</v>
      </c>
      <c r="B39" t="s">
        <v>6099</v>
      </c>
      <c r="C39" t="s">
        <v>351</v>
      </c>
      <c r="D39" t="s">
        <v>5850</v>
      </c>
      <c r="E39" t="s">
        <v>6141</v>
      </c>
    </row>
  </sheetData>
  <pageMargins left="0.7" right="0.7" top="0.75" bottom="0.75" header="0.511811023622047" footer="0.511811023622047"/>
  <pageSetup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127"/>
  <sheetViews>
    <sheetView topLeftCell="A79" zoomScale="85" zoomScaleNormal="85" workbookViewId="0">
      <selection activeCell="A90" sqref="A9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52</v>
      </c>
      <c r="B1" t="s">
        <v>2946</v>
      </c>
      <c r="C1" t="s">
        <v>53</v>
      </c>
      <c r="D1" t="s">
        <v>2899</v>
      </c>
      <c r="E1" t="s">
        <v>2947</v>
      </c>
      <c r="F1" t="s">
        <v>2948</v>
      </c>
      <c r="G1" t="s">
        <v>2949</v>
      </c>
      <c r="H1" t="s">
        <v>57</v>
      </c>
      <c r="I1" t="s">
        <v>3272</v>
      </c>
      <c r="J1" t="s">
        <v>2950</v>
      </c>
    </row>
    <row r="2" spans="1:10" ht="15" customHeight="1" x14ac:dyDescent="0.25">
      <c r="A2" t="s">
        <v>2951</v>
      </c>
      <c r="B2" t="s">
        <v>2952</v>
      </c>
      <c r="C2" t="s">
        <v>2953</v>
      </c>
      <c r="D2" t="s">
        <v>3273</v>
      </c>
      <c r="E2" t="s">
        <v>3274</v>
      </c>
      <c r="F2" t="s">
        <v>347</v>
      </c>
      <c r="G2" t="s">
        <v>2956</v>
      </c>
      <c r="H2" t="s">
        <v>2957</v>
      </c>
      <c r="I2" t="s">
        <v>2905</v>
      </c>
      <c r="J2" t="s">
        <v>2889</v>
      </c>
    </row>
    <row r="3" spans="1:10" ht="15" customHeight="1" x14ac:dyDescent="0.25">
      <c r="A3" t="s">
        <v>2958</v>
      </c>
      <c r="B3" t="s">
        <v>2959</v>
      </c>
      <c r="C3" t="s">
        <v>2960</v>
      </c>
      <c r="D3" t="s">
        <v>3275</v>
      </c>
      <c r="E3" t="s">
        <v>3276</v>
      </c>
      <c r="F3" t="s">
        <v>1954</v>
      </c>
      <c r="G3" t="s">
        <v>2963</v>
      </c>
      <c r="H3" t="s">
        <v>2958</v>
      </c>
      <c r="I3" t="s">
        <v>2905</v>
      </c>
      <c r="J3" t="s">
        <v>2964</v>
      </c>
    </row>
    <row r="4" spans="1:10" ht="15" customHeight="1" x14ac:dyDescent="0.25">
      <c r="A4" t="s">
        <v>3277</v>
      </c>
      <c r="B4" t="s">
        <v>2971</v>
      </c>
      <c r="C4" t="s">
        <v>3278</v>
      </c>
      <c r="D4" t="s">
        <v>3279</v>
      </c>
      <c r="E4" t="s">
        <v>3280</v>
      </c>
      <c r="F4" t="s">
        <v>1358</v>
      </c>
      <c r="G4" t="s">
        <v>3281</v>
      </c>
      <c r="H4" t="s">
        <v>3282</v>
      </c>
      <c r="I4" t="s">
        <v>2905</v>
      </c>
      <c r="J4" t="s">
        <v>2964</v>
      </c>
    </row>
    <row r="5" spans="1:10" ht="15" customHeight="1" x14ac:dyDescent="0.25">
      <c r="A5" t="s">
        <v>3283</v>
      </c>
      <c r="B5" t="s">
        <v>2959</v>
      </c>
      <c r="C5" t="s">
        <v>3284</v>
      </c>
      <c r="D5" t="s">
        <v>3285</v>
      </c>
      <c r="E5" t="s">
        <v>3286</v>
      </c>
      <c r="F5" t="s">
        <v>828</v>
      </c>
      <c r="G5" t="s">
        <v>3287</v>
      </c>
      <c r="H5" t="s">
        <v>3288</v>
      </c>
      <c r="I5" t="s">
        <v>2905</v>
      </c>
      <c r="J5" t="s">
        <v>2969</v>
      </c>
    </row>
    <row r="6" spans="1:10" ht="15" customHeight="1" x14ac:dyDescent="0.25">
      <c r="A6" t="s">
        <v>3289</v>
      </c>
      <c r="B6" t="s">
        <v>2971</v>
      </c>
      <c r="C6" t="s">
        <v>3278</v>
      </c>
      <c r="D6" t="s">
        <v>3290</v>
      </c>
      <c r="E6" t="s">
        <v>3291</v>
      </c>
      <c r="F6" t="s">
        <v>828</v>
      </c>
      <c r="G6" t="s">
        <v>3292</v>
      </c>
      <c r="H6" t="s">
        <v>3289</v>
      </c>
      <c r="I6" t="s">
        <v>2905</v>
      </c>
      <c r="J6" t="s">
        <v>3293</v>
      </c>
    </row>
    <row r="7" spans="1:10" ht="15" customHeight="1" x14ac:dyDescent="0.25">
      <c r="A7" t="s">
        <v>3294</v>
      </c>
      <c r="B7" t="s">
        <v>2971</v>
      </c>
      <c r="C7" t="s">
        <v>2960</v>
      </c>
      <c r="D7" t="s">
        <v>3295</v>
      </c>
      <c r="E7" t="s">
        <v>3296</v>
      </c>
      <c r="F7" t="s">
        <v>1358</v>
      </c>
      <c r="G7" t="s">
        <v>3297</v>
      </c>
      <c r="H7" t="s">
        <v>3298</v>
      </c>
      <c r="I7" t="s">
        <v>2905</v>
      </c>
      <c r="J7" t="s">
        <v>2964</v>
      </c>
    </row>
    <row r="8" spans="1:10" ht="15" customHeight="1" x14ac:dyDescent="0.25">
      <c r="A8" t="s">
        <v>3299</v>
      </c>
      <c r="B8" t="s">
        <v>2952</v>
      </c>
      <c r="C8" t="s">
        <v>3300</v>
      </c>
      <c r="D8" t="s">
        <v>3301</v>
      </c>
      <c r="E8" t="s">
        <v>3302</v>
      </c>
      <c r="F8" t="s">
        <v>1330</v>
      </c>
      <c r="G8" t="s">
        <v>3303</v>
      </c>
      <c r="H8" t="s">
        <v>3304</v>
      </c>
      <c r="I8" t="s">
        <v>2905</v>
      </c>
      <c r="J8" t="s">
        <v>2969</v>
      </c>
    </row>
    <row r="9" spans="1:10" ht="15" customHeight="1" x14ac:dyDescent="0.25">
      <c r="A9" t="s">
        <v>3305</v>
      </c>
      <c r="B9" t="s">
        <v>2952</v>
      </c>
      <c r="C9" t="s">
        <v>2960</v>
      </c>
      <c r="D9" t="s">
        <v>3306</v>
      </c>
      <c r="E9" t="s">
        <v>3307</v>
      </c>
      <c r="F9" t="s">
        <v>1358</v>
      </c>
      <c r="G9" t="s">
        <v>3308</v>
      </c>
      <c r="H9" t="s">
        <v>3309</v>
      </c>
      <c r="I9" t="s">
        <v>2905</v>
      </c>
      <c r="J9" t="s">
        <v>3310</v>
      </c>
    </row>
    <row r="10" spans="1:10" ht="15" customHeight="1" x14ac:dyDescent="0.25">
      <c r="A10" t="s">
        <v>3311</v>
      </c>
      <c r="B10" t="s">
        <v>2952</v>
      </c>
      <c r="C10" t="s">
        <v>2960</v>
      </c>
      <c r="D10" t="s">
        <v>3312</v>
      </c>
      <c r="E10" t="s">
        <v>3313</v>
      </c>
      <c r="F10" t="s">
        <v>1954</v>
      </c>
      <c r="G10" t="s">
        <v>3314</v>
      </c>
      <c r="H10" t="s">
        <v>3315</v>
      </c>
      <c r="I10" t="s">
        <v>2905</v>
      </c>
      <c r="J10" t="s">
        <v>2889</v>
      </c>
    </row>
    <row r="11" spans="1:10" ht="15" customHeight="1" x14ac:dyDescent="0.25">
      <c r="A11" t="s">
        <v>3316</v>
      </c>
      <c r="B11" t="s">
        <v>2959</v>
      </c>
      <c r="C11" t="s">
        <v>3278</v>
      </c>
      <c r="D11" t="s">
        <v>3317</v>
      </c>
      <c r="E11" t="s">
        <v>3318</v>
      </c>
      <c r="F11" t="s">
        <v>881</v>
      </c>
      <c r="G11" t="s">
        <v>3157</v>
      </c>
      <c r="H11" t="s">
        <v>3319</v>
      </c>
      <c r="I11" t="s">
        <v>2905</v>
      </c>
      <c r="J11" t="s">
        <v>3293</v>
      </c>
    </row>
    <row r="12" spans="1:10" ht="15" customHeight="1" x14ac:dyDescent="0.25">
      <c r="A12" t="s">
        <v>3320</v>
      </c>
      <c r="B12" t="s">
        <v>2952</v>
      </c>
      <c r="C12" t="s">
        <v>3278</v>
      </c>
      <c r="D12" t="s">
        <v>3321</v>
      </c>
      <c r="E12" t="s">
        <v>3322</v>
      </c>
      <c r="F12" t="s">
        <v>1330</v>
      </c>
      <c r="H12" t="s">
        <v>3323</v>
      </c>
      <c r="I12" t="s">
        <v>2905</v>
      </c>
      <c r="J12" t="s">
        <v>3324</v>
      </c>
    </row>
    <row r="13" spans="1:10" ht="15" customHeight="1" x14ac:dyDescent="0.25">
      <c r="A13" t="s">
        <v>3325</v>
      </c>
      <c r="B13" t="s">
        <v>2959</v>
      </c>
      <c r="C13" t="s">
        <v>2960</v>
      </c>
      <c r="D13" t="s">
        <v>3326</v>
      </c>
      <c r="E13" t="s">
        <v>3327</v>
      </c>
      <c r="F13" t="s">
        <v>1954</v>
      </c>
      <c r="G13" t="s">
        <v>3328</v>
      </c>
      <c r="H13" t="s">
        <v>3329</v>
      </c>
      <c r="I13" t="s">
        <v>2905</v>
      </c>
      <c r="J13" t="s">
        <v>2889</v>
      </c>
    </row>
    <row r="14" spans="1:10" ht="15" customHeight="1" x14ac:dyDescent="0.25">
      <c r="A14" t="s">
        <v>3330</v>
      </c>
      <c r="B14" t="s">
        <v>2959</v>
      </c>
      <c r="C14" t="s">
        <v>2978</v>
      </c>
      <c r="D14" t="s">
        <v>3331</v>
      </c>
      <c r="E14" t="s">
        <v>3332</v>
      </c>
      <c r="F14" t="s">
        <v>347</v>
      </c>
      <c r="G14" t="s">
        <v>3333</v>
      </c>
      <c r="H14" t="s">
        <v>3334</v>
      </c>
      <c r="I14" t="s">
        <v>2905</v>
      </c>
      <c r="J14" t="s">
        <v>2969</v>
      </c>
    </row>
    <row r="15" spans="1:10" ht="15" customHeight="1" x14ac:dyDescent="0.25">
      <c r="A15" t="s">
        <v>3335</v>
      </c>
      <c r="B15" t="s">
        <v>2905</v>
      </c>
      <c r="C15" t="s">
        <v>3336</v>
      </c>
      <c r="D15" t="s">
        <v>3337</v>
      </c>
      <c r="F15" t="s">
        <v>1044</v>
      </c>
      <c r="H15" t="s">
        <v>3338</v>
      </c>
      <c r="I15" t="s">
        <v>2905</v>
      </c>
      <c r="J15" t="s">
        <v>3336</v>
      </c>
    </row>
    <row r="16" spans="1:10" ht="15" customHeight="1" x14ac:dyDescent="0.25">
      <c r="A16" t="s">
        <v>3339</v>
      </c>
      <c r="B16" t="s">
        <v>2905</v>
      </c>
      <c r="C16" t="s">
        <v>3336</v>
      </c>
      <c r="D16" t="s">
        <v>3340</v>
      </c>
      <c r="F16" t="s">
        <v>1044</v>
      </c>
      <c r="H16" t="s">
        <v>3341</v>
      </c>
      <c r="I16" t="s">
        <v>2905</v>
      </c>
      <c r="J16" t="s">
        <v>3336</v>
      </c>
    </row>
    <row r="17" spans="1:10" ht="15" customHeight="1" x14ac:dyDescent="0.25">
      <c r="A17" t="s">
        <v>3342</v>
      </c>
      <c r="B17" t="s">
        <v>2905</v>
      </c>
      <c r="C17" t="s">
        <v>3336</v>
      </c>
      <c r="D17" t="s">
        <v>3343</v>
      </c>
      <c r="F17" t="s">
        <v>1044</v>
      </c>
      <c r="H17" t="s">
        <v>3344</v>
      </c>
      <c r="I17" t="s">
        <v>2905</v>
      </c>
      <c r="J17" t="s">
        <v>3336</v>
      </c>
    </row>
    <row r="18" spans="1:10" ht="15" customHeight="1" x14ac:dyDescent="0.25">
      <c r="A18" t="s">
        <v>3345</v>
      </c>
      <c r="B18" t="s">
        <v>2905</v>
      </c>
      <c r="C18" t="s">
        <v>3336</v>
      </c>
      <c r="D18" t="s">
        <v>3346</v>
      </c>
      <c r="F18" t="s">
        <v>1044</v>
      </c>
      <c r="H18" t="s">
        <v>3347</v>
      </c>
      <c r="I18" t="s">
        <v>2905</v>
      </c>
      <c r="J18" t="s">
        <v>3336</v>
      </c>
    </row>
    <row r="19" spans="1:10" ht="15" customHeight="1" x14ac:dyDescent="0.25">
      <c r="A19" t="s">
        <v>3348</v>
      </c>
      <c r="B19" t="s">
        <v>2905</v>
      </c>
      <c r="C19" t="s">
        <v>3336</v>
      </c>
      <c r="D19" t="s">
        <v>3349</v>
      </c>
      <c r="F19" t="s">
        <v>1044</v>
      </c>
      <c r="H19" t="s">
        <v>3350</v>
      </c>
      <c r="I19" t="s">
        <v>2905</v>
      </c>
      <c r="J19" t="s">
        <v>3336</v>
      </c>
    </row>
    <row r="20" spans="1:10" ht="15" customHeight="1" x14ac:dyDescent="0.25">
      <c r="A20" t="s">
        <v>3351</v>
      </c>
      <c r="B20" t="s">
        <v>2905</v>
      </c>
      <c r="C20" t="s">
        <v>3336</v>
      </c>
      <c r="D20" t="s">
        <v>3352</v>
      </c>
      <c r="F20" t="s">
        <v>1044</v>
      </c>
      <c r="H20" t="s">
        <v>3353</v>
      </c>
      <c r="I20" t="s">
        <v>2905</v>
      </c>
      <c r="J20" t="s">
        <v>3336</v>
      </c>
    </row>
    <row r="21" spans="1:10" ht="15" customHeight="1" x14ac:dyDescent="0.25">
      <c r="A21" t="s">
        <v>3354</v>
      </c>
      <c r="B21" t="s">
        <v>2971</v>
      </c>
      <c r="C21" t="s">
        <v>3284</v>
      </c>
      <c r="D21" t="s">
        <v>3355</v>
      </c>
      <c r="E21" t="s">
        <v>3356</v>
      </c>
      <c r="F21" t="s">
        <v>347</v>
      </c>
      <c r="G21" t="s">
        <v>3357</v>
      </c>
      <c r="H21" t="s">
        <v>3358</v>
      </c>
      <c r="I21" t="s">
        <v>2905</v>
      </c>
      <c r="J21" t="s">
        <v>3359</v>
      </c>
    </row>
    <row r="22" spans="1:10" ht="15" customHeight="1" x14ac:dyDescent="0.25">
      <c r="A22" t="s">
        <v>3360</v>
      </c>
      <c r="B22" t="s">
        <v>2959</v>
      </c>
      <c r="C22" t="s">
        <v>3013</v>
      </c>
      <c r="D22" t="s">
        <v>3361</v>
      </c>
      <c r="E22" t="s">
        <v>3362</v>
      </c>
      <c r="F22" t="s">
        <v>1358</v>
      </c>
      <c r="G22" t="s">
        <v>3363</v>
      </c>
      <c r="H22" t="s">
        <v>3364</v>
      </c>
      <c r="I22" t="s">
        <v>2905</v>
      </c>
      <c r="J22" t="s">
        <v>2969</v>
      </c>
    </row>
    <row r="23" spans="1:10" ht="15" customHeight="1" x14ac:dyDescent="0.25">
      <c r="A23" t="s">
        <v>3365</v>
      </c>
      <c r="B23" t="s">
        <v>2952</v>
      </c>
      <c r="C23" t="s">
        <v>2960</v>
      </c>
      <c r="D23" t="s">
        <v>3366</v>
      </c>
      <c r="E23" t="s">
        <v>3367</v>
      </c>
      <c r="F23" t="s">
        <v>1358</v>
      </c>
      <c r="H23" t="s">
        <v>3368</v>
      </c>
      <c r="I23" t="s">
        <v>2905</v>
      </c>
      <c r="J23" t="s">
        <v>3310</v>
      </c>
    </row>
    <row r="24" spans="1:10" ht="15" customHeight="1" x14ac:dyDescent="0.25">
      <c r="A24" t="s">
        <v>3369</v>
      </c>
      <c r="B24" t="s">
        <v>2952</v>
      </c>
      <c r="C24" t="s">
        <v>2960</v>
      </c>
      <c r="D24" t="s">
        <v>3370</v>
      </c>
      <c r="E24" t="s">
        <v>3371</v>
      </c>
      <c r="F24" t="s">
        <v>1358</v>
      </c>
      <c r="G24" t="s">
        <v>3372</v>
      </c>
      <c r="H24" t="s">
        <v>3373</v>
      </c>
      <c r="I24" t="s">
        <v>2905</v>
      </c>
      <c r="J24" t="s">
        <v>2964</v>
      </c>
    </row>
    <row r="25" spans="1:10" ht="15" customHeight="1" x14ac:dyDescent="0.25">
      <c r="A25" t="s">
        <v>3374</v>
      </c>
      <c r="B25" t="s">
        <v>2971</v>
      </c>
      <c r="C25" t="s">
        <v>2960</v>
      </c>
      <c r="D25" t="s">
        <v>3375</v>
      </c>
      <c r="E25" t="s">
        <v>3376</v>
      </c>
      <c r="F25" t="s">
        <v>1954</v>
      </c>
      <c r="G25" t="s">
        <v>3377</v>
      </c>
      <c r="H25" t="s">
        <v>3378</v>
      </c>
      <c r="I25" t="s">
        <v>2905</v>
      </c>
      <c r="J25" t="s">
        <v>3310</v>
      </c>
    </row>
    <row r="26" spans="1:10" ht="15" customHeight="1" x14ac:dyDescent="0.25">
      <c r="A26" t="s">
        <v>2916</v>
      </c>
      <c r="B26" t="s">
        <v>2983</v>
      </c>
      <c r="C26" t="s">
        <v>2960</v>
      </c>
      <c r="D26" t="s">
        <v>3379</v>
      </c>
      <c r="E26" t="s">
        <v>3380</v>
      </c>
      <c r="F26" t="s">
        <v>1954</v>
      </c>
      <c r="H26" t="s">
        <v>2986</v>
      </c>
      <c r="I26" t="s">
        <v>2905</v>
      </c>
      <c r="J26" t="s">
        <v>2889</v>
      </c>
    </row>
    <row r="27" spans="1:10" ht="15" customHeight="1" x14ac:dyDescent="0.25">
      <c r="A27" t="s">
        <v>3381</v>
      </c>
      <c r="B27" t="s">
        <v>2952</v>
      </c>
      <c r="C27" t="s">
        <v>3284</v>
      </c>
      <c r="D27" t="s">
        <v>3382</v>
      </c>
      <c r="E27" t="s">
        <v>3383</v>
      </c>
      <c r="F27" t="s">
        <v>1954</v>
      </c>
      <c r="G27" t="s">
        <v>2990</v>
      </c>
      <c r="H27" t="s">
        <v>3384</v>
      </c>
      <c r="I27" t="s">
        <v>2905</v>
      </c>
      <c r="J27" t="s">
        <v>3385</v>
      </c>
    </row>
    <row r="28" spans="1:10" ht="15" customHeight="1" x14ac:dyDescent="0.25">
      <c r="A28" t="s">
        <v>3386</v>
      </c>
      <c r="B28" t="s">
        <v>2971</v>
      </c>
      <c r="C28" t="s">
        <v>3284</v>
      </c>
      <c r="D28" t="s">
        <v>3387</v>
      </c>
      <c r="E28" t="s">
        <v>3388</v>
      </c>
      <c r="F28" t="s">
        <v>347</v>
      </c>
      <c r="H28" t="s">
        <v>3386</v>
      </c>
      <c r="I28" t="s">
        <v>2905</v>
      </c>
      <c r="J28" t="s">
        <v>2969</v>
      </c>
    </row>
    <row r="29" spans="1:10" ht="15" customHeight="1" x14ac:dyDescent="0.25">
      <c r="A29" t="s">
        <v>3389</v>
      </c>
      <c r="B29" t="s">
        <v>2952</v>
      </c>
      <c r="C29" t="s">
        <v>2960</v>
      </c>
      <c r="D29" t="s">
        <v>3390</v>
      </c>
      <c r="E29" t="s">
        <v>3391</v>
      </c>
      <c r="F29" t="s">
        <v>1954</v>
      </c>
      <c r="G29" t="s">
        <v>2963</v>
      </c>
      <c r="H29" t="s">
        <v>3392</v>
      </c>
      <c r="I29" t="s">
        <v>2905</v>
      </c>
      <c r="J29" t="s">
        <v>2964</v>
      </c>
    </row>
    <row r="30" spans="1:10" ht="15" customHeight="1" x14ac:dyDescent="0.25">
      <c r="A30" t="s">
        <v>3393</v>
      </c>
      <c r="B30" t="s">
        <v>2971</v>
      </c>
      <c r="C30" t="s">
        <v>2960</v>
      </c>
      <c r="D30" t="s">
        <v>3394</v>
      </c>
      <c r="E30" t="s">
        <v>3395</v>
      </c>
      <c r="F30" t="s">
        <v>2199</v>
      </c>
      <c r="H30" t="s">
        <v>3396</v>
      </c>
      <c r="I30" t="s">
        <v>2905</v>
      </c>
      <c r="J30" t="s">
        <v>2889</v>
      </c>
    </row>
    <row r="31" spans="1:10" ht="15" customHeight="1" x14ac:dyDescent="0.25">
      <c r="A31" t="s">
        <v>3397</v>
      </c>
      <c r="B31" t="s">
        <v>2959</v>
      </c>
      <c r="C31" t="s">
        <v>3013</v>
      </c>
      <c r="D31" t="s">
        <v>3398</v>
      </c>
      <c r="E31" t="s">
        <v>3399</v>
      </c>
      <c r="F31" t="s">
        <v>1358</v>
      </c>
      <c r="G31" t="s">
        <v>3363</v>
      </c>
      <c r="H31" t="s">
        <v>3397</v>
      </c>
      <c r="I31" t="s">
        <v>2905</v>
      </c>
      <c r="J31" t="s">
        <v>2969</v>
      </c>
    </row>
    <row r="32" spans="1:10" ht="15" customHeight="1" x14ac:dyDescent="0.25">
      <c r="A32" t="s">
        <v>3400</v>
      </c>
      <c r="B32" t="s">
        <v>2971</v>
      </c>
      <c r="C32" t="s">
        <v>2960</v>
      </c>
      <c r="D32" t="s">
        <v>3401</v>
      </c>
      <c r="E32" t="s">
        <v>3402</v>
      </c>
      <c r="F32" t="s">
        <v>1072</v>
      </c>
      <c r="G32" t="s">
        <v>3403</v>
      </c>
      <c r="H32" t="s">
        <v>3404</v>
      </c>
      <c r="I32" t="s">
        <v>2905</v>
      </c>
      <c r="J32" t="s">
        <v>3405</v>
      </c>
    </row>
    <row r="33" spans="1:10" ht="15" customHeight="1" x14ac:dyDescent="0.25">
      <c r="A33" t="s">
        <v>3406</v>
      </c>
      <c r="B33" t="s">
        <v>2952</v>
      </c>
      <c r="C33" t="s">
        <v>3284</v>
      </c>
      <c r="D33" t="s">
        <v>3407</v>
      </c>
      <c r="E33" t="s">
        <v>3408</v>
      </c>
      <c r="F33" t="s">
        <v>2199</v>
      </c>
      <c r="G33" t="s">
        <v>3409</v>
      </c>
      <c r="H33" t="s">
        <v>3410</v>
      </c>
      <c r="I33" t="s">
        <v>2905</v>
      </c>
      <c r="J33" t="s">
        <v>2969</v>
      </c>
    </row>
    <row r="34" spans="1:10" ht="15" customHeight="1" x14ac:dyDescent="0.25">
      <c r="A34" t="s">
        <v>2987</v>
      </c>
      <c r="B34" t="s">
        <v>2971</v>
      </c>
      <c r="C34" t="s">
        <v>2960</v>
      </c>
      <c r="D34" t="s">
        <v>2988</v>
      </c>
      <c r="E34" t="s">
        <v>3411</v>
      </c>
      <c r="F34" t="s">
        <v>2356</v>
      </c>
      <c r="G34" t="s">
        <v>2990</v>
      </c>
      <c r="H34" t="s">
        <v>2987</v>
      </c>
      <c r="I34" t="s">
        <v>2905</v>
      </c>
      <c r="J34" t="s">
        <v>2991</v>
      </c>
    </row>
    <row r="35" spans="1:10" ht="15" customHeight="1" x14ac:dyDescent="0.25">
      <c r="A35" t="s">
        <v>2920</v>
      </c>
      <c r="B35" t="s">
        <v>2971</v>
      </c>
      <c r="C35" t="s">
        <v>3412</v>
      </c>
      <c r="D35" t="s">
        <v>3413</v>
      </c>
      <c r="E35" t="s">
        <v>3414</v>
      </c>
      <c r="F35" t="s">
        <v>2199</v>
      </c>
      <c r="G35" t="s">
        <v>182</v>
      </c>
      <c r="H35" t="s">
        <v>2920</v>
      </c>
      <c r="I35" t="s">
        <v>2905</v>
      </c>
      <c r="J35" t="s">
        <v>2969</v>
      </c>
    </row>
    <row r="36" spans="1:10" ht="15" customHeight="1" x14ac:dyDescent="0.25">
      <c r="A36" t="s">
        <v>3415</v>
      </c>
      <c r="B36" t="s">
        <v>2971</v>
      </c>
      <c r="C36" t="s">
        <v>2960</v>
      </c>
      <c r="D36" t="s">
        <v>3416</v>
      </c>
      <c r="E36" t="s">
        <v>3417</v>
      </c>
      <c r="F36" t="s">
        <v>1954</v>
      </c>
      <c r="G36" t="s">
        <v>3418</v>
      </c>
      <c r="H36" t="s">
        <v>3419</v>
      </c>
      <c r="I36" t="s">
        <v>2905</v>
      </c>
      <c r="J36" t="s">
        <v>3420</v>
      </c>
    </row>
    <row r="37" spans="1:10" ht="15" customHeight="1" x14ac:dyDescent="0.25">
      <c r="A37" t="s">
        <v>3421</v>
      </c>
      <c r="B37" t="s">
        <v>2952</v>
      </c>
      <c r="C37" t="s">
        <v>3422</v>
      </c>
      <c r="D37" t="s">
        <v>3423</v>
      </c>
      <c r="E37" t="s">
        <v>3424</v>
      </c>
      <c r="F37" t="s">
        <v>2199</v>
      </c>
      <c r="G37" t="s">
        <v>3425</v>
      </c>
      <c r="H37" t="s">
        <v>3426</v>
      </c>
      <c r="I37" t="s">
        <v>2905</v>
      </c>
      <c r="J37" t="s">
        <v>3310</v>
      </c>
    </row>
    <row r="38" spans="1:10" ht="15" customHeight="1" x14ac:dyDescent="0.25">
      <c r="A38" t="s">
        <v>3427</v>
      </c>
      <c r="B38" t="s">
        <v>2971</v>
      </c>
      <c r="C38" t="s">
        <v>2992</v>
      </c>
      <c r="D38" t="s">
        <v>3428</v>
      </c>
      <c r="F38" t="s">
        <v>2199</v>
      </c>
      <c r="G38" t="s">
        <v>3429</v>
      </c>
      <c r="H38" t="s">
        <v>3430</v>
      </c>
      <c r="I38" t="s">
        <v>2905</v>
      </c>
      <c r="J38" t="s">
        <v>3431</v>
      </c>
    </row>
    <row r="39" spans="1:10" ht="15" customHeight="1" x14ac:dyDescent="0.25">
      <c r="A39" t="s">
        <v>3432</v>
      </c>
      <c r="B39" t="s">
        <v>2971</v>
      </c>
      <c r="C39" t="s">
        <v>2960</v>
      </c>
      <c r="D39" t="s">
        <v>3433</v>
      </c>
      <c r="E39" t="s">
        <v>3434</v>
      </c>
      <c r="F39" t="s">
        <v>902</v>
      </c>
      <c r="G39" t="s">
        <v>3435</v>
      </c>
      <c r="H39" t="s">
        <v>3436</v>
      </c>
      <c r="I39" t="s">
        <v>2905</v>
      </c>
      <c r="J39" t="s">
        <v>3437</v>
      </c>
    </row>
    <row r="40" spans="1:10" ht="15" customHeight="1" x14ac:dyDescent="0.25">
      <c r="A40" t="s">
        <v>3438</v>
      </c>
      <c r="B40" t="s">
        <v>2971</v>
      </c>
      <c r="C40" t="s">
        <v>3278</v>
      </c>
      <c r="D40" t="s">
        <v>3439</v>
      </c>
      <c r="E40" t="s">
        <v>3440</v>
      </c>
      <c r="F40" t="s">
        <v>1330</v>
      </c>
      <c r="H40" t="s">
        <v>3438</v>
      </c>
      <c r="I40" t="s">
        <v>2905</v>
      </c>
      <c r="J40" t="s">
        <v>3310</v>
      </c>
    </row>
    <row r="41" spans="1:10" ht="15" customHeight="1" x14ac:dyDescent="0.25">
      <c r="A41" t="s">
        <v>3441</v>
      </c>
      <c r="B41" t="s">
        <v>2959</v>
      </c>
      <c r="C41" t="s">
        <v>3013</v>
      </c>
      <c r="D41" t="s">
        <v>3442</v>
      </c>
      <c r="E41" t="s">
        <v>3443</v>
      </c>
      <c r="F41" t="s">
        <v>1358</v>
      </c>
      <c r="G41" t="s">
        <v>3363</v>
      </c>
      <c r="H41" t="s">
        <v>3444</v>
      </c>
      <c r="I41" t="s">
        <v>2905</v>
      </c>
      <c r="J41" t="s">
        <v>2969</v>
      </c>
    </row>
    <row r="42" spans="1:10" ht="15" customHeight="1" x14ac:dyDescent="0.25">
      <c r="A42" t="s">
        <v>3445</v>
      </c>
      <c r="B42" t="s">
        <v>2952</v>
      </c>
      <c r="C42" t="s">
        <v>2960</v>
      </c>
      <c r="D42" t="s">
        <v>3446</v>
      </c>
      <c r="E42" t="s">
        <v>3447</v>
      </c>
      <c r="F42" t="s">
        <v>2356</v>
      </c>
      <c r="G42" t="s">
        <v>3303</v>
      </c>
      <c r="H42" t="s">
        <v>3445</v>
      </c>
      <c r="I42" t="s">
        <v>2905</v>
      </c>
      <c r="J42" t="s">
        <v>3310</v>
      </c>
    </row>
    <row r="43" spans="1:10" ht="15" customHeight="1" x14ac:dyDescent="0.25">
      <c r="A43" t="s">
        <v>3448</v>
      </c>
      <c r="B43" t="s">
        <v>2952</v>
      </c>
      <c r="C43" t="s">
        <v>2960</v>
      </c>
      <c r="D43" t="s">
        <v>3449</v>
      </c>
      <c r="E43" t="s">
        <v>3450</v>
      </c>
      <c r="F43" t="s">
        <v>1954</v>
      </c>
      <c r="G43" t="s">
        <v>3451</v>
      </c>
      <c r="H43" t="s">
        <v>3452</v>
      </c>
      <c r="I43" t="s">
        <v>2905</v>
      </c>
      <c r="J43" t="s">
        <v>3453</v>
      </c>
    </row>
    <row r="44" spans="1:10" ht="15" customHeight="1" x14ac:dyDescent="0.25">
      <c r="A44" t="s">
        <v>3454</v>
      </c>
      <c r="B44" t="s">
        <v>2952</v>
      </c>
      <c r="C44" t="s">
        <v>2960</v>
      </c>
      <c r="D44" t="s">
        <v>3455</v>
      </c>
      <c r="E44" t="s">
        <v>3456</v>
      </c>
      <c r="F44" t="s">
        <v>1358</v>
      </c>
      <c r="G44" t="s">
        <v>3457</v>
      </c>
      <c r="H44" t="s">
        <v>3458</v>
      </c>
      <c r="I44" t="s">
        <v>2905</v>
      </c>
      <c r="J44" t="s">
        <v>3310</v>
      </c>
    </row>
    <row r="45" spans="1:10" ht="15" customHeight="1" x14ac:dyDescent="0.25">
      <c r="A45" t="s">
        <v>3459</v>
      </c>
      <c r="B45" t="s">
        <v>2971</v>
      </c>
      <c r="C45" t="s">
        <v>2960</v>
      </c>
      <c r="D45" t="s">
        <v>3460</v>
      </c>
      <c r="E45" t="s">
        <v>3461</v>
      </c>
      <c r="F45" t="s">
        <v>2356</v>
      </c>
      <c r="G45" t="s">
        <v>3462</v>
      </c>
      <c r="H45" t="s">
        <v>3463</v>
      </c>
      <c r="I45" t="s">
        <v>2905</v>
      </c>
      <c r="J45" t="s">
        <v>2969</v>
      </c>
    </row>
    <row r="46" spans="1:10" ht="15" customHeight="1" x14ac:dyDescent="0.25">
      <c r="A46" t="s">
        <v>3464</v>
      </c>
      <c r="B46" t="s">
        <v>2959</v>
      </c>
      <c r="C46" t="s">
        <v>3284</v>
      </c>
      <c r="D46" t="s">
        <v>3465</v>
      </c>
      <c r="E46" t="s">
        <v>3466</v>
      </c>
      <c r="F46" t="s">
        <v>1776</v>
      </c>
      <c r="G46" t="s">
        <v>3467</v>
      </c>
      <c r="H46" t="s">
        <v>3468</v>
      </c>
      <c r="I46" t="s">
        <v>2905</v>
      </c>
      <c r="J46" t="s">
        <v>2969</v>
      </c>
    </row>
    <row r="47" spans="1:10" ht="15" customHeight="1" x14ac:dyDescent="0.25">
      <c r="A47" t="s">
        <v>3469</v>
      </c>
      <c r="B47" t="s">
        <v>2971</v>
      </c>
      <c r="C47" t="s">
        <v>2960</v>
      </c>
      <c r="D47" t="s">
        <v>3470</v>
      </c>
      <c r="E47" t="s">
        <v>3471</v>
      </c>
      <c r="F47" t="s">
        <v>1954</v>
      </c>
      <c r="G47" t="s">
        <v>3472</v>
      </c>
      <c r="H47" t="s">
        <v>3473</v>
      </c>
      <c r="I47" t="s">
        <v>2905</v>
      </c>
      <c r="J47" t="s">
        <v>2991</v>
      </c>
    </row>
    <row r="48" spans="1:10" ht="15" customHeight="1" x14ac:dyDescent="0.25">
      <c r="A48" t="s">
        <v>3474</v>
      </c>
      <c r="B48" t="s">
        <v>2971</v>
      </c>
      <c r="C48" t="s">
        <v>2960</v>
      </c>
      <c r="D48" t="s">
        <v>3475</v>
      </c>
      <c r="E48" t="s">
        <v>3476</v>
      </c>
      <c r="F48" t="s">
        <v>2102</v>
      </c>
      <c r="G48" t="s">
        <v>3477</v>
      </c>
      <c r="H48" t="s">
        <v>3474</v>
      </c>
      <c r="I48" t="s">
        <v>2905</v>
      </c>
      <c r="J48" t="s">
        <v>2964</v>
      </c>
    </row>
    <row r="49" spans="1:10" ht="15" customHeight="1" x14ac:dyDescent="0.25">
      <c r="A49" t="s">
        <v>3478</v>
      </c>
      <c r="B49" t="s">
        <v>2952</v>
      </c>
      <c r="C49" t="s">
        <v>2960</v>
      </c>
      <c r="D49" t="s">
        <v>3479</v>
      </c>
      <c r="E49" t="s">
        <v>3480</v>
      </c>
      <c r="F49" t="s">
        <v>1954</v>
      </c>
      <c r="G49" t="s">
        <v>139</v>
      </c>
      <c r="H49" t="s">
        <v>3478</v>
      </c>
      <c r="I49" t="s">
        <v>2905</v>
      </c>
      <c r="J49" t="s">
        <v>2964</v>
      </c>
    </row>
    <row r="50" spans="1:10" ht="15" customHeight="1" x14ac:dyDescent="0.25">
      <c r="A50" t="s">
        <v>3481</v>
      </c>
      <c r="B50" t="s">
        <v>2959</v>
      </c>
      <c r="C50" t="s">
        <v>3284</v>
      </c>
      <c r="D50" t="s">
        <v>3482</v>
      </c>
      <c r="E50" t="s">
        <v>3483</v>
      </c>
      <c r="F50" t="s">
        <v>2199</v>
      </c>
      <c r="G50" t="s">
        <v>3484</v>
      </c>
      <c r="H50" t="s">
        <v>3485</v>
      </c>
      <c r="I50" t="s">
        <v>2905</v>
      </c>
      <c r="J50" t="s">
        <v>2969</v>
      </c>
    </row>
    <row r="51" spans="1:10" ht="15" customHeight="1" x14ac:dyDescent="0.25">
      <c r="A51" t="s">
        <v>3486</v>
      </c>
      <c r="B51" t="s">
        <v>2952</v>
      </c>
      <c r="C51" t="s">
        <v>2960</v>
      </c>
      <c r="D51" t="s">
        <v>3487</v>
      </c>
      <c r="E51" t="s">
        <v>3488</v>
      </c>
      <c r="F51" t="s">
        <v>902</v>
      </c>
      <c r="G51" t="s">
        <v>3489</v>
      </c>
      <c r="H51" t="s">
        <v>3490</v>
      </c>
      <c r="I51" t="s">
        <v>2905</v>
      </c>
      <c r="J51" t="s">
        <v>3491</v>
      </c>
    </row>
    <row r="52" spans="1:10" ht="15" customHeight="1" x14ac:dyDescent="0.25">
      <c r="A52" t="s">
        <v>3492</v>
      </c>
      <c r="B52" t="s">
        <v>2971</v>
      </c>
      <c r="C52" t="s">
        <v>2960</v>
      </c>
      <c r="D52" t="s">
        <v>3493</v>
      </c>
      <c r="E52" t="s">
        <v>3494</v>
      </c>
      <c r="F52" t="s">
        <v>1954</v>
      </c>
      <c r="H52" t="s">
        <v>3495</v>
      </c>
      <c r="I52" t="s">
        <v>2905</v>
      </c>
      <c r="J52" t="s">
        <v>3496</v>
      </c>
    </row>
    <row r="53" spans="1:10" ht="15" customHeight="1" x14ac:dyDescent="0.25">
      <c r="A53" t="s">
        <v>3497</v>
      </c>
      <c r="B53" t="s">
        <v>2952</v>
      </c>
      <c r="C53" t="s">
        <v>3284</v>
      </c>
      <c r="D53" t="s">
        <v>3498</v>
      </c>
      <c r="E53" t="s">
        <v>3499</v>
      </c>
      <c r="F53" t="s">
        <v>347</v>
      </c>
      <c r="G53" t="s">
        <v>3500</v>
      </c>
      <c r="H53" t="s">
        <v>3497</v>
      </c>
      <c r="I53" t="s">
        <v>2905</v>
      </c>
      <c r="J53" t="s">
        <v>2969</v>
      </c>
    </row>
    <row r="54" spans="1:10" ht="15" customHeight="1" x14ac:dyDescent="0.25">
      <c r="A54" t="s">
        <v>3501</v>
      </c>
      <c r="B54" t="s">
        <v>2959</v>
      </c>
      <c r="C54" t="s">
        <v>3422</v>
      </c>
      <c r="D54" t="s">
        <v>3502</v>
      </c>
      <c r="E54" t="s">
        <v>3503</v>
      </c>
      <c r="F54" t="s">
        <v>1954</v>
      </c>
      <c r="G54" t="s">
        <v>3504</v>
      </c>
      <c r="H54" t="s">
        <v>3505</v>
      </c>
      <c r="I54" t="s">
        <v>2905</v>
      </c>
      <c r="J54" t="s">
        <v>3385</v>
      </c>
    </row>
    <row r="55" spans="1:10" ht="15" customHeight="1" x14ac:dyDescent="0.25">
      <c r="A55" t="s">
        <v>3506</v>
      </c>
      <c r="B55" t="s">
        <v>2971</v>
      </c>
      <c r="C55" t="s">
        <v>2960</v>
      </c>
      <c r="D55" t="s">
        <v>3507</v>
      </c>
      <c r="E55" t="s">
        <v>3508</v>
      </c>
      <c r="F55" t="s">
        <v>2199</v>
      </c>
      <c r="G55" t="s">
        <v>3509</v>
      </c>
      <c r="H55" t="s">
        <v>3510</v>
      </c>
      <c r="I55" t="s">
        <v>2905</v>
      </c>
      <c r="J55" t="s">
        <v>2991</v>
      </c>
    </row>
    <row r="56" spans="1:10" ht="15" customHeight="1" x14ac:dyDescent="0.25">
      <c r="A56" t="s">
        <v>2994</v>
      </c>
      <c r="B56" t="s">
        <v>2959</v>
      </c>
      <c r="C56" t="s">
        <v>2995</v>
      </c>
      <c r="D56" t="s">
        <v>3511</v>
      </c>
      <c r="E56" t="s">
        <v>3512</v>
      </c>
      <c r="F56" t="s">
        <v>2356</v>
      </c>
      <c r="G56" t="s">
        <v>2998</v>
      </c>
      <c r="H56" t="s">
        <v>2999</v>
      </c>
      <c r="I56" t="s">
        <v>2905</v>
      </c>
      <c r="J56" t="s">
        <v>2889</v>
      </c>
    </row>
    <row r="57" spans="1:10" ht="15" customHeight="1" x14ac:dyDescent="0.25">
      <c r="A57" t="s">
        <v>3513</v>
      </c>
      <c r="B57" t="s">
        <v>3034</v>
      </c>
      <c r="C57" t="s">
        <v>2960</v>
      </c>
      <c r="D57" t="s">
        <v>3514</v>
      </c>
      <c r="E57" t="s">
        <v>3515</v>
      </c>
      <c r="F57" t="s">
        <v>2199</v>
      </c>
      <c r="G57" t="s">
        <v>3516</v>
      </c>
      <c r="H57" t="s">
        <v>3517</v>
      </c>
      <c r="I57" t="s">
        <v>2905</v>
      </c>
      <c r="J57" t="s">
        <v>2964</v>
      </c>
    </row>
    <row r="58" spans="1:10" ht="15" customHeight="1" x14ac:dyDescent="0.25">
      <c r="A58" t="s">
        <v>3518</v>
      </c>
      <c r="B58" t="s">
        <v>2971</v>
      </c>
      <c r="C58" t="s">
        <v>2960</v>
      </c>
      <c r="D58" t="s">
        <v>3519</v>
      </c>
      <c r="E58" t="s">
        <v>3520</v>
      </c>
      <c r="F58" t="s">
        <v>1954</v>
      </c>
      <c r="G58" t="s">
        <v>2963</v>
      </c>
      <c r="H58" t="s">
        <v>3521</v>
      </c>
      <c r="I58" t="s">
        <v>2905</v>
      </c>
      <c r="J58" t="s">
        <v>2964</v>
      </c>
    </row>
    <row r="59" spans="1:10" ht="15" customHeight="1" x14ac:dyDescent="0.25">
      <c r="A59" t="s">
        <v>3522</v>
      </c>
      <c r="B59" t="s">
        <v>2952</v>
      </c>
      <c r="C59" t="s">
        <v>2960</v>
      </c>
      <c r="D59" t="s">
        <v>3523</v>
      </c>
      <c r="E59" t="s">
        <v>3524</v>
      </c>
      <c r="F59" t="s">
        <v>1954</v>
      </c>
      <c r="G59" t="s">
        <v>139</v>
      </c>
      <c r="H59" t="s">
        <v>3525</v>
      </c>
      <c r="I59" t="s">
        <v>2905</v>
      </c>
      <c r="J59" t="s">
        <v>3385</v>
      </c>
    </row>
    <row r="60" spans="1:10" ht="15" customHeight="1" x14ac:dyDescent="0.25">
      <c r="A60" t="s">
        <v>3526</v>
      </c>
      <c r="B60" t="s">
        <v>2952</v>
      </c>
      <c r="C60" t="s">
        <v>2960</v>
      </c>
      <c r="D60" t="s">
        <v>3527</v>
      </c>
      <c r="E60" t="s">
        <v>3528</v>
      </c>
      <c r="F60" t="s">
        <v>1358</v>
      </c>
      <c r="G60" t="s">
        <v>3529</v>
      </c>
      <c r="H60" t="s">
        <v>3530</v>
      </c>
      <c r="I60" t="s">
        <v>2905</v>
      </c>
      <c r="J60" t="s">
        <v>3324</v>
      </c>
    </row>
    <row r="61" spans="1:10" ht="15" customHeight="1" x14ac:dyDescent="0.25">
      <c r="A61" t="s">
        <v>3531</v>
      </c>
      <c r="B61" t="s">
        <v>2959</v>
      </c>
      <c r="C61" t="s">
        <v>3300</v>
      </c>
      <c r="D61" t="s">
        <v>3532</v>
      </c>
      <c r="E61" t="s">
        <v>3533</v>
      </c>
      <c r="F61" t="s">
        <v>347</v>
      </c>
      <c r="G61" t="s">
        <v>139</v>
      </c>
      <c r="H61" t="s">
        <v>3531</v>
      </c>
      <c r="I61" t="s">
        <v>2905</v>
      </c>
      <c r="J61" t="s">
        <v>2889</v>
      </c>
    </row>
    <row r="62" spans="1:10" ht="15" customHeight="1" x14ac:dyDescent="0.25">
      <c r="A62" t="s">
        <v>3534</v>
      </c>
      <c r="B62" t="s">
        <v>2952</v>
      </c>
      <c r="C62" t="s">
        <v>2960</v>
      </c>
      <c r="D62" t="s">
        <v>3535</v>
      </c>
      <c r="E62" t="s">
        <v>3536</v>
      </c>
      <c r="F62" t="s">
        <v>2199</v>
      </c>
      <c r="H62" t="s">
        <v>3537</v>
      </c>
      <c r="I62" t="s">
        <v>2905</v>
      </c>
      <c r="J62" t="s">
        <v>3538</v>
      </c>
    </row>
    <row r="63" spans="1:10" ht="15" customHeight="1" x14ac:dyDescent="0.25">
      <c r="A63" t="s">
        <v>3539</v>
      </c>
      <c r="B63" t="s">
        <v>2952</v>
      </c>
      <c r="C63" t="s">
        <v>2960</v>
      </c>
      <c r="D63" t="s">
        <v>3540</v>
      </c>
      <c r="E63" t="s">
        <v>3541</v>
      </c>
      <c r="F63" t="s">
        <v>1358</v>
      </c>
      <c r="G63" t="s">
        <v>3542</v>
      </c>
      <c r="H63" t="s">
        <v>3543</v>
      </c>
      <c r="I63" t="s">
        <v>2905</v>
      </c>
      <c r="J63" t="s">
        <v>3324</v>
      </c>
    </row>
    <row r="64" spans="1:10" ht="15" customHeight="1" x14ac:dyDescent="0.25">
      <c r="A64" t="s">
        <v>3544</v>
      </c>
      <c r="B64" t="s">
        <v>2971</v>
      </c>
      <c r="C64" t="s">
        <v>3284</v>
      </c>
      <c r="D64" t="s">
        <v>3545</v>
      </c>
      <c r="E64" t="s">
        <v>3546</v>
      </c>
      <c r="F64" t="s">
        <v>1776</v>
      </c>
      <c r="G64" t="s">
        <v>3547</v>
      </c>
      <c r="H64" t="s">
        <v>3548</v>
      </c>
      <c r="I64" t="s">
        <v>2905</v>
      </c>
      <c r="J64" t="s">
        <v>2889</v>
      </c>
    </row>
    <row r="65" spans="1:10" ht="15" customHeight="1" x14ac:dyDescent="0.25">
      <c r="A65" t="s">
        <v>3549</v>
      </c>
      <c r="B65" t="s">
        <v>2959</v>
      </c>
      <c r="C65" t="s">
        <v>3278</v>
      </c>
      <c r="D65" t="s">
        <v>3550</v>
      </c>
      <c r="E65" t="s">
        <v>3551</v>
      </c>
      <c r="F65" t="s">
        <v>828</v>
      </c>
      <c r="G65" t="s">
        <v>3157</v>
      </c>
      <c r="H65" t="s">
        <v>3552</v>
      </c>
      <c r="I65" t="s">
        <v>2905</v>
      </c>
      <c r="J65" t="s">
        <v>3310</v>
      </c>
    </row>
    <row r="66" spans="1:10" ht="15" customHeight="1" x14ac:dyDescent="0.25">
      <c r="A66" t="s">
        <v>3553</v>
      </c>
      <c r="B66" t="s">
        <v>2971</v>
      </c>
      <c r="C66" t="s">
        <v>3300</v>
      </c>
      <c r="D66" t="s">
        <v>3554</v>
      </c>
      <c r="E66" t="s">
        <v>3555</v>
      </c>
      <c r="F66" t="s">
        <v>351</v>
      </c>
      <c r="G66" t="s">
        <v>3556</v>
      </c>
      <c r="H66" t="s">
        <v>3557</v>
      </c>
      <c r="I66" t="s">
        <v>2905</v>
      </c>
      <c r="J66" t="s">
        <v>3310</v>
      </c>
    </row>
    <row r="67" spans="1:10" ht="15" customHeight="1" x14ac:dyDescent="0.25">
      <c r="A67" t="s">
        <v>3558</v>
      </c>
      <c r="B67" t="s">
        <v>2959</v>
      </c>
      <c r="C67" t="s">
        <v>3278</v>
      </c>
      <c r="D67" t="s">
        <v>3559</v>
      </c>
      <c r="E67" t="s">
        <v>3560</v>
      </c>
      <c r="F67" t="s">
        <v>828</v>
      </c>
      <c r="G67" t="s">
        <v>3157</v>
      </c>
      <c r="H67" t="s">
        <v>3561</v>
      </c>
      <c r="I67" t="s">
        <v>2905</v>
      </c>
      <c r="J67" t="s">
        <v>3310</v>
      </c>
    </row>
    <row r="68" spans="1:10" ht="15" customHeight="1" x14ac:dyDescent="0.25">
      <c r="A68" t="s">
        <v>3562</v>
      </c>
      <c r="B68" t="s">
        <v>2959</v>
      </c>
      <c r="C68" t="s">
        <v>3284</v>
      </c>
      <c r="D68" t="s">
        <v>3563</v>
      </c>
      <c r="E68" t="s">
        <v>3564</v>
      </c>
      <c r="F68" t="s">
        <v>2199</v>
      </c>
      <c r="H68" t="s">
        <v>3565</v>
      </c>
      <c r="I68" t="s">
        <v>2905</v>
      </c>
      <c r="J68" t="s">
        <v>2969</v>
      </c>
    </row>
    <row r="69" spans="1:10" ht="15" customHeight="1" x14ac:dyDescent="0.25">
      <c r="A69" t="s">
        <v>3000</v>
      </c>
      <c r="B69" t="s">
        <v>2959</v>
      </c>
      <c r="C69" t="s">
        <v>2995</v>
      </c>
      <c r="D69" t="s">
        <v>3566</v>
      </c>
      <c r="E69" t="s">
        <v>3567</v>
      </c>
      <c r="F69" t="s">
        <v>2199</v>
      </c>
      <c r="G69" t="s">
        <v>139</v>
      </c>
      <c r="H69" t="s">
        <v>3000</v>
      </c>
      <c r="I69" t="s">
        <v>2905</v>
      </c>
      <c r="J69" t="s">
        <v>2889</v>
      </c>
    </row>
    <row r="70" spans="1:10" ht="15" customHeight="1" x14ac:dyDescent="0.25">
      <c r="A70" t="s">
        <v>3003</v>
      </c>
      <c r="B70" t="s">
        <v>2952</v>
      </c>
      <c r="C70" t="s">
        <v>2995</v>
      </c>
      <c r="D70" t="s">
        <v>3568</v>
      </c>
      <c r="E70" t="s">
        <v>3569</v>
      </c>
      <c r="F70" t="s">
        <v>1954</v>
      </c>
      <c r="G70" t="s">
        <v>3006</v>
      </c>
      <c r="H70" t="s">
        <v>3003</v>
      </c>
      <c r="I70" t="s">
        <v>2905</v>
      </c>
      <c r="J70" t="s">
        <v>2889</v>
      </c>
    </row>
    <row r="71" spans="1:10" ht="15" customHeight="1" x14ac:dyDescent="0.25">
      <c r="A71" t="s">
        <v>3007</v>
      </c>
      <c r="B71" t="s">
        <v>2971</v>
      </c>
      <c r="C71" t="s">
        <v>2960</v>
      </c>
      <c r="D71" t="s">
        <v>3570</v>
      </c>
      <c r="E71" t="s">
        <v>3571</v>
      </c>
      <c r="F71" t="s">
        <v>1954</v>
      </c>
      <c r="G71" t="s">
        <v>3010</v>
      </c>
      <c r="H71" t="s">
        <v>3011</v>
      </c>
      <c r="I71" t="s">
        <v>2905</v>
      </c>
      <c r="J71" t="s">
        <v>2889</v>
      </c>
    </row>
    <row r="72" spans="1:10" ht="15" customHeight="1" x14ac:dyDescent="0.25">
      <c r="A72" t="s">
        <v>3572</v>
      </c>
      <c r="B72" t="s">
        <v>2971</v>
      </c>
      <c r="C72" t="s">
        <v>2960</v>
      </c>
      <c r="D72" t="s">
        <v>3573</v>
      </c>
      <c r="E72" t="s">
        <v>3574</v>
      </c>
      <c r="F72" t="s">
        <v>1954</v>
      </c>
      <c r="H72" t="s">
        <v>3575</v>
      </c>
      <c r="I72" t="s">
        <v>2905</v>
      </c>
      <c r="J72" t="s">
        <v>3310</v>
      </c>
    </row>
    <row r="73" spans="1:10" ht="15" customHeight="1" x14ac:dyDescent="0.25">
      <c r="A73" t="s">
        <v>3576</v>
      </c>
      <c r="B73" t="s">
        <v>2971</v>
      </c>
      <c r="C73" t="s">
        <v>2960</v>
      </c>
      <c r="D73" t="s">
        <v>3577</v>
      </c>
      <c r="E73" t="s">
        <v>3578</v>
      </c>
      <c r="F73" t="s">
        <v>1358</v>
      </c>
      <c r="G73" t="s">
        <v>3579</v>
      </c>
      <c r="H73" t="s">
        <v>3580</v>
      </c>
      <c r="I73" t="s">
        <v>2905</v>
      </c>
      <c r="J73" t="s">
        <v>2964</v>
      </c>
    </row>
    <row r="74" spans="1:10" ht="15" customHeight="1" x14ac:dyDescent="0.25">
      <c r="A74" t="s">
        <v>3581</v>
      </c>
      <c r="B74" t="s">
        <v>2971</v>
      </c>
      <c r="C74" t="s">
        <v>2960</v>
      </c>
      <c r="D74" t="s">
        <v>3582</v>
      </c>
      <c r="E74" t="s">
        <v>3583</v>
      </c>
      <c r="F74" t="s">
        <v>1954</v>
      </c>
      <c r="G74" t="s">
        <v>3472</v>
      </c>
      <c r="H74" t="s">
        <v>3584</v>
      </c>
      <c r="I74" t="s">
        <v>2905</v>
      </c>
      <c r="J74" t="s">
        <v>2991</v>
      </c>
    </row>
    <row r="75" spans="1:10" ht="15" customHeight="1" x14ac:dyDescent="0.25">
      <c r="A75" t="s">
        <v>3585</v>
      </c>
      <c r="B75" t="s">
        <v>2971</v>
      </c>
      <c r="C75" t="s">
        <v>3284</v>
      </c>
      <c r="D75" t="s">
        <v>3586</v>
      </c>
      <c r="E75" t="s">
        <v>3587</v>
      </c>
      <c r="F75" t="s">
        <v>2199</v>
      </c>
      <c r="H75" t="s">
        <v>3588</v>
      </c>
      <c r="I75" t="s">
        <v>2905</v>
      </c>
      <c r="J75" t="s">
        <v>2969</v>
      </c>
    </row>
    <row r="76" spans="1:10" ht="15" customHeight="1" x14ac:dyDescent="0.25">
      <c r="A76" t="s">
        <v>3589</v>
      </c>
      <c r="B76" t="s">
        <v>2952</v>
      </c>
      <c r="C76" t="s">
        <v>2960</v>
      </c>
      <c r="D76" t="s">
        <v>3590</v>
      </c>
      <c r="E76" t="s">
        <v>3591</v>
      </c>
      <c r="F76" t="s">
        <v>1954</v>
      </c>
      <c r="G76" t="s">
        <v>3592</v>
      </c>
      <c r="H76" t="s">
        <v>3593</v>
      </c>
      <c r="I76" t="s">
        <v>2905</v>
      </c>
      <c r="J76" t="s">
        <v>3594</v>
      </c>
    </row>
    <row r="77" spans="1:10" ht="15" customHeight="1" x14ac:dyDescent="0.25">
      <c r="A77" t="s">
        <v>3595</v>
      </c>
      <c r="B77" t="s">
        <v>2959</v>
      </c>
      <c r="C77" t="s">
        <v>3422</v>
      </c>
      <c r="D77" t="s">
        <v>3596</v>
      </c>
      <c r="E77" t="s">
        <v>3597</v>
      </c>
      <c r="F77" t="s">
        <v>1954</v>
      </c>
      <c r="G77" t="s">
        <v>3598</v>
      </c>
      <c r="H77" t="s">
        <v>3595</v>
      </c>
      <c r="I77" t="s">
        <v>2905</v>
      </c>
      <c r="J77" t="s">
        <v>3599</v>
      </c>
    </row>
    <row r="78" spans="1:10" ht="15" customHeight="1" x14ac:dyDescent="0.25">
      <c r="A78" t="s">
        <v>3600</v>
      </c>
      <c r="B78" t="s">
        <v>2959</v>
      </c>
      <c r="C78" t="s">
        <v>3284</v>
      </c>
      <c r="D78" t="s">
        <v>3601</v>
      </c>
      <c r="E78" t="s">
        <v>3602</v>
      </c>
      <c r="F78" t="s">
        <v>1954</v>
      </c>
      <c r="G78" t="s">
        <v>3603</v>
      </c>
      <c r="H78" t="s">
        <v>3604</v>
      </c>
      <c r="I78" t="s">
        <v>2905</v>
      </c>
      <c r="J78" t="s">
        <v>2969</v>
      </c>
    </row>
    <row r="79" spans="1:10" ht="15" customHeight="1" x14ac:dyDescent="0.25">
      <c r="A79" t="s">
        <v>3605</v>
      </c>
      <c r="B79" t="s">
        <v>2952</v>
      </c>
      <c r="C79" t="s">
        <v>2995</v>
      </c>
      <c r="D79" t="s">
        <v>3606</v>
      </c>
      <c r="E79" t="s">
        <v>3607</v>
      </c>
      <c r="F79" t="s">
        <v>1954</v>
      </c>
      <c r="G79" t="s">
        <v>3509</v>
      </c>
      <c r="H79" t="s">
        <v>3608</v>
      </c>
      <c r="I79" t="s">
        <v>2905</v>
      </c>
      <c r="J79" t="s">
        <v>2991</v>
      </c>
    </row>
    <row r="80" spans="1:10" ht="15" customHeight="1" x14ac:dyDescent="0.25">
      <c r="A80" t="s">
        <v>3609</v>
      </c>
      <c r="B80" t="s">
        <v>2971</v>
      </c>
      <c r="C80" t="s">
        <v>3422</v>
      </c>
      <c r="D80" t="s">
        <v>3610</v>
      </c>
      <c r="E80" t="s">
        <v>3611</v>
      </c>
      <c r="F80" t="s">
        <v>1954</v>
      </c>
      <c r="G80" t="s">
        <v>3612</v>
      </c>
      <c r="H80" t="s">
        <v>3613</v>
      </c>
      <c r="I80" t="s">
        <v>2905</v>
      </c>
      <c r="J80" t="s">
        <v>2964</v>
      </c>
    </row>
    <row r="81" spans="1:10" ht="15" customHeight="1" x14ac:dyDescent="0.25">
      <c r="A81" t="s">
        <v>3614</v>
      </c>
      <c r="B81" t="s">
        <v>2952</v>
      </c>
      <c r="C81" t="s">
        <v>2978</v>
      </c>
      <c r="D81" t="s">
        <v>3615</v>
      </c>
      <c r="E81" t="s">
        <v>3616</v>
      </c>
      <c r="F81" t="s">
        <v>347</v>
      </c>
      <c r="H81" t="s">
        <v>3614</v>
      </c>
      <c r="I81" t="s">
        <v>2905</v>
      </c>
      <c r="J81" t="s">
        <v>3617</v>
      </c>
    </row>
    <row r="82" spans="1:10" ht="15" customHeight="1" x14ac:dyDescent="0.25">
      <c r="A82" t="s">
        <v>3618</v>
      </c>
      <c r="B82" t="s">
        <v>2952</v>
      </c>
      <c r="C82" t="s">
        <v>3300</v>
      </c>
      <c r="D82" t="s">
        <v>3619</v>
      </c>
      <c r="E82" t="s">
        <v>3620</v>
      </c>
      <c r="F82" t="s">
        <v>1358</v>
      </c>
      <c r="G82" t="s">
        <v>3621</v>
      </c>
      <c r="H82" t="s">
        <v>3622</v>
      </c>
      <c r="I82" t="s">
        <v>2905</v>
      </c>
      <c r="J82" t="s">
        <v>2969</v>
      </c>
    </row>
    <row r="83" spans="1:10" ht="15" customHeight="1" x14ac:dyDescent="0.25">
      <c r="A83" t="s">
        <v>3623</v>
      </c>
      <c r="B83" t="s">
        <v>2959</v>
      </c>
      <c r="C83" t="s">
        <v>3422</v>
      </c>
      <c r="D83" t="s">
        <v>3624</v>
      </c>
      <c r="E83" t="s">
        <v>3625</v>
      </c>
      <c r="F83" t="s">
        <v>1954</v>
      </c>
      <c r="H83" t="s">
        <v>3626</v>
      </c>
      <c r="I83" t="s">
        <v>2905</v>
      </c>
      <c r="J83" t="s">
        <v>3310</v>
      </c>
    </row>
    <row r="84" spans="1:10" ht="15" customHeight="1" x14ac:dyDescent="0.25">
      <c r="A84" t="s">
        <v>3627</v>
      </c>
      <c r="B84" t="s">
        <v>2959</v>
      </c>
      <c r="C84" t="s">
        <v>3013</v>
      </c>
      <c r="D84" t="s">
        <v>3628</v>
      </c>
      <c r="E84" t="s">
        <v>3629</v>
      </c>
      <c r="F84" t="s">
        <v>1358</v>
      </c>
      <c r="G84" t="s">
        <v>3363</v>
      </c>
      <c r="H84" t="s">
        <v>3627</v>
      </c>
      <c r="I84" t="s">
        <v>2905</v>
      </c>
      <c r="J84" t="s">
        <v>2964</v>
      </c>
    </row>
    <row r="85" spans="1:10" ht="15" customHeight="1" x14ac:dyDescent="0.25">
      <c r="A85" t="s">
        <v>3630</v>
      </c>
      <c r="B85" t="s">
        <v>2959</v>
      </c>
      <c r="C85" t="s">
        <v>2960</v>
      </c>
      <c r="D85" t="s">
        <v>3631</v>
      </c>
      <c r="E85" t="s">
        <v>3632</v>
      </c>
      <c r="F85" t="s">
        <v>1072</v>
      </c>
      <c r="H85" t="s">
        <v>3633</v>
      </c>
      <c r="I85" t="s">
        <v>2905</v>
      </c>
      <c r="J85" t="s">
        <v>3634</v>
      </c>
    </row>
    <row r="86" spans="1:10" ht="15" customHeight="1" x14ac:dyDescent="0.25">
      <c r="A86" t="s">
        <v>3635</v>
      </c>
      <c r="B86" t="s">
        <v>2952</v>
      </c>
      <c r="C86" t="s">
        <v>3284</v>
      </c>
      <c r="D86" t="s">
        <v>3636</v>
      </c>
      <c r="E86" t="s">
        <v>3637</v>
      </c>
      <c r="F86" t="s">
        <v>1954</v>
      </c>
      <c r="G86" t="s">
        <v>3603</v>
      </c>
      <c r="H86" t="s">
        <v>3638</v>
      </c>
      <c r="I86" t="s">
        <v>2905</v>
      </c>
      <c r="J86" t="s">
        <v>3385</v>
      </c>
    </row>
    <row r="87" spans="1:10" ht="15" customHeight="1" x14ac:dyDescent="0.25">
      <c r="A87" t="s">
        <v>3639</v>
      </c>
      <c r="B87" t="s">
        <v>2952</v>
      </c>
      <c r="C87" t="s">
        <v>2960</v>
      </c>
      <c r="D87" t="s">
        <v>3640</v>
      </c>
      <c r="E87" t="s">
        <v>3641</v>
      </c>
      <c r="F87" t="s">
        <v>1358</v>
      </c>
      <c r="G87" t="s">
        <v>3642</v>
      </c>
      <c r="H87" t="s">
        <v>3643</v>
      </c>
      <c r="I87" t="s">
        <v>2905</v>
      </c>
      <c r="J87" t="s">
        <v>2964</v>
      </c>
    </row>
    <row r="88" spans="1:10" ht="15" customHeight="1" x14ac:dyDescent="0.25">
      <c r="A88" t="s">
        <v>3644</v>
      </c>
      <c r="B88" t="s">
        <v>2952</v>
      </c>
      <c r="C88" t="s">
        <v>2960</v>
      </c>
      <c r="D88" s="4" t="s">
        <v>3645</v>
      </c>
      <c r="E88" s="4" t="s">
        <v>3646</v>
      </c>
      <c r="F88" t="s">
        <v>1358</v>
      </c>
      <c r="G88" t="s">
        <v>3647</v>
      </c>
      <c r="H88" t="s">
        <v>3648</v>
      </c>
      <c r="I88" t="s">
        <v>2905</v>
      </c>
      <c r="J88" t="s">
        <v>2964</v>
      </c>
    </row>
    <row r="89" spans="1:10" ht="15" customHeight="1" x14ac:dyDescent="0.25">
      <c r="A89" t="s">
        <v>3649</v>
      </c>
      <c r="B89" t="s">
        <v>2959</v>
      </c>
      <c r="C89" t="s">
        <v>3284</v>
      </c>
      <c r="D89" t="s">
        <v>3650</v>
      </c>
      <c r="E89" t="s">
        <v>3651</v>
      </c>
      <c r="F89" t="s">
        <v>347</v>
      </c>
      <c r="G89" t="s">
        <v>3357</v>
      </c>
      <c r="H89" t="s">
        <v>3652</v>
      </c>
      <c r="I89" t="s">
        <v>2905</v>
      </c>
      <c r="J89" t="s">
        <v>2969</v>
      </c>
    </row>
    <row r="90" spans="1:10" ht="15" customHeight="1" x14ac:dyDescent="0.25">
      <c r="A90" t="s">
        <v>2932</v>
      </c>
      <c r="B90" t="s">
        <v>2959</v>
      </c>
      <c r="C90" t="s">
        <v>2960</v>
      </c>
      <c r="D90" t="s">
        <v>3653</v>
      </c>
      <c r="E90" t="s">
        <v>3654</v>
      </c>
      <c r="F90" t="s">
        <v>2356</v>
      </c>
      <c r="G90" t="s">
        <v>2998</v>
      </c>
      <c r="H90" t="s">
        <v>2932</v>
      </c>
      <c r="I90" t="s">
        <v>2905</v>
      </c>
      <c r="J90" t="s">
        <v>2889</v>
      </c>
    </row>
    <row r="91" spans="1:10" ht="15" customHeight="1" x14ac:dyDescent="0.25">
      <c r="A91" t="s">
        <v>3655</v>
      </c>
      <c r="B91" t="s">
        <v>2952</v>
      </c>
      <c r="C91" t="s">
        <v>2960</v>
      </c>
      <c r="D91" t="s">
        <v>3656</v>
      </c>
      <c r="E91" t="s">
        <v>3657</v>
      </c>
      <c r="F91" t="s">
        <v>1358</v>
      </c>
      <c r="G91" t="s">
        <v>3314</v>
      </c>
      <c r="H91" t="s">
        <v>3658</v>
      </c>
      <c r="I91" t="s">
        <v>2905</v>
      </c>
      <c r="J91" t="s">
        <v>3310</v>
      </c>
    </row>
    <row r="92" spans="1:10" ht="15" customHeight="1" x14ac:dyDescent="0.25">
      <c r="A92" t="s">
        <v>3659</v>
      </c>
      <c r="B92" t="s">
        <v>2952</v>
      </c>
      <c r="C92" t="s">
        <v>2960</v>
      </c>
      <c r="D92" t="s">
        <v>3660</v>
      </c>
      <c r="E92" t="s">
        <v>3661</v>
      </c>
      <c r="F92" t="s">
        <v>397</v>
      </c>
      <c r="G92" t="s">
        <v>3662</v>
      </c>
      <c r="H92" t="s">
        <v>3663</v>
      </c>
      <c r="I92" t="s">
        <v>2905</v>
      </c>
      <c r="J92" t="s">
        <v>2889</v>
      </c>
    </row>
    <row r="93" spans="1:10" ht="15" customHeight="1" x14ac:dyDescent="0.25">
      <c r="A93" t="s">
        <v>3012</v>
      </c>
      <c r="B93" t="s">
        <v>2971</v>
      </c>
      <c r="C93" t="s">
        <v>3013</v>
      </c>
      <c r="D93" t="s">
        <v>3664</v>
      </c>
      <c r="F93" t="s">
        <v>213</v>
      </c>
      <c r="H93" t="s">
        <v>3016</v>
      </c>
      <c r="I93" t="s">
        <v>2905</v>
      </c>
      <c r="J93" t="s">
        <v>3017</v>
      </c>
    </row>
    <row r="94" spans="1:10" ht="15" customHeight="1" x14ac:dyDescent="0.25">
      <c r="A94" t="s">
        <v>3665</v>
      </c>
      <c r="B94" t="s">
        <v>2983</v>
      </c>
      <c r="C94" t="s">
        <v>2960</v>
      </c>
      <c r="D94" t="s">
        <v>3666</v>
      </c>
      <c r="E94" t="s">
        <v>3667</v>
      </c>
      <c r="F94" t="s">
        <v>1954</v>
      </c>
      <c r="G94" t="s">
        <v>3668</v>
      </c>
      <c r="H94" t="s">
        <v>3669</v>
      </c>
      <c r="I94" t="s">
        <v>2905</v>
      </c>
      <c r="J94" t="s">
        <v>3670</v>
      </c>
    </row>
    <row r="95" spans="1:10" ht="15" customHeight="1" x14ac:dyDescent="0.25">
      <c r="A95" t="s">
        <v>3671</v>
      </c>
      <c r="B95" t="s">
        <v>2952</v>
      </c>
      <c r="C95" t="s">
        <v>3300</v>
      </c>
      <c r="D95" t="s">
        <v>3672</v>
      </c>
      <c r="E95" t="s">
        <v>3673</v>
      </c>
      <c r="F95" t="s">
        <v>2199</v>
      </c>
      <c r="G95" t="s">
        <v>3603</v>
      </c>
      <c r="H95" t="s">
        <v>3674</v>
      </c>
      <c r="I95" t="s">
        <v>2905</v>
      </c>
      <c r="J95" t="s">
        <v>2969</v>
      </c>
    </row>
    <row r="96" spans="1:10" ht="15" customHeight="1" x14ac:dyDescent="0.25">
      <c r="A96" t="s">
        <v>3675</v>
      </c>
      <c r="B96" t="s">
        <v>2959</v>
      </c>
      <c r="C96" t="s">
        <v>3013</v>
      </c>
      <c r="D96" t="s">
        <v>3676</v>
      </c>
      <c r="E96" t="s">
        <v>3677</v>
      </c>
      <c r="F96" t="s">
        <v>1358</v>
      </c>
      <c r="G96" t="s">
        <v>3363</v>
      </c>
      <c r="H96" t="s">
        <v>3678</v>
      </c>
      <c r="I96" t="s">
        <v>2905</v>
      </c>
      <c r="J96" t="s">
        <v>2969</v>
      </c>
    </row>
    <row r="97" spans="1:10" ht="15" customHeight="1" x14ac:dyDescent="0.25">
      <c r="A97" t="s">
        <v>3679</v>
      </c>
      <c r="B97" t="s">
        <v>2971</v>
      </c>
      <c r="C97" t="s">
        <v>3278</v>
      </c>
      <c r="D97" t="s">
        <v>3680</v>
      </c>
      <c r="E97" t="s">
        <v>3681</v>
      </c>
      <c r="F97" t="s">
        <v>1358</v>
      </c>
      <c r="H97" t="s">
        <v>3682</v>
      </c>
      <c r="I97" t="s">
        <v>2905</v>
      </c>
      <c r="J97" t="s">
        <v>3310</v>
      </c>
    </row>
    <row r="98" spans="1:10" ht="15" customHeight="1" x14ac:dyDescent="0.25">
      <c r="A98" t="s">
        <v>3683</v>
      </c>
      <c r="B98" t="s">
        <v>3034</v>
      </c>
      <c r="C98" t="s">
        <v>2960</v>
      </c>
      <c r="D98" t="s">
        <v>3684</v>
      </c>
      <c r="E98" t="s">
        <v>3685</v>
      </c>
      <c r="F98" t="s">
        <v>2199</v>
      </c>
      <c r="G98" t="s">
        <v>3516</v>
      </c>
      <c r="H98" t="s">
        <v>3686</v>
      </c>
      <c r="I98" t="s">
        <v>2905</v>
      </c>
      <c r="J98" t="s">
        <v>2991</v>
      </c>
    </row>
    <row r="99" spans="1:10" ht="15" customHeight="1" x14ac:dyDescent="0.25">
      <c r="A99" t="s">
        <v>3687</v>
      </c>
      <c r="B99" t="s">
        <v>2952</v>
      </c>
      <c r="C99" t="s">
        <v>2960</v>
      </c>
      <c r="D99" t="s">
        <v>3688</v>
      </c>
      <c r="E99" t="s">
        <v>3689</v>
      </c>
      <c r="F99" t="s">
        <v>1072</v>
      </c>
      <c r="G99" t="s">
        <v>3462</v>
      </c>
      <c r="H99" t="s">
        <v>3690</v>
      </c>
      <c r="I99" t="s">
        <v>2905</v>
      </c>
      <c r="J99" t="s">
        <v>3691</v>
      </c>
    </row>
    <row r="100" spans="1:10" ht="15" customHeight="1" x14ac:dyDescent="0.25">
      <c r="A100" t="s">
        <v>3692</v>
      </c>
      <c r="B100" t="s">
        <v>2971</v>
      </c>
      <c r="C100" t="s">
        <v>3422</v>
      </c>
      <c r="D100" t="s">
        <v>3693</v>
      </c>
      <c r="E100" t="s">
        <v>3694</v>
      </c>
      <c r="F100" t="s">
        <v>1954</v>
      </c>
      <c r="G100" t="s">
        <v>3598</v>
      </c>
      <c r="H100" t="s">
        <v>3692</v>
      </c>
      <c r="I100" t="s">
        <v>2905</v>
      </c>
      <c r="J100" t="s">
        <v>3310</v>
      </c>
    </row>
    <row r="101" spans="1:10" ht="15" customHeight="1" x14ac:dyDescent="0.25">
      <c r="A101" t="s">
        <v>3018</v>
      </c>
      <c r="B101" t="s">
        <v>2971</v>
      </c>
      <c r="C101" t="s">
        <v>2960</v>
      </c>
      <c r="D101" t="s">
        <v>3695</v>
      </c>
      <c r="E101" t="s">
        <v>3696</v>
      </c>
      <c r="F101" t="s">
        <v>347</v>
      </c>
      <c r="G101" t="s">
        <v>3021</v>
      </c>
      <c r="H101" t="s">
        <v>3018</v>
      </c>
      <c r="I101" t="s">
        <v>2905</v>
      </c>
      <c r="J101" t="s">
        <v>2969</v>
      </c>
    </row>
    <row r="102" spans="1:10" ht="15" customHeight="1" x14ac:dyDescent="0.25">
      <c r="A102" t="s">
        <v>3697</v>
      </c>
      <c r="B102" t="s">
        <v>2959</v>
      </c>
      <c r="C102" t="s">
        <v>3013</v>
      </c>
      <c r="D102" t="s">
        <v>3698</v>
      </c>
      <c r="E102" t="s">
        <v>3699</v>
      </c>
      <c r="F102" t="s">
        <v>1358</v>
      </c>
      <c r="G102" t="s">
        <v>3363</v>
      </c>
      <c r="H102" t="s">
        <v>3697</v>
      </c>
      <c r="I102" t="s">
        <v>2905</v>
      </c>
      <c r="J102" t="s">
        <v>2969</v>
      </c>
    </row>
    <row r="103" spans="1:10" ht="15" customHeight="1" x14ac:dyDescent="0.25">
      <c r="A103" t="s">
        <v>3700</v>
      </c>
      <c r="B103" t="s">
        <v>2952</v>
      </c>
      <c r="C103" t="s">
        <v>3284</v>
      </c>
      <c r="D103" t="s">
        <v>3701</v>
      </c>
      <c r="E103" t="s">
        <v>3702</v>
      </c>
      <c r="F103" t="s">
        <v>397</v>
      </c>
      <c r="G103" t="s">
        <v>3662</v>
      </c>
      <c r="H103" t="s">
        <v>3703</v>
      </c>
      <c r="I103" t="s">
        <v>2905</v>
      </c>
      <c r="J103" t="s">
        <v>2969</v>
      </c>
    </row>
    <row r="104" spans="1:10" ht="15" customHeight="1" x14ac:dyDescent="0.25">
      <c r="A104" t="s">
        <v>3704</v>
      </c>
      <c r="B104" t="s">
        <v>2959</v>
      </c>
      <c r="C104" t="s">
        <v>2960</v>
      </c>
      <c r="D104" t="s">
        <v>3705</v>
      </c>
      <c r="E104" t="s">
        <v>3706</v>
      </c>
      <c r="F104" t="s">
        <v>1072</v>
      </c>
      <c r="H104" t="s">
        <v>3707</v>
      </c>
      <c r="I104" t="s">
        <v>2905</v>
      </c>
      <c r="J104" t="s">
        <v>3708</v>
      </c>
    </row>
    <row r="105" spans="1:10" ht="15" customHeight="1" x14ac:dyDescent="0.25">
      <c r="A105" t="s">
        <v>3709</v>
      </c>
      <c r="B105" t="s">
        <v>2971</v>
      </c>
      <c r="C105" t="s">
        <v>3013</v>
      </c>
      <c r="D105" t="s">
        <v>3710</v>
      </c>
      <c r="F105" t="s">
        <v>1358</v>
      </c>
      <c r="G105" t="s">
        <v>3711</v>
      </c>
      <c r="H105" t="s">
        <v>3712</v>
      </c>
      <c r="I105" t="s">
        <v>2905</v>
      </c>
      <c r="J105" t="s">
        <v>2889</v>
      </c>
    </row>
    <row r="106" spans="1:10" ht="15" customHeight="1" x14ac:dyDescent="0.25">
      <c r="A106" t="s">
        <v>3713</v>
      </c>
      <c r="B106" t="s">
        <v>2952</v>
      </c>
      <c r="C106" t="s">
        <v>2960</v>
      </c>
      <c r="D106" t="s">
        <v>3714</v>
      </c>
      <c r="E106" t="s">
        <v>3715</v>
      </c>
      <c r="F106" t="s">
        <v>1954</v>
      </c>
      <c r="G106" t="s">
        <v>3603</v>
      </c>
      <c r="H106" t="s">
        <v>3716</v>
      </c>
      <c r="I106" t="s">
        <v>2905</v>
      </c>
      <c r="J106" t="s">
        <v>2964</v>
      </c>
    </row>
    <row r="107" spans="1:10" ht="15" customHeight="1" x14ac:dyDescent="0.25">
      <c r="A107" t="s">
        <v>3717</v>
      </c>
      <c r="B107" t="s">
        <v>2959</v>
      </c>
      <c r="C107" t="s">
        <v>2960</v>
      </c>
      <c r="D107" t="s">
        <v>3718</v>
      </c>
      <c r="E107" t="s">
        <v>3719</v>
      </c>
      <c r="F107" t="s">
        <v>1954</v>
      </c>
      <c r="G107" t="s">
        <v>3720</v>
      </c>
      <c r="H107" t="s">
        <v>3721</v>
      </c>
      <c r="I107" t="s">
        <v>2905</v>
      </c>
      <c r="J107" t="s">
        <v>3310</v>
      </c>
    </row>
    <row r="108" spans="1:10" ht="15" customHeight="1" x14ac:dyDescent="0.25">
      <c r="A108" t="s">
        <v>3722</v>
      </c>
      <c r="B108" t="s">
        <v>2971</v>
      </c>
      <c r="C108" t="s">
        <v>2960</v>
      </c>
      <c r="D108" t="s">
        <v>3723</v>
      </c>
      <c r="E108" t="s">
        <v>3724</v>
      </c>
      <c r="F108" t="s">
        <v>351</v>
      </c>
      <c r="G108" t="s">
        <v>3500</v>
      </c>
      <c r="H108" t="s">
        <v>3725</v>
      </c>
      <c r="I108" t="s">
        <v>2905</v>
      </c>
      <c r="J108" t="s">
        <v>2964</v>
      </c>
    </row>
    <row r="109" spans="1:10" ht="15" customHeight="1" x14ac:dyDescent="0.25">
      <c r="A109" t="s">
        <v>3726</v>
      </c>
      <c r="B109" t="s">
        <v>2959</v>
      </c>
      <c r="C109" t="s">
        <v>3284</v>
      </c>
      <c r="D109" t="s">
        <v>3727</v>
      </c>
      <c r="E109" t="s">
        <v>3728</v>
      </c>
      <c r="F109" t="s">
        <v>828</v>
      </c>
      <c r="G109" t="s">
        <v>3729</v>
      </c>
      <c r="H109" t="s">
        <v>3726</v>
      </c>
      <c r="I109" t="s">
        <v>2905</v>
      </c>
      <c r="J109" t="s">
        <v>2969</v>
      </c>
    </row>
    <row r="110" spans="1:10" ht="15" customHeight="1" x14ac:dyDescent="0.25">
      <c r="A110" t="s">
        <v>3730</v>
      </c>
      <c r="B110" t="s">
        <v>2971</v>
      </c>
      <c r="C110" t="s">
        <v>3412</v>
      </c>
      <c r="D110" t="s">
        <v>3731</v>
      </c>
      <c r="F110" t="s">
        <v>2199</v>
      </c>
      <c r="G110" t="s">
        <v>3732</v>
      </c>
      <c r="H110" t="s">
        <v>3733</v>
      </c>
      <c r="I110" t="s">
        <v>2905</v>
      </c>
      <c r="J110" t="s">
        <v>3310</v>
      </c>
    </row>
    <row r="111" spans="1:10" ht="15" customHeight="1" x14ac:dyDescent="0.25">
      <c r="A111" t="s">
        <v>3734</v>
      </c>
      <c r="B111" t="s">
        <v>2959</v>
      </c>
      <c r="C111" t="s">
        <v>3735</v>
      </c>
      <c r="D111" t="s">
        <v>3736</v>
      </c>
      <c r="F111" t="s">
        <v>2199</v>
      </c>
      <c r="G111" t="s">
        <v>3737</v>
      </c>
      <c r="H111" t="s">
        <v>3738</v>
      </c>
      <c r="I111" t="s">
        <v>2905</v>
      </c>
      <c r="J111" t="s">
        <v>3017</v>
      </c>
    </row>
    <row r="112" spans="1:10" ht="15" customHeight="1" x14ac:dyDescent="0.25">
      <c r="A112" t="s">
        <v>3739</v>
      </c>
      <c r="B112" t="s">
        <v>2952</v>
      </c>
      <c r="C112" t="s">
        <v>2960</v>
      </c>
      <c r="D112" t="s">
        <v>3740</v>
      </c>
      <c r="E112" t="s">
        <v>3741</v>
      </c>
      <c r="F112" t="s">
        <v>1954</v>
      </c>
      <c r="H112" t="s">
        <v>3742</v>
      </c>
      <c r="I112" t="s">
        <v>2905</v>
      </c>
      <c r="J112" t="s">
        <v>2964</v>
      </c>
    </row>
    <row r="113" spans="1:10" ht="15" customHeight="1" x14ac:dyDescent="0.25">
      <c r="A113" t="s">
        <v>3743</v>
      </c>
      <c r="B113" t="s">
        <v>2971</v>
      </c>
      <c r="C113" t="s">
        <v>2960</v>
      </c>
      <c r="D113" t="s">
        <v>3744</v>
      </c>
      <c r="E113" t="s">
        <v>3745</v>
      </c>
      <c r="F113" t="s">
        <v>1954</v>
      </c>
      <c r="G113" t="s">
        <v>3472</v>
      </c>
      <c r="H113" t="s">
        <v>3746</v>
      </c>
      <c r="I113" t="s">
        <v>2905</v>
      </c>
      <c r="J113" t="s">
        <v>2991</v>
      </c>
    </row>
    <row r="114" spans="1:10" ht="15" customHeight="1" x14ac:dyDescent="0.25">
      <c r="A114" t="s">
        <v>3747</v>
      </c>
      <c r="B114" t="s">
        <v>2959</v>
      </c>
      <c r="C114" t="s">
        <v>2960</v>
      </c>
      <c r="D114" t="s">
        <v>3748</v>
      </c>
      <c r="E114" t="s">
        <v>3749</v>
      </c>
      <c r="F114" t="s">
        <v>1954</v>
      </c>
      <c r="G114" t="s">
        <v>3750</v>
      </c>
      <c r="H114" t="s">
        <v>3751</v>
      </c>
      <c r="I114" t="s">
        <v>2905</v>
      </c>
      <c r="J114" t="s">
        <v>2889</v>
      </c>
    </row>
    <row r="115" spans="1:10" ht="15" customHeight="1" x14ac:dyDescent="0.25">
      <c r="A115" t="s">
        <v>3752</v>
      </c>
      <c r="B115" t="s">
        <v>2952</v>
      </c>
      <c r="C115" t="s">
        <v>2960</v>
      </c>
      <c r="D115" t="s">
        <v>3753</v>
      </c>
      <c r="E115" t="s">
        <v>3754</v>
      </c>
      <c r="F115" t="s">
        <v>1954</v>
      </c>
      <c r="G115" t="s">
        <v>3477</v>
      </c>
      <c r="H115" t="s">
        <v>3752</v>
      </c>
      <c r="I115" t="s">
        <v>2905</v>
      </c>
      <c r="J115" t="s">
        <v>2964</v>
      </c>
    </row>
    <row r="116" spans="1:10" ht="15" customHeight="1" x14ac:dyDescent="0.25">
      <c r="A116" t="s">
        <v>3027</v>
      </c>
      <c r="B116" t="s">
        <v>2971</v>
      </c>
      <c r="C116" t="s">
        <v>2960</v>
      </c>
      <c r="D116" t="s">
        <v>3028</v>
      </c>
      <c r="F116" t="s">
        <v>397</v>
      </c>
      <c r="G116" t="s">
        <v>3030</v>
      </c>
      <c r="H116" t="s">
        <v>3031</v>
      </c>
      <c r="I116" t="s">
        <v>2905</v>
      </c>
      <c r="J116" t="s">
        <v>2991</v>
      </c>
    </row>
    <row r="117" spans="1:10" ht="15" customHeight="1" x14ac:dyDescent="0.25">
      <c r="A117" t="s">
        <v>3755</v>
      </c>
      <c r="B117" t="s">
        <v>2959</v>
      </c>
      <c r="C117" t="s">
        <v>3013</v>
      </c>
      <c r="D117" t="s">
        <v>3756</v>
      </c>
      <c r="E117" t="s">
        <v>3757</v>
      </c>
      <c r="F117" t="s">
        <v>1358</v>
      </c>
      <c r="G117" t="s">
        <v>3363</v>
      </c>
      <c r="H117" t="s">
        <v>3755</v>
      </c>
      <c r="I117" t="s">
        <v>2905</v>
      </c>
      <c r="J117" t="s">
        <v>2969</v>
      </c>
    </row>
    <row r="118" spans="1:10" ht="15" customHeight="1" x14ac:dyDescent="0.25">
      <c r="A118" t="s">
        <v>3032</v>
      </c>
      <c r="B118" t="s">
        <v>2959</v>
      </c>
      <c r="C118" t="s">
        <v>3284</v>
      </c>
      <c r="D118" t="s">
        <v>3758</v>
      </c>
      <c r="E118" t="s">
        <v>3759</v>
      </c>
      <c r="F118" t="s">
        <v>1954</v>
      </c>
      <c r="H118" t="s">
        <v>3032</v>
      </c>
      <c r="I118" t="s">
        <v>2905</v>
      </c>
      <c r="J118" t="s">
        <v>2969</v>
      </c>
    </row>
    <row r="119" spans="1:10" ht="15" customHeight="1" x14ac:dyDescent="0.25">
      <c r="A119" t="s">
        <v>3760</v>
      </c>
      <c r="B119" t="s">
        <v>2952</v>
      </c>
      <c r="C119" t="s">
        <v>2992</v>
      </c>
      <c r="D119" t="s">
        <v>3761</v>
      </c>
      <c r="F119" t="s">
        <v>2199</v>
      </c>
      <c r="H119" t="s">
        <v>3762</v>
      </c>
      <c r="I119" t="s">
        <v>2905</v>
      </c>
      <c r="J119" t="s">
        <v>3017</v>
      </c>
    </row>
    <row r="120" spans="1:10" ht="15" customHeight="1" x14ac:dyDescent="0.25">
      <c r="A120" t="s">
        <v>3763</v>
      </c>
      <c r="B120" t="s">
        <v>2952</v>
      </c>
      <c r="C120" t="s">
        <v>2960</v>
      </c>
      <c r="D120" t="s">
        <v>3764</v>
      </c>
      <c r="E120" t="s">
        <v>3765</v>
      </c>
      <c r="F120" t="s">
        <v>902</v>
      </c>
      <c r="G120" t="s">
        <v>3766</v>
      </c>
      <c r="H120" t="s">
        <v>3767</v>
      </c>
      <c r="I120" t="s">
        <v>2905</v>
      </c>
      <c r="J120" t="s">
        <v>3420</v>
      </c>
    </row>
    <row r="121" spans="1:10" ht="15" customHeight="1" x14ac:dyDescent="0.25">
      <c r="A121" t="s">
        <v>3033</v>
      </c>
      <c r="B121" t="s">
        <v>3034</v>
      </c>
      <c r="C121" t="s">
        <v>3768</v>
      </c>
      <c r="D121" t="s">
        <v>3769</v>
      </c>
      <c r="F121" t="s">
        <v>1482</v>
      </c>
      <c r="G121" t="s">
        <v>3038</v>
      </c>
      <c r="H121" t="s">
        <v>3039</v>
      </c>
      <c r="I121" t="s">
        <v>2905</v>
      </c>
      <c r="J121" t="s">
        <v>2991</v>
      </c>
    </row>
    <row r="122" spans="1:10" ht="15" customHeight="1" x14ac:dyDescent="0.25">
      <c r="A122" t="s">
        <v>3770</v>
      </c>
      <c r="B122" t="s">
        <v>2959</v>
      </c>
      <c r="C122" t="s">
        <v>2995</v>
      </c>
      <c r="D122" t="s">
        <v>3771</v>
      </c>
      <c r="E122" t="s">
        <v>3772</v>
      </c>
      <c r="F122" t="s">
        <v>1954</v>
      </c>
      <c r="H122" t="s">
        <v>3773</v>
      </c>
      <c r="I122" t="s">
        <v>2905</v>
      </c>
      <c r="J122" t="s">
        <v>2964</v>
      </c>
    </row>
    <row r="123" spans="1:10" ht="15" customHeight="1" x14ac:dyDescent="0.25">
      <c r="A123" t="s">
        <v>3774</v>
      </c>
      <c r="B123" t="s">
        <v>2971</v>
      </c>
      <c r="C123" t="s">
        <v>3284</v>
      </c>
      <c r="D123" t="s">
        <v>3775</v>
      </c>
      <c r="E123" t="s">
        <v>3776</v>
      </c>
      <c r="F123" t="s">
        <v>347</v>
      </c>
      <c r="G123" t="s">
        <v>139</v>
      </c>
      <c r="H123" t="s">
        <v>3774</v>
      </c>
      <c r="I123" t="s">
        <v>2905</v>
      </c>
      <c r="J123" t="s">
        <v>2969</v>
      </c>
    </row>
    <row r="124" spans="1:10" ht="15" customHeight="1" x14ac:dyDescent="0.25">
      <c r="A124" t="s">
        <v>3777</v>
      </c>
      <c r="B124" t="s">
        <v>2959</v>
      </c>
      <c r="C124" t="s">
        <v>2995</v>
      </c>
      <c r="D124" t="s">
        <v>3778</v>
      </c>
      <c r="E124" t="s">
        <v>3779</v>
      </c>
      <c r="F124" t="s">
        <v>1954</v>
      </c>
      <c r="G124" t="s">
        <v>3603</v>
      </c>
      <c r="H124" t="s">
        <v>3777</v>
      </c>
      <c r="I124" t="s">
        <v>2905</v>
      </c>
      <c r="J124" t="s">
        <v>3310</v>
      </c>
    </row>
    <row r="125" spans="1:10" ht="15" customHeight="1" x14ac:dyDescent="0.25">
      <c r="A125" t="s">
        <v>3780</v>
      </c>
      <c r="B125" t="s">
        <v>2952</v>
      </c>
      <c r="C125" t="s">
        <v>3781</v>
      </c>
      <c r="D125" t="s">
        <v>3782</v>
      </c>
      <c r="E125" t="s">
        <v>3783</v>
      </c>
      <c r="F125" t="s">
        <v>1954</v>
      </c>
      <c r="G125" t="s">
        <v>3287</v>
      </c>
      <c r="H125" t="s">
        <v>3784</v>
      </c>
      <c r="I125" t="s">
        <v>2905</v>
      </c>
      <c r="J125" t="s">
        <v>3017</v>
      </c>
    </row>
    <row r="126" spans="1:10" ht="15" customHeight="1" x14ac:dyDescent="0.25">
      <c r="A126" t="s">
        <v>3785</v>
      </c>
      <c r="B126" t="s">
        <v>2971</v>
      </c>
      <c r="C126" t="s">
        <v>3284</v>
      </c>
      <c r="D126" t="s">
        <v>3786</v>
      </c>
      <c r="E126" t="s">
        <v>3787</v>
      </c>
      <c r="F126" t="s">
        <v>347</v>
      </c>
      <c r="G126" t="s">
        <v>3030</v>
      </c>
      <c r="H126" t="s">
        <v>3785</v>
      </c>
      <c r="I126" t="s">
        <v>2905</v>
      </c>
      <c r="J126" t="s">
        <v>2969</v>
      </c>
    </row>
    <row r="127" spans="1:10" ht="15" customHeight="1" x14ac:dyDescent="0.25">
      <c r="A127" t="s">
        <v>3788</v>
      </c>
      <c r="B127" t="s">
        <v>2959</v>
      </c>
      <c r="C127" t="s">
        <v>3735</v>
      </c>
      <c r="D127" t="s">
        <v>3789</v>
      </c>
      <c r="E127" t="s">
        <v>3790</v>
      </c>
      <c r="F127" t="s">
        <v>2199</v>
      </c>
      <c r="G127" t="s">
        <v>3791</v>
      </c>
      <c r="H127" t="s">
        <v>3792</v>
      </c>
      <c r="I127" t="s">
        <v>2905</v>
      </c>
      <c r="J127" t="s">
        <v>2991</v>
      </c>
    </row>
  </sheetData>
  <pageMargins left="0.7" right="0.7" top="0.75" bottom="0.75" header="0.511811023622047" footer="0.511811023622047"/>
  <pageSetup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3793</v>
      </c>
      <c r="B1" t="s">
        <v>9</v>
      </c>
      <c r="C1" t="s">
        <v>53</v>
      </c>
      <c r="D1" t="s">
        <v>3040</v>
      </c>
      <c r="E1" t="s">
        <v>3794</v>
      </c>
      <c r="F1" t="s">
        <v>3795</v>
      </c>
      <c r="G1" t="s">
        <v>3796</v>
      </c>
      <c r="H1" t="s">
        <v>3797</v>
      </c>
      <c r="I1" t="s">
        <v>3798</v>
      </c>
      <c r="J1" t="s">
        <v>3799</v>
      </c>
      <c r="K1" t="s">
        <v>3800</v>
      </c>
      <c r="L1" t="s">
        <v>3272</v>
      </c>
      <c r="M1" t="s">
        <v>56</v>
      </c>
    </row>
    <row r="2" spans="1:13" ht="15" customHeight="1" x14ac:dyDescent="0.25">
      <c r="A2" t="s">
        <v>3801</v>
      </c>
      <c r="B2" t="s">
        <v>1358</v>
      </c>
      <c r="C2" t="s">
        <v>18</v>
      </c>
      <c r="D2" t="s">
        <v>3802</v>
      </c>
      <c r="E2">
        <v>0</v>
      </c>
      <c r="F2" t="s">
        <v>2959</v>
      </c>
      <c r="G2" t="s">
        <v>3803</v>
      </c>
      <c r="H2" t="s">
        <v>3804</v>
      </c>
      <c r="I2" t="s">
        <v>3805</v>
      </c>
      <c r="J2" t="s">
        <v>3806</v>
      </c>
      <c r="K2" t="s">
        <v>2905</v>
      </c>
      <c r="L2" t="s">
        <v>3807</v>
      </c>
      <c r="M2" t="s">
        <v>3808</v>
      </c>
    </row>
    <row r="3" spans="1:13" ht="15" customHeight="1" x14ac:dyDescent="0.25">
      <c r="A3" t="s">
        <v>3809</v>
      </c>
      <c r="B3" t="s">
        <v>1358</v>
      </c>
      <c r="C3" t="s">
        <v>18</v>
      </c>
      <c r="D3" t="s">
        <v>3802</v>
      </c>
      <c r="E3">
        <v>0</v>
      </c>
      <c r="F3" t="s">
        <v>2959</v>
      </c>
      <c r="G3" t="s">
        <v>3810</v>
      </c>
      <c r="H3" t="s">
        <v>3811</v>
      </c>
      <c r="I3" t="s">
        <v>3805</v>
      </c>
      <c r="J3" t="s">
        <v>3812</v>
      </c>
      <c r="K3" t="s">
        <v>2905</v>
      </c>
      <c r="L3" t="s">
        <v>3807</v>
      </c>
      <c r="M3" t="s">
        <v>139</v>
      </c>
    </row>
    <row r="4" spans="1:13" ht="15" customHeight="1" x14ac:dyDescent="0.25">
      <c r="A4" t="s">
        <v>3813</v>
      </c>
      <c r="B4" t="s">
        <v>1954</v>
      </c>
      <c r="C4" t="s">
        <v>22</v>
      </c>
      <c r="D4" t="s">
        <v>3802</v>
      </c>
      <c r="E4">
        <v>0</v>
      </c>
      <c r="F4" t="s">
        <v>2971</v>
      </c>
      <c r="G4" t="s">
        <v>3814</v>
      </c>
      <c r="H4" t="s">
        <v>3814</v>
      </c>
      <c r="I4" t="s">
        <v>3805</v>
      </c>
      <c r="J4" t="s">
        <v>3815</v>
      </c>
      <c r="K4">
        <v>1</v>
      </c>
      <c r="L4" t="s">
        <v>3807</v>
      </c>
    </row>
    <row r="5" spans="1:13" ht="15" customHeight="1" x14ac:dyDescent="0.25">
      <c r="A5" t="s">
        <v>3816</v>
      </c>
      <c r="B5" t="s">
        <v>1954</v>
      </c>
      <c r="C5" t="s">
        <v>22</v>
      </c>
      <c r="D5" t="s">
        <v>3817</v>
      </c>
      <c r="E5">
        <v>0</v>
      </c>
      <c r="F5" t="s">
        <v>2959</v>
      </c>
      <c r="G5" t="s">
        <v>2905</v>
      </c>
      <c r="H5" t="s">
        <v>3818</v>
      </c>
      <c r="I5" t="s">
        <v>3805</v>
      </c>
      <c r="J5" t="s">
        <v>3819</v>
      </c>
      <c r="K5" t="s">
        <v>2905</v>
      </c>
      <c r="L5" t="s">
        <v>3807</v>
      </c>
      <c r="M5" t="s">
        <v>3820</v>
      </c>
    </row>
    <row r="9" spans="1:13" ht="15" customHeight="1" x14ac:dyDescent="0.25">
      <c r="A9" t="s">
        <v>3821</v>
      </c>
      <c r="B9" t="s">
        <v>3822</v>
      </c>
      <c r="C9" t="s">
        <v>3823</v>
      </c>
      <c r="F9" t="s">
        <v>3824</v>
      </c>
      <c r="G9" t="s">
        <v>3825</v>
      </c>
      <c r="J9" t="s">
        <v>2905</v>
      </c>
    </row>
    <row r="10" spans="1:13" ht="15" customHeight="1" x14ac:dyDescent="0.25">
      <c r="A10" t="s">
        <v>3826</v>
      </c>
      <c r="B10" t="s">
        <v>3827</v>
      </c>
      <c r="C10" t="s">
        <v>3828</v>
      </c>
      <c r="F10" t="s">
        <v>3829</v>
      </c>
      <c r="G10" t="s">
        <v>3830</v>
      </c>
      <c r="J10" t="s">
        <v>3831</v>
      </c>
    </row>
    <row r="11" spans="1:13" ht="15" customHeight="1" x14ac:dyDescent="0.25">
      <c r="A11" t="s">
        <v>3832</v>
      </c>
      <c r="B11" t="s">
        <v>3833</v>
      </c>
      <c r="C11" t="s">
        <v>3834</v>
      </c>
      <c r="F11" t="s">
        <v>3835</v>
      </c>
      <c r="J11" t="s">
        <v>2905</v>
      </c>
    </row>
    <row r="12" spans="1:13" ht="15" customHeight="1" x14ac:dyDescent="0.25">
      <c r="A12" t="s">
        <v>3836</v>
      </c>
      <c r="B12" t="s">
        <v>3837</v>
      </c>
      <c r="C12" t="s">
        <v>3838</v>
      </c>
      <c r="F12" t="s">
        <v>3839</v>
      </c>
    </row>
    <row r="13" spans="1:13" ht="15" customHeight="1" x14ac:dyDescent="0.25">
      <c r="A13" t="s">
        <v>3840</v>
      </c>
      <c r="B13" t="s">
        <v>3841</v>
      </c>
      <c r="C13" t="s">
        <v>3842</v>
      </c>
      <c r="F13" t="s">
        <v>3843</v>
      </c>
      <c r="G13" t="s">
        <v>3844</v>
      </c>
      <c r="I13" t="s">
        <v>3845</v>
      </c>
    </row>
    <row r="14" spans="1:13" ht="15" customHeight="1" x14ac:dyDescent="0.25">
      <c r="A14" t="s">
        <v>3846</v>
      </c>
      <c r="B14" t="s">
        <v>3847</v>
      </c>
      <c r="C14" t="s">
        <v>3848</v>
      </c>
      <c r="F14" t="s">
        <v>3849</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8"/>
  <sheetViews>
    <sheetView zoomScale="85" zoomScaleNormal="85" workbookViewId="0">
      <selection activeCell="D11" sqref="D11"/>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52</v>
      </c>
      <c r="B1" t="s">
        <v>53</v>
      </c>
      <c r="C1" t="s">
        <v>3795</v>
      </c>
      <c r="D1" t="s">
        <v>2899</v>
      </c>
      <c r="E1" t="s">
        <v>2947</v>
      </c>
      <c r="F1" t="s">
        <v>3850</v>
      </c>
      <c r="G1" t="s">
        <v>2948</v>
      </c>
      <c r="H1" t="s">
        <v>3851</v>
      </c>
      <c r="I1" t="s">
        <v>3852</v>
      </c>
      <c r="J1" t="s">
        <v>3799</v>
      </c>
      <c r="K1" t="s">
        <v>56</v>
      </c>
    </row>
    <row r="2" spans="1:11" ht="15" customHeight="1" x14ac:dyDescent="0.25">
      <c r="A2" t="s">
        <v>3840</v>
      </c>
      <c r="B2" t="s">
        <v>3853</v>
      </c>
      <c r="C2" t="s">
        <v>2971</v>
      </c>
      <c r="D2" t="s">
        <v>3854</v>
      </c>
      <c r="E2" t="s">
        <v>3855</v>
      </c>
      <c r="F2" t="s">
        <v>3856</v>
      </c>
      <c r="G2" t="s">
        <v>2199</v>
      </c>
      <c r="H2" t="s">
        <v>3857</v>
      </c>
      <c r="I2" t="s">
        <v>3858</v>
      </c>
      <c r="J2" t="s">
        <v>3859</v>
      </c>
    </row>
    <row r="3" spans="1:11" ht="15" customHeight="1" x14ac:dyDescent="0.25">
      <c r="A3" t="s">
        <v>3860</v>
      </c>
      <c r="B3" t="s">
        <v>3861</v>
      </c>
      <c r="C3" t="s">
        <v>2959</v>
      </c>
      <c r="D3" t="s">
        <v>3862</v>
      </c>
      <c r="E3" t="s">
        <v>3863</v>
      </c>
      <c r="F3" t="s">
        <v>3864</v>
      </c>
      <c r="G3" t="s">
        <v>1358</v>
      </c>
      <c r="J3" t="s">
        <v>3865</v>
      </c>
    </row>
    <row r="4" spans="1:11" ht="15" customHeight="1" x14ac:dyDescent="0.25">
      <c r="A4" t="s">
        <v>3866</v>
      </c>
      <c r="B4" t="s">
        <v>3861</v>
      </c>
      <c r="C4" t="s">
        <v>2959</v>
      </c>
      <c r="D4" t="s">
        <v>3867</v>
      </c>
      <c r="E4" t="s">
        <v>3868</v>
      </c>
      <c r="F4" t="s">
        <v>3869</v>
      </c>
      <c r="G4" t="s">
        <v>828</v>
      </c>
      <c r="J4" t="s">
        <v>3870</v>
      </c>
    </row>
    <row r="5" spans="1:11" ht="15" customHeight="1" x14ac:dyDescent="0.25">
      <c r="A5" t="s">
        <v>3871</v>
      </c>
      <c r="B5" t="s">
        <v>3017</v>
      </c>
      <c r="C5" t="s">
        <v>2959</v>
      </c>
      <c r="D5" t="s">
        <v>3872</v>
      </c>
      <c r="E5" t="s">
        <v>3873</v>
      </c>
      <c r="F5" t="s">
        <v>2905</v>
      </c>
      <c r="G5" t="s">
        <v>1772</v>
      </c>
      <c r="J5" t="s">
        <v>3874</v>
      </c>
    </row>
    <row r="6" spans="1:11" ht="15" customHeight="1" x14ac:dyDescent="0.25">
      <c r="A6" t="s">
        <v>3875</v>
      </c>
      <c r="B6" t="s">
        <v>3017</v>
      </c>
      <c r="C6" t="s">
        <v>2952</v>
      </c>
      <c r="D6" t="s">
        <v>3876</v>
      </c>
      <c r="E6" t="s">
        <v>3877</v>
      </c>
      <c r="F6" t="s">
        <v>2905</v>
      </c>
      <c r="G6" t="s">
        <v>1772</v>
      </c>
      <c r="J6" t="s">
        <v>3878</v>
      </c>
    </row>
    <row r="7" spans="1:11" ht="15" customHeight="1" x14ac:dyDescent="0.25">
      <c r="A7" t="s">
        <v>3879</v>
      </c>
      <c r="B7" t="s">
        <v>3880</v>
      </c>
      <c r="C7" t="s">
        <v>2959</v>
      </c>
      <c r="D7" t="s">
        <v>3881</v>
      </c>
      <c r="E7" t="s">
        <v>3882</v>
      </c>
      <c r="F7" t="s">
        <v>2905</v>
      </c>
      <c r="G7" t="s">
        <v>577</v>
      </c>
      <c r="J7" t="s">
        <v>3883</v>
      </c>
    </row>
    <row r="8" spans="1:11" ht="15" customHeight="1" x14ac:dyDescent="0.25">
      <c r="A8" t="s">
        <v>3884</v>
      </c>
      <c r="B8" t="s">
        <v>3853</v>
      </c>
      <c r="C8" t="s">
        <v>2952</v>
      </c>
      <c r="D8" t="s">
        <v>3885</v>
      </c>
      <c r="E8" t="s">
        <v>3886</v>
      </c>
      <c r="F8" t="s">
        <v>2905</v>
      </c>
      <c r="G8" t="s">
        <v>2199</v>
      </c>
      <c r="H8" t="s">
        <v>3887</v>
      </c>
      <c r="I8" t="s">
        <v>3888</v>
      </c>
      <c r="J8" t="s">
        <v>3889</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52</v>
      </c>
      <c r="B1" t="s">
        <v>53</v>
      </c>
      <c r="C1" t="s">
        <v>3040</v>
      </c>
      <c r="D1" t="s">
        <v>3890</v>
      </c>
      <c r="E1" t="s">
        <v>3891</v>
      </c>
      <c r="F1" t="s">
        <v>3892</v>
      </c>
      <c r="G1" t="s">
        <v>3045</v>
      </c>
      <c r="H1" t="s">
        <v>9</v>
      </c>
      <c r="I1" t="s">
        <v>3893</v>
      </c>
      <c r="J1" t="s">
        <v>3894</v>
      </c>
      <c r="K1" t="s">
        <v>57</v>
      </c>
      <c r="L1" t="s">
        <v>3895</v>
      </c>
      <c r="M1" t="s">
        <v>3046</v>
      </c>
    </row>
    <row r="2" spans="1:13" ht="27.75" customHeight="1" x14ac:dyDescent="0.25">
      <c r="A2" t="s">
        <v>3089</v>
      </c>
      <c r="B2" t="s">
        <v>3896</v>
      </c>
      <c r="C2" t="s">
        <v>3897</v>
      </c>
      <c r="D2">
        <v>2</v>
      </c>
      <c r="E2">
        <v>48</v>
      </c>
      <c r="F2">
        <v>54</v>
      </c>
      <c r="G2" t="s">
        <v>2905</v>
      </c>
      <c r="H2" t="s">
        <v>1954</v>
      </c>
      <c r="I2" t="s">
        <v>3898</v>
      </c>
      <c r="J2" s="4" t="s">
        <v>3899</v>
      </c>
      <c r="K2" t="s">
        <v>3089</v>
      </c>
      <c r="L2" t="s">
        <v>2905</v>
      </c>
    </row>
    <row r="3" spans="1:13" ht="41.25" customHeight="1" x14ac:dyDescent="0.25">
      <c r="A3" t="s">
        <v>3110</v>
      </c>
      <c r="B3" t="s">
        <v>3896</v>
      </c>
      <c r="C3" t="s">
        <v>3900</v>
      </c>
      <c r="D3">
        <v>6</v>
      </c>
      <c r="E3">
        <v>114</v>
      </c>
      <c r="F3">
        <v>120</v>
      </c>
      <c r="G3" t="s">
        <v>2905</v>
      </c>
      <c r="H3" t="s">
        <v>1954</v>
      </c>
      <c r="I3" t="s">
        <v>3898</v>
      </c>
      <c r="J3" s="4" t="s">
        <v>3901</v>
      </c>
      <c r="K3" t="s">
        <v>3110</v>
      </c>
      <c r="L3" t="s">
        <v>2905</v>
      </c>
    </row>
    <row r="4" spans="1:13" ht="15" customHeight="1" x14ac:dyDescent="0.25">
      <c r="A4" t="s">
        <v>3118</v>
      </c>
      <c r="B4" t="s">
        <v>3896</v>
      </c>
      <c r="C4" t="s">
        <v>3902</v>
      </c>
      <c r="D4">
        <v>9</v>
      </c>
      <c r="E4">
        <v>999</v>
      </c>
      <c r="F4">
        <v>999</v>
      </c>
      <c r="G4" t="s">
        <v>3903</v>
      </c>
      <c r="H4" t="s">
        <v>1954</v>
      </c>
      <c r="I4" t="s">
        <v>3898</v>
      </c>
      <c r="J4" t="s">
        <v>3904</v>
      </c>
      <c r="K4" t="s">
        <v>3118</v>
      </c>
      <c r="L4" t="s">
        <v>2905</v>
      </c>
    </row>
    <row r="5" spans="1:13" ht="54.75" customHeight="1" x14ac:dyDescent="0.25">
      <c r="A5" t="s">
        <v>3905</v>
      </c>
      <c r="B5" t="s">
        <v>3896</v>
      </c>
      <c r="C5" t="s">
        <v>3897</v>
      </c>
      <c r="D5">
        <v>3</v>
      </c>
      <c r="E5">
        <v>40</v>
      </c>
      <c r="F5">
        <v>44</v>
      </c>
      <c r="G5" t="s">
        <v>2905</v>
      </c>
      <c r="H5" t="s">
        <v>1954</v>
      </c>
      <c r="I5" t="s">
        <v>3898</v>
      </c>
      <c r="J5" s="4" t="s">
        <v>3906</v>
      </c>
      <c r="K5" t="s">
        <v>3907</v>
      </c>
      <c r="L5" t="s">
        <v>2905</v>
      </c>
    </row>
    <row r="6" spans="1:13" ht="27.75" customHeight="1" x14ac:dyDescent="0.25">
      <c r="A6" t="s">
        <v>3908</v>
      </c>
      <c r="B6" t="s">
        <v>3896</v>
      </c>
      <c r="C6" t="s">
        <v>3897</v>
      </c>
      <c r="D6">
        <v>1</v>
      </c>
      <c r="E6">
        <v>10</v>
      </c>
      <c r="F6">
        <v>15</v>
      </c>
      <c r="G6" t="s">
        <v>3909</v>
      </c>
      <c r="H6" t="s">
        <v>1954</v>
      </c>
      <c r="I6" t="s">
        <v>3898</v>
      </c>
      <c r="J6" s="4" t="s">
        <v>3910</v>
      </c>
      <c r="K6" t="s">
        <v>3911</v>
      </c>
      <c r="L6" t="s">
        <v>2905</v>
      </c>
      <c r="M6" t="s">
        <v>3489</v>
      </c>
    </row>
    <row r="7" spans="1:13" ht="27.75" customHeight="1" x14ac:dyDescent="0.25">
      <c r="A7" t="s">
        <v>3912</v>
      </c>
      <c r="B7" t="s">
        <v>3896</v>
      </c>
      <c r="C7" t="s">
        <v>3897</v>
      </c>
      <c r="D7">
        <v>1</v>
      </c>
      <c r="E7">
        <v>11</v>
      </c>
      <c r="F7">
        <v>17</v>
      </c>
      <c r="G7" t="s">
        <v>3909</v>
      </c>
      <c r="H7" t="s">
        <v>1954</v>
      </c>
      <c r="I7" t="s">
        <v>3898</v>
      </c>
      <c r="J7" s="4" t="s">
        <v>3913</v>
      </c>
      <c r="K7" t="s">
        <v>3914</v>
      </c>
      <c r="L7" t="s">
        <v>2905</v>
      </c>
      <c r="M7" t="s">
        <v>3489</v>
      </c>
    </row>
    <row r="8" spans="1:13" ht="41.25" customHeight="1" x14ac:dyDescent="0.25">
      <c r="A8" t="s">
        <v>3915</v>
      </c>
      <c r="B8" t="s">
        <v>3896</v>
      </c>
      <c r="C8" t="s">
        <v>3897</v>
      </c>
      <c r="D8">
        <v>4</v>
      </c>
      <c r="E8">
        <v>65</v>
      </c>
      <c r="F8">
        <v>69</v>
      </c>
      <c r="G8" t="s">
        <v>3916</v>
      </c>
      <c r="H8" t="s">
        <v>1954</v>
      </c>
      <c r="I8" t="s">
        <v>3898</v>
      </c>
      <c r="J8" s="4" t="s">
        <v>3917</v>
      </c>
      <c r="K8" t="s">
        <v>3918</v>
      </c>
      <c r="L8" t="s">
        <v>2905</v>
      </c>
      <c r="M8" t="s">
        <v>3106</v>
      </c>
    </row>
    <row r="9" spans="1:13" ht="41.25" customHeight="1" x14ac:dyDescent="0.25">
      <c r="A9" t="s">
        <v>3919</v>
      </c>
      <c r="B9" t="s">
        <v>3896</v>
      </c>
      <c r="C9" t="s">
        <v>3897</v>
      </c>
      <c r="D9">
        <v>2</v>
      </c>
      <c r="E9">
        <v>28</v>
      </c>
      <c r="F9">
        <v>32</v>
      </c>
      <c r="G9" t="s">
        <v>2905</v>
      </c>
      <c r="H9" t="s">
        <v>1954</v>
      </c>
      <c r="I9" t="s">
        <v>3898</v>
      </c>
      <c r="J9" s="4" t="s">
        <v>3920</v>
      </c>
      <c r="K9" t="s">
        <v>3921</v>
      </c>
      <c r="L9" t="s">
        <v>2905</v>
      </c>
      <c r="M9" t="s">
        <v>3106</v>
      </c>
    </row>
    <row r="10" spans="1:13" ht="27.75" customHeight="1" x14ac:dyDescent="0.25">
      <c r="A10" t="s">
        <v>3922</v>
      </c>
      <c r="B10" t="s">
        <v>3896</v>
      </c>
      <c r="C10" t="s">
        <v>3897</v>
      </c>
      <c r="D10">
        <v>1</v>
      </c>
      <c r="E10">
        <v>8</v>
      </c>
      <c r="F10">
        <v>12</v>
      </c>
      <c r="G10" t="s">
        <v>2905</v>
      </c>
      <c r="H10" t="s">
        <v>1954</v>
      </c>
      <c r="I10" t="s">
        <v>3898</v>
      </c>
      <c r="J10" s="4" t="s">
        <v>3923</v>
      </c>
      <c r="K10" t="s">
        <v>3924</v>
      </c>
      <c r="L10" t="s">
        <v>2905</v>
      </c>
      <c r="M10" t="s">
        <v>3106</v>
      </c>
    </row>
    <row r="11" spans="1:13" ht="27.75" customHeight="1" x14ac:dyDescent="0.25">
      <c r="A11" t="s">
        <v>3103</v>
      </c>
      <c r="B11" t="s">
        <v>3896</v>
      </c>
      <c r="C11" t="s">
        <v>3897</v>
      </c>
      <c r="D11">
        <v>4</v>
      </c>
      <c r="E11">
        <v>64</v>
      </c>
      <c r="F11">
        <v>70</v>
      </c>
      <c r="G11" t="s">
        <v>3925</v>
      </c>
      <c r="H11" t="s">
        <v>1954</v>
      </c>
      <c r="I11" t="s">
        <v>3898</v>
      </c>
      <c r="J11" s="4" t="s">
        <v>3926</v>
      </c>
      <c r="K11" t="s">
        <v>3105</v>
      </c>
      <c r="L11" t="s">
        <v>2905</v>
      </c>
      <c r="M11" t="s">
        <v>3106</v>
      </c>
    </row>
    <row r="12" spans="1:13" ht="27.75" customHeight="1" x14ac:dyDescent="0.25">
      <c r="A12" t="s">
        <v>3927</v>
      </c>
      <c r="B12" t="s">
        <v>3896</v>
      </c>
      <c r="C12" t="s">
        <v>3897</v>
      </c>
      <c r="D12">
        <v>2</v>
      </c>
      <c r="E12">
        <v>28</v>
      </c>
      <c r="F12">
        <v>32</v>
      </c>
      <c r="G12" t="s">
        <v>2905</v>
      </c>
      <c r="H12" t="s">
        <v>1954</v>
      </c>
      <c r="I12" t="s">
        <v>3898</v>
      </c>
      <c r="J12" s="4" t="s">
        <v>3928</v>
      </c>
      <c r="K12" t="s">
        <v>3929</v>
      </c>
      <c r="L12" t="s">
        <v>2905</v>
      </c>
      <c r="M12" t="s">
        <v>3106</v>
      </c>
    </row>
    <row r="13" spans="1:13" ht="15" customHeight="1" x14ac:dyDescent="0.25">
      <c r="A13" t="s">
        <v>3930</v>
      </c>
      <c r="B13" t="s">
        <v>3896</v>
      </c>
      <c r="C13" t="s">
        <v>3897</v>
      </c>
      <c r="D13">
        <v>1</v>
      </c>
      <c r="E13">
        <v>10</v>
      </c>
      <c r="F13">
        <v>14</v>
      </c>
      <c r="G13" t="s">
        <v>2905</v>
      </c>
      <c r="H13" t="s">
        <v>1954</v>
      </c>
      <c r="I13" t="s">
        <v>3898</v>
      </c>
      <c r="J13" t="s">
        <v>3931</v>
      </c>
      <c r="K13" t="s">
        <v>3932</v>
      </c>
      <c r="L13" t="s">
        <v>2905</v>
      </c>
      <c r="M13" t="s">
        <v>3106</v>
      </c>
    </row>
  </sheetData>
  <pageMargins left="0.75" right="0.75" top="1" bottom="1"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52</v>
      </c>
      <c r="B1" t="s">
        <v>3933</v>
      </c>
      <c r="C1" t="s">
        <v>3040</v>
      </c>
      <c r="D1" t="s">
        <v>3890</v>
      </c>
      <c r="E1" t="s">
        <v>9</v>
      </c>
      <c r="F1" t="s">
        <v>3891</v>
      </c>
      <c r="G1" t="s">
        <v>3892</v>
      </c>
      <c r="H1" t="s">
        <v>3934</v>
      </c>
      <c r="I1" t="s">
        <v>3041</v>
      </c>
      <c r="J1" t="s">
        <v>3935</v>
      </c>
      <c r="K1" t="s">
        <v>3936</v>
      </c>
      <c r="L1" t="s">
        <v>3937</v>
      </c>
      <c r="M1" t="s">
        <v>3938</v>
      </c>
      <c r="N1" t="s">
        <v>3939</v>
      </c>
      <c r="O1" t="s">
        <v>3940</v>
      </c>
      <c r="P1" t="s">
        <v>3941</v>
      </c>
      <c r="Q1" t="s">
        <v>3942</v>
      </c>
      <c r="R1" t="s">
        <v>3943</v>
      </c>
      <c r="S1" t="s">
        <v>3045</v>
      </c>
      <c r="T1" t="s">
        <v>3046</v>
      </c>
    </row>
    <row r="2" spans="1:20" ht="15" customHeight="1" x14ac:dyDescent="0.25">
      <c r="A2" t="s">
        <v>3054</v>
      </c>
      <c r="B2" t="s">
        <v>3944</v>
      </c>
      <c r="C2" t="s">
        <v>3897</v>
      </c>
      <c r="D2">
        <v>1</v>
      </c>
      <c r="E2" t="s">
        <v>347</v>
      </c>
      <c r="F2">
        <v>10</v>
      </c>
      <c r="G2">
        <v>15</v>
      </c>
      <c r="H2">
        <v>80</v>
      </c>
      <c r="I2">
        <v>1</v>
      </c>
      <c r="J2" t="s">
        <v>3945</v>
      </c>
      <c r="K2">
        <v>0</v>
      </c>
      <c r="L2" t="s">
        <v>3946</v>
      </c>
      <c r="M2" t="s">
        <v>3947</v>
      </c>
      <c r="N2" t="s">
        <v>3805</v>
      </c>
      <c r="O2" t="s">
        <v>3948</v>
      </c>
      <c r="R2" t="s">
        <v>3949</v>
      </c>
      <c r="T2" t="s">
        <v>2956</v>
      </c>
    </row>
    <row r="3" spans="1:20" ht="15" customHeight="1" x14ac:dyDescent="0.25">
      <c r="A3" t="s">
        <v>3950</v>
      </c>
      <c r="B3" t="s">
        <v>3951</v>
      </c>
      <c r="C3" t="s">
        <v>3897</v>
      </c>
      <c r="D3">
        <v>2</v>
      </c>
      <c r="E3" t="s">
        <v>2199</v>
      </c>
      <c r="F3">
        <v>16</v>
      </c>
      <c r="G3">
        <v>20</v>
      </c>
      <c r="H3">
        <v>90</v>
      </c>
      <c r="I3">
        <v>1</v>
      </c>
      <c r="J3" t="s">
        <v>3945</v>
      </c>
      <c r="K3">
        <v>0</v>
      </c>
      <c r="L3" t="s">
        <v>3952</v>
      </c>
      <c r="M3" t="s">
        <v>3953</v>
      </c>
      <c r="N3" t="s">
        <v>3805</v>
      </c>
      <c r="Q3" t="s">
        <v>3954</v>
      </c>
      <c r="R3" t="s">
        <v>3955</v>
      </c>
      <c r="S3" t="s">
        <v>3956</v>
      </c>
    </row>
    <row r="4" spans="1:20" ht="15" customHeight="1" x14ac:dyDescent="0.25">
      <c r="A4" t="s">
        <v>3957</v>
      </c>
      <c r="B4" t="s">
        <v>3958</v>
      </c>
      <c r="C4" t="s">
        <v>3897</v>
      </c>
      <c r="D4">
        <v>0</v>
      </c>
      <c r="E4" t="s">
        <v>2199</v>
      </c>
      <c r="F4">
        <v>16</v>
      </c>
      <c r="G4">
        <v>20</v>
      </c>
      <c r="H4">
        <v>60</v>
      </c>
      <c r="I4">
        <v>1</v>
      </c>
      <c r="J4" t="s">
        <v>3959</v>
      </c>
      <c r="K4">
        <v>0</v>
      </c>
      <c r="L4" t="s">
        <v>3960</v>
      </c>
      <c r="M4" t="s">
        <v>3961</v>
      </c>
      <c r="N4" t="s">
        <v>3805</v>
      </c>
      <c r="Q4" t="s">
        <v>3962</v>
      </c>
      <c r="R4" t="s">
        <v>3963</v>
      </c>
    </row>
    <row r="5" spans="1:20" ht="15" customHeight="1" x14ac:dyDescent="0.25">
      <c r="A5" t="s">
        <v>3964</v>
      </c>
      <c r="B5" t="s">
        <v>3965</v>
      </c>
      <c r="C5" t="s">
        <v>3897</v>
      </c>
      <c r="D5">
        <v>2</v>
      </c>
      <c r="E5" t="s">
        <v>2199</v>
      </c>
      <c r="F5">
        <v>16</v>
      </c>
      <c r="G5">
        <v>20</v>
      </c>
      <c r="H5">
        <v>0</v>
      </c>
      <c r="I5">
        <v>1</v>
      </c>
      <c r="J5" t="s">
        <v>3966</v>
      </c>
      <c r="K5">
        <v>0</v>
      </c>
      <c r="L5" t="s">
        <v>3967</v>
      </c>
      <c r="M5" t="s">
        <v>3968</v>
      </c>
      <c r="N5" t="s">
        <v>3805</v>
      </c>
      <c r="R5" t="s">
        <v>3969</v>
      </c>
    </row>
    <row r="6" spans="1:20" ht="15" customHeight="1" x14ac:dyDescent="0.25">
      <c r="A6" t="s">
        <v>3959</v>
      </c>
      <c r="B6" t="s">
        <v>3970</v>
      </c>
      <c r="C6" t="s">
        <v>3897</v>
      </c>
      <c r="D6">
        <v>0</v>
      </c>
      <c r="E6" t="s">
        <v>2199</v>
      </c>
      <c r="F6">
        <v>16</v>
      </c>
      <c r="G6">
        <v>20</v>
      </c>
      <c r="H6">
        <v>70</v>
      </c>
      <c r="I6">
        <v>1</v>
      </c>
      <c r="J6" t="s">
        <v>3959</v>
      </c>
      <c r="K6">
        <v>0</v>
      </c>
      <c r="L6" t="s">
        <v>3952</v>
      </c>
      <c r="M6" t="s">
        <v>3971</v>
      </c>
      <c r="N6" t="s">
        <v>3805</v>
      </c>
      <c r="Q6" t="s">
        <v>3972</v>
      </c>
      <c r="R6" t="s">
        <v>3973</v>
      </c>
    </row>
    <row r="7" spans="1:20" ht="15" customHeight="1" x14ac:dyDescent="0.25">
      <c r="A7" t="s">
        <v>3974</v>
      </c>
      <c r="B7" t="s">
        <v>3975</v>
      </c>
      <c r="C7" t="s">
        <v>3897</v>
      </c>
      <c r="D7">
        <v>2</v>
      </c>
      <c r="E7" t="s">
        <v>347</v>
      </c>
      <c r="F7">
        <v>12</v>
      </c>
      <c r="G7">
        <v>16</v>
      </c>
      <c r="H7">
        <v>70</v>
      </c>
      <c r="I7">
        <v>1</v>
      </c>
      <c r="J7" t="s">
        <v>3976</v>
      </c>
      <c r="K7">
        <v>6</v>
      </c>
      <c r="L7" t="s">
        <v>3977</v>
      </c>
      <c r="M7" t="s">
        <v>3978</v>
      </c>
      <c r="N7" t="s">
        <v>3805</v>
      </c>
      <c r="O7" t="s">
        <v>3948</v>
      </c>
      <c r="P7" t="s">
        <v>3979</v>
      </c>
      <c r="R7" t="s">
        <v>3949</v>
      </c>
      <c r="T7" t="s">
        <v>2956</v>
      </c>
    </row>
  </sheetData>
  <pageMargins left="0.75" right="0.75" top="1" bottom="1"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52</v>
      </c>
      <c r="B1" t="s">
        <v>53</v>
      </c>
      <c r="C1" t="s">
        <v>3880</v>
      </c>
      <c r="D1" t="s">
        <v>3980</v>
      </c>
      <c r="E1" t="s">
        <v>2947</v>
      </c>
    </row>
    <row r="2" spans="1:5" ht="15" customHeight="1" x14ac:dyDescent="0.25">
      <c r="A2" t="s">
        <v>3981</v>
      </c>
      <c r="B2" t="s">
        <v>3111</v>
      </c>
      <c r="C2" t="s">
        <v>3982</v>
      </c>
      <c r="D2" t="s">
        <v>3431</v>
      </c>
    </row>
    <row r="3" spans="1:5" ht="15" customHeight="1" x14ac:dyDescent="0.25">
      <c r="A3" t="s">
        <v>3983</v>
      </c>
      <c r="B3" t="s">
        <v>3111</v>
      </c>
      <c r="C3" t="s">
        <v>3984</v>
      </c>
      <c r="D3" t="s">
        <v>3431</v>
      </c>
    </row>
    <row r="4" spans="1:5" ht="15" customHeight="1" x14ac:dyDescent="0.25">
      <c r="A4" t="s">
        <v>3985</v>
      </c>
      <c r="B4" t="s">
        <v>3111</v>
      </c>
      <c r="C4" t="s">
        <v>3203</v>
      </c>
      <c r="D4" t="s">
        <v>3986</v>
      </c>
    </row>
    <row r="5" spans="1:5" ht="15" customHeight="1" x14ac:dyDescent="0.25">
      <c r="A5" t="s">
        <v>3987</v>
      </c>
      <c r="B5" t="s">
        <v>3111</v>
      </c>
      <c r="C5" t="s">
        <v>3988</v>
      </c>
      <c r="D5" t="s">
        <v>3431</v>
      </c>
    </row>
    <row r="6" spans="1:5" ht="15" customHeight="1" x14ac:dyDescent="0.25">
      <c r="A6" t="s">
        <v>3989</v>
      </c>
      <c r="B6" t="s">
        <v>3111</v>
      </c>
      <c r="C6" t="s">
        <v>3990</v>
      </c>
      <c r="D6" t="s">
        <v>3431</v>
      </c>
    </row>
    <row r="7" spans="1:5" ht="15" customHeight="1" x14ac:dyDescent="0.25">
      <c r="A7" t="s">
        <v>3991</v>
      </c>
      <c r="B7" t="s">
        <v>3111</v>
      </c>
      <c r="C7" t="s">
        <v>3992</v>
      </c>
      <c r="D7" t="s">
        <v>3993</v>
      </c>
    </row>
    <row r="8" spans="1:5" ht="15" customHeight="1" x14ac:dyDescent="0.25">
      <c r="A8" t="s">
        <v>3994</v>
      </c>
      <c r="B8" t="s">
        <v>3111</v>
      </c>
      <c r="C8" t="s">
        <v>3995</v>
      </c>
      <c r="D8" t="s">
        <v>3996</v>
      </c>
    </row>
    <row r="9" spans="1:5" ht="15" customHeight="1" x14ac:dyDescent="0.25">
      <c r="A9" t="s">
        <v>3997</v>
      </c>
      <c r="B9" t="s">
        <v>3998</v>
      </c>
      <c r="C9" t="s">
        <v>3999</v>
      </c>
      <c r="D9" t="s">
        <v>2905</v>
      </c>
      <c r="E9" t="s">
        <v>4000</v>
      </c>
    </row>
    <row r="10" spans="1:5" ht="15" customHeight="1" x14ac:dyDescent="0.25">
      <c r="A10" t="s">
        <v>4001</v>
      </c>
      <c r="B10" t="s">
        <v>3998</v>
      </c>
      <c r="C10" t="s">
        <v>4002</v>
      </c>
      <c r="D10" t="s">
        <v>2905</v>
      </c>
      <c r="E10" t="s">
        <v>4003</v>
      </c>
    </row>
    <row r="11" spans="1:5" ht="15" customHeight="1" x14ac:dyDescent="0.25">
      <c r="A11" t="s">
        <v>4004</v>
      </c>
      <c r="B11" t="s">
        <v>3998</v>
      </c>
      <c r="C11" t="s">
        <v>4005</v>
      </c>
      <c r="D11" t="s">
        <v>2905</v>
      </c>
      <c r="E11" t="s">
        <v>4006</v>
      </c>
    </row>
    <row r="12" spans="1:5" ht="15" customHeight="1" x14ac:dyDescent="0.25">
      <c r="A12" t="s">
        <v>4007</v>
      </c>
      <c r="B12" t="s">
        <v>3111</v>
      </c>
      <c r="C12" t="s">
        <v>4008</v>
      </c>
      <c r="D12" t="s">
        <v>4009</v>
      </c>
    </row>
    <row r="13" spans="1:5" ht="15" customHeight="1" x14ac:dyDescent="0.25">
      <c r="A13" t="s">
        <v>4010</v>
      </c>
      <c r="B13" t="s">
        <v>3111</v>
      </c>
      <c r="C13" t="s">
        <v>4011</v>
      </c>
      <c r="D13" t="s">
        <v>3431</v>
      </c>
    </row>
    <row r="14" spans="1:5" ht="15" customHeight="1" x14ac:dyDescent="0.25">
      <c r="A14" t="s">
        <v>4012</v>
      </c>
      <c r="B14" t="s">
        <v>3111</v>
      </c>
      <c r="C14" t="s">
        <v>4013</v>
      </c>
      <c r="D14" t="s">
        <v>4014</v>
      </c>
    </row>
    <row r="15" spans="1:5" ht="15" customHeight="1" x14ac:dyDescent="0.25">
      <c r="A15" t="s">
        <v>4015</v>
      </c>
      <c r="B15" t="s">
        <v>3111</v>
      </c>
      <c r="C15" t="s">
        <v>4016</v>
      </c>
      <c r="D15" t="s">
        <v>3431</v>
      </c>
    </row>
    <row r="16" spans="1:5" ht="15" customHeight="1" x14ac:dyDescent="0.25">
      <c r="A16" t="s">
        <v>4017</v>
      </c>
      <c r="B16" t="s">
        <v>3998</v>
      </c>
      <c r="C16" t="s">
        <v>4018</v>
      </c>
      <c r="D16" t="s">
        <v>2905</v>
      </c>
      <c r="E16" t="s">
        <v>4019</v>
      </c>
    </row>
    <row r="17" spans="1:4" ht="15" customHeight="1" x14ac:dyDescent="0.25">
      <c r="A17" t="s">
        <v>4020</v>
      </c>
      <c r="B17" t="s">
        <v>3111</v>
      </c>
      <c r="C17" t="s">
        <v>4021</v>
      </c>
      <c r="D17" t="s">
        <v>4022</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52</v>
      </c>
      <c r="B1" t="s">
        <v>2899</v>
      </c>
      <c r="C1" t="s">
        <v>53</v>
      </c>
      <c r="D1" t="s">
        <v>4023</v>
      </c>
      <c r="E1" t="s">
        <v>4024</v>
      </c>
      <c r="F1" t="s">
        <v>4025</v>
      </c>
      <c r="G1" t="s">
        <v>4026</v>
      </c>
      <c r="H1" t="s">
        <v>3247</v>
      </c>
      <c r="I1" t="s">
        <v>57</v>
      </c>
      <c r="J1" t="s">
        <v>3795</v>
      </c>
      <c r="K1" t="s">
        <v>4027</v>
      </c>
    </row>
    <row r="2" spans="1:11" ht="15" customHeight="1" x14ac:dyDescent="0.25">
      <c r="A2" t="s">
        <v>4028</v>
      </c>
      <c r="B2" t="s">
        <v>4029</v>
      </c>
      <c r="C2" t="s">
        <v>4030</v>
      </c>
      <c r="D2" t="s">
        <v>70</v>
      </c>
      <c r="E2" t="s">
        <v>2905</v>
      </c>
      <c r="F2" t="s">
        <v>3807</v>
      </c>
      <c r="G2" t="s">
        <v>3802</v>
      </c>
      <c r="H2" t="s">
        <v>3260</v>
      </c>
      <c r="I2" t="s">
        <v>4028</v>
      </c>
      <c r="J2" t="s">
        <v>2971</v>
      </c>
      <c r="K2" t="s">
        <v>2905</v>
      </c>
    </row>
    <row r="3" spans="1:11" ht="15" customHeight="1" x14ac:dyDescent="0.25">
      <c r="A3" t="s">
        <v>2965</v>
      </c>
      <c r="B3" t="s">
        <v>4031</v>
      </c>
      <c r="C3" t="s">
        <v>3045</v>
      </c>
      <c r="D3" t="s">
        <v>3805</v>
      </c>
      <c r="E3" t="s">
        <v>2905</v>
      </c>
      <c r="F3" t="s">
        <v>3807</v>
      </c>
      <c r="G3" t="s">
        <v>3802</v>
      </c>
      <c r="H3" t="s">
        <v>3260</v>
      </c>
      <c r="I3" t="s">
        <v>2965</v>
      </c>
      <c r="J3" t="s">
        <v>2952</v>
      </c>
      <c r="K3" t="s">
        <v>2905</v>
      </c>
    </row>
    <row r="4" spans="1:11" ht="15" customHeight="1" x14ac:dyDescent="0.25">
      <c r="A4" t="s">
        <v>4032</v>
      </c>
      <c r="B4" t="s">
        <v>4033</v>
      </c>
      <c r="C4" t="s">
        <v>4034</v>
      </c>
      <c r="D4" t="s">
        <v>70</v>
      </c>
      <c r="E4" t="s">
        <v>2905</v>
      </c>
      <c r="F4" t="s">
        <v>4035</v>
      </c>
      <c r="G4" t="s">
        <v>3802</v>
      </c>
      <c r="H4" t="s">
        <v>3249</v>
      </c>
      <c r="I4" t="s">
        <v>4032</v>
      </c>
      <c r="J4" t="s">
        <v>2971</v>
      </c>
      <c r="K4" t="s">
        <v>2905</v>
      </c>
    </row>
    <row r="5" spans="1:11" ht="15" customHeight="1" x14ac:dyDescent="0.25">
      <c r="A5" t="s">
        <v>4036</v>
      </c>
      <c r="B5" t="s">
        <v>4037</v>
      </c>
      <c r="C5" t="s">
        <v>4030</v>
      </c>
      <c r="D5" t="s">
        <v>70</v>
      </c>
      <c r="E5" t="s">
        <v>2905</v>
      </c>
      <c r="F5" t="s">
        <v>3807</v>
      </c>
      <c r="G5" t="s">
        <v>3802</v>
      </c>
      <c r="H5" t="s">
        <v>3260</v>
      </c>
      <c r="I5" t="s">
        <v>4038</v>
      </c>
      <c r="J5" t="s">
        <v>2952</v>
      </c>
      <c r="K5" t="s">
        <v>2905</v>
      </c>
    </row>
    <row r="6" spans="1:11" ht="15" customHeight="1" x14ac:dyDescent="0.25">
      <c r="A6" t="s">
        <v>4039</v>
      </c>
      <c r="B6" t="s">
        <v>4040</v>
      </c>
      <c r="C6" t="s">
        <v>4034</v>
      </c>
      <c r="D6" t="s">
        <v>70</v>
      </c>
      <c r="E6" t="s">
        <v>2905</v>
      </c>
      <c r="F6" t="s">
        <v>4041</v>
      </c>
      <c r="G6" t="s">
        <v>3802</v>
      </c>
      <c r="H6" t="s">
        <v>3249</v>
      </c>
      <c r="I6" t="s">
        <v>4039</v>
      </c>
      <c r="J6" t="s">
        <v>2959</v>
      </c>
      <c r="K6" t="s">
        <v>2905</v>
      </c>
    </row>
    <row r="7" spans="1:11" ht="15" customHeight="1" x14ac:dyDescent="0.25">
      <c r="A7" t="s">
        <v>4042</v>
      </c>
      <c r="B7" t="s">
        <v>4043</v>
      </c>
      <c r="C7" t="s">
        <v>4030</v>
      </c>
      <c r="D7" t="s">
        <v>70</v>
      </c>
      <c r="E7" t="s">
        <v>2905</v>
      </c>
      <c r="F7" t="s">
        <v>4041</v>
      </c>
      <c r="G7" t="s">
        <v>3802</v>
      </c>
      <c r="H7" t="s">
        <v>3260</v>
      </c>
      <c r="I7" t="s">
        <v>4042</v>
      </c>
      <c r="J7" t="s">
        <v>2952</v>
      </c>
      <c r="K7" t="s">
        <v>2905</v>
      </c>
    </row>
    <row r="8" spans="1:11" ht="15" customHeight="1" x14ac:dyDescent="0.25">
      <c r="A8" t="s">
        <v>4044</v>
      </c>
      <c r="B8" t="s">
        <v>4045</v>
      </c>
      <c r="C8" t="s">
        <v>4030</v>
      </c>
      <c r="D8" t="s">
        <v>70</v>
      </c>
      <c r="E8" t="s">
        <v>2905</v>
      </c>
      <c r="F8" t="s">
        <v>3807</v>
      </c>
      <c r="G8" t="s">
        <v>3802</v>
      </c>
      <c r="H8" t="s">
        <v>3260</v>
      </c>
      <c r="I8" t="s">
        <v>4044</v>
      </c>
      <c r="J8" t="s">
        <v>2959</v>
      </c>
      <c r="K8" t="s">
        <v>2905</v>
      </c>
    </row>
    <row r="9" spans="1:11" ht="15" customHeight="1" x14ac:dyDescent="0.25">
      <c r="A9" t="s">
        <v>4046</v>
      </c>
      <c r="B9" t="s">
        <v>4047</v>
      </c>
      <c r="C9" t="s">
        <v>4034</v>
      </c>
      <c r="D9" t="s">
        <v>70</v>
      </c>
      <c r="E9" t="s">
        <v>2905</v>
      </c>
      <c r="F9" t="s">
        <v>3807</v>
      </c>
      <c r="G9" t="s">
        <v>3802</v>
      </c>
      <c r="H9" t="s">
        <v>3249</v>
      </c>
      <c r="I9" t="s">
        <v>4046</v>
      </c>
      <c r="J9" t="s">
        <v>2959</v>
      </c>
      <c r="K9" t="s">
        <v>2905</v>
      </c>
    </row>
    <row r="10" spans="1:11" ht="15" customHeight="1" x14ac:dyDescent="0.25">
      <c r="A10" t="s">
        <v>4048</v>
      </c>
      <c r="B10" t="s">
        <v>4049</v>
      </c>
      <c r="C10" t="s">
        <v>4030</v>
      </c>
      <c r="D10" t="s">
        <v>70</v>
      </c>
      <c r="E10" t="s">
        <v>2905</v>
      </c>
      <c r="F10" t="s">
        <v>4050</v>
      </c>
      <c r="G10" t="s">
        <v>3802</v>
      </c>
      <c r="H10" t="s">
        <v>3260</v>
      </c>
      <c r="I10" t="s">
        <v>4048</v>
      </c>
      <c r="J10" t="s">
        <v>2952</v>
      </c>
      <c r="K10" t="s">
        <v>2905</v>
      </c>
    </row>
    <row r="11" spans="1:11" ht="15" customHeight="1" x14ac:dyDescent="0.25">
      <c r="A11" t="s">
        <v>4051</v>
      </c>
      <c r="B11" t="s">
        <v>4052</v>
      </c>
      <c r="C11" t="s">
        <v>4034</v>
      </c>
      <c r="D11" t="s">
        <v>70</v>
      </c>
      <c r="E11" t="s">
        <v>2905</v>
      </c>
      <c r="F11" t="s">
        <v>4041</v>
      </c>
      <c r="G11" t="s">
        <v>3802</v>
      </c>
      <c r="H11" t="s">
        <v>3249</v>
      </c>
      <c r="I11" t="s">
        <v>4051</v>
      </c>
      <c r="J11" t="s">
        <v>2959</v>
      </c>
      <c r="K11" t="s">
        <v>2905</v>
      </c>
    </row>
    <row r="12" spans="1:11" ht="15" customHeight="1" x14ac:dyDescent="0.25">
      <c r="A12" t="s">
        <v>4053</v>
      </c>
      <c r="B12" t="s">
        <v>4054</v>
      </c>
      <c r="C12" t="s">
        <v>4030</v>
      </c>
      <c r="D12" t="s">
        <v>70</v>
      </c>
      <c r="E12" t="s">
        <v>2905</v>
      </c>
      <c r="F12" t="s">
        <v>4055</v>
      </c>
      <c r="G12" t="s">
        <v>4056</v>
      </c>
      <c r="H12" t="s">
        <v>3260</v>
      </c>
      <c r="I12" t="s">
        <v>4053</v>
      </c>
      <c r="J12" t="s">
        <v>2952</v>
      </c>
      <c r="K12" t="s">
        <v>2905</v>
      </c>
    </row>
    <row r="13" spans="1:11" ht="15" customHeight="1" x14ac:dyDescent="0.25">
      <c r="A13" t="s">
        <v>4057</v>
      </c>
      <c r="B13" t="s">
        <v>4058</v>
      </c>
      <c r="C13" t="s">
        <v>4034</v>
      </c>
      <c r="D13" t="s">
        <v>70</v>
      </c>
      <c r="E13" t="s">
        <v>2905</v>
      </c>
      <c r="F13" t="s">
        <v>4055</v>
      </c>
      <c r="G13" t="s">
        <v>4059</v>
      </c>
      <c r="H13" t="s">
        <v>3249</v>
      </c>
      <c r="I13" t="s">
        <v>4057</v>
      </c>
      <c r="J13" t="s">
        <v>2905</v>
      </c>
      <c r="K13" t="s">
        <v>2905</v>
      </c>
    </row>
    <row r="14" spans="1:11" ht="15" customHeight="1" x14ac:dyDescent="0.25">
      <c r="A14" t="s">
        <v>4060</v>
      </c>
      <c r="B14" t="s">
        <v>4061</v>
      </c>
      <c r="C14" t="s">
        <v>4034</v>
      </c>
      <c r="D14" t="s">
        <v>70</v>
      </c>
      <c r="E14" t="s">
        <v>2905</v>
      </c>
      <c r="F14" t="s">
        <v>4041</v>
      </c>
      <c r="G14" t="s">
        <v>4056</v>
      </c>
      <c r="H14" t="s">
        <v>3249</v>
      </c>
      <c r="I14" t="s">
        <v>4060</v>
      </c>
      <c r="J14" t="s">
        <v>2905</v>
      </c>
      <c r="K14" t="s">
        <v>2905</v>
      </c>
    </row>
    <row r="15" spans="1:11" ht="15" customHeight="1" x14ac:dyDescent="0.25">
      <c r="A15" t="s">
        <v>4062</v>
      </c>
      <c r="B15" t="s">
        <v>4063</v>
      </c>
      <c r="C15" t="s">
        <v>4034</v>
      </c>
      <c r="D15" t="s">
        <v>70</v>
      </c>
      <c r="E15" t="s">
        <v>2905</v>
      </c>
      <c r="F15" t="s">
        <v>3807</v>
      </c>
      <c r="G15" t="s">
        <v>4059</v>
      </c>
      <c r="H15" t="s">
        <v>3249</v>
      </c>
      <c r="I15" t="s">
        <v>4064</v>
      </c>
      <c r="J15" t="s">
        <v>2905</v>
      </c>
      <c r="K15" t="s">
        <v>2905</v>
      </c>
    </row>
    <row r="16" spans="1:11" ht="15" customHeight="1" x14ac:dyDescent="0.25">
      <c r="A16" t="s">
        <v>4065</v>
      </c>
      <c r="B16" t="s">
        <v>4066</v>
      </c>
      <c r="C16" t="s">
        <v>3045</v>
      </c>
      <c r="D16" t="s">
        <v>3805</v>
      </c>
      <c r="E16" t="s">
        <v>2905</v>
      </c>
      <c r="F16" t="s">
        <v>3807</v>
      </c>
      <c r="G16" t="s">
        <v>3802</v>
      </c>
      <c r="H16" t="s">
        <v>3260</v>
      </c>
      <c r="I16" t="s">
        <v>4067</v>
      </c>
      <c r="J16" t="s">
        <v>2905</v>
      </c>
      <c r="K16" t="s">
        <v>2905</v>
      </c>
    </row>
    <row r="17" spans="1:11" ht="15" customHeight="1" x14ac:dyDescent="0.25">
      <c r="A17" t="s">
        <v>2964</v>
      </c>
      <c r="B17" t="s">
        <v>4068</v>
      </c>
      <c r="C17" t="s">
        <v>4030</v>
      </c>
      <c r="D17" t="s">
        <v>70</v>
      </c>
      <c r="E17" t="s">
        <v>2905</v>
      </c>
      <c r="F17" t="s">
        <v>3807</v>
      </c>
      <c r="G17" t="s">
        <v>3802</v>
      </c>
      <c r="H17" t="s">
        <v>3260</v>
      </c>
      <c r="I17" t="s">
        <v>2964</v>
      </c>
      <c r="J17" t="s">
        <v>2971</v>
      </c>
      <c r="K17" t="s">
        <v>2905</v>
      </c>
    </row>
    <row r="18" spans="1:11" ht="15" customHeight="1" x14ac:dyDescent="0.25">
      <c r="A18" t="s">
        <v>4069</v>
      </c>
      <c r="B18" t="s">
        <v>4070</v>
      </c>
      <c r="C18" t="s">
        <v>4030</v>
      </c>
      <c r="D18" t="s">
        <v>70</v>
      </c>
      <c r="E18" t="s">
        <v>2905</v>
      </c>
      <c r="F18" t="s">
        <v>4071</v>
      </c>
      <c r="G18" t="s">
        <v>3802</v>
      </c>
      <c r="H18" t="s">
        <v>3260</v>
      </c>
      <c r="I18" t="s">
        <v>4069</v>
      </c>
      <c r="J18" t="s">
        <v>2952</v>
      </c>
      <c r="K18" t="s">
        <v>2905</v>
      </c>
    </row>
    <row r="19" spans="1:11" ht="15" customHeight="1" x14ac:dyDescent="0.25">
      <c r="A19" t="s">
        <v>4072</v>
      </c>
      <c r="B19" t="s">
        <v>4073</v>
      </c>
      <c r="C19" t="s">
        <v>4034</v>
      </c>
      <c r="D19" t="s">
        <v>70</v>
      </c>
      <c r="E19" t="s">
        <v>2905</v>
      </c>
      <c r="F19" t="s">
        <v>3807</v>
      </c>
      <c r="G19" t="s">
        <v>3802</v>
      </c>
      <c r="H19" t="s">
        <v>3249</v>
      </c>
      <c r="I19" t="s">
        <v>4072</v>
      </c>
      <c r="J19" t="s">
        <v>2971</v>
      </c>
      <c r="K19" t="s">
        <v>2905</v>
      </c>
    </row>
    <row r="20" spans="1:11" ht="15" customHeight="1" x14ac:dyDescent="0.25">
      <c r="A20" t="s">
        <v>4074</v>
      </c>
      <c r="B20" t="s">
        <v>4075</v>
      </c>
      <c r="C20" t="s">
        <v>4030</v>
      </c>
      <c r="D20" t="s">
        <v>70</v>
      </c>
      <c r="E20" t="s">
        <v>2905</v>
      </c>
      <c r="F20" t="s">
        <v>4041</v>
      </c>
      <c r="G20" t="s">
        <v>4056</v>
      </c>
      <c r="H20" t="s">
        <v>3260</v>
      </c>
      <c r="I20" t="s">
        <v>4076</v>
      </c>
      <c r="J20" t="s">
        <v>2952</v>
      </c>
      <c r="K20" t="s">
        <v>2905</v>
      </c>
    </row>
    <row r="21" spans="1:11" ht="15" customHeight="1" x14ac:dyDescent="0.25">
      <c r="A21" t="s">
        <v>4077</v>
      </c>
      <c r="B21" t="s">
        <v>4078</v>
      </c>
      <c r="C21" t="s">
        <v>4034</v>
      </c>
      <c r="D21" t="s">
        <v>70</v>
      </c>
      <c r="E21" t="s">
        <v>2905</v>
      </c>
      <c r="F21" t="s">
        <v>4041</v>
      </c>
      <c r="G21" t="s">
        <v>3802</v>
      </c>
      <c r="H21" t="s">
        <v>3249</v>
      </c>
      <c r="I21" t="s">
        <v>4077</v>
      </c>
      <c r="J21" t="s">
        <v>2952</v>
      </c>
      <c r="K21" t="s">
        <v>2905</v>
      </c>
    </row>
    <row r="22" spans="1:11" ht="15" customHeight="1" x14ac:dyDescent="0.25">
      <c r="A22" t="s">
        <v>4079</v>
      </c>
      <c r="B22" t="s">
        <v>4080</v>
      </c>
      <c r="C22" t="s">
        <v>3045</v>
      </c>
      <c r="D22" t="s">
        <v>70</v>
      </c>
      <c r="E22" t="s">
        <v>2905</v>
      </c>
      <c r="F22" t="s">
        <v>3807</v>
      </c>
      <c r="G22" t="s">
        <v>4056</v>
      </c>
      <c r="H22" t="s">
        <v>3260</v>
      </c>
      <c r="I22" t="s">
        <v>4079</v>
      </c>
      <c r="J22" t="s">
        <v>2905</v>
      </c>
      <c r="K22" t="s">
        <v>2905</v>
      </c>
    </row>
    <row r="23" spans="1:11" ht="15" customHeight="1" x14ac:dyDescent="0.25">
      <c r="A23" t="s">
        <v>4081</v>
      </c>
      <c r="B23" t="s">
        <v>4082</v>
      </c>
      <c r="C23" t="s">
        <v>3045</v>
      </c>
      <c r="D23" t="s">
        <v>70</v>
      </c>
      <c r="E23" t="s">
        <v>2905</v>
      </c>
      <c r="F23" t="s">
        <v>3807</v>
      </c>
      <c r="G23" t="s">
        <v>4056</v>
      </c>
      <c r="H23" t="s">
        <v>3260</v>
      </c>
      <c r="I23" t="s">
        <v>4081</v>
      </c>
      <c r="J23" t="s">
        <v>2905</v>
      </c>
      <c r="K23" t="s">
        <v>2905</v>
      </c>
    </row>
    <row r="24" spans="1:11" ht="15" customHeight="1" x14ac:dyDescent="0.25">
      <c r="A24" t="s">
        <v>4083</v>
      </c>
      <c r="B24" t="s">
        <v>4084</v>
      </c>
      <c r="C24" t="s">
        <v>4034</v>
      </c>
      <c r="D24" t="s">
        <v>70</v>
      </c>
      <c r="E24" t="s">
        <v>2905</v>
      </c>
      <c r="F24" t="s">
        <v>4041</v>
      </c>
      <c r="G24" t="s">
        <v>3802</v>
      </c>
      <c r="H24" t="s">
        <v>3249</v>
      </c>
      <c r="I24" t="s">
        <v>4085</v>
      </c>
      <c r="J24" t="s">
        <v>2905</v>
      </c>
      <c r="K24" t="s">
        <v>2905</v>
      </c>
    </row>
    <row r="25" spans="1:11" ht="15" customHeight="1" x14ac:dyDescent="0.25">
      <c r="A25" t="s">
        <v>4086</v>
      </c>
      <c r="B25" t="s">
        <v>4087</v>
      </c>
      <c r="C25" t="s">
        <v>4034</v>
      </c>
      <c r="D25" t="s">
        <v>70</v>
      </c>
      <c r="E25" t="s">
        <v>2905</v>
      </c>
      <c r="F25" t="s">
        <v>4088</v>
      </c>
      <c r="G25" t="s">
        <v>4056</v>
      </c>
      <c r="H25" t="s">
        <v>3249</v>
      </c>
      <c r="I25" t="s">
        <v>4086</v>
      </c>
      <c r="J25" t="s">
        <v>2971</v>
      </c>
      <c r="K25" t="s">
        <v>2905</v>
      </c>
    </row>
    <row r="26" spans="1:11" ht="15" customHeight="1" x14ac:dyDescent="0.25">
      <c r="A26" t="s">
        <v>4089</v>
      </c>
      <c r="B26" t="s">
        <v>4090</v>
      </c>
      <c r="C26" t="s">
        <v>3045</v>
      </c>
      <c r="D26" t="s">
        <v>70</v>
      </c>
      <c r="E26" t="s">
        <v>2905</v>
      </c>
      <c r="F26" t="s">
        <v>3807</v>
      </c>
      <c r="G26" t="s">
        <v>4056</v>
      </c>
      <c r="H26" t="s">
        <v>3260</v>
      </c>
      <c r="I26" t="s">
        <v>4091</v>
      </c>
      <c r="J26" t="s">
        <v>2905</v>
      </c>
      <c r="K26" t="s">
        <v>2905</v>
      </c>
    </row>
    <row r="27" spans="1:11" ht="15" customHeight="1" x14ac:dyDescent="0.25">
      <c r="A27" t="s">
        <v>4092</v>
      </c>
      <c r="B27" t="s">
        <v>4093</v>
      </c>
      <c r="C27" t="s">
        <v>3045</v>
      </c>
      <c r="D27" t="s">
        <v>70</v>
      </c>
      <c r="E27" t="s">
        <v>2905</v>
      </c>
      <c r="F27" t="s">
        <v>3807</v>
      </c>
      <c r="G27" t="s">
        <v>4056</v>
      </c>
      <c r="H27" t="s">
        <v>3260</v>
      </c>
      <c r="I27" t="s">
        <v>4094</v>
      </c>
      <c r="J27" t="s">
        <v>2905</v>
      </c>
      <c r="K27" t="s">
        <v>2905</v>
      </c>
    </row>
    <row r="28" spans="1:11" ht="15" customHeight="1" x14ac:dyDescent="0.25">
      <c r="A28" t="s">
        <v>4095</v>
      </c>
      <c r="B28" t="s">
        <v>4096</v>
      </c>
      <c r="C28" t="s">
        <v>4030</v>
      </c>
      <c r="D28" t="s">
        <v>70</v>
      </c>
      <c r="E28" t="s">
        <v>2905</v>
      </c>
      <c r="F28" t="s">
        <v>4055</v>
      </c>
      <c r="G28" t="s">
        <v>3802</v>
      </c>
      <c r="H28" t="s">
        <v>3260</v>
      </c>
      <c r="I28" t="s">
        <v>4097</v>
      </c>
      <c r="J28" t="s">
        <v>2971</v>
      </c>
      <c r="K28" t="s">
        <v>2905</v>
      </c>
    </row>
    <row r="29" spans="1:11" ht="15" customHeight="1" x14ac:dyDescent="0.25">
      <c r="A29" t="s">
        <v>4098</v>
      </c>
      <c r="B29" t="s">
        <v>4099</v>
      </c>
      <c r="C29" t="s">
        <v>3045</v>
      </c>
      <c r="D29" t="s">
        <v>3805</v>
      </c>
      <c r="E29" t="s">
        <v>2905</v>
      </c>
      <c r="F29" t="s">
        <v>4100</v>
      </c>
      <c r="G29" t="s">
        <v>4059</v>
      </c>
      <c r="H29" t="s">
        <v>3249</v>
      </c>
      <c r="I29" t="s">
        <v>4098</v>
      </c>
      <c r="J29" t="s">
        <v>2905</v>
      </c>
      <c r="K29" t="s">
        <v>2905</v>
      </c>
    </row>
    <row r="30" spans="1:11" ht="15" customHeight="1" x14ac:dyDescent="0.25">
      <c r="A30" t="s">
        <v>4101</v>
      </c>
      <c r="B30" t="s">
        <v>4102</v>
      </c>
      <c r="C30" t="s">
        <v>3045</v>
      </c>
      <c r="D30" t="s">
        <v>3805</v>
      </c>
      <c r="E30" t="s">
        <v>2905</v>
      </c>
      <c r="F30" t="s">
        <v>3807</v>
      </c>
      <c r="G30" t="s">
        <v>4059</v>
      </c>
      <c r="H30" t="s">
        <v>3268</v>
      </c>
      <c r="I30" t="s">
        <v>4101</v>
      </c>
      <c r="J30" t="s">
        <v>2905</v>
      </c>
      <c r="K30" t="s">
        <v>2905</v>
      </c>
    </row>
    <row r="31" spans="1:11" ht="15" customHeight="1" x14ac:dyDescent="0.25">
      <c r="A31" t="s">
        <v>4103</v>
      </c>
      <c r="B31" t="s">
        <v>4104</v>
      </c>
      <c r="C31" t="s">
        <v>4034</v>
      </c>
      <c r="D31" t="s">
        <v>70</v>
      </c>
      <c r="E31" t="s">
        <v>2905</v>
      </c>
      <c r="F31" t="s">
        <v>4041</v>
      </c>
      <c r="G31" t="s">
        <v>4056</v>
      </c>
      <c r="H31" t="s">
        <v>3249</v>
      </c>
      <c r="I31" t="s">
        <v>4103</v>
      </c>
      <c r="J31" t="s">
        <v>2959</v>
      </c>
      <c r="K31" t="s">
        <v>2905</v>
      </c>
    </row>
    <row r="32" spans="1:11" ht="15" customHeight="1" x14ac:dyDescent="0.25">
      <c r="A32" t="s">
        <v>4105</v>
      </c>
      <c r="B32" t="s">
        <v>4106</v>
      </c>
      <c r="C32" t="s">
        <v>4030</v>
      </c>
      <c r="D32" t="s">
        <v>70</v>
      </c>
      <c r="E32" t="s">
        <v>2905</v>
      </c>
      <c r="F32" t="s">
        <v>4041</v>
      </c>
      <c r="G32" t="s">
        <v>3802</v>
      </c>
      <c r="H32" t="s">
        <v>3260</v>
      </c>
      <c r="I32" t="s">
        <v>4105</v>
      </c>
      <c r="J32" t="s">
        <v>2952</v>
      </c>
      <c r="K32" t="s">
        <v>2905</v>
      </c>
    </row>
    <row r="33" spans="1:11" ht="15" customHeight="1" x14ac:dyDescent="0.25">
      <c r="A33" t="s">
        <v>4107</v>
      </c>
      <c r="B33" t="s">
        <v>4108</v>
      </c>
      <c r="C33" t="s">
        <v>4034</v>
      </c>
      <c r="D33" t="s">
        <v>70</v>
      </c>
      <c r="E33" t="s">
        <v>2905</v>
      </c>
      <c r="F33" t="s">
        <v>3807</v>
      </c>
      <c r="G33" t="s">
        <v>3802</v>
      </c>
      <c r="H33" t="s">
        <v>3249</v>
      </c>
      <c r="I33" t="s">
        <v>4107</v>
      </c>
      <c r="J33" t="s">
        <v>2971</v>
      </c>
      <c r="K33" t="s">
        <v>2905</v>
      </c>
    </row>
    <row r="34" spans="1:11" ht="15" customHeight="1" x14ac:dyDescent="0.25">
      <c r="A34" t="s">
        <v>4109</v>
      </c>
      <c r="B34" t="s">
        <v>4110</v>
      </c>
      <c r="C34" t="s">
        <v>3045</v>
      </c>
      <c r="D34" t="s">
        <v>3805</v>
      </c>
      <c r="E34" t="s">
        <v>2905</v>
      </c>
      <c r="F34" t="s">
        <v>3807</v>
      </c>
      <c r="G34" t="s">
        <v>4059</v>
      </c>
      <c r="H34" t="s">
        <v>3260</v>
      </c>
      <c r="I34" t="s">
        <v>4111</v>
      </c>
      <c r="J34" t="s">
        <v>2905</v>
      </c>
      <c r="K34" t="s">
        <v>2905</v>
      </c>
    </row>
    <row r="35" spans="1:11" ht="15" customHeight="1" x14ac:dyDescent="0.25">
      <c r="A35" t="s">
        <v>4112</v>
      </c>
      <c r="B35" t="s">
        <v>4113</v>
      </c>
      <c r="C35" t="s">
        <v>4030</v>
      </c>
      <c r="D35" t="s">
        <v>4114</v>
      </c>
      <c r="E35" t="s">
        <v>2905</v>
      </c>
      <c r="F35" t="s">
        <v>4115</v>
      </c>
      <c r="G35" t="s">
        <v>4056</v>
      </c>
      <c r="H35" t="s">
        <v>3260</v>
      </c>
      <c r="I35" t="s">
        <v>4116</v>
      </c>
      <c r="J35" t="s">
        <v>2959</v>
      </c>
      <c r="K35" t="s">
        <v>2905</v>
      </c>
    </row>
    <row r="36" spans="1:11" ht="15" customHeight="1" x14ac:dyDescent="0.25">
      <c r="A36" t="s">
        <v>4117</v>
      </c>
      <c r="B36" t="s">
        <v>4118</v>
      </c>
      <c r="C36" t="s">
        <v>4030</v>
      </c>
      <c r="D36" t="s">
        <v>4114</v>
      </c>
      <c r="E36" t="s">
        <v>2905</v>
      </c>
      <c r="F36" t="s">
        <v>4115</v>
      </c>
      <c r="G36" t="s">
        <v>4056</v>
      </c>
      <c r="H36" t="s">
        <v>3260</v>
      </c>
      <c r="I36" t="s">
        <v>4119</v>
      </c>
      <c r="J36" t="s">
        <v>2952</v>
      </c>
      <c r="K36" t="s">
        <v>2905</v>
      </c>
    </row>
    <row r="37" spans="1:11" ht="15" customHeight="1" x14ac:dyDescent="0.25">
      <c r="A37" t="s">
        <v>4120</v>
      </c>
      <c r="B37" t="s">
        <v>4121</v>
      </c>
      <c r="C37" t="s">
        <v>4030</v>
      </c>
      <c r="D37" t="s">
        <v>4114</v>
      </c>
      <c r="E37" t="s">
        <v>2905</v>
      </c>
      <c r="F37" t="s">
        <v>4115</v>
      </c>
      <c r="G37" t="s">
        <v>4056</v>
      </c>
      <c r="H37" t="s">
        <v>3260</v>
      </c>
      <c r="I37" t="s">
        <v>4122</v>
      </c>
      <c r="J37" t="s">
        <v>2952</v>
      </c>
      <c r="K37" t="s">
        <v>2905</v>
      </c>
    </row>
    <row r="38" spans="1:11" ht="15" customHeight="1" x14ac:dyDescent="0.25">
      <c r="A38" t="s">
        <v>4123</v>
      </c>
      <c r="B38" t="s">
        <v>4124</v>
      </c>
      <c r="C38" t="s">
        <v>4034</v>
      </c>
      <c r="D38" t="s">
        <v>3805</v>
      </c>
      <c r="E38" t="s">
        <v>2905</v>
      </c>
      <c r="F38" t="s">
        <v>4041</v>
      </c>
      <c r="G38" t="s">
        <v>4056</v>
      </c>
      <c r="H38" t="s">
        <v>3249</v>
      </c>
      <c r="I38" t="s">
        <v>4125</v>
      </c>
      <c r="J38" t="s">
        <v>2905</v>
      </c>
      <c r="K38" t="s">
        <v>2905</v>
      </c>
    </row>
    <row r="39" spans="1:11" ht="15" customHeight="1" x14ac:dyDescent="0.25">
      <c r="A39" t="s">
        <v>4126</v>
      </c>
      <c r="B39" t="s">
        <v>4127</v>
      </c>
      <c r="C39" t="s">
        <v>4034</v>
      </c>
      <c r="D39" t="s">
        <v>70</v>
      </c>
      <c r="E39" t="s">
        <v>2905</v>
      </c>
      <c r="F39" t="s">
        <v>4041</v>
      </c>
      <c r="G39" t="s">
        <v>3802</v>
      </c>
      <c r="H39" t="s">
        <v>3249</v>
      </c>
      <c r="I39" t="s">
        <v>4126</v>
      </c>
      <c r="J39" t="s">
        <v>2905</v>
      </c>
      <c r="K39" t="s">
        <v>2905</v>
      </c>
    </row>
    <row r="40" spans="1:11" ht="15" customHeight="1" x14ac:dyDescent="0.25">
      <c r="A40" t="s">
        <v>4128</v>
      </c>
      <c r="B40" t="s">
        <v>4129</v>
      </c>
      <c r="C40" t="s">
        <v>4030</v>
      </c>
      <c r="D40" t="s">
        <v>70</v>
      </c>
      <c r="E40" t="s">
        <v>2905</v>
      </c>
      <c r="F40" t="s">
        <v>3807</v>
      </c>
      <c r="G40" t="s">
        <v>3802</v>
      </c>
      <c r="H40" t="s">
        <v>3260</v>
      </c>
      <c r="I40" t="s">
        <v>4128</v>
      </c>
      <c r="J40" t="s">
        <v>2952</v>
      </c>
      <c r="K40" t="s">
        <v>2905</v>
      </c>
    </row>
    <row r="41" spans="1:11" ht="15" customHeight="1" x14ac:dyDescent="0.25">
      <c r="A41" t="s">
        <v>4130</v>
      </c>
      <c r="B41" t="s">
        <v>4131</v>
      </c>
      <c r="C41" t="s">
        <v>3045</v>
      </c>
      <c r="D41" t="s">
        <v>3805</v>
      </c>
      <c r="E41" t="s">
        <v>2905</v>
      </c>
      <c r="F41" t="s">
        <v>3807</v>
      </c>
      <c r="G41" t="s">
        <v>4059</v>
      </c>
      <c r="H41" t="s">
        <v>3268</v>
      </c>
      <c r="I41" t="s">
        <v>4132</v>
      </c>
      <c r="J41" t="s">
        <v>2905</v>
      </c>
      <c r="K41" t="s">
        <v>2905</v>
      </c>
    </row>
    <row r="42" spans="1:11" ht="15" customHeight="1" x14ac:dyDescent="0.25">
      <c r="A42" t="s">
        <v>4133</v>
      </c>
      <c r="B42" t="s">
        <v>4134</v>
      </c>
      <c r="C42" t="s">
        <v>4030</v>
      </c>
      <c r="D42" t="s">
        <v>70</v>
      </c>
      <c r="E42" t="s">
        <v>2905</v>
      </c>
      <c r="F42" t="s">
        <v>4135</v>
      </c>
      <c r="G42" t="s">
        <v>3802</v>
      </c>
      <c r="H42" t="s">
        <v>3260</v>
      </c>
      <c r="I42" t="s">
        <v>4136</v>
      </c>
      <c r="J42" t="s">
        <v>2971</v>
      </c>
      <c r="K42" t="s">
        <v>2905</v>
      </c>
    </row>
    <row r="43" spans="1:11" ht="15" customHeight="1" x14ac:dyDescent="0.25">
      <c r="A43" t="s">
        <v>4137</v>
      </c>
      <c r="B43" t="s">
        <v>4138</v>
      </c>
      <c r="C43" t="s">
        <v>4034</v>
      </c>
      <c r="D43" t="s">
        <v>70</v>
      </c>
      <c r="E43" t="s">
        <v>2905</v>
      </c>
      <c r="F43" t="s">
        <v>4139</v>
      </c>
      <c r="G43" t="s">
        <v>3802</v>
      </c>
      <c r="H43" t="s">
        <v>3249</v>
      </c>
      <c r="I43" t="s">
        <v>4137</v>
      </c>
      <c r="J43" t="s">
        <v>2959</v>
      </c>
      <c r="K43" t="s">
        <v>2905</v>
      </c>
    </row>
    <row r="44" spans="1:11" ht="15" customHeight="1" x14ac:dyDescent="0.25">
      <c r="A44" t="s">
        <v>3453</v>
      </c>
      <c r="B44" t="s">
        <v>4140</v>
      </c>
      <c r="C44" t="s">
        <v>4030</v>
      </c>
      <c r="D44" t="s">
        <v>70</v>
      </c>
      <c r="E44" t="s">
        <v>2905</v>
      </c>
      <c r="F44" t="s">
        <v>3807</v>
      </c>
      <c r="G44" t="s">
        <v>3802</v>
      </c>
      <c r="H44" t="s">
        <v>3260</v>
      </c>
      <c r="I44" t="s">
        <v>3453</v>
      </c>
      <c r="J44" t="s">
        <v>2971</v>
      </c>
      <c r="K44" t="s">
        <v>2905</v>
      </c>
    </row>
    <row r="45" spans="1:11" ht="15" customHeight="1" x14ac:dyDescent="0.25">
      <c r="A45" t="s">
        <v>4141</v>
      </c>
      <c r="B45" t="s">
        <v>4142</v>
      </c>
      <c r="C45" t="s">
        <v>4030</v>
      </c>
      <c r="D45" t="s">
        <v>70</v>
      </c>
      <c r="E45" t="s">
        <v>2905</v>
      </c>
      <c r="F45" t="s">
        <v>4041</v>
      </c>
      <c r="G45" t="s">
        <v>3802</v>
      </c>
      <c r="H45" t="s">
        <v>3260</v>
      </c>
      <c r="I45" t="s">
        <v>4141</v>
      </c>
      <c r="J45" t="s">
        <v>2971</v>
      </c>
      <c r="K45" t="s">
        <v>2905</v>
      </c>
    </row>
    <row r="46" spans="1:11" ht="15" customHeight="1" x14ac:dyDescent="0.25">
      <c r="A46" t="s">
        <v>4143</v>
      </c>
      <c r="B46" t="s">
        <v>4144</v>
      </c>
      <c r="C46" t="s">
        <v>3045</v>
      </c>
      <c r="D46" t="s">
        <v>3805</v>
      </c>
      <c r="E46" t="s">
        <v>2905</v>
      </c>
      <c r="F46" t="s">
        <v>3807</v>
      </c>
      <c r="G46" t="s">
        <v>4059</v>
      </c>
      <c r="H46" t="s">
        <v>3268</v>
      </c>
      <c r="I46" t="s">
        <v>4143</v>
      </c>
      <c r="J46" t="s">
        <v>2905</v>
      </c>
      <c r="K46" t="s">
        <v>2905</v>
      </c>
    </row>
    <row r="47" spans="1:11" ht="15" customHeight="1" x14ac:dyDescent="0.25">
      <c r="A47" t="s">
        <v>4145</v>
      </c>
      <c r="B47" t="s">
        <v>4146</v>
      </c>
      <c r="C47" t="s">
        <v>4030</v>
      </c>
      <c r="D47" t="s">
        <v>70</v>
      </c>
      <c r="E47" t="s">
        <v>2905</v>
      </c>
      <c r="F47" t="s">
        <v>3807</v>
      </c>
      <c r="G47" t="s">
        <v>3802</v>
      </c>
      <c r="H47" t="s">
        <v>3260</v>
      </c>
      <c r="I47" t="s">
        <v>4145</v>
      </c>
      <c r="J47" t="s">
        <v>2952</v>
      </c>
      <c r="K47" t="s">
        <v>2905</v>
      </c>
    </row>
    <row r="48" spans="1:11" ht="15" customHeight="1" x14ac:dyDescent="0.25">
      <c r="A48" t="s">
        <v>4147</v>
      </c>
      <c r="B48" t="s">
        <v>4148</v>
      </c>
      <c r="C48" t="s">
        <v>4034</v>
      </c>
      <c r="D48" t="s">
        <v>70</v>
      </c>
      <c r="E48" t="s">
        <v>2905</v>
      </c>
      <c r="F48" t="s">
        <v>4149</v>
      </c>
      <c r="G48" t="s">
        <v>3802</v>
      </c>
      <c r="H48" t="s">
        <v>3249</v>
      </c>
      <c r="I48" t="s">
        <v>4147</v>
      </c>
      <c r="J48" t="s">
        <v>2905</v>
      </c>
      <c r="K48" t="s">
        <v>2905</v>
      </c>
    </row>
    <row r="49" spans="1:11" ht="15" customHeight="1" x14ac:dyDescent="0.25">
      <c r="A49" t="s">
        <v>4150</v>
      </c>
      <c r="B49" t="s">
        <v>4151</v>
      </c>
      <c r="C49" t="s">
        <v>3045</v>
      </c>
      <c r="D49" t="s">
        <v>3805</v>
      </c>
      <c r="E49" t="s">
        <v>2905</v>
      </c>
      <c r="F49" t="s">
        <v>3807</v>
      </c>
      <c r="G49" t="s">
        <v>4059</v>
      </c>
      <c r="H49" t="s">
        <v>3268</v>
      </c>
      <c r="I49" t="s">
        <v>4150</v>
      </c>
      <c r="J49" t="s">
        <v>2905</v>
      </c>
      <c r="K49" t="s">
        <v>2905</v>
      </c>
    </row>
    <row r="50" spans="1:11" ht="15" customHeight="1" x14ac:dyDescent="0.25">
      <c r="A50" t="s">
        <v>4152</v>
      </c>
      <c r="B50" t="s">
        <v>4153</v>
      </c>
      <c r="C50" t="s">
        <v>4030</v>
      </c>
      <c r="D50" t="s">
        <v>70</v>
      </c>
      <c r="E50" t="s">
        <v>2905</v>
      </c>
      <c r="F50" t="s">
        <v>4115</v>
      </c>
      <c r="G50" t="s">
        <v>3802</v>
      </c>
      <c r="H50" t="s">
        <v>3260</v>
      </c>
      <c r="I50" t="s">
        <v>4152</v>
      </c>
      <c r="J50" t="s">
        <v>2905</v>
      </c>
      <c r="K50" t="s">
        <v>2905</v>
      </c>
    </row>
    <row r="51" spans="1:11" ht="15" customHeight="1" x14ac:dyDescent="0.25">
      <c r="A51" t="s">
        <v>4154</v>
      </c>
      <c r="B51" t="s">
        <v>4155</v>
      </c>
      <c r="C51" t="s">
        <v>4034</v>
      </c>
      <c r="D51" t="s">
        <v>3805</v>
      </c>
      <c r="E51" t="s">
        <v>2905</v>
      </c>
      <c r="F51" t="s">
        <v>3807</v>
      </c>
      <c r="G51" t="s">
        <v>3802</v>
      </c>
      <c r="H51" t="s">
        <v>3249</v>
      </c>
      <c r="I51" t="s">
        <v>4154</v>
      </c>
      <c r="J51" t="s">
        <v>2905</v>
      </c>
      <c r="K51" t="s">
        <v>2905</v>
      </c>
    </row>
    <row r="52" spans="1:11" ht="15" customHeight="1" x14ac:dyDescent="0.25">
      <c r="A52" t="s">
        <v>4156</v>
      </c>
      <c r="B52" t="s">
        <v>4157</v>
      </c>
      <c r="C52" t="s">
        <v>4034</v>
      </c>
      <c r="D52" t="s">
        <v>3805</v>
      </c>
      <c r="E52" t="s">
        <v>2905</v>
      </c>
      <c r="F52" t="s">
        <v>3807</v>
      </c>
      <c r="G52" t="s">
        <v>3802</v>
      </c>
      <c r="H52" t="s">
        <v>3249</v>
      </c>
      <c r="I52" t="s">
        <v>4158</v>
      </c>
      <c r="J52" t="s">
        <v>2952</v>
      </c>
      <c r="K52" t="s">
        <v>2905</v>
      </c>
    </row>
    <row r="53" spans="1:11" ht="15" customHeight="1" x14ac:dyDescent="0.25">
      <c r="A53" t="s">
        <v>4159</v>
      </c>
      <c r="B53" t="s">
        <v>4160</v>
      </c>
      <c r="C53" t="s">
        <v>3045</v>
      </c>
      <c r="D53" t="s">
        <v>3805</v>
      </c>
      <c r="E53" t="s">
        <v>2905</v>
      </c>
      <c r="F53" t="s">
        <v>3807</v>
      </c>
      <c r="G53" t="s">
        <v>4059</v>
      </c>
      <c r="H53" t="s">
        <v>3260</v>
      </c>
      <c r="I53" t="s">
        <v>4159</v>
      </c>
      <c r="J53" t="s">
        <v>2905</v>
      </c>
      <c r="K53" t="s">
        <v>2905</v>
      </c>
    </row>
    <row r="54" spans="1:11" ht="15" customHeight="1" x14ac:dyDescent="0.25">
      <c r="A54" t="s">
        <v>4161</v>
      </c>
      <c r="B54" t="s">
        <v>4162</v>
      </c>
      <c r="C54" t="s">
        <v>3045</v>
      </c>
      <c r="D54" t="s">
        <v>3805</v>
      </c>
      <c r="E54" t="s">
        <v>2905</v>
      </c>
      <c r="F54" t="s">
        <v>3807</v>
      </c>
      <c r="G54" t="s">
        <v>4059</v>
      </c>
      <c r="H54" t="s">
        <v>3249</v>
      </c>
      <c r="I54" t="s">
        <v>4163</v>
      </c>
      <c r="J54" t="s">
        <v>2905</v>
      </c>
      <c r="K54" t="s">
        <v>2905</v>
      </c>
    </row>
    <row r="55" spans="1:11" ht="15" customHeight="1" x14ac:dyDescent="0.25">
      <c r="A55" t="s">
        <v>4163</v>
      </c>
      <c r="B55" t="s">
        <v>4164</v>
      </c>
      <c r="C55" t="s">
        <v>4034</v>
      </c>
      <c r="D55" t="s">
        <v>3805</v>
      </c>
      <c r="E55">
        <v>1</v>
      </c>
      <c r="F55" t="s">
        <v>4041</v>
      </c>
      <c r="G55" t="s">
        <v>4059</v>
      </c>
      <c r="H55" t="s">
        <v>3249</v>
      </c>
      <c r="I55" t="s">
        <v>4163</v>
      </c>
      <c r="J55" t="s">
        <v>2905</v>
      </c>
      <c r="K55" t="s">
        <v>2905</v>
      </c>
    </row>
    <row r="56" spans="1:11" ht="15" customHeight="1" x14ac:dyDescent="0.25">
      <c r="A56" t="s">
        <v>4165</v>
      </c>
      <c r="B56" t="s">
        <v>4166</v>
      </c>
      <c r="C56" t="s">
        <v>4030</v>
      </c>
      <c r="D56" t="s">
        <v>70</v>
      </c>
      <c r="E56" t="s">
        <v>2905</v>
      </c>
      <c r="F56" t="s">
        <v>3807</v>
      </c>
      <c r="G56" t="s">
        <v>3802</v>
      </c>
      <c r="H56" t="s">
        <v>3260</v>
      </c>
      <c r="I56" t="s">
        <v>4165</v>
      </c>
      <c r="J56" t="s">
        <v>2971</v>
      </c>
      <c r="K56" t="s">
        <v>2905</v>
      </c>
    </row>
    <row r="57" spans="1:11" ht="15" customHeight="1" x14ac:dyDescent="0.25">
      <c r="A57" t="s">
        <v>4167</v>
      </c>
      <c r="B57" t="s">
        <v>4168</v>
      </c>
      <c r="C57" t="s">
        <v>4169</v>
      </c>
      <c r="D57" t="s">
        <v>3805</v>
      </c>
      <c r="E57" t="s">
        <v>2905</v>
      </c>
      <c r="F57" t="s">
        <v>3807</v>
      </c>
      <c r="G57" t="s">
        <v>4059</v>
      </c>
      <c r="H57" t="s">
        <v>3268</v>
      </c>
      <c r="I57" t="s">
        <v>4167</v>
      </c>
      <c r="J57" t="s">
        <v>2905</v>
      </c>
      <c r="K57" t="s">
        <v>2905</v>
      </c>
    </row>
    <row r="58" spans="1:11" ht="15" customHeight="1" x14ac:dyDescent="0.25">
      <c r="A58" t="s">
        <v>4170</v>
      </c>
      <c r="B58" t="s">
        <v>4171</v>
      </c>
      <c r="C58" t="s">
        <v>4034</v>
      </c>
      <c r="D58" t="s">
        <v>70</v>
      </c>
      <c r="E58" t="s">
        <v>2905</v>
      </c>
      <c r="F58" t="s">
        <v>4041</v>
      </c>
      <c r="G58" t="s">
        <v>3802</v>
      </c>
      <c r="H58" t="s">
        <v>3249</v>
      </c>
      <c r="I58" t="s">
        <v>4170</v>
      </c>
      <c r="J58" t="s">
        <v>2959</v>
      </c>
      <c r="K58" t="s">
        <v>2905</v>
      </c>
    </row>
    <row r="59" spans="1:11" ht="15" customHeight="1" x14ac:dyDescent="0.25">
      <c r="A59" t="s">
        <v>4172</v>
      </c>
      <c r="B59" t="s">
        <v>4173</v>
      </c>
      <c r="C59" t="s">
        <v>4034</v>
      </c>
      <c r="D59" t="s">
        <v>70</v>
      </c>
      <c r="E59" t="s">
        <v>2905</v>
      </c>
      <c r="F59" t="s">
        <v>4041</v>
      </c>
      <c r="G59" t="s">
        <v>3802</v>
      </c>
      <c r="H59" t="s">
        <v>3249</v>
      </c>
      <c r="I59" t="s">
        <v>4172</v>
      </c>
      <c r="J59" t="s">
        <v>2959</v>
      </c>
      <c r="K59" t="s">
        <v>2905</v>
      </c>
    </row>
    <row r="60" spans="1:11" ht="15" customHeight="1" x14ac:dyDescent="0.25">
      <c r="A60" t="s">
        <v>4174</v>
      </c>
      <c r="B60" t="s">
        <v>4175</v>
      </c>
      <c r="C60" t="s">
        <v>3045</v>
      </c>
      <c r="D60" t="s">
        <v>70</v>
      </c>
      <c r="E60" t="s">
        <v>2905</v>
      </c>
      <c r="F60" t="s">
        <v>4055</v>
      </c>
      <c r="G60" t="s">
        <v>4056</v>
      </c>
      <c r="H60" t="s">
        <v>3260</v>
      </c>
      <c r="I60" t="s">
        <v>4176</v>
      </c>
      <c r="J60" t="s">
        <v>2905</v>
      </c>
      <c r="K60" t="s">
        <v>2905</v>
      </c>
    </row>
    <row r="61" spans="1:11" ht="15" customHeight="1" x14ac:dyDescent="0.25">
      <c r="A61" t="s">
        <v>4177</v>
      </c>
      <c r="B61" t="s">
        <v>4178</v>
      </c>
      <c r="C61" t="s">
        <v>3045</v>
      </c>
      <c r="D61" t="s">
        <v>70</v>
      </c>
      <c r="E61" t="s">
        <v>2905</v>
      </c>
      <c r="F61" t="s">
        <v>4041</v>
      </c>
      <c r="G61" t="s">
        <v>3802</v>
      </c>
      <c r="H61" t="s">
        <v>3268</v>
      </c>
      <c r="I61" t="s">
        <v>4177</v>
      </c>
      <c r="J61" t="s">
        <v>2905</v>
      </c>
      <c r="K61" t="s">
        <v>2905</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52</v>
      </c>
      <c r="B1" t="s">
        <v>2899</v>
      </c>
      <c r="C1" t="s">
        <v>2947</v>
      </c>
      <c r="D1" t="s">
        <v>53</v>
      </c>
      <c r="E1" t="s">
        <v>4023</v>
      </c>
      <c r="F1" t="s">
        <v>4024</v>
      </c>
      <c r="G1" t="s">
        <v>4025</v>
      </c>
      <c r="H1" t="s">
        <v>4026</v>
      </c>
      <c r="I1" t="s">
        <v>3247</v>
      </c>
      <c r="J1" t="s">
        <v>4179</v>
      </c>
      <c r="K1" t="s">
        <v>3795</v>
      </c>
      <c r="L1" t="s">
        <v>4180</v>
      </c>
      <c r="M1" t="s">
        <v>4181</v>
      </c>
    </row>
    <row r="2" spans="1:13" ht="15" customHeight="1" x14ac:dyDescent="0.25">
      <c r="A2" t="s">
        <v>4028</v>
      </c>
      <c r="B2" t="s">
        <v>4029</v>
      </c>
      <c r="C2" t="s">
        <v>4182</v>
      </c>
      <c r="D2" t="s">
        <v>4030</v>
      </c>
      <c r="E2" t="s">
        <v>70</v>
      </c>
      <c r="F2" t="s">
        <v>2905</v>
      </c>
      <c r="G2" t="s">
        <v>3807</v>
      </c>
      <c r="H2" t="s">
        <v>3802</v>
      </c>
      <c r="I2" t="s">
        <v>3260</v>
      </c>
      <c r="J2" t="s">
        <v>4028</v>
      </c>
      <c r="K2" t="s">
        <v>2971</v>
      </c>
      <c r="L2" t="s">
        <v>70</v>
      </c>
      <c r="M2" t="s">
        <v>2905</v>
      </c>
    </row>
    <row r="3" spans="1:13" ht="15" customHeight="1" x14ac:dyDescent="0.25">
      <c r="A3" t="s">
        <v>4032</v>
      </c>
      <c r="B3" t="s">
        <v>4183</v>
      </c>
      <c r="C3" t="s">
        <v>4184</v>
      </c>
      <c r="D3" t="s">
        <v>4034</v>
      </c>
      <c r="E3" t="s">
        <v>70</v>
      </c>
      <c r="F3" t="s">
        <v>2905</v>
      </c>
      <c r="G3" t="s">
        <v>4185</v>
      </c>
      <c r="H3" t="s">
        <v>3802</v>
      </c>
      <c r="I3" t="s">
        <v>3249</v>
      </c>
      <c r="J3" t="s">
        <v>4032</v>
      </c>
      <c r="K3" t="s">
        <v>2971</v>
      </c>
      <c r="L3" t="s">
        <v>3805</v>
      </c>
      <c r="M3" t="s">
        <v>4186</v>
      </c>
    </row>
    <row r="4" spans="1:13" ht="15" customHeight="1" x14ac:dyDescent="0.25">
      <c r="A4" t="s">
        <v>4036</v>
      </c>
      <c r="B4" t="s">
        <v>4187</v>
      </c>
      <c r="C4" t="s">
        <v>4188</v>
      </c>
      <c r="D4" t="s">
        <v>4030</v>
      </c>
      <c r="E4" t="s">
        <v>70</v>
      </c>
      <c r="F4" t="s">
        <v>2905</v>
      </c>
      <c r="G4" t="s">
        <v>3807</v>
      </c>
      <c r="H4" t="s">
        <v>3802</v>
      </c>
      <c r="I4" t="s">
        <v>3260</v>
      </c>
      <c r="J4" t="s">
        <v>4038</v>
      </c>
      <c r="K4" t="s">
        <v>2952</v>
      </c>
      <c r="L4" t="s">
        <v>70</v>
      </c>
      <c r="M4" t="s">
        <v>2905</v>
      </c>
    </row>
    <row r="5" spans="1:13" ht="15" customHeight="1" x14ac:dyDescent="0.25">
      <c r="A5" s="5" t="s">
        <v>4039</v>
      </c>
      <c r="B5" s="5" t="s">
        <v>4189</v>
      </c>
      <c r="C5" s="5" t="s">
        <v>4190</v>
      </c>
      <c r="D5" s="5" t="s">
        <v>4034</v>
      </c>
      <c r="E5" s="5" t="s">
        <v>70</v>
      </c>
      <c r="F5" s="5" t="s">
        <v>2905</v>
      </c>
      <c r="G5" s="5" t="s">
        <v>4041</v>
      </c>
      <c r="H5" s="5" t="s">
        <v>3802</v>
      </c>
      <c r="I5" s="5" t="s">
        <v>3249</v>
      </c>
      <c r="J5" s="5" t="s">
        <v>4039</v>
      </c>
      <c r="K5" s="5" t="s">
        <v>2959</v>
      </c>
      <c r="L5" t="s">
        <v>70</v>
      </c>
      <c r="M5" t="s">
        <v>2905</v>
      </c>
    </row>
    <row r="6" spans="1:13" ht="15" customHeight="1" x14ac:dyDescent="0.25">
      <c r="A6" t="s">
        <v>4046</v>
      </c>
      <c r="B6" t="s">
        <v>4191</v>
      </c>
      <c r="C6" t="s">
        <v>4192</v>
      </c>
      <c r="D6" t="s">
        <v>4034</v>
      </c>
      <c r="E6" t="s">
        <v>70</v>
      </c>
      <c r="F6" t="s">
        <v>2905</v>
      </c>
      <c r="G6" t="s">
        <v>3807</v>
      </c>
      <c r="H6" t="s">
        <v>3802</v>
      </c>
      <c r="I6" t="s">
        <v>3249</v>
      </c>
      <c r="J6" t="s">
        <v>4046</v>
      </c>
      <c r="K6" t="s">
        <v>2959</v>
      </c>
      <c r="L6" t="s">
        <v>70</v>
      </c>
      <c r="M6" t="s">
        <v>2905</v>
      </c>
    </row>
    <row r="7" spans="1:13" ht="15" customHeight="1" x14ac:dyDescent="0.25">
      <c r="A7" s="6" t="s">
        <v>4048</v>
      </c>
      <c r="B7" s="7" t="s">
        <v>4049</v>
      </c>
      <c r="C7" s="7" t="s">
        <v>4193</v>
      </c>
      <c r="D7" s="7" t="s">
        <v>4030</v>
      </c>
      <c r="E7" s="7" t="s">
        <v>70</v>
      </c>
      <c r="F7" s="7" t="s">
        <v>2905</v>
      </c>
      <c r="G7" s="8" t="s">
        <v>4071</v>
      </c>
      <c r="H7" s="7" t="s">
        <v>3802</v>
      </c>
      <c r="I7" s="7" t="s">
        <v>3260</v>
      </c>
      <c r="J7" s="7" t="s">
        <v>4048</v>
      </c>
      <c r="K7" s="7" t="s">
        <v>2952</v>
      </c>
      <c r="L7" t="s">
        <v>70</v>
      </c>
      <c r="M7" t="s">
        <v>2905</v>
      </c>
    </row>
    <row r="8" spans="1:13" ht="15" customHeight="1" x14ac:dyDescent="0.25">
      <c r="A8" t="s">
        <v>4051</v>
      </c>
      <c r="B8" t="s">
        <v>4052</v>
      </c>
      <c r="C8" t="s">
        <v>4194</v>
      </c>
      <c r="D8" t="s">
        <v>4034</v>
      </c>
      <c r="E8" t="s">
        <v>70</v>
      </c>
      <c r="F8" t="s">
        <v>2905</v>
      </c>
      <c r="G8" t="s">
        <v>4041</v>
      </c>
      <c r="H8" t="s">
        <v>3802</v>
      </c>
      <c r="I8" t="s">
        <v>3249</v>
      </c>
      <c r="J8" t="s">
        <v>4051</v>
      </c>
      <c r="K8" t="s">
        <v>2959</v>
      </c>
      <c r="L8" t="s">
        <v>70</v>
      </c>
      <c r="M8" t="s">
        <v>2905</v>
      </c>
    </row>
    <row r="9" spans="1:13" ht="15" customHeight="1" x14ac:dyDescent="0.25">
      <c r="A9" t="s">
        <v>4060</v>
      </c>
      <c r="B9" s="9" t="s">
        <v>4195</v>
      </c>
      <c r="C9" s="9" t="s">
        <v>4196</v>
      </c>
      <c r="D9" t="s">
        <v>4034</v>
      </c>
      <c r="E9" t="s">
        <v>70</v>
      </c>
      <c r="F9" t="s">
        <v>2905</v>
      </c>
      <c r="G9" t="s">
        <v>4041</v>
      </c>
      <c r="H9" t="s">
        <v>4056</v>
      </c>
      <c r="I9" t="s">
        <v>3249</v>
      </c>
      <c r="J9" t="s">
        <v>4060</v>
      </c>
      <c r="K9" t="s">
        <v>2905</v>
      </c>
      <c r="L9" t="s">
        <v>70</v>
      </c>
      <c r="M9" t="s">
        <v>2905</v>
      </c>
    </row>
    <row r="10" spans="1:13" ht="15" customHeight="1" x14ac:dyDescent="0.25">
      <c r="A10" t="s">
        <v>4197</v>
      </c>
      <c r="B10" t="s">
        <v>4198</v>
      </c>
      <c r="C10" t="s">
        <v>4199</v>
      </c>
      <c r="D10" t="s">
        <v>4030</v>
      </c>
      <c r="E10" t="s">
        <v>70</v>
      </c>
      <c r="F10" t="s">
        <v>2905</v>
      </c>
      <c r="G10" t="s">
        <v>3807</v>
      </c>
      <c r="H10" t="s">
        <v>3802</v>
      </c>
      <c r="I10" t="s">
        <v>3260</v>
      </c>
      <c r="J10" t="s">
        <v>4200</v>
      </c>
      <c r="K10" t="s">
        <v>2959</v>
      </c>
      <c r="L10" t="s">
        <v>70</v>
      </c>
      <c r="M10" t="s">
        <v>2905</v>
      </c>
    </row>
    <row r="11" spans="1:13" ht="15" customHeight="1" x14ac:dyDescent="0.25">
      <c r="A11" t="s">
        <v>4065</v>
      </c>
      <c r="B11" s="9" t="s">
        <v>4201</v>
      </c>
      <c r="C11" s="9" t="s">
        <v>4202</v>
      </c>
      <c r="D11" t="s">
        <v>3045</v>
      </c>
      <c r="E11" t="s">
        <v>3805</v>
      </c>
      <c r="F11" t="s">
        <v>2905</v>
      </c>
      <c r="G11" t="s">
        <v>3807</v>
      </c>
      <c r="H11" t="s">
        <v>3802</v>
      </c>
      <c r="I11" t="s">
        <v>3260</v>
      </c>
      <c r="J11" t="s">
        <v>4067</v>
      </c>
      <c r="K11" t="s">
        <v>2905</v>
      </c>
      <c r="L11" t="s">
        <v>70</v>
      </c>
      <c r="M11" t="s">
        <v>2905</v>
      </c>
    </row>
    <row r="12" spans="1:13" ht="15" customHeight="1" x14ac:dyDescent="0.25">
      <c r="A12" t="s">
        <v>2964</v>
      </c>
      <c r="B12" t="s">
        <v>4068</v>
      </c>
      <c r="C12" t="s">
        <v>4203</v>
      </c>
      <c r="D12" t="s">
        <v>4030</v>
      </c>
      <c r="E12" t="s">
        <v>70</v>
      </c>
      <c r="F12" t="s">
        <v>2905</v>
      </c>
      <c r="G12" t="s">
        <v>3807</v>
      </c>
      <c r="H12" t="s">
        <v>3802</v>
      </c>
      <c r="I12" t="s">
        <v>3260</v>
      </c>
      <c r="J12" t="s">
        <v>2964</v>
      </c>
      <c r="K12" t="s">
        <v>2971</v>
      </c>
      <c r="L12" t="s">
        <v>70</v>
      </c>
      <c r="M12" t="s">
        <v>2905</v>
      </c>
    </row>
    <row r="13" spans="1:13" ht="15" customHeight="1" x14ac:dyDescent="0.25">
      <c r="A13" t="s">
        <v>4069</v>
      </c>
      <c r="B13" t="s">
        <v>4070</v>
      </c>
      <c r="C13" t="s">
        <v>4193</v>
      </c>
      <c r="D13" t="s">
        <v>4030</v>
      </c>
      <c r="E13" t="s">
        <v>70</v>
      </c>
      <c r="F13" t="s">
        <v>2905</v>
      </c>
      <c r="G13" t="s">
        <v>4050</v>
      </c>
      <c r="H13" t="s">
        <v>3802</v>
      </c>
      <c r="I13" t="s">
        <v>3260</v>
      </c>
      <c r="J13" t="s">
        <v>4069</v>
      </c>
      <c r="K13" t="s">
        <v>2952</v>
      </c>
      <c r="L13" t="s">
        <v>70</v>
      </c>
      <c r="M13" t="s">
        <v>2905</v>
      </c>
    </row>
    <row r="14" spans="1:13" ht="15" customHeight="1" x14ac:dyDescent="0.25">
      <c r="A14" t="s">
        <v>4085</v>
      </c>
      <c r="B14" s="9" t="s">
        <v>4084</v>
      </c>
      <c r="C14" s="9" t="s">
        <v>4204</v>
      </c>
      <c r="D14" t="s">
        <v>4034</v>
      </c>
      <c r="E14" t="s">
        <v>70</v>
      </c>
      <c r="F14" t="s">
        <v>2905</v>
      </c>
      <c r="G14" t="s">
        <v>4041</v>
      </c>
      <c r="H14" t="s">
        <v>3802</v>
      </c>
      <c r="I14" t="s">
        <v>3249</v>
      </c>
      <c r="J14" t="s">
        <v>4085</v>
      </c>
      <c r="K14" t="s">
        <v>2905</v>
      </c>
      <c r="L14" t="s">
        <v>70</v>
      </c>
      <c r="M14" t="s">
        <v>2905</v>
      </c>
    </row>
    <row r="15" spans="1:13" ht="15" customHeight="1" x14ac:dyDescent="0.25">
      <c r="A15" t="s">
        <v>4086</v>
      </c>
      <c r="B15" t="s">
        <v>4087</v>
      </c>
      <c r="C15" t="s">
        <v>2905</v>
      </c>
      <c r="D15" t="s">
        <v>4034</v>
      </c>
      <c r="E15" t="s">
        <v>70</v>
      </c>
      <c r="F15" t="s">
        <v>2905</v>
      </c>
      <c r="G15" t="s">
        <v>4088</v>
      </c>
      <c r="H15" t="s">
        <v>4056</v>
      </c>
      <c r="I15" t="s">
        <v>3249</v>
      </c>
      <c r="J15" t="s">
        <v>4086</v>
      </c>
      <c r="K15" t="s">
        <v>2971</v>
      </c>
      <c r="L15" t="s">
        <v>3805</v>
      </c>
      <c r="M15" t="s">
        <v>4205</v>
      </c>
    </row>
    <row r="16" spans="1:13" ht="15" customHeight="1" x14ac:dyDescent="0.25">
      <c r="A16" t="s">
        <v>4103</v>
      </c>
      <c r="B16" t="s">
        <v>4104</v>
      </c>
      <c r="C16" t="s">
        <v>4206</v>
      </c>
      <c r="D16" t="s">
        <v>4034</v>
      </c>
      <c r="E16" t="s">
        <v>70</v>
      </c>
      <c r="F16" t="s">
        <v>2905</v>
      </c>
      <c r="G16" t="s">
        <v>4041</v>
      </c>
      <c r="H16" t="s">
        <v>3802</v>
      </c>
      <c r="I16" t="s">
        <v>3249</v>
      </c>
      <c r="J16" t="s">
        <v>4103</v>
      </c>
      <c r="K16" t="s">
        <v>2959</v>
      </c>
      <c r="L16" t="s">
        <v>70</v>
      </c>
      <c r="M16" t="s">
        <v>2905</v>
      </c>
    </row>
    <row r="17" spans="1:13" ht="15" customHeight="1" x14ac:dyDescent="0.25">
      <c r="A17" t="s">
        <v>4128</v>
      </c>
      <c r="B17" t="s">
        <v>4129</v>
      </c>
      <c r="C17" t="s">
        <v>4207</v>
      </c>
      <c r="D17" t="s">
        <v>4030</v>
      </c>
      <c r="E17" t="s">
        <v>70</v>
      </c>
      <c r="F17" t="s">
        <v>2905</v>
      </c>
      <c r="G17" t="s">
        <v>3807</v>
      </c>
      <c r="H17" t="s">
        <v>3802</v>
      </c>
      <c r="I17" t="s">
        <v>3260</v>
      </c>
      <c r="J17" t="s">
        <v>4128</v>
      </c>
      <c r="K17" t="s">
        <v>2952</v>
      </c>
      <c r="L17" t="s">
        <v>70</v>
      </c>
      <c r="M17" t="s">
        <v>2905</v>
      </c>
    </row>
    <row r="18" spans="1:13" ht="15" customHeight="1" x14ac:dyDescent="0.25">
      <c r="A18" t="s">
        <v>4133</v>
      </c>
      <c r="B18" t="s">
        <v>4134</v>
      </c>
      <c r="C18" t="s">
        <v>4208</v>
      </c>
      <c r="D18" t="s">
        <v>4030</v>
      </c>
      <c r="E18" t="s">
        <v>70</v>
      </c>
      <c r="F18" t="s">
        <v>2905</v>
      </c>
      <c r="G18" s="3" t="s">
        <v>4135</v>
      </c>
      <c r="H18" t="s">
        <v>3802</v>
      </c>
      <c r="I18" t="s">
        <v>3260</v>
      </c>
      <c r="J18" t="s">
        <v>4136</v>
      </c>
      <c r="K18" t="s">
        <v>2971</v>
      </c>
      <c r="L18" t="s">
        <v>2905</v>
      </c>
      <c r="M18" t="s">
        <v>2905</v>
      </c>
    </row>
    <row r="19" spans="1:13" ht="15" customHeight="1" x14ac:dyDescent="0.25">
      <c r="A19" t="s">
        <v>4137</v>
      </c>
      <c r="B19" t="s">
        <v>4138</v>
      </c>
      <c r="C19" t="s">
        <v>4209</v>
      </c>
      <c r="D19" t="s">
        <v>4034</v>
      </c>
      <c r="E19" t="s">
        <v>70</v>
      </c>
      <c r="F19" t="s">
        <v>2905</v>
      </c>
      <c r="G19" t="s">
        <v>4139</v>
      </c>
      <c r="H19" t="s">
        <v>3802</v>
      </c>
      <c r="I19" t="s">
        <v>3249</v>
      </c>
      <c r="J19" t="s">
        <v>4137</v>
      </c>
      <c r="K19" t="s">
        <v>2959</v>
      </c>
      <c r="L19" t="s">
        <v>70</v>
      </c>
      <c r="M19" t="s">
        <v>2905</v>
      </c>
    </row>
    <row r="20" spans="1:13" ht="15" customHeight="1" x14ac:dyDescent="0.25">
      <c r="A20" t="s">
        <v>3453</v>
      </c>
      <c r="B20" t="s">
        <v>4140</v>
      </c>
      <c r="C20" t="s">
        <v>4210</v>
      </c>
      <c r="D20" t="s">
        <v>4030</v>
      </c>
      <c r="E20" t="s">
        <v>70</v>
      </c>
      <c r="F20" t="s">
        <v>2905</v>
      </c>
      <c r="G20" t="s">
        <v>3807</v>
      </c>
      <c r="H20" t="s">
        <v>3802</v>
      </c>
      <c r="I20" t="s">
        <v>3260</v>
      </c>
      <c r="J20" t="s">
        <v>3453</v>
      </c>
      <c r="K20" t="s">
        <v>2971</v>
      </c>
      <c r="L20" t="s">
        <v>70</v>
      </c>
      <c r="M20" t="s">
        <v>2905</v>
      </c>
    </row>
    <row r="21" spans="1:13" ht="15" customHeight="1" x14ac:dyDescent="0.25">
      <c r="A21" t="s">
        <v>4141</v>
      </c>
      <c r="B21" t="s">
        <v>4142</v>
      </c>
      <c r="C21" t="s">
        <v>4211</v>
      </c>
      <c r="D21" t="s">
        <v>4030</v>
      </c>
      <c r="E21" t="s">
        <v>70</v>
      </c>
      <c r="F21" t="s">
        <v>2905</v>
      </c>
      <c r="G21" t="s">
        <v>4041</v>
      </c>
      <c r="H21" t="s">
        <v>3802</v>
      </c>
      <c r="I21" t="s">
        <v>3260</v>
      </c>
      <c r="J21" t="s">
        <v>4141</v>
      </c>
      <c r="K21" t="s">
        <v>2971</v>
      </c>
      <c r="L21" t="s">
        <v>70</v>
      </c>
      <c r="M21" t="s">
        <v>2905</v>
      </c>
    </row>
    <row r="22" spans="1:13" ht="15" customHeight="1" x14ac:dyDescent="0.25">
      <c r="A22" t="s">
        <v>4145</v>
      </c>
      <c r="B22" s="9" t="s">
        <v>4146</v>
      </c>
      <c r="C22" s="9" t="s">
        <v>4212</v>
      </c>
      <c r="D22" t="s">
        <v>4030</v>
      </c>
      <c r="E22" t="s">
        <v>70</v>
      </c>
      <c r="F22" t="s">
        <v>2905</v>
      </c>
      <c r="G22" t="s">
        <v>3807</v>
      </c>
      <c r="H22" t="s">
        <v>3802</v>
      </c>
      <c r="I22" t="s">
        <v>3260</v>
      </c>
      <c r="J22" t="s">
        <v>4145</v>
      </c>
      <c r="K22" t="s">
        <v>2952</v>
      </c>
      <c r="L22" t="s">
        <v>70</v>
      </c>
      <c r="M22" t="s">
        <v>2905</v>
      </c>
    </row>
    <row r="23" spans="1:13" ht="15" customHeight="1" x14ac:dyDescent="0.25">
      <c r="A23" t="s">
        <v>4152</v>
      </c>
      <c r="B23" s="9" t="s">
        <v>4213</v>
      </c>
      <c r="C23" s="9" t="s">
        <v>4214</v>
      </c>
      <c r="D23" t="s">
        <v>4030</v>
      </c>
      <c r="E23" t="s">
        <v>70</v>
      </c>
      <c r="F23" t="s">
        <v>2905</v>
      </c>
      <c r="G23" t="s">
        <v>4115</v>
      </c>
      <c r="H23" t="s">
        <v>3802</v>
      </c>
      <c r="I23" t="s">
        <v>3260</v>
      </c>
      <c r="J23" t="s">
        <v>4152</v>
      </c>
      <c r="K23" t="s">
        <v>2905</v>
      </c>
      <c r="L23" t="s">
        <v>70</v>
      </c>
      <c r="M23" t="s">
        <v>2905</v>
      </c>
    </row>
    <row r="24" spans="1:13" ht="15" customHeight="1" x14ac:dyDescent="0.25">
      <c r="A24" t="s">
        <v>4154</v>
      </c>
      <c r="B24" s="9" t="s">
        <v>4215</v>
      </c>
      <c r="C24" s="9" t="s">
        <v>4216</v>
      </c>
      <c r="D24" t="s">
        <v>4034</v>
      </c>
      <c r="E24" t="s">
        <v>3805</v>
      </c>
      <c r="F24" t="s">
        <v>2905</v>
      </c>
      <c r="G24" t="s">
        <v>3807</v>
      </c>
      <c r="H24" t="s">
        <v>3802</v>
      </c>
      <c r="I24" t="s">
        <v>3249</v>
      </c>
      <c r="J24" t="s">
        <v>4154</v>
      </c>
      <c r="K24" t="s">
        <v>2905</v>
      </c>
      <c r="L24" t="s">
        <v>70</v>
      </c>
      <c r="M24" t="s">
        <v>2905</v>
      </c>
    </row>
    <row r="25" spans="1:13" ht="15" customHeight="1" x14ac:dyDescent="0.25">
      <c r="A25" t="s">
        <v>4156</v>
      </c>
      <c r="B25" t="s">
        <v>4157</v>
      </c>
      <c r="C25" t="s">
        <v>4217</v>
      </c>
      <c r="D25" t="s">
        <v>4034</v>
      </c>
      <c r="E25" t="s">
        <v>3805</v>
      </c>
      <c r="F25" t="s">
        <v>2905</v>
      </c>
      <c r="G25" t="s">
        <v>3807</v>
      </c>
      <c r="H25" t="s">
        <v>3802</v>
      </c>
      <c r="I25" t="s">
        <v>3249</v>
      </c>
      <c r="J25" t="s">
        <v>4158</v>
      </c>
      <c r="K25" t="s">
        <v>2952</v>
      </c>
      <c r="L25" t="s">
        <v>70</v>
      </c>
      <c r="M25" t="s">
        <v>2905</v>
      </c>
    </row>
    <row r="26" spans="1:13" ht="15" customHeight="1" x14ac:dyDescent="0.25">
      <c r="A26" t="s">
        <v>4159</v>
      </c>
      <c r="B26" s="9" t="s">
        <v>4218</v>
      </c>
      <c r="C26" s="9" t="s">
        <v>4219</v>
      </c>
      <c r="D26" t="s">
        <v>3045</v>
      </c>
      <c r="E26" t="s">
        <v>3805</v>
      </c>
      <c r="F26" t="s">
        <v>2905</v>
      </c>
      <c r="G26" t="s">
        <v>3807</v>
      </c>
      <c r="H26" t="s">
        <v>4059</v>
      </c>
      <c r="I26" t="s">
        <v>3260</v>
      </c>
      <c r="J26" t="s">
        <v>4159</v>
      </c>
      <c r="K26" t="s">
        <v>2905</v>
      </c>
      <c r="L26" t="s">
        <v>70</v>
      </c>
      <c r="M26" t="s">
        <v>2905</v>
      </c>
    </row>
    <row r="27" spans="1:13" ht="15" customHeight="1" x14ac:dyDescent="0.25">
      <c r="A27" t="s">
        <v>4165</v>
      </c>
      <c r="B27" t="s">
        <v>4220</v>
      </c>
      <c r="C27" t="s">
        <v>4221</v>
      </c>
      <c r="D27" t="s">
        <v>4030</v>
      </c>
      <c r="E27" t="s">
        <v>70</v>
      </c>
      <c r="F27" t="s">
        <v>2905</v>
      </c>
      <c r="G27" t="s">
        <v>3807</v>
      </c>
      <c r="H27" t="s">
        <v>3802</v>
      </c>
      <c r="I27" t="s">
        <v>3260</v>
      </c>
      <c r="J27" t="s">
        <v>4165</v>
      </c>
      <c r="K27" t="s">
        <v>2971</v>
      </c>
      <c r="L27" t="s">
        <v>70</v>
      </c>
      <c r="M27" t="s">
        <v>2905</v>
      </c>
    </row>
    <row r="28" spans="1:13" ht="15" customHeight="1" x14ac:dyDescent="0.25">
      <c r="A28" t="s">
        <v>4170</v>
      </c>
      <c r="B28" t="s">
        <v>4171</v>
      </c>
      <c r="C28" t="s">
        <v>4222</v>
      </c>
      <c r="D28" t="s">
        <v>4034</v>
      </c>
      <c r="E28" t="s">
        <v>70</v>
      </c>
      <c r="F28" t="s">
        <v>2905</v>
      </c>
      <c r="G28" t="s">
        <v>4041</v>
      </c>
      <c r="H28" t="s">
        <v>3802</v>
      </c>
      <c r="I28" t="s">
        <v>3249</v>
      </c>
      <c r="J28" t="s">
        <v>4170</v>
      </c>
      <c r="K28" t="s">
        <v>2959</v>
      </c>
      <c r="L28" t="s">
        <v>70</v>
      </c>
      <c r="M28" t="s">
        <v>2905</v>
      </c>
    </row>
    <row r="29" spans="1:13" ht="15" customHeight="1" x14ac:dyDescent="0.25">
      <c r="A29" t="s">
        <v>4172</v>
      </c>
      <c r="B29" t="s">
        <v>4173</v>
      </c>
      <c r="C29" t="s">
        <v>4223</v>
      </c>
      <c r="D29" t="s">
        <v>4034</v>
      </c>
      <c r="E29" t="s">
        <v>70</v>
      </c>
      <c r="F29" t="s">
        <v>2905</v>
      </c>
      <c r="G29" t="s">
        <v>4041</v>
      </c>
      <c r="H29" t="s">
        <v>3802</v>
      </c>
      <c r="I29" t="s">
        <v>3249</v>
      </c>
      <c r="J29" t="s">
        <v>4172</v>
      </c>
      <c r="K29" t="s">
        <v>2959</v>
      </c>
      <c r="L29" t="s">
        <v>70</v>
      </c>
      <c r="M29" t="s">
        <v>2905</v>
      </c>
    </row>
    <row r="30" spans="1:13" ht="15" customHeight="1" x14ac:dyDescent="0.25">
      <c r="A30" t="s">
        <v>4163</v>
      </c>
      <c r="B30" t="s">
        <v>4164</v>
      </c>
      <c r="C30" t="s">
        <v>4224</v>
      </c>
      <c r="D30" t="s">
        <v>4034</v>
      </c>
      <c r="E30" t="s">
        <v>3805</v>
      </c>
      <c r="F30">
        <v>1</v>
      </c>
      <c r="G30" t="s">
        <v>4041</v>
      </c>
      <c r="H30" t="s">
        <v>3802</v>
      </c>
      <c r="I30" t="s">
        <v>3249</v>
      </c>
      <c r="J30" t="s">
        <v>4163</v>
      </c>
      <c r="K30" t="s">
        <v>2905</v>
      </c>
      <c r="L30" t="s">
        <v>70</v>
      </c>
      <c r="M30" t="s">
        <v>4225</v>
      </c>
    </row>
    <row r="31" spans="1:13" ht="60" customHeight="1" x14ac:dyDescent="0.25">
      <c r="A31" t="s">
        <v>4120</v>
      </c>
      <c r="B31" s="9" t="s">
        <v>4226</v>
      </c>
      <c r="C31" s="9" t="s">
        <v>4227</v>
      </c>
      <c r="D31" t="s">
        <v>4030</v>
      </c>
      <c r="E31" t="s">
        <v>70</v>
      </c>
      <c r="F31" t="s">
        <v>2905</v>
      </c>
      <c r="G31" t="s">
        <v>4115</v>
      </c>
      <c r="H31" t="s">
        <v>4056</v>
      </c>
      <c r="I31" t="s">
        <v>3260</v>
      </c>
      <c r="J31" t="s">
        <v>4122</v>
      </c>
      <c r="K31" t="s">
        <v>2971</v>
      </c>
      <c r="L31" t="s">
        <v>3805</v>
      </c>
      <c r="M31" s="9" t="s">
        <v>4228</v>
      </c>
    </row>
    <row r="32" spans="1:13" ht="45" customHeight="1" x14ac:dyDescent="0.25">
      <c r="A32" t="s">
        <v>4117</v>
      </c>
      <c r="B32" s="9" t="s">
        <v>4229</v>
      </c>
      <c r="C32" s="9" t="s">
        <v>4230</v>
      </c>
      <c r="D32" t="s">
        <v>4030</v>
      </c>
      <c r="E32" t="s">
        <v>70</v>
      </c>
      <c r="F32" t="s">
        <v>2905</v>
      </c>
      <c r="G32" t="s">
        <v>4115</v>
      </c>
      <c r="H32" t="s">
        <v>4056</v>
      </c>
      <c r="I32" t="s">
        <v>3260</v>
      </c>
      <c r="J32" t="s">
        <v>4119</v>
      </c>
      <c r="K32" t="s">
        <v>2971</v>
      </c>
      <c r="L32" t="s">
        <v>3805</v>
      </c>
      <c r="M32" s="9" t="s">
        <v>4231</v>
      </c>
    </row>
    <row r="33" spans="1:13" ht="60" customHeight="1" x14ac:dyDescent="0.25">
      <c r="A33" t="s">
        <v>4123</v>
      </c>
      <c r="B33" s="9" t="s">
        <v>4232</v>
      </c>
      <c r="C33" s="9" t="s">
        <v>4233</v>
      </c>
      <c r="D33" t="s">
        <v>4034</v>
      </c>
      <c r="E33" t="s">
        <v>70</v>
      </c>
      <c r="F33" t="s">
        <v>2905</v>
      </c>
      <c r="G33" t="s">
        <v>4041</v>
      </c>
      <c r="H33" t="s">
        <v>4056</v>
      </c>
      <c r="I33" t="s">
        <v>3249</v>
      </c>
      <c r="J33" t="s">
        <v>4125</v>
      </c>
      <c r="K33" t="s">
        <v>2905</v>
      </c>
      <c r="L33" t="s">
        <v>3805</v>
      </c>
      <c r="M33" s="9" t="s">
        <v>4234</v>
      </c>
    </row>
    <row r="34" spans="1:13" ht="45" customHeight="1" x14ac:dyDescent="0.25">
      <c r="A34" t="s">
        <v>4105</v>
      </c>
      <c r="B34" s="9" t="s">
        <v>4106</v>
      </c>
      <c r="C34" s="9" t="s">
        <v>4235</v>
      </c>
      <c r="D34" t="s">
        <v>4030</v>
      </c>
      <c r="E34" t="s">
        <v>70</v>
      </c>
      <c r="F34" t="s">
        <v>2905</v>
      </c>
      <c r="G34" t="s">
        <v>4041</v>
      </c>
      <c r="H34" t="s">
        <v>3802</v>
      </c>
      <c r="I34" t="s">
        <v>3260</v>
      </c>
      <c r="J34" t="s">
        <v>4105</v>
      </c>
      <c r="K34" t="s">
        <v>2952</v>
      </c>
      <c r="L34" t="s">
        <v>70</v>
      </c>
      <c r="M34" s="9" t="s">
        <v>4236</v>
      </c>
    </row>
    <row r="35" spans="1:13" ht="45" customHeight="1" x14ac:dyDescent="0.25">
      <c r="A35" t="s">
        <v>4057</v>
      </c>
      <c r="B35" s="9" t="s">
        <v>4237</v>
      </c>
      <c r="C35" s="9" t="s">
        <v>4238</v>
      </c>
      <c r="D35" t="s">
        <v>4034</v>
      </c>
      <c r="E35" t="s">
        <v>70</v>
      </c>
      <c r="F35" t="s">
        <v>2905</v>
      </c>
      <c r="G35" t="s">
        <v>4239</v>
      </c>
      <c r="H35" t="s">
        <v>4059</v>
      </c>
      <c r="I35" t="s">
        <v>3249</v>
      </c>
      <c r="J35" t="s">
        <v>4057</v>
      </c>
      <c r="K35" t="s">
        <v>2905</v>
      </c>
      <c r="L35" t="s">
        <v>70</v>
      </c>
      <c r="M35" s="9" t="s">
        <v>4240</v>
      </c>
    </row>
    <row r="36" spans="1:13" x14ac:dyDescent="0.25">
      <c r="A36" t="s">
        <v>4095</v>
      </c>
      <c r="B36" s="9" t="s">
        <v>4241</v>
      </c>
      <c r="C36" s="9" t="s">
        <v>4242</v>
      </c>
      <c r="D36" t="s">
        <v>4243</v>
      </c>
      <c r="E36" t="s">
        <v>70</v>
      </c>
      <c r="F36" t="s">
        <v>2905</v>
      </c>
      <c r="G36" t="s">
        <v>4244</v>
      </c>
      <c r="H36" t="s">
        <v>4056</v>
      </c>
      <c r="I36" t="s">
        <v>3260</v>
      </c>
      <c r="J36" t="s">
        <v>4097</v>
      </c>
      <c r="K36" t="s">
        <v>2971</v>
      </c>
      <c r="L36" t="s">
        <v>3805</v>
      </c>
      <c r="M36" t="s">
        <v>2905</v>
      </c>
    </row>
    <row r="37" spans="1:13" x14ac:dyDescent="0.25">
      <c r="A37" t="s">
        <v>4245</v>
      </c>
      <c r="B37" s="9" t="s">
        <v>4246</v>
      </c>
      <c r="C37" s="9" t="s">
        <v>4242</v>
      </c>
      <c r="D37" t="s">
        <v>4243</v>
      </c>
      <c r="E37" t="s">
        <v>70</v>
      </c>
      <c r="F37" t="s">
        <v>2905</v>
      </c>
      <c r="G37" t="s">
        <v>4244</v>
      </c>
      <c r="H37" t="s">
        <v>4056</v>
      </c>
      <c r="I37" t="s">
        <v>3260</v>
      </c>
      <c r="J37" t="s">
        <v>4245</v>
      </c>
      <c r="K37" t="s">
        <v>2971</v>
      </c>
      <c r="L37" t="s">
        <v>3805</v>
      </c>
      <c r="M37" t="s">
        <v>2905</v>
      </c>
    </row>
    <row r="38" spans="1:13" x14ac:dyDescent="0.25">
      <c r="A38" t="s">
        <v>4247</v>
      </c>
      <c r="B38" s="9" t="s">
        <v>4248</v>
      </c>
      <c r="C38" s="9" t="s">
        <v>4242</v>
      </c>
      <c r="D38" t="s">
        <v>4243</v>
      </c>
      <c r="E38" t="s">
        <v>70</v>
      </c>
      <c r="F38" t="s">
        <v>2905</v>
      </c>
      <c r="G38" t="s">
        <v>4244</v>
      </c>
      <c r="H38" t="s">
        <v>4056</v>
      </c>
      <c r="I38" t="s">
        <v>3260</v>
      </c>
      <c r="J38" t="s">
        <v>4249</v>
      </c>
      <c r="K38" t="s">
        <v>2952</v>
      </c>
      <c r="L38" t="s">
        <v>3805</v>
      </c>
      <c r="M38" t="s">
        <v>2905</v>
      </c>
    </row>
    <row r="39" spans="1:13" x14ac:dyDescent="0.25">
      <c r="A39" t="s">
        <v>4042</v>
      </c>
      <c r="B39" s="9" t="s">
        <v>4250</v>
      </c>
      <c r="C39" s="9" t="s">
        <v>4251</v>
      </c>
      <c r="D39" t="s">
        <v>4030</v>
      </c>
      <c r="E39" t="s">
        <v>70</v>
      </c>
      <c r="F39" t="s">
        <v>2905</v>
      </c>
      <c r="G39" t="s">
        <v>4252</v>
      </c>
      <c r="H39" t="s">
        <v>4056</v>
      </c>
      <c r="I39" t="s">
        <v>3260</v>
      </c>
      <c r="J39" t="s">
        <v>4042</v>
      </c>
      <c r="K39" t="s">
        <v>2971</v>
      </c>
      <c r="L39" t="s">
        <v>3805</v>
      </c>
      <c r="M39" t="s">
        <v>4253</v>
      </c>
    </row>
    <row r="40" spans="1:13" x14ac:dyDescent="0.25">
      <c r="A40" t="s">
        <v>4053</v>
      </c>
      <c r="B40" s="9" t="s">
        <v>4254</v>
      </c>
      <c r="C40" s="9" t="s">
        <v>4242</v>
      </c>
      <c r="D40" t="s">
        <v>4243</v>
      </c>
      <c r="E40" t="s">
        <v>70</v>
      </c>
      <c r="F40" t="s">
        <v>2905</v>
      </c>
      <c r="G40" t="s">
        <v>4244</v>
      </c>
      <c r="H40" t="s">
        <v>4056</v>
      </c>
      <c r="I40" t="s">
        <v>3260</v>
      </c>
      <c r="J40" t="s">
        <v>4053</v>
      </c>
      <c r="K40" t="s">
        <v>2952</v>
      </c>
      <c r="L40" t="s">
        <v>3805</v>
      </c>
      <c r="M40" t="s">
        <v>2905</v>
      </c>
    </row>
    <row r="41" spans="1:13" x14ac:dyDescent="0.25">
      <c r="A41" t="s">
        <v>4112</v>
      </c>
      <c r="B41" s="9" t="s">
        <v>4255</v>
      </c>
      <c r="C41" s="9" t="s">
        <v>4256</v>
      </c>
      <c r="D41" t="s">
        <v>4030</v>
      </c>
      <c r="E41" t="s">
        <v>70</v>
      </c>
      <c r="F41" t="s">
        <v>2905</v>
      </c>
      <c r="G41" t="s">
        <v>4115</v>
      </c>
      <c r="H41" t="s">
        <v>4056</v>
      </c>
      <c r="I41" t="s">
        <v>3260</v>
      </c>
      <c r="J41" t="s">
        <v>4116</v>
      </c>
      <c r="K41" t="s">
        <v>2971</v>
      </c>
      <c r="L41" t="s">
        <v>3805</v>
      </c>
      <c r="M41" t="s">
        <v>4257</v>
      </c>
    </row>
    <row r="42" spans="1:13" x14ac:dyDescent="0.25">
      <c r="A42" t="s">
        <v>4074</v>
      </c>
      <c r="B42" s="9" t="s">
        <v>4258</v>
      </c>
      <c r="C42" s="9" t="s">
        <v>4259</v>
      </c>
      <c r="D42" t="s">
        <v>4030</v>
      </c>
      <c r="E42" t="s">
        <v>70</v>
      </c>
      <c r="F42" t="s">
        <v>2905</v>
      </c>
      <c r="G42" t="s">
        <v>4041</v>
      </c>
      <c r="H42" t="s">
        <v>3802</v>
      </c>
      <c r="I42" t="s">
        <v>3260</v>
      </c>
      <c r="J42" t="s">
        <v>4076</v>
      </c>
      <c r="K42" t="s">
        <v>2952</v>
      </c>
      <c r="L42" t="s">
        <v>70</v>
      </c>
      <c r="M42" t="s">
        <v>2905</v>
      </c>
    </row>
    <row r="43" spans="1:13" x14ac:dyDescent="0.25">
      <c r="A43" t="s">
        <v>4062</v>
      </c>
      <c r="B43" s="9" t="s">
        <v>4260</v>
      </c>
      <c r="C43" s="9" t="s">
        <v>4261</v>
      </c>
      <c r="D43" t="s">
        <v>4034</v>
      </c>
      <c r="E43" t="s">
        <v>3805</v>
      </c>
      <c r="F43" t="s">
        <v>2905</v>
      </c>
      <c r="G43" t="s">
        <v>3807</v>
      </c>
      <c r="H43" t="s">
        <v>4059</v>
      </c>
      <c r="I43" t="s">
        <v>3249</v>
      </c>
      <c r="J43" t="s">
        <v>4064</v>
      </c>
      <c r="K43" t="s">
        <v>2952</v>
      </c>
      <c r="L43" t="s">
        <v>3805</v>
      </c>
      <c r="M43" t="s">
        <v>4262</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52</v>
      </c>
      <c r="B1" t="s">
        <v>4263</v>
      </c>
      <c r="C1" t="s">
        <v>4264</v>
      </c>
      <c r="D1" t="s">
        <v>4265</v>
      </c>
      <c r="E1" t="s">
        <v>3938</v>
      </c>
    </row>
    <row r="2" spans="1:5" ht="15" customHeight="1" x14ac:dyDescent="0.25">
      <c r="A2" t="s">
        <v>4266</v>
      </c>
      <c r="B2" t="s">
        <v>4267</v>
      </c>
      <c r="E2" t="s">
        <v>4268</v>
      </c>
    </row>
    <row r="3" spans="1:5" ht="15" customHeight="1" x14ac:dyDescent="0.25">
      <c r="A3" t="s">
        <v>4269</v>
      </c>
      <c r="B3" t="s">
        <v>4270</v>
      </c>
      <c r="E3" t="s">
        <v>4271</v>
      </c>
    </row>
    <row r="4" spans="1:5" ht="15" customHeight="1" x14ac:dyDescent="0.25">
      <c r="A4" t="s">
        <v>4272</v>
      </c>
      <c r="B4" t="s">
        <v>2905</v>
      </c>
      <c r="E4" t="s">
        <v>4273</v>
      </c>
    </row>
    <row r="5" spans="1:5" ht="15" customHeight="1" x14ac:dyDescent="0.25">
      <c r="A5" t="s">
        <v>4274</v>
      </c>
      <c r="B5" t="s">
        <v>4275</v>
      </c>
      <c r="E5" t="s">
        <v>4276</v>
      </c>
    </row>
    <row r="6" spans="1:5" ht="15" customHeight="1" x14ac:dyDescent="0.25">
      <c r="A6" t="s">
        <v>4277</v>
      </c>
      <c r="B6" t="s">
        <v>4278</v>
      </c>
      <c r="E6" t="s">
        <v>4279</v>
      </c>
    </row>
    <row r="7" spans="1:5" ht="15" customHeight="1" x14ac:dyDescent="0.25">
      <c r="A7" t="s">
        <v>4137</v>
      </c>
      <c r="B7" t="s">
        <v>4280</v>
      </c>
      <c r="E7" t="s">
        <v>4281</v>
      </c>
    </row>
    <row r="8" spans="1:5" ht="15" customHeight="1" x14ac:dyDescent="0.25">
      <c r="A8" t="s">
        <v>4282</v>
      </c>
      <c r="B8" t="s">
        <v>4283</v>
      </c>
      <c r="C8" t="s">
        <v>4284</v>
      </c>
      <c r="D8" t="s">
        <v>4285</v>
      </c>
      <c r="E8" t="s">
        <v>4286</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52</v>
      </c>
      <c r="B1" t="s">
        <v>2899</v>
      </c>
      <c r="C1" t="s">
        <v>4287</v>
      </c>
      <c r="D1" t="s">
        <v>4288</v>
      </c>
    </row>
    <row r="2" spans="1:4" ht="15" customHeight="1" x14ac:dyDescent="0.25">
      <c r="A2" t="s">
        <v>4289</v>
      </c>
      <c r="B2" t="s">
        <v>4290</v>
      </c>
      <c r="C2" t="s">
        <v>3802</v>
      </c>
      <c r="D2" t="s">
        <v>2905</v>
      </c>
    </row>
    <row r="3" spans="1:4" ht="15" customHeight="1" x14ac:dyDescent="0.25">
      <c r="A3" t="s">
        <v>4291</v>
      </c>
      <c r="B3" t="s">
        <v>4292</v>
      </c>
      <c r="C3" t="s">
        <v>4293</v>
      </c>
      <c r="D3" t="s">
        <v>2905</v>
      </c>
    </row>
    <row r="4" spans="1:4" ht="15" customHeight="1" x14ac:dyDescent="0.25">
      <c r="A4" t="s">
        <v>4294</v>
      </c>
      <c r="B4" t="s">
        <v>4295</v>
      </c>
      <c r="C4" t="s">
        <v>3802</v>
      </c>
      <c r="D4" t="s">
        <v>2905</v>
      </c>
    </row>
    <row r="5" spans="1:4" ht="15" customHeight="1" x14ac:dyDescent="0.25">
      <c r="A5" t="s">
        <v>4296</v>
      </c>
      <c r="B5" t="s">
        <v>4297</v>
      </c>
      <c r="C5" t="s">
        <v>4293</v>
      </c>
      <c r="D5" t="s">
        <v>2905</v>
      </c>
    </row>
    <row r="6" spans="1:4" ht="15" customHeight="1" x14ac:dyDescent="0.25">
      <c r="A6" t="s">
        <v>4298</v>
      </c>
      <c r="B6" t="s">
        <v>4299</v>
      </c>
      <c r="C6" t="s">
        <v>4293</v>
      </c>
      <c r="D6" t="s">
        <v>2905</v>
      </c>
    </row>
    <row r="7" spans="1:4" ht="15" customHeight="1" x14ac:dyDescent="0.25">
      <c r="A7" t="s">
        <v>4300</v>
      </c>
      <c r="B7" t="s">
        <v>4301</v>
      </c>
      <c r="C7" t="s">
        <v>3802</v>
      </c>
      <c r="D7" t="s">
        <v>2905</v>
      </c>
    </row>
    <row r="8" spans="1:4" ht="15" customHeight="1" x14ac:dyDescent="0.25">
      <c r="A8" t="s">
        <v>4302</v>
      </c>
      <c r="B8" t="s">
        <v>4303</v>
      </c>
      <c r="C8" t="s">
        <v>3802</v>
      </c>
      <c r="D8" t="s">
        <v>2905</v>
      </c>
    </row>
    <row r="9" spans="1:4" ht="15" customHeight="1" x14ac:dyDescent="0.25">
      <c r="A9" t="s">
        <v>4304</v>
      </c>
      <c r="B9" t="s">
        <v>4305</v>
      </c>
      <c r="C9" t="s">
        <v>3802</v>
      </c>
      <c r="D9" t="s">
        <v>2905</v>
      </c>
    </row>
    <row r="10" spans="1:4" ht="15" customHeight="1" x14ac:dyDescent="0.25">
      <c r="A10" t="s">
        <v>4306</v>
      </c>
      <c r="B10" t="s">
        <v>4307</v>
      </c>
      <c r="C10" t="s">
        <v>4308</v>
      </c>
      <c r="D10" t="s">
        <v>2905</v>
      </c>
    </row>
    <row r="11" spans="1:4" ht="15" customHeight="1" x14ac:dyDescent="0.25">
      <c r="A11" t="s">
        <v>4309</v>
      </c>
      <c r="B11" t="s">
        <v>4310</v>
      </c>
      <c r="C11" t="s">
        <v>3278</v>
      </c>
      <c r="D11" t="s">
        <v>2905</v>
      </c>
    </row>
    <row r="12" spans="1:4" ht="15" customHeight="1" x14ac:dyDescent="0.25">
      <c r="A12" t="s">
        <v>4311</v>
      </c>
      <c r="B12" t="s">
        <v>4312</v>
      </c>
      <c r="C12" t="s">
        <v>3278</v>
      </c>
      <c r="D12" t="s">
        <v>2905</v>
      </c>
    </row>
    <row r="13" spans="1:4" ht="15" customHeight="1" x14ac:dyDescent="0.25">
      <c r="A13" t="s">
        <v>4313</v>
      </c>
      <c r="B13" t="s">
        <v>4314</v>
      </c>
      <c r="C13" t="s">
        <v>4293</v>
      </c>
      <c r="D13" t="s">
        <v>2905</v>
      </c>
    </row>
    <row r="14" spans="1:4" ht="15" customHeight="1" x14ac:dyDescent="0.25">
      <c r="A14" t="s">
        <v>4315</v>
      </c>
      <c r="B14" t="s">
        <v>4316</v>
      </c>
      <c r="C14" t="s">
        <v>3802</v>
      </c>
      <c r="D14" t="s">
        <v>2905</v>
      </c>
    </row>
    <row r="15" spans="1:4" ht="15" customHeight="1" x14ac:dyDescent="0.25">
      <c r="A15" t="s">
        <v>4317</v>
      </c>
      <c r="B15" t="s">
        <v>4318</v>
      </c>
      <c r="C15" t="s">
        <v>3802</v>
      </c>
      <c r="D15" t="s">
        <v>2905</v>
      </c>
    </row>
    <row r="16" spans="1:4" ht="15" customHeight="1" x14ac:dyDescent="0.25">
      <c r="A16" t="s">
        <v>4319</v>
      </c>
      <c r="B16" t="s">
        <v>4320</v>
      </c>
      <c r="C16" t="s">
        <v>4308</v>
      </c>
      <c r="D16" t="s">
        <v>2905</v>
      </c>
    </row>
    <row r="17" spans="1:4" ht="15" customHeight="1" x14ac:dyDescent="0.25">
      <c r="A17" t="s">
        <v>4321</v>
      </c>
      <c r="B17" t="s">
        <v>4322</v>
      </c>
      <c r="C17" t="s">
        <v>3802</v>
      </c>
      <c r="D17" t="s">
        <v>2905</v>
      </c>
    </row>
    <row r="18" spans="1:4" ht="15" customHeight="1" x14ac:dyDescent="0.25">
      <c r="A18" t="s">
        <v>4323</v>
      </c>
      <c r="B18" t="s">
        <v>4324</v>
      </c>
      <c r="C18" t="s">
        <v>4325</v>
      </c>
      <c r="D18" t="s">
        <v>2905</v>
      </c>
    </row>
    <row r="19" spans="1:4" ht="15" customHeight="1" x14ac:dyDescent="0.25">
      <c r="A19" t="s">
        <v>4326</v>
      </c>
      <c r="B19" t="s">
        <v>4327</v>
      </c>
      <c r="C19" t="s">
        <v>3802</v>
      </c>
      <c r="D19" t="s">
        <v>2905</v>
      </c>
    </row>
    <row r="20" spans="1:4" ht="15" customHeight="1" x14ac:dyDescent="0.25">
      <c r="A20" t="s">
        <v>4328</v>
      </c>
      <c r="B20" t="s">
        <v>4329</v>
      </c>
      <c r="C20" t="s">
        <v>3802</v>
      </c>
      <c r="D20" t="s">
        <v>2905</v>
      </c>
    </row>
    <row r="21" spans="1:4" ht="15" customHeight="1" x14ac:dyDescent="0.25">
      <c r="A21" t="s">
        <v>4330</v>
      </c>
      <c r="B21" t="s">
        <v>4331</v>
      </c>
      <c r="C21" t="s">
        <v>3802</v>
      </c>
      <c r="D21" t="s">
        <v>4332</v>
      </c>
    </row>
    <row r="22" spans="1:4" ht="15" customHeight="1" x14ac:dyDescent="0.25">
      <c r="A22" t="s">
        <v>4333</v>
      </c>
      <c r="B22" t="s">
        <v>4334</v>
      </c>
      <c r="C22" t="s">
        <v>4335</v>
      </c>
      <c r="D22" t="s">
        <v>2905</v>
      </c>
    </row>
    <row r="23" spans="1:4" ht="15" customHeight="1" x14ac:dyDescent="0.25">
      <c r="A23" t="s">
        <v>4336</v>
      </c>
      <c r="B23" t="s">
        <v>4337</v>
      </c>
      <c r="C23" t="s">
        <v>4308</v>
      </c>
      <c r="D23" t="s">
        <v>2905</v>
      </c>
    </row>
    <row r="24" spans="1:4" ht="15" customHeight="1" x14ac:dyDescent="0.25">
      <c r="A24" t="s">
        <v>4338</v>
      </c>
      <c r="B24" t="s">
        <v>4339</v>
      </c>
      <c r="C24" t="s">
        <v>4308</v>
      </c>
      <c r="D24" t="s">
        <v>4340</v>
      </c>
    </row>
    <row r="25" spans="1:4" ht="15" customHeight="1" x14ac:dyDescent="0.25">
      <c r="A25" t="s">
        <v>4341</v>
      </c>
      <c r="B25" t="s">
        <v>4342</v>
      </c>
      <c r="C25" t="s">
        <v>4325</v>
      </c>
      <c r="D25" t="s">
        <v>2905</v>
      </c>
    </row>
    <row r="26" spans="1:4" ht="15" customHeight="1" x14ac:dyDescent="0.25">
      <c r="A26" t="s">
        <v>4343</v>
      </c>
      <c r="B26" t="s">
        <v>4344</v>
      </c>
      <c r="C26" t="s">
        <v>4293</v>
      </c>
      <c r="D26" t="s">
        <v>2905</v>
      </c>
    </row>
    <row r="27" spans="1:4" ht="15" customHeight="1" x14ac:dyDescent="0.25">
      <c r="A27" t="s">
        <v>4345</v>
      </c>
      <c r="B27" t="s">
        <v>4346</v>
      </c>
      <c r="C27" t="s">
        <v>4308</v>
      </c>
      <c r="D27" t="s">
        <v>2905</v>
      </c>
    </row>
    <row r="28" spans="1:4" ht="15" customHeight="1" x14ac:dyDescent="0.25">
      <c r="A28" t="s">
        <v>4347</v>
      </c>
      <c r="B28" t="s">
        <v>4348</v>
      </c>
      <c r="C28" t="s">
        <v>4308</v>
      </c>
      <c r="D28" t="s">
        <v>2905</v>
      </c>
    </row>
    <row r="29" spans="1:4" ht="15" customHeight="1" x14ac:dyDescent="0.25">
      <c r="A29" t="s">
        <v>4349</v>
      </c>
      <c r="B29" t="s">
        <v>4350</v>
      </c>
      <c r="C29" t="s">
        <v>4351</v>
      </c>
      <c r="D29" t="s">
        <v>2905</v>
      </c>
    </row>
    <row r="30" spans="1:4" ht="15" customHeight="1" x14ac:dyDescent="0.25">
      <c r="A30" t="s">
        <v>4352</v>
      </c>
      <c r="B30" t="s">
        <v>4353</v>
      </c>
      <c r="C30" t="s">
        <v>3802</v>
      </c>
      <c r="D30" t="s">
        <v>2905</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52</v>
      </c>
      <c r="B1" t="s">
        <v>22</v>
      </c>
      <c r="C1" t="s">
        <v>15</v>
      </c>
      <c r="D1" t="s">
        <v>18</v>
      </c>
      <c r="E1" t="s">
        <v>4354</v>
      </c>
      <c r="F1" t="s">
        <v>4355</v>
      </c>
      <c r="G1" t="s">
        <v>4288</v>
      </c>
      <c r="H1" t="s">
        <v>4356</v>
      </c>
      <c r="I1" t="s">
        <v>4357</v>
      </c>
      <c r="J1" t="s">
        <v>4358</v>
      </c>
      <c r="K1" t="s">
        <v>4359</v>
      </c>
      <c r="L1" t="s">
        <v>4360</v>
      </c>
      <c r="M1" t="s">
        <v>4361</v>
      </c>
    </row>
    <row r="2" spans="1:13" ht="15" customHeight="1" x14ac:dyDescent="0.25">
      <c r="A2" t="s">
        <v>4294</v>
      </c>
      <c r="B2" t="s">
        <v>4295</v>
      </c>
      <c r="C2" t="s">
        <v>4362</v>
      </c>
      <c r="D2" t="s">
        <v>4363</v>
      </c>
      <c r="E2" t="s">
        <v>3805</v>
      </c>
      <c r="F2" t="s">
        <v>3802</v>
      </c>
      <c r="G2" t="s">
        <v>2905</v>
      </c>
      <c r="H2" t="s">
        <v>4364</v>
      </c>
      <c r="I2" t="s">
        <v>4365</v>
      </c>
      <c r="J2" t="s">
        <v>4366</v>
      </c>
    </row>
    <row r="3" spans="1:13" ht="15" customHeight="1" x14ac:dyDescent="0.25">
      <c r="A3" t="s">
        <v>4300</v>
      </c>
      <c r="B3" t="s">
        <v>4301</v>
      </c>
      <c r="C3" t="s">
        <v>4301</v>
      </c>
      <c r="D3" t="s">
        <v>4301</v>
      </c>
      <c r="E3" t="s">
        <v>3805</v>
      </c>
      <c r="F3" t="s">
        <v>3802</v>
      </c>
      <c r="G3" t="s">
        <v>2905</v>
      </c>
      <c r="H3" t="s">
        <v>4367</v>
      </c>
      <c r="I3" t="s">
        <v>4368</v>
      </c>
    </row>
    <row r="4" spans="1:13" ht="15" customHeight="1" x14ac:dyDescent="0.25">
      <c r="A4" t="s">
        <v>4369</v>
      </c>
      <c r="B4" s="9" t="s">
        <v>4370</v>
      </c>
      <c r="C4" s="9" t="s">
        <v>4370</v>
      </c>
      <c r="D4" s="9" t="s">
        <v>4370</v>
      </c>
      <c r="E4" t="s">
        <v>70</v>
      </c>
      <c r="F4" t="s">
        <v>3802</v>
      </c>
      <c r="G4" t="s">
        <v>2905</v>
      </c>
      <c r="H4" t="s">
        <v>4371</v>
      </c>
      <c r="I4" t="s">
        <v>4372</v>
      </c>
    </row>
    <row r="5" spans="1:13" ht="15" customHeight="1" x14ac:dyDescent="0.25">
      <c r="A5" t="s">
        <v>4373</v>
      </c>
      <c r="B5" t="s">
        <v>4374</v>
      </c>
      <c r="C5" t="s">
        <v>4374</v>
      </c>
      <c r="D5" t="s">
        <v>4374</v>
      </c>
      <c r="E5" t="s">
        <v>3805</v>
      </c>
      <c r="F5" t="s">
        <v>4308</v>
      </c>
      <c r="G5" t="s">
        <v>2905</v>
      </c>
      <c r="H5" t="s">
        <v>4375</v>
      </c>
      <c r="I5" t="s">
        <v>4368</v>
      </c>
    </row>
    <row r="6" spans="1:13" ht="15" customHeight="1" x14ac:dyDescent="0.25">
      <c r="A6" t="s">
        <v>4306</v>
      </c>
      <c r="B6" t="s">
        <v>4307</v>
      </c>
      <c r="C6" t="s">
        <v>4376</v>
      </c>
      <c r="D6" t="s">
        <v>4307</v>
      </c>
      <c r="E6" t="s">
        <v>3805</v>
      </c>
      <c r="F6" t="s">
        <v>4308</v>
      </c>
      <c r="G6" t="s">
        <v>2905</v>
      </c>
      <c r="H6" t="s">
        <v>4377</v>
      </c>
      <c r="I6" t="s">
        <v>4368</v>
      </c>
      <c r="K6" t="s">
        <v>4378</v>
      </c>
      <c r="L6" t="s">
        <v>4379</v>
      </c>
    </row>
    <row r="7" spans="1:13" ht="15" customHeight="1" x14ac:dyDescent="0.25">
      <c r="A7" t="s">
        <v>4380</v>
      </c>
      <c r="B7" t="s">
        <v>4381</v>
      </c>
      <c r="C7" t="s">
        <v>4382</v>
      </c>
      <c r="D7" t="s">
        <v>4381</v>
      </c>
      <c r="E7" t="s">
        <v>3805</v>
      </c>
      <c r="F7" t="s">
        <v>4308</v>
      </c>
      <c r="G7" t="s">
        <v>2905</v>
      </c>
      <c r="H7" t="s">
        <v>4383</v>
      </c>
      <c r="I7" t="s">
        <v>4368</v>
      </c>
      <c r="K7" t="s">
        <v>4384</v>
      </c>
      <c r="L7" t="s">
        <v>4385</v>
      </c>
    </row>
    <row r="8" spans="1:13" ht="15" customHeight="1" x14ac:dyDescent="0.25">
      <c r="A8" t="s">
        <v>4309</v>
      </c>
      <c r="B8" t="s">
        <v>4386</v>
      </c>
      <c r="C8" t="s">
        <v>4387</v>
      </c>
      <c r="D8" t="s">
        <v>4387</v>
      </c>
      <c r="E8" t="s">
        <v>3805</v>
      </c>
      <c r="F8" t="s">
        <v>3278</v>
      </c>
      <c r="G8" t="s">
        <v>2905</v>
      </c>
      <c r="H8" t="s">
        <v>4388</v>
      </c>
      <c r="I8" t="s">
        <v>4389</v>
      </c>
      <c r="J8" t="s">
        <v>4388</v>
      </c>
    </row>
    <row r="9" spans="1:13" ht="15" customHeight="1" x14ac:dyDescent="0.25">
      <c r="A9" t="s">
        <v>4311</v>
      </c>
      <c r="B9" t="s">
        <v>4312</v>
      </c>
      <c r="C9" t="s">
        <v>4312</v>
      </c>
      <c r="D9" t="s">
        <v>4312</v>
      </c>
      <c r="E9" t="s">
        <v>3805</v>
      </c>
      <c r="F9" t="s">
        <v>3802</v>
      </c>
      <c r="G9" t="s">
        <v>2905</v>
      </c>
      <c r="H9" t="s">
        <v>4390</v>
      </c>
      <c r="I9" t="s">
        <v>4391</v>
      </c>
      <c r="J9" t="s">
        <v>3129</v>
      </c>
    </row>
    <row r="10" spans="1:13" ht="15" customHeight="1" x14ac:dyDescent="0.25">
      <c r="A10" t="s">
        <v>4315</v>
      </c>
      <c r="B10" t="s">
        <v>4316</v>
      </c>
      <c r="C10" t="s">
        <v>4392</v>
      </c>
      <c r="D10" t="s">
        <v>4392</v>
      </c>
      <c r="E10" t="s">
        <v>3805</v>
      </c>
      <c r="F10" t="s">
        <v>3802</v>
      </c>
      <c r="G10" t="s">
        <v>2905</v>
      </c>
      <c r="H10" t="s">
        <v>4393</v>
      </c>
      <c r="I10" t="s">
        <v>4389</v>
      </c>
      <c r="J10" t="s">
        <v>4393</v>
      </c>
    </row>
    <row r="11" spans="1:13" ht="15" customHeight="1" x14ac:dyDescent="0.25">
      <c r="A11" t="s">
        <v>4394</v>
      </c>
      <c r="B11" t="s">
        <v>4318</v>
      </c>
      <c r="C11" t="s">
        <v>4395</v>
      </c>
      <c r="D11" t="s">
        <v>4318</v>
      </c>
      <c r="E11" t="s">
        <v>70</v>
      </c>
      <c r="F11" t="s">
        <v>3802</v>
      </c>
      <c r="G11" t="s">
        <v>2905</v>
      </c>
      <c r="H11" t="s">
        <v>4396</v>
      </c>
      <c r="I11" t="s">
        <v>4372</v>
      </c>
    </row>
    <row r="12" spans="1:13" ht="15" customHeight="1" x14ac:dyDescent="0.25">
      <c r="A12" t="s">
        <v>4319</v>
      </c>
      <c r="B12" t="s">
        <v>4320</v>
      </c>
      <c r="C12" t="s">
        <v>4397</v>
      </c>
      <c r="D12" t="s">
        <v>4320</v>
      </c>
      <c r="E12" t="s">
        <v>3805</v>
      </c>
      <c r="F12" t="s">
        <v>4308</v>
      </c>
      <c r="G12" t="s">
        <v>2905</v>
      </c>
      <c r="H12" t="s">
        <v>4398</v>
      </c>
      <c r="I12" t="s">
        <v>4368</v>
      </c>
      <c r="K12" t="s">
        <v>4399</v>
      </c>
      <c r="L12" t="s">
        <v>4400</v>
      </c>
    </row>
    <row r="13" spans="1:13" ht="15" customHeight="1" x14ac:dyDescent="0.25">
      <c r="A13" t="s">
        <v>4321</v>
      </c>
      <c r="B13" t="s">
        <v>4322</v>
      </c>
      <c r="C13" t="s">
        <v>4322</v>
      </c>
      <c r="D13" t="s">
        <v>4322</v>
      </c>
      <c r="E13" t="s">
        <v>3805</v>
      </c>
      <c r="F13" t="s">
        <v>3802</v>
      </c>
      <c r="G13" t="s">
        <v>2905</v>
      </c>
      <c r="H13" t="s">
        <v>4401</v>
      </c>
      <c r="I13" t="s">
        <v>4389</v>
      </c>
      <c r="J13" t="s">
        <v>4401</v>
      </c>
    </row>
    <row r="14" spans="1:13" ht="15" customHeight="1" x14ac:dyDescent="0.25">
      <c r="A14" t="s">
        <v>4326</v>
      </c>
      <c r="B14" t="s">
        <v>4402</v>
      </c>
      <c r="C14" t="s">
        <v>4403</v>
      </c>
      <c r="D14" t="s">
        <v>4403</v>
      </c>
      <c r="E14" t="s">
        <v>3805</v>
      </c>
      <c r="F14" t="s">
        <v>3802</v>
      </c>
      <c r="G14" t="s">
        <v>2905</v>
      </c>
      <c r="H14" t="s">
        <v>4404</v>
      </c>
      <c r="I14" t="s">
        <v>4368</v>
      </c>
    </row>
    <row r="15" spans="1:13" ht="15" customHeight="1" x14ac:dyDescent="0.25">
      <c r="A15" t="s">
        <v>4405</v>
      </c>
      <c r="B15" t="s">
        <v>4406</v>
      </c>
      <c r="C15" t="s">
        <v>4406</v>
      </c>
      <c r="D15" t="s">
        <v>4406</v>
      </c>
      <c r="E15" t="s">
        <v>3805</v>
      </c>
      <c r="F15" t="s">
        <v>4407</v>
      </c>
      <c r="G15" t="s">
        <v>2905</v>
      </c>
      <c r="H15" t="s">
        <v>4408</v>
      </c>
      <c r="I15" t="s">
        <v>4408</v>
      </c>
    </row>
    <row r="16" spans="1:13" ht="15" customHeight="1" x14ac:dyDescent="0.25">
      <c r="A16" t="s">
        <v>4409</v>
      </c>
      <c r="B16" t="s">
        <v>4410</v>
      </c>
      <c r="C16" t="s">
        <v>4410</v>
      </c>
      <c r="D16" t="s">
        <v>4410</v>
      </c>
      <c r="E16" t="s">
        <v>70</v>
      </c>
      <c r="F16" t="s">
        <v>4407</v>
      </c>
      <c r="G16" t="s">
        <v>2905</v>
      </c>
      <c r="H16" t="s">
        <v>4411</v>
      </c>
      <c r="I16" t="s">
        <v>4411</v>
      </c>
    </row>
    <row r="17" spans="1:12" ht="15" customHeight="1" x14ac:dyDescent="0.25">
      <c r="A17" t="s">
        <v>4333</v>
      </c>
      <c r="B17" t="s">
        <v>4334</v>
      </c>
      <c r="C17" t="s">
        <v>4412</v>
      </c>
      <c r="D17" t="s">
        <v>4412</v>
      </c>
      <c r="E17" t="s">
        <v>3805</v>
      </c>
      <c r="F17" t="s">
        <v>3802</v>
      </c>
      <c r="G17" t="s">
        <v>2905</v>
      </c>
      <c r="H17" t="s">
        <v>4413</v>
      </c>
      <c r="I17" t="s">
        <v>4368</v>
      </c>
    </row>
    <row r="18" spans="1:12" ht="15" customHeight="1" x14ac:dyDescent="0.25">
      <c r="A18" t="s">
        <v>4414</v>
      </c>
      <c r="B18" t="s">
        <v>4415</v>
      </c>
      <c r="C18" t="s">
        <v>4415</v>
      </c>
      <c r="D18" t="s">
        <v>4416</v>
      </c>
      <c r="E18" t="s">
        <v>70</v>
      </c>
      <c r="F18" t="s">
        <v>4308</v>
      </c>
      <c r="G18" t="s">
        <v>2905</v>
      </c>
      <c r="H18" t="s">
        <v>4417</v>
      </c>
      <c r="I18" t="s">
        <v>4418</v>
      </c>
    </row>
    <row r="19" spans="1:12" ht="15" customHeight="1" x14ac:dyDescent="0.25">
      <c r="A19" t="s">
        <v>4336</v>
      </c>
      <c r="B19" t="s">
        <v>4337</v>
      </c>
      <c r="C19" t="s">
        <v>4419</v>
      </c>
      <c r="D19" t="s">
        <v>4337</v>
      </c>
      <c r="E19" t="s">
        <v>3805</v>
      </c>
      <c r="F19" t="s">
        <v>4308</v>
      </c>
      <c r="G19" t="s">
        <v>2905</v>
      </c>
      <c r="H19" t="s">
        <v>4420</v>
      </c>
      <c r="I19" t="s">
        <v>4368</v>
      </c>
    </row>
    <row r="20" spans="1:12" ht="15" customHeight="1" x14ac:dyDescent="0.25">
      <c r="A20" t="s">
        <v>4345</v>
      </c>
      <c r="B20" t="s">
        <v>4421</v>
      </c>
      <c r="C20" t="s">
        <v>4422</v>
      </c>
      <c r="D20" t="s">
        <v>4421</v>
      </c>
      <c r="E20" t="s">
        <v>3805</v>
      </c>
      <c r="F20" t="s">
        <v>4308</v>
      </c>
      <c r="G20" t="s">
        <v>2905</v>
      </c>
      <c r="H20" t="s">
        <v>4423</v>
      </c>
      <c r="I20" t="s">
        <v>4368</v>
      </c>
    </row>
    <row r="21" spans="1:12" ht="15" customHeight="1" x14ac:dyDescent="0.25">
      <c r="A21" t="s">
        <v>4347</v>
      </c>
      <c r="B21" t="s">
        <v>4424</v>
      </c>
      <c r="C21" t="s">
        <v>4376</v>
      </c>
      <c r="D21" t="s">
        <v>4424</v>
      </c>
      <c r="E21" t="s">
        <v>3805</v>
      </c>
      <c r="F21" t="s">
        <v>4308</v>
      </c>
      <c r="G21" t="s">
        <v>2905</v>
      </c>
      <c r="H21" t="s">
        <v>4425</v>
      </c>
      <c r="I21" t="s">
        <v>4368</v>
      </c>
      <c r="K21" t="s">
        <v>4426</v>
      </c>
      <c r="L21" t="s">
        <v>4379</v>
      </c>
    </row>
    <row r="22" spans="1:12" ht="15" customHeight="1" x14ac:dyDescent="0.25">
      <c r="A22" t="s">
        <v>4349</v>
      </c>
      <c r="B22" t="s">
        <v>4427</v>
      </c>
      <c r="C22" t="s">
        <v>4427</v>
      </c>
      <c r="D22" t="s">
        <v>4427</v>
      </c>
      <c r="E22" t="s">
        <v>3805</v>
      </c>
      <c r="F22" t="s">
        <v>3278</v>
      </c>
      <c r="G22" t="s">
        <v>2905</v>
      </c>
      <c r="H22" t="s">
        <v>4428</v>
      </c>
      <c r="I22" t="s">
        <v>4429</v>
      </c>
    </row>
    <row r="23" spans="1:12" ht="15" customHeight="1" x14ac:dyDescent="0.25">
      <c r="A23" t="s">
        <v>4352</v>
      </c>
      <c r="B23" t="s">
        <v>4353</v>
      </c>
      <c r="C23" t="s">
        <v>4353</v>
      </c>
      <c r="D23" t="s">
        <v>4353</v>
      </c>
      <c r="E23" t="s">
        <v>3805</v>
      </c>
      <c r="F23" t="s">
        <v>3802</v>
      </c>
      <c r="G23" t="s">
        <v>2905</v>
      </c>
      <c r="H23" t="s">
        <v>4430</v>
      </c>
      <c r="I23" t="s">
        <v>4391</v>
      </c>
      <c r="J23" t="s">
        <v>4431</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52</v>
      </c>
      <c r="B1" t="s">
        <v>3795</v>
      </c>
      <c r="C1" t="s">
        <v>4432</v>
      </c>
      <c r="D1" t="s">
        <v>4433</v>
      </c>
      <c r="E1" t="s">
        <v>4434</v>
      </c>
      <c r="F1" t="s">
        <v>4435</v>
      </c>
      <c r="G1" t="s">
        <v>4436</v>
      </c>
      <c r="H1" t="s">
        <v>4437</v>
      </c>
      <c r="I1" t="s">
        <v>4438</v>
      </c>
      <c r="J1" t="s">
        <v>4439</v>
      </c>
      <c r="K1" t="s">
        <v>2948</v>
      </c>
      <c r="L1" t="s">
        <v>3247</v>
      </c>
      <c r="M1" t="s">
        <v>57</v>
      </c>
    </row>
    <row r="2" spans="1:13" ht="15" customHeight="1" x14ac:dyDescent="0.25">
      <c r="A2" t="s">
        <v>4440</v>
      </c>
      <c r="B2" t="s">
        <v>2971</v>
      </c>
      <c r="C2" t="s">
        <v>4441</v>
      </c>
      <c r="D2" t="s">
        <v>4442</v>
      </c>
      <c r="E2" t="s">
        <v>4441</v>
      </c>
      <c r="F2" t="s">
        <v>4442</v>
      </c>
      <c r="G2" t="s">
        <v>4441</v>
      </c>
      <c r="H2" t="s">
        <v>4442</v>
      </c>
      <c r="I2" t="s">
        <v>4441</v>
      </c>
      <c r="J2" t="s">
        <v>4442</v>
      </c>
      <c r="K2" t="s">
        <v>1794</v>
      </c>
      <c r="L2" t="s">
        <v>3268</v>
      </c>
    </row>
    <row r="3" spans="1:13" ht="15" customHeight="1" x14ac:dyDescent="0.25">
      <c r="A3" t="s">
        <v>3248</v>
      </c>
      <c r="B3" t="s">
        <v>2971</v>
      </c>
      <c r="C3" t="s">
        <v>4443</v>
      </c>
      <c r="D3" t="s">
        <v>4444</v>
      </c>
      <c r="E3" t="s">
        <v>4445</v>
      </c>
      <c r="F3" t="s">
        <v>4446</v>
      </c>
      <c r="G3" t="s">
        <v>4447</v>
      </c>
      <c r="H3" t="s">
        <v>4448</v>
      </c>
      <c r="I3" t="s">
        <v>4449</v>
      </c>
      <c r="J3" t="s">
        <v>4450</v>
      </c>
      <c r="K3" t="s">
        <v>1794</v>
      </c>
      <c r="L3" t="s">
        <v>3249</v>
      </c>
    </row>
    <row r="4" spans="1:13" ht="15" customHeight="1" x14ac:dyDescent="0.25">
      <c r="A4" t="s">
        <v>3252</v>
      </c>
      <c r="B4" t="s">
        <v>2971</v>
      </c>
      <c r="C4" t="s">
        <v>4451</v>
      </c>
      <c r="D4" t="s">
        <v>4452</v>
      </c>
      <c r="E4" t="s">
        <v>4453</v>
      </c>
      <c r="F4" t="s">
        <v>4454</v>
      </c>
      <c r="G4" t="s">
        <v>4455</v>
      </c>
      <c r="H4" t="s">
        <v>4456</v>
      </c>
      <c r="I4" t="s">
        <v>4457</v>
      </c>
      <c r="J4" t="s">
        <v>4458</v>
      </c>
      <c r="K4" t="s">
        <v>1034</v>
      </c>
      <c r="L4" t="s">
        <v>3249</v>
      </c>
      <c r="M4" t="s">
        <v>3255</v>
      </c>
    </row>
    <row r="5" spans="1:13" ht="15" customHeight="1" x14ac:dyDescent="0.25">
      <c r="A5" t="s">
        <v>4459</v>
      </c>
      <c r="B5" t="s">
        <v>2971</v>
      </c>
      <c r="C5" t="s">
        <v>4460</v>
      </c>
      <c r="D5" t="s">
        <v>4461</v>
      </c>
      <c r="E5" t="s">
        <v>4462</v>
      </c>
      <c r="F5" t="s">
        <v>4463</v>
      </c>
      <c r="G5" t="s">
        <v>4464</v>
      </c>
      <c r="H5" t="s">
        <v>4465</v>
      </c>
      <c r="I5" t="s">
        <v>4466</v>
      </c>
      <c r="J5" t="s">
        <v>4467</v>
      </c>
      <c r="K5" t="s">
        <v>1421</v>
      </c>
      <c r="L5" t="s">
        <v>3260</v>
      </c>
    </row>
    <row r="6" spans="1:13" ht="15" customHeight="1" x14ac:dyDescent="0.25">
      <c r="A6" t="s">
        <v>3256</v>
      </c>
      <c r="B6" t="s">
        <v>2959</v>
      </c>
      <c r="C6" t="s">
        <v>4468</v>
      </c>
      <c r="D6" t="s">
        <v>4469</v>
      </c>
      <c r="E6" t="s">
        <v>4470</v>
      </c>
      <c r="F6" t="s">
        <v>4471</v>
      </c>
      <c r="G6" t="s">
        <v>4472</v>
      </c>
      <c r="H6" t="s">
        <v>4473</v>
      </c>
      <c r="I6" t="s">
        <v>4474</v>
      </c>
      <c r="J6" t="s">
        <v>4475</v>
      </c>
      <c r="K6" t="s">
        <v>1794</v>
      </c>
      <c r="L6" t="s">
        <v>3249</v>
      </c>
    </row>
    <row r="7" spans="1:13" ht="15" customHeight="1" x14ac:dyDescent="0.25">
      <c r="A7" t="s">
        <v>4476</v>
      </c>
      <c r="B7" t="s">
        <v>2959</v>
      </c>
      <c r="C7" t="s">
        <v>4477</v>
      </c>
      <c r="D7" t="s">
        <v>4478</v>
      </c>
      <c r="E7" t="s">
        <v>4479</v>
      </c>
      <c r="F7" t="s">
        <v>4480</v>
      </c>
      <c r="G7" t="s">
        <v>4481</v>
      </c>
      <c r="H7" t="s">
        <v>4482</v>
      </c>
      <c r="I7" t="s">
        <v>4483</v>
      </c>
      <c r="J7" t="s">
        <v>4484</v>
      </c>
      <c r="K7" t="s">
        <v>1794</v>
      </c>
      <c r="L7" t="s">
        <v>3260</v>
      </c>
      <c r="M7" t="s">
        <v>4485</v>
      </c>
    </row>
    <row r="8" spans="1:13" ht="15" customHeight="1" x14ac:dyDescent="0.25">
      <c r="A8" t="s">
        <v>4486</v>
      </c>
      <c r="B8" t="s">
        <v>2971</v>
      </c>
      <c r="C8" t="s">
        <v>4487</v>
      </c>
      <c r="D8" t="s">
        <v>4488</v>
      </c>
      <c r="E8" t="s">
        <v>4489</v>
      </c>
      <c r="F8" t="s">
        <v>4490</v>
      </c>
      <c r="G8" t="s">
        <v>4491</v>
      </c>
      <c r="H8" t="s">
        <v>4492</v>
      </c>
      <c r="I8" t="s">
        <v>4493</v>
      </c>
      <c r="J8" t="s">
        <v>4494</v>
      </c>
      <c r="K8" t="s">
        <v>1034</v>
      </c>
      <c r="L8" t="s">
        <v>3249</v>
      </c>
    </row>
    <row r="9" spans="1:13" ht="15" customHeight="1" x14ac:dyDescent="0.25">
      <c r="A9" t="s">
        <v>3259</v>
      </c>
      <c r="B9" t="s">
        <v>2959</v>
      </c>
      <c r="C9" t="s">
        <v>4495</v>
      </c>
      <c r="D9" t="s">
        <v>4496</v>
      </c>
      <c r="E9" t="s">
        <v>4497</v>
      </c>
      <c r="F9" t="s">
        <v>4498</v>
      </c>
      <c r="G9" t="s">
        <v>3261</v>
      </c>
      <c r="H9" t="s">
        <v>3262</v>
      </c>
      <c r="I9" t="s">
        <v>4499</v>
      </c>
      <c r="J9" t="s">
        <v>4500</v>
      </c>
      <c r="K9" t="s">
        <v>1794</v>
      </c>
      <c r="L9" t="s">
        <v>3260</v>
      </c>
      <c r="M9" t="s">
        <v>3263</v>
      </c>
    </row>
    <row r="10" spans="1:13" ht="15" customHeight="1" x14ac:dyDescent="0.25">
      <c r="A10" t="s">
        <v>3264</v>
      </c>
      <c r="B10" t="s">
        <v>2971</v>
      </c>
      <c r="C10" t="s">
        <v>4501</v>
      </c>
      <c r="D10" t="s">
        <v>4502</v>
      </c>
      <c r="E10" t="s">
        <v>4503</v>
      </c>
      <c r="F10" t="s">
        <v>4504</v>
      </c>
      <c r="G10" t="s">
        <v>4505</v>
      </c>
      <c r="H10" t="s">
        <v>3266</v>
      </c>
      <c r="I10" t="s">
        <v>4506</v>
      </c>
      <c r="J10" t="s">
        <v>4507</v>
      </c>
      <c r="K10" t="s">
        <v>1794</v>
      </c>
      <c r="L10" t="s">
        <v>3260</v>
      </c>
    </row>
    <row r="11" spans="1:13" ht="15" customHeight="1" x14ac:dyDescent="0.25">
      <c r="A11" t="s">
        <v>4508</v>
      </c>
      <c r="B11" t="s">
        <v>2971</v>
      </c>
      <c r="C11" t="s">
        <v>4509</v>
      </c>
      <c r="D11" t="s">
        <v>4510</v>
      </c>
      <c r="E11" t="s">
        <v>4511</v>
      </c>
      <c r="F11" t="s">
        <v>4512</v>
      </c>
      <c r="G11" t="s">
        <v>4513</v>
      </c>
      <c r="H11" t="s">
        <v>4514</v>
      </c>
      <c r="I11" t="s">
        <v>4515</v>
      </c>
      <c r="J11" t="s">
        <v>4516</v>
      </c>
      <c r="K11" t="s">
        <v>1794</v>
      </c>
      <c r="L11" t="s">
        <v>3249</v>
      </c>
    </row>
    <row r="12" spans="1:13" ht="15" customHeight="1" x14ac:dyDescent="0.25">
      <c r="A12" t="s">
        <v>4517</v>
      </c>
      <c r="B12" t="s">
        <v>2959</v>
      </c>
      <c r="C12" t="s">
        <v>4518</v>
      </c>
      <c r="D12" t="s">
        <v>4519</v>
      </c>
      <c r="E12" t="s">
        <v>4520</v>
      </c>
      <c r="F12" t="s">
        <v>4521</v>
      </c>
      <c r="G12" t="s">
        <v>4522</v>
      </c>
      <c r="H12" t="s">
        <v>4523</v>
      </c>
      <c r="I12" t="s">
        <v>4524</v>
      </c>
      <c r="J12" t="s">
        <v>4525</v>
      </c>
      <c r="K12" t="s">
        <v>1794</v>
      </c>
      <c r="L12" t="s">
        <v>3268</v>
      </c>
      <c r="M12" t="s">
        <v>3271</v>
      </c>
    </row>
    <row r="13" spans="1:13" ht="15" customHeight="1" x14ac:dyDescent="0.25">
      <c r="A13" t="s">
        <v>4526</v>
      </c>
      <c r="B13" t="s">
        <v>2952</v>
      </c>
      <c r="C13" t="s">
        <v>4527</v>
      </c>
      <c r="D13" t="s">
        <v>4528</v>
      </c>
      <c r="E13" t="s">
        <v>4529</v>
      </c>
      <c r="F13" t="s">
        <v>4530</v>
      </c>
      <c r="G13" t="s">
        <v>4531</v>
      </c>
      <c r="H13" t="s">
        <v>4532</v>
      </c>
      <c r="I13" t="s">
        <v>4533</v>
      </c>
      <c r="J13" t="s">
        <v>4534</v>
      </c>
      <c r="K13" t="s">
        <v>1794</v>
      </c>
      <c r="L13" t="s">
        <v>3260</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52</v>
      </c>
      <c r="B1" t="s">
        <v>3795</v>
      </c>
      <c r="C1" t="s">
        <v>2947</v>
      </c>
      <c r="D1" t="s">
        <v>2948</v>
      </c>
      <c r="E1" t="s">
        <v>57</v>
      </c>
    </row>
    <row r="2" spans="1:5" ht="15" customHeight="1" x14ac:dyDescent="0.25">
      <c r="A2" t="s">
        <v>4535</v>
      </c>
      <c r="B2" t="s">
        <v>2959</v>
      </c>
      <c r="C2" t="s">
        <v>4536</v>
      </c>
      <c r="D2" t="s">
        <v>1954</v>
      </c>
      <c r="E2" t="s">
        <v>4537</v>
      </c>
    </row>
    <row r="3" spans="1:5" ht="15" customHeight="1" x14ac:dyDescent="0.25">
      <c r="A3" t="s">
        <v>4538</v>
      </c>
      <c r="B3" t="s">
        <v>2959</v>
      </c>
      <c r="C3" t="s">
        <v>4539</v>
      </c>
      <c r="D3" t="s">
        <v>1954</v>
      </c>
      <c r="E3" t="s">
        <v>4540</v>
      </c>
    </row>
    <row r="4" spans="1:5" ht="15" customHeight="1" x14ac:dyDescent="0.25">
      <c r="A4" t="s">
        <v>4541</v>
      </c>
      <c r="B4" t="s">
        <v>2959</v>
      </c>
      <c r="C4" t="s">
        <v>4542</v>
      </c>
      <c r="D4" t="s">
        <v>1954</v>
      </c>
      <c r="E4" t="s">
        <v>4543</v>
      </c>
    </row>
    <row r="5" spans="1:5" ht="15" customHeight="1" x14ac:dyDescent="0.25">
      <c r="A5" t="s">
        <v>4544</v>
      </c>
      <c r="B5" t="s">
        <v>2959</v>
      </c>
      <c r="C5" t="s">
        <v>4545</v>
      </c>
      <c r="D5" t="s">
        <v>1954</v>
      </c>
      <c r="E5" t="s">
        <v>4546</v>
      </c>
    </row>
    <row r="6" spans="1:5" ht="15" customHeight="1" x14ac:dyDescent="0.25">
      <c r="A6" t="s">
        <v>4547</v>
      </c>
      <c r="B6" t="s">
        <v>2959</v>
      </c>
      <c r="C6" t="s">
        <v>4548</v>
      </c>
      <c r="D6" t="s">
        <v>1954</v>
      </c>
      <c r="E6" t="s">
        <v>4549</v>
      </c>
    </row>
    <row r="7" spans="1:5" ht="15" customHeight="1" x14ac:dyDescent="0.25">
      <c r="A7" t="s">
        <v>4550</v>
      </c>
      <c r="B7" t="s">
        <v>2959</v>
      </c>
      <c r="C7" t="s">
        <v>4551</v>
      </c>
      <c r="D7" t="s">
        <v>1954</v>
      </c>
      <c r="E7" t="s">
        <v>4552</v>
      </c>
    </row>
    <row r="8" spans="1:5" ht="15" customHeight="1" x14ac:dyDescent="0.25">
      <c r="A8" t="s">
        <v>4553</v>
      </c>
      <c r="B8" t="s">
        <v>2959</v>
      </c>
      <c r="C8" t="s">
        <v>4554</v>
      </c>
      <c r="D8" t="s">
        <v>1954</v>
      </c>
      <c r="E8" t="s">
        <v>4555</v>
      </c>
    </row>
    <row r="9" spans="1:5" ht="15" customHeight="1" x14ac:dyDescent="0.25">
      <c r="A9" t="s">
        <v>4556</v>
      </c>
      <c r="B9" t="s">
        <v>2952</v>
      </c>
      <c r="C9" t="s">
        <v>4557</v>
      </c>
      <c r="D9" t="s">
        <v>1954</v>
      </c>
      <c r="E9" t="s">
        <v>4558</v>
      </c>
    </row>
    <row r="10" spans="1:5" ht="15" customHeight="1" x14ac:dyDescent="0.25">
      <c r="A10" t="s">
        <v>4559</v>
      </c>
      <c r="B10" t="s">
        <v>2959</v>
      </c>
      <c r="C10" t="s">
        <v>4560</v>
      </c>
      <c r="D10" t="s">
        <v>1954</v>
      </c>
      <c r="E10" t="s">
        <v>4561</v>
      </c>
    </row>
    <row r="11" spans="1:5" ht="15" customHeight="1" x14ac:dyDescent="0.25">
      <c r="A11" t="s">
        <v>4562</v>
      </c>
      <c r="B11" t="s">
        <v>2959</v>
      </c>
      <c r="C11" t="s">
        <v>4563</v>
      </c>
      <c r="D11" t="s">
        <v>1954</v>
      </c>
      <c r="E11" t="s">
        <v>4564</v>
      </c>
    </row>
    <row r="12" spans="1:5" ht="15" customHeight="1" x14ac:dyDescent="0.25">
      <c r="A12" t="s">
        <v>4565</v>
      </c>
      <c r="B12" t="s">
        <v>2959</v>
      </c>
      <c r="C12" t="s">
        <v>4566</v>
      </c>
      <c r="D12" t="s">
        <v>1954</v>
      </c>
      <c r="E12" t="s">
        <v>4567</v>
      </c>
    </row>
    <row r="13" spans="1:5" ht="15" customHeight="1" x14ac:dyDescent="0.25">
      <c r="A13" t="s">
        <v>4568</v>
      </c>
      <c r="B13" t="s">
        <v>2971</v>
      </c>
      <c r="C13" t="s">
        <v>4569</v>
      </c>
      <c r="D13" t="s">
        <v>1954</v>
      </c>
      <c r="E13" t="s">
        <v>4570</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52</v>
      </c>
      <c r="B1" t="s">
        <v>9</v>
      </c>
      <c r="C1" t="s">
        <v>2889</v>
      </c>
      <c r="D1" t="s">
        <v>3385</v>
      </c>
      <c r="E1" t="s">
        <v>4571</v>
      </c>
      <c r="F1" t="s">
        <v>4572</v>
      </c>
      <c r="G1" t="s">
        <v>4573</v>
      </c>
      <c r="H1" t="s">
        <v>4574</v>
      </c>
      <c r="I1" t="s">
        <v>3431</v>
      </c>
      <c r="J1" t="s">
        <v>4575</v>
      </c>
      <c r="K1" t="s">
        <v>2891</v>
      </c>
      <c r="L1" t="s">
        <v>4576</v>
      </c>
      <c r="M1" t="s">
        <v>3120</v>
      </c>
      <c r="N1" t="s">
        <v>4577</v>
      </c>
      <c r="O1" t="s">
        <v>4578</v>
      </c>
      <c r="P1" t="s">
        <v>2897</v>
      </c>
      <c r="Q1" t="s">
        <v>2898</v>
      </c>
      <c r="R1" t="s">
        <v>2899</v>
      </c>
      <c r="S1" t="s">
        <v>4579</v>
      </c>
      <c r="T1" t="s">
        <v>4580</v>
      </c>
      <c r="U1" t="s">
        <v>4581</v>
      </c>
      <c r="V1" t="s">
        <v>4582</v>
      </c>
      <c r="W1" t="s">
        <v>4583</v>
      </c>
      <c r="X1" t="s">
        <v>2900</v>
      </c>
    </row>
    <row r="2" spans="1:24" ht="15" customHeight="1" x14ac:dyDescent="0.25">
      <c r="A2" t="s">
        <v>2934</v>
      </c>
      <c r="B2" t="s">
        <v>1794</v>
      </c>
      <c r="C2">
        <v>75</v>
      </c>
      <c r="D2">
        <v>3</v>
      </c>
      <c r="E2">
        <v>0</v>
      </c>
      <c r="F2">
        <v>0</v>
      </c>
      <c r="G2">
        <v>0</v>
      </c>
      <c r="H2">
        <v>0</v>
      </c>
      <c r="I2">
        <v>2</v>
      </c>
      <c r="J2">
        <v>0</v>
      </c>
      <c r="K2">
        <v>0</v>
      </c>
      <c r="L2">
        <v>0</v>
      </c>
      <c r="M2">
        <v>0</v>
      </c>
      <c r="N2">
        <v>0</v>
      </c>
      <c r="O2">
        <v>0</v>
      </c>
      <c r="P2" t="s">
        <v>2935</v>
      </c>
      <c r="Q2" t="s">
        <v>4584</v>
      </c>
      <c r="R2" t="s">
        <v>2937</v>
      </c>
      <c r="S2" t="s">
        <v>4308</v>
      </c>
      <c r="T2">
        <v>5</v>
      </c>
      <c r="U2">
        <v>5</v>
      </c>
      <c r="X2" t="s">
        <v>2905</v>
      </c>
    </row>
    <row r="3" spans="1:24" ht="15" customHeight="1" x14ac:dyDescent="0.25">
      <c r="A3" t="s">
        <v>2917</v>
      </c>
      <c r="B3" t="s">
        <v>2199</v>
      </c>
      <c r="C3">
        <v>75</v>
      </c>
      <c r="D3">
        <v>3</v>
      </c>
      <c r="E3">
        <v>0</v>
      </c>
      <c r="F3">
        <v>0</v>
      </c>
      <c r="G3">
        <v>0</v>
      </c>
      <c r="H3">
        <v>0</v>
      </c>
      <c r="I3">
        <v>0</v>
      </c>
      <c r="J3">
        <v>2</v>
      </c>
      <c r="K3">
        <v>0</v>
      </c>
      <c r="L3">
        <v>0</v>
      </c>
      <c r="M3">
        <v>0</v>
      </c>
      <c r="N3">
        <v>0</v>
      </c>
      <c r="O3">
        <v>0</v>
      </c>
      <c r="P3" t="s">
        <v>2918</v>
      </c>
      <c r="Q3" t="s">
        <v>4585</v>
      </c>
      <c r="R3" t="s">
        <v>2919</v>
      </c>
      <c r="S3" t="s">
        <v>4325</v>
      </c>
      <c r="T3">
        <v>5</v>
      </c>
      <c r="U3">
        <v>4</v>
      </c>
      <c r="V3" t="s">
        <v>4586</v>
      </c>
      <c r="X3" t="s">
        <v>2920</v>
      </c>
    </row>
    <row r="4" spans="1:24" ht="15" customHeight="1" x14ac:dyDescent="0.25">
      <c r="A4" t="s">
        <v>2942</v>
      </c>
      <c r="B4" t="s">
        <v>1072</v>
      </c>
      <c r="C4">
        <v>60</v>
      </c>
      <c r="D4">
        <v>3</v>
      </c>
      <c r="E4">
        <v>0</v>
      </c>
      <c r="F4">
        <v>1</v>
      </c>
      <c r="G4">
        <v>0</v>
      </c>
      <c r="H4">
        <v>0</v>
      </c>
      <c r="I4">
        <v>0</v>
      </c>
      <c r="J4">
        <v>0</v>
      </c>
      <c r="K4">
        <v>1</v>
      </c>
      <c r="L4">
        <v>0</v>
      </c>
      <c r="M4">
        <v>0</v>
      </c>
      <c r="N4">
        <v>0</v>
      </c>
      <c r="O4">
        <v>0</v>
      </c>
      <c r="P4" t="s">
        <v>2943</v>
      </c>
      <c r="Q4" t="s">
        <v>4587</v>
      </c>
      <c r="R4" t="s">
        <v>2945</v>
      </c>
      <c r="S4" t="s">
        <v>3405</v>
      </c>
      <c r="T4">
        <v>5</v>
      </c>
      <c r="U4">
        <v>5</v>
      </c>
      <c r="X4" t="s">
        <v>2905</v>
      </c>
    </row>
    <row r="5" spans="1:24" ht="15" customHeight="1" x14ac:dyDescent="0.25">
      <c r="A5" t="s">
        <v>2925</v>
      </c>
      <c r="B5" t="s">
        <v>1496</v>
      </c>
      <c r="C5">
        <v>60</v>
      </c>
      <c r="D5">
        <v>3</v>
      </c>
      <c r="E5">
        <v>0</v>
      </c>
      <c r="F5">
        <v>0</v>
      </c>
      <c r="G5">
        <v>1</v>
      </c>
      <c r="H5">
        <v>1</v>
      </c>
      <c r="I5">
        <v>0</v>
      </c>
      <c r="J5">
        <v>0</v>
      </c>
      <c r="K5">
        <v>0</v>
      </c>
      <c r="L5">
        <v>0</v>
      </c>
      <c r="M5">
        <v>0</v>
      </c>
      <c r="N5">
        <v>0</v>
      </c>
      <c r="O5">
        <v>0</v>
      </c>
      <c r="P5" t="s">
        <v>2926</v>
      </c>
      <c r="Q5" t="s">
        <v>4588</v>
      </c>
      <c r="R5" t="s">
        <v>2928</v>
      </c>
      <c r="S5" t="s">
        <v>4589</v>
      </c>
      <c r="T5">
        <v>5</v>
      </c>
      <c r="U5">
        <v>5</v>
      </c>
      <c r="X5" t="s">
        <v>2905</v>
      </c>
    </row>
    <row r="6" spans="1:24" ht="15" customHeight="1" x14ac:dyDescent="0.25">
      <c r="A6" t="s">
        <v>2912</v>
      </c>
      <c r="B6" t="s">
        <v>1954</v>
      </c>
      <c r="C6">
        <v>80</v>
      </c>
      <c r="D6">
        <v>3</v>
      </c>
      <c r="E6">
        <v>2</v>
      </c>
      <c r="F6">
        <v>0</v>
      </c>
      <c r="G6">
        <v>0</v>
      </c>
      <c r="H6">
        <v>0</v>
      </c>
      <c r="I6">
        <v>0</v>
      </c>
      <c r="J6">
        <v>0</v>
      </c>
      <c r="K6">
        <v>0</v>
      </c>
      <c r="L6">
        <v>0</v>
      </c>
      <c r="M6">
        <v>0</v>
      </c>
      <c r="N6">
        <v>0</v>
      </c>
      <c r="O6">
        <v>0</v>
      </c>
      <c r="P6" t="s">
        <v>2913</v>
      </c>
      <c r="Q6" t="s">
        <v>4590</v>
      </c>
      <c r="R6" t="s">
        <v>2915</v>
      </c>
      <c r="S6" t="s">
        <v>4308</v>
      </c>
      <c r="T6">
        <v>5</v>
      </c>
      <c r="U6">
        <v>4</v>
      </c>
      <c r="V6" t="s">
        <v>2890</v>
      </c>
      <c r="X6" t="s">
        <v>2916</v>
      </c>
    </row>
    <row r="7" spans="1:24" ht="15" customHeight="1" x14ac:dyDescent="0.25">
      <c r="A7" t="s">
        <v>4591</v>
      </c>
      <c r="B7" t="s">
        <v>1954</v>
      </c>
      <c r="C7">
        <v>70</v>
      </c>
      <c r="D7">
        <v>3</v>
      </c>
      <c r="E7">
        <v>0</v>
      </c>
      <c r="F7">
        <v>2</v>
      </c>
      <c r="G7">
        <v>0</v>
      </c>
      <c r="H7">
        <v>0</v>
      </c>
      <c r="I7">
        <v>0</v>
      </c>
      <c r="J7">
        <v>0</v>
      </c>
      <c r="K7">
        <v>0</v>
      </c>
      <c r="L7">
        <v>0</v>
      </c>
      <c r="M7">
        <v>0</v>
      </c>
      <c r="N7">
        <v>0</v>
      </c>
      <c r="O7">
        <v>0</v>
      </c>
      <c r="P7" t="s">
        <v>2913</v>
      </c>
      <c r="Q7" t="s">
        <v>4592</v>
      </c>
      <c r="R7" t="s">
        <v>4593</v>
      </c>
      <c r="S7" t="s">
        <v>4308</v>
      </c>
      <c r="T7">
        <v>5</v>
      </c>
      <c r="U7">
        <v>5</v>
      </c>
      <c r="V7" t="s">
        <v>4594</v>
      </c>
      <c r="W7" t="s">
        <v>4595</v>
      </c>
      <c r="X7" t="s">
        <v>3665</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52</v>
      </c>
      <c r="B1" t="s">
        <v>3795</v>
      </c>
      <c r="C1" t="s">
        <v>53</v>
      </c>
      <c r="D1" t="s">
        <v>4596</v>
      </c>
      <c r="E1" t="s">
        <v>2899</v>
      </c>
      <c r="F1" t="s">
        <v>4597</v>
      </c>
      <c r="G1" t="s">
        <v>4598</v>
      </c>
      <c r="H1" t="s">
        <v>3799</v>
      </c>
      <c r="I1" t="s">
        <v>9</v>
      </c>
      <c r="J1" t="s">
        <v>56</v>
      </c>
    </row>
    <row r="2" spans="1:10" ht="15" customHeight="1" x14ac:dyDescent="0.25">
      <c r="A2" t="s">
        <v>4599</v>
      </c>
      <c r="B2" t="s">
        <v>2971</v>
      </c>
      <c r="C2" t="s">
        <v>3453</v>
      </c>
      <c r="D2">
        <v>1</v>
      </c>
      <c r="E2" t="s">
        <v>4600</v>
      </c>
      <c r="F2" t="s">
        <v>4601</v>
      </c>
      <c r="G2">
        <v>1</v>
      </c>
      <c r="H2" t="s">
        <v>4599</v>
      </c>
      <c r="I2" t="s">
        <v>1954</v>
      </c>
      <c r="J2" t="s">
        <v>4602</v>
      </c>
    </row>
    <row r="3" spans="1:10" ht="15" customHeight="1" x14ac:dyDescent="0.25">
      <c r="A3" t="s">
        <v>4603</v>
      </c>
      <c r="B3" t="s">
        <v>2959</v>
      </c>
      <c r="C3" t="s">
        <v>4243</v>
      </c>
      <c r="D3">
        <v>1</v>
      </c>
      <c r="E3" t="s">
        <v>4604</v>
      </c>
      <c r="F3" t="s">
        <v>4605</v>
      </c>
      <c r="G3">
        <v>1</v>
      </c>
      <c r="H3" t="s">
        <v>4603</v>
      </c>
      <c r="I3" t="s">
        <v>1954</v>
      </c>
      <c r="J3" t="s">
        <v>4606</v>
      </c>
    </row>
    <row r="4" spans="1:10" ht="15" customHeight="1" x14ac:dyDescent="0.25">
      <c r="A4" t="s">
        <v>4607</v>
      </c>
      <c r="B4" t="s">
        <v>2952</v>
      </c>
      <c r="C4" t="s">
        <v>4243</v>
      </c>
      <c r="D4">
        <v>0</v>
      </c>
      <c r="E4" t="s">
        <v>4608</v>
      </c>
      <c r="F4" t="s">
        <v>4609</v>
      </c>
      <c r="G4">
        <v>0</v>
      </c>
      <c r="H4" t="s">
        <v>4607</v>
      </c>
      <c r="I4" t="s">
        <v>1954</v>
      </c>
      <c r="J4" t="s">
        <v>4610</v>
      </c>
    </row>
    <row r="5" spans="1:10" ht="15" customHeight="1" x14ac:dyDescent="0.25">
      <c r="A5" t="s">
        <v>4611</v>
      </c>
      <c r="B5" t="s">
        <v>2952</v>
      </c>
      <c r="C5" t="s">
        <v>3453</v>
      </c>
      <c r="D5">
        <v>1</v>
      </c>
      <c r="E5" t="s">
        <v>4612</v>
      </c>
      <c r="F5" t="s">
        <v>4613</v>
      </c>
      <c r="G5">
        <v>1</v>
      </c>
      <c r="H5" t="s">
        <v>4614</v>
      </c>
      <c r="I5" t="s">
        <v>1954</v>
      </c>
      <c r="J5" t="s">
        <v>4615</v>
      </c>
    </row>
    <row r="6" spans="1:10" ht="15" customHeight="1" x14ac:dyDescent="0.25">
      <c r="A6" t="s">
        <v>4616</v>
      </c>
      <c r="B6" t="s">
        <v>2952</v>
      </c>
      <c r="C6" t="s">
        <v>4243</v>
      </c>
      <c r="D6">
        <v>1</v>
      </c>
      <c r="E6" t="s">
        <v>4617</v>
      </c>
      <c r="F6" t="s">
        <v>4617</v>
      </c>
      <c r="G6">
        <v>0</v>
      </c>
      <c r="H6" t="s">
        <v>4616</v>
      </c>
      <c r="I6" t="s">
        <v>1954</v>
      </c>
      <c r="J6" t="s">
        <v>4618</v>
      </c>
    </row>
    <row r="7" spans="1:10" ht="15" customHeight="1" x14ac:dyDescent="0.25">
      <c r="A7" t="s">
        <v>4619</v>
      </c>
      <c r="B7" t="s">
        <v>2952</v>
      </c>
      <c r="C7" t="s">
        <v>4620</v>
      </c>
      <c r="D7">
        <v>2</v>
      </c>
      <c r="E7" t="s">
        <v>4621</v>
      </c>
      <c r="F7" t="s">
        <v>4622</v>
      </c>
      <c r="G7">
        <v>2</v>
      </c>
      <c r="H7" t="s">
        <v>4623</v>
      </c>
      <c r="I7" t="s">
        <v>1954</v>
      </c>
      <c r="J7" t="s">
        <v>4624</v>
      </c>
    </row>
    <row r="8" spans="1:10" ht="15" customHeight="1" x14ac:dyDescent="0.25">
      <c r="A8" t="s">
        <v>4625</v>
      </c>
      <c r="B8" t="s">
        <v>2971</v>
      </c>
      <c r="C8" t="s">
        <v>4620</v>
      </c>
      <c r="D8">
        <v>1</v>
      </c>
      <c r="E8" t="s">
        <v>4626</v>
      </c>
      <c r="F8" t="s">
        <v>4627</v>
      </c>
      <c r="G8">
        <v>1</v>
      </c>
      <c r="H8" t="s">
        <v>4628</v>
      </c>
      <c r="I8" t="s">
        <v>1954</v>
      </c>
      <c r="J8" t="s">
        <v>4629</v>
      </c>
    </row>
    <row r="9" spans="1:10" ht="15" customHeight="1" x14ac:dyDescent="0.25">
      <c r="A9" t="s">
        <v>4630</v>
      </c>
      <c r="B9" t="s">
        <v>2959</v>
      </c>
      <c r="C9" t="s">
        <v>4620</v>
      </c>
      <c r="D9">
        <v>0</v>
      </c>
      <c r="E9" t="s">
        <v>4631</v>
      </c>
      <c r="F9" t="s">
        <v>4632</v>
      </c>
      <c r="G9">
        <v>0</v>
      </c>
      <c r="H9" t="s">
        <v>4630</v>
      </c>
      <c r="I9" t="s">
        <v>1954</v>
      </c>
      <c r="J9" t="s">
        <v>4633</v>
      </c>
    </row>
    <row r="10" spans="1:10" ht="15" customHeight="1" x14ac:dyDescent="0.25">
      <c r="A10" t="s">
        <v>4634</v>
      </c>
      <c r="B10" t="s">
        <v>2959</v>
      </c>
      <c r="C10" t="s">
        <v>4243</v>
      </c>
      <c r="D10">
        <v>1</v>
      </c>
      <c r="E10" t="s">
        <v>4635</v>
      </c>
      <c r="F10" t="s">
        <v>4636</v>
      </c>
      <c r="G10">
        <v>1</v>
      </c>
      <c r="H10" t="s">
        <v>4634</v>
      </c>
      <c r="I10" t="s">
        <v>1954</v>
      </c>
      <c r="J10" t="s">
        <v>4637</v>
      </c>
    </row>
    <row r="11" spans="1:10" ht="15" customHeight="1" x14ac:dyDescent="0.25">
      <c r="A11" t="s">
        <v>4638</v>
      </c>
      <c r="B11" t="s">
        <v>2959</v>
      </c>
      <c r="C11" t="s">
        <v>4243</v>
      </c>
      <c r="D11">
        <v>1</v>
      </c>
      <c r="E11" t="s">
        <v>4639</v>
      </c>
      <c r="F11" t="s">
        <v>4640</v>
      </c>
      <c r="G11">
        <v>1</v>
      </c>
      <c r="H11" t="s">
        <v>4638</v>
      </c>
      <c r="I11" t="s">
        <v>1954</v>
      </c>
      <c r="J11" t="s">
        <v>4641</v>
      </c>
    </row>
    <row r="12" spans="1:10" ht="15" customHeight="1" x14ac:dyDescent="0.25">
      <c r="A12" t="s">
        <v>4642</v>
      </c>
      <c r="B12" t="s">
        <v>2971</v>
      </c>
      <c r="C12" t="s">
        <v>4620</v>
      </c>
      <c r="D12">
        <v>0</v>
      </c>
      <c r="E12" t="s">
        <v>4643</v>
      </c>
      <c r="F12" t="s">
        <v>4644</v>
      </c>
      <c r="G12">
        <v>0</v>
      </c>
      <c r="H12" t="s">
        <v>4642</v>
      </c>
      <c r="I12" t="s">
        <v>1954</v>
      </c>
      <c r="J12" t="s">
        <v>4645</v>
      </c>
    </row>
    <row r="13" spans="1:10" ht="15" customHeight="1" x14ac:dyDescent="0.25">
      <c r="A13" t="s">
        <v>3277</v>
      </c>
      <c r="B13" t="s">
        <v>2971</v>
      </c>
      <c r="C13" t="s">
        <v>4243</v>
      </c>
      <c r="D13">
        <v>1</v>
      </c>
      <c r="E13" t="s">
        <v>4646</v>
      </c>
      <c r="F13" t="s">
        <v>4646</v>
      </c>
      <c r="G13">
        <v>1</v>
      </c>
      <c r="H13" t="s">
        <v>3282</v>
      </c>
      <c r="I13" t="s">
        <v>1358</v>
      </c>
      <c r="J13" t="s">
        <v>4647</v>
      </c>
    </row>
    <row r="14" spans="1:10" ht="15" customHeight="1" x14ac:dyDescent="0.25">
      <c r="A14" t="s">
        <v>4648</v>
      </c>
      <c r="B14" t="s">
        <v>2959</v>
      </c>
      <c r="C14" t="s">
        <v>4620</v>
      </c>
      <c r="D14">
        <v>1</v>
      </c>
      <c r="E14" t="s">
        <v>4649</v>
      </c>
      <c r="F14" t="s">
        <v>4650</v>
      </c>
      <c r="G14">
        <v>1</v>
      </c>
      <c r="H14" t="s">
        <v>4648</v>
      </c>
      <c r="I14" t="s">
        <v>1954</v>
      </c>
      <c r="J14" t="s">
        <v>4651</v>
      </c>
    </row>
    <row r="15" spans="1:10" ht="15" customHeight="1" x14ac:dyDescent="0.25">
      <c r="A15" t="s">
        <v>3289</v>
      </c>
      <c r="B15" t="s">
        <v>2971</v>
      </c>
      <c r="C15" t="s">
        <v>4620</v>
      </c>
      <c r="D15">
        <v>1</v>
      </c>
      <c r="E15" t="s">
        <v>4652</v>
      </c>
      <c r="F15" t="s">
        <v>4652</v>
      </c>
      <c r="G15">
        <v>1</v>
      </c>
      <c r="H15" t="s">
        <v>3289</v>
      </c>
      <c r="I15" t="s">
        <v>828</v>
      </c>
      <c r="J15" t="s">
        <v>4653</v>
      </c>
    </row>
    <row r="16" spans="1:10" ht="15" customHeight="1" x14ac:dyDescent="0.25">
      <c r="A16" t="s">
        <v>2965</v>
      </c>
      <c r="B16" t="s">
        <v>2952</v>
      </c>
      <c r="C16" t="s">
        <v>3453</v>
      </c>
      <c r="D16">
        <v>3</v>
      </c>
      <c r="E16" t="s">
        <v>4654</v>
      </c>
      <c r="F16" t="s">
        <v>4654</v>
      </c>
      <c r="G16">
        <v>2</v>
      </c>
      <c r="H16" t="s">
        <v>2965</v>
      </c>
      <c r="I16" t="s">
        <v>1954</v>
      </c>
      <c r="J16" t="s">
        <v>4637</v>
      </c>
    </row>
    <row r="17" spans="1:10" ht="15" customHeight="1" x14ac:dyDescent="0.25">
      <c r="A17" t="s">
        <v>2890</v>
      </c>
      <c r="B17" t="s">
        <v>2983</v>
      </c>
      <c r="C17" t="s">
        <v>4620</v>
      </c>
      <c r="D17">
        <v>2</v>
      </c>
      <c r="E17" t="s">
        <v>4655</v>
      </c>
      <c r="F17" t="s">
        <v>4656</v>
      </c>
      <c r="G17">
        <v>2</v>
      </c>
      <c r="H17" t="s">
        <v>2890</v>
      </c>
      <c r="I17" t="s">
        <v>1954</v>
      </c>
      <c r="J17" t="s">
        <v>4633</v>
      </c>
    </row>
    <row r="18" spans="1:10" ht="15" customHeight="1" x14ac:dyDescent="0.25">
      <c r="A18" t="s">
        <v>4657</v>
      </c>
      <c r="B18" t="s">
        <v>2971</v>
      </c>
      <c r="C18" t="s">
        <v>4243</v>
      </c>
      <c r="D18">
        <v>0</v>
      </c>
      <c r="E18" t="s">
        <v>4658</v>
      </c>
      <c r="F18" t="s">
        <v>4659</v>
      </c>
      <c r="G18">
        <v>0</v>
      </c>
      <c r="H18" t="s">
        <v>4660</v>
      </c>
      <c r="I18" t="s">
        <v>1954</v>
      </c>
      <c r="J18" t="s">
        <v>4661</v>
      </c>
    </row>
    <row r="19" spans="1:10" ht="15" customHeight="1" x14ac:dyDescent="0.25">
      <c r="A19" t="s">
        <v>4662</v>
      </c>
      <c r="B19" t="s">
        <v>2959</v>
      </c>
      <c r="C19" t="s">
        <v>4620</v>
      </c>
      <c r="D19">
        <v>0</v>
      </c>
      <c r="E19" t="s">
        <v>4663</v>
      </c>
      <c r="F19" t="s">
        <v>4664</v>
      </c>
      <c r="G19">
        <v>0</v>
      </c>
      <c r="H19" t="s">
        <v>4665</v>
      </c>
      <c r="I19" t="s">
        <v>1954</v>
      </c>
      <c r="J19" t="s">
        <v>4666</v>
      </c>
    </row>
    <row r="20" spans="1:10" ht="15" customHeight="1" x14ac:dyDescent="0.25">
      <c r="A20" t="s">
        <v>4667</v>
      </c>
      <c r="B20" t="s">
        <v>2952</v>
      </c>
      <c r="C20" t="s">
        <v>3453</v>
      </c>
      <c r="D20">
        <v>0</v>
      </c>
      <c r="E20" t="s">
        <v>4668</v>
      </c>
      <c r="F20" t="s">
        <v>4669</v>
      </c>
      <c r="G20">
        <v>0</v>
      </c>
      <c r="H20" t="s">
        <v>4667</v>
      </c>
      <c r="I20" t="s">
        <v>1954</v>
      </c>
      <c r="J20" t="s">
        <v>4670</v>
      </c>
    </row>
    <row r="21" spans="1:10" ht="15" customHeight="1" x14ac:dyDescent="0.25">
      <c r="A21" t="s">
        <v>4671</v>
      </c>
      <c r="B21" t="s">
        <v>2959</v>
      </c>
      <c r="C21" t="s">
        <v>4243</v>
      </c>
      <c r="D21">
        <v>1</v>
      </c>
      <c r="E21" t="s">
        <v>4672</v>
      </c>
      <c r="F21" t="s">
        <v>4673</v>
      </c>
      <c r="G21">
        <v>1</v>
      </c>
      <c r="H21" t="s">
        <v>4674</v>
      </c>
      <c r="I21" t="s">
        <v>1954</v>
      </c>
      <c r="J21" t="s">
        <v>4675</v>
      </c>
    </row>
    <row r="22" spans="1:10" ht="15" customHeight="1" x14ac:dyDescent="0.25">
      <c r="A22" t="s">
        <v>3316</v>
      </c>
      <c r="B22" t="s">
        <v>2959</v>
      </c>
      <c r="C22" t="s">
        <v>4620</v>
      </c>
      <c r="D22">
        <v>1</v>
      </c>
      <c r="E22" t="s">
        <v>4676</v>
      </c>
      <c r="F22" t="s">
        <v>4676</v>
      </c>
      <c r="G22">
        <v>1</v>
      </c>
      <c r="H22" t="s">
        <v>3319</v>
      </c>
      <c r="I22" t="s">
        <v>881</v>
      </c>
      <c r="J22" t="s">
        <v>4653</v>
      </c>
    </row>
    <row r="23" spans="1:10" ht="15" customHeight="1" x14ac:dyDescent="0.25">
      <c r="A23" t="s">
        <v>4677</v>
      </c>
      <c r="B23" t="s">
        <v>2971</v>
      </c>
      <c r="C23" t="s">
        <v>4620</v>
      </c>
      <c r="D23">
        <v>4</v>
      </c>
      <c r="E23" t="s">
        <v>4678</v>
      </c>
      <c r="F23" t="s">
        <v>4679</v>
      </c>
      <c r="G23">
        <v>3</v>
      </c>
      <c r="H23" t="s">
        <v>4680</v>
      </c>
      <c r="I23" t="s">
        <v>1954</v>
      </c>
      <c r="J23" t="s">
        <v>4661</v>
      </c>
    </row>
    <row r="24" spans="1:10" ht="15" customHeight="1" x14ac:dyDescent="0.25">
      <c r="A24" t="s">
        <v>3320</v>
      </c>
      <c r="B24" t="s">
        <v>2952</v>
      </c>
      <c r="C24" t="s">
        <v>4620</v>
      </c>
      <c r="D24">
        <v>1</v>
      </c>
      <c r="E24" t="s">
        <v>4681</v>
      </c>
      <c r="F24" t="s">
        <v>4681</v>
      </c>
      <c r="G24">
        <v>1</v>
      </c>
      <c r="H24" t="s">
        <v>3323</v>
      </c>
      <c r="I24" t="s">
        <v>1330</v>
      </c>
      <c r="J24" t="s">
        <v>4653</v>
      </c>
    </row>
    <row r="25" spans="1:10" ht="15" customHeight="1" x14ac:dyDescent="0.25">
      <c r="A25" t="s">
        <v>4682</v>
      </c>
      <c r="B25" t="s">
        <v>2971</v>
      </c>
      <c r="C25" t="s">
        <v>4243</v>
      </c>
      <c r="D25">
        <v>0</v>
      </c>
      <c r="E25" t="s">
        <v>4683</v>
      </c>
      <c r="F25" t="s">
        <v>4684</v>
      </c>
      <c r="G25">
        <v>0</v>
      </c>
      <c r="H25" t="s">
        <v>4682</v>
      </c>
      <c r="I25" t="s">
        <v>1954</v>
      </c>
      <c r="J25" t="s">
        <v>4670</v>
      </c>
    </row>
    <row r="26" spans="1:10" ht="15" customHeight="1" x14ac:dyDescent="0.25">
      <c r="A26" t="s">
        <v>4685</v>
      </c>
      <c r="B26" t="s">
        <v>2952</v>
      </c>
      <c r="C26" t="s">
        <v>4620</v>
      </c>
      <c r="D26">
        <v>3</v>
      </c>
      <c r="E26" t="s">
        <v>4686</v>
      </c>
      <c r="F26" t="s">
        <v>4687</v>
      </c>
      <c r="G26">
        <v>3</v>
      </c>
      <c r="H26" t="s">
        <v>4685</v>
      </c>
      <c r="I26" t="s">
        <v>1954</v>
      </c>
      <c r="J26" t="s">
        <v>4633</v>
      </c>
    </row>
    <row r="27" spans="1:10" ht="15" customHeight="1" x14ac:dyDescent="0.25">
      <c r="A27" t="s">
        <v>4688</v>
      </c>
      <c r="B27" t="s">
        <v>3807</v>
      </c>
      <c r="C27" t="s">
        <v>4689</v>
      </c>
      <c r="D27">
        <v>1</v>
      </c>
      <c r="E27" t="s">
        <v>4690</v>
      </c>
      <c r="F27" t="s">
        <v>2905</v>
      </c>
      <c r="G27" t="s">
        <v>2905</v>
      </c>
      <c r="H27" t="s">
        <v>4691</v>
      </c>
      <c r="I27" t="s">
        <v>351</v>
      </c>
      <c r="J27" t="s">
        <v>4692</v>
      </c>
    </row>
    <row r="28" spans="1:10" ht="15" customHeight="1" x14ac:dyDescent="0.25">
      <c r="A28" t="s">
        <v>4042</v>
      </c>
      <c r="B28" t="s">
        <v>2971</v>
      </c>
      <c r="C28" t="s">
        <v>4243</v>
      </c>
      <c r="D28">
        <v>1</v>
      </c>
      <c r="E28" t="s">
        <v>4693</v>
      </c>
      <c r="F28" t="s">
        <v>4694</v>
      </c>
      <c r="G28">
        <v>1</v>
      </c>
      <c r="H28" t="s">
        <v>4042</v>
      </c>
      <c r="I28" t="s">
        <v>1954</v>
      </c>
      <c r="J28" t="s">
        <v>4615</v>
      </c>
    </row>
    <row r="29" spans="1:10" ht="15" customHeight="1" x14ac:dyDescent="0.25">
      <c r="A29" t="s">
        <v>4695</v>
      </c>
      <c r="B29" t="s">
        <v>2959</v>
      </c>
      <c r="C29" t="s">
        <v>4620</v>
      </c>
      <c r="D29">
        <v>1</v>
      </c>
      <c r="E29" t="s">
        <v>4696</v>
      </c>
      <c r="F29" t="s">
        <v>4696</v>
      </c>
      <c r="G29">
        <v>0</v>
      </c>
      <c r="H29" t="s">
        <v>4697</v>
      </c>
      <c r="I29" t="s">
        <v>1954</v>
      </c>
      <c r="J29" t="s">
        <v>4633</v>
      </c>
    </row>
    <row r="30" spans="1:10" ht="15" customHeight="1" x14ac:dyDescent="0.25">
      <c r="A30" t="s">
        <v>4698</v>
      </c>
      <c r="B30" t="s">
        <v>2971</v>
      </c>
      <c r="C30" t="s">
        <v>4243</v>
      </c>
      <c r="D30">
        <v>0</v>
      </c>
      <c r="E30" t="s">
        <v>4699</v>
      </c>
      <c r="F30" t="s">
        <v>4700</v>
      </c>
      <c r="G30">
        <v>0</v>
      </c>
      <c r="H30" t="s">
        <v>4701</v>
      </c>
      <c r="I30" t="s">
        <v>1954</v>
      </c>
      <c r="J30" t="s">
        <v>4702</v>
      </c>
    </row>
    <row r="31" spans="1:10" ht="15" customHeight="1" x14ac:dyDescent="0.25">
      <c r="A31" t="s">
        <v>4703</v>
      </c>
      <c r="B31" t="s">
        <v>2971</v>
      </c>
      <c r="C31" t="s">
        <v>4704</v>
      </c>
      <c r="D31">
        <v>3</v>
      </c>
      <c r="E31" t="s">
        <v>4705</v>
      </c>
      <c r="F31" t="s">
        <v>4706</v>
      </c>
      <c r="G31">
        <v>3</v>
      </c>
      <c r="H31" t="s">
        <v>4707</v>
      </c>
      <c r="I31" t="s">
        <v>1377</v>
      </c>
    </row>
    <row r="32" spans="1:10" ht="15" customHeight="1" x14ac:dyDescent="0.25">
      <c r="A32" t="s">
        <v>4708</v>
      </c>
      <c r="B32" t="s">
        <v>2971</v>
      </c>
      <c r="C32" t="s">
        <v>4243</v>
      </c>
      <c r="D32">
        <v>2</v>
      </c>
      <c r="E32" t="s">
        <v>4709</v>
      </c>
      <c r="F32" t="s">
        <v>4710</v>
      </c>
      <c r="G32">
        <v>2</v>
      </c>
      <c r="H32" t="s">
        <v>4711</v>
      </c>
      <c r="I32" t="s">
        <v>1954</v>
      </c>
      <c r="J32" t="s">
        <v>4712</v>
      </c>
    </row>
    <row r="33" spans="1:10" ht="15" customHeight="1" x14ac:dyDescent="0.25">
      <c r="A33" t="s">
        <v>4713</v>
      </c>
      <c r="B33" t="s">
        <v>2952</v>
      </c>
      <c r="C33" t="s">
        <v>3453</v>
      </c>
      <c r="D33">
        <v>0</v>
      </c>
      <c r="E33" t="s">
        <v>4714</v>
      </c>
      <c r="F33" t="s">
        <v>4715</v>
      </c>
      <c r="G33">
        <v>0</v>
      </c>
      <c r="H33" t="s">
        <v>4713</v>
      </c>
      <c r="I33" t="s">
        <v>1954</v>
      </c>
      <c r="J33" t="s">
        <v>4661</v>
      </c>
    </row>
    <row r="34" spans="1:10" ht="15" customHeight="1" x14ac:dyDescent="0.25">
      <c r="A34" t="s">
        <v>4048</v>
      </c>
      <c r="B34" t="s">
        <v>2952</v>
      </c>
      <c r="C34" t="s">
        <v>3453</v>
      </c>
      <c r="D34">
        <v>2</v>
      </c>
      <c r="E34" t="s">
        <v>4716</v>
      </c>
      <c r="F34" t="s">
        <v>4717</v>
      </c>
      <c r="G34">
        <v>2</v>
      </c>
      <c r="H34" t="s">
        <v>4048</v>
      </c>
      <c r="I34" t="s">
        <v>1954</v>
      </c>
      <c r="J34" t="s">
        <v>4718</v>
      </c>
    </row>
    <row r="35" spans="1:10" ht="15" customHeight="1" x14ac:dyDescent="0.25">
      <c r="A35" t="s">
        <v>4719</v>
      </c>
      <c r="B35" t="s">
        <v>2952</v>
      </c>
      <c r="C35" t="s">
        <v>4243</v>
      </c>
      <c r="D35">
        <v>3</v>
      </c>
      <c r="E35" t="s">
        <v>4720</v>
      </c>
      <c r="F35" t="s">
        <v>4720</v>
      </c>
      <c r="G35">
        <v>2</v>
      </c>
      <c r="H35" t="s">
        <v>4721</v>
      </c>
      <c r="I35" t="s">
        <v>1954</v>
      </c>
      <c r="J35" t="s">
        <v>4722</v>
      </c>
    </row>
    <row r="36" spans="1:10" ht="15" customHeight="1" x14ac:dyDescent="0.25">
      <c r="A36" t="s">
        <v>4051</v>
      </c>
      <c r="B36" t="s">
        <v>3807</v>
      </c>
      <c r="C36" t="s">
        <v>4689</v>
      </c>
      <c r="D36" t="s">
        <v>3805</v>
      </c>
      <c r="E36" t="s">
        <v>4723</v>
      </c>
      <c r="F36" t="s">
        <v>4724</v>
      </c>
      <c r="G36" t="s">
        <v>3805</v>
      </c>
      <c r="H36" t="s">
        <v>4051</v>
      </c>
      <c r="I36" t="s">
        <v>1954</v>
      </c>
    </row>
    <row r="37" spans="1:10" ht="15" customHeight="1" x14ac:dyDescent="0.25">
      <c r="A37" t="s">
        <v>4725</v>
      </c>
      <c r="B37" t="s">
        <v>2971</v>
      </c>
      <c r="C37" t="s">
        <v>4243</v>
      </c>
      <c r="D37">
        <v>1</v>
      </c>
      <c r="E37" t="s">
        <v>4726</v>
      </c>
      <c r="F37" t="s">
        <v>4727</v>
      </c>
      <c r="G37">
        <v>1</v>
      </c>
      <c r="H37" t="s">
        <v>4728</v>
      </c>
      <c r="I37" t="s">
        <v>1954</v>
      </c>
      <c r="J37" t="s">
        <v>4729</v>
      </c>
    </row>
    <row r="38" spans="1:10" ht="15" customHeight="1" x14ac:dyDescent="0.25">
      <c r="A38" t="s">
        <v>4053</v>
      </c>
      <c r="B38" t="s">
        <v>2952</v>
      </c>
      <c r="C38" t="s">
        <v>4243</v>
      </c>
      <c r="D38">
        <v>1</v>
      </c>
      <c r="E38" t="s">
        <v>4730</v>
      </c>
      <c r="F38" t="s">
        <v>4731</v>
      </c>
      <c r="G38">
        <v>1</v>
      </c>
      <c r="H38" t="s">
        <v>4053</v>
      </c>
      <c r="I38" t="s">
        <v>1954</v>
      </c>
      <c r="J38" t="s">
        <v>4722</v>
      </c>
    </row>
    <row r="39" spans="1:10" ht="15" customHeight="1" x14ac:dyDescent="0.25">
      <c r="A39" t="s">
        <v>4732</v>
      </c>
      <c r="B39" t="s">
        <v>2971</v>
      </c>
      <c r="C39" t="s">
        <v>4243</v>
      </c>
      <c r="D39">
        <v>0</v>
      </c>
      <c r="E39" t="s">
        <v>4733</v>
      </c>
      <c r="F39" t="s">
        <v>4734</v>
      </c>
      <c r="G39">
        <v>0</v>
      </c>
      <c r="H39" t="s">
        <v>4735</v>
      </c>
      <c r="I39" t="s">
        <v>1954</v>
      </c>
      <c r="J39" t="s">
        <v>4736</v>
      </c>
    </row>
    <row r="40" spans="1:10" ht="15" customHeight="1" x14ac:dyDescent="0.25">
      <c r="A40" t="s">
        <v>4737</v>
      </c>
      <c r="B40" t="s">
        <v>2971</v>
      </c>
      <c r="C40" t="s">
        <v>3453</v>
      </c>
      <c r="D40">
        <v>1</v>
      </c>
      <c r="E40" t="s">
        <v>4569</v>
      </c>
      <c r="F40" t="s">
        <v>4738</v>
      </c>
      <c r="G40">
        <v>1</v>
      </c>
      <c r="H40" t="s">
        <v>4737</v>
      </c>
      <c r="I40" t="s">
        <v>1954</v>
      </c>
      <c r="J40" t="s">
        <v>4615</v>
      </c>
    </row>
    <row r="41" spans="1:10" ht="15" customHeight="1" x14ac:dyDescent="0.25">
      <c r="A41" t="s">
        <v>4739</v>
      </c>
      <c r="B41" t="s">
        <v>2971</v>
      </c>
      <c r="C41" t="s">
        <v>4620</v>
      </c>
      <c r="D41">
        <v>2</v>
      </c>
      <c r="E41" t="s">
        <v>4740</v>
      </c>
      <c r="F41" t="s">
        <v>4741</v>
      </c>
      <c r="G41">
        <v>2</v>
      </c>
      <c r="H41" t="s">
        <v>4739</v>
      </c>
      <c r="I41" t="s">
        <v>1954</v>
      </c>
      <c r="J41" t="s">
        <v>4633</v>
      </c>
    </row>
    <row r="42" spans="1:10" ht="15" customHeight="1" x14ac:dyDescent="0.25">
      <c r="A42" t="s">
        <v>4742</v>
      </c>
      <c r="B42" t="s">
        <v>2971</v>
      </c>
      <c r="C42" t="s">
        <v>4243</v>
      </c>
      <c r="D42">
        <v>1</v>
      </c>
      <c r="E42" t="s">
        <v>4743</v>
      </c>
      <c r="F42" t="s">
        <v>4744</v>
      </c>
      <c r="G42">
        <v>1</v>
      </c>
      <c r="H42" t="s">
        <v>4742</v>
      </c>
      <c r="I42" t="s">
        <v>1954</v>
      </c>
      <c r="J42" t="s">
        <v>4712</v>
      </c>
    </row>
    <row r="43" spans="1:10" ht="15" customHeight="1" x14ac:dyDescent="0.25">
      <c r="A43" t="s">
        <v>4745</v>
      </c>
      <c r="B43" t="s">
        <v>2971</v>
      </c>
      <c r="C43" t="s">
        <v>4620</v>
      </c>
      <c r="D43">
        <v>2</v>
      </c>
      <c r="E43" t="s">
        <v>4746</v>
      </c>
      <c r="F43" t="s">
        <v>4747</v>
      </c>
      <c r="G43">
        <v>2</v>
      </c>
      <c r="H43" t="s">
        <v>4745</v>
      </c>
      <c r="I43" t="s">
        <v>1954</v>
      </c>
      <c r="J43" t="s">
        <v>4748</v>
      </c>
    </row>
    <row r="44" spans="1:10" ht="15" customHeight="1" x14ac:dyDescent="0.25">
      <c r="A44" t="s">
        <v>4749</v>
      </c>
      <c r="B44" t="s">
        <v>2959</v>
      </c>
      <c r="C44" t="s">
        <v>4620</v>
      </c>
      <c r="D44">
        <v>0</v>
      </c>
      <c r="E44" t="s">
        <v>4750</v>
      </c>
      <c r="F44" t="s">
        <v>4751</v>
      </c>
      <c r="G44">
        <v>0</v>
      </c>
      <c r="H44" t="s">
        <v>4749</v>
      </c>
      <c r="I44" t="s">
        <v>1954</v>
      </c>
      <c r="J44" t="s">
        <v>4633</v>
      </c>
    </row>
    <row r="45" spans="1:10" ht="15" customHeight="1" x14ac:dyDescent="0.25">
      <c r="A45" t="s">
        <v>4752</v>
      </c>
      <c r="B45" t="s">
        <v>2959</v>
      </c>
      <c r="C45" t="s">
        <v>4620</v>
      </c>
      <c r="D45">
        <v>0</v>
      </c>
      <c r="E45" t="s">
        <v>4753</v>
      </c>
      <c r="F45" t="s">
        <v>4754</v>
      </c>
      <c r="G45">
        <v>0</v>
      </c>
      <c r="H45" t="s">
        <v>4752</v>
      </c>
      <c r="I45" t="s">
        <v>1954</v>
      </c>
      <c r="J45" t="s">
        <v>4755</v>
      </c>
    </row>
    <row r="46" spans="1:10" ht="15" customHeight="1" x14ac:dyDescent="0.25">
      <c r="A46" t="s">
        <v>4294</v>
      </c>
      <c r="B46" t="s">
        <v>2959</v>
      </c>
      <c r="C46" t="s">
        <v>4620</v>
      </c>
      <c r="D46">
        <v>1</v>
      </c>
      <c r="E46" t="s">
        <v>4756</v>
      </c>
      <c r="F46" t="s">
        <v>4757</v>
      </c>
      <c r="G46">
        <v>1</v>
      </c>
      <c r="H46" t="s">
        <v>4294</v>
      </c>
      <c r="I46" t="s">
        <v>1954</v>
      </c>
      <c r="J46" t="s">
        <v>4758</v>
      </c>
    </row>
    <row r="47" spans="1:10" ht="15" customHeight="1" x14ac:dyDescent="0.25">
      <c r="A47" t="s">
        <v>4759</v>
      </c>
      <c r="B47" t="s">
        <v>2959</v>
      </c>
      <c r="C47" t="s">
        <v>4243</v>
      </c>
      <c r="D47">
        <v>1</v>
      </c>
      <c r="E47" t="s">
        <v>4760</v>
      </c>
      <c r="F47" t="s">
        <v>4761</v>
      </c>
      <c r="G47">
        <v>1</v>
      </c>
      <c r="H47" t="s">
        <v>4762</v>
      </c>
      <c r="I47" t="s">
        <v>1954</v>
      </c>
      <c r="J47" t="s">
        <v>4615</v>
      </c>
    </row>
    <row r="48" spans="1:10" ht="15" customHeight="1" x14ac:dyDescent="0.25">
      <c r="A48" t="s">
        <v>4763</v>
      </c>
      <c r="B48" t="s">
        <v>2959</v>
      </c>
      <c r="C48" t="s">
        <v>4620</v>
      </c>
      <c r="D48">
        <v>2</v>
      </c>
      <c r="E48" t="s">
        <v>4764</v>
      </c>
      <c r="F48" t="s">
        <v>4765</v>
      </c>
      <c r="G48">
        <v>2</v>
      </c>
      <c r="H48" t="s">
        <v>4763</v>
      </c>
      <c r="I48" t="s">
        <v>1954</v>
      </c>
      <c r="J48" t="s">
        <v>4766</v>
      </c>
    </row>
    <row r="49" spans="1:10" ht="15" customHeight="1" x14ac:dyDescent="0.25">
      <c r="A49" t="s">
        <v>4767</v>
      </c>
      <c r="B49" t="s">
        <v>3807</v>
      </c>
      <c r="C49" t="s">
        <v>4768</v>
      </c>
      <c r="D49" t="s">
        <v>3805</v>
      </c>
      <c r="E49" t="s">
        <v>4769</v>
      </c>
      <c r="F49" t="s">
        <v>2905</v>
      </c>
      <c r="G49" t="s">
        <v>2905</v>
      </c>
      <c r="H49" t="s">
        <v>4767</v>
      </c>
      <c r="I49" t="s">
        <v>1954</v>
      </c>
      <c r="J49" t="s">
        <v>4770</v>
      </c>
    </row>
    <row r="50" spans="1:10" ht="15" customHeight="1" x14ac:dyDescent="0.25">
      <c r="A50" t="s">
        <v>4767</v>
      </c>
      <c r="B50" t="s">
        <v>2959</v>
      </c>
      <c r="C50" t="s">
        <v>4325</v>
      </c>
      <c r="D50">
        <v>1</v>
      </c>
      <c r="E50" t="s">
        <v>4771</v>
      </c>
      <c r="F50" t="s">
        <v>4772</v>
      </c>
      <c r="G50">
        <v>1</v>
      </c>
      <c r="H50" t="s">
        <v>4767</v>
      </c>
      <c r="I50" t="s">
        <v>4773</v>
      </c>
      <c r="J50" t="s">
        <v>4774</v>
      </c>
    </row>
    <row r="51" spans="1:10" ht="15" customHeight="1" x14ac:dyDescent="0.25">
      <c r="A51" t="s">
        <v>4775</v>
      </c>
      <c r="B51" t="s">
        <v>2971</v>
      </c>
      <c r="C51" t="s">
        <v>3453</v>
      </c>
      <c r="D51">
        <v>1</v>
      </c>
      <c r="E51" t="s">
        <v>4776</v>
      </c>
      <c r="F51" t="s">
        <v>4777</v>
      </c>
      <c r="G51">
        <v>1</v>
      </c>
      <c r="H51" t="s">
        <v>4775</v>
      </c>
      <c r="I51" t="s">
        <v>1954</v>
      </c>
      <c r="J51" t="s">
        <v>4633</v>
      </c>
    </row>
    <row r="52" spans="1:10" ht="15" customHeight="1" x14ac:dyDescent="0.25">
      <c r="A52" t="s">
        <v>4778</v>
      </c>
      <c r="B52" t="s">
        <v>2971</v>
      </c>
      <c r="C52" t="s">
        <v>4243</v>
      </c>
      <c r="D52">
        <v>0</v>
      </c>
      <c r="E52" t="s">
        <v>4779</v>
      </c>
      <c r="F52" t="s">
        <v>4780</v>
      </c>
      <c r="G52">
        <v>0</v>
      </c>
      <c r="H52" t="s">
        <v>4778</v>
      </c>
      <c r="I52" t="s">
        <v>1954</v>
      </c>
      <c r="J52" t="s">
        <v>4781</v>
      </c>
    </row>
    <row r="53" spans="1:10" ht="15" customHeight="1" x14ac:dyDescent="0.25">
      <c r="A53" t="s">
        <v>4062</v>
      </c>
      <c r="B53" t="s">
        <v>2952</v>
      </c>
      <c r="C53" t="s">
        <v>4243</v>
      </c>
      <c r="D53">
        <v>2</v>
      </c>
      <c r="E53" t="s">
        <v>4782</v>
      </c>
      <c r="F53" t="s">
        <v>4783</v>
      </c>
      <c r="G53">
        <v>2</v>
      </c>
      <c r="H53" t="s">
        <v>4064</v>
      </c>
      <c r="I53" t="s">
        <v>1954</v>
      </c>
      <c r="J53" t="s">
        <v>4784</v>
      </c>
    </row>
    <row r="54" spans="1:10" ht="15" customHeight="1" x14ac:dyDescent="0.25">
      <c r="A54" t="s">
        <v>4785</v>
      </c>
      <c r="B54" t="s">
        <v>2952</v>
      </c>
      <c r="C54" t="s">
        <v>3453</v>
      </c>
      <c r="D54">
        <v>3</v>
      </c>
      <c r="E54" t="s">
        <v>4786</v>
      </c>
      <c r="F54" t="s">
        <v>4786</v>
      </c>
      <c r="G54">
        <v>2</v>
      </c>
      <c r="H54" t="s">
        <v>4785</v>
      </c>
      <c r="I54" t="s">
        <v>1954</v>
      </c>
      <c r="J54" t="s">
        <v>4670</v>
      </c>
    </row>
    <row r="55" spans="1:10" ht="15" customHeight="1" x14ac:dyDescent="0.25">
      <c r="A55" t="s">
        <v>4787</v>
      </c>
      <c r="B55" t="s">
        <v>2971</v>
      </c>
      <c r="C55" t="s">
        <v>4243</v>
      </c>
      <c r="D55">
        <v>2</v>
      </c>
      <c r="E55" t="s">
        <v>4788</v>
      </c>
      <c r="F55" t="s">
        <v>4789</v>
      </c>
      <c r="G55">
        <v>2</v>
      </c>
      <c r="H55" t="s">
        <v>4790</v>
      </c>
      <c r="I55" t="s">
        <v>1954</v>
      </c>
      <c r="J55" t="s">
        <v>4784</v>
      </c>
    </row>
    <row r="56" spans="1:10" ht="15" customHeight="1" x14ac:dyDescent="0.25">
      <c r="A56" t="s">
        <v>4791</v>
      </c>
      <c r="B56" t="s">
        <v>2952</v>
      </c>
      <c r="C56" t="s">
        <v>4325</v>
      </c>
      <c r="D56">
        <v>1</v>
      </c>
      <c r="E56" t="s">
        <v>4771</v>
      </c>
      <c r="F56" t="s">
        <v>4772</v>
      </c>
      <c r="G56">
        <v>1</v>
      </c>
      <c r="H56" t="s">
        <v>4791</v>
      </c>
      <c r="I56" t="s">
        <v>4773</v>
      </c>
      <c r="J56" t="s">
        <v>4774</v>
      </c>
    </row>
    <row r="57" spans="1:10" ht="15" customHeight="1" x14ac:dyDescent="0.25">
      <c r="A57" t="s">
        <v>4792</v>
      </c>
      <c r="B57" t="s">
        <v>2959</v>
      </c>
      <c r="C57" t="s">
        <v>4620</v>
      </c>
      <c r="D57">
        <v>1</v>
      </c>
      <c r="E57" t="s">
        <v>4793</v>
      </c>
      <c r="F57" t="s">
        <v>4794</v>
      </c>
      <c r="G57">
        <v>1</v>
      </c>
      <c r="H57" t="s">
        <v>4795</v>
      </c>
      <c r="I57" t="s">
        <v>1954</v>
      </c>
      <c r="J57" t="s">
        <v>4796</v>
      </c>
    </row>
    <row r="58" spans="1:10" ht="15" customHeight="1" x14ac:dyDescent="0.25">
      <c r="A58" t="s">
        <v>4797</v>
      </c>
      <c r="B58" t="s">
        <v>2959</v>
      </c>
      <c r="C58" t="s">
        <v>4620</v>
      </c>
      <c r="D58">
        <v>1</v>
      </c>
      <c r="E58" t="s">
        <v>4798</v>
      </c>
      <c r="F58" t="s">
        <v>4799</v>
      </c>
      <c r="G58">
        <v>1</v>
      </c>
      <c r="H58" t="s">
        <v>4800</v>
      </c>
      <c r="I58" t="s">
        <v>1954</v>
      </c>
      <c r="J58" t="s">
        <v>4801</v>
      </c>
    </row>
    <row r="59" spans="1:10" ht="15" customHeight="1" x14ac:dyDescent="0.25">
      <c r="A59" t="s">
        <v>4802</v>
      </c>
      <c r="B59" t="s">
        <v>2971</v>
      </c>
      <c r="C59" t="s">
        <v>3453</v>
      </c>
      <c r="D59">
        <v>2</v>
      </c>
      <c r="E59" t="s">
        <v>4803</v>
      </c>
      <c r="F59" t="s">
        <v>4803</v>
      </c>
      <c r="G59">
        <v>1</v>
      </c>
      <c r="H59" t="s">
        <v>4804</v>
      </c>
      <c r="I59" t="s">
        <v>1954</v>
      </c>
      <c r="J59" t="s">
        <v>4729</v>
      </c>
    </row>
    <row r="60" spans="1:10" ht="15" customHeight="1" x14ac:dyDescent="0.25">
      <c r="A60" t="s">
        <v>2891</v>
      </c>
      <c r="B60" t="s">
        <v>2971</v>
      </c>
      <c r="C60" t="s">
        <v>4620</v>
      </c>
      <c r="D60">
        <v>2</v>
      </c>
      <c r="E60" t="s">
        <v>4805</v>
      </c>
      <c r="F60" t="s">
        <v>4806</v>
      </c>
      <c r="G60">
        <v>2</v>
      </c>
      <c r="H60" t="s">
        <v>2891</v>
      </c>
      <c r="I60" t="s">
        <v>1954</v>
      </c>
      <c r="J60" t="s">
        <v>4807</v>
      </c>
    </row>
    <row r="61" spans="1:10" ht="15" customHeight="1" x14ac:dyDescent="0.25">
      <c r="A61" t="s">
        <v>4808</v>
      </c>
      <c r="B61" t="s">
        <v>3807</v>
      </c>
      <c r="C61" t="s">
        <v>4689</v>
      </c>
      <c r="D61" t="s">
        <v>3805</v>
      </c>
      <c r="E61" t="s">
        <v>4809</v>
      </c>
      <c r="F61" t="s">
        <v>2905</v>
      </c>
      <c r="G61" t="s">
        <v>3805</v>
      </c>
      <c r="H61" t="s">
        <v>4808</v>
      </c>
      <c r="I61" t="s">
        <v>1954</v>
      </c>
    </row>
    <row r="62" spans="1:10" ht="15" customHeight="1" x14ac:dyDescent="0.25">
      <c r="A62" t="s">
        <v>4810</v>
      </c>
      <c r="B62" t="s">
        <v>2959</v>
      </c>
      <c r="C62" t="s">
        <v>4243</v>
      </c>
      <c r="D62">
        <v>1</v>
      </c>
      <c r="E62" t="s">
        <v>4811</v>
      </c>
      <c r="F62" t="s">
        <v>4812</v>
      </c>
      <c r="G62">
        <v>1</v>
      </c>
      <c r="H62" t="s">
        <v>4813</v>
      </c>
      <c r="I62" t="s">
        <v>1954</v>
      </c>
      <c r="J62" t="s">
        <v>4712</v>
      </c>
    </row>
    <row r="63" spans="1:10" ht="15" customHeight="1" x14ac:dyDescent="0.25">
      <c r="A63" t="s">
        <v>4025</v>
      </c>
      <c r="B63" t="s">
        <v>3807</v>
      </c>
      <c r="C63" t="s">
        <v>4768</v>
      </c>
      <c r="D63" t="s">
        <v>3805</v>
      </c>
      <c r="E63" t="s">
        <v>4814</v>
      </c>
      <c r="F63" t="s">
        <v>2905</v>
      </c>
      <c r="G63" t="s">
        <v>2905</v>
      </c>
      <c r="H63" t="s">
        <v>4025</v>
      </c>
      <c r="I63" t="s">
        <v>1954</v>
      </c>
      <c r="J63" t="s">
        <v>4770</v>
      </c>
    </row>
    <row r="64" spans="1:10" ht="15" customHeight="1" x14ac:dyDescent="0.25">
      <c r="A64" t="s">
        <v>4815</v>
      </c>
      <c r="B64" t="s">
        <v>2983</v>
      </c>
      <c r="C64" t="s">
        <v>4243</v>
      </c>
      <c r="D64">
        <v>1</v>
      </c>
      <c r="E64" t="s">
        <v>4816</v>
      </c>
      <c r="F64" t="s">
        <v>4817</v>
      </c>
      <c r="G64">
        <v>1</v>
      </c>
      <c r="H64" t="s">
        <v>2905</v>
      </c>
      <c r="I64" t="s">
        <v>2905</v>
      </c>
    </row>
    <row r="65" spans="1:10" ht="15" customHeight="1" x14ac:dyDescent="0.25">
      <c r="A65" t="s">
        <v>4818</v>
      </c>
      <c r="B65" t="s">
        <v>2959</v>
      </c>
      <c r="C65" t="s">
        <v>4325</v>
      </c>
      <c r="D65">
        <v>1</v>
      </c>
      <c r="E65" t="s">
        <v>4771</v>
      </c>
      <c r="F65" t="s">
        <v>4772</v>
      </c>
      <c r="G65">
        <v>1</v>
      </c>
      <c r="H65" t="s">
        <v>4818</v>
      </c>
      <c r="I65" t="s">
        <v>4773</v>
      </c>
      <c r="J65" t="s">
        <v>4819</v>
      </c>
    </row>
    <row r="66" spans="1:10" ht="15" customHeight="1" x14ac:dyDescent="0.25">
      <c r="A66" t="s">
        <v>4820</v>
      </c>
      <c r="B66" t="s">
        <v>2959</v>
      </c>
      <c r="C66" t="s">
        <v>4243</v>
      </c>
      <c r="D66">
        <v>0</v>
      </c>
      <c r="E66" t="s">
        <v>4821</v>
      </c>
      <c r="F66" t="s">
        <v>4822</v>
      </c>
      <c r="G66">
        <v>0</v>
      </c>
      <c r="H66" t="s">
        <v>4820</v>
      </c>
      <c r="I66" t="s">
        <v>1954</v>
      </c>
      <c r="J66" t="s">
        <v>4615</v>
      </c>
    </row>
    <row r="67" spans="1:10" ht="15" customHeight="1" x14ac:dyDescent="0.25">
      <c r="A67" t="s">
        <v>4823</v>
      </c>
      <c r="B67" t="s">
        <v>2952</v>
      </c>
      <c r="C67" t="s">
        <v>3453</v>
      </c>
      <c r="D67">
        <v>3</v>
      </c>
      <c r="E67" t="s">
        <v>4824</v>
      </c>
      <c r="F67" t="s">
        <v>4825</v>
      </c>
      <c r="G67">
        <v>3</v>
      </c>
      <c r="H67" t="s">
        <v>4826</v>
      </c>
      <c r="I67" t="s">
        <v>1954</v>
      </c>
      <c r="J67" t="s">
        <v>4827</v>
      </c>
    </row>
    <row r="68" spans="1:10" ht="15" customHeight="1" x14ac:dyDescent="0.25">
      <c r="A68" t="s">
        <v>3438</v>
      </c>
      <c r="B68" t="s">
        <v>2971</v>
      </c>
      <c r="C68" t="s">
        <v>4620</v>
      </c>
      <c r="D68">
        <v>0</v>
      </c>
      <c r="E68" t="s">
        <v>4828</v>
      </c>
      <c r="F68" t="s">
        <v>4828</v>
      </c>
      <c r="G68">
        <v>1</v>
      </c>
      <c r="H68" t="s">
        <v>3438</v>
      </c>
      <c r="I68" t="s">
        <v>1330</v>
      </c>
      <c r="J68" t="s">
        <v>4653</v>
      </c>
    </row>
    <row r="69" spans="1:10" ht="15" customHeight="1" x14ac:dyDescent="0.25">
      <c r="A69" t="s">
        <v>4829</v>
      </c>
      <c r="B69" t="s">
        <v>2952</v>
      </c>
      <c r="C69" t="s">
        <v>4620</v>
      </c>
      <c r="D69">
        <v>1</v>
      </c>
      <c r="E69" t="s">
        <v>4830</v>
      </c>
      <c r="F69" t="s">
        <v>4831</v>
      </c>
      <c r="G69">
        <v>1</v>
      </c>
      <c r="H69" t="s">
        <v>4832</v>
      </c>
      <c r="I69" t="s">
        <v>1954</v>
      </c>
      <c r="J69" t="s">
        <v>4833</v>
      </c>
    </row>
    <row r="70" spans="1:10" ht="15" customHeight="1" x14ac:dyDescent="0.25">
      <c r="A70" t="s">
        <v>4834</v>
      </c>
      <c r="B70" t="s">
        <v>2971</v>
      </c>
      <c r="C70" t="s">
        <v>4243</v>
      </c>
      <c r="D70">
        <v>1</v>
      </c>
      <c r="E70" t="s">
        <v>4835</v>
      </c>
      <c r="F70" t="s">
        <v>4836</v>
      </c>
      <c r="G70">
        <v>1</v>
      </c>
      <c r="H70" t="s">
        <v>4834</v>
      </c>
      <c r="I70" t="s">
        <v>1954</v>
      </c>
      <c r="J70" t="s">
        <v>4837</v>
      </c>
    </row>
    <row r="71" spans="1:10" ht="15" customHeight="1" x14ac:dyDescent="0.25">
      <c r="A71" t="s">
        <v>4838</v>
      </c>
      <c r="B71" t="s">
        <v>2971</v>
      </c>
      <c r="C71" t="s">
        <v>4243</v>
      </c>
      <c r="D71">
        <v>1</v>
      </c>
      <c r="E71" t="s">
        <v>4839</v>
      </c>
      <c r="F71" t="s">
        <v>4839</v>
      </c>
      <c r="G71">
        <v>0</v>
      </c>
      <c r="H71" t="s">
        <v>4838</v>
      </c>
      <c r="I71" t="s">
        <v>1954</v>
      </c>
      <c r="J71" t="s">
        <v>4840</v>
      </c>
    </row>
    <row r="72" spans="1:10" ht="15" customHeight="1" x14ac:dyDescent="0.25">
      <c r="A72" t="s">
        <v>4841</v>
      </c>
      <c r="B72" t="s">
        <v>2959</v>
      </c>
      <c r="C72" t="s">
        <v>4243</v>
      </c>
      <c r="D72">
        <v>1</v>
      </c>
      <c r="E72" t="s">
        <v>4842</v>
      </c>
      <c r="F72" t="s">
        <v>4843</v>
      </c>
      <c r="G72">
        <v>1</v>
      </c>
      <c r="H72" t="s">
        <v>4844</v>
      </c>
      <c r="I72" t="s">
        <v>1954</v>
      </c>
      <c r="J72" t="s">
        <v>4615</v>
      </c>
    </row>
    <row r="73" spans="1:10" ht="15" customHeight="1" x14ac:dyDescent="0.25">
      <c r="A73" t="s">
        <v>4845</v>
      </c>
      <c r="B73" t="s">
        <v>2952</v>
      </c>
      <c r="C73" t="s">
        <v>4243</v>
      </c>
      <c r="D73" t="s">
        <v>4846</v>
      </c>
      <c r="E73" t="s">
        <v>4847</v>
      </c>
      <c r="F73" t="s">
        <v>4848</v>
      </c>
      <c r="G73" t="s">
        <v>4846</v>
      </c>
      <c r="H73" t="s">
        <v>4845</v>
      </c>
      <c r="I73" t="s">
        <v>1954</v>
      </c>
      <c r="J73" t="s">
        <v>4849</v>
      </c>
    </row>
    <row r="74" spans="1:10" ht="15" customHeight="1" x14ac:dyDescent="0.25">
      <c r="A74" t="s">
        <v>4247</v>
      </c>
      <c r="B74" t="s">
        <v>2952</v>
      </c>
      <c r="C74" t="s">
        <v>4243</v>
      </c>
      <c r="D74">
        <v>1</v>
      </c>
      <c r="E74" t="s">
        <v>4850</v>
      </c>
      <c r="F74" t="s">
        <v>4851</v>
      </c>
      <c r="G74">
        <v>1</v>
      </c>
      <c r="H74" t="s">
        <v>4249</v>
      </c>
      <c r="I74" t="s">
        <v>1954</v>
      </c>
      <c r="J74" t="s">
        <v>4852</v>
      </c>
    </row>
    <row r="75" spans="1:10" ht="15" customHeight="1" x14ac:dyDescent="0.25">
      <c r="A75" t="s">
        <v>4853</v>
      </c>
      <c r="B75" t="s">
        <v>3807</v>
      </c>
      <c r="C75" t="s">
        <v>4768</v>
      </c>
      <c r="D75" t="s">
        <v>3805</v>
      </c>
      <c r="E75" t="s">
        <v>4854</v>
      </c>
      <c r="F75" t="s">
        <v>2905</v>
      </c>
      <c r="G75" t="s">
        <v>2905</v>
      </c>
      <c r="H75" t="s">
        <v>4853</v>
      </c>
      <c r="I75" t="s">
        <v>1954</v>
      </c>
      <c r="J75" t="s">
        <v>4770</v>
      </c>
    </row>
    <row r="76" spans="1:10" ht="15" customHeight="1" x14ac:dyDescent="0.25">
      <c r="A76" t="s">
        <v>4855</v>
      </c>
      <c r="B76" t="s">
        <v>2971</v>
      </c>
      <c r="C76" t="s">
        <v>4620</v>
      </c>
      <c r="D76">
        <v>1</v>
      </c>
      <c r="E76" t="s">
        <v>4856</v>
      </c>
      <c r="F76" t="s">
        <v>4857</v>
      </c>
      <c r="G76">
        <v>1</v>
      </c>
      <c r="H76" t="s">
        <v>4855</v>
      </c>
      <c r="I76" t="s">
        <v>1954</v>
      </c>
      <c r="J76" t="s">
        <v>4858</v>
      </c>
    </row>
    <row r="77" spans="1:10" ht="15" customHeight="1" x14ac:dyDescent="0.25">
      <c r="A77" t="s">
        <v>4859</v>
      </c>
      <c r="B77" t="s">
        <v>2971</v>
      </c>
      <c r="C77" t="s">
        <v>4325</v>
      </c>
      <c r="D77">
        <v>1</v>
      </c>
      <c r="E77" t="s">
        <v>4860</v>
      </c>
      <c r="F77" t="s">
        <v>4861</v>
      </c>
      <c r="G77">
        <v>1</v>
      </c>
      <c r="H77" t="s">
        <v>4859</v>
      </c>
      <c r="I77" t="s">
        <v>4773</v>
      </c>
      <c r="J77" t="s">
        <v>4862</v>
      </c>
    </row>
    <row r="78" spans="1:10" ht="15" customHeight="1" x14ac:dyDescent="0.25">
      <c r="A78" t="s">
        <v>4863</v>
      </c>
      <c r="B78" t="s">
        <v>2971</v>
      </c>
      <c r="C78" t="s">
        <v>4243</v>
      </c>
      <c r="D78">
        <v>1</v>
      </c>
      <c r="E78" t="s">
        <v>4864</v>
      </c>
      <c r="F78" t="s">
        <v>4865</v>
      </c>
      <c r="G78">
        <v>1</v>
      </c>
      <c r="H78" t="s">
        <v>4866</v>
      </c>
      <c r="I78" t="s">
        <v>1954</v>
      </c>
      <c r="J78" t="s">
        <v>4661</v>
      </c>
    </row>
    <row r="79" spans="1:10" ht="15" customHeight="1" x14ac:dyDescent="0.25">
      <c r="A79" t="s">
        <v>4867</v>
      </c>
      <c r="B79" t="s">
        <v>2971</v>
      </c>
      <c r="C79" t="s">
        <v>4620</v>
      </c>
      <c r="D79">
        <v>0</v>
      </c>
      <c r="E79" t="s">
        <v>4868</v>
      </c>
      <c r="F79" t="s">
        <v>4869</v>
      </c>
      <c r="G79">
        <v>0</v>
      </c>
      <c r="H79" t="s">
        <v>4870</v>
      </c>
      <c r="I79" t="s">
        <v>1954</v>
      </c>
      <c r="J79" t="s">
        <v>4675</v>
      </c>
    </row>
    <row r="80" spans="1:10" ht="15" customHeight="1" x14ac:dyDescent="0.25">
      <c r="A80" t="s">
        <v>4871</v>
      </c>
      <c r="B80" t="s">
        <v>2971</v>
      </c>
      <c r="C80" t="s">
        <v>4243</v>
      </c>
      <c r="D80">
        <v>2</v>
      </c>
      <c r="E80" t="s">
        <v>4872</v>
      </c>
      <c r="F80" t="s">
        <v>4872</v>
      </c>
      <c r="G80">
        <v>1</v>
      </c>
      <c r="H80" t="s">
        <v>4871</v>
      </c>
      <c r="I80" t="s">
        <v>1954</v>
      </c>
      <c r="J80" t="s">
        <v>4637</v>
      </c>
    </row>
    <row r="81" spans="1:10" ht="15" customHeight="1" x14ac:dyDescent="0.25">
      <c r="A81" t="s">
        <v>4079</v>
      </c>
      <c r="B81" t="s">
        <v>2952</v>
      </c>
      <c r="C81" t="s">
        <v>3453</v>
      </c>
      <c r="D81">
        <v>2</v>
      </c>
      <c r="E81" t="s">
        <v>4873</v>
      </c>
      <c r="F81" t="s">
        <v>4873</v>
      </c>
      <c r="G81">
        <v>1</v>
      </c>
      <c r="H81" t="s">
        <v>4079</v>
      </c>
      <c r="I81" t="s">
        <v>1954</v>
      </c>
      <c r="J81" t="s">
        <v>4748</v>
      </c>
    </row>
    <row r="82" spans="1:10" ht="15" customHeight="1" x14ac:dyDescent="0.25">
      <c r="A82" t="s">
        <v>4874</v>
      </c>
      <c r="B82" t="s">
        <v>2971</v>
      </c>
      <c r="C82" t="s">
        <v>4243</v>
      </c>
      <c r="D82">
        <v>0</v>
      </c>
      <c r="E82" t="s">
        <v>4875</v>
      </c>
      <c r="F82" t="s">
        <v>4876</v>
      </c>
      <c r="G82">
        <v>0</v>
      </c>
      <c r="H82" t="s">
        <v>4877</v>
      </c>
      <c r="I82" t="s">
        <v>1954</v>
      </c>
      <c r="J82" t="s">
        <v>4878</v>
      </c>
    </row>
    <row r="83" spans="1:10" ht="15" customHeight="1" x14ac:dyDescent="0.25">
      <c r="A83" t="s">
        <v>4879</v>
      </c>
      <c r="B83" t="s">
        <v>2971</v>
      </c>
      <c r="C83" t="s">
        <v>4620</v>
      </c>
      <c r="D83">
        <v>3</v>
      </c>
      <c r="E83" t="s">
        <v>4880</v>
      </c>
      <c r="F83" t="s">
        <v>4881</v>
      </c>
      <c r="G83">
        <v>3</v>
      </c>
      <c r="H83" t="s">
        <v>4879</v>
      </c>
      <c r="I83" t="s">
        <v>1954</v>
      </c>
      <c r="J83" t="s">
        <v>4882</v>
      </c>
    </row>
    <row r="84" spans="1:10" ht="15" customHeight="1" x14ac:dyDescent="0.25">
      <c r="A84" t="s">
        <v>4081</v>
      </c>
      <c r="B84" t="s">
        <v>2971</v>
      </c>
      <c r="C84" t="s">
        <v>3453</v>
      </c>
      <c r="D84">
        <v>1</v>
      </c>
      <c r="E84" t="s">
        <v>4883</v>
      </c>
      <c r="F84" t="s">
        <v>4884</v>
      </c>
      <c r="G84">
        <v>1</v>
      </c>
      <c r="H84" t="s">
        <v>4081</v>
      </c>
      <c r="I84" t="s">
        <v>1954</v>
      </c>
      <c r="J84" t="s">
        <v>4885</v>
      </c>
    </row>
    <row r="85" spans="1:10" ht="15" customHeight="1" x14ac:dyDescent="0.25">
      <c r="A85" t="s">
        <v>4886</v>
      </c>
      <c r="B85" t="s">
        <v>2952</v>
      </c>
      <c r="C85" t="s">
        <v>4243</v>
      </c>
      <c r="D85">
        <v>1</v>
      </c>
      <c r="E85" t="s">
        <v>4887</v>
      </c>
      <c r="F85" t="s">
        <v>4887</v>
      </c>
      <c r="G85">
        <v>0</v>
      </c>
      <c r="H85" t="s">
        <v>4886</v>
      </c>
      <c r="I85" t="s">
        <v>1954</v>
      </c>
      <c r="J85" t="s">
        <v>4888</v>
      </c>
    </row>
    <row r="86" spans="1:10" ht="15" customHeight="1" x14ac:dyDescent="0.25">
      <c r="A86" t="s">
        <v>4889</v>
      </c>
      <c r="B86" t="s">
        <v>2971</v>
      </c>
      <c r="C86" t="s">
        <v>4243</v>
      </c>
      <c r="D86">
        <v>1</v>
      </c>
      <c r="E86" t="s">
        <v>4890</v>
      </c>
      <c r="F86" t="s">
        <v>4891</v>
      </c>
      <c r="G86">
        <v>1</v>
      </c>
      <c r="H86" t="s">
        <v>4889</v>
      </c>
      <c r="I86" t="s">
        <v>1954</v>
      </c>
      <c r="J86" t="s">
        <v>4892</v>
      </c>
    </row>
    <row r="87" spans="1:10" ht="15" customHeight="1" x14ac:dyDescent="0.25">
      <c r="A87" t="s">
        <v>4893</v>
      </c>
      <c r="B87" t="s">
        <v>2952</v>
      </c>
      <c r="C87" t="s">
        <v>4620</v>
      </c>
      <c r="D87">
        <v>1</v>
      </c>
      <c r="E87" t="s">
        <v>4894</v>
      </c>
      <c r="F87" t="s">
        <v>4895</v>
      </c>
      <c r="G87">
        <v>1</v>
      </c>
      <c r="H87" t="s">
        <v>4893</v>
      </c>
      <c r="I87" t="s">
        <v>1954</v>
      </c>
      <c r="J87" t="s">
        <v>4896</v>
      </c>
    </row>
    <row r="88" spans="1:10" ht="15" customHeight="1" x14ac:dyDescent="0.25">
      <c r="A88" t="s">
        <v>4089</v>
      </c>
      <c r="B88" t="s">
        <v>2971</v>
      </c>
      <c r="C88" t="s">
        <v>3453</v>
      </c>
      <c r="D88">
        <v>1</v>
      </c>
      <c r="E88" t="s">
        <v>4897</v>
      </c>
      <c r="F88" t="s">
        <v>4898</v>
      </c>
      <c r="G88">
        <v>1</v>
      </c>
      <c r="H88" t="s">
        <v>4091</v>
      </c>
      <c r="I88" t="s">
        <v>1954</v>
      </c>
      <c r="J88" t="s">
        <v>4899</v>
      </c>
    </row>
    <row r="89" spans="1:10" ht="15" customHeight="1" x14ac:dyDescent="0.25">
      <c r="A89" t="s">
        <v>4900</v>
      </c>
      <c r="B89" t="s">
        <v>2952</v>
      </c>
      <c r="C89" t="s">
        <v>4620</v>
      </c>
      <c r="D89">
        <v>2</v>
      </c>
      <c r="E89" t="s">
        <v>4901</v>
      </c>
      <c r="F89" t="s">
        <v>4902</v>
      </c>
      <c r="G89">
        <v>2</v>
      </c>
      <c r="H89" t="s">
        <v>4903</v>
      </c>
      <c r="I89" t="s">
        <v>1954</v>
      </c>
      <c r="J89" t="s">
        <v>4904</v>
      </c>
    </row>
    <row r="90" spans="1:10" ht="15" customHeight="1" x14ac:dyDescent="0.25">
      <c r="A90" t="s">
        <v>4905</v>
      </c>
      <c r="B90" t="s">
        <v>2959</v>
      </c>
      <c r="C90" t="s">
        <v>4325</v>
      </c>
      <c r="D90">
        <v>1</v>
      </c>
      <c r="E90" t="s">
        <v>4771</v>
      </c>
      <c r="F90" t="s">
        <v>4772</v>
      </c>
      <c r="G90">
        <v>1</v>
      </c>
      <c r="H90" t="s">
        <v>4905</v>
      </c>
      <c r="I90" t="s">
        <v>1962</v>
      </c>
      <c r="J90" t="s">
        <v>4906</v>
      </c>
    </row>
    <row r="91" spans="1:10" ht="15" customHeight="1" x14ac:dyDescent="0.25">
      <c r="A91" t="s">
        <v>4907</v>
      </c>
      <c r="B91" t="s">
        <v>2971</v>
      </c>
      <c r="C91" t="s">
        <v>4620</v>
      </c>
      <c r="D91">
        <v>1</v>
      </c>
      <c r="E91" t="s">
        <v>4908</v>
      </c>
      <c r="F91" t="s">
        <v>4909</v>
      </c>
      <c r="G91">
        <v>1</v>
      </c>
      <c r="H91" t="s">
        <v>4907</v>
      </c>
      <c r="I91" t="s">
        <v>1954</v>
      </c>
      <c r="J91" t="s">
        <v>4675</v>
      </c>
    </row>
    <row r="92" spans="1:10" ht="15" customHeight="1" x14ac:dyDescent="0.25">
      <c r="A92" t="s">
        <v>4092</v>
      </c>
      <c r="B92" t="s">
        <v>2971</v>
      </c>
      <c r="C92" t="s">
        <v>3453</v>
      </c>
      <c r="D92">
        <v>1</v>
      </c>
      <c r="E92" t="s">
        <v>4910</v>
      </c>
      <c r="F92" t="s">
        <v>4911</v>
      </c>
      <c r="G92">
        <v>1</v>
      </c>
      <c r="H92" t="s">
        <v>4094</v>
      </c>
      <c r="I92" t="s">
        <v>1954</v>
      </c>
      <c r="J92" t="s">
        <v>4912</v>
      </c>
    </row>
    <row r="93" spans="1:10" ht="15" customHeight="1" x14ac:dyDescent="0.25">
      <c r="A93" t="s">
        <v>4095</v>
      </c>
      <c r="B93" t="s">
        <v>2971</v>
      </c>
      <c r="C93" t="s">
        <v>4243</v>
      </c>
      <c r="D93">
        <v>2</v>
      </c>
      <c r="E93" t="s">
        <v>4913</v>
      </c>
      <c r="F93" t="s">
        <v>4914</v>
      </c>
      <c r="G93">
        <v>2</v>
      </c>
      <c r="H93" t="s">
        <v>4097</v>
      </c>
      <c r="I93" t="s">
        <v>1954</v>
      </c>
      <c r="J93" t="s">
        <v>4637</v>
      </c>
    </row>
    <row r="94" spans="1:10" ht="15" customHeight="1" x14ac:dyDescent="0.25">
      <c r="A94" t="s">
        <v>4915</v>
      </c>
      <c r="B94" t="s">
        <v>2971</v>
      </c>
      <c r="C94" t="s">
        <v>4620</v>
      </c>
      <c r="D94">
        <v>1</v>
      </c>
      <c r="E94" t="s">
        <v>4916</v>
      </c>
      <c r="F94" t="s">
        <v>4917</v>
      </c>
      <c r="G94">
        <v>1</v>
      </c>
      <c r="H94" t="s">
        <v>4915</v>
      </c>
      <c r="I94" t="s">
        <v>1954</v>
      </c>
      <c r="J94" t="s">
        <v>4675</v>
      </c>
    </row>
    <row r="95" spans="1:10" ht="15" customHeight="1" x14ac:dyDescent="0.25">
      <c r="A95" t="s">
        <v>4918</v>
      </c>
      <c r="B95" t="s">
        <v>2959</v>
      </c>
      <c r="C95" t="s">
        <v>4243</v>
      </c>
      <c r="D95">
        <v>0</v>
      </c>
      <c r="E95" t="s">
        <v>4919</v>
      </c>
      <c r="F95" t="s">
        <v>4920</v>
      </c>
      <c r="G95">
        <v>0</v>
      </c>
      <c r="H95" t="s">
        <v>4918</v>
      </c>
      <c r="I95" t="s">
        <v>1954</v>
      </c>
      <c r="J95" t="s">
        <v>4633</v>
      </c>
    </row>
    <row r="96" spans="1:10" ht="15" customHeight="1" x14ac:dyDescent="0.25">
      <c r="A96" t="s">
        <v>4921</v>
      </c>
      <c r="B96" t="s">
        <v>2959</v>
      </c>
      <c r="C96" t="s">
        <v>4620</v>
      </c>
      <c r="D96">
        <v>1</v>
      </c>
      <c r="E96" t="s">
        <v>4922</v>
      </c>
      <c r="F96" t="s">
        <v>4923</v>
      </c>
      <c r="G96">
        <v>1</v>
      </c>
      <c r="H96" t="s">
        <v>4924</v>
      </c>
      <c r="I96" t="s">
        <v>1954</v>
      </c>
      <c r="J96" t="s">
        <v>4925</v>
      </c>
    </row>
    <row r="97" spans="1:10" ht="15" customHeight="1" x14ac:dyDescent="0.25">
      <c r="A97" t="s">
        <v>4926</v>
      </c>
      <c r="B97" t="s">
        <v>2971</v>
      </c>
      <c r="C97" t="s">
        <v>3453</v>
      </c>
      <c r="D97">
        <v>1</v>
      </c>
      <c r="E97" t="s">
        <v>4560</v>
      </c>
      <c r="F97" t="s">
        <v>4927</v>
      </c>
      <c r="G97">
        <v>1</v>
      </c>
      <c r="H97" t="s">
        <v>4926</v>
      </c>
      <c r="I97" t="s">
        <v>1954</v>
      </c>
      <c r="J97" t="s">
        <v>4615</v>
      </c>
    </row>
    <row r="98" spans="1:10" ht="15" customHeight="1" x14ac:dyDescent="0.25">
      <c r="A98" t="s">
        <v>4928</v>
      </c>
      <c r="B98" t="s">
        <v>2971</v>
      </c>
      <c r="C98" t="s">
        <v>4325</v>
      </c>
      <c r="D98">
        <v>1</v>
      </c>
      <c r="E98" t="s">
        <v>4771</v>
      </c>
      <c r="F98" t="s">
        <v>4772</v>
      </c>
      <c r="G98">
        <v>1</v>
      </c>
      <c r="H98" t="s">
        <v>4928</v>
      </c>
      <c r="I98" t="s">
        <v>1962</v>
      </c>
      <c r="J98" t="s">
        <v>4774</v>
      </c>
    </row>
    <row r="99" spans="1:10" ht="15" customHeight="1" x14ac:dyDescent="0.25">
      <c r="A99" t="s">
        <v>4929</v>
      </c>
      <c r="B99" t="s">
        <v>2971</v>
      </c>
      <c r="C99" t="s">
        <v>4243</v>
      </c>
      <c r="D99">
        <v>1</v>
      </c>
      <c r="E99" t="s">
        <v>4930</v>
      </c>
      <c r="F99" t="s">
        <v>4931</v>
      </c>
      <c r="G99">
        <v>1</v>
      </c>
      <c r="H99" t="s">
        <v>4932</v>
      </c>
      <c r="I99" t="s">
        <v>1954</v>
      </c>
      <c r="J99" t="s">
        <v>4637</v>
      </c>
    </row>
    <row r="100" spans="1:10" ht="15" customHeight="1" x14ac:dyDescent="0.25">
      <c r="A100" t="s">
        <v>4933</v>
      </c>
      <c r="B100" t="s">
        <v>2971</v>
      </c>
      <c r="C100" t="s">
        <v>4325</v>
      </c>
      <c r="D100">
        <v>1</v>
      </c>
      <c r="E100" t="s">
        <v>4771</v>
      </c>
      <c r="F100" t="s">
        <v>4772</v>
      </c>
      <c r="G100">
        <v>1</v>
      </c>
      <c r="H100" t="s">
        <v>4933</v>
      </c>
      <c r="I100" t="s">
        <v>1962</v>
      </c>
      <c r="J100" t="s">
        <v>4906</v>
      </c>
    </row>
    <row r="101" spans="1:10" ht="15" customHeight="1" x14ac:dyDescent="0.25">
      <c r="A101" t="s">
        <v>4934</v>
      </c>
      <c r="B101" t="s">
        <v>2952</v>
      </c>
      <c r="C101" t="s">
        <v>4620</v>
      </c>
      <c r="D101">
        <v>1</v>
      </c>
      <c r="E101" t="s">
        <v>4935</v>
      </c>
      <c r="F101" t="s">
        <v>4936</v>
      </c>
      <c r="G101">
        <v>1</v>
      </c>
      <c r="H101" t="s">
        <v>4937</v>
      </c>
      <c r="I101" t="s">
        <v>1954</v>
      </c>
      <c r="J101" t="s">
        <v>4675</v>
      </c>
    </row>
    <row r="102" spans="1:10" ht="15" customHeight="1" x14ac:dyDescent="0.25">
      <c r="A102" t="s">
        <v>4938</v>
      </c>
      <c r="B102" t="s">
        <v>2959</v>
      </c>
      <c r="C102" t="s">
        <v>4620</v>
      </c>
      <c r="D102">
        <v>0</v>
      </c>
      <c r="E102" t="s">
        <v>4939</v>
      </c>
      <c r="F102" t="s">
        <v>4940</v>
      </c>
      <c r="G102">
        <v>0</v>
      </c>
      <c r="H102" t="s">
        <v>4941</v>
      </c>
      <c r="I102" t="s">
        <v>1954</v>
      </c>
      <c r="J102" t="s">
        <v>4666</v>
      </c>
    </row>
    <row r="103" spans="1:10" ht="15" customHeight="1" x14ac:dyDescent="0.25">
      <c r="A103" t="s">
        <v>4942</v>
      </c>
      <c r="B103" t="s">
        <v>2952</v>
      </c>
      <c r="C103" t="s">
        <v>4620</v>
      </c>
      <c r="D103">
        <v>0</v>
      </c>
      <c r="E103" t="s">
        <v>4943</v>
      </c>
      <c r="F103" t="s">
        <v>4944</v>
      </c>
      <c r="G103">
        <v>0</v>
      </c>
      <c r="H103" t="s">
        <v>4945</v>
      </c>
      <c r="I103" t="s">
        <v>1954</v>
      </c>
      <c r="J103" t="s">
        <v>4675</v>
      </c>
    </row>
    <row r="104" spans="1:10" ht="15" customHeight="1" x14ac:dyDescent="0.25">
      <c r="A104" t="s">
        <v>4009</v>
      </c>
      <c r="B104" t="s">
        <v>3807</v>
      </c>
      <c r="C104" t="s">
        <v>4768</v>
      </c>
      <c r="D104" t="s">
        <v>3805</v>
      </c>
      <c r="E104" t="s">
        <v>4946</v>
      </c>
      <c r="F104" t="s">
        <v>2905</v>
      </c>
      <c r="G104" t="s">
        <v>2905</v>
      </c>
      <c r="H104" t="s">
        <v>4009</v>
      </c>
      <c r="I104" t="s">
        <v>1958</v>
      </c>
      <c r="J104" t="s">
        <v>4770</v>
      </c>
    </row>
    <row r="105" spans="1:10" ht="15" customHeight="1" x14ac:dyDescent="0.25">
      <c r="A105" t="s">
        <v>4947</v>
      </c>
      <c r="B105" t="s">
        <v>2959</v>
      </c>
      <c r="C105" t="s">
        <v>4243</v>
      </c>
      <c r="D105">
        <v>1</v>
      </c>
      <c r="E105" t="s">
        <v>4948</v>
      </c>
      <c r="F105" t="s">
        <v>4948</v>
      </c>
      <c r="G105">
        <v>0</v>
      </c>
      <c r="H105" t="s">
        <v>4947</v>
      </c>
      <c r="I105" t="s">
        <v>1954</v>
      </c>
      <c r="J105" t="s">
        <v>4904</v>
      </c>
    </row>
    <row r="106" spans="1:10" ht="15" customHeight="1" x14ac:dyDescent="0.25">
      <c r="A106" t="s">
        <v>4949</v>
      </c>
      <c r="B106" t="s">
        <v>2959</v>
      </c>
      <c r="C106" t="s">
        <v>4620</v>
      </c>
      <c r="D106">
        <v>1</v>
      </c>
      <c r="E106" t="s">
        <v>4950</v>
      </c>
      <c r="F106" t="s">
        <v>4951</v>
      </c>
      <c r="G106">
        <v>1</v>
      </c>
      <c r="H106" t="s">
        <v>4949</v>
      </c>
      <c r="I106" t="s">
        <v>1954</v>
      </c>
      <c r="J106" t="s">
        <v>4633</v>
      </c>
    </row>
    <row r="107" spans="1:10" ht="15" customHeight="1" x14ac:dyDescent="0.25">
      <c r="A107" t="s">
        <v>4952</v>
      </c>
      <c r="B107" t="s">
        <v>2959</v>
      </c>
      <c r="C107" t="s">
        <v>4325</v>
      </c>
      <c r="D107">
        <v>1</v>
      </c>
      <c r="E107" t="s">
        <v>4953</v>
      </c>
      <c r="F107" t="s">
        <v>4954</v>
      </c>
      <c r="G107">
        <v>1</v>
      </c>
      <c r="H107" t="s">
        <v>4952</v>
      </c>
      <c r="I107" t="s">
        <v>1962</v>
      </c>
      <c r="J107" t="s">
        <v>4862</v>
      </c>
    </row>
    <row r="108" spans="1:10" ht="15" customHeight="1" x14ac:dyDescent="0.25">
      <c r="A108" t="s">
        <v>4955</v>
      </c>
      <c r="B108" t="s">
        <v>2959</v>
      </c>
      <c r="C108" t="s">
        <v>4620</v>
      </c>
      <c r="D108">
        <v>2</v>
      </c>
      <c r="E108" t="s">
        <v>4956</v>
      </c>
      <c r="F108" t="s">
        <v>4957</v>
      </c>
      <c r="G108">
        <v>2</v>
      </c>
      <c r="H108" t="s">
        <v>4958</v>
      </c>
      <c r="I108" t="s">
        <v>1954</v>
      </c>
      <c r="J108" t="s">
        <v>4959</v>
      </c>
    </row>
    <row r="109" spans="1:10" ht="15" customHeight="1" x14ac:dyDescent="0.25">
      <c r="A109" t="s">
        <v>4960</v>
      </c>
      <c r="B109" t="s">
        <v>2971</v>
      </c>
      <c r="C109" t="s">
        <v>4620</v>
      </c>
      <c r="D109">
        <v>1</v>
      </c>
      <c r="E109" t="s">
        <v>4961</v>
      </c>
      <c r="F109" t="s">
        <v>4962</v>
      </c>
      <c r="G109">
        <v>1</v>
      </c>
      <c r="H109" t="s">
        <v>4963</v>
      </c>
      <c r="I109" t="s">
        <v>1954</v>
      </c>
      <c r="J109" t="s">
        <v>4748</v>
      </c>
    </row>
    <row r="110" spans="1:10" ht="15" customHeight="1" x14ac:dyDescent="0.25">
      <c r="A110" t="s">
        <v>4964</v>
      </c>
      <c r="B110" t="s">
        <v>2971</v>
      </c>
      <c r="C110" t="s">
        <v>4620</v>
      </c>
      <c r="D110">
        <v>1</v>
      </c>
      <c r="E110" t="s">
        <v>4965</v>
      </c>
      <c r="F110" t="s">
        <v>4966</v>
      </c>
      <c r="G110">
        <v>1</v>
      </c>
      <c r="H110" t="s">
        <v>4964</v>
      </c>
      <c r="I110" t="s">
        <v>1954</v>
      </c>
      <c r="J110" t="s">
        <v>4633</v>
      </c>
    </row>
    <row r="111" spans="1:10" ht="15" customHeight="1" x14ac:dyDescent="0.25">
      <c r="A111" t="s">
        <v>4967</v>
      </c>
      <c r="B111" t="s">
        <v>2959</v>
      </c>
      <c r="C111" t="s">
        <v>4243</v>
      </c>
      <c r="D111">
        <v>1</v>
      </c>
      <c r="E111" t="s">
        <v>4968</v>
      </c>
      <c r="F111" t="s">
        <v>4969</v>
      </c>
      <c r="G111">
        <v>1</v>
      </c>
      <c r="H111" t="s">
        <v>4967</v>
      </c>
      <c r="I111" t="s">
        <v>1954</v>
      </c>
      <c r="J111" t="s">
        <v>4970</v>
      </c>
    </row>
    <row r="112" spans="1:10" ht="15" customHeight="1" x14ac:dyDescent="0.25">
      <c r="A112" t="s">
        <v>4971</v>
      </c>
      <c r="B112" t="s">
        <v>2952</v>
      </c>
      <c r="C112" t="s">
        <v>4620</v>
      </c>
      <c r="D112">
        <v>2</v>
      </c>
      <c r="E112" t="s">
        <v>4972</v>
      </c>
      <c r="F112" t="s">
        <v>4973</v>
      </c>
      <c r="G112">
        <v>2</v>
      </c>
      <c r="H112" t="s">
        <v>4971</v>
      </c>
      <c r="I112" t="s">
        <v>1954</v>
      </c>
      <c r="J112" t="s">
        <v>4633</v>
      </c>
    </row>
    <row r="113" spans="1:10" ht="15" customHeight="1" x14ac:dyDescent="0.25">
      <c r="A113" t="s">
        <v>4974</v>
      </c>
      <c r="B113" t="s">
        <v>2952</v>
      </c>
      <c r="C113" t="s">
        <v>4243</v>
      </c>
      <c r="D113">
        <v>2</v>
      </c>
      <c r="E113" t="s">
        <v>4975</v>
      </c>
      <c r="F113" t="s">
        <v>4976</v>
      </c>
      <c r="G113">
        <v>2</v>
      </c>
      <c r="H113" t="s">
        <v>4974</v>
      </c>
      <c r="I113" t="s">
        <v>1954</v>
      </c>
      <c r="J113" t="s">
        <v>4899</v>
      </c>
    </row>
    <row r="114" spans="1:10" ht="15" customHeight="1" x14ac:dyDescent="0.25">
      <c r="A114" t="s">
        <v>4977</v>
      </c>
      <c r="B114" t="s">
        <v>2971</v>
      </c>
      <c r="C114" t="s">
        <v>4243</v>
      </c>
      <c r="D114">
        <v>1</v>
      </c>
      <c r="E114" t="s">
        <v>4978</v>
      </c>
      <c r="F114" t="s">
        <v>4978</v>
      </c>
      <c r="G114">
        <v>0</v>
      </c>
      <c r="H114" t="s">
        <v>4979</v>
      </c>
      <c r="I114" t="s">
        <v>1954</v>
      </c>
      <c r="J114" t="s">
        <v>4980</v>
      </c>
    </row>
    <row r="115" spans="1:10" ht="15" customHeight="1" x14ac:dyDescent="0.25">
      <c r="A115" t="s">
        <v>4981</v>
      </c>
      <c r="B115" t="s">
        <v>2971</v>
      </c>
      <c r="C115" t="s">
        <v>3453</v>
      </c>
      <c r="D115">
        <v>1</v>
      </c>
      <c r="E115" t="s">
        <v>4982</v>
      </c>
      <c r="F115" t="s">
        <v>4983</v>
      </c>
      <c r="G115">
        <v>1</v>
      </c>
      <c r="H115" t="s">
        <v>4984</v>
      </c>
      <c r="I115" t="s">
        <v>1954</v>
      </c>
      <c r="J115" t="s">
        <v>4675</v>
      </c>
    </row>
    <row r="116" spans="1:10" ht="15" customHeight="1" x14ac:dyDescent="0.25">
      <c r="A116" t="s">
        <v>4985</v>
      </c>
      <c r="B116" t="s">
        <v>2971</v>
      </c>
      <c r="C116" t="s">
        <v>3453</v>
      </c>
      <c r="D116">
        <v>1</v>
      </c>
      <c r="E116" t="s">
        <v>4986</v>
      </c>
      <c r="F116" t="s">
        <v>4987</v>
      </c>
      <c r="G116">
        <v>1</v>
      </c>
      <c r="H116" t="s">
        <v>4985</v>
      </c>
      <c r="I116" t="s">
        <v>1954</v>
      </c>
      <c r="J116" t="s">
        <v>4827</v>
      </c>
    </row>
    <row r="117" spans="1:10" ht="15" customHeight="1" x14ac:dyDescent="0.25">
      <c r="A117" t="s">
        <v>4014</v>
      </c>
      <c r="B117" t="s">
        <v>3807</v>
      </c>
      <c r="C117" t="s">
        <v>4768</v>
      </c>
      <c r="D117" t="s">
        <v>3805</v>
      </c>
      <c r="E117" t="s">
        <v>4988</v>
      </c>
      <c r="F117" t="s">
        <v>2905</v>
      </c>
      <c r="G117" t="s">
        <v>2905</v>
      </c>
      <c r="H117" t="s">
        <v>4014</v>
      </c>
      <c r="I117" t="s">
        <v>1954</v>
      </c>
      <c r="J117" t="s">
        <v>4770</v>
      </c>
    </row>
    <row r="118" spans="1:10" ht="15" customHeight="1" x14ac:dyDescent="0.25">
      <c r="A118" t="s">
        <v>4989</v>
      </c>
      <c r="B118" t="s">
        <v>2971</v>
      </c>
      <c r="C118" t="s">
        <v>4243</v>
      </c>
      <c r="D118">
        <v>0</v>
      </c>
      <c r="E118" t="s">
        <v>4990</v>
      </c>
      <c r="F118" t="s">
        <v>4991</v>
      </c>
      <c r="G118">
        <v>0</v>
      </c>
      <c r="H118" t="s">
        <v>4989</v>
      </c>
      <c r="I118" t="s">
        <v>1954</v>
      </c>
      <c r="J118" t="s">
        <v>4837</v>
      </c>
    </row>
    <row r="119" spans="1:10" ht="15" customHeight="1" x14ac:dyDescent="0.25">
      <c r="A119" t="s">
        <v>4992</v>
      </c>
      <c r="B119" t="s">
        <v>2959</v>
      </c>
      <c r="C119" t="s">
        <v>4620</v>
      </c>
      <c r="D119">
        <v>1</v>
      </c>
      <c r="E119" t="s">
        <v>4993</v>
      </c>
      <c r="F119" t="s">
        <v>4994</v>
      </c>
      <c r="G119">
        <v>1</v>
      </c>
      <c r="H119" t="s">
        <v>4995</v>
      </c>
      <c r="I119" t="s">
        <v>1954</v>
      </c>
      <c r="J119" t="s">
        <v>4996</v>
      </c>
    </row>
    <row r="120" spans="1:10" ht="15" customHeight="1" x14ac:dyDescent="0.25">
      <c r="A120" t="s">
        <v>4586</v>
      </c>
      <c r="B120" t="s">
        <v>2983</v>
      </c>
      <c r="C120" t="s">
        <v>4325</v>
      </c>
      <c r="D120">
        <v>1</v>
      </c>
      <c r="E120" s="4" t="s">
        <v>4997</v>
      </c>
      <c r="F120" s="4" t="s">
        <v>4997</v>
      </c>
      <c r="G120" s="4">
        <v>0</v>
      </c>
      <c r="H120" t="s">
        <v>2905</v>
      </c>
      <c r="I120" t="s">
        <v>2199</v>
      </c>
    </row>
    <row r="121" spans="1:10" ht="15" customHeight="1" x14ac:dyDescent="0.25">
      <c r="A121" t="s">
        <v>4998</v>
      </c>
      <c r="B121" t="s">
        <v>2971</v>
      </c>
      <c r="C121" t="s">
        <v>4325</v>
      </c>
      <c r="D121">
        <v>1</v>
      </c>
      <c r="E121" t="s">
        <v>4999</v>
      </c>
      <c r="F121" t="s">
        <v>5000</v>
      </c>
      <c r="G121">
        <v>1</v>
      </c>
      <c r="H121" t="s">
        <v>4998</v>
      </c>
      <c r="I121" t="s">
        <v>1962</v>
      </c>
      <c r="J121" t="s">
        <v>5001</v>
      </c>
    </row>
    <row r="122" spans="1:10" ht="15" customHeight="1" x14ac:dyDescent="0.25">
      <c r="A122" t="s">
        <v>5002</v>
      </c>
      <c r="B122" t="s">
        <v>2952</v>
      </c>
      <c r="C122" t="s">
        <v>3453</v>
      </c>
      <c r="D122">
        <v>2</v>
      </c>
      <c r="E122" t="s">
        <v>5003</v>
      </c>
      <c r="F122" t="s">
        <v>5004</v>
      </c>
      <c r="G122">
        <v>2</v>
      </c>
      <c r="H122" t="s">
        <v>5002</v>
      </c>
      <c r="I122" t="s">
        <v>1954</v>
      </c>
      <c r="J122" t="s">
        <v>4996</v>
      </c>
    </row>
    <row r="123" spans="1:10" ht="15" customHeight="1" x14ac:dyDescent="0.25">
      <c r="A123" t="s">
        <v>5005</v>
      </c>
      <c r="B123" t="s">
        <v>2971</v>
      </c>
      <c r="C123" t="s">
        <v>4325</v>
      </c>
      <c r="D123">
        <v>1</v>
      </c>
      <c r="E123" t="s">
        <v>4771</v>
      </c>
      <c r="F123" t="s">
        <v>4772</v>
      </c>
      <c r="G123">
        <v>1</v>
      </c>
      <c r="H123" t="s">
        <v>5005</v>
      </c>
      <c r="I123" t="s">
        <v>1962</v>
      </c>
      <c r="J123" t="s">
        <v>4774</v>
      </c>
    </row>
    <row r="124" spans="1:10" ht="15" customHeight="1" x14ac:dyDescent="0.25">
      <c r="A124" t="s">
        <v>5006</v>
      </c>
      <c r="B124" t="s">
        <v>2959</v>
      </c>
      <c r="C124" t="s">
        <v>4325</v>
      </c>
      <c r="D124">
        <v>1</v>
      </c>
      <c r="E124" t="s">
        <v>4771</v>
      </c>
      <c r="F124" t="s">
        <v>4772</v>
      </c>
      <c r="G124">
        <v>1</v>
      </c>
      <c r="H124" t="s">
        <v>5006</v>
      </c>
      <c r="I124" t="s">
        <v>1962</v>
      </c>
      <c r="J124" t="s">
        <v>4906</v>
      </c>
    </row>
    <row r="125" spans="1:10" ht="15" customHeight="1" x14ac:dyDescent="0.25">
      <c r="A125" t="s">
        <v>5007</v>
      </c>
      <c r="B125" t="s">
        <v>2959</v>
      </c>
      <c r="C125" t="s">
        <v>4243</v>
      </c>
      <c r="D125">
        <v>1</v>
      </c>
      <c r="E125" t="s">
        <v>5008</v>
      </c>
      <c r="F125" t="s">
        <v>5009</v>
      </c>
      <c r="G125">
        <v>1</v>
      </c>
      <c r="H125" t="s">
        <v>5007</v>
      </c>
      <c r="I125" t="s">
        <v>1954</v>
      </c>
      <c r="J125" t="s">
        <v>4718</v>
      </c>
    </row>
    <row r="126" spans="1:10" ht="15" customHeight="1" x14ac:dyDescent="0.25">
      <c r="A126" t="s">
        <v>5010</v>
      </c>
      <c r="B126" t="s">
        <v>2971</v>
      </c>
      <c r="C126" t="s">
        <v>4243</v>
      </c>
      <c r="D126">
        <v>2</v>
      </c>
      <c r="E126" t="s">
        <v>5011</v>
      </c>
      <c r="F126" t="s">
        <v>5012</v>
      </c>
      <c r="G126">
        <v>2</v>
      </c>
      <c r="H126" t="s">
        <v>5013</v>
      </c>
      <c r="I126" t="s">
        <v>1954</v>
      </c>
      <c r="J126" t="s">
        <v>5014</v>
      </c>
    </row>
    <row r="127" spans="1:10" ht="15" customHeight="1" x14ac:dyDescent="0.25">
      <c r="A127" t="s">
        <v>3549</v>
      </c>
      <c r="B127" t="s">
        <v>2959</v>
      </c>
      <c r="C127" t="s">
        <v>4620</v>
      </c>
      <c r="D127">
        <v>1</v>
      </c>
      <c r="E127" t="s">
        <v>5015</v>
      </c>
      <c r="F127" t="s">
        <v>5015</v>
      </c>
      <c r="G127">
        <v>1</v>
      </c>
      <c r="H127" t="s">
        <v>3552</v>
      </c>
      <c r="I127" t="s">
        <v>828</v>
      </c>
      <c r="J127" t="s">
        <v>4653</v>
      </c>
    </row>
    <row r="128" spans="1:10" ht="15" customHeight="1" x14ac:dyDescent="0.25">
      <c r="A128" t="s">
        <v>5016</v>
      </c>
      <c r="B128" t="s">
        <v>2952</v>
      </c>
      <c r="C128" t="s">
        <v>4243</v>
      </c>
      <c r="D128">
        <v>1</v>
      </c>
      <c r="E128" t="s">
        <v>5017</v>
      </c>
      <c r="F128" t="s">
        <v>5018</v>
      </c>
      <c r="G128">
        <v>1</v>
      </c>
      <c r="H128" t="s">
        <v>5019</v>
      </c>
      <c r="I128" t="s">
        <v>1954</v>
      </c>
      <c r="J128" t="s">
        <v>4827</v>
      </c>
    </row>
    <row r="129" spans="1:10" ht="15" customHeight="1" x14ac:dyDescent="0.25">
      <c r="A129" t="s">
        <v>5020</v>
      </c>
      <c r="B129" t="s">
        <v>2952</v>
      </c>
      <c r="C129" t="s">
        <v>3453</v>
      </c>
      <c r="D129">
        <v>1</v>
      </c>
      <c r="E129" t="s">
        <v>5021</v>
      </c>
      <c r="F129" t="s">
        <v>5022</v>
      </c>
      <c r="G129">
        <v>1</v>
      </c>
      <c r="H129" t="s">
        <v>5023</v>
      </c>
      <c r="I129" t="s">
        <v>1954</v>
      </c>
      <c r="J129" t="s">
        <v>5024</v>
      </c>
    </row>
    <row r="130" spans="1:10" ht="15" customHeight="1" x14ac:dyDescent="0.25">
      <c r="A130" t="s">
        <v>5025</v>
      </c>
      <c r="B130" t="s">
        <v>2959</v>
      </c>
      <c r="C130" t="s">
        <v>4325</v>
      </c>
      <c r="D130">
        <v>1</v>
      </c>
      <c r="E130" t="s">
        <v>5026</v>
      </c>
      <c r="F130" t="s">
        <v>5027</v>
      </c>
      <c r="G130">
        <v>1</v>
      </c>
      <c r="H130" t="s">
        <v>5025</v>
      </c>
      <c r="I130" t="s">
        <v>1962</v>
      </c>
      <c r="J130" t="s">
        <v>5001</v>
      </c>
    </row>
    <row r="131" spans="1:10" ht="15" customHeight="1" x14ac:dyDescent="0.25">
      <c r="A131" t="s">
        <v>5028</v>
      </c>
      <c r="B131" t="s">
        <v>2952</v>
      </c>
      <c r="C131" t="s">
        <v>4243</v>
      </c>
      <c r="D131" t="s">
        <v>4846</v>
      </c>
      <c r="E131" t="s">
        <v>5029</v>
      </c>
      <c r="F131" t="s">
        <v>5030</v>
      </c>
      <c r="G131" t="s">
        <v>4846</v>
      </c>
      <c r="H131" t="s">
        <v>5028</v>
      </c>
      <c r="I131" t="s">
        <v>1954</v>
      </c>
      <c r="J131" t="s">
        <v>5031</v>
      </c>
    </row>
    <row r="132" spans="1:10" ht="15" customHeight="1" x14ac:dyDescent="0.25">
      <c r="A132" t="s">
        <v>5032</v>
      </c>
      <c r="B132" t="s">
        <v>2971</v>
      </c>
      <c r="C132" t="s">
        <v>4620</v>
      </c>
      <c r="D132">
        <v>0</v>
      </c>
      <c r="E132" t="s">
        <v>5033</v>
      </c>
      <c r="F132" t="s">
        <v>5034</v>
      </c>
      <c r="G132">
        <v>0</v>
      </c>
      <c r="H132" t="s">
        <v>5035</v>
      </c>
      <c r="I132" t="s">
        <v>1954</v>
      </c>
      <c r="J132" t="s">
        <v>4675</v>
      </c>
    </row>
    <row r="133" spans="1:10" ht="15" customHeight="1" x14ac:dyDescent="0.25">
      <c r="A133" t="s">
        <v>5036</v>
      </c>
      <c r="B133" t="s">
        <v>2971</v>
      </c>
      <c r="C133" t="s">
        <v>3453</v>
      </c>
      <c r="D133">
        <v>1</v>
      </c>
      <c r="E133" t="s">
        <v>5037</v>
      </c>
      <c r="F133" t="s">
        <v>5038</v>
      </c>
      <c r="G133">
        <v>1</v>
      </c>
      <c r="H133" t="s">
        <v>5036</v>
      </c>
      <c r="I133" t="s">
        <v>1954</v>
      </c>
      <c r="J133" t="s">
        <v>4637</v>
      </c>
    </row>
    <row r="134" spans="1:10" ht="15" customHeight="1" x14ac:dyDescent="0.25">
      <c r="A134" t="s">
        <v>5039</v>
      </c>
      <c r="B134" t="s">
        <v>2952</v>
      </c>
      <c r="C134" t="s">
        <v>4704</v>
      </c>
      <c r="D134">
        <v>5</v>
      </c>
      <c r="E134" t="s">
        <v>5040</v>
      </c>
      <c r="F134" t="s">
        <v>5040</v>
      </c>
      <c r="G134">
        <v>4</v>
      </c>
      <c r="H134" t="s">
        <v>5041</v>
      </c>
      <c r="I134" t="s">
        <v>1377</v>
      </c>
    </row>
    <row r="135" spans="1:10" ht="15" customHeight="1" x14ac:dyDescent="0.25">
      <c r="A135" t="s">
        <v>5042</v>
      </c>
      <c r="B135" t="s">
        <v>2959</v>
      </c>
      <c r="C135" t="s">
        <v>4325</v>
      </c>
      <c r="D135">
        <v>1</v>
      </c>
      <c r="E135" t="s">
        <v>5043</v>
      </c>
      <c r="F135" t="s">
        <v>5044</v>
      </c>
      <c r="G135">
        <v>1</v>
      </c>
      <c r="H135" t="s">
        <v>5042</v>
      </c>
      <c r="I135" t="s">
        <v>1962</v>
      </c>
      <c r="J135" t="s">
        <v>4862</v>
      </c>
    </row>
    <row r="136" spans="1:10" ht="15" customHeight="1" x14ac:dyDescent="0.25">
      <c r="A136" t="s">
        <v>4595</v>
      </c>
      <c r="B136" t="s">
        <v>2983</v>
      </c>
      <c r="C136" t="s">
        <v>4620</v>
      </c>
      <c r="D136">
        <v>0</v>
      </c>
      <c r="E136" t="s">
        <v>5045</v>
      </c>
      <c r="F136" t="s">
        <v>5046</v>
      </c>
      <c r="G136">
        <v>0</v>
      </c>
      <c r="H136" t="s">
        <v>4595</v>
      </c>
      <c r="I136" t="s">
        <v>1954</v>
      </c>
      <c r="J136" t="s">
        <v>4651</v>
      </c>
    </row>
    <row r="137" spans="1:10" ht="15" customHeight="1" x14ac:dyDescent="0.25">
      <c r="A137" t="s">
        <v>5047</v>
      </c>
      <c r="B137" t="s">
        <v>2952</v>
      </c>
      <c r="C137" t="s">
        <v>4243</v>
      </c>
      <c r="D137">
        <v>3</v>
      </c>
      <c r="E137" t="s">
        <v>5048</v>
      </c>
      <c r="F137" t="s">
        <v>5048</v>
      </c>
      <c r="G137">
        <v>2</v>
      </c>
      <c r="H137" t="s">
        <v>5047</v>
      </c>
      <c r="I137" t="s">
        <v>1954</v>
      </c>
      <c r="J137" t="s">
        <v>4892</v>
      </c>
    </row>
    <row r="138" spans="1:10" ht="15" customHeight="1" x14ac:dyDescent="0.25">
      <c r="A138" t="s">
        <v>5049</v>
      </c>
      <c r="B138" t="s">
        <v>2971</v>
      </c>
      <c r="C138" t="s">
        <v>3453</v>
      </c>
      <c r="D138">
        <v>1</v>
      </c>
      <c r="E138" t="s">
        <v>5050</v>
      </c>
      <c r="F138" t="s">
        <v>5051</v>
      </c>
      <c r="G138">
        <v>1</v>
      </c>
      <c r="H138" t="s">
        <v>5052</v>
      </c>
      <c r="I138" t="s">
        <v>1954</v>
      </c>
      <c r="J138" t="s">
        <v>4784</v>
      </c>
    </row>
    <row r="139" spans="1:10" ht="15" customHeight="1" x14ac:dyDescent="0.25">
      <c r="A139" t="s">
        <v>5053</v>
      </c>
      <c r="B139" t="s">
        <v>2952</v>
      </c>
      <c r="C139" t="s">
        <v>4243</v>
      </c>
      <c r="D139">
        <v>0</v>
      </c>
      <c r="E139" t="s">
        <v>5054</v>
      </c>
      <c r="F139" t="s">
        <v>5055</v>
      </c>
      <c r="G139">
        <v>0</v>
      </c>
      <c r="H139" t="s">
        <v>5053</v>
      </c>
      <c r="I139" t="s">
        <v>1954</v>
      </c>
      <c r="J139" t="s">
        <v>5056</v>
      </c>
    </row>
    <row r="140" spans="1:10" ht="15" customHeight="1" x14ac:dyDescent="0.25">
      <c r="A140" t="s">
        <v>5057</v>
      </c>
      <c r="B140" t="s">
        <v>2959</v>
      </c>
      <c r="C140" t="s">
        <v>4243</v>
      </c>
      <c r="D140">
        <v>1</v>
      </c>
      <c r="E140" t="s">
        <v>5058</v>
      </c>
      <c r="F140" t="s">
        <v>5059</v>
      </c>
      <c r="G140">
        <v>1</v>
      </c>
      <c r="H140" t="s">
        <v>5057</v>
      </c>
      <c r="I140" t="s">
        <v>1954</v>
      </c>
      <c r="J140" t="s">
        <v>4722</v>
      </c>
    </row>
    <row r="141" spans="1:10" ht="15" customHeight="1" x14ac:dyDescent="0.25">
      <c r="A141" t="s">
        <v>5060</v>
      </c>
      <c r="B141" t="s">
        <v>3807</v>
      </c>
      <c r="C141" t="s">
        <v>4768</v>
      </c>
      <c r="D141" t="s">
        <v>3805</v>
      </c>
      <c r="E141" t="s">
        <v>5061</v>
      </c>
      <c r="F141" t="s">
        <v>2905</v>
      </c>
      <c r="G141" t="s">
        <v>2905</v>
      </c>
      <c r="H141" t="s">
        <v>5060</v>
      </c>
      <c r="I141" t="s">
        <v>1954</v>
      </c>
      <c r="J141" t="s">
        <v>4770</v>
      </c>
    </row>
    <row r="142" spans="1:10" ht="15" customHeight="1" x14ac:dyDescent="0.25">
      <c r="A142" t="s">
        <v>5062</v>
      </c>
      <c r="B142" t="s">
        <v>2959</v>
      </c>
      <c r="C142" t="s">
        <v>4620</v>
      </c>
      <c r="D142">
        <v>2</v>
      </c>
      <c r="E142" t="s">
        <v>5063</v>
      </c>
      <c r="F142" t="s">
        <v>5064</v>
      </c>
      <c r="G142">
        <v>2</v>
      </c>
      <c r="H142" t="s">
        <v>5065</v>
      </c>
      <c r="I142" t="s">
        <v>1954</v>
      </c>
      <c r="J142" t="s">
        <v>4633</v>
      </c>
    </row>
    <row r="143" spans="1:10" ht="15" customHeight="1" x14ac:dyDescent="0.25">
      <c r="A143" t="s">
        <v>5066</v>
      </c>
      <c r="B143" t="s">
        <v>2952</v>
      </c>
      <c r="C143" t="s">
        <v>4243</v>
      </c>
      <c r="D143">
        <v>1</v>
      </c>
      <c r="E143" t="s">
        <v>5067</v>
      </c>
      <c r="F143" t="s">
        <v>5067</v>
      </c>
      <c r="G143">
        <v>0</v>
      </c>
      <c r="H143" t="s">
        <v>5068</v>
      </c>
      <c r="I143" t="s">
        <v>1954</v>
      </c>
      <c r="J143" t="s">
        <v>4675</v>
      </c>
    </row>
    <row r="144" spans="1:10" ht="15" customHeight="1" x14ac:dyDescent="0.25">
      <c r="A144" t="s">
        <v>5069</v>
      </c>
      <c r="B144" t="s">
        <v>2959</v>
      </c>
      <c r="C144" t="s">
        <v>4243</v>
      </c>
      <c r="D144">
        <v>1</v>
      </c>
      <c r="E144" t="s">
        <v>5070</v>
      </c>
      <c r="F144" t="s">
        <v>5071</v>
      </c>
      <c r="G144">
        <v>1</v>
      </c>
      <c r="H144" t="s">
        <v>5072</v>
      </c>
      <c r="I144" t="s">
        <v>1954</v>
      </c>
      <c r="J144" t="s">
        <v>5031</v>
      </c>
    </row>
    <row r="145" spans="1:10" ht="15" customHeight="1" x14ac:dyDescent="0.25">
      <c r="A145" t="s">
        <v>5073</v>
      </c>
      <c r="B145" t="s">
        <v>2959</v>
      </c>
      <c r="C145" t="s">
        <v>4620</v>
      </c>
      <c r="D145">
        <v>1</v>
      </c>
      <c r="E145" t="s">
        <v>5074</v>
      </c>
      <c r="F145" t="s">
        <v>5075</v>
      </c>
      <c r="G145">
        <v>1</v>
      </c>
      <c r="H145" t="s">
        <v>5076</v>
      </c>
      <c r="I145" t="s">
        <v>1954</v>
      </c>
      <c r="J145" t="s">
        <v>4651</v>
      </c>
    </row>
    <row r="146" spans="1:10" ht="15" customHeight="1" x14ac:dyDescent="0.25">
      <c r="A146" t="s">
        <v>5077</v>
      </c>
      <c r="B146" t="s">
        <v>2959</v>
      </c>
      <c r="C146" t="s">
        <v>4620</v>
      </c>
      <c r="D146">
        <v>1</v>
      </c>
      <c r="E146" t="s">
        <v>5078</v>
      </c>
      <c r="F146" t="s">
        <v>5079</v>
      </c>
      <c r="G146">
        <v>1</v>
      </c>
      <c r="H146" t="s">
        <v>5080</v>
      </c>
      <c r="I146" t="s">
        <v>1954</v>
      </c>
      <c r="J146" t="s">
        <v>5081</v>
      </c>
    </row>
    <row r="147" spans="1:10" ht="15" customHeight="1" x14ac:dyDescent="0.25">
      <c r="A147" t="s">
        <v>5082</v>
      </c>
      <c r="B147" t="s">
        <v>2971</v>
      </c>
      <c r="C147" t="s">
        <v>4243</v>
      </c>
      <c r="D147">
        <v>1</v>
      </c>
      <c r="E147" t="s">
        <v>5083</v>
      </c>
      <c r="F147" t="s">
        <v>5084</v>
      </c>
      <c r="G147">
        <v>1</v>
      </c>
      <c r="H147" t="s">
        <v>5085</v>
      </c>
      <c r="I147" t="s">
        <v>1954</v>
      </c>
      <c r="J147" t="s">
        <v>5086</v>
      </c>
    </row>
    <row r="148" spans="1:10" ht="15" customHeight="1" x14ac:dyDescent="0.25">
      <c r="A148" t="s">
        <v>5087</v>
      </c>
      <c r="B148" t="s">
        <v>2971</v>
      </c>
      <c r="C148" t="s">
        <v>4620</v>
      </c>
      <c r="D148">
        <v>2</v>
      </c>
      <c r="E148" t="s">
        <v>5088</v>
      </c>
      <c r="F148" t="s">
        <v>5089</v>
      </c>
      <c r="G148">
        <v>2</v>
      </c>
      <c r="H148" t="s">
        <v>5087</v>
      </c>
      <c r="I148" t="s">
        <v>1954</v>
      </c>
      <c r="J148" t="s">
        <v>4925</v>
      </c>
    </row>
    <row r="149" spans="1:10" ht="15" customHeight="1" x14ac:dyDescent="0.25">
      <c r="A149" t="s">
        <v>5090</v>
      </c>
      <c r="B149" t="s">
        <v>2959</v>
      </c>
      <c r="C149" t="s">
        <v>4243</v>
      </c>
      <c r="D149">
        <v>0</v>
      </c>
      <c r="E149" t="s">
        <v>5091</v>
      </c>
      <c r="F149" t="s">
        <v>5092</v>
      </c>
      <c r="G149">
        <v>0</v>
      </c>
      <c r="H149" t="s">
        <v>5090</v>
      </c>
      <c r="I149" t="s">
        <v>1954</v>
      </c>
      <c r="J149" t="s">
        <v>4606</v>
      </c>
    </row>
    <row r="150" spans="1:10" ht="15" customHeight="1" x14ac:dyDescent="0.25">
      <c r="A150" t="s">
        <v>5093</v>
      </c>
      <c r="B150" t="s">
        <v>2971</v>
      </c>
      <c r="C150" t="s">
        <v>4620</v>
      </c>
      <c r="D150">
        <v>1</v>
      </c>
      <c r="E150" t="s">
        <v>5094</v>
      </c>
      <c r="F150" t="s">
        <v>5095</v>
      </c>
      <c r="G150">
        <v>1</v>
      </c>
      <c r="H150" t="s">
        <v>5093</v>
      </c>
      <c r="I150" t="s">
        <v>1954</v>
      </c>
      <c r="J150" t="s">
        <v>4904</v>
      </c>
    </row>
    <row r="151" spans="1:10" ht="15" customHeight="1" x14ac:dyDescent="0.25">
      <c r="A151" t="s">
        <v>4022</v>
      </c>
      <c r="B151" t="s">
        <v>3807</v>
      </c>
      <c r="C151" t="s">
        <v>4768</v>
      </c>
      <c r="D151" t="s">
        <v>3805</v>
      </c>
      <c r="E151" t="s">
        <v>5096</v>
      </c>
      <c r="F151" t="s">
        <v>2905</v>
      </c>
      <c r="G151" t="s">
        <v>3805</v>
      </c>
      <c r="H151" t="s">
        <v>5097</v>
      </c>
      <c r="I151" t="s">
        <v>1358</v>
      </c>
    </row>
    <row r="152" spans="1:10" ht="15" customHeight="1" x14ac:dyDescent="0.25">
      <c r="A152" t="s">
        <v>5098</v>
      </c>
      <c r="B152" t="s">
        <v>3807</v>
      </c>
      <c r="C152" t="s">
        <v>4689</v>
      </c>
      <c r="D152">
        <v>1</v>
      </c>
      <c r="E152" t="s">
        <v>5099</v>
      </c>
      <c r="F152" t="s">
        <v>2905</v>
      </c>
      <c r="G152" t="s">
        <v>2905</v>
      </c>
      <c r="H152" t="s">
        <v>5100</v>
      </c>
      <c r="I152" t="s">
        <v>351</v>
      </c>
      <c r="J152" t="s">
        <v>4692</v>
      </c>
    </row>
    <row r="153" spans="1:10" ht="15" customHeight="1" x14ac:dyDescent="0.25">
      <c r="A153" t="s">
        <v>5101</v>
      </c>
      <c r="B153" t="s">
        <v>2959</v>
      </c>
      <c r="C153" t="s">
        <v>4620</v>
      </c>
      <c r="D153">
        <v>1</v>
      </c>
      <c r="E153" t="s">
        <v>5102</v>
      </c>
      <c r="F153" t="s">
        <v>5103</v>
      </c>
      <c r="G153">
        <v>1</v>
      </c>
      <c r="H153" t="s">
        <v>5104</v>
      </c>
      <c r="I153" t="s">
        <v>1954</v>
      </c>
      <c r="J153" t="s">
        <v>5105</v>
      </c>
    </row>
    <row r="154" spans="1:10" ht="15" customHeight="1" x14ac:dyDescent="0.25">
      <c r="A154" t="s">
        <v>4245</v>
      </c>
      <c r="B154" t="s">
        <v>2971</v>
      </c>
      <c r="C154" t="s">
        <v>4243</v>
      </c>
      <c r="D154">
        <v>0</v>
      </c>
      <c r="E154" t="s">
        <v>5106</v>
      </c>
      <c r="F154" t="s">
        <v>5107</v>
      </c>
      <c r="G154">
        <v>0</v>
      </c>
      <c r="H154" t="s">
        <v>4245</v>
      </c>
      <c r="I154" t="s">
        <v>1954</v>
      </c>
      <c r="J154" t="s">
        <v>4637</v>
      </c>
    </row>
    <row r="155" spans="1:10" ht="15" customHeight="1" x14ac:dyDescent="0.25">
      <c r="A155" t="s">
        <v>5108</v>
      </c>
      <c r="B155" t="s">
        <v>2971</v>
      </c>
      <c r="C155" t="s">
        <v>4620</v>
      </c>
      <c r="D155">
        <v>1</v>
      </c>
      <c r="E155" t="s">
        <v>5109</v>
      </c>
      <c r="F155" t="s">
        <v>5110</v>
      </c>
      <c r="G155">
        <v>1</v>
      </c>
      <c r="H155" t="s">
        <v>5108</v>
      </c>
      <c r="I155" t="s">
        <v>1954</v>
      </c>
      <c r="J155" t="s">
        <v>4959</v>
      </c>
    </row>
    <row r="156" spans="1:10" ht="15" customHeight="1" x14ac:dyDescent="0.25">
      <c r="A156" t="s">
        <v>5111</v>
      </c>
      <c r="B156" t="s">
        <v>2971</v>
      </c>
      <c r="C156" t="s">
        <v>4325</v>
      </c>
      <c r="D156">
        <v>1</v>
      </c>
      <c r="E156" t="s">
        <v>4771</v>
      </c>
      <c r="F156" t="s">
        <v>4772</v>
      </c>
      <c r="G156">
        <v>1</v>
      </c>
      <c r="H156" t="s">
        <v>5111</v>
      </c>
      <c r="I156" t="s">
        <v>1962</v>
      </c>
      <c r="J156" t="s">
        <v>4774</v>
      </c>
    </row>
    <row r="157" spans="1:10" ht="15" customHeight="1" x14ac:dyDescent="0.25">
      <c r="A157" t="s">
        <v>5112</v>
      </c>
      <c r="B157" t="s">
        <v>2952</v>
      </c>
      <c r="C157" t="s">
        <v>4620</v>
      </c>
      <c r="D157">
        <v>2</v>
      </c>
      <c r="E157" t="s">
        <v>5113</v>
      </c>
      <c r="F157" t="s">
        <v>5114</v>
      </c>
      <c r="G157">
        <v>2</v>
      </c>
      <c r="H157" t="s">
        <v>5112</v>
      </c>
      <c r="I157" t="s">
        <v>1954</v>
      </c>
      <c r="J157" t="s">
        <v>4896</v>
      </c>
    </row>
    <row r="158" spans="1:10" ht="15" customHeight="1" x14ac:dyDescent="0.25">
      <c r="A158" t="s">
        <v>5115</v>
      </c>
      <c r="B158" t="s">
        <v>2971</v>
      </c>
      <c r="C158" t="s">
        <v>4620</v>
      </c>
      <c r="D158">
        <v>0</v>
      </c>
      <c r="E158" t="s">
        <v>5116</v>
      </c>
      <c r="F158" t="s">
        <v>5117</v>
      </c>
      <c r="G158">
        <v>0</v>
      </c>
      <c r="H158" t="s">
        <v>5118</v>
      </c>
      <c r="I158" t="s">
        <v>1954</v>
      </c>
      <c r="J158" t="s">
        <v>5119</v>
      </c>
    </row>
    <row r="159" spans="1:10" ht="15" customHeight="1" x14ac:dyDescent="0.25">
      <c r="A159" t="s">
        <v>5120</v>
      </c>
      <c r="B159" t="s">
        <v>3807</v>
      </c>
      <c r="C159" t="s">
        <v>4689</v>
      </c>
      <c r="D159">
        <v>1</v>
      </c>
      <c r="E159" t="s">
        <v>5121</v>
      </c>
      <c r="F159" t="s">
        <v>2905</v>
      </c>
      <c r="G159" t="s">
        <v>2905</v>
      </c>
      <c r="H159" t="s">
        <v>5122</v>
      </c>
      <c r="I159" t="s">
        <v>351</v>
      </c>
      <c r="J159" t="s">
        <v>4692</v>
      </c>
    </row>
    <row r="160" spans="1:10" ht="15" customHeight="1" x14ac:dyDescent="0.25">
      <c r="A160" t="s">
        <v>5123</v>
      </c>
      <c r="B160" t="s">
        <v>2971</v>
      </c>
      <c r="C160" t="s">
        <v>4243</v>
      </c>
      <c r="D160" t="s">
        <v>3805</v>
      </c>
      <c r="E160" t="s">
        <v>5124</v>
      </c>
      <c r="F160" t="s">
        <v>5125</v>
      </c>
      <c r="G160" t="s">
        <v>3805</v>
      </c>
      <c r="H160" t="s">
        <v>5123</v>
      </c>
      <c r="I160" t="s">
        <v>1954</v>
      </c>
      <c r="J160" t="s">
        <v>4736</v>
      </c>
    </row>
    <row r="161" spans="1:10" ht="15" customHeight="1" x14ac:dyDescent="0.25">
      <c r="A161" t="s">
        <v>3986</v>
      </c>
      <c r="B161" t="s">
        <v>3807</v>
      </c>
      <c r="C161" t="s">
        <v>4768</v>
      </c>
      <c r="D161" t="s">
        <v>3805</v>
      </c>
      <c r="E161" t="s">
        <v>5126</v>
      </c>
      <c r="F161" t="s">
        <v>2905</v>
      </c>
      <c r="G161" t="s">
        <v>2905</v>
      </c>
      <c r="H161" t="s">
        <v>3986</v>
      </c>
      <c r="I161" t="s">
        <v>1954</v>
      </c>
      <c r="J161" t="s">
        <v>4770</v>
      </c>
    </row>
    <row r="162" spans="1:10" ht="15" customHeight="1" x14ac:dyDescent="0.25">
      <c r="A162" t="s">
        <v>5127</v>
      </c>
      <c r="B162" t="s">
        <v>2971</v>
      </c>
      <c r="C162" t="s">
        <v>4620</v>
      </c>
      <c r="D162">
        <v>2</v>
      </c>
      <c r="E162" t="s">
        <v>5128</v>
      </c>
      <c r="F162" t="s">
        <v>5129</v>
      </c>
      <c r="G162">
        <v>2</v>
      </c>
      <c r="H162" t="s">
        <v>5130</v>
      </c>
      <c r="I162" t="s">
        <v>1954</v>
      </c>
      <c r="J162" t="s">
        <v>4675</v>
      </c>
    </row>
    <row r="163" spans="1:10" ht="15" customHeight="1" x14ac:dyDescent="0.25">
      <c r="A163" t="s">
        <v>5131</v>
      </c>
      <c r="B163" t="s">
        <v>2971</v>
      </c>
      <c r="C163" t="s">
        <v>4704</v>
      </c>
      <c r="D163">
        <v>2</v>
      </c>
      <c r="E163" t="s">
        <v>5132</v>
      </c>
      <c r="F163" t="s">
        <v>5133</v>
      </c>
      <c r="G163">
        <v>2</v>
      </c>
      <c r="H163" t="s">
        <v>5134</v>
      </c>
      <c r="I163" t="s">
        <v>1377</v>
      </c>
    </row>
    <row r="164" spans="1:10" ht="15" customHeight="1" x14ac:dyDescent="0.25">
      <c r="A164" t="s">
        <v>5135</v>
      </c>
      <c r="B164" t="s">
        <v>2971</v>
      </c>
      <c r="C164" t="s">
        <v>3453</v>
      </c>
      <c r="D164">
        <v>1</v>
      </c>
      <c r="E164" t="s">
        <v>5136</v>
      </c>
      <c r="F164" t="s">
        <v>5137</v>
      </c>
      <c r="G164">
        <v>1</v>
      </c>
      <c r="H164" t="s">
        <v>5135</v>
      </c>
      <c r="I164" t="s">
        <v>1954</v>
      </c>
      <c r="J164" t="s">
        <v>4827</v>
      </c>
    </row>
    <row r="165" spans="1:10" ht="15" customHeight="1" x14ac:dyDescent="0.25">
      <c r="A165" t="s">
        <v>3679</v>
      </c>
      <c r="B165" t="s">
        <v>2971</v>
      </c>
      <c r="C165" t="s">
        <v>4243</v>
      </c>
      <c r="D165">
        <v>1</v>
      </c>
      <c r="E165" t="s">
        <v>5138</v>
      </c>
      <c r="F165" t="s">
        <v>5138</v>
      </c>
      <c r="G165">
        <v>1</v>
      </c>
      <c r="H165" t="s">
        <v>3682</v>
      </c>
      <c r="I165" t="s">
        <v>1358</v>
      </c>
      <c r="J165" t="s">
        <v>4653</v>
      </c>
    </row>
    <row r="166" spans="1:10" ht="15" customHeight="1" x14ac:dyDescent="0.25">
      <c r="A166" t="s">
        <v>5139</v>
      </c>
      <c r="B166" t="s">
        <v>2971</v>
      </c>
      <c r="C166" t="s">
        <v>4620</v>
      </c>
      <c r="D166">
        <v>2</v>
      </c>
      <c r="E166" t="s">
        <v>5140</v>
      </c>
      <c r="F166" t="s">
        <v>2905</v>
      </c>
      <c r="G166">
        <v>2</v>
      </c>
      <c r="H166" t="s">
        <v>5141</v>
      </c>
      <c r="I166" t="s">
        <v>1954</v>
      </c>
      <c r="J166" t="s">
        <v>4959</v>
      </c>
    </row>
    <row r="167" spans="1:10" ht="15" customHeight="1" x14ac:dyDescent="0.25">
      <c r="A167" t="s">
        <v>5142</v>
      </c>
      <c r="B167" t="s">
        <v>2971</v>
      </c>
      <c r="C167" t="s">
        <v>4243</v>
      </c>
      <c r="D167">
        <v>1</v>
      </c>
      <c r="E167" t="s">
        <v>5143</v>
      </c>
      <c r="F167" t="s">
        <v>5144</v>
      </c>
      <c r="G167">
        <v>1</v>
      </c>
      <c r="H167" t="s">
        <v>5145</v>
      </c>
      <c r="I167" t="s">
        <v>1954</v>
      </c>
      <c r="J167" t="s">
        <v>4899</v>
      </c>
    </row>
    <row r="168" spans="1:10" ht="15" customHeight="1" x14ac:dyDescent="0.25">
      <c r="A168" t="s">
        <v>5146</v>
      </c>
      <c r="B168" t="s">
        <v>2971</v>
      </c>
      <c r="C168" t="s">
        <v>4243</v>
      </c>
      <c r="D168">
        <v>1</v>
      </c>
      <c r="E168" t="s">
        <v>5147</v>
      </c>
      <c r="F168" t="s">
        <v>5147</v>
      </c>
      <c r="G168">
        <v>0</v>
      </c>
      <c r="H168" t="s">
        <v>5148</v>
      </c>
      <c r="I168" t="s">
        <v>1954</v>
      </c>
      <c r="J168" t="s">
        <v>5149</v>
      </c>
    </row>
    <row r="169" spans="1:10" ht="15" customHeight="1" x14ac:dyDescent="0.25">
      <c r="A169" t="s">
        <v>5150</v>
      </c>
      <c r="B169" t="s">
        <v>2952</v>
      </c>
      <c r="C169" t="s">
        <v>4243</v>
      </c>
      <c r="D169">
        <v>0</v>
      </c>
      <c r="E169" t="s">
        <v>5151</v>
      </c>
      <c r="F169" t="s">
        <v>5152</v>
      </c>
      <c r="G169">
        <v>0</v>
      </c>
      <c r="H169" t="s">
        <v>5150</v>
      </c>
      <c r="I169" t="s">
        <v>1954</v>
      </c>
      <c r="J169" t="s">
        <v>5153</v>
      </c>
    </row>
    <row r="170" spans="1:10" ht="15" customHeight="1" x14ac:dyDescent="0.25">
      <c r="A170" t="s">
        <v>5154</v>
      </c>
      <c r="B170" t="s">
        <v>2971</v>
      </c>
      <c r="C170" t="s">
        <v>4243</v>
      </c>
      <c r="D170">
        <v>1</v>
      </c>
      <c r="E170" t="s">
        <v>5155</v>
      </c>
      <c r="F170" t="s">
        <v>5156</v>
      </c>
      <c r="G170">
        <v>1</v>
      </c>
      <c r="H170" t="s">
        <v>5154</v>
      </c>
      <c r="I170" t="s">
        <v>1954</v>
      </c>
      <c r="J170" t="s">
        <v>4899</v>
      </c>
    </row>
    <row r="171" spans="1:10" ht="15" customHeight="1" x14ac:dyDescent="0.25">
      <c r="A171" t="s">
        <v>5157</v>
      </c>
      <c r="B171" t="s">
        <v>2971</v>
      </c>
      <c r="C171" t="s">
        <v>4243</v>
      </c>
      <c r="D171">
        <v>1</v>
      </c>
      <c r="E171" t="s">
        <v>5158</v>
      </c>
      <c r="F171" t="s">
        <v>5158</v>
      </c>
      <c r="G171">
        <v>0</v>
      </c>
      <c r="H171" t="s">
        <v>5157</v>
      </c>
      <c r="I171" t="s">
        <v>1954</v>
      </c>
      <c r="J171" t="s">
        <v>4722</v>
      </c>
    </row>
    <row r="172" spans="1:10" ht="15" customHeight="1" x14ac:dyDescent="0.25">
      <c r="A172" t="s">
        <v>5159</v>
      </c>
      <c r="B172" t="s">
        <v>2971</v>
      </c>
      <c r="C172" t="s">
        <v>4620</v>
      </c>
      <c r="D172">
        <v>2</v>
      </c>
      <c r="E172" t="s">
        <v>5160</v>
      </c>
      <c r="F172" t="s">
        <v>5161</v>
      </c>
      <c r="G172">
        <v>2</v>
      </c>
      <c r="H172" t="s">
        <v>5162</v>
      </c>
      <c r="I172" t="s">
        <v>1954</v>
      </c>
      <c r="J172" t="s">
        <v>4904</v>
      </c>
    </row>
    <row r="173" spans="1:10" ht="15" customHeight="1" x14ac:dyDescent="0.25">
      <c r="A173" t="s">
        <v>5163</v>
      </c>
      <c r="B173" t="s">
        <v>3807</v>
      </c>
      <c r="C173" t="s">
        <v>4768</v>
      </c>
      <c r="D173" t="s">
        <v>3805</v>
      </c>
      <c r="E173" t="s">
        <v>5164</v>
      </c>
      <c r="F173" t="s">
        <v>2905</v>
      </c>
      <c r="G173" t="s">
        <v>2905</v>
      </c>
      <c r="H173" t="s">
        <v>5163</v>
      </c>
      <c r="I173" t="s">
        <v>1954</v>
      </c>
      <c r="J173" t="s">
        <v>4770</v>
      </c>
    </row>
    <row r="174" spans="1:10" ht="15" customHeight="1" x14ac:dyDescent="0.25">
      <c r="A174" t="s">
        <v>5165</v>
      </c>
      <c r="B174" t="s">
        <v>3807</v>
      </c>
      <c r="C174" t="s">
        <v>4620</v>
      </c>
      <c r="D174">
        <v>0</v>
      </c>
      <c r="E174" t="s">
        <v>5166</v>
      </c>
      <c r="F174" t="s">
        <v>5167</v>
      </c>
      <c r="G174">
        <v>0</v>
      </c>
      <c r="H174" t="s">
        <v>5165</v>
      </c>
      <c r="I174" t="s">
        <v>1954</v>
      </c>
    </row>
    <row r="175" spans="1:10" ht="15" customHeight="1" x14ac:dyDescent="0.25">
      <c r="A175" t="s">
        <v>5168</v>
      </c>
      <c r="B175" t="s">
        <v>2971</v>
      </c>
      <c r="C175" t="s">
        <v>4243</v>
      </c>
      <c r="D175">
        <v>2</v>
      </c>
      <c r="E175" t="s">
        <v>5169</v>
      </c>
      <c r="F175" t="s">
        <v>5170</v>
      </c>
      <c r="G175">
        <v>2</v>
      </c>
      <c r="H175" t="s">
        <v>5168</v>
      </c>
      <c r="I175" t="s">
        <v>1954</v>
      </c>
      <c r="J175" t="s">
        <v>4837</v>
      </c>
    </row>
    <row r="176" spans="1:10" ht="15" customHeight="1" x14ac:dyDescent="0.25">
      <c r="A176" t="s">
        <v>5171</v>
      </c>
      <c r="B176" t="s">
        <v>2959</v>
      </c>
      <c r="C176" t="s">
        <v>4243</v>
      </c>
      <c r="D176">
        <v>1</v>
      </c>
      <c r="E176" t="s">
        <v>5172</v>
      </c>
      <c r="F176" t="s">
        <v>5173</v>
      </c>
      <c r="G176">
        <v>1</v>
      </c>
      <c r="H176" t="s">
        <v>5174</v>
      </c>
      <c r="I176" t="s">
        <v>1954</v>
      </c>
      <c r="J176" t="s">
        <v>5175</v>
      </c>
    </row>
    <row r="177" spans="1:10" ht="15" customHeight="1" x14ac:dyDescent="0.25">
      <c r="A177" t="s">
        <v>5176</v>
      </c>
      <c r="B177" t="s">
        <v>2971</v>
      </c>
      <c r="C177" t="s">
        <v>4620</v>
      </c>
      <c r="D177" t="s">
        <v>4846</v>
      </c>
      <c r="E177" t="s">
        <v>5177</v>
      </c>
      <c r="F177" t="s">
        <v>5178</v>
      </c>
      <c r="G177" t="s">
        <v>4846</v>
      </c>
      <c r="H177" t="s">
        <v>5176</v>
      </c>
      <c r="I177" t="s">
        <v>1954</v>
      </c>
      <c r="J177" t="s">
        <v>4675</v>
      </c>
    </row>
    <row r="178" spans="1:10" ht="15" customHeight="1" x14ac:dyDescent="0.25">
      <c r="A178" t="s">
        <v>5179</v>
      </c>
      <c r="B178" t="s">
        <v>2959</v>
      </c>
      <c r="C178" t="s">
        <v>4620</v>
      </c>
      <c r="D178">
        <v>0</v>
      </c>
      <c r="E178" t="s">
        <v>5180</v>
      </c>
      <c r="F178" t="s">
        <v>5181</v>
      </c>
      <c r="G178">
        <v>0</v>
      </c>
      <c r="H178" t="s">
        <v>5179</v>
      </c>
      <c r="I178" t="s">
        <v>1954</v>
      </c>
      <c r="J178" t="s">
        <v>4675</v>
      </c>
    </row>
    <row r="179" spans="1:10" ht="15" customHeight="1" x14ac:dyDescent="0.25">
      <c r="A179" t="s">
        <v>5182</v>
      </c>
      <c r="B179" t="s">
        <v>3807</v>
      </c>
      <c r="C179" t="s">
        <v>4689</v>
      </c>
      <c r="D179">
        <v>1</v>
      </c>
      <c r="E179" t="s">
        <v>5183</v>
      </c>
      <c r="F179" t="s">
        <v>2905</v>
      </c>
      <c r="G179" t="s">
        <v>2905</v>
      </c>
      <c r="H179" t="s">
        <v>5182</v>
      </c>
      <c r="I179" t="s">
        <v>1954</v>
      </c>
    </row>
    <row r="180" spans="1:10" ht="15" customHeight="1" x14ac:dyDescent="0.25">
      <c r="A180" t="s">
        <v>5184</v>
      </c>
      <c r="B180" t="s">
        <v>2959</v>
      </c>
      <c r="C180" t="s">
        <v>4620</v>
      </c>
      <c r="D180">
        <v>2</v>
      </c>
      <c r="E180" t="s">
        <v>5185</v>
      </c>
      <c r="F180" t="s">
        <v>5186</v>
      </c>
      <c r="G180">
        <v>2</v>
      </c>
      <c r="H180" t="s">
        <v>5187</v>
      </c>
      <c r="I180" t="s">
        <v>1954</v>
      </c>
      <c r="J180" t="s">
        <v>4925</v>
      </c>
    </row>
    <row r="181" spans="1:10" ht="15" customHeight="1" x14ac:dyDescent="0.25">
      <c r="A181" t="s">
        <v>5188</v>
      </c>
      <c r="B181" t="s">
        <v>2971</v>
      </c>
      <c r="C181" t="s">
        <v>4325</v>
      </c>
      <c r="D181">
        <v>1</v>
      </c>
      <c r="E181" t="s">
        <v>4771</v>
      </c>
      <c r="F181" t="s">
        <v>4772</v>
      </c>
      <c r="G181">
        <v>1</v>
      </c>
      <c r="H181" t="s">
        <v>5188</v>
      </c>
      <c r="I181" t="s">
        <v>1962</v>
      </c>
      <c r="J181" t="s">
        <v>4906</v>
      </c>
    </row>
    <row r="182" spans="1:10" ht="15" customHeight="1" x14ac:dyDescent="0.25">
      <c r="A182" t="s">
        <v>5189</v>
      </c>
      <c r="B182" t="s">
        <v>2971</v>
      </c>
      <c r="C182" t="s">
        <v>4243</v>
      </c>
      <c r="D182">
        <v>1</v>
      </c>
      <c r="E182" t="s">
        <v>5190</v>
      </c>
      <c r="F182" t="s">
        <v>5191</v>
      </c>
      <c r="G182">
        <v>1</v>
      </c>
      <c r="H182" t="s">
        <v>5192</v>
      </c>
      <c r="I182" t="s">
        <v>1954</v>
      </c>
      <c r="J182" t="s">
        <v>4827</v>
      </c>
    </row>
    <row r="183" spans="1:10" ht="15" customHeight="1" x14ac:dyDescent="0.25">
      <c r="A183" t="s">
        <v>5193</v>
      </c>
      <c r="B183" t="s">
        <v>2952</v>
      </c>
      <c r="C183" t="s">
        <v>4243</v>
      </c>
      <c r="D183">
        <v>1</v>
      </c>
      <c r="E183" t="s">
        <v>5194</v>
      </c>
      <c r="F183" t="s">
        <v>5195</v>
      </c>
      <c r="G183">
        <v>1</v>
      </c>
      <c r="H183" t="s">
        <v>5196</v>
      </c>
      <c r="I183" t="s">
        <v>1954</v>
      </c>
      <c r="J183" t="s">
        <v>5197</v>
      </c>
    </row>
    <row r="184" spans="1:10" ht="15" customHeight="1" x14ac:dyDescent="0.25">
      <c r="A184" t="s">
        <v>5198</v>
      </c>
      <c r="B184" t="s">
        <v>2983</v>
      </c>
      <c r="C184" t="s">
        <v>4620</v>
      </c>
      <c r="D184">
        <v>1</v>
      </c>
      <c r="E184" t="s">
        <v>5180</v>
      </c>
      <c r="F184" t="s">
        <v>5181</v>
      </c>
      <c r="G184">
        <v>1</v>
      </c>
      <c r="H184" t="s">
        <v>2905</v>
      </c>
      <c r="I184" t="s">
        <v>2905</v>
      </c>
    </row>
    <row r="185" spans="1:10" ht="15" customHeight="1" x14ac:dyDescent="0.25">
      <c r="A185" t="s">
        <v>5199</v>
      </c>
      <c r="B185" t="s">
        <v>2959</v>
      </c>
      <c r="C185" t="s">
        <v>4620</v>
      </c>
      <c r="D185">
        <v>1</v>
      </c>
      <c r="E185" t="s">
        <v>5200</v>
      </c>
      <c r="F185" t="s">
        <v>5201</v>
      </c>
      <c r="G185">
        <v>1</v>
      </c>
      <c r="H185" t="s">
        <v>5202</v>
      </c>
      <c r="I185" t="s">
        <v>1954</v>
      </c>
      <c r="J185" t="s">
        <v>4651</v>
      </c>
    </row>
    <row r="186" spans="1:10" ht="15" customHeight="1" x14ac:dyDescent="0.25">
      <c r="A186" t="s">
        <v>4594</v>
      </c>
      <c r="B186" t="s">
        <v>2983</v>
      </c>
      <c r="C186" t="s">
        <v>4243</v>
      </c>
      <c r="D186">
        <v>1</v>
      </c>
      <c r="E186" t="s">
        <v>5203</v>
      </c>
      <c r="F186" t="s">
        <v>5204</v>
      </c>
      <c r="G186">
        <v>1</v>
      </c>
      <c r="H186" t="s">
        <v>4594</v>
      </c>
      <c r="I186" t="s">
        <v>1954</v>
      </c>
      <c r="J186" t="s">
        <v>5205</v>
      </c>
    </row>
    <row r="187" spans="1:10" ht="15" customHeight="1" x14ac:dyDescent="0.25">
      <c r="A187" t="s">
        <v>5206</v>
      </c>
      <c r="B187" t="s">
        <v>2959</v>
      </c>
      <c r="C187" t="s">
        <v>4620</v>
      </c>
      <c r="D187">
        <v>1</v>
      </c>
      <c r="E187" t="s">
        <v>5207</v>
      </c>
      <c r="F187" t="s">
        <v>5208</v>
      </c>
      <c r="G187">
        <v>1</v>
      </c>
      <c r="H187" t="s">
        <v>5209</v>
      </c>
      <c r="I187" t="s">
        <v>1954</v>
      </c>
      <c r="J187" t="s">
        <v>5210</v>
      </c>
    </row>
    <row r="188" spans="1:10" ht="15" customHeight="1" x14ac:dyDescent="0.25">
      <c r="A188" t="s">
        <v>5211</v>
      </c>
      <c r="B188" t="s">
        <v>2959</v>
      </c>
      <c r="C188" t="s">
        <v>4620</v>
      </c>
      <c r="D188">
        <v>1</v>
      </c>
      <c r="E188" t="s">
        <v>5212</v>
      </c>
      <c r="F188" t="s">
        <v>5213</v>
      </c>
      <c r="G188">
        <v>1</v>
      </c>
      <c r="H188" t="s">
        <v>5214</v>
      </c>
      <c r="I188" t="s">
        <v>1954</v>
      </c>
      <c r="J188" t="s">
        <v>4633</v>
      </c>
    </row>
    <row r="189" spans="1:10" ht="15" customHeight="1" x14ac:dyDescent="0.25">
      <c r="A189" t="s">
        <v>5215</v>
      </c>
      <c r="B189" t="s">
        <v>2971</v>
      </c>
      <c r="C189" t="s">
        <v>4243</v>
      </c>
      <c r="D189" t="s">
        <v>3805</v>
      </c>
      <c r="E189" t="s">
        <v>5216</v>
      </c>
      <c r="F189" t="s">
        <v>5217</v>
      </c>
      <c r="G189" t="s">
        <v>3805</v>
      </c>
      <c r="H189" t="s">
        <v>5215</v>
      </c>
      <c r="I189" t="s">
        <v>1954</v>
      </c>
      <c r="J189" t="s">
        <v>5218</v>
      </c>
    </row>
    <row r="190" spans="1:10" ht="15" customHeight="1" x14ac:dyDescent="0.25">
      <c r="A190" t="s">
        <v>5219</v>
      </c>
      <c r="B190" t="s">
        <v>2971</v>
      </c>
      <c r="C190" t="s">
        <v>4704</v>
      </c>
      <c r="D190">
        <v>3</v>
      </c>
      <c r="E190" t="s">
        <v>5220</v>
      </c>
      <c r="F190" t="s">
        <v>5221</v>
      </c>
      <c r="G190">
        <v>3</v>
      </c>
      <c r="H190" t="s">
        <v>5222</v>
      </c>
      <c r="I190" t="s">
        <v>1377</v>
      </c>
    </row>
    <row r="191" spans="1:10" ht="15" customHeight="1" x14ac:dyDescent="0.25">
      <c r="A191" t="s">
        <v>5223</v>
      </c>
      <c r="B191" t="s">
        <v>2971</v>
      </c>
      <c r="C191" t="s">
        <v>4243</v>
      </c>
      <c r="D191">
        <v>1</v>
      </c>
      <c r="E191" t="s">
        <v>5224</v>
      </c>
      <c r="F191" t="s">
        <v>5224</v>
      </c>
      <c r="G191">
        <v>0</v>
      </c>
      <c r="H191" t="s">
        <v>5223</v>
      </c>
      <c r="I191" t="s">
        <v>1954</v>
      </c>
      <c r="J191" t="s">
        <v>5031</v>
      </c>
    </row>
    <row r="192" spans="1:10" ht="15" customHeight="1" x14ac:dyDescent="0.25">
      <c r="A192" t="s">
        <v>5225</v>
      </c>
      <c r="B192" t="s">
        <v>2959</v>
      </c>
      <c r="C192" t="s">
        <v>4620</v>
      </c>
      <c r="D192">
        <v>1</v>
      </c>
      <c r="E192" t="s">
        <v>5226</v>
      </c>
      <c r="F192" t="s">
        <v>5227</v>
      </c>
      <c r="G192">
        <v>1</v>
      </c>
      <c r="H192" t="s">
        <v>5225</v>
      </c>
      <c r="I192" t="s">
        <v>1954</v>
      </c>
      <c r="J192" t="s">
        <v>4766</v>
      </c>
    </row>
    <row r="193" spans="1:10" ht="15" customHeight="1" x14ac:dyDescent="0.25">
      <c r="A193" t="s">
        <v>5228</v>
      </c>
      <c r="B193" t="s">
        <v>2952</v>
      </c>
      <c r="C193" t="s">
        <v>3453</v>
      </c>
      <c r="D193">
        <v>1</v>
      </c>
      <c r="E193" t="s">
        <v>5229</v>
      </c>
      <c r="F193" t="s">
        <v>5229</v>
      </c>
      <c r="G193">
        <v>0</v>
      </c>
      <c r="H193" t="s">
        <v>5230</v>
      </c>
      <c r="I193" t="s">
        <v>1954</v>
      </c>
      <c r="J193" t="s">
        <v>4606</v>
      </c>
    </row>
    <row r="194" spans="1:10" ht="15" customHeight="1" x14ac:dyDescent="0.25">
      <c r="A194" t="s">
        <v>5231</v>
      </c>
      <c r="B194" t="s">
        <v>2959</v>
      </c>
      <c r="C194" t="s">
        <v>4243</v>
      </c>
      <c r="D194">
        <v>1</v>
      </c>
      <c r="E194" t="s">
        <v>5232</v>
      </c>
      <c r="F194" t="s">
        <v>5233</v>
      </c>
      <c r="G194">
        <v>1</v>
      </c>
      <c r="H194" t="s">
        <v>5234</v>
      </c>
      <c r="I194" t="s">
        <v>1954</v>
      </c>
      <c r="J194" t="s">
        <v>4899</v>
      </c>
    </row>
    <row r="195" spans="1:10" ht="15" customHeight="1" x14ac:dyDescent="0.25">
      <c r="A195" t="s">
        <v>5235</v>
      </c>
      <c r="B195" t="s">
        <v>2959</v>
      </c>
      <c r="C195" t="s">
        <v>4620</v>
      </c>
      <c r="D195">
        <v>1</v>
      </c>
      <c r="E195" t="s">
        <v>5236</v>
      </c>
      <c r="F195" t="s">
        <v>5237</v>
      </c>
      <c r="G195">
        <v>1</v>
      </c>
      <c r="H195" t="s">
        <v>5238</v>
      </c>
      <c r="I195" t="s">
        <v>1954</v>
      </c>
      <c r="J195" t="s">
        <v>4633</v>
      </c>
    </row>
    <row r="196" spans="1:10" ht="15" customHeight="1" x14ac:dyDescent="0.25">
      <c r="A196" t="s">
        <v>5239</v>
      </c>
      <c r="B196" t="s">
        <v>2952</v>
      </c>
      <c r="C196" t="s">
        <v>4620</v>
      </c>
      <c r="D196">
        <v>1</v>
      </c>
      <c r="E196" t="s">
        <v>5240</v>
      </c>
      <c r="F196" t="s">
        <v>5241</v>
      </c>
      <c r="G196">
        <v>1</v>
      </c>
      <c r="H196" t="s">
        <v>5239</v>
      </c>
      <c r="I196" t="s">
        <v>1954</v>
      </c>
      <c r="J196" t="s">
        <v>4882</v>
      </c>
    </row>
    <row r="197" spans="1:10" ht="15" customHeight="1" x14ac:dyDescent="0.25">
      <c r="A197" t="s">
        <v>5242</v>
      </c>
      <c r="B197" t="s">
        <v>2971</v>
      </c>
      <c r="C197" t="s">
        <v>4620</v>
      </c>
      <c r="D197">
        <v>2</v>
      </c>
      <c r="E197" t="s">
        <v>5243</v>
      </c>
      <c r="F197" t="s">
        <v>5244</v>
      </c>
      <c r="G197">
        <v>2</v>
      </c>
      <c r="H197" t="s">
        <v>5242</v>
      </c>
      <c r="I197" t="s">
        <v>1954</v>
      </c>
      <c r="J197" t="s">
        <v>4766</v>
      </c>
    </row>
    <row r="198" spans="1:10" ht="15" customHeight="1" x14ac:dyDescent="0.25">
      <c r="A198" t="s">
        <v>5245</v>
      </c>
      <c r="B198" t="s">
        <v>2952</v>
      </c>
      <c r="C198" t="s">
        <v>4325</v>
      </c>
      <c r="D198">
        <v>1</v>
      </c>
      <c r="E198" t="s">
        <v>4771</v>
      </c>
      <c r="F198" t="s">
        <v>4772</v>
      </c>
      <c r="G198">
        <v>1</v>
      </c>
      <c r="H198" t="s">
        <v>5245</v>
      </c>
      <c r="I198" t="s">
        <v>1962</v>
      </c>
      <c r="J198" t="s">
        <v>4906</v>
      </c>
    </row>
    <row r="199" spans="1:10" ht="15" customHeight="1" x14ac:dyDescent="0.25">
      <c r="A199" t="s">
        <v>5246</v>
      </c>
      <c r="B199" t="s">
        <v>2959</v>
      </c>
      <c r="C199" t="s">
        <v>4243</v>
      </c>
      <c r="D199">
        <v>0</v>
      </c>
      <c r="E199" t="s">
        <v>5247</v>
      </c>
      <c r="F199" t="s">
        <v>5248</v>
      </c>
      <c r="G199">
        <v>0</v>
      </c>
      <c r="H199" t="s">
        <v>5246</v>
      </c>
      <c r="I199" t="s">
        <v>1954</v>
      </c>
      <c r="J199" t="s">
        <v>4661</v>
      </c>
    </row>
    <row r="200" spans="1:10" ht="15" customHeight="1" x14ac:dyDescent="0.25">
      <c r="A200" t="s">
        <v>5249</v>
      </c>
      <c r="B200" t="s">
        <v>2971</v>
      </c>
      <c r="C200" t="s">
        <v>4325</v>
      </c>
      <c r="D200">
        <v>1</v>
      </c>
      <c r="E200" t="s">
        <v>4771</v>
      </c>
      <c r="F200" t="s">
        <v>4772</v>
      </c>
      <c r="G200">
        <v>1</v>
      </c>
      <c r="H200" t="s">
        <v>5249</v>
      </c>
      <c r="I200" t="s">
        <v>1962</v>
      </c>
      <c r="J200" t="s">
        <v>4819</v>
      </c>
    </row>
    <row r="201" spans="1:10" ht="15" customHeight="1" x14ac:dyDescent="0.25">
      <c r="A201" t="s">
        <v>4174</v>
      </c>
      <c r="B201" t="s">
        <v>2971</v>
      </c>
      <c r="C201" t="s">
        <v>3453</v>
      </c>
      <c r="D201">
        <v>1</v>
      </c>
      <c r="E201" t="s">
        <v>5250</v>
      </c>
      <c r="F201" t="s">
        <v>5251</v>
      </c>
      <c r="G201">
        <v>1</v>
      </c>
      <c r="H201" t="s">
        <v>4176</v>
      </c>
      <c r="I201" t="s">
        <v>1954</v>
      </c>
      <c r="J201" t="s">
        <v>4892</v>
      </c>
    </row>
    <row r="202" spans="1:10" ht="15" customHeight="1" x14ac:dyDescent="0.25">
      <c r="A202" t="s">
        <v>5252</v>
      </c>
      <c r="B202" t="s">
        <v>2971</v>
      </c>
      <c r="C202" t="s">
        <v>4620</v>
      </c>
      <c r="D202" t="s">
        <v>4846</v>
      </c>
      <c r="E202" t="s">
        <v>5253</v>
      </c>
      <c r="F202" t="s">
        <v>5254</v>
      </c>
      <c r="G202" t="s">
        <v>4846</v>
      </c>
      <c r="H202" t="s">
        <v>5252</v>
      </c>
      <c r="I202" t="s">
        <v>1954</v>
      </c>
      <c r="J202" t="s">
        <v>4633</v>
      </c>
    </row>
    <row r="203" spans="1:10" ht="15" customHeight="1" x14ac:dyDescent="0.25">
      <c r="A203" t="s">
        <v>5255</v>
      </c>
      <c r="B203" t="s">
        <v>2971</v>
      </c>
      <c r="C203" t="s">
        <v>4243</v>
      </c>
      <c r="D203">
        <v>1</v>
      </c>
      <c r="E203" t="s">
        <v>5256</v>
      </c>
      <c r="F203" t="s">
        <v>5256</v>
      </c>
      <c r="G203">
        <v>0</v>
      </c>
      <c r="H203" t="s">
        <v>5257</v>
      </c>
      <c r="I203" t="s">
        <v>1954</v>
      </c>
      <c r="J203" t="s">
        <v>5258</v>
      </c>
    </row>
    <row r="204" spans="1:10" ht="15" customHeight="1" x14ac:dyDescent="0.25">
      <c r="A204" t="s">
        <v>5259</v>
      </c>
      <c r="B204" t="s">
        <v>2959</v>
      </c>
      <c r="C204" t="s">
        <v>4620</v>
      </c>
      <c r="D204">
        <v>1</v>
      </c>
      <c r="E204" t="s">
        <v>5260</v>
      </c>
      <c r="F204" t="s">
        <v>5261</v>
      </c>
      <c r="G204">
        <v>1</v>
      </c>
      <c r="H204" t="s">
        <v>5262</v>
      </c>
      <c r="I204" t="s">
        <v>1954</v>
      </c>
      <c r="J204" t="s">
        <v>4885</v>
      </c>
    </row>
    <row r="205" spans="1:10" ht="15" customHeight="1" x14ac:dyDescent="0.25">
      <c r="A205" t="s">
        <v>5263</v>
      </c>
      <c r="B205" t="s">
        <v>3807</v>
      </c>
      <c r="C205" t="s">
        <v>4689</v>
      </c>
      <c r="D205" t="s">
        <v>3805</v>
      </c>
      <c r="E205" t="s">
        <v>4988</v>
      </c>
      <c r="F205" t="s">
        <v>2905</v>
      </c>
      <c r="G205" t="s">
        <v>3805</v>
      </c>
      <c r="H205" t="s">
        <v>5263</v>
      </c>
      <c r="I205" t="s">
        <v>1954</v>
      </c>
    </row>
    <row r="206" spans="1:10" ht="15" customHeight="1" x14ac:dyDescent="0.25">
      <c r="A206" t="s">
        <v>5264</v>
      </c>
      <c r="B206" t="s">
        <v>2952</v>
      </c>
      <c r="C206" t="s">
        <v>3453</v>
      </c>
      <c r="D206">
        <v>3</v>
      </c>
      <c r="E206" t="s">
        <v>5265</v>
      </c>
      <c r="F206" t="s">
        <v>5266</v>
      </c>
      <c r="G206">
        <v>3</v>
      </c>
      <c r="H206" t="s">
        <v>5267</v>
      </c>
      <c r="I206" t="s">
        <v>1954</v>
      </c>
      <c r="J206" t="s">
        <v>4615</v>
      </c>
    </row>
    <row r="207" spans="1:10" ht="15" customHeight="1" x14ac:dyDescent="0.25">
      <c r="A207" t="s">
        <v>5268</v>
      </c>
      <c r="B207" t="s">
        <v>3807</v>
      </c>
      <c r="C207" t="s">
        <v>4768</v>
      </c>
      <c r="D207" t="s">
        <v>3805</v>
      </c>
      <c r="E207" t="s">
        <v>5269</v>
      </c>
      <c r="F207" t="s">
        <v>2905</v>
      </c>
      <c r="G207" t="s">
        <v>2905</v>
      </c>
      <c r="H207" t="s">
        <v>5268</v>
      </c>
      <c r="I207" t="s">
        <v>1954</v>
      </c>
      <c r="J207" t="s">
        <v>4770</v>
      </c>
    </row>
    <row r="208" spans="1:10" ht="15" customHeight="1" x14ac:dyDescent="0.25">
      <c r="A208" t="s">
        <v>5270</v>
      </c>
      <c r="B208" t="s">
        <v>3807</v>
      </c>
      <c r="C208" t="s">
        <v>4689</v>
      </c>
      <c r="D208">
        <v>1</v>
      </c>
      <c r="E208" t="s">
        <v>5271</v>
      </c>
      <c r="F208" t="s">
        <v>2905</v>
      </c>
      <c r="G208" t="s">
        <v>2905</v>
      </c>
      <c r="H208" t="s">
        <v>5272</v>
      </c>
      <c r="I208" t="s">
        <v>351</v>
      </c>
      <c r="J208" t="s">
        <v>4692</v>
      </c>
    </row>
    <row r="209" spans="1:10" ht="15" customHeight="1" x14ac:dyDescent="0.25">
      <c r="A209" t="s">
        <v>3558</v>
      </c>
      <c r="B209" t="s">
        <v>2959</v>
      </c>
      <c r="C209" t="s">
        <v>4620</v>
      </c>
      <c r="D209">
        <v>1</v>
      </c>
      <c r="E209" t="s">
        <v>5015</v>
      </c>
      <c r="F209" t="s">
        <v>5015</v>
      </c>
      <c r="G209">
        <v>1</v>
      </c>
      <c r="H209" t="s">
        <v>3561</v>
      </c>
      <c r="I209" t="s">
        <v>828</v>
      </c>
      <c r="J209" t="s">
        <v>4653</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52</v>
      </c>
      <c r="B1" t="s">
        <v>3795</v>
      </c>
      <c r="C1" t="s">
        <v>53</v>
      </c>
      <c r="D1" t="s">
        <v>4596</v>
      </c>
      <c r="E1" t="s">
        <v>2899</v>
      </c>
      <c r="F1" t="s">
        <v>5273</v>
      </c>
      <c r="G1" t="s">
        <v>5274</v>
      </c>
      <c r="H1" t="s">
        <v>5275</v>
      </c>
      <c r="I1" t="s">
        <v>5276</v>
      </c>
      <c r="J1" t="s">
        <v>4620</v>
      </c>
      <c r="K1" t="s">
        <v>3799</v>
      </c>
      <c r="L1" t="s">
        <v>9</v>
      </c>
      <c r="M1" t="s">
        <v>5277</v>
      </c>
      <c r="N1" t="s">
        <v>5278</v>
      </c>
      <c r="O1" t="s">
        <v>56</v>
      </c>
    </row>
    <row r="2" spans="1:15" ht="15" customHeight="1" x14ac:dyDescent="0.25">
      <c r="A2" t="s">
        <v>4599</v>
      </c>
      <c r="B2" t="s">
        <v>2971</v>
      </c>
      <c r="C2" t="s">
        <v>3453</v>
      </c>
      <c r="D2">
        <v>1</v>
      </c>
      <c r="E2" t="s">
        <v>4600</v>
      </c>
      <c r="F2" t="s">
        <v>5279</v>
      </c>
      <c r="G2" t="s">
        <v>4601</v>
      </c>
      <c r="H2" t="s">
        <v>5280</v>
      </c>
      <c r="I2">
        <v>1</v>
      </c>
      <c r="J2" t="s">
        <v>2905</v>
      </c>
      <c r="K2" t="s">
        <v>4599</v>
      </c>
      <c r="L2" t="s">
        <v>1954</v>
      </c>
      <c r="M2" t="s">
        <v>2905</v>
      </c>
      <c r="N2" t="s">
        <v>2905</v>
      </c>
      <c r="O2" t="s">
        <v>4602</v>
      </c>
    </row>
    <row r="3" spans="1:15" ht="15" customHeight="1" x14ac:dyDescent="0.25">
      <c r="A3" t="s">
        <v>4603</v>
      </c>
      <c r="B3" t="s">
        <v>2959</v>
      </c>
      <c r="C3" t="s">
        <v>4243</v>
      </c>
      <c r="D3">
        <v>1</v>
      </c>
      <c r="E3" t="s">
        <v>4604</v>
      </c>
      <c r="F3" t="s">
        <v>5281</v>
      </c>
      <c r="G3" t="s">
        <v>4605</v>
      </c>
      <c r="H3" t="s">
        <v>5282</v>
      </c>
      <c r="I3">
        <v>1</v>
      </c>
      <c r="J3" t="s">
        <v>2905</v>
      </c>
      <c r="K3" t="s">
        <v>4603</v>
      </c>
      <c r="L3" t="s">
        <v>1954</v>
      </c>
      <c r="M3" t="s">
        <v>2905</v>
      </c>
      <c r="N3" t="s">
        <v>2905</v>
      </c>
      <c r="O3" t="s">
        <v>4606</v>
      </c>
    </row>
    <row r="4" spans="1:15" ht="15" customHeight="1" x14ac:dyDescent="0.25">
      <c r="A4" t="s">
        <v>4607</v>
      </c>
      <c r="B4" t="s">
        <v>2952</v>
      </c>
      <c r="C4" t="s">
        <v>4243</v>
      </c>
      <c r="D4">
        <v>0</v>
      </c>
      <c r="E4" t="s">
        <v>4608</v>
      </c>
      <c r="F4" t="s">
        <v>5283</v>
      </c>
      <c r="G4" t="s">
        <v>4609</v>
      </c>
      <c r="H4" t="s">
        <v>5284</v>
      </c>
      <c r="I4">
        <v>0</v>
      </c>
      <c r="J4" t="s">
        <v>2905</v>
      </c>
      <c r="K4" t="s">
        <v>4607</v>
      </c>
      <c r="L4" t="s">
        <v>1954</v>
      </c>
      <c r="M4" t="s">
        <v>4380</v>
      </c>
      <c r="N4" t="s">
        <v>2905</v>
      </c>
      <c r="O4" t="s">
        <v>4610</v>
      </c>
    </row>
    <row r="5" spans="1:15" ht="15" customHeight="1" x14ac:dyDescent="0.25">
      <c r="A5" t="s">
        <v>4611</v>
      </c>
      <c r="B5" t="s">
        <v>2952</v>
      </c>
      <c r="C5" t="s">
        <v>3453</v>
      </c>
      <c r="D5">
        <v>1</v>
      </c>
      <c r="E5" t="s">
        <v>4612</v>
      </c>
      <c r="F5" t="s">
        <v>5285</v>
      </c>
      <c r="G5" t="s">
        <v>4613</v>
      </c>
      <c r="H5" t="s">
        <v>5285</v>
      </c>
      <c r="I5">
        <v>1</v>
      </c>
      <c r="J5" t="s">
        <v>2905</v>
      </c>
      <c r="K5" t="s">
        <v>4614</v>
      </c>
      <c r="L5" t="s">
        <v>1954</v>
      </c>
      <c r="M5" t="s">
        <v>4319</v>
      </c>
      <c r="N5" t="s">
        <v>2905</v>
      </c>
      <c r="O5" t="s">
        <v>4615</v>
      </c>
    </row>
    <row r="6" spans="1:15" ht="15" customHeight="1" x14ac:dyDescent="0.25">
      <c r="A6" t="s">
        <v>4616</v>
      </c>
      <c r="B6" t="s">
        <v>2952</v>
      </c>
      <c r="C6" t="s">
        <v>4243</v>
      </c>
      <c r="D6">
        <v>1</v>
      </c>
      <c r="E6" t="s">
        <v>4617</v>
      </c>
      <c r="F6" t="s">
        <v>5286</v>
      </c>
      <c r="G6" t="s">
        <v>4617</v>
      </c>
      <c r="H6" t="s">
        <v>5286</v>
      </c>
      <c r="I6">
        <v>0</v>
      </c>
      <c r="J6" t="s">
        <v>2905</v>
      </c>
      <c r="K6" t="s">
        <v>4616</v>
      </c>
      <c r="L6" t="s">
        <v>1954</v>
      </c>
      <c r="M6" t="s">
        <v>4380</v>
      </c>
      <c r="N6" t="s">
        <v>2905</v>
      </c>
      <c r="O6" t="s">
        <v>5287</v>
      </c>
    </row>
    <row r="7" spans="1:15" ht="15" customHeight="1" x14ac:dyDescent="0.25">
      <c r="A7" t="s">
        <v>4619</v>
      </c>
      <c r="B7" t="s">
        <v>2952</v>
      </c>
      <c r="C7" t="s">
        <v>4620</v>
      </c>
      <c r="D7">
        <v>2</v>
      </c>
      <c r="E7" t="s">
        <v>5288</v>
      </c>
      <c r="F7" t="s">
        <v>5289</v>
      </c>
      <c r="G7" t="s">
        <v>5290</v>
      </c>
      <c r="H7" t="s">
        <v>5291</v>
      </c>
      <c r="I7">
        <v>2</v>
      </c>
      <c r="J7" t="s">
        <v>5292</v>
      </c>
      <c r="K7" t="s">
        <v>4623</v>
      </c>
      <c r="L7" t="s">
        <v>1954</v>
      </c>
      <c r="M7" t="s">
        <v>2905</v>
      </c>
      <c r="N7" t="s">
        <v>2905</v>
      </c>
      <c r="O7" t="s">
        <v>4624</v>
      </c>
    </row>
    <row r="8" spans="1:15" ht="15" customHeight="1" x14ac:dyDescent="0.25">
      <c r="A8" t="s">
        <v>4625</v>
      </c>
      <c r="B8" t="s">
        <v>2971</v>
      </c>
      <c r="C8" t="s">
        <v>4620</v>
      </c>
      <c r="D8">
        <v>1</v>
      </c>
      <c r="E8" t="s">
        <v>5293</v>
      </c>
      <c r="F8" t="s">
        <v>5294</v>
      </c>
      <c r="G8" t="s">
        <v>5295</v>
      </c>
      <c r="H8" t="s">
        <v>5296</v>
      </c>
      <c r="I8">
        <v>1</v>
      </c>
      <c r="J8" t="s">
        <v>5297</v>
      </c>
      <c r="K8" t="s">
        <v>4628</v>
      </c>
      <c r="L8" t="s">
        <v>1954</v>
      </c>
      <c r="M8" t="s">
        <v>2905</v>
      </c>
      <c r="N8" t="s">
        <v>2905</v>
      </c>
      <c r="O8" t="s">
        <v>4629</v>
      </c>
    </row>
    <row r="9" spans="1:15" ht="15" customHeight="1" x14ac:dyDescent="0.25">
      <c r="A9" t="s">
        <v>4630</v>
      </c>
      <c r="B9" t="s">
        <v>2959</v>
      </c>
      <c r="C9" t="s">
        <v>4620</v>
      </c>
      <c r="D9">
        <v>0</v>
      </c>
      <c r="E9" t="s">
        <v>4631</v>
      </c>
      <c r="F9" t="s">
        <v>5298</v>
      </c>
      <c r="G9" t="s">
        <v>4632</v>
      </c>
      <c r="H9" t="s">
        <v>5299</v>
      </c>
      <c r="I9">
        <v>0</v>
      </c>
      <c r="J9" t="s">
        <v>5300</v>
      </c>
      <c r="K9" t="s">
        <v>4630</v>
      </c>
      <c r="L9" t="s">
        <v>1954</v>
      </c>
      <c r="M9" t="s">
        <v>2905</v>
      </c>
      <c r="N9" t="s">
        <v>2905</v>
      </c>
      <c r="O9" t="s">
        <v>4633</v>
      </c>
    </row>
    <row r="10" spans="1:15" ht="15" customHeight="1" x14ac:dyDescent="0.25">
      <c r="A10" t="s">
        <v>4634</v>
      </c>
      <c r="B10" t="s">
        <v>2959</v>
      </c>
      <c r="C10" t="s">
        <v>4243</v>
      </c>
      <c r="D10">
        <v>1</v>
      </c>
      <c r="E10" t="s">
        <v>4635</v>
      </c>
      <c r="F10" t="s">
        <v>5301</v>
      </c>
      <c r="G10" t="s">
        <v>4636</v>
      </c>
      <c r="H10" t="s">
        <v>5302</v>
      </c>
      <c r="I10">
        <v>1</v>
      </c>
      <c r="J10" t="s">
        <v>2905</v>
      </c>
      <c r="K10" t="s">
        <v>4634</v>
      </c>
      <c r="L10" t="s">
        <v>1954</v>
      </c>
      <c r="M10" t="s">
        <v>2905</v>
      </c>
      <c r="N10" t="s">
        <v>2905</v>
      </c>
      <c r="O10" t="s">
        <v>4637</v>
      </c>
    </row>
    <row r="11" spans="1:15" ht="15" customHeight="1" x14ac:dyDescent="0.25">
      <c r="A11" t="s">
        <v>4638</v>
      </c>
      <c r="B11" t="s">
        <v>2959</v>
      </c>
      <c r="C11" t="s">
        <v>4243</v>
      </c>
      <c r="D11">
        <v>1</v>
      </c>
      <c r="E11" t="s">
        <v>4639</v>
      </c>
      <c r="F11" t="s">
        <v>5303</v>
      </c>
      <c r="G11" t="s">
        <v>4640</v>
      </c>
      <c r="H11" t="s">
        <v>5304</v>
      </c>
      <c r="I11">
        <v>1</v>
      </c>
      <c r="J11" t="s">
        <v>2905</v>
      </c>
      <c r="K11" t="s">
        <v>4638</v>
      </c>
      <c r="L11" t="s">
        <v>1954</v>
      </c>
      <c r="M11" t="s">
        <v>2905</v>
      </c>
      <c r="N11" t="s">
        <v>2905</v>
      </c>
      <c r="O11" t="s">
        <v>4641</v>
      </c>
    </row>
    <row r="12" spans="1:15" ht="15" customHeight="1" x14ac:dyDescent="0.25">
      <c r="A12" t="s">
        <v>4642</v>
      </c>
      <c r="B12" t="s">
        <v>2971</v>
      </c>
      <c r="C12" t="s">
        <v>4620</v>
      </c>
      <c r="D12">
        <v>0</v>
      </c>
      <c r="E12" t="s">
        <v>4643</v>
      </c>
      <c r="F12" t="s">
        <v>5305</v>
      </c>
      <c r="G12" t="s">
        <v>4644</v>
      </c>
      <c r="H12" t="s">
        <v>5306</v>
      </c>
      <c r="I12">
        <v>0</v>
      </c>
      <c r="J12" t="s">
        <v>5292</v>
      </c>
      <c r="K12" t="s">
        <v>4642</v>
      </c>
      <c r="L12" t="s">
        <v>1954</v>
      </c>
      <c r="M12" t="s">
        <v>5307</v>
      </c>
      <c r="N12" t="s">
        <v>2905</v>
      </c>
      <c r="O12" t="s">
        <v>4645</v>
      </c>
    </row>
    <row r="13" spans="1:15" ht="15" customHeight="1" x14ac:dyDescent="0.25">
      <c r="A13" t="s">
        <v>3277</v>
      </c>
      <c r="B13" t="s">
        <v>2971</v>
      </c>
      <c r="C13" t="s">
        <v>4243</v>
      </c>
      <c r="D13">
        <v>1</v>
      </c>
      <c r="E13" t="s">
        <v>4646</v>
      </c>
      <c r="F13" t="s">
        <v>5308</v>
      </c>
      <c r="G13" t="s">
        <v>4646</v>
      </c>
      <c r="H13" t="s">
        <v>5308</v>
      </c>
      <c r="I13">
        <v>1</v>
      </c>
      <c r="J13" t="s">
        <v>5309</v>
      </c>
      <c r="K13" t="s">
        <v>3282</v>
      </c>
      <c r="L13" t="s">
        <v>1358</v>
      </c>
      <c r="M13" t="s">
        <v>2905</v>
      </c>
      <c r="N13" t="s">
        <v>2905</v>
      </c>
      <c r="O13" t="s">
        <v>5310</v>
      </c>
    </row>
    <row r="14" spans="1:15" ht="15" customHeight="1" x14ac:dyDescent="0.25">
      <c r="A14" t="s">
        <v>4648</v>
      </c>
      <c r="B14" t="s">
        <v>2959</v>
      </c>
      <c r="C14" t="s">
        <v>4620</v>
      </c>
      <c r="D14">
        <v>1</v>
      </c>
      <c r="E14" t="s">
        <v>5311</v>
      </c>
      <c r="F14" t="s">
        <v>5312</v>
      </c>
      <c r="G14" t="s">
        <v>5313</v>
      </c>
      <c r="H14" t="s">
        <v>5314</v>
      </c>
      <c r="I14">
        <v>1</v>
      </c>
      <c r="J14" t="s">
        <v>5309</v>
      </c>
      <c r="K14" t="s">
        <v>4648</v>
      </c>
      <c r="L14" t="s">
        <v>1954</v>
      </c>
      <c r="M14" t="s">
        <v>2905</v>
      </c>
      <c r="N14" t="s">
        <v>2905</v>
      </c>
      <c r="O14" t="s">
        <v>5315</v>
      </c>
    </row>
    <row r="15" spans="1:15" ht="15" customHeight="1" x14ac:dyDescent="0.25">
      <c r="A15" t="s">
        <v>3289</v>
      </c>
      <c r="B15" t="s">
        <v>2971</v>
      </c>
      <c r="C15" t="s">
        <v>4620</v>
      </c>
      <c r="D15">
        <v>1</v>
      </c>
      <c r="E15" t="s">
        <v>4652</v>
      </c>
      <c r="F15" t="s">
        <v>5316</v>
      </c>
      <c r="G15" t="s">
        <v>4652</v>
      </c>
      <c r="H15" t="s">
        <v>5316</v>
      </c>
      <c r="I15">
        <v>1</v>
      </c>
      <c r="J15" t="s">
        <v>5317</v>
      </c>
      <c r="K15" t="s">
        <v>3289</v>
      </c>
      <c r="L15" t="s">
        <v>828</v>
      </c>
      <c r="M15" t="s">
        <v>4311</v>
      </c>
      <c r="N15" t="s">
        <v>2905</v>
      </c>
      <c r="O15" t="s">
        <v>4653</v>
      </c>
    </row>
    <row r="16" spans="1:15" ht="15" customHeight="1" x14ac:dyDescent="0.25">
      <c r="A16" t="s">
        <v>2965</v>
      </c>
      <c r="B16" t="s">
        <v>2952</v>
      </c>
      <c r="C16" t="s">
        <v>3453</v>
      </c>
      <c r="D16">
        <v>3</v>
      </c>
      <c r="E16" s="9" t="s">
        <v>5318</v>
      </c>
      <c r="F16" t="s">
        <v>5319</v>
      </c>
      <c r="G16" s="9" t="s">
        <v>5318</v>
      </c>
      <c r="H16" t="s">
        <v>5319</v>
      </c>
      <c r="I16">
        <v>2</v>
      </c>
      <c r="J16" t="s">
        <v>2905</v>
      </c>
      <c r="K16" t="s">
        <v>2965</v>
      </c>
      <c r="L16" t="s">
        <v>1954</v>
      </c>
      <c r="M16" t="s">
        <v>2905</v>
      </c>
      <c r="N16" t="s">
        <v>2905</v>
      </c>
      <c r="O16" t="s">
        <v>5320</v>
      </c>
    </row>
    <row r="17" spans="1:15" ht="15" customHeight="1" x14ac:dyDescent="0.25">
      <c r="A17" t="s">
        <v>2890</v>
      </c>
      <c r="B17" t="s">
        <v>2983</v>
      </c>
      <c r="C17" t="s">
        <v>4620</v>
      </c>
      <c r="D17">
        <v>2</v>
      </c>
      <c r="E17" t="s">
        <v>4655</v>
      </c>
      <c r="F17" t="s">
        <v>5321</v>
      </c>
      <c r="G17" t="s">
        <v>4656</v>
      </c>
      <c r="H17" t="s">
        <v>5322</v>
      </c>
      <c r="I17">
        <v>2</v>
      </c>
      <c r="J17" t="s">
        <v>5323</v>
      </c>
      <c r="K17" t="s">
        <v>2890</v>
      </c>
      <c r="L17" t="s">
        <v>1954</v>
      </c>
      <c r="M17" t="s">
        <v>2905</v>
      </c>
      <c r="N17" t="s">
        <v>2905</v>
      </c>
      <c r="O17" t="s">
        <v>4633</v>
      </c>
    </row>
    <row r="18" spans="1:15" ht="15" customHeight="1" x14ac:dyDescent="0.25">
      <c r="A18" t="s">
        <v>4657</v>
      </c>
      <c r="B18" t="s">
        <v>2971</v>
      </c>
      <c r="C18" t="s">
        <v>4243</v>
      </c>
      <c r="D18">
        <v>0</v>
      </c>
      <c r="E18" s="9" t="s">
        <v>5324</v>
      </c>
      <c r="F18" t="s">
        <v>5325</v>
      </c>
      <c r="G18" s="9" t="s">
        <v>5326</v>
      </c>
      <c r="H18" t="s">
        <v>5327</v>
      </c>
      <c r="I18" t="s">
        <v>2905</v>
      </c>
      <c r="J18" t="s">
        <v>2905</v>
      </c>
      <c r="K18" t="s">
        <v>4660</v>
      </c>
      <c r="L18" t="s">
        <v>1954</v>
      </c>
      <c r="M18" t="s">
        <v>2905</v>
      </c>
      <c r="N18" t="s">
        <v>2905</v>
      </c>
      <c r="O18" t="s">
        <v>4661</v>
      </c>
    </row>
    <row r="19" spans="1:15" ht="15" customHeight="1" x14ac:dyDescent="0.25">
      <c r="A19" t="s">
        <v>4662</v>
      </c>
      <c r="B19" t="s">
        <v>2959</v>
      </c>
      <c r="C19" t="s">
        <v>4620</v>
      </c>
      <c r="D19">
        <v>0</v>
      </c>
      <c r="E19" t="s">
        <v>4663</v>
      </c>
      <c r="F19" t="s">
        <v>5328</v>
      </c>
      <c r="G19" t="s">
        <v>4664</v>
      </c>
      <c r="H19" t="s">
        <v>5329</v>
      </c>
      <c r="I19">
        <v>0</v>
      </c>
      <c r="J19" t="s">
        <v>5330</v>
      </c>
      <c r="K19" t="s">
        <v>4665</v>
      </c>
      <c r="L19" t="s">
        <v>1954</v>
      </c>
      <c r="M19" t="s">
        <v>2905</v>
      </c>
      <c r="N19" t="s">
        <v>2905</v>
      </c>
      <c r="O19" t="s">
        <v>4666</v>
      </c>
    </row>
    <row r="20" spans="1:15" ht="15" customHeight="1" x14ac:dyDescent="0.25">
      <c r="A20" t="s">
        <v>4671</v>
      </c>
      <c r="B20" t="s">
        <v>2959</v>
      </c>
      <c r="C20" t="s">
        <v>4243</v>
      </c>
      <c r="D20">
        <v>1</v>
      </c>
      <c r="E20" t="s">
        <v>4672</v>
      </c>
      <c r="F20" t="s">
        <v>5331</v>
      </c>
      <c r="G20" t="s">
        <v>4673</v>
      </c>
      <c r="H20" t="s">
        <v>5332</v>
      </c>
      <c r="I20">
        <v>1</v>
      </c>
      <c r="J20" t="s">
        <v>2905</v>
      </c>
      <c r="K20" t="s">
        <v>4674</v>
      </c>
      <c r="L20" t="s">
        <v>1954</v>
      </c>
      <c r="M20" t="s">
        <v>2905</v>
      </c>
      <c r="N20" t="s">
        <v>2905</v>
      </c>
      <c r="O20" t="s">
        <v>4675</v>
      </c>
    </row>
    <row r="21" spans="1:15" ht="15" customHeight="1" x14ac:dyDescent="0.25">
      <c r="A21" t="s">
        <v>3316</v>
      </c>
      <c r="B21" t="s">
        <v>2959</v>
      </c>
      <c r="C21" t="s">
        <v>4620</v>
      </c>
      <c r="D21">
        <v>1</v>
      </c>
      <c r="E21" t="s">
        <v>4676</v>
      </c>
      <c r="F21" t="s">
        <v>5333</v>
      </c>
      <c r="G21" t="s">
        <v>4676</v>
      </c>
      <c r="H21" t="s">
        <v>5333</v>
      </c>
      <c r="I21">
        <v>1</v>
      </c>
      <c r="J21" t="s">
        <v>5317</v>
      </c>
      <c r="K21" t="s">
        <v>3319</v>
      </c>
      <c r="L21" t="s">
        <v>881</v>
      </c>
      <c r="M21" t="s">
        <v>4352</v>
      </c>
      <c r="N21" t="s">
        <v>2905</v>
      </c>
      <c r="O21" t="s">
        <v>4653</v>
      </c>
    </row>
    <row r="22" spans="1:15" ht="15" customHeight="1" x14ac:dyDescent="0.25">
      <c r="A22" t="s">
        <v>4677</v>
      </c>
      <c r="B22" t="s">
        <v>2971</v>
      </c>
      <c r="C22" t="s">
        <v>4620</v>
      </c>
      <c r="D22">
        <v>4</v>
      </c>
      <c r="E22" s="9" t="s">
        <v>4678</v>
      </c>
      <c r="F22" t="s">
        <v>5334</v>
      </c>
      <c r="G22" s="9" t="s">
        <v>4679</v>
      </c>
      <c r="H22" t="s">
        <v>5335</v>
      </c>
      <c r="I22">
        <v>3</v>
      </c>
      <c r="J22" t="s">
        <v>5300</v>
      </c>
      <c r="K22" t="s">
        <v>4680</v>
      </c>
      <c r="L22" t="s">
        <v>1954</v>
      </c>
      <c r="M22" t="s">
        <v>2905</v>
      </c>
      <c r="N22" t="s">
        <v>2905</v>
      </c>
      <c r="O22" t="s">
        <v>4661</v>
      </c>
    </row>
    <row r="23" spans="1:15" ht="15" customHeight="1" x14ac:dyDescent="0.25">
      <c r="A23" t="s">
        <v>3320</v>
      </c>
      <c r="B23" t="s">
        <v>2952</v>
      </c>
      <c r="C23" t="s">
        <v>4620</v>
      </c>
      <c r="D23">
        <v>1</v>
      </c>
      <c r="E23" t="s">
        <v>5336</v>
      </c>
      <c r="F23" t="s">
        <v>5337</v>
      </c>
      <c r="G23" t="s">
        <v>5336</v>
      </c>
      <c r="H23" t="s">
        <v>5337</v>
      </c>
      <c r="I23">
        <v>1</v>
      </c>
      <c r="J23" t="s">
        <v>5338</v>
      </c>
      <c r="K23" t="s">
        <v>3323</v>
      </c>
      <c r="L23" t="s">
        <v>1330</v>
      </c>
      <c r="M23" t="s">
        <v>4315</v>
      </c>
      <c r="N23" t="s">
        <v>4266</v>
      </c>
      <c r="O23" t="s">
        <v>4653</v>
      </c>
    </row>
    <row r="24" spans="1:15" ht="15" customHeight="1" x14ac:dyDescent="0.25">
      <c r="A24" t="s">
        <v>4682</v>
      </c>
      <c r="B24" t="s">
        <v>2959</v>
      </c>
      <c r="C24" t="s">
        <v>4243</v>
      </c>
      <c r="D24">
        <v>0</v>
      </c>
      <c r="E24" t="s">
        <v>4683</v>
      </c>
      <c r="F24" t="s">
        <v>5339</v>
      </c>
      <c r="G24" t="s">
        <v>4684</v>
      </c>
      <c r="H24" t="s">
        <v>5340</v>
      </c>
      <c r="I24">
        <v>0</v>
      </c>
      <c r="J24" t="s">
        <v>2905</v>
      </c>
      <c r="K24" t="s">
        <v>4682</v>
      </c>
      <c r="L24" t="s">
        <v>1954</v>
      </c>
      <c r="M24" t="s">
        <v>2905</v>
      </c>
      <c r="N24" t="s">
        <v>2905</v>
      </c>
      <c r="O24" t="s">
        <v>4670</v>
      </c>
    </row>
    <row r="25" spans="1:15" ht="15" customHeight="1" x14ac:dyDescent="0.25">
      <c r="A25" t="s">
        <v>4685</v>
      </c>
      <c r="B25" t="s">
        <v>2952</v>
      </c>
      <c r="C25" t="s">
        <v>4620</v>
      </c>
      <c r="D25">
        <v>3</v>
      </c>
      <c r="E25" t="s">
        <v>4686</v>
      </c>
      <c r="F25" t="s">
        <v>5341</v>
      </c>
      <c r="G25" t="s">
        <v>4687</v>
      </c>
      <c r="H25" t="s">
        <v>5342</v>
      </c>
      <c r="I25">
        <v>3</v>
      </c>
      <c r="J25" t="s">
        <v>5343</v>
      </c>
      <c r="K25" t="s">
        <v>4685</v>
      </c>
      <c r="L25" t="s">
        <v>1954</v>
      </c>
      <c r="M25" t="s">
        <v>2905</v>
      </c>
      <c r="N25" t="s">
        <v>2905</v>
      </c>
      <c r="O25" t="s">
        <v>4633</v>
      </c>
    </row>
    <row r="26" spans="1:15" ht="15" customHeight="1" x14ac:dyDescent="0.25">
      <c r="A26" t="s">
        <v>4042</v>
      </c>
      <c r="B26" t="s">
        <v>2971</v>
      </c>
      <c r="C26" t="s">
        <v>4243</v>
      </c>
      <c r="D26">
        <v>1</v>
      </c>
      <c r="E26" s="9" t="s">
        <v>5344</v>
      </c>
      <c r="F26" t="s">
        <v>5345</v>
      </c>
      <c r="G26" s="9" t="s">
        <v>5346</v>
      </c>
      <c r="H26" t="s">
        <v>5347</v>
      </c>
      <c r="I26">
        <v>1</v>
      </c>
      <c r="J26" t="s">
        <v>2905</v>
      </c>
      <c r="K26" t="s">
        <v>4042</v>
      </c>
      <c r="L26" t="s">
        <v>1954</v>
      </c>
      <c r="M26" t="s">
        <v>2905</v>
      </c>
      <c r="N26" t="s">
        <v>2905</v>
      </c>
      <c r="O26" t="s">
        <v>4615</v>
      </c>
    </row>
    <row r="27" spans="1:15" ht="15" customHeight="1" x14ac:dyDescent="0.25">
      <c r="A27" t="s">
        <v>4695</v>
      </c>
      <c r="B27" t="s">
        <v>2959</v>
      </c>
      <c r="C27" t="s">
        <v>4620</v>
      </c>
      <c r="D27">
        <v>1</v>
      </c>
      <c r="E27" t="s">
        <v>5348</v>
      </c>
      <c r="F27" t="s">
        <v>5349</v>
      </c>
      <c r="G27" t="s">
        <v>5348</v>
      </c>
      <c r="H27" t="s">
        <v>5349</v>
      </c>
      <c r="I27">
        <v>0</v>
      </c>
      <c r="J27" t="s">
        <v>5350</v>
      </c>
      <c r="K27" t="s">
        <v>4697</v>
      </c>
      <c r="L27" t="s">
        <v>1954</v>
      </c>
      <c r="M27" t="s">
        <v>2905</v>
      </c>
      <c r="N27" t="s">
        <v>2905</v>
      </c>
      <c r="O27" t="s">
        <v>4633</v>
      </c>
    </row>
    <row r="28" spans="1:15" ht="15" customHeight="1" x14ac:dyDescent="0.25">
      <c r="A28" t="s">
        <v>4698</v>
      </c>
      <c r="B28" t="s">
        <v>2971</v>
      </c>
      <c r="C28" t="s">
        <v>4243</v>
      </c>
      <c r="D28">
        <v>0</v>
      </c>
      <c r="E28" t="s">
        <v>4699</v>
      </c>
      <c r="F28" t="s">
        <v>5351</v>
      </c>
      <c r="G28" t="s">
        <v>4700</v>
      </c>
      <c r="H28" t="s">
        <v>5352</v>
      </c>
      <c r="I28">
        <v>0</v>
      </c>
      <c r="J28" t="s">
        <v>2905</v>
      </c>
      <c r="K28" t="s">
        <v>4701</v>
      </c>
      <c r="L28" t="s">
        <v>1954</v>
      </c>
      <c r="M28" t="s">
        <v>5307</v>
      </c>
      <c r="N28" t="s">
        <v>2905</v>
      </c>
      <c r="O28" t="s">
        <v>4702</v>
      </c>
    </row>
    <row r="29" spans="1:15" ht="15" customHeight="1" x14ac:dyDescent="0.25">
      <c r="A29" t="s">
        <v>4708</v>
      </c>
      <c r="B29" t="s">
        <v>2971</v>
      </c>
      <c r="C29" t="s">
        <v>4243</v>
      </c>
      <c r="D29">
        <v>2</v>
      </c>
      <c r="E29" t="s">
        <v>4709</v>
      </c>
      <c r="F29" t="s">
        <v>5353</v>
      </c>
      <c r="G29" t="s">
        <v>4710</v>
      </c>
      <c r="H29" t="s">
        <v>5354</v>
      </c>
      <c r="I29">
        <v>2</v>
      </c>
      <c r="J29" t="s">
        <v>5355</v>
      </c>
      <c r="K29" t="s">
        <v>4711</v>
      </c>
      <c r="L29" t="s">
        <v>1954</v>
      </c>
      <c r="M29" t="s">
        <v>4315</v>
      </c>
      <c r="N29" t="s">
        <v>4137</v>
      </c>
      <c r="O29" t="s">
        <v>5356</v>
      </c>
    </row>
    <row r="30" spans="1:15" ht="15" customHeight="1" x14ac:dyDescent="0.25">
      <c r="A30" t="s">
        <v>4719</v>
      </c>
      <c r="B30" t="s">
        <v>2952</v>
      </c>
      <c r="C30" t="s">
        <v>4243</v>
      </c>
      <c r="D30">
        <v>3</v>
      </c>
      <c r="E30" s="9" t="s">
        <v>4720</v>
      </c>
      <c r="F30" t="s">
        <v>5357</v>
      </c>
      <c r="G30" s="9" t="s">
        <v>4720</v>
      </c>
      <c r="H30" t="s">
        <v>5357</v>
      </c>
      <c r="I30">
        <v>2</v>
      </c>
      <c r="J30" t="s">
        <v>2905</v>
      </c>
      <c r="K30" t="s">
        <v>4721</v>
      </c>
      <c r="L30" t="s">
        <v>1954</v>
      </c>
      <c r="M30" t="s">
        <v>2905</v>
      </c>
      <c r="N30" t="s">
        <v>2905</v>
      </c>
      <c r="O30" t="s">
        <v>4722</v>
      </c>
    </row>
    <row r="31" spans="1:15" ht="15" customHeight="1" x14ac:dyDescent="0.25">
      <c r="A31" t="s">
        <v>4051</v>
      </c>
      <c r="B31" t="s">
        <v>3807</v>
      </c>
      <c r="C31" t="s">
        <v>4689</v>
      </c>
      <c r="D31" t="s">
        <v>3805</v>
      </c>
      <c r="E31" s="9" t="s">
        <v>4723</v>
      </c>
      <c r="F31" t="s">
        <v>5358</v>
      </c>
      <c r="G31" s="9" t="s">
        <v>2905</v>
      </c>
      <c r="H31" t="s">
        <v>2905</v>
      </c>
      <c r="I31" t="s">
        <v>2905</v>
      </c>
      <c r="J31" t="s">
        <v>2905</v>
      </c>
      <c r="K31" t="s">
        <v>4051</v>
      </c>
      <c r="L31" t="s">
        <v>1954</v>
      </c>
      <c r="M31" t="s">
        <v>4347</v>
      </c>
      <c r="N31" t="s">
        <v>2905</v>
      </c>
      <c r="O31" t="s">
        <v>5359</v>
      </c>
    </row>
    <row r="32" spans="1:15" ht="15" customHeight="1" x14ac:dyDescent="0.25">
      <c r="A32" t="s">
        <v>4725</v>
      </c>
      <c r="B32" t="s">
        <v>2971</v>
      </c>
      <c r="C32" t="s">
        <v>4243</v>
      </c>
      <c r="D32">
        <v>1</v>
      </c>
      <c r="E32" t="s">
        <v>4726</v>
      </c>
      <c r="F32" t="s">
        <v>5360</v>
      </c>
      <c r="G32" t="s">
        <v>4727</v>
      </c>
      <c r="H32" t="s">
        <v>5361</v>
      </c>
      <c r="I32">
        <v>1</v>
      </c>
      <c r="J32" t="s">
        <v>2905</v>
      </c>
      <c r="K32" t="s">
        <v>4728</v>
      </c>
      <c r="L32" t="s">
        <v>1954</v>
      </c>
      <c r="M32" t="s">
        <v>4380</v>
      </c>
      <c r="N32" t="s">
        <v>2905</v>
      </c>
      <c r="O32" t="s">
        <v>4729</v>
      </c>
    </row>
    <row r="33" spans="1:15" ht="15" customHeight="1" x14ac:dyDescent="0.25">
      <c r="A33" t="s">
        <v>4053</v>
      </c>
      <c r="B33" t="s">
        <v>2952</v>
      </c>
      <c r="C33" t="s">
        <v>4243</v>
      </c>
      <c r="D33">
        <v>1</v>
      </c>
      <c r="E33" s="9" t="s">
        <v>5362</v>
      </c>
      <c r="F33" t="s">
        <v>5363</v>
      </c>
      <c r="G33" s="9" t="s">
        <v>5364</v>
      </c>
      <c r="H33" t="s">
        <v>5365</v>
      </c>
      <c r="I33">
        <v>1</v>
      </c>
      <c r="J33" t="s">
        <v>2905</v>
      </c>
      <c r="K33" t="s">
        <v>4053</v>
      </c>
      <c r="L33" t="s">
        <v>1954</v>
      </c>
      <c r="M33" t="s">
        <v>2905</v>
      </c>
      <c r="N33" t="s">
        <v>2905</v>
      </c>
      <c r="O33" t="s">
        <v>4722</v>
      </c>
    </row>
    <row r="34" spans="1:15" ht="15" customHeight="1" x14ac:dyDescent="0.25">
      <c r="A34" t="s">
        <v>4732</v>
      </c>
      <c r="B34" t="s">
        <v>2971</v>
      </c>
      <c r="C34" t="s">
        <v>4243</v>
      </c>
      <c r="D34">
        <v>0</v>
      </c>
      <c r="E34" s="9" t="s">
        <v>5366</v>
      </c>
      <c r="F34" t="s">
        <v>5367</v>
      </c>
      <c r="G34" s="9" t="s">
        <v>5368</v>
      </c>
      <c r="H34" t="s">
        <v>5369</v>
      </c>
      <c r="I34">
        <v>0</v>
      </c>
      <c r="J34" t="s">
        <v>2905</v>
      </c>
      <c r="K34" t="s">
        <v>4735</v>
      </c>
      <c r="L34" t="s">
        <v>1954</v>
      </c>
      <c r="M34" t="s">
        <v>2905</v>
      </c>
      <c r="N34" t="s">
        <v>2905</v>
      </c>
      <c r="O34" t="s">
        <v>4736</v>
      </c>
    </row>
    <row r="35" spans="1:15" ht="15" customHeight="1" x14ac:dyDescent="0.25">
      <c r="A35" t="s">
        <v>4739</v>
      </c>
      <c r="B35" t="s">
        <v>2971</v>
      </c>
      <c r="C35" t="s">
        <v>4620</v>
      </c>
      <c r="D35">
        <v>2</v>
      </c>
      <c r="E35" t="s">
        <v>5370</v>
      </c>
      <c r="F35" t="s">
        <v>5371</v>
      </c>
      <c r="G35" t="s">
        <v>4741</v>
      </c>
      <c r="H35" t="s">
        <v>5372</v>
      </c>
      <c r="I35">
        <v>2</v>
      </c>
      <c r="J35" t="s">
        <v>5323</v>
      </c>
      <c r="K35" t="s">
        <v>4739</v>
      </c>
      <c r="L35" t="s">
        <v>1954</v>
      </c>
      <c r="M35" t="s">
        <v>4306</v>
      </c>
      <c r="N35" t="s">
        <v>2905</v>
      </c>
      <c r="O35" t="s">
        <v>4633</v>
      </c>
    </row>
    <row r="36" spans="1:15" ht="15" customHeight="1" x14ac:dyDescent="0.25">
      <c r="A36" t="s">
        <v>4742</v>
      </c>
      <c r="B36" t="s">
        <v>2971</v>
      </c>
      <c r="C36" t="s">
        <v>4243</v>
      </c>
      <c r="D36">
        <v>1</v>
      </c>
      <c r="E36" s="9" t="s">
        <v>5373</v>
      </c>
      <c r="F36" t="s">
        <v>5374</v>
      </c>
      <c r="G36" s="9" t="s">
        <v>5375</v>
      </c>
      <c r="H36" t="s">
        <v>5376</v>
      </c>
      <c r="I36">
        <v>1</v>
      </c>
      <c r="J36" t="s">
        <v>2905</v>
      </c>
      <c r="K36" t="s">
        <v>4742</v>
      </c>
      <c r="L36" t="s">
        <v>1954</v>
      </c>
      <c r="M36" t="s">
        <v>4380</v>
      </c>
      <c r="N36" t="s">
        <v>2905</v>
      </c>
      <c r="O36" t="s">
        <v>5377</v>
      </c>
    </row>
    <row r="37" spans="1:15" ht="15" customHeight="1" x14ac:dyDescent="0.25">
      <c r="A37" t="s">
        <v>4745</v>
      </c>
      <c r="B37" t="s">
        <v>2971</v>
      </c>
      <c r="C37" t="s">
        <v>4620</v>
      </c>
      <c r="D37">
        <v>2</v>
      </c>
      <c r="E37" s="9" t="s">
        <v>4746</v>
      </c>
      <c r="F37" t="s">
        <v>5378</v>
      </c>
      <c r="G37" s="9" t="s">
        <v>4747</v>
      </c>
      <c r="H37" t="s">
        <v>5379</v>
      </c>
      <c r="I37">
        <v>2</v>
      </c>
      <c r="J37" t="s">
        <v>5300</v>
      </c>
      <c r="K37" t="s">
        <v>4745</v>
      </c>
      <c r="L37" t="s">
        <v>1954</v>
      </c>
      <c r="M37" t="s">
        <v>2905</v>
      </c>
      <c r="N37" t="s">
        <v>2905</v>
      </c>
      <c r="O37" t="s">
        <v>4748</v>
      </c>
    </row>
    <row r="38" spans="1:15" ht="15" customHeight="1" x14ac:dyDescent="0.25">
      <c r="A38" t="s">
        <v>4749</v>
      </c>
      <c r="B38" t="s">
        <v>2959</v>
      </c>
      <c r="C38" t="s">
        <v>4620</v>
      </c>
      <c r="D38">
        <v>0</v>
      </c>
      <c r="E38" s="9" t="s">
        <v>5380</v>
      </c>
      <c r="F38" t="s">
        <v>5381</v>
      </c>
      <c r="G38" s="9" t="s">
        <v>5382</v>
      </c>
      <c r="H38" t="s">
        <v>5383</v>
      </c>
      <c r="I38">
        <v>0</v>
      </c>
      <c r="J38" t="s">
        <v>5384</v>
      </c>
      <c r="K38" t="s">
        <v>4749</v>
      </c>
      <c r="L38" t="s">
        <v>1954</v>
      </c>
      <c r="M38" t="s">
        <v>2905</v>
      </c>
      <c r="N38" t="s">
        <v>2905</v>
      </c>
      <c r="O38" t="s">
        <v>4633</v>
      </c>
    </row>
    <row r="39" spans="1:15" ht="15" customHeight="1" x14ac:dyDescent="0.25">
      <c r="A39" t="s">
        <v>4752</v>
      </c>
      <c r="B39" t="s">
        <v>2959</v>
      </c>
      <c r="C39" t="s">
        <v>4620</v>
      </c>
      <c r="D39">
        <v>0</v>
      </c>
      <c r="E39" t="s">
        <v>4753</v>
      </c>
      <c r="F39" t="s">
        <v>5385</v>
      </c>
      <c r="G39" t="s">
        <v>4754</v>
      </c>
      <c r="H39" t="s">
        <v>5386</v>
      </c>
      <c r="I39">
        <v>0</v>
      </c>
      <c r="J39" t="s">
        <v>5384</v>
      </c>
      <c r="K39" t="s">
        <v>4752</v>
      </c>
      <c r="L39" t="s">
        <v>1954</v>
      </c>
      <c r="M39" t="s">
        <v>2905</v>
      </c>
      <c r="N39" t="s">
        <v>2905</v>
      </c>
      <c r="O39" t="s">
        <v>4755</v>
      </c>
    </row>
    <row r="40" spans="1:15" ht="15" customHeight="1" x14ac:dyDescent="0.25">
      <c r="A40" t="s">
        <v>4294</v>
      </c>
      <c r="B40" t="s">
        <v>2959</v>
      </c>
      <c r="C40" t="s">
        <v>4620</v>
      </c>
      <c r="D40">
        <v>1</v>
      </c>
      <c r="E40" t="s">
        <v>4756</v>
      </c>
      <c r="F40" t="s">
        <v>5387</v>
      </c>
      <c r="G40" t="s">
        <v>4757</v>
      </c>
      <c r="H40" t="s">
        <v>5388</v>
      </c>
      <c r="I40">
        <v>1</v>
      </c>
      <c r="J40" t="s">
        <v>5389</v>
      </c>
      <c r="K40" t="s">
        <v>4294</v>
      </c>
      <c r="L40" t="s">
        <v>1954</v>
      </c>
      <c r="M40" t="s">
        <v>2905</v>
      </c>
      <c r="N40" t="s">
        <v>2905</v>
      </c>
      <c r="O40" t="s">
        <v>5390</v>
      </c>
    </row>
    <row r="41" spans="1:15" ht="15" customHeight="1" x14ac:dyDescent="0.25">
      <c r="A41" t="s">
        <v>4759</v>
      </c>
      <c r="B41" t="s">
        <v>2959</v>
      </c>
      <c r="C41" t="s">
        <v>4243</v>
      </c>
      <c r="D41">
        <v>1</v>
      </c>
      <c r="E41" t="s">
        <v>4760</v>
      </c>
      <c r="F41" t="s">
        <v>5391</v>
      </c>
      <c r="G41" t="s">
        <v>4761</v>
      </c>
      <c r="H41" t="s">
        <v>5392</v>
      </c>
      <c r="I41">
        <v>1</v>
      </c>
      <c r="J41" t="s">
        <v>2905</v>
      </c>
      <c r="K41" t="s">
        <v>4762</v>
      </c>
      <c r="L41" t="s">
        <v>1954</v>
      </c>
      <c r="M41" t="s">
        <v>2905</v>
      </c>
      <c r="N41" t="s">
        <v>2905</v>
      </c>
      <c r="O41" t="s">
        <v>4615</v>
      </c>
    </row>
    <row r="42" spans="1:15" ht="15" customHeight="1" x14ac:dyDescent="0.25">
      <c r="A42" t="s">
        <v>4763</v>
      </c>
      <c r="B42" t="s">
        <v>2959</v>
      </c>
      <c r="C42" t="s">
        <v>4620</v>
      </c>
      <c r="D42">
        <v>2</v>
      </c>
      <c r="E42" s="9" t="s">
        <v>5393</v>
      </c>
      <c r="F42" t="s">
        <v>5394</v>
      </c>
      <c r="G42" s="9" t="s">
        <v>5395</v>
      </c>
      <c r="H42" t="s">
        <v>5396</v>
      </c>
      <c r="I42" t="s">
        <v>2905</v>
      </c>
      <c r="J42" t="s">
        <v>5309</v>
      </c>
      <c r="K42" t="s">
        <v>4763</v>
      </c>
      <c r="L42" t="s">
        <v>1954</v>
      </c>
      <c r="M42" t="s">
        <v>2905</v>
      </c>
      <c r="N42" t="s">
        <v>2905</v>
      </c>
      <c r="O42" t="s">
        <v>4766</v>
      </c>
    </row>
    <row r="43" spans="1:15" ht="15" customHeight="1" x14ac:dyDescent="0.25">
      <c r="A43" t="s">
        <v>4767</v>
      </c>
      <c r="B43" t="s">
        <v>3807</v>
      </c>
      <c r="C43" t="s">
        <v>4768</v>
      </c>
      <c r="D43" t="s">
        <v>3805</v>
      </c>
      <c r="E43" t="s">
        <v>4769</v>
      </c>
      <c r="F43" t="s">
        <v>5397</v>
      </c>
      <c r="G43" t="s">
        <v>2905</v>
      </c>
      <c r="H43" t="s">
        <v>2905</v>
      </c>
      <c r="I43" t="s">
        <v>2905</v>
      </c>
      <c r="J43" t="s">
        <v>2905</v>
      </c>
      <c r="K43" t="s">
        <v>4767</v>
      </c>
      <c r="L43" t="s">
        <v>1954</v>
      </c>
      <c r="M43" t="s">
        <v>5398</v>
      </c>
      <c r="N43" t="s">
        <v>2905</v>
      </c>
      <c r="O43" t="s">
        <v>4770</v>
      </c>
    </row>
    <row r="44" spans="1:15" ht="15" customHeight="1" x14ac:dyDescent="0.25">
      <c r="A44" t="s">
        <v>4778</v>
      </c>
      <c r="B44" t="s">
        <v>2971</v>
      </c>
      <c r="C44" t="s">
        <v>4243</v>
      </c>
      <c r="D44">
        <v>0</v>
      </c>
      <c r="E44" s="9" t="s">
        <v>5399</v>
      </c>
      <c r="F44" t="s">
        <v>5400</v>
      </c>
      <c r="G44" s="9" t="s">
        <v>5401</v>
      </c>
      <c r="H44" t="s">
        <v>5402</v>
      </c>
      <c r="I44" t="s">
        <v>2905</v>
      </c>
      <c r="J44" t="s">
        <v>2905</v>
      </c>
      <c r="K44" t="s">
        <v>4778</v>
      </c>
      <c r="L44" t="s">
        <v>1954</v>
      </c>
      <c r="M44" t="s">
        <v>2905</v>
      </c>
      <c r="N44" t="s">
        <v>2905</v>
      </c>
      <c r="O44" t="s">
        <v>5403</v>
      </c>
    </row>
    <row r="45" spans="1:15" ht="15" customHeight="1" x14ac:dyDescent="0.25">
      <c r="A45" t="s">
        <v>4062</v>
      </c>
      <c r="B45" t="s">
        <v>2952</v>
      </c>
      <c r="C45" t="s">
        <v>4243</v>
      </c>
      <c r="D45">
        <v>2</v>
      </c>
      <c r="E45" s="9" t="s">
        <v>4782</v>
      </c>
      <c r="F45" t="s">
        <v>5404</v>
      </c>
      <c r="G45" s="9" t="s">
        <v>4783</v>
      </c>
      <c r="H45" t="s">
        <v>5405</v>
      </c>
      <c r="I45">
        <v>2</v>
      </c>
      <c r="J45" t="s">
        <v>5406</v>
      </c>
      <c r="K45" t="s">
        <v>4064</v>
      </c>
      <c r="L45" t="s">
        <v>1954</v>
      </c>
      <c r="M45" t="s">
        <v>2905</v>
      </c>
      <c r="N45" t="s">
        <v>2905</v>
      </c>
      <c r="O45" t="s">
        <v>5407</v>
      </c>
    </row>
    <row r="46" spans="1:15" ht="15" customHeight="1" x14ac:dyDescent="0.25">
      <c r="A46" t="s">
        <v>4787</v>
      </c>
      <c r="B46" t="s">
        <v>2971</v>
      </c>
      <c r="C46" t="s">
        <v>4243</v>
      </c>
      <c r="D46">
        <v>0</v>
      </c>
      <c r="E46" s="9" t="s">
        <v>5408</v>
      </c>
      <c r="F46" t="s">
        <v>5409</v>
      </c>
      <c r="G46" s="9" t="s">
        <v>5410</v>
      </c>
      <c r="H46" t="s">
        <v>5411</v>
      </c>
      <c r="I46" t="s">
        <v>2905</v>
      </c>
      <c r="J46" t="s">
        <v>5412</v>
      </c>
      <c r="K46" t="s">
        <v>4790</v>
      </c>
      <c r="L46" t="s">
        <v>1954</v>
      </c>
      <c r="M46" t="s">
        <v>4380</v>
      </c>
      <c r="N46" t="s">
        <v>2905</v>
      </c>
      <c r="O46" t="s">
        <v>5413</v>
      </c>
    </row>
    <row r="47" spans="1:15" ht="15" customHeight="1" x14ac:dyDescent="0.25">
      <c r="A47" t="s">
        <v>4792</v>
      </c>
      <c r="B47" t="s">
        <v>2959</v>
      </c>
      <c r="C47" t="s">
        <v>4620</v>
      </c>
      <c r="D47">
        <v>1</v>
      </c>
      <c r="E47" t="s">
        <v>4793</v>
      </c>
      <c r="F47" t="s">
        <v>5414</v>
      </c>
      <c r="G47" t="s">
        <v>4794</v>
      </c>
      <c r="H47" t="s">
        <v>5415</v>
      </c>
      <c r="I47">
        <v>1</v>
      </c>
      <c r="J47" t="s">
        <v>5416</v>
      </c>
      <c r="K47" t="s">
        <v>4795</v>
      </c>
      <c r="L47" t="s">
        <v>1954</v>
      </c>
      <c r="M47" t="s">
        <v>2905</v>
      </c>
      <c r="N47" t="s">
        <v>2905</v>
      </c>
      <c r="O47" t="s">
        <v>4796</v>
      </c>
    </row>
    <row r="48" spans="1:15" ht="15" customHeight="1" x14ac:dyDescent="0.25">
      <c r="A48" t="s">
        <v>4797</v>
      </c>
      <c r="B48" t="s">
        <v>2959</v>
      </c>
      <c r="C48" t="s">
        <v>4620</v>
      </c>
      <c r="D48">
        <v>1</v>
      </c>
      <c r="E48" t="s">
        <v>4798</v>
      </c>
      <c r="F48" t="s">
        <v>5417</v>
      </c>
      <c r="G48" t="s">
        <v>4799</v>
      </c>
      <c r="H48" t="s">
        <v>5418</v>
      </c>
      <c r="I48">
        <v>1</v>
      </c>
      <c r="J48" t="s">
        <v>5317</v>
      </c>
      <c r="K48" t="s">
        <v>4800</v>
      </c>
      <c r="L48" t="s">
        <v>1954</v>
      </c>
      <c r="M48" t="s">
        <v>2905</v>
      </c>
      <c r="N48" t="s">
        <v>2905</v>
      </c>
      <c r="O48" t="s">
        <v>4801</v>
      </c>
    </row>
    <row r="49" spans="1:15" ht="15" customHeight="1" x14ac:dyDescent="0.25">
      <c r="A49" t="s">
        <v>2891</v>
      </c>
      <c r="B49" t="s">
        <v>2971</v>
      </c>
      <c r="C49" t="s">
        <v>4620</v>
      </c>
      <c r="D49">
        <v>2</v>
      </c>
      <c r="E49" s="9" t="s">
        <v>4805</v>
      </c>
      <c r="F49" t="s">
        <v>5419</v>
      </c>
      <c r="G49" s="9" t="s">
        <v>4806</v>
      </c>
      <c r="H49" t="s">
        <v>5420</v>
      </c>
      <c r="I49">
        <v>2</v>
      </c>
      <c r="J49" t="s">
        <v>5292</v>
      </c>
      <c r="K49" t="s">
        <v>2891</v>
      </c>
      <c r="L49" t="s">
        <v>1954</v>
      </c>
      <c r="M49" t="s">
        <v>2905</v>
      </c>
      <c r="N49" t="s">
        <v>2905</v>
      </c>
      <c r="O49" t="s">
        <v>4807</v>
      </c>
    </row>
    <row r="50" spans="1:15" ht="15" customHeight="1" x14ac:dyDescent="0.25">
      <c r="A50" t="s">
        <v>4808</v>
      </c>
      <c r="B50" t="s">
        <v>3807</v>
      </c>
      <c r="C50" t="s">
        <v>4689</v>
      </c>
      <c r="D50" t="s">
        <v>3805</v>
      </c>
      <c r="E50" s="9" t="s">
        <v>5421</v>
      </c>
      <c r="F50" t="s">
        <v>5397</v>
      </c>
      <c r="G50" s="9" t="s">
        <v>2905</v>
      </c>
      <c r="H50" t="s">
        <v>2905</v>
      </c>
      <c r="I50" t="s">
        <v>2905</v>
      </c>
      <c r="J50" t="s">
        <v>2905</v>
      </c>
      <c r="K50" t="s">
        <v>4808</v>
      </c>
      <c r="L50" t="s">
        <v>1954</v>
      </c>
      <c r="M50" t="s">
        <v>4306</v>
      </c>
      <c r="N50" t="s">
        <v>2905</v>
      </c>
      <c r="O50" t="s">
        <v>5359</v>
      </c>
    </row>
    <row r="51" spans="1:15" ht="15" customHeight="1" x14ac:dyDescent="0.25">
      <c r="A51" t="s">
        <v>4810</v>
      </c>
      <c r="B51" t="s">
        <v>2959</v>
      </c>
      <c r="C51" t="s">
        <v>4243</v>
      </c>
      <c r="D51">
        <v>1</v>
      </c>
      <c r="E51" s="9" t="s">
        <v>4811</v>
      </c>
      <c r="F51" t="s">
        <v>5422</v>
      </c>
      <c r="G51" s="9" t="s">
        <v>4812</v>
      </c>
      <c r="H51" t="s">
        <v>5423</v>
      </c>
      <c r="I51">
        <v>1</v>
      </c>
      <c r="J51" t="s">
        <v>2905</v>
      </c>
      <c r="K51" t="s">
        <v>4813</v>
      </c>
      <c r="L51" t="s">
        <v>1954</v>
      </c>
      <c r="M51" t="s">
        <v>2905</v>
      </c>
      <c r="N51" t="s">
        <v>2905</v>
      </c>
      <c r="O51" t="s">
        <v>5356</v>
      </c>
    </row>
    <row r="52" spans="1:15" ht="15" customHeight="1" x14ac:dyDescent="0.25">
      <c r="A52" t="s">
        <v>4025</v>
      </c>
      <c r="B52" t="s">
        <v>3807</v>
      </c>
      <c r="C52" t="s">
        <v>4768</v>
      </c>
      <c r="D52" t="s">
        <v>3805</v>
      </c>
      <c r="E52" t="s">
        <v>4814</v>
      </c>
      <c r="F52" t="s">
        <v>5358</v>
      </c>
      <c r="G52" t="s">
        <v>2905</v>
      </c>
      <c r="H52" t="s">
        <v>2905</v>
      </c>
      <c r="I52" t="s">
        <v>2905</v>
      </c>
      <c r="J52" t="s">
        <v>2905</v>
      </c>
      <c r="K52" t="s">
        <v>4025</v>
      </c>
      <c r="L52" t="s">
        <v>1954</v>
      </c>
      <c r="M52" t="s">
        <v>4347</v>
      </c>
      <c r="N52" t="s">
        <v>2905</v>
      </c>
      <c r="O52" t="s">
        <v>4770</v>
      </c>
    </row>
    <row r="53" spans="1:15" ht="15" customHeight="1" x14ac:dyDescent="0.25">
      <c r="A53" t="s">
        <v>5424</v>
      </c>
      <c r="B53" t="s">
        <v>2983</v>
      </c>
      <c r="C53" t="s">
        <v>4243</v>
      </c>
      <c r="D53">
        <v>1</v>
      </c>
      <c r="E53" t="s">
        <v>4816</v>
      </c>
      <c r="F53" t="s">
        <v>5425</v>
      </c>
      <c r="G53" t="s">
        <v>4817</v>
      </c>
      <c r="H53" t="s">
        <v>5426</v>
      </c>
      <c r="I53">
        <v>1</v>
      </c>
      <c r="J53" t="s">
        <v>2905</v>
      </c>
      <c r="K53" t="s">
        <v>5427</v>
      </c>
      <c r="L53" t="s">
        <v>1954</v>
      </c>
      <c r="M53" t="s">
        <v>2905</v>
      </c>
      <c r="N53" t="s">
        <v>2905</v>
      </c>
      <c r="O53" t="s">
        <v>5428</v>
      </c>
    </row>
    <row r="54" spans="1:15" ht="15" customHeight="1" x14ac:dyDescent="0.25">
      <c r="A54" t="s">
        <v>5429</v>
      </c>
      <c r="B54" t="s">
        <v>2983</v>
      </c>
      <c r="C54" t="s">
        <v>4243</v>
      </c>
      <c r="D54">
        <v>1</v>
      </c>
      <c r="E54" t="s">
        <v>4816</v>
      </c>
      <c r="F54" t="s">
        <v>5425</v>
      </c>
      <c r="G54" t="s">
        <v>4817</v>
      </c>
      <c r="H54" t="s">
        <v>5426</v>
      </c>
      <c r="I54">
        <v>1</v>
      </c>
      <c r="J54" t="s">
        <v>2905</v>
      </c>
      <c r="K54" t="s">
        <v>5430</v>
      </c>
      <c r="L54" t="s">
        <v>1954</v>
      </c>
      <c r="M54" t="s">
        <v>2905</v>
      </c>
      <c r="N54" t="s">
        <v>2905</v>
      </c>
      <c r="O54" t="s">
        <v>5428</v>
      </c>
    </row>
    <row r="55" spans="1:15" ht="15" customHeight="1" x14ac:dyDescent="0.25">
      <c r="A55" t="s">
        <v>4820</v>
      </c>
      <c r="B55" t="s">
        <v>2959</v>
      </c>
      <c r="C55" t="s">
        <v>4243</v>
      </c>
      <c r="D55">
        <v>0</v>
      </c>
      <c r="E55" s="9" t="s">
        <v>4821</v>
      </c>
      <c r="F55" t="s">
        <v>5431</v>
      </c>
      <c r="G55" s="9" t="s">
        <v>5432</v>
      </c>
      <c r="H55" t="s">
        <v>5433</v>
      </c>
      <c r="I55">
        <v>0</v>
      </c>
      <c r="J55" t="s">
        <v>2905</v>
      </c>
      <c r="K55" t="s">
        <v>4820</v>
      </c>
      <c r="L55" t="s">
        <v>1954</v>
      </c>
      <c r="M55" t="s">
        <v>2905</v>
      </c>
      <c r="N55" t="s">
        <v>2905</v>
      </c>
      <c r="O55" t="s">
        <v>4615</v>
      </c>
    </row>
    <row r="56" spans="1:15" ht="15" customHeight="1" x14ac:dyDescent="0.25">
      <c r="A56" t="s">
        <v>3438</v>
      </c>
      <c r="B56" t="s">
        <v>2971</v>
      </c>
      <c r="C56" t="s">
        <v>4620</v>
      </c>
      <c r="D56">
        <v>1</v>
      </c>
      <c r="E56" t="s">
        <v>5434</v>
      </c>
      <c r="F56" t="s">
        <v>5435</v>
      </c>
      <c r="G56" t="s">
        <v>5434</v>
      </c>
      <c r="H56" t="s">
        <v>5435</v>
      </c>
      <c r="I56">
        <v>1</v>
      </c>
      <c r="J56" t="s">
        <v>5292</v>
      </c>
      <c r="K56" t="s">
        <v>3438</v>
      </c>
      <c r="L56" t="s">
        <v>1330</v>
      </c>
      <c r="M56" t="s">
        <v>4309</v>
      </c>
      <c r="N56" t="s">
        <v>2905</v>
      </c>
      <c r="O56" t="s">
        <v>4653</v>
      </c>
    </row>
    <row r="57" spans="1:15" ht="15" customHeight="1" x14ac:dyDescent="0.25">
      <c r="A57" t="s">
        <v>4829</v>
      </c>
      <c r="B57" t="s">
        <v>2952</v>
      </c>
      <c r="C57" t="s">
        <v>4620</v>
      </c>
      <c r="D57">
        <v>1</v>
      </c>
      <c r="E57" t="s">
        <v>4830</v>
      </c>
      <c r="F57" t="s">
        <v>5436</v>
      </c>
      <c r="G57" t="s">
        <v>4831</v>
      </c>
      <c r="H57" t="s">
        <v>5437</v>
      </c>
      <c r="I57">
        <v>1</v>
      </c>
      <c r="J57" t="s">
        <v>5438</v>
      </c>
      <c r="K57" t="s">
        <v>4832</v>
      </c>
      <c r="L57" t="s">
        <v>1954</v>
      </c>
      <c r="M57" t="s">
        <v>4380</v>
      </c>
      <c r="N57" t="s">
        <v>2905</v>
      </c>
      <c r="O57" t="s">
        <v>4833</v>
      </c>
    </row>
    <row r="58" spans="1:15" ht="15" customHeight="1" x14ac:dyDescent="0.25">
      <c r="A58" t="s">
        <v>4834</v>
      </c>
      <c r="B58" t="s">
        <v>2971</v>
      </c>
      <c r="C58" t="s">
        <v>4243</v>
      </c>
      <c r="D58">
        <v>1</v>
      </c>
      <c r="E58" s="9" t="s">
        <v>4835</v>
      </c>
      <c r="F58" t="s">
        <v>5439</v>
      </c>
      <c r="G58" s="9" t="s">
        <v>4836</v>
      </c>
      <c r="H58" t="s">
        <v>5440</v>
      </c>
      <c r="I58">
        <v>1</v>
      </c>
      <c r="J58" t="s">
        <v>2905</v>
      </c>
      <c r="K58" t="s">
        <v>4834</v>
      </c>
      <c r="L58" t="s">
        <v>1954</v>
      </c>
      <c r="M58" t="s">
        <v>4380</v>
      </c>
      <c r="N58" t="s">
        <v>2905</v>
      </c>
      <c r="O58" t="s">
        <v>4837</v>
      </c>
    </row>
    <row r="59" spans="1:15" ht="15" customHeight="1" x14ac:dyDescent="0.25">
      <c r="A59" t="s">
        <v>4838</v>
      </c>
      <c r="B59" t="s">
        <v>2971</v>
      </c>
      <c r="C59" t="s">
        <v>4243</v>
      </c>
      <c r="D59">
        <v>1</v>
      </c>
      <c r="E59" s="9" t="s">
        <v>4839</v>
      </c>
      <c r="F59" t="s">
        <v>5441</v>
      </c>
      <c r="G59" s="9" t="s">
        <v>4839</v>
      </c>
      <c r="H59" t="s">
        <v>5441</v>
      </c>
      <c r="I59">
        <v>0</v>
      </c>
      <c r="J59" t="s">
        <v>2905</v>
      </c>
      <c r="K59" t="s">
        <v>4838</v>
      </c>
      <c r="L59" t="s">
        <v>1954</v>
      </c>
      <c r="M59" t="s">
        <v>4380</v>
      </c>
      <c r="N59" t="s">
        <v>2905</v>
      </c>
      <c r="O59" t="s">
        <v>4840</v>
      </c>
    </row>
    <row r="60" spans="1:15" ht="15" customHeight="1" x14ac:dyDescent="0.25">
      <c r="A60" t="s">
        <v>4841</v>
      </c>
      <c r="B60" t="s">
        <v>2959</v>
      </c>
      <c r="C60" t="s">
        <v>4243</v>
      </c>
      <c r="D60">
        <v>1</v>
      </c>
      <c r="E60" s="9" t="s">
        <v>5442</v>
      </c>
      <c r="F60" t="s">
        <v>5443</v>
      </c>
      <c r="G60" s="9" t="s">
        <v>5444</v>
      </c>
      <c r="H60" t="s">
        <v>5445</v>
      </c>
      <c r="I60">
        <v>1</v>
      </c>
      <c r="J60" t="s">
        <v>2905</v>
      </c>
      <c r="K60" t="s">
        <v>4844</v>
      </c>
      <c r="L60" t="s">
        <v>1954</v>
      </c>
      <c r="M60" t="s">
        <v>2905</v>
      </c>
      <c r="N60" t="s">
        <v>2905</v>
      </c>
      <c r="O60" t="s">
        <v>4615</v>
      </c>
    </row>
    <row r="61" spans="1:15" ht="15" customHeight="1" x14ac:dyDescent="0.25">
      <c r="A61" t="s">
        <v>4845</v>
      </c>
      <c r="B61" t="s">
        <v>2952</v>
      </c>
      <c r="C61" t="s">
        <v>4243</v>
      </c>
      <c r="D61" t="s">
        <v>4846</v>
      </c>
      <c r="E61" s="9" t="s">
        <v>5446</v>
      </c>
      <c r="F61" t="s">
        <v>5447</v>
      </c>
      <c r="G61" s="9" t="s">
        <v>5448</v>
      </c>
      <c r="H61" t="s">
        <v>5449</v>
      </c>
      <c r="I61" t="s">
        <v>2905</v>
      </c>
      <c r="J61" t="s">
        <v>2905</v>
      </c>
      <c r="K61" t="s">
        <v>4845</v>
      </c>
      <c r="L61" t="s">
        <v>1954</v>
      </c>
      <c r="M61" t="s">
        <v>4380</v>
      </c>
      <c r="N61" t="s">
        <v>2905</v>
      </c>
      <c r="O61" t="s">
        <v>4849</v>
      </c>
    </row>
    <row r="62" spans="1:15" ht="15" customHeight="1" x14ac:dyDescent="0.25">
      <c r="A62" t="s">
        <v>4247</v>
      </c>
      <c r="B62" t="s">
        <v>2952</v>
      </c>
      <c r="C62" t="s">
        <v>4243</v>
      </c>
      <c r="D62">
        <v>1</v>
      </c>
      <c r="E62" s="9" t="s">
        <v>4850</v>
      </c>
      <c r="F62" t="s">
        <v>5450</v>
      </c>
      <c r="G62" s="9" t="s">
        <v>4851</v>
      </c>
      <c r="H62" t="s">
        <v>5451</v>
      </c>
      <c r="I62">
        <v>1</v>
      </c>
      <c r="J62" t="s">
        <v>2905</v>
      </c>
      <c r="K62" t="s">
        <v>4249</v>
      </c>
      <c r="L62" t="s">
        <v>1954</v>
      </c>
      <c r="M62" t="s">
        <v>2905</v>
      </c>
      <c r="N62" t="s">
        <v>2905</v>
      </c>
      <c r="O62" t="s">
        <v>4633</v>
      </c>
    </row>
    <row r="63" spans="1:15" ht="15" customHeight="1" x14ac:dyDescent="0.25">
      <c r="A63" t="s">
        <v>4853</v>
      </c>
      <c r="B63" t="s">
        <v>3807</v>
      </c>
      <c r="C63" t="s">
        <v>4768</v>
      </c>
      <c r="D63" t="s">
        <v>3805</v>
      </c>
      <c r="E63" t="s">
        <v>4854</v>
      </c>
      <c r="F63" t="s">
        <v>5452</v>
      </c>
      <c r="G63" t="s">
        <v>2905</v>
      </c>
      <c r="H63" t="s">
        <v>2905</v>
      </c>
      <c r="I63" t="s">
        <v>2905</v>
      </c>
      <c r="J63" t="s">
        <v>2905</v>
      </c>
      <c r="K63" t="s">
        <v>4853</v>
      </c>
      <c r="L63" t="s">
        <v>1954</v>
      </c>
      <c r="M63" t="s">
        <v>4347</v>
      </c>
      <c r="N63" t="s">
        <v>2905</v>
      </c>
      <c r="O63" t="s">
        <v>4770</v>
      </c>
    </row>
    <row r="64" spans="1:15" ht="15" customHeight="1" x14ac:dyDescent="0.25">
      <c r="A64" t="s">
        <v>4855</v>
      </c>
      <c r="B64" t="s">
        <v>2971</v>
      </c>
      <c r="C64" t="s">
        <v>4620</v>
      </c>
      <c r="D64">
        <v>1</v>
      </c>
      <c r="E64" s="9" t="s">
        <v>5453</v>
      </c>
      <c r="F64" t="s">
        <v>5454</v>
      </c>
      <c r="G64" s="9" t="s">
        <v>5455</v>
      </c>
      <c r="H64" t="s">
        <v>5456</v>
      </c>
      <c r="I64">
        <v>1</v>
      </c>
      <c r="J64" t="s">
        <v>5292</v>
      </c>
      <c r="K64" t="s">
        <v>4855</v>
      </c>
      <c r="L64" t="s">
        <v>1954</v>
      </c>
      <c r="M64" t="s">
        <v>2905</v>
      </c>
      <c r="N64" t="s">
        <v>2905</v>
      </c>
      <c r="O64" t="s">
        <v>4858</v>
      </c>
    </row>
    <row r="65" spans="1:15" ht="15" customHeight="1" x14ac:dyDescent="0.25">
      <c r="A65" t="s">
        <v>4863</v>
      </c>
      <c r="B65" t="s">
        <v>2971</v>
      </c>
      <c r="C65" t="s">
        <v>4243</v>
      </c>
      <c r="D65">
        <v>1</v>
      </c>
      <c r="E65" s="9" t="s">
        <v>4864</v>
      </c>
      <c r="F65" t="s">
        <v>5457</v>
      </c>
      <c r="G65" s="9" t="s">
        <v>4865</v>
      </c>
      <c r="H65" t="s">
        <v>5458</v>
      </c>
      <c r="I65">
        <v>1</v>
      </c>
      <c r="J65" t="s">
        <v>2905</v>
      </c>
      <c r="K65" t="s">
        <v>4866</v>
      </c>
      <c r="L65" t="s">
        <v>1954</v>
      </c>
      <c r="M65" t="s">
        <v>2905</v>
      </c>
      <c r="N65" t="s">
        <v>2905</v>
      </c>
      <c r="O65" t="s">
        <v>4661</v>
      </c>
    </row>
    <row r="66" spans="1:15" ht="15" customHeight="1" x14ac:dyDescent="0.25">
      <c r="A66" t="s">
        <v>4867</v>
      </c>
      <c r="B66" t="s">
        <v>2971</v>
      </c>
      <c r="C66" t="s">
        <v>4620</v>
      </c>
      <c r="D66">
        <v>0</v>
      </c>
      <c r="E66" s="9" t="s">
        <v>5459</v>
      </c>
      <c r="F66" t="s">
        <v>5460</v>
      </c>
      <c r="G66" s="9" t="s">
        <v>5461</v>
      </c>
      <c r="H66" t="s">
        <v>5462</v>
      </c>
      <c r="I66">
        <v>0</v>
      </c>
      <c r="J66" t="s">
        <v>5350</v>
      </c>
      <c r="K66" t="s">
        <v>4870</v>
      </c>
      <c r="L66" t="s">
        <v>1954</v>
      </c>
      <c r="M66" t="s">
        <v>4380</v>
      </c>
      <c r="N66" t="s">
        <v>2905</v>
      </c>
      <c r="O66" t="s">
        <v>4675</v>
      </c>
    </row>
    <row r="67" spans="1:15" x14ac:dyDescent="0.25">
      <c r="A67" t="s">
        <v>4871</v>
      </c>
      <c r="B67" t="s">
        <v>2971</v>
      </c>
      <c r="C67" t="s">
        <v>4243</v>
      </c>
      <c r="D67">
        <v>2</v>
      </c>
      <c r="E67" s="9" t="s">
        <v>4872</v>
      </c>
      <c r="F67" t="s">
        <v>5463</v>
      </c>
      <c r="G67" s="9" t="s">
        <v>4872</v>
      </c>
      <c r="H67" t="s">
        <v>5463</v>
      </c>
      <c r="I67">
        <v>1</v>
      </c>
      <c r="J67" t="s">
        <v>2905</v>
      </c>
      <c r="K67" t="s">
        <v>4871</v>
      </c>
      <c r="L67" t="s">
        <v>1954</v>
      </c>
      <c r="M67" t="s">
        <v>2905</v>
      </c>
      <c r="N67" t="s">
        <v>2905</v>
      </c>
      <c r="O67" t="s">
        <v>4637</v>
      </c>
    </row>
    <row r="68" spans="1:15" x14ac:dyDescent="0.25">
      <c r="A68" t="s">
        <v>4079</v>
      </c>
      <c r="B68" t="s">
        <v>2952</v>
      </c>
      <c r="C68" t="s">
        <v>3453</v>
      </c>
      <c r="D68">
        <v>2</v>
      </c>
      <c r="E68" s="9" t="s">
        <v>5464</v>
      </c>
      <c r="F68" t="s">
        <v>5465</v>
      </c>
      <c r="G68" s="9" t="s">
        <v>5464</v>
      </c>
      <c r="H68" t="s">
        <v>5465</v>
      </c>
      <c r="I68">
        <v>1</v>
      </c>
      <c r="J68" t="s">
        <v>2905</v>
      </c>
      <c r="K68" t="s">
        <v>4079</v>
      </c>
      <c r="L68" t="s">
        <v>1954</v>
      </c>
      <c r="M68" t="s">
        <v>2905</v>
      </c>
      <c r="N68" t="s">
        <v>2905</v>
      </c>
      <c r="O68" t="s">
        <v>5466</v>
      </c>
    </row>
    <row r="69" spans="1:15" x14ac:dyDescent="0.25">
      <c r="A69" t="s">
        <v>4874</v>
      </c>
      <c r="B69" t="s">
        <v>2971</v>
      </c>
      <c r="C69" t="s">
        <v>4243</v>
      </c>
      <c r="D69">
        <v>0</v>
      </c>
      <c r="E69" s="9" t="s">
        <v>4875</v>
      </c>
      <c r="F69" t="s">
        <v>5467</v>
      </c>
      <c r="G69" s="9" t="s">
        <v>4876</v>
      </c>
      <c r="H69" t="s">
        <v>5468</v>
      </c>
      <c r="I69">
        <v>0</v>
      </c>
      <c r="J69" t="s">
        <v>2905</v>
      </c>
      <c r="K69" t="s">
        <v>4877</v>
      </c>
      <c r="L69" t="s">
        <v>1954</v>
      </c>
      <c r="M69" t="s">
        <v>2905</v>
      </c>
      <c r="N69" t="s">
        <v>2905</v>
      </c>
      <c r="O69" t="s">
        <v>4878</v>
      </c>
    </row>
    <row r="70" spans="1:15" x14ac:dyDescent="0.25">
      <c r="A70" t="s">
        <v>4879</v>
      </c>
      <c r="B70" t="s">
        <v>2971</v>
      </c>
      <c r="C70" t="s">
        <v>4620</v>
      </c>
      <c r="D70">
        <v>3</v>
      </c>
      <c r="E70" s="9" t="s">
        <v>5469</v>
      </c>
      <c r="F70" t="s">
        <v>5470</v>
      </c>
      <c r="G70" s="9" t="s">
        <v>5471</v>
      </c>
      <c r="H70" t="s">
        <v>5472</v>
      </c>
      <c r="I70">
        <v>3</v>
      </c>
      <c r="J70" t="s">
        <v>5300</v>
      </c>
      <c r="K70" t="s">
        <v>4879</v>
      </c>
      <c r="L70" t="s">
        <v>1954</v>
      </c>
      <c r="M70" t="s">
        <v>2905</v>
      </c>
      <c r="N70" t="s">
        <v>2905</v>
      </c>
      <c r="O70" t="s">
        <v>4882</v>
      </c>
    </row>
    <row r="71" spans="1:15" x14ac:dyDescent="0.25">
      <c r="A71" t="s">
        <v>4081</v>
      </c>
      <c r="B71" t="s">
        <v>2971</v>
      </c>
      <c r="C71" t="s">
        <v>3453</v>
      </c>
      <c r="D71">
        <v>1</v>
      </c>
      <c r="E71" s="9" t="s">
        <v>5473</v>
      </c>
      <c r="F71" t="s">
        <v>5474</v>
      </c>
      <c r="G71" s="9" t="s">
        <v>5475</v>
      </c>
      <c r="H71" t="s">
        <v>5476</v>
      </c>
      <c r="I71">
        <v>1</v>
      </c>
      <c r="J71" t="s">
        <v>2905</v>
      </c>
      <c r="K71" t="s">
        <v>4081</v>
      </c>
      <c r="L71" t="s">
        <v>1954</v>
      </c>
      <c r="M71" t="s">
        <v>2905</v>
      </c>
      <c r="N71" t="s">
        <v>2905</v>
      </c>
      <c r="O71" t="s">
        <v>4885</v>
      </c>
    </row>
    <row r="72" spans="1:15" x14ac:dyDescent="0.25">
      <c r="A72" t="s">
        <v>4886</v>
      </c>
      <c r="B72" t="s">
        <v>2952</v>
      </c>
      <c r="C72" t="s">
        <v>4243</v>
      </c>
      <c r="D72">
        <v>1</v>
      </c>
      <c r="E72" s="9" t="s">
        <v>4887</v>
      </c>
      <c r="F72" t="s">
        <v>5477</v>
      </c>
      <c r="G72" s="9" t="s">
        <v>4887</v>
      </c>
      <c r="H72" t="s">
        <v>5477</v>
      </c>
      <c r="I72">
        <v>0</v>
      </c>
      <c r="J72" t="s">
        <v>2905</v>
      </c>
      <c r="K72" t="s">
        <v>4886</v>
      </c>
      <c r="L72" t="s">
        <v>1954</v>
      </c>
      <c r="M72" t="s">
        <v>4380</v>
      </c>
      <c r="N72" t="s">
        <v>2905</v>
      </c>
      <c r="O72" t="s">
        <v>4888</v>
      </c>
    </row>
    <row r="73" spans="1:15" x14ac:dyDescent="0.25">
      <c r="A73" t="s">
        <v>4889</v>
      </c>
      <c r="B73" t="s">
        <v>2971</v>
      </c>
      <c r="C73" t="s">
        <v>4243</v>
      </c>
      <c r="D73">
        <v>1</v>
      </c>
      <c r="E73" s="9" t="s">
        <v>5478</v>
      </c>
      <c r="F73" t="s">
        <v>5479</v>
      </c>
      <c r="G73" s="9" t="s">
        <v>5480</v>
      </c>
      <c r="H73" t="s">
        <v>5481</v>
      </c>
      <c r="I73">
        <v>1</v>
      </c>
      <c r="J73" t="s">
        <v>2905</v>
      </c>
      <c r="K73" t="s">
        <v>4889</v>
      </c>
      <c r="L73" t="s">
        <v>1954</v>
      </c>
      <c r="M73" t="s">
        <v>2905</v>
      </c>
      <c r="N73" t="s">
        <v>2905</v>
      </c>
      <c r="O73" t="s">
        <v>4892</v>
      </c>
    </row>
    <row r="74" spans="1:15" x14ac:dyDescent="0.25">
      <c r="A74" t="s">
        <v>4893</v>
      </c>
      <c r="B74" t="s">
        <v>2952</v>
      </c>
      <c r="C74" t="s">
        <v>4620</v>
      </c>
      <c r="D74">
        <v>1</v>
      </c>
      <c r="E74" s="9" t="s">
        <v>5482</v>
      </c>
      <c r="F74" t="s">
        <v>5483</v>
      </c>
      <c r="G74" s="9" t="s">
        <v>5484</v>
      </c>
      <c r="H74" t="s">
        <v>5485</v>
      </c>
      <c r="I74" t="s">
        <v>2905</v>
      </c>
      <c r="J74" t="s">
        <v>5300</v>
      </c>
      <c r="K74" t="s">
        <v>4893</v>
      </c>
      <c r="L74" t="s">
        <v>1954</v>
      </c>
      <c r="M74" t="s">
        <v>4380</v>
      </c>
      <c r="N74" t="s">
        <v>2905</v>
      </c>
      <c r="O74" t="s">
        <v>4896</v>
      </c>
    </row>
    <row r="75" spans="1:15" x14ac:dyDescent="0.25">
      <c r="A75" t="s">
        <v>4089</v>
      </c>
      <c r="B75" t="s">
        <v>2971</v>
      </c>
      <c r="C75" t="s">
        <v>3453</v>
      </c>
      <c r="D75">
        <v>1</v>
      </c>
      <c r="E75" s="9" t="s">
        <v>5486</v>
      </c>
      <c r="F75" t="s">
        <v>5487</v>
      </c>
      <c r="G75" s="9" t="s">
        <v>5488</v>
      </c>
      <c r="H75" t="s">
        <v>5489</v>
      </c>
      <c r="I75">
        <v>1</v>
      </c>
      <c r="J75" t="s">
        <v>2905</v>
      </c>
      <c r="K75" t="s">
        <v>4091</v>
      </c>
      <c r="L75" t="s">
        <v>1954</v>
      </c>
      <c r="M75" t="s">
        <v>2905</v>
      </c>
      <c r="N75" t="s">
        <v>2905</v>
      </c>
      <c r="O75" t="s">
        <v>4899</v>
      </c>
    </row>
    <row r="76" spans="1:15" x14ac:dyDescent="0.25">
      <c r="A76" t="s">
        <v>4900</v>
      </c>
      <c r="B76" t="s">
        <v>2952</v>
      </c>
      <c r="C76" t="s">
        <v>4620</v>
      </c>
      <c r="D76">
        <v>2</v>
      </c>
      <c r="E76" s="9" t="s">
        <v>5490</v>
      </c>
      <c r="F76" t="s">
        <v>5491</v>
      </c>
      <c r="G76" s="9" t="s">
        <v>5492</v>
      </c>
      <c r="H76" t="s">
        <v>5493</v>
      </c>
      <c r="I76">
        <v>2</v>
      </c>
      <c r="J76" t="s">
        <v>5317</v>
      </c>
      <c r="K76" t="s">
        <v>4903</v>
      </c>
      <c r="L76" t="s">
        <v>1954</v>
      </c>
      <c r="M76" t="s">
        <v>4380</v>
      </c>
      <c r="N76" t="s">
        <v>4277</v>
      </c>
      <c r="O76" t="s">
        <v>4904</v>
      </c>
    </row>
    <row r="77" spans="1:15" x14ac:dyDescent="0.25">
      <c r="A77" t="s">
        <v>4907</v>
      </c>
      <c r="B77" t="s">
        <v>2971</v>
      </c>
      <c r="C77" t="s">
        <v>4620</v>
      </c>
      <c r="D77">
        <v>1</v>
      </c>
      <c r="E77" s="9" t="s">
        <v>5494</v>
      </c>
      <c r="F77" t="s">
        <v>5495</v>
      </c>
      <c r="G77" s="9" t="s">
        <v>5496</v>
      </c>
      <c r="H77" t="s">
        <v>5497</v>
      </c>
      <c r="I77" t="s">
        <v>2905</v>
      </c>
      <c r="J77" t="s">
        <v>5292</v>
      </c>
      <c r="K77" t="s">
        <v>4907</v>
      </c>
      <c r="L77" t="s">
        <v>1954</v>
      </c>
      <c r="M77" t="s">
        <v>2905</v>
      </c>
      <c r="N77" t="s">
        <v>2905</v>
      </c>
      <c r="O77" t="s">
        <v>5498</v>
      </c>
    </row>
    <row r="78" spans="1:15" x14ac:dyDescent="0.25">
      <c r="A78" t="s">
        <v>4092</v>
      </c>
      <c r="B78" t="s">
        <v>2971</v>
      </c>
      <c r="C78" t="s">
        <v>3453</v>
      </c>
      <c r="D78">
        <v>1</v>
      </c>
      <c r="E78" s="9" t="s">
        <v>5499</v>
      </c>
      <c r="F78" t="s">
        <v>5500</v>
      </c>
      <c r="G78" s="9" t="s">
        <v>5501</v>
      </c>
      <c r="H78" t="s">
        <v>5502</v>
      </c>
      <c r="I78">
        <v>1</v>
      </c>
      <c r="J78" t="s">
        <v>2905</v>
      </c>
      <c r="K78" t="s">
        <v>4094</v>
      </c>
      <c r="L78" t="s">
        <v>1954</v>
      </c>
      <c r="M78" t="s">
        <v>2905</v>
      </c>
      <c r="N78" t="s">
        <v>2905</v>
      </c>
      <c r="O78" t="s">
        <v>4912</v>
      </c>
    </row>
    <row r="79" spans="1:15" x14ac:dyDescent="0.25">
      <c r="A79" t="s">
        <v>4095</v>
      </c>
      <c r="B79" t="s">
        <v>2971</v>
      </c>
      <c r="C79" t="s">
        <v>4243</v>
      </c>
      <c r="D79">
        <v>2</v>
      </c>
      <c r="E79" s="9" t="s">
        <v>5503</v>
      </c>
      <c r="F79" t="s">
        <v>5504</v>
      </c>
      <c r="G79" s="9" t="s">
        <v>5505</v>
      </c>
      <c r="H79" t="s">
        <v>5506</v>
      </c>
      <c r="I79">
        <v>2</v>
      </c>
      <c r="J79" t="s">
        <v>2905</v>
      </c>
      <c r="K79" t="s">
        <v>4097</v>
      </c>
      <c r="L79" t="s">
        <v>1954</v>
      </c>
      <c r="M79" t="s">
        <v>2905</v>
      </c>
      <c r="N79" t="s">
        <v>4277</v>
      </c>
      <c r="O79" t="s">
        <v>4637</v>
      </c>
    </row>
    <row r="80" spans="1:15" x14ac:dyDescent="0.25">
      <c r="A80" t="s">
        <v>4915</v>
      </c>
      <c r="B80" t="s">
        <v>2971</v>
      </c>
      <c r="C80" t="s">
        <v>4620</v>
      </c>
      <c r="D80">
        <v>1</v>
      </c>
      <c r="E80" s="9" t="s">
        <v>5507</v>
      </c>
      <c r="F80" t="s">
        <v>5508</v>
      </c>
      <c r="G80" s="9" t="s">
        <v>5509</v>
      </c>
      <c r="H80" t="s">
        <v>5510</v>
      </c>
      <c r="I80">
        <v>1</v>
      </c>
      <c r="J80" t="s">
        <v>5317</v>
      </c>
      <c r="K80" t="s">
        <v>4915</v>
      </c>
      <c r="L80" t="s">
        <v>1954</v>
      </c>
      <c r="M80" t="s">
        <v>2905</v>
      </c>
      <c r="N80" t="s">
        <v>2905</v>
      </c>
      <c r="O80" t="s">
        <v>5498</v>
      </c>
    </row>
    <row r="81" spans="1:15" x14ac:dyDescent="0.25">
      <c r="A81" t="s">
        <v>4918</v>
      </c>
      <c r="B81" t="s">
        <v>2959</v>
      </c>
      <c r="C81" t="s">
        <v>4243</v>
      </c>
      <c r="D81">
        <v>0</v>
      </c>
      <c r="E81" s="9" t="s">
        <v>5511</v>
      </c>
      <c r="F81" t="s">
        <v>5512</v>
      </c>
      <c r="G81" s="9" t="s">
        <v>5513</v>
      </c>
      <c r="H81" t="s">
        <v>5514</v>
      </c>
      <c r="I81" t="s">
        <v>2905</v>
      </c>
      <c r="J81" t="s">
        <v>2905</v>
      </c>
      <c r="K81" t="s">
        <v>4918</v>
      </c>
      <c r="L81" t="s">
        <v>1954</v>
      </c>
      <c r="M81" t="s">
        <v>2905</v>
      </c>
      <c r="N81" t="s">
        <v>2905</v>
      </c>
      <c r="O81" t="s">
        <v>4959</v>
      </c>
    </row>
    <row r="82" spans="1:15" x14ac:dyDescent="0.25">
      <c r="A82" t="s">
        <v>4921</v>
      </c>
      <c r="B82" t="s">
        <v>2959</v>
      </c>
      <c r="C82" t="s">
        <v>4620</v>
      </c>
      <c r="D82">
        <v>1</v>
      </c>
      <c r="E82" s="9" t="s">
        <v>5515</v>
      </c>
      <c r="F82" t="s">
        <v>5516</v>
      </c>
      <c r="G82" s="9" t="s">
        <v>5517</v>
      </c>
      <c r="H82" t="s">
        <v>5518</v>
      </c>
      <c r="I82" t="s">
        <v>2905</v>
      </c>
      <c r="J82" t="s">
        <v>5292</v>
      </c>
      <c r="K82" t="s">
        <v>4924</v>
      </c>
      <c r="L82" t="s">
        <v>1954</v>
      </c>
      <c r="M82" t="s">
        <v>2905</v>
      </c>
      <c r="N82" t="s">
        <v>2905</v>
      </c>
      <c r="O82" t="s">
        <v>4925</v>
      </c>
    </row>
    <row r="83" spans="1:15" x14ac:dyDescent="0.25">
      <c r="A83" t="s">
        <v>4929</v>
      </c>
      <c r="B83" t="s">
        <v>2971</v>
      </c>
      <c r="C83" t="s">
        <v>4243</v>
      </c>
      <c r="D83">
        <v>1</v>
      </c>
      <c r="E83" s="9" t="s">
        <v>5519</v>
      </c>
      <c r="F83" t="s">
        <v>5351</v>
      </c>
      <c r="G83" s="9" t="s">
        <v>5520</v>
      </c>
      <c r="H83" t="s">
        <v>5352</v>
      </c>
      <c r="I83" t="s">
        <v>2905</v>
      </c>
      <c r="J83" t="s">
        <v>2905</v>
      </c>
      <c r="K83" t="s">
        <v>4932</v>
      </c>
      <c r="L83" t="s">
        <v>1954</v>
      </c>
      <c r="M83" t="s">
        <v>4306</v>
      </c>
      <c r="N83" t="s">
        <v>2905</v>
      </c>
      <c r="O83" t="s">
        <v>4637</v>
      </c>
    </row>
    <row r="84" spans="1:15" x14ac:dyDescent="0.25">
      <c r="A84" t="s">
        <v>4934</v>
      </c>
      <c r="B84" t="s">
        <v>2952</v>
      </c>
      <c r="C84" t="s">
        <v>4620</v>
      </c>
      <c r="D84">
        <v>1</v>
      </c>
      <c r="E84" s="9" t="s">
        <v>5521</v>
      </c>
      <c r="F84" t="s">
        <v>5522</v>
      </c>
      <c r="G84" s="9" t="s">
        <v>5523</v>
      </c>
      <c r="H84" t="s">
        <v>5524</v>
      </c>
      <c r="I84" t="s">
        <v>2905</v>
      </c>
      <c r="J84" t="s">
        <v>5317</v>
      </c>
      <c r="K84" t="s">
        <v>4937</v>
      </c>
      <c r="L84" t="s">
        <v>1954</v>
      </c>
      <c r="M84" t="s">
        <v>2905</v>
      </c>
      <c r="N84" t="s">
        <v>2905</v>
      </c>
      <c r="O84" t="s">
        <v>4675</v>
      </c>
    </row>
    <row r="85" spans="1:15" x14ac:dyDescent="0.25">
      <c r="A85" t="s">
        <v>4938</v>
      </c>
      <c r="B85" t="s">
        <v>2959</v>
      </c>
      <c r="C85" t="s">
        <v>4620</v>
      </c>
      <c r="D85">
        <v>0</v>
      </c>
      <c r="E85" s="9" t="s">
        <v>5525</v>
      </c>
      <c r="F85" t="s">
        <v>5526</v>
      </c>
      <c r="G85" s="9" t="s">
        <v>5527</v>
      </c>
      <c r="H85" t="s">
        <v>5528</v>
      </c>
      <c r="I85">
        <v>0</v>
      </c>
      <c r="J85" t="s">
        <v>5384</v>
      </c>
      <c r="K85" t="s">
        <v>4941</v>
      </c>
      <c r="L85" t="s">
        <v>1954</v>
      </c>
      <c r="M85" t="s">
        <v>2905</v>
      </c>
      <c r="N85" t="s">
        <v>2905</v>
      </c>
      <c r="O85" t="s">
        <v>4666</v>
      </c>
    </row>
    <row r="86" spans="1:15" x14ac:dyDescent="0.25">
      <c r="A86" t="s">
        <v>4942</v>
      </c>
      <c r="B86" t="s">
        <v>2952</v>
      </c>
      <c r="C86" t="s">
        <v>4620</v>
      </c>
      <c r="D86">
        <v>0</v>
      </c>
      <c r="E86" s="9" t="s">
        <v>5529</v>
      </c>
      <c r="F86" t="s">
        <v>5530</v>
      </c>
      <c r="G86" s="9" t="s">
        <v>5531</v>
      </c>
      <c r="H86" t="s">
        <v>5532</v>
      </c>
      <c r="I86">
        <v>0</v>
      </c>
      <c r="J86" t="s">
        <v>5533</v>
      </c>
      <c r="K86" t="s">
        <v>4945</v>
      </c>
      <c r="L86" t="s">
        <v>1954</v>
      </c>
      <c r="M86" t="s">
        <v>2905</v>
      </c>
      <c r="N86" t="s">
        <v>2905</v>
      </c>
      <c r="O86" t="s">
        <v>4796</v>
      </c>
    </row>
    <row r="87" spans="1:15" x14ac:dyDescent="0.25">
      <c r="A87" t="s">
        <v>3993</v>
      </c>
      <c r="B87" t="s">
        <v>3807</v>
      </c>
      <c r="C87" t="s">
        <v>4768</v>
      </c>
      <c r="D87" t="s">
        <v>3805</v>
      </c>
      <c r="E87" t="s">
        <v>5534</v>
      </c>
      <c r="F87" t="s">
        <v>5397</v>
      </c>
      <c r="G87" t="s">
        <v>2905</v>
      </c>
      <c r="H87" t="s">
        <v>2905</v>
      </c>
      <c r="I87" t="s">
        <v>2905</v>
      </c>
      <c r="J87" t="s">
        <v>2905</v>
      </c>
      <c r="K87" t="s">
        <v>3993</v>
      </c>
      <c r="L87" t="s">
        <v>1958</v>
      </c>
      <c r="M87" t="s">
        <v>5535</v>
      </c>
      <c r="N87" t="s">
        <v>2905</v>
      </c>
    </row>
    <row r="88" spans="1:15" x14ac:dyDescent="0.25">
      <c r="A88" t="s">
        <v>4009</v>
      </c>
      <c r="B88" t="s">
        <v>3807</v>
      </c>
      <c r="C88" t="s">
        <v>4768</v>
      </c>
      <c r="D88" t="s">
        <v>3805</v>
      </c>
      <c r="E88" t="s">
        <v>5536</v>
      </c>
      <c r="F88" t="s">
        <v>5537</v>
      </c>
      <c r="G88" t="s">
        <v>2905</v>
      </c>
      <c r="H88" t="s">
        <v>2905</v>
      </c>
      <c r="I88" t="s">
        <v>2905</v>
      </c>
      <c r="J88" t="s">
        <v>2905</v>
      </c>
      <c r="K88" t="s">
        <v>4009</v>
      </c>
      <c r="L88" t="s">
        <v>1958</v>
      </c>
      <c r="M88" t="s">
        <v>4347</v>
      </c>
      <c r="N88" t="s">
        <v>2905</v>
      </c>
      <c r="O88" t="s">
        <v>4770</v>
      </c>
    </row>
    <row r="89" spans="1:15" x14ac:dyDescent="0.25">
      <c r="A89" t="s">
        <v>4947</v>
      </c>
      <c r="B89" t="s">
        <v>2959</v>
      </c>
      <c r="C89" t="s">
        <v>4243</v>
      </c>
      <c r="D89">
        <v>1</v>
      </c>
      <c r="E89" s="9" t="s">
        <v>4948</v>
      </c>
      <c r="F89" t="s">
        <v>5538</v>
      </c>
      <c r="G89" s="9" t="s">
        <v>4948</v>
      </c>
      <c r="H89" t="s">
        <v>5538</v>
      </c>
      <c r="I89">
        <v>0</v>
      </c>
      <c r="J89" t="s">
        <v>2905</v>
      </c>
      <c r="K89" t="s">
        <v>4947</v>
      </c>
      <c r="L89" t="s">
        <v>1954</v>
      </c>
      <c r="M89" t="s">
        <v>2905</v>
      </c>
      <c r="N89" t="s">
        <v>2905</v>
      </c>
      <c r="O89" t="s">
        <v>4904</v>
      </c>
    </row>
    <row r="90" spans="1:15" x14ac:dyDescent="0.25">
      <c r="A90" t="s">
        <v>4949</v>
      </c>
      <c r="B90" t="s">
        <v>2959</v>
      </c>
      <c r="C90" t="s">
        <v>4620</v>
      </c>
      <c r="D90">
        <v>1</v>
      </c>
      <c r="E90" s="9" t="s">
        <v>4950</v>
      </c>
      <c r="F90" t="s">
        <v>5539</v>
      </c>
      <c r="G90" s="9" t="s">
        <v>4951</v>
      </c>
      <c r="H90" t="s">
        <v>5540</v>
      </c>
      <c r="I90">
        <v>1</v>
      </c>
      <c r="J90" t="s">
        <v>5300</v>
      </c>
      <c r="K90" t="s">
        <v>4949</v>
      </c>
      <c r="L90" t="s">
        <v>1954</v>
      </c>
      <c r="M90" t="s">
        <v>2905</v>
      </c>
      <c r="N90" t="s">
        <v>2905</v>
      </c>
      <c r="O90" t="s">
        <v>4633</v>
      </c>
    </row>
    <row r="91" spans="1:15" x14ac:dyDescent="0.25">
      <c r="A91" t="s">
        <v>4955</v>
      </c>
      <c r="B91" t="s">
        <v>2959</v>
      </c>
      <c r="C91" t="s">
        <v>4620</v>
      </c>
      <c r="D91">
        <v>2</v>
      </c>
      <c r="E91" t="s">
        <v>4956</v>
      </c>
      <c r="F91" t="s">
        <v>5541</v>
      </c>
      <c r="G91" t="s">
        <v>4957</v>
      </c>
      <c r="H91" t="s">
        <v>5542</v>
      </c>
      <c r="I91">
        <v>2</v>
      </c>
      <c r="J91" t="s">
        <v>5323</v>
      </c>
      <c r="K91" t="s">
        <v>4958</v>
      </c>
      <c r="L91" t="s">
        <v>1954</v>
      </c>
      <c r="M91" t="s">
        <v>2905</v>
      </c>
      <c r="N91" t="s">
        <v>2905</v>
      </c>
      <c r="O91" t="s">
        <v>4959</v>
      </c>
    </row>
    <row r="92" spans="1:15" x14ac:dyDescent="0.25">
      <c r="A92" t="s">
        <v>4960</v>
      </c>
      <c r="B92" t="s">
        <v>2971</v>
      </c>
      <c r="C92" t="s">
        <v>4620</v>
      </c>
      <c r="D92">
        <v>1</v>
      </c>
      <c r="E92" s="9" t="s">
        <v>5543</v>
      </c>
      <c r="F92" t="s">
        <v>5544</v>
      </c>
      <c r="G92" s="9" t="s">
        <v>5545</v>
      </c>
      <c r="H92" t="s">
        <v>5546</v>
      </c>
      <c r="I92">
        <v>1</v>
      </c>
      <c r="J92" t="s">
        <v>5300</v>
      </c>
      <c r="K92" t="s">
        <v>4963</v>
      </c>
      <c r="L92" t="s">
        <v>1954</v>
      </c>
      <c r="M92" t="s">
        <v>2905</v>
      </c>
      <c r="N92" t="s">
        <v>2905</v>
      </c>
      <c r="O92" t="s">
        <v>5547</v>
      </c>
    </row>
    <row r="93" spans="1:15" x14ac:dyDescent="0.25">
      <c r="A93" t="s">
        <v>4964</v>
      </c>
      <c r="B93" t="s">
        <v>2971</v>
      </c>
      <c r="C93" t="s">
        <v>4620</v>
      </c>
      <c r="D93">
        <v>1</v>
      </c>
      <c r="E93" s="9" t="s">
        <v>4965</v>
      </c>
      <c r="F93" t="s">
        <v>5548</v>
      </c>
      <c r="G93" s="9" t="s">
        <v>4966</v>
      </c>
      <c r="H93" t="s">
        <v>5549</v>
      </c>
      <c r="I93">
        <v>1</v>
      </c>
      <c r="J93" t="s">
        <v>5317</v>
      </c>
      <c r="K93" t="s">
        <v>4964</v>
      </c>
      <c r="L93" t="s">
        <v>1954</v>
      </c>
      <c r="M93" t="s">
        <v>2905</v>
      </c>
      <c r="N93" t="s">
        <v>4266</v>
      </c>
      <c r="O93" t="s">
        <v>5550</v>
      </c>
    </row>
    <row r="94" spans="1:15" x14ac:dyDescent="0.25">
      <c r="A94" t="s">
        <v>4967</v>
      </c>
      <c r="B94" t="s">
        <v>2959</v>
      </c>
      <c r="C94" t="s">
        <v>4243</v>
      </c>
      <c r="D94">
        <v>1</v>
      </c>
      <c r="E94" s="9" t="s">
        <v>5551</v>
      </c>
      <c r="F94" t="s">
        <v>5552</v>
      </c>
      <c r="G94" s="9" t="s">
        <v>5553</v>
      </c>
      <c r="H94" t="s">
        <v>5554</v>
      </c>
      <c r="I94">
        <v>1</v>
      </c>
      <c r="J94" t="s">
        <v>2905</v>
      </c>
      <c r="K94" t="s">
        <v>4967</v>
      </c>
      <c r="L94" t="s">
        <v>1954</v>
      </c>
      <c r="M94" t="s">
        <v>2905</v>
      </c>
      <c r="N94" t="s">
        <v>2905</v>
      </c>
      <c r="O94" t="s">
        <v>4970</v>
      </c>
    </row>
    <row r="95" spans="1:15" x14ac:dyDescent="0.25">
      <c r="A95" t="s">
        <v>4971</v>
      </c>
      <c r="B95" t="s">
        <v>2952</v>
      </c>
      <c r="C95" t="s">
        <v>4620</v>
      </c>
      <c r="D95">
        <v>2</v>
      </c>
      <c r="E95" s="9" t="s">
        <v>4972</v>
      </c>
      <c r="F95" t="s">
        <v>5555</v>
      </c>
      <c r="G95" s="9" t="s">
        <v>4973</v>
      </c>
      <c r="H95" t="s">
        <v>5556</v>
      </c>
      <c r="I95">
        <v>2</v>
      </c>
      <c r="J95" t="s">
        <v>5557</v>
      </c>
      <c r="K95" t="s">
        <v>4971</v>
      </c>
      <c r="L95" t="s">
        <v>1954</v>
      </c>
      <c r="M95" t="s">
        <v>2905</v>
      </c>
      <c r="N95" t="s">
        <v>4277</v>
      </c>
      <c r="O95" t="s">
        <v>4758</v>
      </c>
    </row>
    <row r="96" spans="1:15" x14ac:dyDescent="0.25">
      <c r="A96" t="s">
        <v>4974</v>
      </c>
      <c r="B96" t="s">
        <v>2952</v>
      </c>
      <c r="C96" t="s">
        <v>4243</v>
      </c>
      <c r="D96">
        <v>2</v>
      </c>
      <c r="E96" s="9" t="s">
        <v>4975</v>
      </c>
      <c r="F96" t="s">
        <v>5558</v>
      </c>
      <c r="G96" s="9" t="s">
        <v>4976</v>
      </c>
      <c r="H96" t="s">
        <v>5559</v>
      </c>
      <c r="I96">
        <v>2</v>
      </c>
      <c r="J96" t="s">
        <v>2905</v>
      </c>
      <c r="K96" t="s">
        <v>4974</v>
      </c>
      <c r="L96" t="s">
        <v>1954</v>
      </c>
      <c r="M96" t="s">
        <v>4380</v>
      </c>
      <c r="N96" t="s">
        <v>2905</v>
      </c>
      <c r="O96" t="s">
        <v>4899</v>
      </c>
    </row>
    <row r="97" spans="1:15" x14ac:dyDescent="0.25">
      <c r="A97" t="s">
        <v>4977</v>
      </c>
      <c r="B97" t="s">
        <v>2971</v>
      </c>
      <c r="C97" t="s">
        <v>4243</v>
      </c>
      <c r="D97">
        <v>1</v>
      </c>
      <c r="E97" s="9" t="s">
        <v>4978</v>
      </c>
      <c r="F97" t="s">
        <v>5560</v>
      </c>
      <c r="G97" s="9" t="s">
        <v>4978</v>
      </c>
      <c r="H97" t="s">
        <v>5560</v>
      </c>
      <c r="I97">
        <v>0</v>
      </c>
      <c r="J97" t="s">
        <v>2905</v>
      </c>
      <c r="K97" t="s">
        <v>4979</v>
      </c>
      <c r="L97" t="s">
        <v>1954</v>
      </c>
      <c r="M97" t="s">
        <v>4380</v>
      </c>
      <c r="N97" t="s">
        <v>2905</v>
      </c>
      <c r="O97" t="s">
        <v>4980</v>
      </c>
    </row>
    <row r="98" spans="1:15" x14ac:dyDescent="0.25">
      <c r="A98" t="s">
        <v>4985</v>
      </c>
      <c r="B98" t="s">
        <v>2971</v>
      </c>
      <c r="C98" t="s">
        <v>3453</v>
      </c>
      <c r="D98">
        <v>1</v>
      </c>
      <c r="E98" t="s">
        <v>4986</v>
      </c>
      <c r="F98" t="s">
        <v>5561</v>
      </c>
      <c r="G98" t="s">
        <v>4987</v>
      </c>
      <c r="H98" t="s">
        <v>5562</v>
      </c>
      <c r="I98">
        <v>1</v>
      </c>
      <c r="J98" t="s">
        <v>2905</v>
      </c>
      <c r="K98" t="s">
        <v>4985</v>
      </c>
      <c r="L98" t="s">
        <v>1954</v>
      </c>
      <c r="M98" t="s">
        <v>2905</v>
      </c>
      <c r="N98" t="s">
        <v>2905</v>
      </c>
      <c r="O98" t="s">
        <v>4827</v>
      </c>
    </row>
    <row r="99" spans="1:15" x14ac:dyDescent="0.25">
      <c r="A99" t="s">
        <v>4014</v>
      </c>
      <c r="B99" t="s">
        <v>3807</v>
      </c>
      <c r="C99" t="s">
        <v>4768</v>
      </c>
      <c r="D99" t="s">
        <v>3805</v>
      </c>
      <c r="E99" t="s">
        <v>4988</v>
      </c>
      <c r="F99" t="s">
        <v>5397</v>
      </c>
      <c r="G99" t="s">
        <v>2905</v>
      </c>
      <c r="H99" t="s">
        <v>2905</v>
      </c>
      <c r="I99" t="s">
        <v>2905</v>
      </c>
      <c r="J99" t="s">
        <v>2905</v>
      </c>
      <c r="K99" t="s">
        <v>4014</v>
      </c>
      <c r="L99" t="s">
        <v>1954</v>
      </c>
      <c r="M99" t="s">
        <v>4347</v>
      </c>
      <c r="N99" t="s">
        <v>2905</v>
      </c>
      <c r="O99" t="s">
        <v>4770</v>
      </c>
    </row>
    <row r="100" spans="1:15" x14ac:dyDescent="0.25">
      <c r="A100" t="s">
        <v>4989</v>
      </c>
      <c r="B100" t="s">
        <v>2971</v>
      </c>
      <c r="C100" t="s">
        <v>4243</v>
      </c>
      <c r="D100">
        <v>0</v>
      </c>
      <c r="E100" s="9" t="s">
        <v>4990</v>
      </c>
      <c r="F100" t="s">
        <v>5563</v>
      </c>
      <c r="G100" s="9" t="s">
        <v>4991</v>
      </c>
      <c r="H100" t="s">
        <v>5564</v>
      </c>
      <c r="I100">
        <v>0</v>
      </c>
      <c r="J100" t="s">
        <v>2905</v>
      </c>
      <c r="K100" t="s">
        <v>4989</v>
      </c>
      <c r="L100" t="s">
        <v>1954</v>
      </c>
      <c r="M100" t="s">
        <v>4380</v>
      </c>
      <c r="N100" t="s">
        <v>2905</v>
      </c>
      <c r="O100" t="s">
        <v>4837</v>
      </c>
    </row>
    <row r="101" spans="1:15" x14ac:dyDescent="0.25">
      <c r="A101" t="s">
        <v>4992</v>
      </c>
      <c r="B101" t="s">
        <v>2959</v>
      </c>
      <c r="C101" t="s">
        <v>4620</v>
      </c>
      <c r="D101">
        <v>1</v>
      </c>
      <c r="E101" t="s">
        <v>4993</v>
      </c>
      <c r="F101" t="s">
        <v>5565</v>
      </c>
      <c r="G101" t="s">
        <v>4994</v>
      </c>
      <c r="H101" t="s">
        <v>5566</v>
      </c>
      <c r="I101">
        <v>1</v>
      </c>
      <c r="J101" t="s">
        <v>5567</v>
      </c>
      <c r="K101" t="s">
        <v>4995</v>
      </c>
      <c r="L101" t="s">
        <v>1954</v>
      </c>
      <c r="M101" t="s">
        <v>2905</v>
      </c>
      <c r="N101" t="s">
        <v>2905</v>
      </c>
      <c r="O101" t="s">
        <v>4996</v>
      </c>
    </row>
    <row r="102" spans="1:15" x14ac:dyDescent="0.25">
      <c r="A102" t="s">
        <v>5007</v>
      </c>
      <c r="B102" t="s">
        <v>2959</v>
      </c>
      <c r="C102" t="s">
        <v>4243</v>
      </c>
      <c r="D102">
        <v>1</v>
      </c>
      <c r="E102" t="s">
        <v>5008</v>
      </c>
      <c r="F102" t="s">
        <v>5568</v>
      </c>
      <c r="G102" t="s">
        <v>5009</v>
      </c>
      <c r="H102" t="s">
        <v>5569</v>
      </c>
      <c r="I102">
        <v>1</v>
      </c>
      <c r="J102" t="s">
        <v>2905</v>
      </c>
      <c r="K102" t="s">
        <v>5007</v>
      </c>
      <c r="L102" t="s">
        <v>1954</v>
      </c>
      <c r="M102" t="s">
        <v>2905</v>
      </c>
      <c r="N102" t="s">
        <v>2905</v>
      </c>
      <c r="O102" t="s">
        <v>4718</v>
      </c>
    </row>
    <row r="103" spans="1:15" x14ac:dyDescent="0.25">
      <c r="A103" t="s">
        <v>5010</v>
      </c>
      <c r="B103" t="s">
        <v>2971</v>
      </c>
      <c r="C103" t="s">
        <v>4243</v>
      </c>
      <c r="D103">
        <v>2</v>
      </c>
      <c r="E103" s="9" t="s">
        <v>5570</v>
      </c>
      <c r="F103" t="s">
        <v>5571</v>
      </c>
      <c r="G103" s="9" t="s">
        <v>5572</v>
      </c>
      <c r="H103" t="s">
        <v>5573</v>
      </c>
      <c r="I103">
        <v>2</v>
      </c>
      <c r="J103" t="s">
        <v>2905</v>
      </c>
      <c r="K103" t="s">
        <v>5013</v>
      </c>
      <c r="L103" t="s">
        <v>1954</v>
      </c>
      <c r="M103" t="s">
        <v>2905</v>
      </c>
      <c r="N103" t="s">
        <v>2905</v>
      </c>
      <c r="O103" t="s">
        <v>5014</v>
      </c>
    </row>
    <row r="104" spans="1:15" x14ac:dyDescent="0.25">
      <c r="A104" t="s">
        <v>3549</v>
      </c>
      <c r="B104" t="s">
        <v>2959</v>
      </c>
      <c r="C104" t="s">
        <v>4620</v>
      </c>
      <c r="D104">
        <v>2</v>
      </c>
      <c r="E104" t="s">
        <v>5574</v>
      </c>
      <c r="F104" t="s">
        <v>5575</v>
      </c>
      <c r="G104" t="s">
        <v>5574</v>
      </c>
      <c r="H104" t="s">
        <v>5575</v>
      </c>
      <c r="I104">
        <v>2</v>
      </c>
      <c r="J104" t="s">
        <v>5576</v>
      </c>
      <c r="K104" t="s">
        <v>3552</v>
      </c>
      <c r="L104" t="s">
        <v>828</v>
      </c>
      <c r="M104" t="s">
        <v>2905</v>
      </c>
      <c r="N104" t="s">
        <v>4277</v>
      </c>
      <c r="O104" t="s">
        <v>4653</v>
      </c>
    </row>
    <row r="105" spans="1:15" x14ac:dyDescent="0.25">
      <c r="A105" t="s">
        <v>5016</v>
      </c>
      <c r="B105" t="s">
        <v>2952</v>
      </c>
      <c r="C105" t="s">
        <v>4243</v>
      </c>
      <c r="D105">
        <v>1</v>
      </c>
      <c r="E105" s="9" t="s">
        <v>5017</v>
      </c>
      <c r="F105" t="s">
        <v>5577</v>
      </c>
      <c r="G105" s="9" t="s">
        <v>5018</v>
      </c>
      <c r="H105" t="s">
        <v>5578</v>
      </c>
      <c r="I105">
        <v>1</v>
      </c>
      <c r="J105" t="s">
        <v>2905</v>
      </c>
      <c r="K105" t="s">
        <v>5019</v>
      </c>
      <c r="L105" t="s">
        <v>1954</v>
      </c>
      <c r="M105" t="s">
        <v>2905</v>
      </c>
      <c r="N105" t="s">
        <v>2905</v>
      </c>
      <c r="O105" t="s">
        <v>4827</v>
      </c>
    </row>
    <row r="106" spans="1:15" x14ac:dyDescent="0.25">
      <c r="A106" t="s">
        <v>3558</v>
      </c>
      <c r="B106" t="s">
        <v>2959</v>
      </c>
      <c r="C106" t="s">
        <v>4620</v>
      </c>
      <c r="D106">
        <v>1</v>
      </c>
      <c r="E106" s="9" t="s">
        <v>5579</v>
      </c>
      <c r="F106" t="s">
        <v>5580</v>
      </c>
      <c r="G106" s="9" t="s">
        <v>5579</v>
      </c>
      <c r="H106" t="s">
        <v>5580</v>
      </c>
      <c r="I106">
        <v>1</v>
      </c>
      <c r="J106" t="s">
        <v>5317</v>
      </c>
      <c r="K106" t="s">
        <v>3561</v>
      </c>
      <c r="L106" t="s">
        <v>828</v>
      </c>
      <c r="M106" t="s">
        <v>2905</v>
      </c>
      <c r="N106" t="s">
        <v>2905</v>
      </c>
      <c r="O106" t="s">
        <v>4653</v>
      </c>
    </row>
    <row r="107" spans="1:15" x14ac:dyDescent="0.25">
      <c r="A107" t="s">
        <v>5028</v>
      </c>
      <c r="B107" t="s">
        <v>2952</v>
      </c>
      <c r="C107" t="s">
        <v>4243</v>
      </c>
      <c r="D107" t="s">
        <v>4846</v>
      </c>
      <c r="E107" s="9" t="s">
        <v>5581</v>
      </c>
      <c r="F107" t="s">
        <v>5582</v>
      </c>
      <c r="G107" s="9" t="s">
        <v>5583</v>
      </c>
      <c r="H107" t="s">
        <v>5584</v>
      </c>
      <c r="I107" t="s">
        <v>4846</v>
      </c>
      <c r="J107" t="s">
        <v>2905</v>
      </c>
      <c r="K107" t="s">
        <v>5028</v>
      </c>
      <c r="L107" t="s">
        <v>1954</v>
      </c>
      <c r="M107" t="s">
        <v>4380</v>
      </c>
      <c r="N107" t="s">
        <v>2905</v>
      </c>
      <c r="O107" t="s">
        <v>5031</v>
      </c>
    </row>
    <row r="108" spans="1:15" x14ac:dyDescent="0.25">
      <c r="A108" t="s">
        <v>5032</v>
      </c>
      <c r="B108" t="s">
        <v>2971</v>
      </c>
      <c r="C108" t="s">
        <v>4620</v>
      </c>
      <c r="D108">
        <v>0</v>
      </c>
      <c r="E108" s="9" t="s">
        <v>5033</v>
      </c>
      <c r="F108" t="s">
        <v>5585</v>
      </c>
      <c r="G108" s="9" t="s">
        <v>5034</v>
      </c>
      <c r="H108" t="s">
        <v>5586</v>
      </c>
      <c r="I108">
        <v>0</v>
      </c>
      <c r="J108" t="s">
        <v>5292</v>
      </c>
      <c r="K108" t="s">
        <v>5035</v>
      </c>
      <c r="L108" t="s">
        <v>1954</v>
      </c>
      <c r="M108" t="s">
        <v>2905</v>
      </c>
      <c r="N108" t="s">
        <v>2905</v>
      </c>
      <c r="O108" t="s">
        <v>4675</v>
      </c>
    </row>
    <row r="109" spans="1:15" x14ac:dyDescent="0.25">
      <c r="A109" t="s">
        <v>4595</v>
      </c>
      <c r="B109" t="s">
        <v>2983</v>
      </c>
      <c r="C109" t="s">
        <v>4620</v>
      </c>
      <c r="D109">
        <v>0</v>
      </c>
      <c r="E109" t="s">
        <v>5045</v>
      </c>
      <c r="F109" t="s">
        <v>5587</v>
      </c>
      <c r="G109" t="s">
        <v>5046</v>
      </c>
      <c r="H109" t="s">
        <v>5588</v>
      </c>
      <c r="I109">
        <v>0</v>
      </c>
      <c r="J109" t="s">
        <v>5300</v>
      </c>
      <c r="K109" t="s">
        <v>4595</v>
      </c>
      <c r="L109" t="s">
        <v>1954</v>
      </c>
      <c r="M109" t="s">
        <v>2905</v>
      </c>
      <c r="N109" t="s">
        <v>2905</v>
      </c>
      <c r="O109" t="s">
        <v>4651</v>
      </c>
    </row>
    <row r="110" spans="1:15" x14ac:dyDescent="0.25">
      <c r="A110" t="s">
        <v>5047</v>
      </c>
      <c r="B110" t="s">
        <v>2952</v>
      </c>
      <c r="C110" t="s">
        <v>4243</v>
      </c>
      <c r="D110">
        <v>3</v>
      </c>
      <c r="E110" s="9" t="s">
        <v>5589</v>
      </c>
      <c r="F110" t="s">
        <v>5590</v>
      </c>
      <c r="G110" s="9" t="s">
        <v>5589</v>
      </c>
      <c r="H110" t="s">
        <v>5590</v>
      </c>
      <c r="I110">
        <v>2</v>
      </c>
      <c r="J110" t="s">
        <v>2905</v>
      </c>
      <c r="K110" t="s">
        <v>5047</v>
      </c>
      <c r="L110" t="s">
        <v>1954</v>
      </c>
      <c r="M110" t="s">
        <v>2905</v>
      </c>
      <c r="N110" t="s">
        <v>2905</v>
      </c>
      <c r="O110" t="s">
        <v>4892</v>
      </c>
    </row>
    <row r="111" spans="1:15" x14ac:dyDescent="0.25">
      <c r="A111" t="s">
        <v>5053</v>
      </c>
      <c r="B111" t="s">
        <v>2952</v>
      </c>
      <c r="C111" t="s">
        <v>4243</v>
      </c>
      <c r="D111">
        <v>0</v>
      </c>
      <c r="E111" s="9" t="s">
        <v>5054</v>
      </c>
      <c r="F111" t="s">
        <v>5591</v>
      </c>
      <c r="G111" s="9" t="s">
        <v>5055</v>
      </c>
      <c r="H111" t="s">
        <v>5592</v>
      </c>
      <c r="I111">
        <v>0</v>
      </c>
      <c r="J111" t="s">
        <v>2905</v>
      </c>
      <c r="K111" t="s">
        <v>5053</v>
      </c>
      <c r="L111" t="s">
        <v>1954</v>
      </c>
      <c r="M111" t="s">
        <v>4380</v>
      </c>
      <c r="N111" t="s">
        <v>2905</v>
      </c>
      <c r="O111" t="s">
        <v>5056</v>
      </c>
    </row>
    <row r="112" spans="1:15" x14ac:dyDescent="0.25">
      <c r="A112" t="s">
        <v>5057</v>
      </c>
      <c r="B112" t="s">
        <v>2959</v>
      </c>
      <c r="C112" t="s">
        <v>4243</v>
      </c>
      <c r="D112">
        <v>1</v>
      </c>
      <c r="E112" s="9" t="s">
        <v>5058</v>
      </c>
      <c r="F112" t="s">
        <v>5593</v>
      </c>
      <c r="G112" s="9" t="s">
        <v>5059</v>
      </c>
      <c r="H112" t="s">
        <v>5594</v>
      </c>
      <c r="I112">
        <v>1</v>
      </c>
      <c r="J112" t="s">
        <v>2905</v>
      </c>
      <c r="K112" t="s">
        <v>5057</v>
      </c>
      <c r="L112" t="s">
        <v>1954</v>
      </c>
      <c r="M112" t="s">
        <v>2905</v>
      </c>
      <c r="N112" t="s">
        <v>2905</v>
      </c>
      <c r="O112" t="s">
        <v>4722</v>
      </c>
    </row>
    <row r="113" spans="1:15" x14ac:dyDescent="0.25">
      <c r="A113" t="s">
        <v>5060</v>
      </c>
      <c r="B113" t="s">
        <v>3807</v>
      </c>
      <c r="C113" t="s">
        <v>4768</v>
      </c>
      <c r="D113" t="s">
        <v>3805</v>
      </c>
      <c r="E113" t="s">
        <v>5061</v>
      </c>
      <c r="F113" t="s">
        <v>5595</v>
      </c>
      <c r="G113" t="s">
        <v>2905</v>
      </c>
      <c r="H113" t="s">
        <v>2905</v>
      </c>
      <c r="I113" t="s">
        <v>2905</v>
      </c>
      <c r="J113" t="s">
        <v>2905</v>
      </c>
      <c r="K113" t="s">
        <v>5060</v>
      </c>
      <c r="L113" t="s">
        <v>1954</v>
      </c>
      <c r="M113" t="s">
        <v>4347</v>
      </c>
      <c r="N113" t="s">
        <v>2905</v>
      </c>
      <c r="O113" t="s">
        <v>4770</v>
      </c>
    </row>
    <row r="114" spans="1:15" x14ac:dyDescent="0.25">
      <c r="A114" t="s">
        <v>5062</v>
      </c>
      <c r="B114" t="s">
        <v>2959</v>
      </c>
      <c r="C114" t="s">
        <v>4620</v>
      </c>
      <c r="D114">
        <v>2</v>
      </c>
      <c r="E114" s="9" t="s">
        <v>5063</v>
      </c>
      <c r="F114" t="s">
        <v>5596</v>
      </c>
      <c r="G114" s="9" t="s">
        <v>5064</v>
      </c>
      <c r="H114" t="s">
        <v>5597</v>
      </c>
      <c r="I114">
        <v>2</v>
      </c>
      <c r="J114" t="s">
        <v>5309</v>
      </c>
      <c r="K114" t="s">
        <v>5065</v>
      </c>
      <c r="L114" t="s">
        <v>1954</v>
      </c>
      <c r="M114" t="s">
        <v>2905</v>
      </c>
      <c r="N114" t="s">
        <v>2905</v>
      </c>
      <c r="O114" t="s">
        <v>4959</v>
      </c>
    </row>
    <row r="115" spans="1:15" x14ac:dyDescent="0.25">
      <c r="A115" t="s">
        <v>5066</v>
      </c>
      <c r="B115" t="s">
        <v>2952</v>
      </c>
      <c r="C115" t="s">
        <v>4243</v>
      </c>
      <c r="D115">
        <v>1</v>
      </c>
      <c r="E115" s="9" t="s">
        <v>5067</v>
      </c>
      <c r="F115" t="s">
        <v>5598</v>
      </c>
      <c r="G115" s="9" t="s">
        <v>5067</v>
      </c>
      <c r="H115" t="s">
        <v>5598</v>
      </c>
      <c r="I115">
        <v>0</v>
      </c>
      <c r="J115" t="s">
        <v>2905</v>
      </c>
      <c r="K115" t="s">
        <v>5068</v>
      </c>
      <c r="L115" t="s">
        <v>1954</v>
      </c>
      <c r="M115" t="s">
        <v>2905</v>
      </c>
      <c r="N115" t="s">
        <v>2905</v>
      </c>
      <c r="O115" t="s">
        <v>4675</v>
      </c>
    </row>
    <row r="116" spans="1:15" x14ac:dyDescent="0.25">
      <c r="A116" t="s">
        <v>5069</v>
      </c>
      <c r="B116" t="s">
        <v>2959</v>
      </c>
      <c r="C116" t="s">
        <v>4243</v>
      </c>
      <c r="D116">
        <v>1</v>
      </c>
      <c r="E116" s="9" t="s">
        <v>5599</v>
      </c>
      <c r="F116" t="s">
        <v>5600</v>
      </c>
      <c r="G116" s="9" t="s">
        <v>5601</v>
      </c>
      <c r="H116" t="s">
        <v>5602</v>
      </c>
      <c r="I116">
        <v>1</v>
      </c>
      <c r="J116" t="s">
        <v>2905</v>
      </c>
      <c r="K116" t="s">
        <v>5072</v>
      </c>
      <c r="L116" t="s">
        <v>1954</v>
      </c>
      <c r="M116" t="s">
        <v>4380</v>
      </c>
      <c r="N116" t="s">
        <v>2905</v>
      </c>
      <c r="O116" t="s">
        <v>5031</v>
      </c>
    </row>
    <row r="117" spans="1:15" x14ac:dyDescent="0.25">
      <c r="A117" t="s">
        <v>5073</v>
      </c>
      <c r="B117" t="s">
        <v>2959</v>
      </c>
      <c r="C117" t="s">
        <v>4620</v>
      </c>
      <c r="D117">
        <v>1</v>
      </c>
      <c r="E117" s="9" t="s">
        <v>5074</v>
      </c>
      <c r="F117" t="s">
        <v>5603</v>
      </c>
      <c r="G117" s="9" t="s">
        <v>5075</v>
      </c>
      <c r="H117" t="s">
        <v>5604</v>
      </c>
      <c r="I117">
        <v>1</v>
      </c>
      <c r="J117" t="s">
        <v>5300</v>
      </c>
      <c r="K117" t="s">
        <v>5076</v>
      </c>
      <c r="L117" t="s">
        <v>1954</v>
      </c>
      <c r="M117" t="s">
        <v>2905</v>
      </c>
      <c r="N117" t="s">
        <v>4137</v>
      </c>
      <c r="O117" t="s">
        <v>4651</v>
      </c>
    </row>
    <row r="118" spans="1:15" x14ac:dyDescent="0.25">
      <c r="A118" t="s">
        <v>5077</v>
      </c>
      <c r="B118" t="s">
        <v>2959</v>
      </c>
      <c r="C118" t="s">
        <v>4620</v>
      </c>
      <c r="D118">
        <v>1</v>
      </c>
      <c r="E118" t="s">
        <v>5078</v>
      </c>
      <c r="F118" t="s">
        <v>5605</v>
      </c>
      <c r="G118" t="s">
        <v>5079</v>
      </c>
      <c r="H118" t="s">
        <v>5606</v>
      </c>
      <c r="I118">
        <v>1</v>
      </c>
      <c r="J118" t="s">
        <v>5309</v>
      </c>
      <c r="K118" t="s">
        <v>5080</v>
      </c>
      <c r="L118" t="s">
        <v>1954</v>
      </c>
      <c r="M118" t="s">
        <v>2905</v>
      </c>
      <c r="N118" t="s">
        <v>2905</v>
      </c>
      <c r="O118" t="s">
        <v>5607</v>
      </c>
    </row>
    <row r="119" spans="1:15" x14ac:dyDescent="0.25">
      <c r="A119" t="s">
        <v>5082</v>
      </c>
      <c r="B119" t="s">
        <v>2971</v>
      </c>
      <c r="C119" t="s">
        <v>4243</v>
      </c>
      <c r="D119">
        <v>1</v>
      </c>
      <c r="E119" s="9" t="s">
        <v>5083</v>
      </c>
      <c r="F119" t="s">
        <v>5608</v>
      </c>
      <c r="G119" s="9" t="s">
        <v>5084</v>
      </c>
      <c r="H119" t="s">
        <v>5609</v>
      </c>
      <c r="I119">
        <v>1</v>
      </c>
      <c r="J119" t="s">
        <v>2905</v>
      </c>
      <c r="K119" t="s">
        <v>5085</v>
      </c>
      <c r="L119" t="s">
        <v>1954</v>
      </c>
      <c r="M119" t="s">
        <v>2905</v>
      </c>
      <c r="N119" t="s">
        <v>2905</v>
      </c>
      <c r="O119" t="s">
        <v>5086</v>
      </c>
    </row>
    <row r="120" spans="1:15" x14ac:dyDescent="0.25">
      <c r="A120" t="s">
        <v>5087</v>
      </c>
      <c r="B120" t="s">
        <v>2959</v>
      </c>
      <c r="C120" t="s">
        <v>4620</v>
      </c>
      <c r="D120">
        <v>2</v>
      </c>
      <c r="E120" s="9" t="s">
        <v>5610</v>
      </c>
      <c r="F120" t="s">
        <v>5611</v>
      </c>
      <c r="G120" s="9" t="s">
        <v>5612</v>
      </c>
      <c r="H120" t="s">
        <v>5613</v>
      </c>
      <c r="I120" t="s">
        <v>2905</v>
      </c>
      <c r="J120" t="s">
        <v>5292</v>
      </c>
      <c r="K120" t="s">
        <v>5087</v>
      </c>
      <c r="L120" t="s">
        <v>1954</v>
      </c>
      <c r="M120" t="s">
        <v>2905</v>
      </c>
      <c r="N120" t="s">
        <v>2905</v>
      </c>
      <c r="O120" t="s">
        <v>5105</v>
      </c>
    </row>
    <row r="121" spans="1:15" x14ac:dyDescent="0.25">
      <c r="A121" t="s">
        <v>5090</v>
      </c>
      <c r="B121" t="s">
        <v>2959</v>
      </c>
      <c r="C121" t="s">
        <v>4243</v>
      </c>
      <c r="D121">
        <v>0</v>
      </c>
      <c r="E121" s="9" t="s">
        <v>5091</v>
      </c>
      <c r="F121" t="s">
        <v>5614</v>
      </c>
      <c r="G121" s="9" t="s">
        <v>5092</v>
      </c>
      <c r="H121" t="s">
        <v>5615</v>
      </c>
      <c r="I121" t="s">
        <v>2905</v>
      </c>
      <c r="J121" t="s">
        <v>2905</v>
      </c>
      <c r="K121" t="s">
        <v>5090</v>
      </c>
      <c r="L121" t="s">
        <v>1954</v>
      </c>
      <c r="M121" t="s">
        <v>2905</v>
      </c>
      <c r="N121" t="s">
        <v>2905</v>
      </c>
      <c r="O121" t="s">
        <v>4606</v>
      </c>
    </row>
    <row r="122" spans="1:15" x14ac:dyDescent="0.25">
      <c r="A122" t="s">
        <v>3996</v>
      </c>
      <c r="B122" t="s">
        <v>3807</v>
      </c>
      <c r="C122" t="s">
        <v>4768</v>
      </c>
      <c r="D122">
        <v>1</v>
      </c>
      <c r="E122" s="4" t="s">
        <v>5616</v>
      </c>
      <c r="F122" t="s">
        <v>5617</v>
      </c>
      <c r="G122" t="s">
        <v>2905</v>
      </c>
      <c r="H122" t="s">
        <v>2905</v>
      </c>
      <c r="I122" t="s">
        <v>2905</v>
      </c>
      <c r="J122" t="s">
        <v>2905</v>
      </c>
      <c r="K122" t="s">
        <v>3996</v>
      </c>
      <c r="L122" t="s">
        <v>1954</v>
      </c>
      <c r="M122" t="s">
        <v>5307</v>
      </c>
      <c r="N122" t="s">
        <v>2905</v>
      </c>
      <c r="O122" t="s">
        <v>4770</v>
      </c>
    </row>
    <row r="123" spans="1:15" x14ac:dyDescent="0.25">
      <c r="A123" t="s">
        <v>5093</v>
      </c>
      <c r="B123" t="s">
        <v>2971</v>
      </c>
      <c r="C123" t="s">
        <v>4620</v>
      </c>
      <c r="D123">
        <v>1</v>
      </c>
      <c r="E123" s="9" t="s">
        <v>5094</v>
      </c>
      <c r="F123" t="s">
        <v>5618</v>
      </c>
      <c r="G123" s="9" t="s">
        <v>5095</v>
      </c>
      <c r="H123" t="s">
        <v>5619</v>
      </c>
      <c r="I123">
        <v>1</v>
      </c>
      <c r="J123" t="s">
        <v>5300</v>
      </c>
      <c r="K123" t="s">
        <v>5093</v>
      </c>
      <c r="L123" t="s">
        <v>1954</v>
      </c>
      <c r="M123" t="s">
        <v>4380</v>
      </c>
      <c r="N123" t="s">
        <v>2905</v>
      </c>
      <c r="O123" t="s">
        <v>4904</v>
      </c>
    </row>
    <row r="124" spans="1:15" x14ac:dyDescent="0.25">
      <c r="A124" t="s">
        <v>4022</v>
      </c>
      <c r="B124" t="s">
        <v>3807</v>
      </c>
      <c r="C124" t="s">
        <v>4768</v>
      </c>
      <c r="D124" t="s">
        <v>3805</v>
      </c>
      <c r="E124" t="s">
        <v>5096</v>
      </c>
      <c r="F124" t="s">
        <v>5620</v>
      </c>
      <c r="G124" t="s">
        <v>2905</v>
      </c>
      <c r="H124" t="s">
        <v>2905</v>
      </c>
      <c r="I124" t="s">
        <v>2905</v>
      </c>
      <c r="J124" t="s">
        <v>2905</v>
      </c>
      <c r="K124" t="s">
        <v>5097</v>
      </c>
      <c r="L124" t="s">
        <v>1358</v>
      </c>
      <c r="M124" t="s">
        <v>4347</v>
      </c>
      <c r="N124" t="s">
        <v>2905</v>
      </c>
    </row>
    <row r="125" spans="1:15" x14ac:dyDescent="0.25">
      <c r="A125" t="s">
        <v>5101</v>
      </c>
      <c r="B125" t="s">
        <v>2959</v>
      </c>
      <c r="C125" t="s">
        <v>4620</v>
      </c>
      <c r="D125">
        <v>1</v>
      </c>
      <c r="E125" s="9" t="s">
        <v>5102</v>
      </c>
      <c r="F125" t="s">
        <v>5621</v>
      </c>
      <c r="G125" s="9" t="s">
        <v>5103</v>
      </c>
      <c r="H125" t="s">
        <v>5622</v>
      </c>
      <c r="I125">
        <v>1</v>
      </c>
      <c r="J125" t="s">
        <v>5384</v>
      </c>
      <c r="K125" t="s">
        <v>5104</v>
      </c>
      <c r="L125" t="s">
        <v>1954</v>
      </c>
      <c r="M125" t="s">
        <v>2905</v>
      </c>
      <c r="N125" t="s">
        <v>2905</v>
      </c>
      <c r="O125" t="s">
        <v>5105</v>
      </c>
    </row>
    <row r="126" spans="1:15" x14ac:dyDescent="0.25">
      <c r="A126" t="s">
        <v>4245</v>
      </c>
      <c r="B126" t="s">
        <v>2971</v>
      </c>
      <c r="C126" t="s">
        <v>4243</v>
      </c>
      <c r="D126">
        <v>0</v>
      </c>
      <c r="E126" s="9" t="s">
        <v>5106</v>
      </c>
      <c r="F126" t="s">
        <v>5623</v>
      </c>
      <c r="G126" s="9" t="s">
        <v>5107</v>
      </c>
      <c r="H126" t="s">
        <v>5624</v>
      </c>
      <c r="I126">
        <v>0</v>
      </c>
      <c r="J126" t="s">
        <v>2905</v>
      </c>
      <c r="K126" t="s">
        <v>4245</v>
      </c>
      <c r="L126" t="s">
        <v>1954</v>
      </c>
      <c r="M126" t="s">
        <v>2905</v>
      </c>
      <c r="N126" t="s">
        <v>2905</v>
      </c>
      <c r="O126" t="s">
        <v>4637</v>
      </c>
    </row>
    <row r="127" spans="1:15" x14ac:dyDescent="0.25">
      <c r="A127" t="s">
        <v>5108</v>
      </c>
      <c r="B127" t="s">
        <v>2971</v>
      </c>
      <c r="C127" t="s">
        <v>4620</v>
      </c>
      <c r="D127">
        <v>1</v>
      </c>
      <c r="E127" s="9" t="s">
        <v>5109</v>
      </c>
      <c r="F127" t="s">
        <v>5625</v>
      </c>
      <c r="G127" s="9" t="s">
        <v>5110</v>
      </c>
      <c r="H127" t="s">
        <v>5626</v>
      </c>
      <c r="I127">
        <v>1</v>
      </c>
      <c r="J127" t="s">
        <v>5384</v>
      </c>
      <c r="K127" t="s">
        <v>5108</v>
      </c>
      <c r="L127" t="s">
        <v>1954</v>
      </c>
      <c r="M127" t="s">
        <v>2905</v>
      </c>
      <c r="N127" t="s">
        <v>2905</v>
      </c>
      <c r="O127" t="s">
        <v>4959</v>
      </c>
    </row>
    <row r="128" spans="1:15" x14ac:dyDescent="0.25">
      <c r="A128" t="s">
        <v>5112</v>
      </c>
      <c r="B128" t="s">
        <v>2952</v>
      </c>
      <c r="C128" t="s">
        <v>4620</v>
      </c>
      <c r="D128">
        <v>2</v>
      </c>
      <c r="E128" t="s">
        <v>5113</v>
      </c>
      <c r="F128" t="s">
        <v>5627</v>
      </c>
      <c r="G128" t="s">
        <v>5114</v>
      </c>
      <c r="H128" t="s">
        <v>5628</v>
      </c>
      <c r="I128">
        <v>2</v>
      </c>
      <c r="J128" t="s">
        <v>5389</v>
      </c>
      <c r="K128" t="s">
        <v>5112</v>
      </c>
      <c r="L128" t="s">
        <v>1954</v>
      </c>
      <c r="M128" t="s">
        <v>5629</v>
      </c>
      <c r="N128" t="s">
        <v>2905</v>
      </c>
      <c r="O128" t="s">
        <v>4896</v>
      </c>
    </row>
    <row r="129" spans="1:15" x14ac:dyDescent="0.25">
      <c r="A129" t="s">
        <v>5115</v>
      </c>
      <c r="B129" t="s">
        <v>2971</v>
      </c>
      <c r="C129" t="s">
        <v>4620</v>
      </c>
      <c r="D129">
        <v>0</v>
      </c>
      <c r="E129" s="9" t="s">
        <v>5630</v>
      </c>
      <c r="F129" t="s">
        <v>5631</v>
      </c>
      <c r="G129" s="9" t="s">
        <v>5632</v>
      </c>
      <c r="H129" t="s">
        <v>5633</v>
      </c>
      <c r="I129">
        <v>0</v>
      </c>
      <c r="J129" t="s">
        <v>5350</v>
      </c>
      <c r="K129" t="s">
        <v>5118</v>
      </c>
      <c r="L129" t="s">
        <v>1954</v>
      </c>
      <c r="M129" t="s">
        <v>2905</v>
      </c>
      <c r="N129" t="s">
        <v>2905</v>
      </c>
      <c r="O129" t="s">
        <v>5119</v>
      </c>
    </row>
    <row r="130" spans="1:15" x14ac:dyDescent="0.25">
      <c r="A130" t="s">
        <v>5123</v>
      </c>
      <c r="B130" t="s">
        <v>2971</v>
      </c>
      <c r="C130" t="s">
        <v>4243</v>
      </c>
      <c r="D130" t="s">
        <v>3805</v>
      </c>
      <c r="E130" t="s">
        <v>5124</v>
      </c>
      <c r="F130" t="s">
        <v>5634</v>
      </c>
      <c r="G130" t="s">
        <v>5125</v>
      </c>
      <c r="H130" t="s">
        <v>5635</v>
      </c>
      <c r="I130" t="s">
        <v>3805</v>
      </c>
      <c r="J130" t="s">
        <v>2905</v>
      </c>
      <c r="K130" t="s">
        <v>5123</v>
      </c>
      <c r="L130" t="s">
        <v>1954</v>
      </c>
      <c r="M130" t="s">
        <v>4345</v>
      </c>
      <c r="N130" t="s">
        <v>2905</v>
      </c>
      <c r="O130" t="s">
        <v>4736</v>
      </c>
    </row>
    <row r="131" spans="1:15" x14ac:dyDescent="0.25">
      <c r="A131" t="s">
        <v>3986</v>
      </c>
      <c r="B131" t="s">
        <v>3807</v>
      </c>
      <c r="C131" t="s">
        <v>4768</v>
      </c>
      <c r="D131" t="s">
        <v>3805</v>
      </c>
      <c r="E131" t="s">
        <v>5126</v>
      </c>
      <c r="F131" t="s">
        <v>5636</v>
      </c>
      <c r="G131" t="s">
        <v>2905</v>
      </c>
      <c r="H131" t="s">
        <v>2905</v>
      </c>
      <c r="I131" t="s">
        <v>2905</v>
      </c>
      <c r="J131" t="s">
        <v>2905</v>
      </c>
      <c r="K131" t="s">
        <v>3986</v>
      </c>
      <c r="L131" t="s">
        <v>1954</v>
      </c>
      <c r="M131" t="s">
        <v>4347</v>
      </c>
      <c r="N131" t="s">
        <v>2905</v>
      </c>
      <c r="O131" t="s">
        <v>4770</v>
      </c>
    </row>
    <row r="132" spans="1:15" x14ac:dyDescent="0.25">
      <c r="A132" t="s">
        <v>5127</v>
      </c>
      <c r="B132" t="s">
        <v>2971</v>
      </c>
      <c r="C132" t="s">
        <v>4620</v>
      </c>
      <c r="D132">
        <v>2</v>
      </c>
      <c r="E132" s="9" t="s">
        <v>5128</v>
      </c>
      <c r="F132" t="s">
        <v>5637</v>
      </c>
      <c r="G132" s="9" t="s">
        <v>5129</v>
      </c>
      <c r="H132" t="s">
        <v>5638</v>
      </c>
      <c r="I132" t="s">
        <v>2905</v>
      </c>
      <c r="J132" t="s">
        <v>5300</v>
      </c>
      <c r="K132" t="s">
        <v>5130</v>
      </c>
      <c r="L132" t="s">
        <v>1954</v>
      </c>
      <c r="M132" t="s">
        <v>2905</v>
      </c>
      <c r="N132" t="s">
        <v>2905</v>
      </c>
      <c r="O132" t="s">
        <v>4675</v>
      </c>
    </row>
    <row r="133" spans="1:15" x14ac:dyDescent="0.25">
      <c r="A133" t="s">
        <v>3679</v>
      </c>
      <c r="B133" t="s">
        <v>2971</v>
      </c>
      <c r="C133" t="s">
        <v>4243</v>
      </c>
      <c r="D133">
        <v>1</v>
      </c>
      <c r="E133" s="9" t="s">
        <v>5138</v>
      </c>
      <c r="F133" t="s">
        <v>5639</v>
      </c>
      <c r="G133" s="9" t="s">
        <v>5138</v>
      </c>
      <c r="H133" t="s">
        <v>5639</v>
      </c>
      <c r="I133">
        <v>1</v>
      </c>
      <c r="J133" t="s">
        <v>5384</v>
      </c>
      <c r="K133" t="s">
        <v>3682</v>
      </c>
      <c r="L133" t="s">
        <v>1358</v>
      </c>
      <c r="M133" t="s">
        <v>2905</v>
      </c>
      <c r="N133" t="s">
        <v>2905</v>
      </c>
      <c r="O133" t="s">
        <v>5640</v>
      </c>
    </row>
    <row r="134" spans="1:15" x14ac:dyDescent="0.25">
      <c r="A134" t="s">
        <v>5139</v>
      </c>
      <c r="B134" t="s">
        <v>2971</v>
      </c>
      <c r="C134" t="s">
        <v>4620</v>
      </c>
      <c r="D134">
        <v>2</v>
      </c>
      <c r="E134" s="9" t="s">
        <v>5641</v>
      </c>
      <c r="F134" t="s">
        <v>5642</v>
      </c>
      <c r="G134" s="9" t="s">
        <v>2905</v>
      </c>
      <c r="H134" t="s">
        <v>2905</v>
      </c>
      <c r="I134" t="s">
        <v>2905</v>
      </c>
      <c r="J134" t="s">
        <v>5309</v>
      </c>
      <c r="K134" t="s">
        <v>5141</v>
      </c>
      <c r="L134" t="s">
        <v>1954</v>
      </c>
      <c r="M134" t="s">
        <v>2905</v>
      </c>
      <c r="N134" t="s">
        <v>4277</v>
      </c>
      <c r="O134" t="s">
        <v>4959</v>
      </c>
    </row>
    <row r="135" spans="1:15" x14ac:dyDescent="0.25">
      <c r="A135" t="s">
        <v>5142</v>
      </c>
      <c r="B135" t="s">
        <v>2971</v>
      </c>
      <c r="C135" t="s">
        <v>4243</v>
      </c>
      <c r="D135">
        <v>1</v>
      </c>
      <c r="E135" s="9" t="s">
        <v>5143</v>
      </c>
      <c r="F135" t="s">
        <v>5643</v>
      </c>
      <c r="G135" s="9" t="s">
        <v>5144</v>
      </c>
      <c r="H135" t="s">
        <v>5644</v>
      </c>
      <c r="I135">
        <v>1</v>
      </c>
      <c r="J135" t="s">
        <v>2905</v>
      </c>
      <c r="K135" t="s">
        <v>5145</v>
      </c>
      <c r="L135" t="s">
        <v>1954</v>
      </c>
      <c r="M135" t="s">
        <v>2905</v>
      </c>
      <c r="N135" t="s">
        <v>2905</v>
      </c>
      <c r="O135" t="s">
        <v>4899</v>
      </c>
    </row>
    <row r="136" spans="1:15" x14ac:dyDescent="0.25">
      <c r="A136" t="s">
        <v>5146</v>
      </c>
      <c r="B136" t="s">
        <v>2971</v>
      </c>
      <c r="C136" t="s">
        <v>4243</v>
      </c>
      <c r="D136">
        <v>1</v>
      </c>
      <c r="E136" s="9" t="s">
        <v>5147</v>
      </c>
      <c r="F136" t="s">
        <v>5645</v>
      </c>
      <c r="G136" s="9" t="s">
        <v>5147</v>
      </c>
      <c r="H136" t="s">
        <v>5645</v>
      </c>
      <c r="I136">
        <v>0</v>
      </c>
      <c r="J136" t="s">
        <v>2905</v>
      </c>
      <c r="K136" t="s">
        <v>5148</v>
      </c>
      <c r="L136" t="s">
        <v>1954</v>
      </c>
      <c r="M136" t="s">
        <v>4380</v>
      </c>
      <c r="N136" t="s">
        <v>2905</v>
      </c>
      <c r="O136" t="s">
        <v>5149</v>
      </c>
    </row>
    <row r="137" spans="1:15" x14ac:dyDescent="0.25">
      <c r="A137" t="s">
        <v>5150</v>
      </c>
      <c r="B137" t="s">
        <v>2952</v>
      </c>
      <c r="C137" t="s">
        <v>4243</v>
      </c>
      <c r="D137">
        <v>0</v>
      </c>
      <c r="E137" s="9" t="s">
        <v>5646</v>
      </c>
      <c r="F137" t="s">
        <v>5647</v>
      </c>
      <c r="G137" s="9" t="s">
        <v>5648</v>
      </c>
      <c r="H137" t="s">
        <v>5649</v>
      </c>
      <c r="I137">
        <v>0</v>
      </c>
      <c r="J137" t="s">
        <v>2905</v>
      </c>
      <c r="K137" t="s">
        <v>5150</v>
      </c>
      <c r="L137" t="s">
        <v>1954</v>
      </c>
      <c r="M137" t="s">
        <v>4380</v>
      </c>
      <c r="N137" t="s">
        <v>2905</v>
      </c>
      <c r="O137" t="s">
        <v>5153</v>
      </c>
    </row>
    <row r="138" spans="1:15" x14ac:dyDescent="0.25">
      <c r="A138" t="s">
        <v>5154</v>
      </c>
      <c r="B138" t="s">
        <v>2971</v>
      </c>
      <c r="C138" t="s">
        <v>4243</v>
      </c>
      <c r="D138">
        <v>1</v>
      </c>
      <c r="E138" s="9" t="s">
        <v>5155</v>
      </c>
      <c r="F138" t="s">
        <v>5650</v>
      </c>
      <c r="G138" s="9" t="s">
        <v>5156</v>
      </c>
      <c r="H138" t="s">
        <v>5651</v>
      </c>
      <c r="I138">
        <v>1</v>
      </c>
      <c r="J138" t="s">
        <v>2905</v>
      </c>
      <c r="K138" t="s">
        <v>5154</v>
      </c>
      <c r="L138" t="s">
        <v>1954</v>
      </c>
      <c r="M138" t="s">
        <v>2905</v>
      </c>
      <c r="N138" t="s">
        <v>2905</v>
      </c>
      <c r="O138" t="s">
        <v>4899</v>
      </c>
    </row>
    <row r="139" spans="1:15" x14ac:dyDescent="0.25">
      <c r="A139" t="s">
        <v>5157</v>
      </c>
      <c r="B139" t="s">
        <v>2971</v>
      </c>
      <c r="C139" t="s">
        <v>4243</v>
      </c>
      <c r="D139">
        <v>1</v>
      </c>
      <c r="E139" s="9" t="s">
        <v>5652</v>
      </c>
      <c r="F139" t="s">
        <v>5653</v>
      </c>
      <c r="G139" s="9" t="s">
        <v>5652</v>
      </c>
      <c r="H139" t="s">
        <v>5653</v>
      </c>
      <c r="I139">
        <v>0</v>
      </c>
      <c r="J139" t="s">
        <v>2905</v>
      </c>
      <c r="K139" t="s">
        <v>5157</v>
      </c>
      <c r="L139" t="s">
        <v>1954</v>
      </c>
      <c r="M139" t="s">
        <v>2905</v>
      </c>
      <c r="N139" t="s">
        <v>2905</v>
      </c>
      <c r="O139" t="s">
        <v>4722</v>
      </c>
    </row>
    <row r="140" spans="1:15" x14ac:dyDescent="0.25">
      <c r="A140" t="s">
        <v>5159</v>
      </c>
      <c r="B140" t="s">
        <v>2971</v>
      </c>
      <c r="C140" t="s">
        <v>4620</v>
      </c>
      <c r="D140">
        <v>2</v>
      </c>
      <c r="E140" s="9" t="s">
        <v>5654</v>
      </c>
      <c r="F140" t="s">
        <v>5655</v>
      </c>
      <c r="G140" s="9" t="s">
        <v>5656</v>
      </c>
      <c r="H140" t="s">
        <v>5657</v>
      </c>
      <c r="I140">
        <v>2</v>
      </c>
      <c r="J140" t="s">
        <v>5384</v>
      </c>
      <c r="K140" t="s">
        <v>5162</v>
      </c>
      <c r="L140" t="s">
        <v>1954</v>
      </c>
      <c r="M140" t="s">
        <v>2905</v>
      </c>
      <c r="N140" t="s">
        <v>2905</v>
      </c>
      <c r="O140" t="s">
        <v>4904</v>
      </c>
    </row>
    <row r="141" spans="1:15" x14ac:dyDescent="0.25">
      <c r="A141" t="s">
        <v>5163</v>
      </c>
      <c r="B141" t="s">
        <v>3807</v>
      </c>
      <c r="C141" t="s">
        <v>4768</v>
      </c>
      <c r="D141" t="s">
        <v>3805</v>
      </c>
      <c r="E141" t="s">
        <v>5164</v>
      </c>
      <c r="F141" t="s">
        <v>5658</v>
      </c>
      <c r="G141" t="s">
        <v>2905</v>
      </c>
      <c r="H141" t="s">
        <v>2905</v>
      </c>
      <c r="I141" t="s">
        <v>2905</v>
      </c>
      <c r="J141" t="s">
        <v>2905</v>
      </c>
      <c r="K141" t="s">
        <v>5163</v>
      </c>
      <c r="L141" t="s">
        <v>1954</v>
      </c>
      <c r="M141" t="s">
        <v>4347</v>
      </c>
      <c r="N141" t="s">
        <v>2905</v>
      </c>
      <c r="O141" t="s">
        <v>4770</v>
      </c>
    </row>
    <row r="142" spans="1:15" x14ac:dyDescent="0.25">
      <c r="A142" t="s">
        <v>5165</v>
      </c>
      <c r="B142" t="s">
        <v>3807</v>
      </c>
      <c r="C142" t="s">
        <v>4620</v>
      </c>
      <c r="D142">
        <v>0</v>
      </c>
      <c r="E142" t="s">
        <v>5166</v>
      </c>
      <c r="F142" t="s">
        <v>5659</v>
      </c>
      <c r="G142" t="s">
        <v>5167</v>
      </c>
      <c r="H142" t="s">
        <v>5316</v>
      </c>
      <c r="I142">
        <v>0</v>
      </c>
      <c r="J142" t="s">
        <v>5317</v>
      </c>
      <c r="K142" t="s">
        <v>5165</v>
      </c>
      <c r="L142" t="s">
        <v>1954</v>
      </c>
      <c r="M142" t="s">
        <v>4380</v>
      </c>
      <c r="N142" t="s">
        <v>2905</v>
      </c>
      <c r="O142" t="s">
        <v>5660</v>
      </c>
    </row>
    <row r="143" spans="1:15" x14ac:dyDescent="0.25">
      <c r="A143" t="s">
        <v>5168</v>
      </c>
      <c r="B143" t="s">
        <v>2971</v>
      </c>
      <c r="C143" t="s">
        <v>4243</v>
      </c>
      <c r="D143">
        <v>2</v>
      </c>
      <c r="E143" s="9" t="s">
        <v>5169</v>
      </c>
      <c r="F143" t="s">
        <v>5661</v>
      </c>
      <c r="G143" s="9" t="s">
        <v>5170</v>
      </c>
      <c r="H143" t="s">
        <v>5662</v>
      </c>
      <c r="I143">
        <v>2</v>
      </c>
      <c r="J143" t="s">
        <v>2905</v>
      </c>
      <c r="K143" t="s">
        <v>5168</v>
      </c>
      <c r="L143" t="s">
        <v>1954</v>
      </c>
      <c r="M143" t="s">
        <v>4380</v>
      </c>
      <c r="N143" t="s">
        <v>2905</v>
      </c>
      <c r="O143" t="s">
        <v>4837</v>
      </c>
    </row>
    <row r="144" spans="1:15" x14ac:dyDescent="0.25">
      <c r="A144" t="s">
        <v>5171</v>
      </c>
      <c r="B144" t="s">
        <v>2959</v>
      </c>
      <c r="C144" t="s">
        <v>4243</v>
      </c>
      <c r="D144">
        <v>1</v>
      </c>
      <c r="E144" t="s">
        <v>5172</v>
      </c>
      <c r="F144" t="s">
        <v>5663</v>
      </c>
      <c r="G144" t="s">
        <v>5173</v>
      </c>
      <c r="H144" t="s">
        <v>5664</v>
      </c>
      <c r="I144">
        <v>1</v>
      </c>
      <c r="J144" t="s">
        <v>2905</v>
      </c>
      <c r="K144" t="s">
        <v>5174</v>
      </c>
      <c r="L144" t="s">
        <v>1954</v>
      </c>
      <c r="M144" t="s">
        <v>2905</v>
      </c>
      <c r="N144" t="s">
        <v>2905</v>
      </c>
      <c r="O144" t="s">
        <v>5175</v>
      </c>
    </row>
    <row r="145" spans="1:15" x14ac:dyDescent="0.25">
      <c r="A145" t="s">
        <v>5176</v>
      </c>
      <c r="B145" t="s">
        <v>2971</v>
      </c>
      <c r="C145" t="s">
        <v>4620</v>
      </c>
      <c r="D145" t="s">
        <v>4846</v>
      </c>
      <c r="E145" t="s">
        <v>5177</v>
      </c>
      <c r="F145" t="s">
        <v>5665</v>
      </c>
      <c r="G145" t="s">
        <v>5178</v>
      </c>
      <c r="H145" t="s">
        <v>5666</v>
      </c>
      <c r="I145" t="s">
        <v>4846</v>
      </c>
      <c r="J145" t="s">
        <v>5667</v>
      </c>
      <c r="K145" t="s">
        <v>5176</v>
      </c>
      <c r="L145" t="s">
        <v>1954</v>
      </c>
      <c r="M145" t="s">
        <v>2905</v>
      </c>
      <c r="N145" t="s">
        <v>2905</v>
      </c>
      <c r="O145" t="s">
        <v>4675</v>
      </c>
    </row>
    <row r="146" spans="1:15" x14ac:dyDescent="0.25">
      <c r="A146" t="s">
        <v>5179</v>
      </c>
      <c r="B146" t="s">
        <v>2959</v>
      </c>
      <c r="C146" t="s">
        <v>4620</v>
      </c>
      <c r="D146">
        <v>0</v>
      </c>
      <c r="E146" s="9" t="s">
        <v>5180</v>
      </c>
      <c r="F146" t="s">
        <v>5668</v>
      </c>
      <c r="G146" s="9" t="s">
        <v>5181</v>
      </c>
      <c r="H146" t="s">
        <v>5669</v>
      </c>
      <c r="I146">
        <v>0</v>
      </c>
      <c r="J146" t="s">
        <v>5384</v>
      </c>
      <c r="K146" t="s">
        <v>5179</v>
      </c>
      <c r="L146" t="s">
        <v>1954</v>
      </c>
      <c r="M146" t="s">
        <v>2905</v>
      </c>
      <c r="N146" t="s">
        <v>2905</v>
      </c>
      <c r="O146" t="s">
        <v>4675</v>
      </c>
    </row>
    <row r="147" spans="1:15" x14ac:dyDescent="0.25">
      <c r="A147" t="s">
        <v>5182</v>
      </c>
      <c r="B147" t="s">
        <v>3807</v>
      </c>
      <c r="C147" t="s">
        <v>4689</v>
      </c>
      <c r="D147">
        <v>1</v>
      </c>
      <c r="E147" t="s">
        <v>5183</v>
      </c>
      <c r="F147" t="s">
        <v>5670</v>
      </c>
      <c r="G147" t="s">
        <v>2905</v>
      </c>
      <c r="H147" t="s">
        <v>2905</v>
      </c>
      <c r="I147" t="s">
        <v>2905</v>
      </c>
      <c r="J147" t="s">
        <v>2905</v>
      </c>
      <c r="K147" t="s">
        <v>5182</v>
      </c>
      <c r="L147" t="s">
        <v>1954</v>
      </c>
      <c r="M147" t="s">
        <v>4380</v>
      </c>
      <c r="N147" t="s">
        <v>2905</v>
      </c>
      <c r="O147" t="s">
        <v>5359</v>
      </c>
    </row>
    <row r="148" spans="1:15" x14ac:dyDescent="0.25">
      <c r="A148" t="s">
        <v>5184</v>
      </c>
      <c r="B148" t="s">
        <v>2959</v>
      </c>
      <c r="C148" t="s">
        <v>4620</v>
      </c>
      <c r="D148">
        <v>2</v>
      </c>
      <c r="E148" s="9" t="s">
        <v>5185</v>
      </c>
      <c r="F148" t="s">
        <v>5671</v>
      </c>
      <c r="G148" s="9" t="s">
        <v>5186</v>
      </c>
      <c r="H148" t="s">
        <v>5672</v>
      </c>
      <c r="I148">
        <v>2</v>
      </c>
      <c r="J148" t="s">
        <v>5300</v>
      </c>
      <c r="K148" t="s">
        <v>5187</v>
      </c>
      <c r="L148" t="s">
        <v>1954</v>
      </c>
      <c r="M148" t="s">
        <v>2905</v>
      </c>
      <c r="N148" t="s">
        <v>2905</v>
      </c>
      <c r="O148" t="s">
        <v>4925</v>
      </c>
    </row>
    <row r="149" spans="1:15" x14ac:dyDescent="0.25">
      <c r="A149" t="s">
        <v>5189</v>
      </c>
      <c r="B149" t="s">
        <v>2971</v>
      </c>
      <c r="C149" t="s">
        <v>4243</v>
      </c>
      <c r="D149">
        <v>1</v>
      </c>
      <c r="E149" s="9" t="s">
        <v>5190</v>
      </c>
      <c r="F149" t="s">
        <v>5673</v>
      </c>
      <c r="G149" s="9" t="s">
        <v>5191</v>
      </c>
      <c r="H149" t="s">
        <v>5674</v>
      </c>
      <c r="I149">
        <v>1</v>
      </c>
      <c r="J149" t="s">
        <v>2905</v>
      </c>
      <c r="K149" t="s">
        <v>5192</v>
      </c>
      <c r="L149" t="s">
        <v>1954</v>
      </c>
      <c r="M149" t="s">
        <v>2905</v>
      </c>
      <c r="N149" t="s">
        <v>2905</v>
      </c>
      <c r="O149" t="s">
        <v>4827</v>
      </c>
    </row>
    <row r="150" spans="1:15" x14ac:dyDescent="0.25">
      <c r="A150" t="s">
        <v>5193</v>
      </c>
      <c r="B150" t="s">
        <v>2952</v>
      </c>
      <c r="C150" t="s">
        <v>4243</v>
      </c>
      <c r="D150">
        <v>1</v>
      </c>
      <c r="E150" t="s">
        <v>5194</v>
      </c>
      <c r="F150" t="s">
        <v>5675</v>
      </c>
      <c r="G150" t="s">
        <v>5195</v>
      </c>
      <c r="H150" t="s">
        <v>5676</v>
      </c>
      <c r="I150">
        <v>1</v>
      </c>
      <c r="J150" t="s">
        <v>2905</v>
      </c>
      <c r="K150" t="s">
        <v>5196</v>
      </c>
      <c r="L150" t="s">
        <v>1954</v>
      </c>
      <c r="M150" t="s">
        <v>2905</v>
      </c>
      <c r="N150" t="s">
        <v>2905</v>
      </c>
      <c r="O150" t="s">
        <v>5197</v>
      </c>
    </row>
    <row r="151" spans="1:15" x14ac:dyDescent="0.25">
      <c r="A151" t="s">
        <v>5677</v>
      </c>
      <c r="B151" t="s">
        <v>2983</v>
      </c>
      <c r="C151" t="s">
        <v>4620</v>
      </c>
      <c r="D151">
        <v>1</v>
      </c>
      <c r="E151" t="s">
        <v>5180</v>
      </c>
      <c r="F151" t="s">
        <v>5668</v>
      </c>
      <c r="G151" t="s">
        <v>5181</v>
      </c>
      <c r="H151" t="s">
        <v>5669</v>
      </c>
      <c r="I151">
        <v>1</v>
      </c>
      <c r="J151" t="s">
        <v>5309</v>
      </c>
      <c r="K151" t="s">
        <v>5678</v>
      </c>
      <c r="L151" t="s">
        <v>1954</v>
      </c>
      <c r="M151" t="s">
        <v>2905</v>
      </c>
      <c r="N151" t="s">
        <v>2905</v>
      </c>
      <c r="O151" t="s">
        <v>5679</v>
      </c>
    </row>
    <row r="152" spans="1:15" x14ac:dyDescent="0.25">
      <c r="A152" t="s">
        <v>5680</v>
      </c>
      <c r="B152" t="s">
        <v>2983</v>
      </c>
      <c r="C152" t="s">
        <v>4620</v>
      </c>
      <c r="D152">
        <v>1</v>
      </c>
      <c r="E152" t="s">
        <v>5180</v>
      </c>
      <c r="F152" t="s">
        <v>5668</v>
      </c>
      <c r="G152" t="s">
        <v>5181</v>
      </c>
      <c r="H152" t="s">
        <v>5669</v>
      </c>
      <c r="I152">
        <v>1</v>
      </c>
      <c r="J152" t="s">
        <v>5292</v>
      </c>
      <c r="K152" t="s">
        <v>5681</v>
      </c>
      <c r="L152" t="s">
        <v>1954</v>
      </c>
      <c r="M152" t="s">
        <v>2905</v>
      </c>
      <c r="N152" t="s">
        <v>2905</v>
      </c>
      <c r="O152" t="s">
        <v>5679</v>
      </c>
    </row>
    <row r="153" spans="1:15" x14ac:dyDescent="0.25">
      <c r="A153" t="s">
        <v>5199</v>
      </c>
      <c r="B153" t="s">
        <v>2959</v>
      </c>
      <c r="C153" t="s">
        <v>4620</v>
      </c>
      <c r="D153">
        <v>1</v>
      </c>
      <c r="E153" t="s">
        <v>5200</v>
      </c>
      <c r="F153" t="s">
        <v>5682</v>
      </c>
      <c r="G153" t="s">
        <v>5201</v>
      </c>
      <c r="H153" t="s">
        <v>5683</v>
      </c>
      <c r="I153">
        <v>1</v>
      </c>
      <c r="J153" t="s">
        <v>5292</v>
      </c>
      <c r="K153" t="s">
        <v>5202</v>
      </c>
      <c r="L153" t="s">
        <v>1954</v>
      </c>
      <c r="M153" t="s">
        <v>2905</v>
      </c>
      <c r="N153" t="s">
        <v>2905</v>
      </c>
      <c r="O153" t="s">
        <v>4651</v>
      </c>
    </row>
    <row r="154" spans="1:15" x14ac:dyDescent="0.25">
      <c r="A154" t="s">
        <v>4594</v>
      </c>
      <c r="B154" t="s">
        <v>2983</v>
      </c>
      <c r="C154" t="s">
        <v>4243</v>
      </c>
      <c r="D154">
        <v>1</v>
      </c>
      <c r="E154" t="s">
        <v>5203</v>
      </c>
      <c r="F154" t="s">
        <v>5684</v>
      </c>
      <c r="G154" t="s">
        <v>5204</v>
      </c>
      <c r="H154" t="s">
        <v>5685</v>
      </c>
      <c r="I154">
        <v>1</v>
      </c>
      <c r="J154" t="s">
        <v>2905</v>
      </c>
      <c r="K154" t="s">
        <v>4594</v>
      </c>
      <c r="L154" t="s">
        <v>1954</v>
      </c>
      <c r="M154" t="s">
        <v>2905</v>
      </c>
      <c r="N154" t="s">
        <v>2905</v>
      </c>
      <c r="O154" t="s">
        <v>5205</v>
      </c>
    </row>
    <row r="155" spans="1:15" x14ac:dyDescent="0.25">
      <c r="A155" t="s">
        <v>5206</v>
      </c>
      <c r="B155" t="s">
        <v>2959</v>
      </c>
      <c r="C155" t="s">
        <v>4620</v>
      </c>
      <c r="D155">
        <v>1</v>
      </c>
      <c r="E155" t="s">
        <v>5207</v>
      </c>
      <c r="F155" t="s">
        <v>5686</v>
      </c>
      <c r="G155" t="s">
        <v>5208</v>
      </c>
      <c r="H155" t="s">
        <v>5687</v>
      </c>
      <c r="I155">
        <v>1</v>
      </c>
      <c r="J155" t="s">
        <v>5688</v>
      </c>
      <c r="K155" t="s">
        <v>5209</v>
      </c>
      <c r="L155" t="s">
        <v>1954</v>
      </c>
      <c r="M155" t="s">
        <v>2905</v>
      </c>
      <c r="N155" t="s">
        <v>2905</v>
      </c>
      <c r="O155" t="s">
        <v>5210</v>
      </c>
    </row>
    <row r="156" spans="1:15" x14ac:dyDescent="0.25">
      <c r="A156" t="s">
        <v>5211</v>
      </c>
      <c r="B156" t="s">
        <v>2959</v>
      </c>
      <c r="C156" t="s">
        <v>4620</v>
      </c>
      <c r="D156">
        <v>1</v>
      </c>
      <c r="E156" t="s">
        <v>5689</v>
      </c>
      <c r="F156" t="s">
        <v>5690</v>
      </c>
      <c r="G156" t="s">
        <v>5691</v>
      </c>
      <c r="H156" t="s">
        <v>5692</v>
      </c>
      <c r="I156">
        <v>1</v>
      </c>
      <c r="J156" t="s">
        <v>5693</v>
      </c>
      <c r="K156" t="s">
        <v>5214</v>
      </c>
      <c r="L156" t="s">
        <v>1954</v>
      </c>
      <c r="M156" t="s">
        <v>4315</v>
      </c>
      <c r="N156" t="s">
        <v>2905</v>
      </c>
      <c r="O156" t="s">
        <v>4633</v>
      </c>
    </row>
    <row r="157" spans="1:15" x14ac:dyDescent="0.25">
      <c r="A157" t="s">
        <v>5215</v>
      </c>
      <c r="B157" t="s">
        <v>2971</v>
      </c>
      <c r="C157" t="s">
        <v>4243</v>
      </c>
      <c r="D157" t="s">
        <v>3805</v>
      </c>
      <c r="E157" t="s">
        <v>5216</v>
      </c>
      <c r="F157" t="s">
        <v>5694</v>
      </c>
      <c r="G157" t="s">
        <v>5217</v>
      </c>
      <c r="H157" t="s">
        <v>5645</v>
      </c>
      <c r="I157" t="s">
        <v>3805</v>
      </c>
      <c r="J157" t="s">
        <v>2905</v>
      </c>
      <c r="K157" t="s">
        <v>5215</v>
      </c>
      <c r="L157" t="s">
        <v>1954</v>
      </c>
      <c r="M157" t="s">
        <v>4345</v>
      </c>
      <c r="N157" t="s">
        <v>2905</v>
      </c>
      <c r="O157" t="s">
        <v>5218</v>
      </c>
    </row>
    <row r="158" spans="1:15" x14ac:dyDescent="0.25">
      <c r="A158" t="s">
        <v>5223</v>
      </c>
      <c r="B158" t="s">
        <v>2971</v>
      </c>
      <c r="C158" t="s">
        <v>4243</v>
      </c>
      <c r="D158">
        <v>1</v>
      </c>
      <c r="E158" t="s">
        <v>5224</v>
      </c>
      <c r="F158" t="s">
        <v>5695</v>
      </c>
      <c r="G158" t="s">
        <v>5224</v>
      </c>
      <c r="H158" t="s">
        <v>5695</v>
      </c>
      <c r="I158">
        <v>0</v>
      </c>
      <c r="J158" t="s">
        <v>5350</v>
      </c>
      <c r="K158" t="s">
        <v>5223</v>
      </c>
      <c r="L158" t="s">
        <v>1954</v>
      </c>
      <c r="M158" t="s">
        <v>4380</v>
      </c>
      <c r="N158" t="s">
        <v>2905</v>
      </c>
      <c r="O158" t="s">
        <v>5031</v>
      </c>
    </row>
    <row r="159" spans="1:15" x14ac:dyDescent="0.25">
      <c r="A159" t="s">
        <v>5225</v>
      </c>
      <c r="B159" t="s">
        <v>2959</v>
      </c>
      <c r="C159" t="s">
        <v>4620</v>
      </c>
      <c r="D159">
        <v>1</v>
      </c>
      <c r="E159" t="s">
        <v>5696</v>
      </c>
      <c r="F159" t="s">
        <v>5697</v>
      </c>
      <c r="G159" t="s">
        <v>5698</v>
      </c>
      <c r="H159" t="s">
        <v>5699</v>
      </c>
      <c r="I159">
        <v>1</v>
      </c>
      <c r="J159" t="s">
        <v>5700</v>
      </c>
      <c r="K159" t="s">
        <v>5225</v>
      </c>
      <c r="L159" t="s">
        <v>1954</v>
      </c>
      <c r="M159" t="s">
        <v>2905</v>
      </c>
      <c r="N159" t="s">
        <v>4274</v>
      </c>
      <c r="O159" t="s">
        <v>5701</v>
      </c>
    </row>
    <row r="160" spans="1:15" x14ac:dyDescent="0.25">
      <c r="A160" t="s">
        <v>5231</v>
      </c>
      <c r="B160" t="s">
        <v>2959</v>
      </c>
      <c r="C160" t="s">
        <v>4243</v>
      </c>
      <c r="D160">
        <v>1</v>
      </c>
      <c r="E160" s="9" t="s">
        <v>5232</v>
      </c>
      <c r="F160" t="s">
        <v>5702</v>
      </c>
      <c r="G160" s="9" t="s">
        <v>5233</v>
      </c>
      <c r="H160" t="s">
        <v>5703</v>
      </c>
      <c r="I160">
        <v>1</v>
      </c>
      <c r="J160" t="s">
        <v>2905</v>
      </c>
      <c r="K160" t="s">
        <v>5234</v>
      </c>
      <c r="L160" t="s">
        <v>1954</v>
      </c>
      <c r="M160" t="s">
        <v>2905</v>
      </c>
      <c r="N160" t="s">
        <v>2905</v>
      </c>
      <c r="O160" t="s">
        <v>4899</v>
      </c>
    </row>
    <row r="161" spans="1:15" x14ac:dyDescent="0.25">
      <c r="A161" t="s">
        <v>5235</v>
      </c>
      <c r="B161" t="s">
        <v>2959</v>
      </c>
      <c r="C161" t="s">
        <v>4620</v>
      </c>
      <c r="D161">
        <v>1</v>
      </c>
      <c r="E161" t="s">
        <v>5236</v>
      </c>
      <c r="F161" t="s">
        <v>5704</v>
      </c>
      <c r="G161" t="s">
        <v>5237</v>
      </c>
      <c r="H161" t="s">
        <v>5705</v>
      </c>
      <c r="I161">
        <v>1</v>
      </c>
      <c r="J161" t="s">
        <v>5309</v>
      </c>
      <c r="K161" t="s">
        <v>5238</v>
      </c>
      <c r="L161" t="s">
        <v>1954</v>
      </c>
      <c r="M161" t="s">
        <v>2905</v>
      </c>
      <c r="N161" t="s">
        <v>2905</v>
      </c>
      <c r="O161" t="s">
        <v>5706</v>
      </c>
    </row>
    <row r="162" spans="1:15" x14ac:dyDescent="0.25">
      <c r="A162" t="s">
        <v>5239</v>
      </c>
      <c r="B162" t="s">
        <v>2952</v>
      </c>
      <c r="C162" t="s">
        <v>4620</v>
      </c>
      <c r="D162">
        <v>1</v>
      </c>
      <c r="E162" s="9" t="s">
        <v>5240</v>
      </c>
      <c r="F162" t="s">
        <v>5707</v>
      </c>
      <c r="G162" s="9" t="s">
        <v>5241</v>
      </c>
      <c r="H162" t="s">
        <v>5708</v>
      </c>
      <c r="I162">
        <v>1</v>
      </c>
      <c r="J162" t="s">
        <v>5416</v>
      </c>
      <c r="K162" t="s">
        <v>5239</v>
      </c>
      <c r="L162" t="s">
        <v>1954</v>
      </c>
      <c r="M162" t="s">
        <v>2905</v>
      </c>
      <c r="N162" t="s">
        <v>2905</v>
      </c>
      <c r="O162" t="s">
        <v>4882</v>
      </c>
    </row>
    <row r="163" spans="1:15" x14ac:dyDescent="0.25">
      <c r="A163" t="s">
        <v>5242</v>
      </c>
      <c r="B163" t="s">
        <v>2971</v>
      </c>
      <c r="C163" t="s">
        <v>4620</v>
      </c>
      <c r="D163">
        <v>2</v>
      </c>
      <c r="E163" t="s">
        <v>5243</v>
      </c>
      <c r="F163" t="s">
        <v>5709</v>
      </c>
      <c r="G163" t="s">
        <v>5244</v>
      </c>
      <c r="H163" t="s">
        <v>5710</v>
      </c>
      <c r="I163">
        <v>2</v>
      </c>
      <c r="J163" t="s">
        <v>5292</v>
      </c>
      <c r="K163" t="s">
        <v>5242</v>
      </c>
      <c r="L163" t="s">
        <v>1954</v>
      </c>
      <c r="M163" t="s">
        <v>2905</v>
      </c>
      <c r="N163" t="s">
        <v>2905</v>
      </c>
      <c r="O163" t="s">
        <v>4766</v>
      </c>
    </row>
    <row r="164" spans="1:15" x14ac:dyDescent="0.25">
      <c r="A164" t="s">
        <v>5246</v>
      </c>
      <c r="B164" t="s">
        <v>2959</v>
      </c>
      <c r="C164" t="s">
        <v>4243</v>
      </c>
      <c r="D164">
        <v>0</v>
      </c>
      <c r="E164" t="s">
        <v>5247</v>
      </c>
      <c r="F164" t="s">
        <v>5711</v>
      </c>
      <c r="G164" t="s">
        <v>5248</v>
      </c>
      <c r="H164" t="s">
        <v>5712</v>
      </c>
      <c r="I164">
        <v>0</v>
      </c>
      <c r="J164" t="s">
        <v>2905</v>
      </c>
      <c r="K164" t="s">
        <v>5246</v>
      </c>
      <c r="L164" t="s">
        <v>1954</v>
      </c>
      <c r="M164" t="s">
        <v>4380</v>
      </c>
      <c r="N164" t="s">
        <v>2905</v>
      </c>
      <c r="O164" t="s">
        <v>4661</v>
      </c>
    </row>
    <row r="165" spans="1:15" x14ac:dyDescent="0.25">
      <c r="A165" t="s">
        <v>4174</v>
      </c>
      <c r="B165" t="s">
        <v>2971</v>
      </c>
      <c r="C165" t="s">
        <v>3453</v>
      </c>
      <c r="D165">
        <v>1</v>
      </c>
      <c r="E165" s="9" t="s">
        <v>5713</v>
      </c>
      <c r="F165" t="s">
        <v>5714</v>
      </c>
      <c r="G165" s="9" t="s">
        <v>5715</v>
      </c>
      <c r="H165" t="s">
        <v>5716</v>
      </c>
      <c r="I165">
        <v>1</v>
      </c>
      <c r="J165" t="s">
        <v>2905</v>
      </c>
      <c r="K165" t="s">
        <v>4176</v>
      </c>
      <c r="L165" t="s">
        <v>1954</v>
      </c>
      <c r="M165" t="s">
        <v>2905</v>
      </c>
      <c r="N165" t="s">
        <v>2905</v>
      </c>
      <c r="O165" t="s">
        <v>5717</v>
      </c>
    </row>
    <row r="166" spans="1:15" x14ac:dyDescent="0.25">
      <c r="A166" t="s">
        <v>5252</v>
      </c>
      <c r="B166" t="s">
        <v>2971</v>
      </c>
      <c r="C166" t="s">
        <v>4620</v>
      </c>
      <c r="D166" t="s">
        <v>4846</v>
      </c>
      <c r="E166" t="s">
        <v>5718</v>
      </c>
      <c r="F166" t="s">
        <v>5719</v>
      </c>
      <c r="G166" t="s">
        <v>5720</v>
      </c>
      <c r="H166" t="s">
        <v>5721</v>
      </c>
      <c r="I166" t="s">
        <v>4846</v>
      </c>
      <c r="J166" t="s">
        <v>5389</v>
      </c>
      <c r="K166" t="s">
        <v>5252</v>
      </c>
      <c r="L166" t="s">
        <v>1954</v>
      </c>
      <c r="M166" t="s">
        <v>2905</v>
      </c>
      <c r="N166" t="s">
        <v>2905</v>
      </c>
      <c r="O166" t="s">
        <v>4758</v>
      </c>
    </row>
    <row r="167" spans="1:15" x14ac:dyDescent="0.25">
      <c r="A167" t="s">
        <v>5255</v>
      </c>
      <c r="B167" t="s">
        <v>2971</v>
      </c>
      <c r="C167" t="s">
        <v>4243</v>
      </c>
      <c r="D167">
        <v>1</v>
      </c>
      <c r="E167" s="9" t="s">
        <v>5256</v>
      </c>
      <c r="F167" t="s">
        <v>5722</v>
      </c>
      <c r="G167" s="9" t="s">
        <v>5256</v>
      </c>
      <c r="H167" t="s">
        <v>5722</v>
      </c>
      <c r="I167">
        <v>0</v>
      </c>
      <c r="J167" t="s">
        <v>2905</v>
      </c>
      <c r="K167" t="s">
        <v>5257</v>
      </c>
      <c r="L167" t="s">
        <v>1954</v>
      </c>
      <c r="M167" t="s">
        <v>4380</v>
      </c>
      <c r="N167" t="s">
        <v>2905</v>
      </c>
      <c r="O167" t="s">
        <v>5723</v>
      </c>
    </row>
    <row r="168" spans="1:15" x14ac:dyDescent="0.25">
      <c r="A168" t="s">
        <v>5259</v>
      </c>
      <c r="B168" t="s">
        <v>2959</v>
      </c>
      <c r="C168" t="s">
        <v>4620</v>
      </c>
      <c r="D168">
        <v>1</v>
      </c>
      <c r="E168" s="9" t="s">
        <v>5260</v>
      </c>
      <c r="F168" t="s">
        <v>5724</v>
      </c>
      <c r="G168" s="9" t="s">
        <v>5261</v>
      </c>
      <c r="H168" t="s">
        <v>5725</v>
      </c>
      <c r="I168">
        <v>1</v>
      </c>
      <c r="J168" t="s">
        <v>5350</v>
      </c>
      <c r="K168" t="s">
        <v>5262</v>
      </c>
      <c r="L168" t="s">
        <v>1954</v>
      </c>
      <c r="M168" t="s">
        <v>2905</v>
      </c>
      <c r="N168" t="s">
        <v>2905</v>
      </c>
      <c r="O168" t="s">
        <v>5119</v>
      </c>
    </row>
    <row r="169" spans="1:15" x14ac:dyDescent="0.25">
      <c r="A169" t="s">
        <v>5263</v>
      </c>
      <c r="B169" t="s">
        <v>3807</v>
      </c>
      <c r="C169" t="s">
        <v>4689</v>
      </c>
      <c r="D169" t="s">
        <v>3805</v>
      </c>
      <c r="E169" s="9" t="s">
        <v>4988</v>
      </c>
      <c r="F169" t="s">
        <v>5397</v>
      </c>
      <c r="G169" s="9" t="s">
        <v>2905</v>
      </c>
      <c r="H169" t="s">
        <v>2905</v>
      </c>
      <c r="I169" t="s">
        <v>2905</v>
      </c>
      <c r="J169" t="s">
        <v>2905</v>
      </c>
      <c r="K169" t="s">
        <v>5263</v>
      </c>
      <c r="L169" t="s">
        <v>1954</v>
      </c>
      <c r="M169" t="s">
        <v>2905</v>
      </c>
      <c r="N169" t="s">
        <v>2905</v>
      </c>
      <c r="O169" t="s">
        <v>5359</v>
      </c>
    </row>
    <row r="170" spans="1:15" x14ac:dyDescent="0.25">
      <c r="A170" t="s">
        <v>5264</v>
      </c>
      <c r="B170" t="s">
        <v>2952</v>
      </c>
      <c r="C170" t="s">
        <v>3453</v>
      </c>
      <c r="D170">
        <v>3</v>
      </c>
      <c r="E170" s="9" t="s">
        <v>5726</v>
      </c>
      <c r="F170" t="s">
        <v>5727</v>
      </c>
      <c r="G170" s="9" t="s">
        <v>5728</v>
      </c>
      <c r="H170" t="s">
        <v>5729</v>
      </c>
      <c r="I170" t="s">
        <v>2905</v>
      </c>
      <c r="J170" t="s">
        <v>2905</v>
      </c>
      <c r="K170" t="s">
        <v>5267</v>
      </c>
      <c r="L170" t="s">
        <v>1954</v>
      </c>
      <c r="M170" t="s">
        <v>2905</v>
      </c>
      <c r="N170" t="s">
        <v>2905</v>
      </c>
      <c r="O170" t="s">
        <v>4615</v>
      </c>
    </row>
    <row r="171" spans="1:15" x14ac:dyDescent="0.25">
      <c r="A171" t="s">
        <v>5268</v>
      </c>
      <c r="B171" t="s">
        <v>3807</v>
      </c>
      <c r="C171" t="s">
        <v>4768</v>
      </c>
      <c r="D171" t="s">
        <v>3805</v>
      </c>
      <c r="E171" t="s">
        <v>5269</v>
      </c>
      <c r="F171" t="s">
        <v>5397</v>
      </c>
      <c r="G171" t="s">
        <v>2905</v>
      </c>
      <c r="H171" t="s">
        <v>2905</v>
      </c>
      <c r="I171" t="s">
        <v>2905</v>
      </c>
      <c r="J171" t="s">
        <v>2905</v>
      </c>
      <c r="K171" t="s">
        <v>5268</v>
      </c>
      <c r="L171" t="s">
        <v>1954</v>
      </c>
      <c r="M171" t="s">
        <v>4347</v>
      </c>
      <c r="N171" t="s">
        <v>2905</v>
      </c>
      <c r="O171" t="s">
        <v>4770</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52</v>
      </c>
      <c r="B1" t="s">
        <v>5730</v>
      </c>
      <c r="C1" t="s">
        <v>5731</v>
      </c>
      <c r="D1" t="s">
        <v>2899</v>
      </c>
      <c r="E1" t="s">
        <v>2947</v>
      </c>
      <c r="F1" t="s">
        <v>5732</v>
      </c>
    </row>
    <row r="2" spans="1:6" ht="15" customHeight="1" x14ac:dyDescent="0.25">
      <c r="A2" t="s">
        <v>5733</v>
      </c>
      <c r="B2" t="s">
        <v>3549</v>
      </c>
      <c r="C2" t="s">
        <v>5734</v>
      </c>
      <c r="D2" t="s">
        <v>5735</v>
      </c>
      <c r="E2" t="s">
        <v>5736</v>
      </c>
      <c r="F2" t="s">
        <v>5737</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52</v>
      </c>
      <c r="B1" t="s">
        <v>2899</v>
      </c>
      <c r="C1" t="s">
        <v>5738</v>
      </c>
      <c r="D1" t="s">
        <v>57</v>
      </c>
      <c r="E1" t="s">
        <v>3300</v>
      </c>
      <c r="F1" t="s">
        <v>3795</v>
      </c>
    </row>
    <row r="2" spans="1:6" ht="15" customHeight="1" x14ac:dyDescent="0.25">
      <c r="A2" t="s">
        <v>5739</v>
      </c>
      <c r="B2" t="s">
        <v>5740</v>
      </c>
      <c r="C2" t="s">
        <v>4056</v>
      </c>
      <c r="D2" t="s">
        <v>4689</v>
      </c>
      <c r="E2" t="s">
        <v>2905</v>
      </c>
      <c r="F2" t="s">
        <v>2905</v>
      </c>
    </row>
    <row r="3" spans="1:6" ht="15" customHeight="1" x14ac:dyDescent="0.25">
      <c r="A3" t="s">
        <v>5741</v>
      </c>
      <c r="B3" t="s">
        <v>5742</v>
      </c>
      <c r="C3" t="s">
        <v>5743</v>
      </c>
      <c r="D3" t="s">
        <v>4689</v>
      </c>
      <c r="E3" t="s">
        <v>2905</v>
      </c>
      <c r="F3" t="s">
        <v>2905</v>
      </c>
    </row>
    <row r="4" spans="1:6" ht="15" customHeight="1" x14ac:dyDescent="0.25">
      <c r="A4" t="s">
        <v>5744</v>
      </c>
      <c r="B4" t="s">
        <v>5745</v>
      </c>
      <c r="C4" t="s">
        <v>4059</v>
      </c>
      <c r="D4" t="s">
        <v>5744</v>
      </c>
      <c r="E4" t="s">
        <v>5746</v>
      </c>
      <c r="F4" t="s">
        <v>2952</v>
      </c>
    </row>
    <row r="5" spans="1:6" ht="15" customHeight="1" x14ac:dyDescent="0.25">
      <c r="A5" t="s">
        <v>5747</v>
      </c>
      <c r="B5" t="s">
        <v>5748</v>
      </c>
      <c r="C5" t="s">
        <v>5749</v>
      </c>
      <c r="D5" t="s">
        <v>2964</v>
      </c>
      <c r="E5" t="s">
        <v>5750</v>
      </c>
      <c r="F5" t="s">
        <v>2959</v>
      </c>
    </row>
    <row r="6" spans="1:6" ht="15" customHeight="1" x14ac:dyDescent="0.25">
      <c r="A6" t="s">
        <v>5751</v>
      </c>
      <c r="B6" t="s">
        <v>5752</v>
      </c>
      <c r="C6" t="s">
        <v>5749</v>
      </c>
      <c r="D6" t="s">
        <v>4689</v>
      </c>
      <c r="E6" t="s">
        <v>2905</v>
      </c>
      <c r="F6" t="s">
        <v>2971</v>
      </c>
    </row>
    <row r="7" spans="1:6" ht="15" customHeight="1" x14ac:dyDescent="0.25">
      <c r="A7" t="s">
        <v>5753</v>
      </c>
      <c r="B7" t="s">
        <v>5754</v>
      </c>
      <c r="C7" t="s">
        <v>5743</v>
      </c>
      <c r="D7" t="s">
        <v>4689</v>
      </c>
      <c r="E7" t="s">
        <v>2905</v>
      </c>
    </row>
    <row r="8" spans="1:6" ht="15" customHeight="1" x14ac:dyDescent="0.25">
      <c r="A8" t="s">
        <v>5755</v>
      </c>
      <c r="B8" t="s">
        <v>5756</v>
      </c>
      <c r="C8" t="s">
        <v>4056</v>
      </c>
      <c r="D8" t="s">
        <v>4689</v>
      </c>
      <c r="E8" t="s">
        <v>2905</v>
      </c>
      <c r="F8" t="s">
        <v>2905</v>
      </c>
    </row>
    <row r="9" spans="1:6" ht="15" customHeight="1" x14ac:dyDescent="0.25">
      <c r="A9" t="s">
        <v>5757</v>
      </c>
      <c r="B9" t="s">
        <v>5758</v>
      </c>
      <c r="C9" t="s">
        <v>4059</v>
      </c>
      <c r="D9" t="s">
        <v>4620</v>
      </c>
      <c r="E9" t="s">
        <v>5746</v>
      </c>
      <c r="F9" t="s">
        <v>2959</v>
      </c>
    </row>
    <row r="10" spans="1:6" ht="15" customHeight="1" x14ac:dyDescent="0.25">
      <c r="A10" t="s">
        <v>5759</v>
      </c>
      <c r="B10" t="s">
        <v>5760</v>
      </c>
      <c r="C10" t="s">
        <v>5743</v>
      </c>
      <c r="D10" t="s">
        <v>4689</v>
      </c>
      <c r="E10" t="s">
        <v>3896</v>
      </c>
      <c r="F10" t="s">
        <v>2959</v>
      </c>
    </row>
    <row r="11" spans="1:6" ht="15" customHeight="1" x14ac:dyDescent="0.25">
      <c r="A11" t="s">
        <v>5761</v>
      </c>
      <c r="B11" t="s">
        <v>5762</v>
      </c>
      <c r="C11" t="s">
        <v>5749</v>
      </c>
      <c r="D11" t="s">
        <v>2889</v>
      </c>
      <c r="E11" t="s">
        <v>2905</v>
      </c>
      <c r="F11" t="s">
        <v>2971</v>
      </c>
    </row>
    <row r="12" spans="1:6" ht="15" customHeight="1" x14ac:dyDescent="0.25">
      <c r="A12" t="s">
        <v>5763</v>
      </c>
      <c r="B12" t="s">
        <v>5764</v>
      </c>
      <c r="C12" t="s">
        <v>4059</v>
      </c>
      <c r="D12" t="s">
        <v>4689</v>
      </c>
      <c r="E12" t="s">
        <v>3896</v>
      </c>
      <c r="F12" t="s">
        <v>2959</v>
      </c>
    </row>
    <row r="13" spans="1:6" ht="15" customHeight="1" x14ac:dyDescent="0.25">
      <c r="A13" t="s">
        <v>5765</v>
      </c>
      <c r="B13" t="s">
        <v>5766</v>
      </c>
      <c r="C13" t="s">
        <v>5743</v>
      </c>
      <c r="D13" t="s">
        <v>4689</v>
      </c>
      <c r="E13" t="s">
        <v>2905</v>
      </c>
      <c r="F13" t="s">
        <v>2905</v>
      </c>
    </row>
    <row r="14" spans="1:6" ht="15" customHeight="1" x14ac:dyDescent="0.25">
      <c r="A14" t="s">
        <v>5767</v>
      </c>
      <c r="B14" t="s">
        <v>5768</v>
      </c>
      <c r="C14" t="s">
        <v>5743</v>
      </c>
      <c r="D14" t="s">
        <v>4689</v>
      </c>
      <c r="E14" t="s">
        <v>2905</v>
      </c>
      <c r="F14" t="s">
        <v>2905</v>
      </c>
    </row>
    <row r="15" spans="1:6" ht="15" customHeight="1" x14ac:dyDescent="0.25">
      <c r="A15" t="s">
        <v>5769</v>
      </c>
      <c r="B15" t="s">
        <v>5770</v>
      </c>
      <c r="C15" t="s">
        <v>4059</v>
      </c>
      <c r="D15" t="s">
        <v>4620</v>
      </c>
      <c r="E15" t="s">
        <v>5771</v>
      </c>
      <c r="F15" t="s">
        <v>2952</v>
      </c>
    </row>
    <row r="16" spans="1:6" ht="15" customHeight="1" x14ac:dyDescent="0.25">
      <c r="A16" t="s">
        <v>5772</v>
      </c>
      <c r="B16" t="s">
        <v>5773</v>
      </c>
      <c r="C16" t="s">
        <v>5743</v>
      </c>
      <c r="D16" t="s">
        <v>5772</v>
      </c>
      <c r="E16" t="s">
        <v>2905</v>
      </c>
      <c r="F16" t="s">
        <v>2959</v>
      </c>
    </row>
    <row r="17" spans="1:6" ht="15" customHeight="1" x14ac:dyDescent="0.25">
      <c r="A17" t="s">
        <v>5060</v>
      </c>
      <c r="B17" t="s">
        <v>5774</v>
      </c>
      <c r="C17" t="s">
        <v>5743</v>
      </c>
      <c r="D17" t="s">
        <v>4689</v>
      </c>
      <c r="E17" t="s">
        <v>5746</v>
      </c>
      <c r="F17" t="s">
        <v>2905</v>
      </c>
    </row>
    <row r="18" spans="1:6" ht="15" customHeight="1" x14ac:dyDescent="0.25">
      <c r="A18" t="s">
        <v>4575</v>
      </c>
      <c r="B18" t="s">
        <v>5775</v>
      </c>
      <c r="C18" t="s">
        <v>5743</v>
      </c>
      <c r="D18" t="s">
        <v>4689</v>
      </c>
      <c r="E18" t="s">
        <v>3896</v>
      </c>
      <c r="F18" t="s">
        <v>2952</v>
      </c>
    </row>
    <row r="19" spans="1:6" ht="15" customHeight="1" x14ac:dyDescent="0.25">
      <c r="A19" t="s">
        <v>5776</v>
      </c>
      <c r="B19" t="s">
        <v>5777</v>
      </c>
      <c r="C19" t="s">
        <v>5743</v>
      </c>
      <c r="D19" t="s">
        <v>4689</v>
      </c>
      <c r="E19" t="s">
        <v>2905</v>
      </c>
      <c r="F19" t="s">
        <v>2905</v>
      </c>
    </row>
    <row r="20" spans="1:6" ht="15" customHeight="1" x14ac:dyDescent="0.25">
      <c r="A20" t="s">
        <v>5778</v>
      </c>
      <c r="B20" t="s">
        <v>5779</v>
      </c>
      <c r="C20" t="s">
        <v>4056</v>
      </c>
      <c r="D20" t="s">
        <v>4689</v>
      </c>
      <c r="E20" t="s">
        <v>2905</v>
      </c>
      <c r="F20" t="s">
        <v>2905</v>
      </c>
    </row>
    <row r="21" spans="1:6" ht="15" customHeight="1" x14ac:dyDescent="0.25">
      <c r="A21" t="s">
        <v>5780</v>
      </c>
      <c r="B21" t="s">
        <v>5781</v>
      </c>
      <c r="C21" t="s">
        <v>5749</v>
      </c>
      <c r="D21" t="s">
        <v>5780</v>
      </c>
      <c r="E21" t="s">
        <v>5771</v>
      </c>
      <c r="F21" t="s">
        <v>2952</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52</v>
      </c>
      <c r="B1" t="s">
        <v>4596</v>
      </c>
      <c r="C1" t="s">
        <v>3795</v>
      </c>
      <c r="D1" t="s">
        <v>2899</v>
      </c>
      <c r="E1" t="s">
        <v>5277</v>
      </c>
      <c r="F1" t="s">
        <v>5782</v>
      </c>
      <c r="G1" t="s">
        <v>9</v>
      </c>
      <c r="H1" t="s">
        <v>5278</v>
      </c>
      <c r="I1" t="s">
        <v>57</v>
      </c>
    </row>
    <row r="2" spans="1:9" ht="15" customHeight="1" x14ac:dyDescent="0.25">
      <c r="A2" t="s">
        <v>5783</v>
      </c>
      <c r="B2">
        <v>6</v>
      </c>
      <c r="C2" t="s">
        <v>2952</v>
      </c>
      <c r="D2" t="s">
        <v>5784</v>
      </c>
      <c r="E2" t="s">
        <v>2905</v>
      </c>
      <c r="F2" t="s">
        <v>3805</v>
      </c>
      <c r="G2" t="s">
        <v>1962</v>
      </c>
      <c r="H2" t="s">
        <v>4269</v>
      </c>
      <c r="I2" t="s">
        <v>5783</v>
      </c>
    </row>
    <row r="3" spans="1:9" ht="15" customHeight="1" x14ac:dyDescent="0.25">
      <c r="A3" t="s">
        <v>5785</v>
      </c>
      <c r="B3">
        <v>3</v>
      </c>
      <c r="C3" t="s">
        <v>2971</v>
      </c>
      <c r="D3" t="s">
        <v>5786</v>
      </c>
      <c r="E3" t="s">
        <v>2905</v>
      </c>
      <c r="F3" t="s">
        <v>70</v>
      </c>
      <c r="G3" t="s">
        <v>1962</v>
      </c>
      <c r="H3" t="s">
        <v>2905</v>
      </c>
      <c r="I3" t="s">
        <v>5785</v>
      </c>
    </row>
    <row r="4" spans="1:9" ht="15" customHeight="1" x14ac:dyDescent="0.25">
      <c r="A4" t="s">
        <v>5787</v>
      </c>
      <c r="B4">
        <v>3</v>
      </c>
      <c r="C4" t="s">
        <v>2952</v>
      </c>
      <c r="D4" t="s">
        <v>5788</v>
      </c>
      <c r="E4" t="s">
        <v>4298</v>
      </c>
      <c r="F4" t="s">
        <v>70</v>
      </c>
      <c r="G4" t="s">
        <v>1962</v>
      </c>
      <c r="H4" t="s">
        <v>2905</v>
      </c>
      <c r="I4" t="s">
        <v>5787</v>
      </c>
    </row>
    <row r="5" spans="1:9" ht="15" customHeight="1" x14ac:dyDescent="0.25">
      <c r="A5" t="s">
        <v>5789</v>
      </c>
      <c r="B5">
        <v>6</v>
      </c>
      <c r="C5" t="s">
        <v>2952</v>
      </c>
      <c r="D5" t="s">
        <v>5790</v>
      </c>
      <c r="E5" t="s">
        <v>2905</v>
      </c>
      <c r="F5" t="s">
        <v>70</v>
      </c>
      <c r="G5" t="s">
        <v>1962</v>
      </c>
      <c r="H5" t="s">
        <v>4277</v>
      </c>
      <c r="I5" t="s">
        <v>5789</v>
      </c>
    </row>
    <row r="6" spans="1:9" ht="15" customHeight="1" x14ac:dyDescent="0.25">
      <c r="A6" t="s">
        <v>4051</v>
      </c>
      <c r="B6">
        <v>1</v>
      </c>
      <c r="C6" t="s">
        <v>2971</v>
      </c>
      <c r="D6" t="s">
        <v>5791</v>
      </c>
      <c r="E6" t="s">
        <v>2905</v>
      </c>
      <c r="F6" t="s">
        <v>70</v>
      </c>
      <c r="G6" t="s">
        <v>1962</v>
      </c>
      <c r="H6" t="s">
        <v>4277</v>
      </c>
      <c r="I6" t="s">
        <v>4051</v>
      </c>
    </row>
    <row r="7" spans="1:9" ht="15" customHeight="1" x14ac:dyDescent="0.25">
      <c r="A7" t="s">
        <v>5792</v>
      </c>
      <c r="B7">
        <v>3</v>
      </c>
      <c r="C7" t="s">
        <v>2952</v>
      </c>
      <c r="D7" t="s">
        <v>5793</v>
      </c>
      <c r="E7" t="s">
        <v>2905</v>
      </c>
      <c r="F7" t="s">
        <v>70</v>
      </c>
      <c r="G7" t="s">
        <v>1962</v>
      </c>
      <c r="H7" t="s">
        <v>2905</v>
      </c>
      <c r="I7" t="s">
        <v>5792</v>
      </c>
    </row>
    <row r="8" spans="1:9" ht="15" customHeight="1" x14ac:dyDescent="0.25">
      <c r="A8" t="s">
        <v>5794</v>
      </c>
      <c r="B8">
        <v>1</v>
      </c>
      <c r="C8" t="s">
        <v>2971</v>
      </c>
      <c r="D8" t="s">
        <v>5795</v>
      </c>
      <c r="E8" t="s">
        <v>4296</v>
      </c>
      <c r="F8" t="s">
        <v>70</v>
      </c>
      <c r="G8" t="s">
        <v>1962</v>
      </c>
      <c r="H8" t="s">
        <v>2905</v>
      </c>
      <c r="I8" t="s">
        <v>5794</v>
      </c>
    </row>
    <row r="9" spans="1:9" ht="15" customHeight="1" x14ac:dyDescent="0.25">
      <c r="A9" t="s">
        <v>5796</v>
      </c>
      <c r="B9">
        <v>2</v>
      </c>
      <c r="C9" t="s">
        <v>2959</v>
      </c>
      <c r="D9" t="s">
        <v>3413</v>
      </c>
      <c r="E9" t="s">
        <v>4313</v>
      </c>
      <c r="F9" t="s">
        <v>3805</v>
      </c>
      <c r="G9" t="s">
        <v>1962</v>
      </c>
      <c r="H9" t="s">
        <v>2905</v>
      </c>
      <c r="I9" t="s">
        <v>5796</v>
      </c>
    </row>
    <row r="10" spans="1:9" ht="15" customHeight="1" x14ac:dyDescent="0.25">
      <c r="A10" t="s">
        <v>5797</v>
      </c>
      <c r="B10">
        <v>1</v>
      </c>
      <c r="C10" t="s">
        <v>2952</v>
      </c>
      <c r="D10" t="s">
        <v>5798</v>
      </c>
      <c r="E10" t="s">
        <v>4296</v>
      </c>
      <c r="F10" t="s">
        <v>3805</v>
      </c>
      <c r="G10" t="s">
        <v>1962</v>
      </c>
      <c r="H10" t="s">
        <v>4266</v>
      </c>
      <c r="I10" t="s">
        <v>5797</v>
      </c>
    </row>
    <row r="11" spans="1:9" ht="15" customHeight="1" x14ac:dyDescent="0.25">
      <c r="A11" t="s">
        <v>5799</v>
      </c>
      <c r="B11">
        <v>15</v>
      </c>
      <c r="C11" t="s">
        <v>2952</v>
      </c>
      <c r="D11" t="s">
        <v>5800</v>
      </c>
      <c r="E11" t="s">
        <v>2905</v>
      </c>
      <c r="F11" t="s">
        <v>3805</v>
      </c>
      <c r="G11" t="s">
        <v>1962</v>
      </c>
      <c r="H11" t="s">
        <v>4269</v>
      </c>
      <c r="I11" t="s">
        <v>5799</v>
      </c>
    </row>
    <row r="12" spans="1:9" ht="15" customHeight="1" x14ac:dyDescent="0.25">
      <c r="A12" t="s">
        <v>5801</v>
      </c>
      <c r="B12">
        <v>2</v>
      </c>
      <c r="C12" t="s">
        <v>2959</v>
      </c>
      <c r="D12" t="s">
        <v>5802</v>
      </c>
      <c r="E12" t="s">
        <v>2905</v>
      </c>
      <c r="F12" t="s">
        <v>3805</v>
      </c>
      <c r="G12" t="s">
        <v>1962</v>
      </c>
      <c r="H12" t="s">
        <v>4266</v>
      </c>
      <c r="I12" t="s">
        <v>5801</v>
      </c>
    </row>
    <row r="13" spans="1:9" ht="15" customHeight="1" x14ac:dyDescent="0.25">
      <c r="A13" t="s">
        <v>5803</v>
      </c>
      <c r="B13">
        <v>3</v>
      </c>
      <c r="C13" t="s">
        <v>2952</v>
      </c>
      <c r="D13" t="s">
        <v>5804</v>
      </c>
      <c r="E13" t="s">
        <v>2905</v>
      </c>
      <c r="F13" t="s">
        <v>70</v>
      </c>
      <c r="G13" t="s">
        <v>1962</v>
      </c>
      <c r="H13" t="s">
        <v>4137</v>
      </c>
      <c r="I13" t="s">
        <v>5803</v>
      </c>
    </row>
    <row r="14" spans="1:9" ht="15" customHeight="1" x14ac:dyDescent="0.25">
      <c r="A14" t="s">
        <v>5805</v>
      </c>
      <c r="B14">
        <v>1</v>
      </c>
      <c r="C14" t="s">
        <v>2959</v>
      </c>
      <c r="D14" t="s">
        <v>5806</v>
      </c>
      <c r="E14" t="s">
        <v>4296</v>
      </c>
      <c r="F14" t="s">
        <v>70</v>
      </c>
      <c r="G14" t="s">
        <v>1962</v>
      </c>
      <c r="H14" t="s">
        <v>2905</v>
      </c>
      <c r="I14" t="s">
        <v>5805</v>
      </c>
    </row>
    <row r="15" spans="1:9" ht="15" customHeight="1" x14ac:dyDescent="0.25">
      <c r="A15" t="s">
        <v>5807</v>
      </c>
      <c r="B15">
        <v>2</v>
      </c>
      <c r="C15" t="s">
        <v>2959</v>
      </c>
      <c r="D15" t="s">
        <v>5808</v>
      </c>
      <c r="E15" t="s">
        <v>4343</v>
      </c>
      <c r="F15" t="s">
        <v>70</v>
      </c>
      <c r="G15" t="s">
        <v>1962</v>
      </c>
      <c r="H15" t="s">
        <v>4272</v>
      </c>
      <c r="I15" t="s">
        <v>5807</v>
      </c>
    </row>
    <row r="16" spans="1:9" ht="15" customHeight="1" x14ac:dyDescent="0.25">
      <c r="A16" t="s">
        <v>5809</v>
      </c>
      <c r="B16">
        <v>2</v>
      </c>
      <c r="C16" t="s">
        <v>2959</v>
      </c>
      <c r="D16" t="s">
        <v>5810</v>
      </c>
      <c r="E16" t="s">
        <v>4343</v>
      </c>
      <c r="F16" t="s">
        <v>70</v>
      </c>
      <c r="G16" t="s">
        <v>1962</v>
      </c>
      <c r="H16" t="s">
        <v>4272</v>
      </c>
      <c r="I16" t="s">
        <v>5809</v>
      </c>
    </row>
    <row r="17" spans="1:9" ht="15" customHeight="1" x14ac:dyDescent="0.25">
      <c r="A17" t="s">
        <v>5811</v>
      </c>
      <c r="B17">
        <v>3</v>
      </c>
      <c r="C17" t="s">
        <v>2971</v>
      </c>
      <c r="D17" t="s">
        <v>5812</v>
      </c>
      <c r="E17" t="s">
        <v>2905</v>
      </c>
      <c r="F17" t="s">
        <v>70</v>
      </c>
      <c r="G17" t="s">
        <v>1962</v>
      </c>
      <c r="H17" t="s">
        <v>4282</v>
      </c>
      <c r="I17" t="s">
        <v>5811</v>
      </c>
    </row>
    <row r="18" spans="1:9" ht="15" customHeight="1" x14ac:dyDescent="0.25">
      <c r="A18" t="s">
        <v>5813</v>
      </c>
      <c r="B18">
        <v>3</v>
      </c>
      <c r="C18" t="s">
        <v>2959</v>
      </c>
      <c r="D18" t="s">
        <v>5814</v>
      </c>
      <c r="E18" t="s">
        <v>4343</v>
      </c>
      <c r="F18" t="s">
        <v>70</v>
      </c>
      <c r="G18" t="s">
        <v>1962</v>
      </c>
      <c r="H18" t="s">
        <v>4277</v>
      </c>
      <c r="I18" t="s">
        <v>5813</v>
      </c>
    </row>
    <row r="19" spans="1:9" ht="15" customHeight="1" x14ac:dyDescent="0.25">
      <c r="A19" t="s">
        <v>5815</v>
      </c>
      <c r="B19">
        <v>4</v>
      </c>
      <c r="C19" t="s">
        <v>2959</v>
      </c>
      <c r="D19" t="s">
        <v>5816</v>
      </c>
      <c r="E19" t="s">
        <v>4291</v>
      </c>
      <c r="F19" t="s">
        <v>70</v>
      </c>
      <c r="G19" t="s">
        <v>1962</v>
      </c>
      <c r="H19" t="s">
        <v>4272</v>
      </c>
      <c r="I19" t="s">
        <v>5815</v>
      </c>
    </row>
    <row r="20" spans="1:9" ht="15" customHeight="1" x14ac:dyDescent="0.25">
      <c r="A20" t="s">
        <v>5817</v>
      </c>
      <c r="B20">
        <v>2</v>
      </c>
      <c r="C20" t="s">
        <v>2971</v>
      </c>
      <c r="D20" t="s">
        <v>5818</v>
      </c>
      <c r="E20" t="s">
        <v>4296</v>
      </c>
      <c r="F20" t="s">
        <v>3805</v>
      </c>
      <c r="G20" t="s">
        <v>1962</v>
      </c>
      <c r="H20" t="s">
        <v>4274</v>
      </c>
      <c r="I20" t="s">
        <v>5817</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52</v>
      </c>
      <c r="B1" t="s">
        <v>3795</v>
      </c>
      <c r="C1" t="s">
        <v>5819</v>
      </c>
      <c r="D1" t="s">
        <v>9</v>
      </c>
      <c r="E1" t="s">
        <v>5820</v>
      </c>
    </row>
    <row r="2" spans="1:5" ht="15" customHeight="1" x14ac:dyDescent="0.25">
      <c r="A2" t="s">
        <v>5821</v>
      </c>
      <c r="B2" t="s">
        <v>2959</v>
      </c>
      <c r="C2" t="s">
        <v>5822</v>
      </c>
      <c r="D2" t="s">
        <v>1044</v>
      </c>
      <c r="E2" t="s">
        <v>5823</v>
      </c>
    </row>
    <row r="3" spans="1:5" ht="15" customHeight="1" x14ac:dyDescent="0.25">
      <c r="A3" t="s">
        <v>5824</v>
      </c>
      <c r="B3" t="s">
        <v>2971</v>
      </c>
      <c r="C3" t="s">
        <v>5822</v>
      </c>
      <c r="D3" t="s">
        <v>1044</v>
      </c>
      <c r="E3" t="s">
        <v>5825</v>
      </c>
    </row>
    <row r="4" spans="1:5" ht="15" customHeight="1" x14ac:dyDescent="0.25">
      <c r="A4" t="s">
        <v>5826</v>
      </c>
      <c r="B4" t="s">
        <v>2952</v>
      </c>
      <c r="C4" t="s">
        <v>5822</v>
      </c>
      <c r="D4" t="s">
        <v>1044</v>
      </c>
      <c r="E4" t="s">
        <v>5827</v>
      </c>
    </row>
    <row r="5" spans="1:5" ht="15" customHeight="1" x14ac:dyDescent="0.25">
      <c r="A5" t="s">
        <v>5828</v>
      </c>
      <c r="B5" t="s">
        <v>2959</v>
      </c>
      <c r="C5" t="s">
        <v>5829</v>
      </c>
      <c r="D5" t="s">
        <v>1044</v>
      </c>
      <c r="E5" t="s">
        <v>5830</v>
      </c>
    </row>
    <row r="6" spans="1:5" ht="15" customHeight="1" x14ac:dyDescent="0.25">
      <c r="A6" t="s">
        <v>5831</v>
      </c>
      <c r="B6" t="s">
        <v>2971</v>
      </c>
      <c r="C6" t="s">
        <v>5829</v>
      </c>
      <c r="D6" t="s">
        <v>1044</v>
      </c>
      <c r="E6" t="s">
        <v>5832</v>
      </c>
    </row>
    <row r="7" spans="1:5" ht="15" customHeight="1" x14ac:dyDescent="0.25">
      <c r="A7" t="s">
        <v>5833</v>
      </c>
      <c r="B7" t="s">
        <v>2952</v>
      </c>
      <c r="C7" t="s">
        <v>5829</v>
      </c>
      <c r="D7" t="s">
        <v>1044</v>
      </c>
      <c r="E7" t="s">
        <v>5834</v>
      </c>
    </row>
    <row r="8" spans="1:5" ht="15" customHeight="1" x14ac:dyDescent="0.25">
      <c r="A8" t="s">
        <v>5835</v>
      </c>
      <c r="B8" t="s">
        <v>2959</v>
      </c>
      <c r="C8" t="s">
        <v>5836</v>
      </c>
      <c r="D8" t="s">
        <v>1044</v>
      </c>
      <c r="E8" t="s">
        <v>5837</v>
      </c>
    </row>
    <row r="9" spans="1:5" ht="15" customHeight="1" x14ac:dyDescent="0.25">
      <c r="A9" t="s">
        <v>5838</v>
      </c>
      <c r="B9" t="s">
        <v>2971</v>
      </c>
      <c r="C9" t="s">
        <v>5836</v>
      </c>
      <c r="D9" t="s">
        <v>1044</v>
      </c>
      <c r="E9" t="s">
        <v>5839</v>
      </c>
    </row>
    <row r="10" spans="1:5" ht="15" customHeight="1" x14ac:dyDescent="0.25">
      <c r="A10" t="s">
        <v>5840</v>
      </c>
      <c r="B10" t="s">
        <v>2952</v>
      </c>
      <c r="C10" t="s">
        <v>5836</v>
      </c>
      <c r="D10" t="s">
        <v>1044</v>
      </c>
      <c r="E10" t="s">
        <v>5841</v>
      </c>
    </row>
    <row r="11" spans="1:5" ht="15" customHeight="1" x14ac:dyDescent="0.25">
      <c r="A11" t="s">
        <v>5842</v>
      </c>
      <c r="B11" t="s">
        <v>2959</v>
      </c>
      <c r="C11" t="s">
        <v>5843</v>
      </c>
      <c r="D11" t="s">
        <v>1044</v>
      </c>
      <c r="E11" t="s">
        <v>5844</v>
      </c>
    </row>
    <row r="12" spans="1:5" ht="15" customHeight="1" x14ac:dyDescent="0.25">
      <c r="A12" t="s">
        <v>5845</v>
      </c>
      <c r="B12" t="s">
        <v>2971</v>
      </c>
      <c r="C12" t="s">
        <v>5843</v>
      </c>
      <c r="D12" t="s">
        <v>1044</v>
      </c>
      <c r="E12" t="s">
        <v>5846</v>
      </c>
    </row>
    <row r="13" spans="1:5" ht="15" customHeight="1" x14ac:dyDescent="0.25">
      <c r="A13" t="s">
        <v>5847</v>
      </c>
      <c r="B13" t="s">
        <v>2952</v>
      </c>
      <c r="C13" t="s">
        <v>5843</v>
      </c>
      <c r="D13" t="s">
        <v>1044</v>
      </c>
      <c r="E13" t="s">
        <v>5848</v>
      </c>
    </row>
    <row r="14" spans="1:5" ht="15" customHeight="1" x14ac:dyDescent="0.25">
      <c r="A14" t="s">
        <v>5849</v>
      </c>
      <c r="B14" t="s">
        <v>2959</v>
      </c>
      <c r="C14" t="s">
        <v>5850</v>
      </c>
      <c r="D14" t="s">
        <v>1044</v>
      </c>
      <c r="E14" t="s">
        <v>5851</v>
      </c>
    </row>
    <row r="15" spans="1:5" ht="15" customHeight="1" x14ac:dyDescent="0.25">
      <c r="A15" t="s">
        <v>5852</v>
      </c>
      <c r="B15" t="s">
        <v>2971</v>
      </c>
      <c r="C15" t="s">
        <v>5850</v>
      </c>
      <c r="D15" t="s">
        <v>1044</v>
      </c>
      <c r="E15" t="s">
        <v>5853</v>
      </c>
    </row>
    <row r="16" spans="1:5" ht="15" customHeight="1" x14ac:dyDescent="0.25">
      <c r="A16" t="s">
        <v>5854</v>
      </c>
      <c r="B16" t="s">
        <v>2952</v>
      </c>
      <c r="C16" t="s">
        <v>5850</v>
      </c>
      <c r="D16" t="s">
        <v>1044</v>
      </c>
      <c r="E16" t="s">
        <v>5855</v>
      </c>
    </row>
    <row r="17" spans="1:5" ht="15" customHeight="1" x14ac:dyDescent="0.25">
      <c r="A17" t="s">
        <v>5856</v>
      </c>
      <c r="B17" t="s">
        <v>2959</v>
      </c>
      <c r="C17" t="s">
        <v>3898</v>
      </c>
      <c r="D17" t="s">
        <v>1044</v>
      </c>
      <c r="E17" t="s">
        <v>5857</v>
      </c>
    </row>
    <row r="18" spans="1:5" ht="15" customHeight="1" x14ac:dyDescent="0.25">
      <c r="A18" t="s">
        <v>5858</v>
      </c>
      <c r="B18" t="s">
        <v>2971</v>
      </c>
      <c r="C18" t="s">
        <v>3898</v>
      </c>
      <c r="D18" t="s">
        <v>1044</v>
      </c>
      <c r="E18" t="s">
        <v>5859</v>
      </c>
    </row>
    <row r="19" spans="1:5" ht="15" customHeight="1" x14ac:dyDescent="0.25">
      <c r="A19" t="s">
        <v>5860</v>
      </c>
      <c r="B19" t="s">
        <v>2952</v>
      </c>
      <c r="C19" t="s">
        <v>3898</v>
      </c>
      <c r="D19" t="s">
        <v>1044</v>
      </c>
      <c r="E19" t="s">
        <v>5861</v>
      </c>
    </row>
    <row r="20" spans="1:5" ht="15" customHeight="1" x14ac:dyDescent="0.25">
      <c r="A20" t="s">
        <v>5862</v>
      </c>
      <c r="B20" t="s">
        <v>2959</v>
      </c>
      <c r="C20" t="s">
        <v>3898</v>
      </c>
      <c r="D20" t="s">
        <v>533</v>
      </c>
      <c r="E20" t="s">
        <v>5863</v>
      </c>
    </row>
    <row r="21" spans="1:5" ht="15" customHeight="1" x14ac:dyDescent="0.25">
      <c r="A21" t="s">
        <v>5864</v>
      </c>
      <c r="B21" t="s">
        <v>2959</v>
      </c>
      <c r="C21" t="s">
        <v>3898</v>
      </c>
      <c r="D21" t="s">
        <v>533</v>
      </c>
      <c r="E21" t="s">
        <v>5865</v>
      </c>
    </row>
    <row r="22" spans="1:5" ht="15" customHeight="1" x14ac:dyDescent="0.25">
      <c r="A22" t="s">
        <v>5866</v>
      </c>
      <c r="B22" t="s">
        <v>2971</v>
      </c>
      <c r="C22" t="s">
        <v>3898</v>
      </c>
      <c r="D22" t="s">
        <v>533</v>
      </c>
      <c r="E22" t="s">
        <v>5867</v>
      </c>
    </row>
    <row r="23" spans="1:5" ht="15" customHeight="1" x14ac:dyDescent="0.25">
      <c r="A23" t="s">
        <v>5868</v>
      </c>
      <c r="B23" t="s">
        <v>2971</v>
      </c>
      <c r="C23" t="s">
        <v>3898</v>
      </c>
      <c r="D23" t="s">
        <v>533</v>
      </c>
      <c r="E23" t="s">
        <v>5869</v>
      </c>
    </row>
    <row r="24" spans="1:5" ht="15" customHeight="1" x14ac:dyDescent="0.25">
      <c r="A24" t="s">
        <v>5870</v>
      </c>
      <c r="B24" t="s">
        <v>2952</v>
      </c>
      <c r="C24" t="s">
        <v>3898</v>
      </c>
      <c r="D24" t="s">
        <v>533</v>
      </c>
      <c r="E24" t="s">
        <v>5871</v>
      </c>
    </row>
    <row r="25" spans="1:5" ht="15" customHeight="1" x14ac:dyDescent="0.25">
      <c r="A25" t="s">
        <v>5872</v>
      </c>
      <c r="B25" t="s">
        <v>2952</v>
      </c>
      <c r="C25" t="s">
        <v>3898</v>
      </c>
      <c r="D25" t="s">
        <v>533</v>
      </c>
      <c r="E25" t="s">
        <v>5873</v>
      </c>
    </row>
    <row r="26" spans="1:5" ht="15" customHeight="1" x14ac:dyDescent="0.25">
      <c r="A26" t="s">
        <v>5874</v>
      </c>
      <c r="B26" t="s">
        <v>2952</v>
      </c>
      <c r="C26" t="s">
        <v>3898</v>
      </c>
      <c r="D26" t="s">
        <v>533</v>
      </c>
      <c r="E26" t="s">
        <v>5875</v>
      </c>
    </row>
    <row r="27" spans="1:5" ht="15" customHeight="1" x14ac:dyDescent="0.25">
      <c r="A27" t="s">
        <v>5876</v>
      </c>
      <c r="B27" t="s">
        <v>2952</v>
      </c>
      <c r="C27" t="s">
        <v>3898</v>
      </c>
      <c r="D27" t="s">
        <v>533</v>
      </c>
      <c r="E27" t="s">
        <v>5877</v>
      </c>
    </row>
    <row r="28" spans="1:5" ht="15" customHeight="1" x14ac:dyDescent="0.25">
      <c r="A28" t="s">
        <v>5878</v>
      </c>
      <c r="B28" t="s">
        <v>2952</v>
      </c>
      <c r="C28" t="s">
        <v>3898</v>
      </c>
      <c r="D28" t="s">
        <v>533</v>
      </c>
      <c r="E28" t="s">
        <v>5879</v>
      </c>
    </row>
    <row r="29" spans="1:5" ht="15" customHeight="1" x14ac:dyDescent="0.25">
      <c r="A29" t="s">
        <v>5880</v>
      </c>
      <c r="B29" t="s">
        <v>2971</v>
      </c>
      <c r="C29" t="s">
        <v>5829</v>
      </c>
      <c r="D29" t="s">
        <v>720</v>
      </c>
      <c r="E29" t="s">
        <v>5881</v>
      </c>
    </row>
    <row r="30" spans="1:5" ht="15" customHeight="1" x14ac:dyDescent="0.25">
      <c r="A30" t="s">
        <v>5882</v>
      </c>
      <c r="B30" t="s">
        <v>2971</v>
      </c>
      <c r="C30" t="s">
        <v>5883</v>
      </c>
      <c r="D30" t="s">
        <v>720</v>
      </c>
      <c r="E30" t="s">
        <v>5884</v>
      </c>
    </row>
    <row r="31" spans="1:5" ht="15" customHeight="1" x14ac:dyDescent="0.25">
      <c r="A31" t="s">
        <v>5885</v>
      </c>
      <c r="B31" t="s">
        <v>2959</v>
      </c>
      <c r="C31" t="s">
        <v>5886</v>
      </c>
      <c r="D31" t="s">
        <v>720</v>
      </c>
      <c r="E31" t="s">
        <v>5887</v>
      </c>
    </row>
    <row r="32" spans="1:5" ht="15" customHeight="1" x14ac:dyDescent="0.25">
      <c r="A32" t="s">
        <v>5888</v>
      </c>
      <c r="B32" t="s">
        <v>2952</v>
      </c>
      <c r="C32" t="s">
        <v>3898</v>
      </c>
      <c r="D32" t="s">
        <v>720</v>
      </c>
      <c r="E32" t="s">
        <v>5889</v>
      </c>
    </row>
    <row r="33" spans="1:5" ht="15" customHeight="1" x14ac:dyDescent="0.25">
      <c r="A33" t="s">
        <v>5890</v>
      </c>
      <c r="B33" t="s">
        <v>2959</v>
      </c>
      <c r="C33" t="s">
        <v>5886</v>
      </c>
      <c r="D33" t="s">
        <v>720</v>
      </c>
      <c r="E33" t="s">
        <v>5891</v>
      </c>
    </row>
    <row r="34" spans="1:5" ht="15" customHeight="1" x14ac:dyDescent="0.25">
      <c r="A34" t="s">
        <v>5892</v>
      </c>
      <c r="B34" t="s">
        <v>2971</v>
      </c>
      <c r="C34" t="s">
        <v>3898</v>
      </c>
      <c r="D34" t="s">
        <v>720</v>
      </c>
      <c r="E34" t="s">
        <v>5893</v>
      </c>
    </row>
    <row r="35" spans="1:5" ht="15" customHeight="1" x14ac:dyDescent="0.25">
      <c r="A35" t="s">
        <v>5894</v>
      </c>
      <c r="B35" t="s">
        <v>2959</v>
      </c>
      <c r="C35" t="s">
        <v>3898</v>
      </c>
      <c r="D35" t="s">
        <v>720</v>
      </c>
      <c r="E35" t="s">
        <v>5895</v>
      </c>
    </row>
    <row r="36" spans="1:5" ht="15" customHeight="1" x14ac:dyDescent="0.25">
      <c r="A36" t="s">
        <v>5896</v>
      </c>
      <c r="B36" t="s">
        <v>2959</v>
      </c>
      <c r="C36" t="s">
        <v>3898</v>
      </c>
      <c r="D36" t="s">
        <v>720</v>
      </c>
      <c r="E36" t="s">
        <v>5897</v>
      </c>
    </row>
    <row r="37" spans="1:5" ht="15" customHeight="1" x14ac:dyDescent="0.25">
      <c r="A37" t="s">
        <v>5898</v>
      </c>
      <c r="B37" t="s">
        <v>2959</v>
      </c>
      <c r="C37" t="s">
        <v>5822</v>
      </c>
      <c r="D37" t="s">
        <v>1048</v>
      </c>
      <c r="E37" t="s">
        <v>5899</v>
      </c>
    </row>
    <row r="38" spans="1:5" ht="15" customHeight="1" x14ac:dyDescent="0.25">
      <c r="A38" t="s">
        <v>5900</v>
      </c>
      <c r="B38" t="s">
        <v>2971</v>
      </c>
      <c r="C38" t="s">
        <v>5822</v>
      </c>
      <c r="D38" t="s">
        <v>1048</v>
      </c>
      <c r="E38" t="s">
        <v>5901</v>
      </c>
    </row>
    <row r="39" spans="1:5" ht="15" customHeight="1" x14ac:dyDescent="0.25">
      <c r="A39" t="s">
        <v>5902</v>
      </c>
      <c r="B39" t="s">
        <v>2952</v>
      </c>
      <c r="C39" t="s">
        <v>5822</v>
      </c>
      <c r="D39" t="s">
        <v>1048</v>
      </c>
      <c r="E39" t="s">
        <v>5903</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52</v>
      </c>
      <c r="B1" t="s">
        <v>53</v>
      </c>
      <c r="C1" t="s">
        <v>3040</v>
      </c>
      <c r="D1" t="s">
        <v>3890</v>
      </c>
      <c r="E1" s="10" t="s">
        <v>3891</v>
      </c>
      <c r="F1" s="10" t="s">
        <v>3892</v>
      </c>
      <c r="G1" t="s">
        <v>3045</v>
      </c>
      <c r="H1" t="s">
        <v>9</v>
      </c>
      <c r="I1" t="s">
        <v>3893</v>
      </c>
      <c r="J1" t="s">
        <v>5904</v>
      </c>
      <c r="K1" t="s">
        <v>57</v>
      </c>
      <c r="L1" t="s">
        <v>3895</v>
      </c>
      <c r="M1" t="s">
        <v>3046</v>
      </c>
    </row>
    <row r="2" spans="1:13" ht="15" customHeight="1" x14ac:dyDescent="0.25">
      <c r="A2" t="s">
        <v>5905</v>
      </c>
      <c r="B2" t="s">
        <v>5746</v>
      </c>
      <c r="C2" t="s">
        <v>3897</v>
      </c>
      <c r="D2">
        <v>2</v>
      </c>
      <c r="E2" s="10">
        <v>30</v>
      </c>
      <c r="F2" s="10">
        <v>34</v>
      </c>
      <c r="G2" t="s">
        <v>5906</v>
      </c>
      <c r="H2" t="s">
        <v>1772</v>
      </c>
      <c r="I2" t="s">
        <v>3898</v>
      </c>
      <c r="J2" t="s">
        <v>5907</v>
      </c>
      <c r="K2" t="s">
        <v>5905</v>
      </c>
      <c r="L2" t="s">
        <v>2905</v>
      </c>
    </row>
    <row r="3" spans="1:13" ht="15" customHeight="1" x14ac:dyDescent="0.25">
      <c r="A3" t="s">
        <v>5908</v>
      </c>
      <c r="B3" t="s">
        <v>5746</v>
      </c>
      <c r="C3" t="s">
        <v>3900</v>
      </c>
      <c r="D3">
        <v>2</v>
      </c>
      <c r="E3" s="10">
        <v>64</v>
      </c>
      <c r="F3" s="10">
        <v>70</v>
      </c>
      <c r="G3" t="s">
        <v>5906</v>
      </c>
      <c r="H3" t="s">
        <v>1772</v>
      </c>
      <c r="I3" t="s">
        <v>3898</v>
      </c>
      <c r="J3" t="s">
        <v>5909</v>
      </c>
      <c r="K3" t="s">
        <v>5910</v>
      </c>
      <c r="L3" t="s">
        <v>2905</v>
      </c>
    </row>
    <row r="4" spans="1:13" ht="15" customHeight="1" x14ac:dyDescent="0.25">
      <c r="A4" t="s">
        <v>5911</v>
      </c>
      <c r="B4" t="s">
        <v>5746</v>
      </c>
      <c r="C4" t="s">
        <v>3902</v>
      </c>
      <c r="D4">
        <v>7</v>
      </c>
      <c r="E4" s="10">
        <v>150</v>
      </c>
      <c r="F4" s="10">
        <v>160</v>
      </c>
      <c r="G4" t="s">
        <v>5906</v>
      </c>
      <c r="H4" t="s">
        <v>1772</v>
      </c>
      <c r="I4" t="s">
        <v>3898</v>
      </c>
      <c r="J4" t="s">
        <v>5912</v>
      </c>
      <c r="K4" t="s">
        <v>5913</v>
      </c>
      <c r="L4" t="s">
        <v>2905</v>
      </c>
    </row>
    <row r="5" spans="1:13" ht="15" customHeight="1" x14ac:dyDescent="0.25">
      <c r="A5" t="s">
        <v>3959</v>
      </c>
      <c r="B5" t="s">
        <v>5746</v>
      </c>
      <c r="C5" t="s">
        <v>3897</v>
      </c>
      <c r="D5" t="s">
        <v>2905</v>
      </c>
      <c r="E5" s="10">
        <v>20</v>
      </c>
      <c r="F5" s="10">
        <v>24</v>
      </c>
      <c r="G5" t="s">
        <v>2905</v>
      </c>
      <c r="H5" t="s">
        <v>2199</v>
      </c>
      <c r="I5" t="s">
        <v>3898</v>
      </c>
      <c r="J5" t="s">
        <v>5914</v>
      </c>
      <c r="K5" t="s">
        <v>3959</v>
      </c>
      <c r="L5" t="s">
        <v>2905</v>
      </c>
    </row>
    <row r="6" spans="1:13" ht="15" customHeight="1" x14ac:dyDescent="0.25">
      <c r="A6" t="s">
        <v>3950</v>
      </c>
      <c r="B6" t="s">
        <v>5746</v>
      </c>
      <c r="C6" t="s">
        <v>3897</v>
      </c>
      <c r="D6">
        <v>2</v>
      </c>
      <c r="E6" s="10">
        <v>20</v>
      </c>
      <c r="F6" s="10">
        <v>24</v>
      </c>
      <c r="G6" t="s">
        <v>5915</v>
      </c>
      <c r="H6" t="s">
        <v>2199</v>
      </c>
      <c r="I6" t="s">
        <v>3898</v>
      </c>
      <c r="J6" t="s">
        <v>5916</v>
      </c>
      <c r="K6" t="s">
        <v>3950</v>
      </c>
      <c r="L6" t="s">
        <v>2905</v>
      </c>
    </row>
    <row r="7" spans="1:13" ht="15" customHeight="1" x14ac:dyDescent="0.25">
      <c r="A7" t="s">
        <v>3957</v>
      </c>
      <c r="B7" t="s">
        <v>5746</v>
      </c>
      <c r="C7" t="s">
        <v>3897</v>
      </c>
      <c r="D7" t="s">
        <v>2905</v>
      </c>
      <c r="E7" s="10">
        <v>20</v>
      </c>
      <c r="F7" s="10">
        <v>24</v>
      </c>
      <c r="G7" t="s">
        <v>2905</v>
      </c>
      <c r="H7" t="s">
        <v>2199</v>
      </c>
      <c r="I7" t="s">
        <v>3898</v>
      </c>
      <c r="J7" t="s">
        <v>5917</v>
      </c>
      <c r="K7" t="s">
        <v>3957</v>
      </c>
      <c r="L7" t="s">
        <v>2905</v>
      </c>
    </row>
    <row r="8" spans="1:13" ht="15" customHeight="1" x14ac:dyDescent="0.25">
      <c r="A8" t="s">
        <v>5918</v>
      </c>
      <c r="B8" t="s">
        <v>5746</v>
      </c>
      <c r="C8" t="s">
        <v>3900</v>
      </c>
      <c r="D8">
        <v>3</v>
      </c>
      <c r="E8" s="10">
        <v>48</v>
      </c>
      <c r="F8" s="10">
        <v>54</v>
      </c>
      <c r="G8" t="s">
        <v>2905</v>
      </c>
      <c r="H8" t="s">
        <v>2199</v>
      </c>
      <c r="I8" t="s">
        <v>3898</v>
      </c>
      <c r="J8" t="s">
        <v>5919</v>
      </c>
      <c r="K8" t="s">
        <v>5920</v>
      </c>
      <c r="L8" t="s">
        <v>2905</v>
      </c>
    </row>
    <row r="9" spans="1:13" ht="15" customHeight="1" x14ac:dyDescent="0.25">
      <c r="A9" t="s">
        <v>5921</v>
      </c>
      <c r="B9" t="s">
        <v>5746</v>
      </c>
      <c r="C9" t="s">
        <v>3902</v>
      </c>
      <c r="D9">
        <v>7</v>
      </c>
      <c r="E9" s="10">
        <v>130</v>
      </c>
      <c r="F9" s="10">
        <v>140</v>
      </c>
      <c r="G9" t="s">
        <v>5922</v>
      </c>
      <c r="H9" t="s">
        <v>2199</v>
      </c>
      <c r="I9" t="s">
        <v>3898</v>
      </c>
      <c r="J9" t="s">
        <v>5923</v>
      </c>
      <c r="K9" t="s">
        <v>5924</v>
      </c>
      <c r="L9" t="s">
        <v>2905</v>
      </c>
      <c r="M9" t="s">
        <v>3489</v>
      </c>
    </row>
    <row r="10" spans="1:13" ht="15" customHeight="1" x14ac:dyDescent="0.25">
      <c r="A10" t="s">
        <v>3127</v>
      </c>
      <c r="B10" t="s">
        <v>5771</v>
      </c>
      <c r="C10" t="s">
        <v>3897</v>
      </c>
      <c r="D10">
        <v>1</v>
      </c>
      <c r="E10" s="10">
        <v>20</v>
      </c>
      <c r="F10" s="10">
        <v>24</v>
      </c>
      <c r="G10" t="s">
        <v>4130</v>
      </c>
      <c r="H10" t="s">
        <v>351</v>
      </c>
      <c r="I10" t="s">
        <v>5925</v>
      </c>
      <c r="J10" t="s">
        <v>5926</v>
      </c>
      <c r="K10" t="s">
        <v>3127</v>
      </c>
      <c r="L10" t="s">
        <v>2905</v>
      </c>
    </row>
    <row r="11" spans="1:13" ht="15" customHeight="1" x14ac:dyDescent="0.25">
      <c r="A11" t="s">
        <v>5927</v>
      </c>
      <c r="B11" t="s">
        <v>5771</v>
      </c>
      <c r="C11" t="s">
        <v>3897</v>
      </c>
      <c r="D11">
        <v>2</v>
      </c>
      <c r="E11" s="10">
        <v>30</v>
      </c>
      <c r="F11" s="10">
        <v>34</v>
      </c>
      <c r="G11" t="s">
        <v>4130</v>
      </c>
      <c r="H11" t="s">
        <v>351</v>
      </c>
      <c r="I11" t="s">
        <v>5925</v>
      </c>
      <c r="J11" t="s">
        <v>5928</v>
      </c>
      <c r="K11" t="s">
        <v>5929</v>
      </c>
      <c r="L11" t="s">
        <v>2905</v>
      </c>
    </row>
    <row r="12" spans="1:13" ht="15" customHeight="1" x14ac:dyDescent="0.25">
      <c r="A12" t="s">
        <v>5930</v>
      </c>
      <c r="B12" t="s">
        <v>5771</v>
      </c>
      <c r="C12" t="s">
        <v>3897</v>
      </c>
      <c r="D12">
        <v>3</v>
      </c>
      <c r="E12" s="10">
        <v>40</v>
      </c>
      <c r="F12" s="10">
        <v>44</v>
      </c>
      <c r="G12" t="s">
        <v>5931</v>
      </c>
      <c r="H12" t="s">
        <v>351</v>
      </c>
      <c r="I12" t="s">
        <v>5925</v>
      </c>
      <c r="J12" t="s">
        <v>5932</v>
      </c>
      <c r="K12" t="s">
        <v>5933</v>
      </c>
      <c r="L12" t="s">
        <v>2905</v>
      </c>
    </row>
    <row r="13" spans="1:13" ht="15" customHeight="1" x14ac:dyDescent="0.25">
      <c r="A13" t="s">
        <v>5934</v>
      </c>
      <c r="B13" t="s">
        <v>5771</v>
      </c>
      <c r="C13" t="s">
        <v>3897</v>
      </c>
      <c r="D13" t="s">
        <v>2905</v>
      </c>
      <c r="E13" s="10">
        <v>12</v>
      </c>
      <c r="F13" s="10">
        <v>14</v>
      </c>
      <c r="G13" t="s">
        <v>4130</v>
      </c>
      <c r="H13" t="s">
        <v>351</v>
      </c>
      <c r="I13" t="s">
        <v>5925</v>
      </c>
      <c r="J13" t="s">
        <v>5935</v>
      </c>
      <c r="K13" t="s">
        <v>5934</v>
      </c>
      <c r="L13" t="s">
        <v>2905</v>
      </c>
    </row>
    <row r="14" spans="1:13" ht="15" customHeight="1" x14ac:dyDescent="0.25">
      <c r="A14" t="s">
        <v>3132</v>
      </c>
      <c r="B14" t="s">
        <v>5771</v>
      </c>
      <c r="C14" t="s">
        <v>3900</v>
      </c>
      <c r="D14">
        <v>3</v>
      </c>
      <c r="E14" s="10">
        <v>130</v>
      </c>
      <c r="F14" s="10">
        <v>140</v>
      </c>
      <c r="G14" t="s">
        <v>5936</v>
      </c>
      <c r="H14" t="s">
        <v>351</v>
      </c>
      <c r="I14" t="s">
        <v>5836</v>
      </c>
      <c r="J14" t="s">
        <v>5937</v>
      </c>
      <c r="K14" t="s">
        <v>3132</v>
      </c>
      <c r="L14" t="s">
        <v>2905</v>
      </c>
    </row>
    <row r="15" spans="1:13" ht="15" customHeight="1" x14ac:dyDescent="0.25">
      <c r="A15" t="s">
        <v>5938</v>
      </c>
      <c r="B15" t="s">
        <v>5771</v>
      </c>
      <c r="C15" t="s">
        <v>3900</v>
      </c>
      <c r="D15" t="s">
        <v>2905</v>
      </c>
      <c r="E15" s="10">
        <v>130</v>
      </c>
      <c r="F15" s="10">
        <v>140</v>
      </c>
      <c r="G15" t="s">
        <v>5936</v>
      </c>
      <c r="H15" t="s">
        <v>351</v>
      </c>
      <c r="I15" t="s">
        <v>5836</v>
      </c>
      <c r="J15" t="s">
        <v>5939</v>
      </c>
      <c r="K15" t="s">
        <v>5940</v>
      </c>
      <c r="L15" t="s">
        <v>3132</v>
      </c>
    </row>
    <row r="16" spans="1:13" ht="15" customHeight="1" x14ac:dyDescent="0.25">
      <c r="A16" t="s">
        <v>5941</v>
      </c>
      <c r="B16" t="s">
        <v>5771</v>
      </c>
      <c r="C16" t="s">
        <v>3902</v>
      </c>
      <c r="D16">
        <v>5</v>
      </c>
      <c r="E16" s="10">
        <v>100</v>
      </c>
      <c r="F16" s="10">
        <v>110</v>
      </c>
      <c r="G16" t="s">
        <v>5942</v>
      </c>
      <c r="H16" t="s">
        <v>351</v>
      </c>
      <c r="I16" t="s">
        <v>5850</v>
      </c>
      <c r="J16" t="s">
        <v>5943</v>
      </c>
      <c r="K16" t="s">
        <v>5944</v>
      </c>
      <c r="L16" t="s">
        <v>2905</v>
      </c>
    </row>
    <row r="17" spans="1:13" ht="15" customHeight="1" x14ac:dyDescent="0.25">
      <c r="A17" t="s">
        <v>5945</v>
      </c>
      <c r="B17" t="s">
        <v>5750</v>
      </c>
      <c r="C17" t="s">
        <v>3897</v>
      </c>
      <c r="D17">
        <v>1</v>
      </c>
      <c r="E17" s="10">
        <v>30</v>
      </c>
      <c r="F17" s="10">
        <v>34</v>
      </c>
      <c r="G17" t="s">
        <v>4143</v>
      </c>
      <c r="H17" t="s">
        <v>1794</v>
      </c>
      <c r="I17" t="s">
        <v>3898</v>
      </c>
      <c r="J17" t="s">
        <v>5946</v>
      </c>
      <c r="K17" t="s">
        <v>5945</v>
      </c>
      <c r="L17" t="s">
        <v>2905</v>
      </c>
      <c r="M17" t="s">
        <v>3126</v>
      </c>
    </row>
    <row r="18" spans="1:13" ht="15" customHeight="1" x14ac:dyDescent="0.25">
      <c r="A18" t="s">
        <v>5947</v>
      </c>
      <c r="B18" t="s">
        <v>5750</v>
      </c>
      <c r="C18" t="s">
        <v>3900</v>
      </c>
      <c r="D18">
        <v>3</v>
      </c>
      <c r="E18" s="10">
        <v>40</v>
      </c>
      <c r="F18" s="10">
        <v>46</v>
      </c>
      <c r="G18" t="s">
        <v>5948</v>
      </c>
      <c r="H18" t="s">
        <v>1794</v>
      </c>
      <c r="I18" t="s">
        <v>3898</v>
      </c>
      <c r="J18" t="s">
        <v>5949</v>
      </c>
      <c r="K18" t="s">
        <v>5947</v>
      </c>
      <c r="L18" t="s">
        <v>2905</v>
      </c>
    </row>
    <row r="19" spans="1:13" ht="15" customHeight="1" x14ac:dyDescent="0.25">
      <c r="A19" t="s">
        <v>5950</v>
      </c>
      <c r="B19" t="s">
        <v>5750</v>
      </c>
      <c r="C19" t="s">
        <v>3900</v>
      </c>
      <c r="D19">
        <v>4</v>
      </c>
      <c r="E19" s="10">
        <v>60</v>
      </c>
      <c r="F19" s="10">
        <v>66</v>
      </c>
      <c r="G19" t="s">
        <v>4143</v>
      </c>
      <c r="H19" t="s">
        <v>1794</v>
      </c>
      <c r="I19" t="s">
        <v>3898</v>
      </c>
      <c r="J19" t="s">
        <v>5951</v>
      </c>
      <c r="K19" t="s">
        <v>5950</v>
      </c>
      <c r="L19" t="s">
        <v>2905</v>
      </c>
    </row>
    <row r="20" spans="1:13" ht="15" customHeight="1" x14ac:dyDescent="0.25">
      <c r="A20" t="s">
        <v>3241</v>
      </c>
      <c r="B20" t="s">
        <v>5750</v>
      </c>
      <c r="C20" t="s">
        <v>3902</v>
      </c>
      <c r="D20">
        <v>9</v>
      </c>
      <c r="E20" s="10">
        <v>250</v>
      </c>
      <c r="F20" s="10">
        <v>270</v>
      </c>
      <c r="G20" t="s">
        <v>5952</v>
      </c>
      <c r="H20" t="s">
        <v>1794</v>
      </c>
      <c r="I20" t="s">
        <v>3898</v>
      </c>
      <c r="J20" t="s">
        <v>5953</v>
      </c>
      <c r="K20" t="s">
        <v>3241</v>
      </c>
      <c r="L20" t="s">
        <v>2905</v>
      </c>
      <c r="M20" t="s">
        <v>5954</v>
      </c>
    </row>
    <row r="21" spans="1:13" ht="15" customHeight="1" x14ac:dyDescent="0.25">
      <c r="A21" t="s">
        <v>3089</v>
      </c>
      <c r="B21" t="s">
        <v>3896</v>
      </c>
      <c r="C21" t="s">
        <v>3897</v>
      </c>
      <c r="D21">
        <v>2</v>
      </c>
      <c r="E21" s="10">
        <v>48</v>
      </c>
      <c r="F21" s="10">
        <v>54</v>
      </c>
      <c r="G21" t="s">
        <v>2905</v>
      </c>
      <c r="H21" t="s">
        <v>1954</v>
      </c>
      <c r="I21" t="s">
        <v>3898</v>
      </c>
      <c r="J21" t="s">
        <v>5955</v>
      </c>
      <c r="K21" t="s">
        <v>3089</v>
      </c>
      <c r="L21" t="s">
        <v>2905</v>
      </c>
    </row>
    <row r="22" spans="1:13" ht="15" customHeight="1" x14ac:dyDescent="0.25">
      <c r="A22" t="s">
        <v>3110</v>
      </c>
      <c r="B22" t="s">
        <v>3896</v>
      </c>
      <c r="C22" t="s">
        <v>3900</v>
      </c>
      <c r="D22">
        <v>6</v>
      </c>
      <c r="E22" s="10">
        <v>114</v>
      </c>
      <c r="F22" s="10">
        <v>120</v>
      </c>
      <c r="G22" t="s">
        <v>2905</v>
      </c>
      <c r="H22" t="s">
        <v>1954</v>
      </c>
      <c r="I22" t="s">
        <v>3898</v>
      </c>
      <c r="J22" t="s">
        <v>5956</v>
      </c>
      <c r="K22" t="s">
        <v>3110</v>
      </c>
      <c r="L22" t="s">
        <v>2905</v>
      </c>
    </row>
    <row r="23" spans="1:13" ht="15" customHeight="1" x14ac:dyDescent="0.25">
      <c r="A23" t="s">
        <v>3118</v>
      </c>
      <c r="B23" t="s">
        <v>3896</v>
      </c>
      <c r="C23" t="s">
        <v>3902</v>
      </c>
      <c r="D23">
        <v>9</v>
      </c>
      <c r="E23" s="10">
        <v>999</v>
      </c>
      <c r="F23" s="10">
        <v>999</v>
      </c>
      <c r="G23" t="s">
        <v>3903</v>
      </c>
      <c r="H23" t="s">
        <v>1954</v>
      </c>
      <c r="I23" t="s">
        <v>3898</v>
      </c>
      <c r="J23" t="s">
        <v>5957</v>
      </c>
      <c r="K23" t="s">
        <v>3118</v>
      </c>
      <c r="L23" t="s">
        <v>2905</v>
      </c>
    </row>
    <row r="24" spans="1:13" ht="15" customHeight="1" x14ac:dyDescent="0.25">
      <c r="A24" t="s">
        <v>5958</v>
      </c>
      <c r="B24" t="s">
        <v>5771</v>
      </c>
      <c r="C24" t="s">
        <v>3897</v>
      </c>
      <c r="D24">
        <v>1</v>
      </c>
      <c r="E24" s="10">
        <v>20</v>
      </c>
      <c r="F24" s="10">
        <v>24</v>
      </c>
      <c r="G24" t="s">
        <v>5959</v>
      </c>
      <c r="H24" t="s">
        <v>1962</v>
      </c>
      <c r="I24" t="s">
        <v>5822</v>
      </c>
      <c r="J24" t="s">
        <v>5960</v>
      </c>
      <c r="K24" t="s">
        <v>5958</v>
      </c>
      <c r="L24" t="s">
        <v>2905</v>
      </c>
      <c r="M24" t="s">
        <v>3071</v>
      </c>
    </row>
    <row r="25" spans="1:13" ht="15" customHeight="1" x14ac:dyDescent="0.25">
      <c r="A25" t="s">
        <v>5961</v>
      </c>
      <c r="B25" t="s">
        <v>5771</v>
      </c>
      <c r="C25" t="s">
        <v>3900</v>
      </c>
      <c r="D25">
        <v>3</v>
      </c>
      <c r="E25" s="10">
        <v>48</v>
      </c>
      <c r="F25" s="10">
        <v>54</v>
      </c>
      <c r="G25" t="s">
        <v>2905</v>
      </c>
      <c r="H25" t="s">
        <v>1962</v>
      </c>
      <c r="I25" t="s">
        <v>3898</v>
      </c>
      <c r="J25" t="s">
        <v>5962</v>
      </c>
      <c r="K25" t="s">
        <v>5961</v>
      </c>
      <c r="L25" t="s">
        <v>2905</v>
      </c>
    </row>
    <row r="26" spans="1:13" ht="15" customHeight="1" x14ac:dyDescent="0.25">
      <c r="A26" t="s">
        <v>5963</v>
      </c>
      <c r="B26" t="s">
        <v>5771</v>
      </c>
      <c r="C26" t="s">
        <v>3902</v>
      </c>
      <c r="D26">
        <v>3</v>
      </c>
      <c r="E26" s="10">
        <v>60</v>
      </c>
      <c r="F26" s="10">
        <v>66</v>
      </c>
      <c r="G26" t="s">
        <v>5964</v>
      </c>
      <c r="H26" t="s">
        <v>1962</v>
      </c>
      <c r="I26" t="s">
        <v>3898</v>
      </c>
      <c r="J26" t="s">
        <v>5965</v>
      </c>
      <c r="K26" t="s">
        <v>5963</v>
      </c>
      <c r="L26" t="s">
        <v>2905</v>
      </c>
    </row>
    <row r="27" spans="1:13" ht="15" customHeight="1" x14ac:dyDescent="0.25">
      <c r="A27" t="s">
        <v>3905</v>
      </c>
      <c r="B27" t="s">
        <v>3896</v>
      </c>
      <c r="C27" t="s">
        <v>3897</v>
      </c>
      <c r="D27">
        <v>3</v>
      </c>
      <c r="E27" s="10">
        <v>40</v>
      </c>
      <c r="F27" s="10">
        <v>44</v>
      </c>
      <c r="G27" t="s">
        <v>2905</v>
      </c>
      <c r="H27" t="s">
        <v>1954</v>
      </c>
      <c r="I27" t="s">
        <v>3898</v>
      </c>
      <c r="J27" t="s">
        <v>5966</v>
      </c>
      <c r="K27" t="s">
        <v>3907</v>
      </c>
      <c r="L27" t="s">
        <v>2905</v>
      </c>
    </row>
    <row r="28" spans="1:13" ht="15" customHeight="1" x14ac:dyDescent="0.25">
      <c r="A28" t="s">
        <v>3908</v>
      </c>
      <c r="B28" t="s">
        <v>3896</v>
      </c>
      <c r="C28" t="s">
        <v>3897</v>
      </c>
      <c r="D28">
        <v>1</v>
      </c>
      <c r="E28" s="10">
        <v>10</v>
      </c>
      <c r="F28" s="10">
        <v>15</v>
      </c>
      <c r="G28" t="s">
        <v>3909</v>
      </c>
      <c r="H28" t="s">
        <v>1954</v>
      </c>
      <c r="I28" t="s">
        <v>3898</v>
      </c>
      <c r="J28" t="s">
        <v>5967</v>
      </c>
      <c r="K28" t="s">
        <v>3911</v>
      </c>
      <c r="L28" t="s">
        <v>2905</v>
      </c>
      <c r="M28" t="s">
        <v>3489</v>
      </c>
    </row>
    <row r="29" spans="1:13" ht="15" customHeight="1" x14ac:dyDescent="0.25">
      <c r="A29" t="s">
        <v>3912</v>
      </c>
      <c r="B29" t="s">
        <v>3896</v>
      </c>
      <c r="C29" t="s">
        <v>3897</v>
      </c>
      <c r="D29">
        <v>1</v>
      </c>
      <c r="E29" s="10">
        <v>11</v>
      </c>
      <c r="F29" s="10">
        <v>17</v>
      </c>
      <c r="G29" t="s">
        <v>3909</v>
      </c>
      <c r="H29" t="s">
        <v>1954</v>
      </c>
      <c r="I29" t="s">
        <v>3898</v>
      </c>
      <c r="J29" t="s">
        <v>5968</v>
      </c>
      <c r="K29" t="s">
        <v>3914</v>
      </c>
      <c r="L29" t="s">
        <v>2905</v>
      </c>
      <c r="M29" t="s">
        <v>3489</v>
      </c>
    </row>
    <row r="30" spans="1:13" ht="15" customHeight="1" x14ac:dyDescent="0.25">
      <c r="A30" t="s">
        <v>3915</v>
      </c>
      <c r="B30" t="s">
        <v>3896</v>
      </c>
      <c r="C30" t="s">
        <v>3897</v>
      </c>
      <c r="D30">
        <v>4</v>
      </c>
      <c r="E30" s="10">
        <v>65</v>
      </c>
      <c r="F30" s="10">
        <v>69</v>
      </c>
      <c r="G30" t="s">
        <v>3916</v>
      </c>
      <c r="H30" t="s">
        <v>1954</v>
      </c>
      <c r="I30" t="s">
        <v>3898</v>
      </c>
      <c r="J30" t="s">
        <v>5969</v>
      </c>
      <c r="K30" t="s">
        <v>3918</v>
      </c>
      <c r="L30" t="s">
        <v>2905</v>
      </c>
      <c r="M30" t="s">
        <v>3106</v>
      </c>
    </row>
    <row r="31" spans="1:13" ht="15" customHeight="1" x14ac:dyDescent="0.25">
      <c r="A31" t="s">
        <v>3919</v>
      </c>
      <c r="B31" t="s">
        <v>3896</v>
      </c>
      <c r="C31" t="s">
        <v>3897</v>
      </c>
      <c r="D31">
        <v>2</v>
      </c>
      <c r="E31" s="10">
        <v>28</v>
      </c>
      <c r="F31" s="10">
        <v>32</v>
      </c>
      <c r="G31" t="s">
        <v>2905</v>
      </c>
      <c r="H31" t="s">
        <v>1954</v>
      </c>
      <c r="I31" t="s">
        <v>3898</v>
      </c>
      <c r="J31" t="s">
        <v>5970</v>
      </c>
      <c r="K31" t="s">
        <v>3921</v>
      </c>
      <c r="L31" t="s">
        <v>2905</v>
      </c>
      <c r="M31" t="s">
        <v>3106</v>
      </c>
    </row>
    <row r="32" spans="1:13" ht="15" customHeight="1" x14ac:dyDescent="0.25">
      <c r="A32" t="s">
        <v>3922</v>
      </c>
      <c r="B32" t="s">
        <v>3896</v>
      </c>
      <c r="C32" t="s">
        <v>3897</v>
      </c>
      <c r="D32">
        <v>1</v>
      </c>
      <c r="E32" s="10">
        <v>8</v>
      </c>
      <c r="F32" s="10">
        <v>12</v>
      </c>
      <c r="G32" t="s">
        <v>2905</v>
      </c>
      <c r="H32" t="s">
        <v>1954</v>
      </c>
      <c r="I32" t="s">
        <v>3898</v>
      </c>
      <c r="J32" t="s">
        <v>5971</v>
      </c>
      <c r="K32" t="s">
        <v>3924</v>
      </c>
      <c r="L32" t="s">
        <v>2905</v>
      </c>
      <c r="M32" t="s">
        <v>3106</v>
      </c>
    </row>
    <row r="33" spans="1:13" ht="15" customHeight="1" x14ac:dyDescent="0.25">
      <c r="A33" t="s">
        <v>3103</v>
      </c>
      <c r="B33" t="s">
        <v>3896</v>
      </c>
      <c r="C33" t="s">
        <v>3897</v>
      </c>
      <c r="D33">
        <v>4</v>
      </c>
      <c r="E33" s="10">
        <v>64</v>
      </c>
      <c r="F33" s="10">
        <v>70</v>
      </c>
      <c r="G33" t="s">
        <v>3925</v>
      </c>
      <c r="H33" t="s">
        <v>1954</v>
      </c>
      <c r="I33" t="s">
        <v>3898</v>
      </c>
      <c r="J33" t="s">
        <v>5972</v>
      </c>
      <c r="K33" t="s">
        <v>3105</v>
      </c>
      <c r="L33" t="s">
        <v>2905</v>
      </c>
      <c r="M33" t="s">
        <v>3106</v>
      </c>
    </row>
    <row r="34" spans="1:13" ht="15" customHeight="1" x14ac:dyDescent="0.25">
      <c r="A34" t="s">
        <v>3927</v>
      </c>
      <c r="B34" t="s">
        <v>3896</v>
      </c>
      <c r="C34" t="s">
        <v>3897</v>
      </c>
      <c r="D34">
        <v>2</v>
      </c>
      <c r="E34" s="10">
        <v>28</v>
      </c>
      <c r="F34" s="10">
        <v>32</v>
      </c>
      <c r="G34" t="s">
        <v>2905</v>
      </c>
      <c r="H34" t="s">
        <v>1954</v>
      </c>
      <c r="I34" t="s">
        <v>3898</v>
      </c>
      <c r="J34" t="s">
        <v>5973</v>
      </c>
      <c r="K34" t="s">
        <v>3929</v>
      </c>
      <c r="L34" t="s">
        <v>2905</v>
      </c>
      <c r="M34" t="s">
        <v>3106</v>
      </c>
    </row>
    <row r="35" spans="1:13" ht="15" customHeight="1" x14ac:dyDescent="0.25">
      <c r="A35" t="s">
        <v>3930</v>
      </c>
      <c r="B35" t="s">
        <v>3896</v>
      </c>
      <c r="C35" t="s">
        <v>3897</v>
      </c>
      <c r="D35">
        <v>1</v>
      </c>
      <c r="E35" s="10">
        <v>10</v>
      </c>
      <c r="F35" s="10">
        <v>14</v>
      </c>
      <c r="G35" t="s">
        <v>2905</v>
      </c>
      <c r="H35" t="s">
        <v>1954</v>
      </c>
      <c r="I35" t="s">
        <v>3898</v>
      </c>
      <c r="J35" t="s">
        <v>5974</v>
      </c>
      <c r="K35" t="s">
        <v>3932</v>
      </c>
      <c r="L35" t="s">
        <v>2905</v>
      </c>
      <c r="M35" t="s">
        <v>3106</v>
      </c>
    </row>
    <row r="36" spans="1:13" ht="15" customHeight="1" x14ac:dyDescent="0.25">
      <c r="A36" t="s">
        <v>5975</v>
      </c>
      <c r="B36" t="s">
        <v>5771</v>
      </c>
      <c r="C36" t="s">
        <v>3902</v>
      </c>
      <c r="D36">
        <v>1</v>
      </c>
      <c r="E36" s="10">
        <v>20</v>
      </c>
      <c r="F36" s="10">
        <v>24</v>
      </c>
      <c r="G36" t="s">
        <v>2905</v>
      </c>
      <c r="H36" t="s">
        <v>1358</v>
      </c>
      <c r="I36" t="s">
        <v>5822</v>
      </c>
      <c r="J36" t="s">
        <v>5976</v>
      </c>
      <c r="K36" t="s">
        <v>5975</v>
      </c>
      <c r="L36" t="s">
        <v>2905</v>
      </c>
      <c r="M36" t="s">
        <v>5977</v>
      </c>
    </row>
    <row r="37" spans="1:13" ht="15" customHeight="1" x14ac:dyDescent="0.25">
      <c r="A37" t="s">
        <v>5978</v>
      </c>
      <c r="B37" t="s">
        <v>5771</v>
      </c>
      <c r="C37" t="s">
        <v>3897</v>
      </c>
      <c r="D37">
        <v>0.5</v>
      </c>
      <c r="E37" s="10">
        <v>4</v>
      </c>
      <c r="F37" s="10">
        <v>6</v>
      </c>
      <c r="G37" t="s">
        <v>2905</v>
      </c>
      <c r="H37" t="s">
        <v>1358</v>
      </c>
      <c r="I37" t="s">
        <v>2905</v>
      </c>
      <c r="J37" t="s">
        <v>5979</v>
      </c>
      <c r="K37" t="s">
        <v>5978</v>
      </c>
      <c r="L37" t="s">
        <v>2905</v>
      </c>
      <c r="M37" t="s">
        <v>3489</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52</v>
      </c>
      <c r="B1" t="s">
        <v>3933</v>
      </c>
      <c r="C1" t="s">
        <v>3040</v>
      </c>
      <c r="D1" t="s">
        <v>3890</v>
      </c>
      <c r="E1" t="s">
        <v>9</v>
      </c>
      <c r="F1" t="s">
        <v>3046</v>
      </c>
      <c r="G1" t="s">
        <v>3891</v>
      </c>
      <c r="H1" t="s">
        <v>3892</v>
      </c>
      <c r="I1" t="s">
        <v>3934</v>
      </c>
      <c r="J1" t="s">
        <v>5980</v>
      </c>
      <c r="K1" t="s">
        <v>3938</v>
      </c>
      <c r="L1" t="s">
        <v>57</v>
      </c>
      <c r="M1" t="s">
        <v>5981</v>
      </c>
      <c r="N1" t="s">
        <v>5982</v>
      </c>
      <c r="O1" t="s">
        <v>5983</v>
      </c>
      <c r="P1" t="s">
        <v>5984</v>
      </c>
      <c r="Q1" t="s">
        <v>3045</v>
      </c>
    </row>
    <row r="2" spans="1:17" ht="15" customHeight="1" x14ac:dyDescent="0.25">
      <c r="A2" t="s">
        <v>5945</v>
      </c>
      <c r="B2" t="s">
        <v>5985</v>
      </c>
      <c r="C2" t="s">
        <v>3897</v>
      </c>
      <c r="D2">
        <v>2</v>
      </c>
      <c r="E2" t="s">
        <v>1794</v>
      </c>
      <c r="G2">
        <v>20</v>
      </c>
      <c r="H2">
        <v>24</v>
      </c>
      <c r="I2">
        <v>0</v>
      </c>
      <c r="J2" t="s">
        <v>5986</v>
      </c>
      <c r="K2" t="s">
        <v>5987</v>
      </c>
      <c r="M2">
        <v>1</v>
      </c>
      <c r="N2">
        <v>3</v>
      </c>
      <c r="O2" t="s">
        <v>5988</v>
      </c>
      <c r="P2" t="s">
        <v>5989</v>
      </c>
    </row>
    <row r="3" spans="1:17" ht="15" customHeight="1" x14ac:dyDescent="0.25">
      <c r="A3" t="s">
        <v>5990</v>
      </c>
      <c r="B3" t="s">
        <v>5991</v>
      </c>
      <c r="C3" t="s">
        <v>3900</v>
      </c>
      <c r="D3">
        <v>2</v>
      </c>
      <c r="E3" t="s">
        <v>1794</v>
      </c>
      <c r="F3" t="s">
        <v>3820</v>
      </c>
      <c r="G3">
        <v>12</v>
      </c>
      <c r="H3">
        <v>18</v>
      </c>
      <c r="I3">
        <v>4</v>
      </c>
      <c r="J3" t="s">
        <v>5992</v>
      </c>
      <c r="K3" t="s">
        <v>5993</v>
      </c>
      <c r="M3">
        <v>2</v>
      </c>
      <c r="N3">
        <v>3</v>
      </c>
      <c r="O3" t="s">
        <v>5994</v>
      </c>
      <c r="P3" t="s">
        <v>5995</v>
      </c>
    </row>
    <row r="4" spans="1:17" ht="15" customHeight="1" x14ac:dyDescent="0.25">
      <c r="A4" t="s">
        <v>5996</v>
      </c>
      <c r="B4" t="s">
        <v>5997</v>
      </c>
      <c r="C4" t="s">
        <v>3897</v>
      </c>
      <c r="D4">
        <v>1</v>
      </c>
      <c r="E4" t="s">
        <v>1482</v>
      </c>
      <c r="F4" t="s">
        <v>5998</v>
      </c>
      <c r="G4">
        <v>5</v>
      </c>
      <c r="H4">
        <v>5</v>
      </c>
      <c r="I4">
        <v>4</v>
      </c>
      <c r="J4" t="s">
        <v>5992</v>
      </c>
      <c r="K4" t="s">
        <v>5999</v>
      </c>
      <c r="L4" t="s">
        <v>5996</v>
      </c>
      <c r="M4">
        <v>1</v>
      </c>
      <c r="N4">
        <v>4</v>
      </c>
      <c r="O4" t="s">
        <v>6000</v>
      </c>
      <c r="P4" t="s">
        <v>6001</v>
      </c>
    </row>
    <row r="5" spans="1:17" ht="15" customHeight="1" x14ac:dyDescent="0.25">
      <c r="A5" t="s">
        <v>6002</v>
      </c>
      <c r="B5" t="s">
        <v>3820</v>
      </c>
      <c r="C5" t="s">
        <v>3897</v>
      </c>
      <c r="D5">
        <v>1</v>
      </c>
      <c r="E5" t="s">
        <v>1794</v>
      </c>
      <c r="F5" t="s">
        <v>3820</v>
      </c>
      <c r="G5">
        <v>8</v>
      </c>
      <c r="H5">
        <v>11</v>
      </c>
      <c r="I5">
        <v>4</v>
      </c>
      <c r="J5" t="s">
        <v>6003</v>
      </c>
      <c r="K5" t="s">
        <v>6004</v>
      </c>
      <c r="M5">
        <v>1</v>
      </c>
      <c r="N5">
        <v>4</v>
      </c>
      <c r="O5" t="s">
        <v>6005</v>
      </c>
      <c r="P5" t="s">
        <v>6006</v>
      </c>
    </row>
    <row r="6" spans="1:17" ht="15" customHeight="1" x14ac:dyDescent="0.25">
      <c r="A6" t="s">
        <v>5950</v>
      </c>
      <c r="B6" t="s">
        <v>6007</v>
      </c>
      <c r="C6" t="s">
        <v>3900</v>
      </c>
      <c r="D6">
        <v>5</v>
      </c>
      <c r="E6" t="s">
        <v>1794</v>
      </c>
      <c r="G6">
        <v>60</v>
      </c>
      <c r="H6">
        <v>66</v>
      </c>
      <c r="I6">
        <v>-4</v>
      </c>
      <c r="J6" t="s">
        <v>6008</v>
      </c>
      <c r="K6" t="s">
        <v>6009</v>
      </c>
      <c r="M6">
        <v>4</v>
      </c>
      <c r="N6">
        <v>1</v>
      </c>
      <c r="O6" t="s">
        <v>6010</v>
      </c>
      <c r="P6" t="s">
        <v>6011</v>
      </c>
      <c r="Q6" t="s">
        <v>6012</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52</v>
      </c>
      <c r="B1" t="s">
        <v>6013</v>
      </c>
      <c r="C1" t="s">
        <v>6014</v>
      </c>
      <c r="D1" t="s">
        <v>6015</v>
      </c>
      <c r="E1" t="s">
        <v>6016</v>
      </c>
      <c r="F1" t="s">
        <v>6017</v>
      </c>
      <c r="G1" t="s">
        <v>6018</v>
      </c>
      <c r="H1" t="s">
        <v>6019</v>
      </c>
      <c r="I1" t="s">
        <v>9</v>
      </c>
    </row>
    <row r="2" spans="1:9" ht="15" customHeight="1" x14ac:dyDescent="0.25">
      <c r="A2" t="s">
        <v>4767</v>
      </c>
      <c r="B2">
        <v>6</v>
      </c>
      <c r="C2" t="s">
        <v>6020</v>
      </c>
      <c r="D2" t="s">
        <v>6021</v>
      </c>
      <c r="E2" t="s">
        <v>6022</v>
      </c>
      <c r="F2" t="s">
        <v>6022</v>
      </c>
      <c r="G2" t="s">
        <v>6020</v>
      </c>
      <c r="H2" t="s">
        <v>6021</v>
      </c>
      <c r="I2" t="s">
        <v>1962</v>
      </c>
    </row>
    <row r="3" spans="1:9" ht="15" customHeight="1" x14ac:dyDescent="0.25">
      <c r="A3" t="s">
        <v>4791</v>
      </c>
      <c r="B3">
        <v>6</v>
      </c>
      <c r="C3" t="s">
        <v>6023</v>
      </c>
      <c r="D3" t="s">
        <v>6024</v>
      </c>
      <c r="E3" t="s">
        <v>6025</v>
      </c>
      <c r="F3" t="s">
        <v>6025</v>
      </c>
      <c r="G3" t="s">
        <v>6026</v>
      </c>
      <c r="H3" t="s">
        <v>6027</v>
      </c>
      <c r="I3" t="s">
        <v>1962</v>
      </c>
    </row>
    <row r="4" spans="1:9" ht="15" customHeight="1" x14ac:dyDescent="0.25">
      <c r="A4" t="s">
        <v>4818</v>
      </c>
      <c r="B4">
        <v>6</v>
      </c>
      <c r="C4" t="s">
        <v>6028</v>
      </c>
      <c r="D4" t="s">
        <v>6029</v>
      </c>
      <c r="E4" t="s">
        <v>6030</v>
      </c>
      <c r="F4" t="s">
        <v>6030</v>
      </c>
      <c r="G4" t="s">
        <v>6031</v>
      </c>
      <c r="H4" t="s">
        <v>4846</v>
      </c>
      <c r="I4" t="s">
        <v>1962</v>
      </c>
    </row>
    <row r="5" spans="1:9" ht="15" customHeight="1" x14ac:dyDescent="0.25">
      <c r="A5" t="s">
        <v>4859</v>
      </c>
      <c r="B5">
        <v>6</v>
      </c>
      <c r="C5" t="s">
        <v>6032</v>
      </c>
      <c r="D5" t="s">
        <v>6033</v>
      </c>
      <c r="E5" t="s">
        <v>6034</v>
      </c>
      <c r="F5" t="s">
        <v>6034</v>
      </c>
      <c r="G5" t="s">
        <v>6035</v>
      </c>
      <c r="H5" t="s">
        <v>4846</v>
      </c>
      <c r="I5" t="s">
        <v>1962</v>
      </c>
    </row>
    <row r="6" spans="1:9" ht="15" customHeight="1" x14ac:dyDescent="0.25">
      <c r="A6" t="s">
        <v>4905</v>
      </c>
      <c r="B6">
        <v>6</v>
      </c>
      <c r="C6" t="s">
        <v>6036</v>
      </c>
      <c r="D6" t="s">
        <v>6036</v>
      </c>
      <c r="E6" t="s">
        <v>6030</v>
      </c>
      <c r="F6" t="s">
        <v>6030</v>
      </c>
      <c r="G6" t="s">
        <v>6031</v>
      </c>
      <c r="H6" t="s">
        <v>6031</v>
      </c>
      <c r="I6" t="s">
        <v>1962</v>
      </c>
    </row>
    <row r="7" spans="1:9" ht="15" customHeight="1" x14ac:dyDescent="0.25">
      <c r="A7" t="s">
        <v>4928</v>
      </c>
      <c r="B7">
        <v>6</v>
      </c>
      <c r="C7" t="s">
        <v>6037</v>
      </c>
      <c r="D7" t="s">
        <v>6024</v>
      </c>
      <c r="E7" t="s">
        <v>4846</v>
      </c>
      <c r="F7" t="s">
        <v>4846</v>
      </c>
      <c r="G7" t="s">
        <v>6038</v>
      </c>
      <c r="H7" t="s">
        <v>4846</v>
      </c>
      <c r="I7" t="s">
        <v>1962</v>
      </c>
    </row>
    <row r="8" spans="1:9" ht="15" customHeight="1" x14ac:dyDescent="0.25">
      <c r="A8" t="s">
        <v>4933</v>
      </c>
      <c r="B8">
        <v>6</v>
      </c>
      <c r="C8" t="s">
        <v>6039</v>
      </c>
      <c r="D8" t="s">
        <v>6040</v>
      </c>
      <c r="E8" t="s">
        <v>6041</v>
      </c>
      <c r="F8" t="s">
        <v>6041</v>
      </c>
      <c r="G8" t="s">
        <v>6029</v>
      </c>
      <c r="H8" t="s">
        <v>4846</v>
      </c>
      <c r="I8" t="s">
        <v>1962</v>
      </c>
    </row>
    <row r="9" spans="1:9" ht="15" customHeight="1" x14ac:dyDescent="0.25">
      <c r="A9" t="s">
        <v>4952</v>
      </c>
      <c r="B9">
        <v>6</v>
      </c>
      <c r="C9" t="s">
        <v>6034</v>
      </c>
      <c r="D9" t="s">
        <v>6042</v>
      </c>
      <c r="E9" t="s">
        <v>6043</v>
      </c>
      <c r="F9" t="s">
        <v>6043</v>
      </c>
      <c r="G9" t="s">
        <v>6042</v>
      </c>
      <c r="H9" t="s">
        <v>4846</v>
      </c>
      <c r="I9" t="s">
        <v>1962</v>
      </c>
    </row>
    <row r="10" spans="1:9" ht="15" customHeight="1" x14ac:dyDescent="0.25">
      <c r="A10" t="s">
        <v>4586</v>
      </c>
      <c r="B10">
        <v>6</v>
      </c>
      <c r="C10" t="s">
        <v>6044</v>
      </c>
      <c r="D10" t="s">
        <v>6045</v>
      </c>
      <c r="E10" t="s">
        <v>6046</v>
      </c>
      <c r="F10" t="s">
        <v>6047</v>
      </c>
      <c r="G10" t="s">
        <v>6048</v>
      </c>
      <c r="H10" t="s">
        <v>6049</v>
      </c>
      <c r="I10" t="s">
        <v>2199</v>
      </c>
    </row>
    <row r="11" spans="1:9" ht="15" customHeight="1" x14ac:dyDescent="0.25">
      <c r="A11" t="s">
        <v>4998</v>
      </c>
      <c r="B11">
        <v>6</v>
      </c>
      <c r="C11" t="s">
        <v>6023</v>
      </c>
      <c r="D11" t="s">
        <v>6050</v>
      </c>
      <c r="E11" t="s">
        <v>6051</v>
      </c>
      <c r="F11" t="s">
        <v>6051</v>
      </c>
      <c r="G11" t="s">
        <v>6052</v>
      </c>
      <c r="H11" t="s">
        <v>4846</v>
      </c>
      <c r="I11" t="s">
        <v>1962</v>
      </c>
    </row>
    <row r="12" spans="1:9" ht="15" customHeight="1" x14ac:dyDescent="0.25">
      <c r="A12" t="s">
        <v>5005</v>
      </c>
      <c r="B12">
        <v>6</v>
      </c>
      <c r="C12" t="s">
        <v>6053</v>
      </c>
      <c r="D12" t="s">
        <v>6053</v>
      </c>
      <c r="E12" t="s">
        <v>6020</v>
      </c>
      <c r="F12" t="s">
        <v>6020</v>
      </c>
      <c r="G12" t="s">
        <v>6021</v>
      </c>
      <c r="H12" t="s">
        <v>4846</v>
      </c>
      <c r="I12" t="s">
        <v>1962</v>
      </c>
    </row>
    <row r="13" spans="1:9" ht="15" customHeight="1" x14ac:dyDescent="0.25">
      <c r="A13" t="s">
        <v>5006</v>
      </c>
      <c r="B13">
        <v>6</v>
      </c>
      <c r="C13" t="s">
        <v>6024</v>
      </c>
      <c r="D13" t="s">
        <v>4539</v>
      </c>
      <c r="E13" t="s">
        <v>4846</v>
      </c>
      <c r="F13" t="s">
        <v>4846</v>
      </c>
      <c r="G13" t="s">
        <v>4846</v>
      </c>
      <c r="H13" t="s">
        <v>4846</v>
      </c>
      <c r="I13" t="s">
        <v>1962</v>
      </c>
    </row>
    <row r="14" spans="1:9" ht="15" customHeight="1" x14ac:dyDescent="0.25">
      <c r="A14" t="s">
        <v>5025</v>
      </c>
      <c r="B14">
        <v>6</v>
      </c>
      <c r="C14" t="s">
        <v>6034</v>
      </c>
      <c r="D14" t="s">
        <v>6034</v>
      </c>
      <c r="E14" t="s">
        <v>6042</v>
      </c>
      <c r="F14" t="s">
        <v>6042</v>
      </c>
      <c r="G14" t="s">
        <v>4846</v>
      </c>
      <c r="H14" t="s">
        <v>4846</v>
      </c>
      <c r="I14" t="s">
        <v>1962</v>
      </c>
    </row>
    <row r="15" spans="1:9" ht="15" customHeight="1" x14ac:dyDescent="0.25">
      <c r="A15" t="s">
        <v>5042</v>
      </c>
      <c r="B15">
        <v>6</v>
      </c>
      <c r="C15" t="s">
        <v>6054</v>
      </c>
      <c r="D15" t="s">
        <v>6055</v>
      </c>
      <c r="E15" t="s">
        <v>6055</v>
      </c>
      <c r="F15" t="s">
        <v>6055</v>
      </c>
      <c r="G15" t="s">
        <v>6042</v>
      </c>
      <c r="H15" t="s">
        <v>4846</v>
      </c>
      <c r="I15" t="s">
        <v>1962</v>
      </c>
    </row>
    <row r="16" spans="1:9" ht="15" customHeight="1" x14ac:dyDescent="0.25">
      <c r="A16" t="s">
        <v>5111</v>
      </c>
      <c r="B16">
        <v>6</v>
      </c>
      <c r="C16" t="s">
        <v>6056</v>
      </c>
      <c r="D16" t="s">
        <v>6057</v>
      </c>
      <c r="E16" t="s">
        <v>6057</v>
      </c>
      <c r="F16" t="s">
        <v>6057</v>
      </c>
      <c r="G16" t="s">
        <v>6058</v>
      </c>
      <c r="H16" t="s">
        <v>4846</v>
      </c>
      <c r="I16" t="s">
        <v>1962</v>
      </c>
    </row>
    <row r="17" spans="1:9" ht="15" customHeight="1" x14ac:dyDescent="0.25">
      <c r="A17" t="s">
        <v>5188</v>
      </c>
      <c r="B17">
        <v>6</v>
      </c>
      <c r="C17" t="s">
        <v>6025</v>
      </c>
      <c r="D17" t="s">
        <v>6025</v>
      </c>
      <c r="E17" t="s">
        <v>6036</v>
      </c>
      <c r="F17" t="s">
        <v>6036</v>
      </c>
      <c r="G17" t="s">
        <v>6029</v>
      </c>
      <c r="H17" t="s">
        <v>6029</v>
      </c>
      <c r="I17" t="s">
        <v>1962</v>
      </c>
    </row>
    <row r="18" spans="1:9" ht="15" customHeight="1" x14ac:dyDescent="0.25">
      <c r="A18" t="s">
        <v>5245</v>
      </c>
      <c r="B18">
        <v>6</v>
      </c>
      <c r="C18" t="s">
        <v>6024</v>
      </c>
      <c r="D18" t="s">
        <v>6024</v>
      </c>
      <c r="E18" t="s">
        <v>6025</v>
      </c>
      <c r="F18" t="s">
        <v>6025</v>
      </c>
      <c r="G18" t="s">
        <v>6028</v>
      </c>
      <c r="H18" t="s">
        <v>6028</v>
      </c>
      <c r="I18" t="s">
        <v>1962</v>
      </c>
    </row>
    <row r="19" spans="1:9" ht="15" customHeight="1" x14ac:dyDescent="0.25">
      <c r="A19" t="s">
        <v>5249</v>
      </c>
      <c r="B19">
        <v>6</v>
      </c>
      <c r="C19" t="s">
        <v>4539</v>
      </c>
      <c r="D19" t="s">
        <v>6028</v>
      </c>
      <c r="E19" t="s">
        <v>6036</v>
      </c>
      <c r="F19" t="s">
        <v>6036</v>
      </c>
      <c r="G19" t="s">
        <v>6029</v>
      </c>
      <c r="H19" t="s">
        <v>6031</v>
      </c>
      <c r="I19" t="s">
        <v>1962</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52</v>
      </c>
      <c r="B1" t="s">
        <v>10</v>
      </c>
      <c r="C1" t="s">
        <v>6059</v>
      </c>
      <c r="D1" t="s">
        <v>57</v>
      </c>
      <c r="E1" t="s">
        <v>6593</v>
      </c>
    </row>
    <row r="2" spans="1:5" ht="15" customHeight="1" x14ac:dyDescent="0.25">
      <c r="A2" t="s">
        <v>6060</v>
      </c>
      <c r="B2">
        <v>2022</v>
      </c>
      <c r="C2" t="s">
        <v>2203</v>
      </c>
      <c r="D2" t="s">
        <v>6061</v>
      </c>
    </row>
    <row r="3" spans="1:5" ht="15" customHeight="1" x14ac:dyDescent="0.25">
      <c r="A3" t="s">
        <v>6062</v>
      </c>
      <c r="B3">
        <v>2022</v>
      </c>
      <c r="C3" t="s">
        <v>1954</v>
      </c>
      <c r="D3" t="s">
        <v>6063</v>
      </c>
    </row>
    <row r="4" spans="1:5" ht="15" customHeight="1" x14ac:dyDescent="0.25">
      <c r="A4" t="s">
        <v>6064</v>
      </c>
      <c r="B4">
        <v>2024</v>
      </c>
      <c r="C4" t="s">
        <v>213</v>
      </c>
      <c r="D4" t="s">
        <v>6065</v>
      </c>
    </row>
    <row r="5" spans="1:5" ht="15" customHeight="1" x14ac:dyDescent="0.25">
      <c r="A5" t="s">
        <v>6066</v>
      </c>
      <c r="B5">
        <v>2020</v>
      </c>
      <c r="C5" t="s">
        <v>1772</v>
      </c>
      <c r="D5" t="s">
        <v>6067</v>
      </c>
    </row>
    <row r="6" spans="1:5" ht="15" customHeight="1" x14ac:dyDescent="0.25">
      <c r="A6" t="s">
        <v>6068</v>
      </c>
      <c r="B6">
        <v>2021</v>
      </c>
      <c r="C6" t="s">
        <v>1776</v>
      </c>
      <c r="D6" t="s">
        <v>6069</v>
      </c>
    </row>
    <row r="7" spans="1:5" ht="15" customHeight="1" x14ac:dyDescent="0.25">
      <c r="A7" t="s">
        <v>6070</v>
      </c>
      <c r="B7">
        <v>2024</v>
      </c>
      <c r="C7" t="s">
        <v>213</v>
      </c>
      <c r="D7" t="s">
        <v>6071</v>
      </c>
    </row>
    <row r="8" spans="1:5" x14ac:dyDescent="0.25">
      <c r="A8" t="s">
        <v>6591</v>
      </c>
      <c r="B8">
        <v>2024</v>
      </c>
      <c r="C8" t="s">
        <v>213</v>
      </c>
      <c r="E8" s="11" t="s">
        <v>6592</v>
      </c>
    </row>
  </sheetData>
  <hyperlinks>
    <hyperlink ref="E8" r:id="rId1" xr:uid="{5CE296F9-7C71-44A0-82F0-625577E6E082}"/>
  </hyperlinks>
  <pageMargins left="0.7" right="0.7" top="0.75" bottom="0.75" header="0.511811023622047" footer="0.511811023622047"/>
  <pageSetup orientation="portrait" horizontalDpi="300" verticalDpi="300"/>
  <tableParts count="1">
    <tablePart r:id="rId2"/>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52</v>
      </c>
      <c r="B1" t="s">
        <v>2899</v>
      </c>
      <c r="C1" t="s">
        <v>53</v>
      </c>
    </row>
    <row r="2" spans="1:3" ht="15" customHeight="1" x14ac:dyDescent="0.25">
      <c r="A2" t="s">
        <v>6072</v>
      </c>
      <c r="B2" t="s">
        <v>6073</v>
      </c>
      <c r="C2" t="s">
        <v>3249</v>
      </c>
    </row>
    <row r="3" spans="1:3" ht="15" customHeight="1" x14ac:dyDescent="0.25">
      <c r="A3" t="s">
        <v>6074</v>
      </c>
      <c r="B3" t="s">
        <v>6075</v>
      </c>
      <c r="C3" t="s">
        <v>3249</v>
      </c>
    </row>
    <row r="4" spans="1:3" ht="15" customHeight="1" x14ac:dyDescent="0.25">
      <c r="A4" t="s">
        <v>6076</v>
      </c>
      <c r="B4" t="s">
        <v>6077</v>
      </c>
      <c r="C4" t="s">
        <v>3260</v>
      </c>
    </row>
    <row r="5" spans="1:3" ht="15" customHeight="1" x14ac:dyDescent="0.25">
      <c r="A5" t="s">
        <v>6078</v>
      </c>
      <c r="B5" t="s">
        <v>6079</v>
      </c>
      <c r="C5" t="s">
        <v>3249</v>
      </c>
    </row>
    <row r="6" spans="1:3" ht="15" customHeight="1" x14ac:dyDescent="0.25">
      <c r="A6" t="s">
        <v>6080</v>
      </c>
      <c r="B6" t="s">
        <v>6081</v>
      </c>
      <c r="C6" t="s">
        <v>3260</v>
      </c>
    </row>
    <row r="7" spans="1:3" ht="15" customHeight="1" x14ac:dyDescent="0.25">
      <c r="A7" t="s">
        <v>6082</v>
      </c>
      <c r="B7" t="s">
        <v>6083</v>
      </c>
      <c r="C7" t="s">
        <v>3249</v>
      </c>
    </row>
    <row r="8" spans="1:3" ht="15" customHeight="1" x14ac:dyDescent="0.25">
      <c r="A8" t="s">
        <v>6084</v>
      </c>
      <c r="B8" t="s">
        <v>6085</v>
      </c>
      <c r="C8" t="s">
        <v>3249</v>
      </c>
    </row>
    <row r="9" spans="1:3" ht="15" customHeight="1" x14ac:dyDescent="0.25">
      <c r="A9" t="s">
        <v>6086</v>
      </c>
      <c r="B9" t="s">
        <v>6087</v>
      </c>
      <c r="C9" t="s">
        <v>3249</v>
      </c>
    </row>
    <row r="10" spans="1:3" ht="15" customHeight="1" x14ac:dyDescent="0.25">
      <c r="A10" t="s">
        <v>6088</v>
      </c>
      <c r="B10" t="s">
        <v>6089</v>
      </c>
      <c r="C10" t="s">
        <v>3268</v>
      </c>
    </row>
    <row r="11" spans="1:3" ht="15" customHeight="1" x14ac:dyDescent="0.25">
      <c r="A11" t="s">
        <v>6090</v>
      </c>
      <c r="B11" t="s">
        <v>6091</v>
      </c>
      <c r="C11" t="s">
        <v>3249</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52</v>
      </c>
      <c r="B1" t="s">
        <v>6144</v>
      </c>
      <c r="C1" t="s">
        <v>3453</v>
      </c>
      <c r="D1" t="s">
        <v>6145</v>
      </c>
      <c r="E1" t="s">
        <v>2899</v>
      </c>
      <c r="F1" t="s">
        <v>53</v>
      </c>
    </row>
    <row r="2" spans="1:6" ht="15" customHeight="1" x14ac:dyDescent="0.25">
      <c r="A2" t="s">
        <v>6146</v>
      </c>
      <c r="B2" t="s">
        <v>3896</v>
      </c>
      <c r="C2" t="s">
        <v>3897</v>
      </c>
      <c r="D2" t="s">
        <v>6147</v>
      </c>
      <c r="E2" t="s">
        <v>6148</v>
      </c>
      <c r="F2" t="s">
        <v>6149</v>
      </c>
    </row>
    <row r="3" spans="1:6" ht="15" customHeight="1" x14ac:dyDescent="0.25">
      <c r="A3" t="s">
        <v>6150</v>
      </c>
      <c r="B3" t="s">
        <v>3896</v>
      </c>
      <c r="C3" t="s">
        <v>3900</v>
      </c>
      <c r="D3" t="s">
        <v>6147</v>
      </c>
      <c r="E3" t="s">
        <v>6151</v>
      </c>
      <c r="F3" t="s">
        <v>6149</v>
      </c>
    </row>
    <row r="4" spans="1:6" ht="15" customHeight="1" x14ac:dyDescent="0.25">
      <c r="A4" t="s">
        <v>6152</v>
      </c>
      <c r="B4" t="s">
        <v>3896</v>
      </c>
      <c r="C4" t="s">
        <v>3902</v>
      </c>
      <c r="D4" t="s">
        <v>6147</v>
      </c>
      <c r="E4" t="s">
        <v>6153</v>
      </c>
      <c r="F4" t="s">
        <v>6149</v>
      </c>
    </row>
    <row r="5" spans="1:6" ht="15" customHeight="1" x14ac:dyDescent="0.25">
      <c r="A5" t="s">
        <v>6154</v>
      </c>
      <c r="B5" t="s">
        <v>3896</v>
      </c>
      <c r="C5" t="s">
        <v>3897</v>
      </c>
      <c r="D5" t="s">
        <v>6147</v>
      </c>
      <c r="E5" t="s">
        <v>6155</v>
      </c>
      <c r="F5" t="s">
        <v>6149</v>
      </c>
    </row>
    <row r="6" spans="1:6" ht="15" customHeight="1" x14ac:dyDescent="0.25">
      <c r="A6" t="s">
        <v>6156</v>
      </c>
      <c r="B6" t="s">
        <v>3896</v>
      </c>
      <c r="C6" t="s">
        <v>3900</v>
      </c>
      <c r="D6" t="s">
        <v>6147</v>
      </c>
      <c r="E6" t="s">
        <v>6157</v>
      </c>
      <c r="F6" t="s">
        <v>6149</v>
      </c>
    </row>
    <row r="7" spans="1:6" ht="15" customHeight="1" x14ac:dyDescent="0.25">
      <c r="A7" t="s">
        <v>6158</v>
      </c>
      <c r="B7" t="s">
        <v>3896</v>
      </c>
      <c r="C7" t="s">
        <v>3902</v>
      </c>
      <c r="D7" t="s">
        <v>6147</v>
      </c>
      <c r="E7" t="s">
        <v>6159</v>
      </c>
      <c r="F7" t="s">
        <v>6149</v>
      </c>
    </row>
    <row r="8" spans="1:6" ht="15" customHeight="1" x14ac:dyDescent="0.25">
      <c r="A8" t="s">
        <v>6160</v>
      </c>
      <c r="B8" t="s">
        <v>3896</v>
      </c>
      <c r="C8" t="s">
        <v>3897</v>
      </c>
      <c r="D8" t="s">
        <v>6161</v>
      </c>
      <c r="E8" t="s">
        <v>6162</v>
      </c>
      <c r="F8" t="s">
        <v>6149</v>
      </c>
    </row>
    <row r="9" spans="1:6" ht="15" customHeight="1" x14ac:dyDescent="0.25">
      <c r="A9" t="s">
        <v>6163</v>
      </c>
      <c r="B9" t="s">
        <v>3896</v>
      </c>
      <c r="C9" t="s">
        <v>3900</v>
      </c>
      <c r="D9" t="s">
        <v>6147</v>
      </c>
      <c r="E9" t="s">
        <v>6162</v>
      </c>
      <c r="F9" t="s">
        <v>6149</v>
      </c>
    </row>
    <row r="10" spans="1:6" ht="15" customHeight="1" x14ac:dyDescent="0.25">
      <c r="A10" t="s">
        <v>6164</v>
      </c>
      <c r="B10" t="s">
        <v>3896</v>
      </c>
      <c r="C10" t="s">
        <v>3902</v>
      </c>
      <c r="D10" t="s">
        <v>6165</v>
      </c>
      <c r="E10" t="s">
        <v>6162</v>
      </c>
      <c r="F10" t="s">
        <v>6149</v>
      </c>
    </row>
    <row r="11" spans="1:6" ht="15" customHeight="1" x14ac:dyDescent="0.25">
      <c r="A11" t="s">
        <v>6166</v>
      </c>
      <c r="B11" t="s">
        <v>5750</v>
      </c>
      <c r="C11" t="s">
        <v>3897</v>
      </c>
      <c r="D11" t="s">
        <v>6161</v>
      </c>
      <c r="E11" t="s">
        <v>6167</v>
      </c>
      <c r="F11" t="s">
        <v>6149</v>
      </c>
    </row>
    <row r="12" spans="1:6" ht="15" customHeight="1" x14ac:dyDescent="0.25">
      <c r="A12" t="s">
        <v>6168</v>
      </c>
      <c r="B12" t="s">
        <v>5750</v>
      </c>
      <c r="C12" t="s">
        <v>3900</v>
      </c>
      <c r="D12" t="s">
        <v>6161</v>
      </c>
      <c r="E12" t="s">
        <v>6169</v>
      </c>
      <c r="F12" t="s">
        <v>6149</v>
      </c>
    </row>
    <row r="13" spans="1:6" ht="15" customHeight="1" x14ac:dyDescent="0.25">
      <c r="A13" t="s">
        <v>6170</v>
      </c>
      <c r="B13" t="s">
        <v>5750</v>
      </c>
      <c r="C13" t="s">
        <v>3902</v>
      </c>
      <c r="D13" t="s">
        <v>6161</v>
      </c>
      <c r="E13" t="s">
        <v>6171</v>
      </c>
      <c r="F13" t="s">
        <v>6149</v>
      </c>
    </row>
    <row r="14" spans="1:6" ht="15" customHeight="1" x14ac:dyDescent="0.25">
      <c r="A14" t="s">
        <v>6172</v>
      </c>
      <c r="B14" t="s">
        <v>5771</v>
      </c>
      <c r="C14" t="s">
        <v>3897</v>
      </c>
      <c r="D14" t="s">
        <v>6173</v>
      </c>
      <c r="E14" t="s">
        <v>6174</v>
      </c>
      <c r="F14" t="s">
        <v>3111</v>
      </c>
    </row>
    <row r="15" spans="1:6" ht="15" customHeight="1" x14ac:dyDescent="0.25">
      <c r="A15" t="s">
        <v>6175</v>
      </c>
      <c r="B15" t="s">
        <v>5771</v>
      </c>
      <c r="C15" t="s">
        <v>3900</v>
      </c>
      <c r="D15" t="s">
        <v>6176</v>
      </c>
      <c r="E15" t="s">
        <v>6174</v>
      </c>
      <c r="F15" t="s">
        <v>3111</v>
      </c>
    </row>
    <row r="16" spans="1:6" ht="15" customHeight="1" x14ac:dyDescent="0.25">
      <c r="A16" t="s">
        <v>6177</v>
      </c>
      <c r="B16" t="s">
        <v>5771</v>
      </c>
      <c r="C16" t="s">
        <v>3902</v>
      </c>
      <c r="D16" t="s">
        <v>6178</v>
      </c>
      <c r="E16" t="s">
        <v>6174</v>
      </c>
      <c r="F16" t="s">
        <v>3111</v>
      </c>
    </row>
    <row r="17" spans="1:6" ht="15" customHeight="1" x14ac:dyDescent="0.25">
      <c r="A17" t="s">
        <v>6179</v>
      </c>
      <c r="B17" t="s">
        <v>5771</v>
      </c>
      <c r="C17" t="s">
        <v>3897</v>
      </c>
      <c r="D17" t="s">
        <v>6180</v>
      </c>
      <c r="E17" t="s">
        <v>6181</v>
      </c>
      <c r="F17" t="s">
        <v>6182</v>
      </c>
    </row>
    <row r="18" spans="1:6" ht="15" customHeight="1" x14ac:dyDescent="0.25">
      <c r="A18" t="s">
        <v>6183</v>
      </c>
      <c r="B18" t="s">
        <v>5771</v>
      </c>
      <c r="C18" t="s">
        <v>3900</v>
      </c>
      <c r="D18" t="s">
        <v>6180</v>
      </c>
      <c r="E18" t="s">
        <v>6184</v>
      </c>
      <c r="F18" t="s">
        <v>6182</v>
      </c>
    </row>
    <row r="19" spans="1:6" ht="15" customHeight="1" x14ac:dyDescent="0.25">
      <c r="A19" t="s">
        <v>6185</v>
      </c>
      <c r="B19" t="s">
        <v>5771</v>
      </c>
      <c r="C19" t="s">
        <v>3902</v>
      </c>
      <c r="D19" t="s">
        <v>6180</v>
      </c>
      <c r="E19" t="s">
        <v>6186</v>
      </c>
      <c r="F19" t="s">
        <v>6182</v>
      </c>
    </row>
    <row r="20" spans="1:6" ht="15" customHeight="1" x14ac:dyDescent="0.25">
      <c r="A20" t="s">
        <v>6187</v>
      </c>
      <c r="B20" t="s">
        <v>5771</v>
      </c>
      <c r="C20" t="s">
        <v>3897</v>
      </c>
      <c r="D20" t="s">
        <v>6188</v>
      </c>
      <c r="E20" t="s">
        <v>6189</v>
      </c>
      <c r="F20" t="s">
        <v>6182</v>
      </c>
    </row>
    <row r="21" spans="1:6" ht="15" customHeight="1" x14ac:dyDescent="0.25">
      <c r="A21" t="s">
        <v>6190</v>
      </c>
      <c r="B21" t="s">
        <v>5771</v>
      </c>
      <c r="C21" t="s">
        <v>3900</v>
      </c>
      <c r="D21" t="s">
        <v>6191</v>
      </c>
      <c r="E21" t="s">
        <v>6189</v>
      </c>
      <c r="F21" t="s">
        <v>6182</v>
      </c>
    </row>
    <row r="22" spans="1:6" ht="15" customHeight="1" x14ac:dyDescent="0.25">
      <c r="A22" t="s">
        <v>6192</v>
      </c>
      <c r="B22" t="s">
        <v>5771</v>
      </c>
      <c r="C22" t="s">
        <v>3902</v>
      </c>
      <c r="D22" t="s">
        <v>6193</v>
      </c>
      <c r="E22" t="s">
        <v>6189</v>
      </c>
      <c r="F22" t="s">
        <v>6182</v>
      </c>
    </row>
    <row r="23" spans="1:6" ht="15" customHeight="1" x14ac:dyDescent="0.25">
      <c r="A23" t="s">
        <v>6194</v>
      </c>
      <c r="B23" t="s">
        <v>5746</v>
      </c>
      <c r="C23" t="s">
        <v>3897</v>
      </c>
      <c r="D23" t="s">
        <v>6173</v>
      </c>
      <c r="E23" t="s">
        <v>6195</v>
      </c>
      <c r="F23" t="s">
        <v>3111</v>
      </c>
    </row>
    <row r="24" spans="1:6" ht="15" customHeight="1" x14ac:dyDescent="0.25">
      <c r="A24" t="s">
        <v>6196</v>
      </c>
      <c r="B24" t="s">
        <v>5746</v>
      </c>
      <c r="C24" t="s">
        <v>3900</v>
      </c>
      <c r="D24" t="s">
        <v>6173</v>
      </c>
      <c r="E24" t="s">
        <v>6197</v>
      </c>
      <c r="F24" t="s">
        <v>3111</v>
      </c>
    </row>
    <row r="25" spans="1:6" ht="15" customHeight="1" x14ac:dyDescent="0.25">
      <c r="A25" t="s">
        <v>6198</v>
      </c>
      <c r="B25" t="s">
        <v>5746</v>
      </c>
      <c r="C25" t="s">
        <v>3902</v>
      </c>
      <c r="D25" t="s">
        <v>6173</v>
      </c>
      <c r="E25" t="s">
        <v>6199</v>
      </c>
      <c r="F25" t="s">
        <v>3111</v>
      </c>
    </row>
    <row r="26" spans="1:6" ht="15" customHeight="1" x14ac:dyDescent="0.25">
      <c r="A26" t="s">
        <v>6200</v>
      </c>
      <c r="B26" t="s">
        <v>5746</v>
      </c>
      <c r="C26" t="s">
        <v>3897</v>
      </c>
      <c r="D26" t="s">
        <v>6201</v>
      </c>
      <c r="E26" t="s">
        <v>6202</v>
      </c>
      <c r="F26" t="s">
        <v>6182</v>
      </c>
    </row>
    <row r="27" spans="1:6" ht="15" customHeight="1" x14ac:dyDescent="0.25">
      <c r="A27" t="s">
        <v>6203</v>
      </c>
      <c r="B27" t="s">
        <v>5746</v>
      </c>
      <c r="C27" t="s">
        <v>3900</v>
      </c>
      <c r="D27" t="s">
        <v>6204</v>
      </c>
      <c r="E27" t="s">
        <v>6202</v>
      </c>
      <c r="F27" t="s">
        <v>6182</v>
      </c>
    </row>
    <row r="28" spans="1:6" ht="15" customHeight="1" x14ac:dyDescent="0.25">
      <c r="A28" t="s">
        <v>6205</v>
      </c>
      <c r="B28" t="s">
        <v>5746</v>
      </c>
      <c r="C28" t="s">
        <v>3902</v>
      </c>
      <c r="D28" t="s">
        <v>6206</v>
      </c>
      <c r="E28" t="s">
        <v>6202</v>
      </c>
      <c r="F28" t="s">
        <v>6182</v>
      </c>
    </row>
    <row r="29" spans="1:6" ht="15" customHeight="1" x14ac:dyDescent="0.25">
      <c r="A29" t="s">
        <v>6207</v>
      </c>
      <c r="B29" t="s">
        <v>5746</v>
      </c>
      <c r="C29" t="s">
        <v>3897</v>
      </c>
      <c r="D29" t="s">
        <v>6208</v>
      </c>
      <c r="E29" t="s">
        <v>6209</v>
      </c>
      <c r="F29" t="s">
        <v>6182</v>
      </c>
    </row>
    <row r="30" spans="1:6" ht="15" customHeight="1" x14ac:dyDescent="0.25">
      <c r="A30" t="s">
        <v>6210</v>
      </c>
      <c r="B30" t="s">
        <v>5746</v>
      </c>
      <c r="C30" t="s">
        <v>3900</v>
      </c>
      <c r="D30" t="s">
        <v>6211</v>
      </c>
      <c r="E30" t="s">
        <v>6209</v>
      </c>
      <c r="F30" t="s">
        <v>6182</v>
      </c>
    </row>
    <row r="31" spans="1:6" ht="15" customHeight="1" x14ac:dyDescent="0.25">
      <c r="A31" t="s">
        <v>6212</v>
      </c>
      <c r="B31" t="s">
        <v>5746</v>
      </c>
      <c r="C31" t="s">
        <v>3902</v>
      </c>
      <c r="D31" t="s">
        <v>6213</v>
      </c>
      <c r="E31" t="s">
        <v>6209</v>
      </c>
      <c r="F31" t="s">
        <v>6182</v>
      </c>
    </row>
    <row r="32" spans="1:6" ht="15" customHeight="1" x14ac:dyDescent="0.25">
      <c r="A32" t="s">
        <v>6214</v>
      </c>
      <c r="B32" t="s">
        <v>5750</v>
      </c>
      <c r="C32" t="s">
        <v>3897</v>
      </c>
      <c r="D32" t="s">
        <v>6215</v>
      </c>
      <c r="E32" t="s">
        <v>6216</v>
      </c>
      <c r="F32" t="s">
        <v>6182</v>
      </c>
    </row>
    <row r="33" spans="1:6" ht="15" customHeight="1" x14ac:dyDescent="0.25">
      <c r="A33" t="s">
        <v>6217</v>
      </c>
      <c r="B33" t="s">
        <v>5750</v>
      </c>
      <c r="C33" t="s">
        <v>3900</v>
      </c>
      <c r="D33" t="s">
        <v>6215</v>
      </c>
      <c r="E33" t="s">
        <v>6216</v>
      </c>
      <c r="F33" t="s">
        <v>6182</v>
      </c>
    </row>
    <row r="34" spans="1:6" ht="15" customHeight="1" x14ac:dyDescent="0.25">
      <c r="A34" t="s">
        <v>6218</v>
      </c>
      <c r="B34" t="s">
        <v>5750</v>
      </c>
      <c r="C34" t="s">
        <v>3902</v>
      </c>
      <c r="D34" t="s">
        <v>6215</v>
      </c>
      <c r="E34" t="s">
        <v>6216</v>
      </c>
      <c r="F34" t="s">
        <v>6182</v>
      </c>
    </row>
    <row r="35" spans="1:6" ht="15" customHeight="1" x14ac:dyDescent="0.25">
      <c r="A35" t="s">
        <v>6219</v>
      </c>
      <c r="B35" t="s">
        <v>3896</v>
      </c>
      <c r="C35" t="s">
        <v>3897</v>
      </c>
      <c r="D35" t="s">
        <v>6161</v>
      </c>
      <c r="E35" t="s">
        <v>6220</v>
      </c>
      <c r="F35" t="s">
        <v>6149</v>
      </c>
    </row>
    <row r="36" spans="1:6" ht="15" customHeight="1" x14ac:dyDescent="0.25">
      <c r="A36" t="s">
        <v>6221</v>
      </c>
      <c r="B36" t="s">
        <v>3896</v>
      </c>
      <c r="C36" t="s">
        <v>3900</v>
      </c>
      <c r="D36" t="s">
        <v>6147</v>
      </c>
      <c r="E36" t="s">
        <v>6220</v>
      </c>
      <c r="F36" t="s">
        <v>6149</v>
      </c>
    </row>
    <row r="37" spans="1:6" ht="15" customHeight="1" x14ac:dyDescent="0.25">
      <c r="A37" t="s">
        <v>6222</v>
      </c>
      <c r="B37" t="s">
        <v>3896</v>
      </c>
      <c r="C37" t="s">
        <v>3902</v>
      </c>
      <c r="D37" t="s">
        <v>6165</v>
      </c>
      <c r="E37" t="s">
        <v>6220</v>
      </c>
      <c r="F37" t="s">
        <v>6149</v>
      </c>
    </row>
    <row r="38" spans="1:6" ht="15" customHeight="1" x14ac:dyDescent="0.25">
      <c r="A38" t="s">
        <v>6223</v>
      </c>
      <c r="B38" t="s">
        <v>5750</v>
      </c>
      <c r="C38" t="s">
        <v>3897</v>
      </c>
      <c r="D38" t="s">
        <v>6161</v>
      </c>
      <c r="E38" t="s">
        <v>6224</v>
      </c>
      <c r="F38" t="s">
        <v>6149</v>
      </c>
    </row>
    <row r="39" spans="1:6" ht="15" customHeight="1" x14ac:dyDescent="0.25">
      <c r="A39" t="s">
        <v>6225</v>
      </c>
      <c r="B39" t="s">
        <v>5750</v>
      </c>
      <c r="C39" t="s">
        <v>3900</v>
      </c>
      <c r="D39" t="s">
        <v>6147</v>
      </c>
      <c r="E39" t="s">
        <v>6224</v>
      </c>
      <c r="F39" t="s">
        <v>6149</v>
      </c>
    </row>
    <row r="40" spans="1:6" ht="15" customHeight="1" x14ac:dyDescent="0.25">
      <c r="A40" t="s">
        <v>6226</v>
      </c>
      <c r="B40" t="s">
        <v>5750</v>
      </c>
      <c r="C40" t="s">
        <v>3902</v>
      </c>
      <c r="D40" t="s">
        <v>6165</v>
      </c>
      <c r="E40" t="s">
        <v>6224</v>
      </c>
      <c r="F40" t="s">
        <v>6149</v>
      </c>
    </row>
    <row r="41" spans="1:6" ht="15" customHeight="1" x14ac:dyDescent="0.25">
      <c r="A41" t="s">
        <v>6227</v>
      </c>
      <c r="B41" t="s">
        <v>3896</v>
      </c>
      <c r="C41" t="s">
        <v>3897</v>
      </c>
      <c r="D41" t="s">
        <v>6165</v>
      </c>
      <c r="E41" t="s">
        <v>6228</v>
      </c>
      <c r="F41" t="s">
        <v>6149</v>
      </c>
    </row>
    <row r="42" spans="1:6" ht="15" customHeight="1" x14ac:dyDescent="0.25">
      <c r="A42" t="s">
        <v>6229</v>
      </c>
      <c r="B42" t="s">
        <v>3896</v>
      </c>
      <c r="C42" t="s">
        <v>3900</v>
      </c>
      <c r="D42" t="s">
        <v>6165</v>
      </c>
      <c r="E42" t="s">
        <v>6230</v>
      </c>
      <c r="F42" t="s">
        <v>6149</v>
      </c>
    </row>
    <row r="43" spans="1:6" ht="15" customHeight="1" x14ac:dyDescent="0.25">
      <c r="A43" t="s">
        <v>6231</v>
      </c>
      <c r="B43" t="s">
        <v>3896</v>
      </c>
      <c r="C43" t="s">
        <v>3902</v>
      </c>
      <c r="D43" t="s">
        <v>6165</v>
      </c>
      <c r="E43" t="s">
        <v>6232</v>
      </c>
      <c r="F43" t="s">
        <v>6149</v>
      </c>
    </row>
    <row r="44" spans="1:6" ht="15" customHeight="1" x14ac:dyDescent="0.25">
      <c r="A44" t="s">
        <v>6233</v>
      </c>
      <c r="B44" t="s">
        <v>5771</v>
      </c>
      <c r="C44" t="s">
        <v>3897</v>
      </c>
      <c r="D44" t="s">
        <v>6161</v>
      </c>
      <c r="E44" t="s">
        <v>6234</v>
      </c>
      <c r="F44" t="s">
        <v>6149</v>
      </c>
    </row>
    <row r="45" spans="1:6" ht="15" customHeight="1" x14ac:dyDescent="0.25">
      <c r="A45" t="s">
        <v>6235</v>
      </c>
      <c r="B45" t="s">
        <v>5771</v>
      </c>
      <c r="C45" t="s">
        <v>3900</v>
      </c>
      <c r="D45" t="s">
        <v>6147</v>
      </c>
      <c r="E45" t="s">
        <v>6234</v>
      </c>
      <c r="F45" t="s">
        <v>6149</v>
      </c>
    </row>
    <row r="46" spans="1:6" ht="15" customHeight="1" x14ac:dyDescent="0.25">
      <c r="A46" t="s">
        <v>6236</v>
      </c>
      <c r="B46" t="s">
        <v>5771</v>
      </c>
      <c r="C46" t="s">
        <v>3902</v>
      </c>
      <c r="D46" t="s">
        <v>6165</v>
      </c>
      <c r="E46" t="s">
        <v>6234</v>
      </c>
      <c r="F46" t="s">
        <v>6149</v>
      </c>
    </row>
    <row r="47" spans="1:6" ht="15" customHeight="1" x14ac:dyDescent="0.25">
      <c r="A47" t="s">
        <v>6237</v>
      </c>
      <c r="B47" t="s">
        <v>5746</v>
      </c>
      <c r="C47" t="s">
        <v>3897</v>
      </c>
      <c r="D47" t="s">
        <v>6208</v>
      </c>
      <c r="E47" t="s">
        <v>6238</v>
      </c>
      <c r="F47" t="s">
        <v>6182</v>
      </c>
    </row>
    <row r="48" spans="1:6" ht="15" customHeight="1" x14ac:dyDescent="0.25">
      <c r="A48" t="s">
        <v>6239</v>
      </c>
      <c r="B48" t="s">
        <v>5746</v>
      </c>
      <c r="C48" t="s">
        <v>3900</v>
      </c>
      <c r="D48" t="s">
        <v>6211</v>
      </c>
      <c r="E48" t="s">
        <v>6240</v>
      </c>
      <c r="F48" t="s">
        <v>6182</v>
      </c>
    </row>
    <row r="49" spans="1:6" ht="15" customHeight="1" x14ac:dyDescent="0.25">
      <c r="A49" t="s">
        <v>6241</v>
      </c>
      <c r="B49" t="s">
        <v>5746</v>
      </c>
      <c r="C49" t="s">
        <v>3902</v>
      </c>
      <c r="D49" t="s">
        <v>6213</v>
      </c>
      <c r="E49" t="s">
        <v>6242</v>
      </c>
      <c r="F49" t="s">
        <v>6182</v>
      </c>
    </row>
    <row r="50" spans="1:6" ht="15" customHeight="1" x14ac:dyDescent="0.25">
      <c r="A50" t="s">
        <v>6243</v>
      </c>
      <c r="B50" t="s">
        <v>5750</v>
      </c>
      <c r="C50" t="s">
        <v>3897</v>
      </c>
      <c r="D50" t="s">
        <v>6161</v>
      </c>
      <c r="E50" t="s">
        <v>6244</v>
      </c>
      <c r="F50" t="s">
        <v>6149</v>
      </c>
    </row>
    <row r="51" spans="1:6" ht="15" customHeight="1" x14ac:dyDescent="0.25">
      <c r="A51" t="s">
        <v>6245</v>
      </c>
      <c r="B51" t="s">
        <v>5750</v>
      </c>
      <c r="C51" t="s">
        <v>3900</v>
      </c>
      <c r="D51" t="s">
        <v>6147</v>
      </c>
      <c r="E51" t="s">
        <v>6244</v>
      </c>
      <c r="F51" t="s">
        <v>6149</v>
      </c>
    </row>
    <row r="52" spans="1:6" ht="15" customHeight="1" x14ac:dyDescent="0.25">
      <c r="A52" t="s">
        <v>6246</v>
      </c>
      <c r="B52" t="s">
        <v>5750</v>
      </c>
      <c r="C52" t="s">
        <v>3902</v>
      </c>
      <c r="D52" t="s">
        <v>6165</v>
      </c>
      <c r="E52" t="s">
        <v>6244</v>
      </c>
      <c r="F52" t="s">
        <v>6149</v>
      </c>
    </row>
    <row r="53" spans="1:6" ht="15" customHeight="1" x14ac:dyDescent="0.25">
      <c r="A53" t="s">
        <v>6247</v>
      </c>
      <c r="B53" t="s">
        <v>5746</v>
      </c>
      <c r="C53" t="s">
        <v>3897</v>
      </c>
      <c r="D53" t="s">
        <v>6248</v>
      </c>
      <c r="E53" t="s">
        <v>6249</v>
      </c>
      <c r="F53" t="s">
        <v>6182</v>
      </c>
    </row>
    <row r="54" spans="1:6" ht="15" customHeight="1" x14ac:dyDescent="0.25">
      <c r="A54" t="s">
        <v>6250</v>
      </c>
      <c r="B54" t="s">
        <v>5746</v>
      </c>
      <c r="C54" t="s">
        <v>3900</v>
      </c>
      <c r="D54" t="s">
        <v>6251</v>
      </c>
      <c r="E54" t="s">
        <v>6249</v>
      </c>
      <c r="F54" t="s">
        <v>6182</v>
      </c>
    </row>
    <row r="55" spans="1:6" ht="15" customHeight="1" x14ac:dyDescent="0.25">
      <c r="A55" t="s">
        <v>6252</v>
      </c>
      <c r="B55" t="s">
        <v>5746</v>
      </c>
      <c r="C55" t="s">
        <v>3902</v>
      </c>
      <c r="D55" t="s">
        <v>6253</v>
      </c>
      <c r="E55" t="s">
        <v>6249</v>
      </c>
      <c r="F55" t="s">
        <v>6182</v>
      </c>
    </row>
    <row r="56" spans="1:6" ht="15" customHeight="1" x14ac:dyDescent="0.25">
      <c r="A56" t="s">
        <v>6254</v>
      </c>
      <c r="B56" t="s">
        <v>3896</v>
      </c>
      <c r="C56" t="s">
        <v>3897</v>
      </c>
      <c r="D56" t="s">
        <v>6255</v>
      </c>
      <c r="E56" t="s">
        <v>6256</v>
      </c>
      <c r="F56" t="s">
        <v>6182</v>
      </c>
    </row>
    <row r="57" spans="1:6" ht="15" customHeight="1" x14ac:dyDescent="0.25">
      <c r="A57" t="s">
        <v>6257</v>
      </c>
      <c r="B57" t="s">
        <v>3896</v>
      </c>
      <c r="C57" t="s">
        <v>3900</v>
      </c>
      <c r="D57" t="s">
        <v>6258</v>
      </c>
      <c r="E57" t="s">
        <v>6256</v>
      </c>
      <c r="F57" t="s">
        <v>6182</v>
      </c>
    </row>
    <row r="58" spans="1:6" ht="15" customHeight="1" x14ac:dyDescent="0.25">
      <c r="A58" t="s">
        <v>6259</v>
      </c>
      <c r="B58" t="s">
        <v>3896</v>
      </c>
      <c r="C58" t="s">
        <v>3902</v>
      </c>
      <c r="D58" t="s">
        <v>6260</v>
      </c>
      <c r="E58" t="s">
        <v>6256</v>
      </c>
      <c r="F58" t="s">
        <v>6182</v>
      </c>
    </row>
    <row r="59" spans="1:6" ht="15" customHeight="1" x14ac:dyDescent="0.25">
      <c r="A59" t="s">
        <v>6261</v>
      </c>
      <c r="B59" t="s">
        <v>3896</v>
      </c>
      <c r="C59" t="s">
        <v>3897</v>
      </c>
      <c r="D59" t="s">
        <v>6161</v>
      </c>
      <c r="E59" t="s">
        <v>6262</v>
      </c>
      <c r="F59" t="s">
        <v>3111</v>
      </c>
    </row>
    <row r="60" spans="1:6" ht="15" customHeight="1" x14ac:dyDescent="0.25">
      <c r="A60" t="s">
        <v>6263</v>
      </c>
      <c r="B60" t="s">
        <v>3896</v>
      </c>
      <c r="C60" t="s">
        <v>3900</v>
      </c>
      <c r="D60" t="s">
        <v>6147</v>
      </c>
      <c r="E60" t="s">
        <v>6262</v>
      </c>
      <c r="F60" t="s">
        <v>3111</v>
      </c>
    </row>
    <row r="61" spans="1:6" ht="15" customHeight="1" x14ac:dyDescent="0.25">
      <c r="A61" t="s">
        <v>6264</v>
      </c>
      <c r="B61" t="s">
        <v>3896</v>
      </c>
      <c r="C61" t="s">
        <v>3902</v>
      </c>
      <c r="D61" t="s">
        <v>6165</v>
      </c>
      <c r="E61" t="s">
        <v>6262</v>
      </c>
      <c r="F61" t="s">
        <v>3111</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3044</v>
      </c>
      <c r="B1" t="s">
        <v>3040</v>
      </c>
    </row>
    <row r="2" spans="1:2" ht="15" customHeight="1" x14ac:dyDescent="0.25">
      <c r="A2" t="s">
        <v>6265</v>
      </c>
      <c r="B2" t="s">
        <v>3817</v>
      </c>
    </row>
    <row r="3" spans="1:2" ht="15" customHeight="1" x14ac:dyDescent="0.25">
      <c r="A3" t="s">
        <v>6266</v>
      </c>
      <c r="B3" t="s">
        <v>3817</v>
      </c>
    </row>
    <row r="4" spans="1:2" ht="15" customHeight="1" x14ac:dyDescent="0.25">
      <c r="A4" t="s">
        <v>6267</v>
      </c>
      <c r="B4" t="s">
        <v>3817</v>
      </c>
    </row>
    <row r="5" spans="1:2" ht="15" customHeight="1" x14ac:dyDescent="0.25">
      <c r="A5" t="s">
        <v>6268</v>
      </c>
      <c r="B5" t="s">
        <v>3817</v>
      </c>
    </row>
    <row r="6" spans="1:2" ht="15" customHeight="1" x14ac:dyDescent="0.25">
      <c r="A6" t="s">
        <v>3226</v>
      </c>
      <c r="B6" t="s">
        <v>3817</v>
      </c>
    </row>
    <row r="7" spans="1:2" ht="15" customHeight="1" x14ac:dyDescent="0.25">
      <c r="A7" t="s">
        <v>6269</v>
      </c>
      <c r="B7" t="s">
        <v>3817</v>
      </c>
    </row>
    <row r="8" spans="1:2" ht="15" customHeight="1" x14ac:dyDescent="0.25">
      <c r="A8" t="s">
        <v>6270</v>
      </c>
      <c r="B8" t="s">
        <v>3817</v>
      </c>
    </row>
    <row r="9" spans="1:2" ht="15" customHeight="1" x14ac:dyDescent="0.25">
      <c r="A9" t="s">
        <v>6271</v>
      </c>
      <c r="B9" t="s">
        <v>3817</v>
      </c>
    </row>
    <row r="10" spans="1:2" ht="15" customHeight="1" x14ac:dyDescent="0.25">
      <c r="A10" t="s">
        <v>6272</v>
      </c>
      <c r="B10" t="s">
        <v>3817</v>
      </c>
    </row>
    <row r="11" spans="1:2" ht="15" customHeight="1" x14ac:dyDescent="0.25">
      <c r="A11" t="s">
        <v>6273</v>
      </c>
      <c r="B11" t="s">
        <v>3817</v>
      </c>
    </row>
    <row r="12" spans="1:2" ht="15" customHeight="1" x14ac:dyDescent="0.25">
      <c r="A12" t="s">
        <v>6274</v>
      </c>
      <c r="B12" t="s">
        <v>6099</v>
      </c>
    </row>
    <row r="13" spans="1:2" ht="15" customHeight="1" x14ac:dyDescent="0.25">
      <c r="A13" t="s">
        <v>6275</v>
      </c>
      <c r="B13" t="s">
        <v>6099</v>
      </c>
    </row>
    <row r="14" spans="1:2" ht="15" customHeight="1" x14ac:dyDescent="0.25">
      <c r="A14" t="s">
        <v>6276</v>
      </c>
      <c r="B14" t="s">
        <v>6099</v>
      </c>
    </row>
    <row r="15" spans="1:2" ht="15" customHeight="1" x14ac:dyDescent="0.25">
      <c r="A15" t="s">
        <v>6277</v>
      </c>
      <c r="B15" t="s">
        <v>6099</v>
      </c>
    </row>
    <row r="16" spans="1:2" ht="15" customHeight="1" x14ac:dyDescent="0.25">
      <c r="A16" t="s">
        <v>6278</v>
      </c>
      <c r="B16" t="s">
        <v>6099</v>
      </c>
    </row>
    <row r="17" spans="1:2" ht="15" customHeight="1" x14ac:dyDescent="0.25">
      <c r="A17" t="s">
        <v>6279</v>
      </c>
      <c r="B17" t="s">
        <v>6099</v>
      </c>
    </row>
    <row r="18" spans="1:2" ht="15" customHeight="1" x14ac:dyDescent="0.25">
      <c r="A18" t="s">
        <v>6280</v>
      </c>
      <c r="B18" t="s">
        <v>6281</v>
      </c>
    </row>
    <row r="19" spans="1:2" ht="15" customHeight="1" x14ac:dyDescent="0.25">
      <c r="A19" t="s">
        <v>6282</v>
      </c>
      <c r="B19" t="s">
        <v>6281</v>
      </c>
    </row>
    <row r="20" spans="1:2" ht="15" customHeight="1" x14ac:dyDescent="0.25">
      <c r="A20" t="s">
        <v>6283</v>
      </c>
      <c r="B20" t="s">
        <v>6281</v>
      </c>
    </row>
    <row r="21" spans="1:2" ht="15" customHeight="1" x14ac:dyDescent="0.25">
      <c r="A21" t="s">
        <v>6284</v>
      </c>
      <c r="B21" t="s">
        <v>6281</v>
      </c>
    </row>
    <row r="22" spans="1:2" ht="15" customHeight="1" x14ac:dyDescent="0.25">
      <c r="A22" t="s">
        <v>6285</v>
      </c>
      <c r="B22" t="s">
        <v>6281</v>
      </c>
    </row>
    <row r="23" spans="1:2" ht="15" customHeight="1" x14ac:dyDescent="0.25">
      <c r="A23" t="s">
        <v>3223</v>
      </c>
      <c r="B23" t="s">
        <v>6281</v>
      </c>
    </row>
    <row r="24" spans="1:2" ht="15" customHeight="1" x14ac:dyDescent="0.25">
      <c r="A24" t="s">
        <v>6286</v>
      </c>
      <c r="B24" t="s">
        <v>6281</v>
      </c>
    </row>
    <row r="25" spans="1:2" ht="15" customHeight="1" x14ac:dyDescent="0.25">
      <c r="A25" t="s">
        <v>6287</v>
      </c>
      <c r="B25" t="s">
        <v>6281</v>
      </c>
    </row>
    <row r="26" spans="1:2" ht="15" customHeight="1" x14ac:dyDescent="0.25">
      <c r="A26" t="s">
        <v>6288</v>
      </c>
      <c r="B26" t="s">
        <v>6281</v>
      </c>
    </row>
    <row r="27" spans="1:2" ht="15" customHeight="1" x14ac:dyDescent="0.25">
      <c r="A27" t="s">
        <v>6289</v>
      </c>
      <c r="B27" t="s">
        <v>6281</v>
      </c>
    </row>
    <row r="28" spans="1:2" ht="15" customHeight="1" x14ac:dyDescent="0.25">
      <c r="A28" t="s">
        <v>6290</v>
      </c>
      <c r="B28" t="s">
        <v>6281</v>
      </c>
    </row>
    <row r="29" spans="1:2" ht="15" customHeight="1" x14ac:dyDescent="0.25">
      <c r="A29" t="s">
        <v>6291</v>
      </c>
      <c r="B29" t="s">
        <v>6281</v>
      </c>
    </row>
    <row r="30" spans="1:2" ht="15" customHeight="1" x14ac:dyDescent="0.25">
      <c r="A30" t="s">
        <v>6292</v>
      </c>
      <c r="B30" t="s">
        <v>6281</v>
      </c>
    </row>
    <row r="31" spans="1:2" ht="15" customHeight="1" x14ac:dyDescent="0.25">
      <c r="A31" t="s">
        <v>6293</v>
      </c>
      <c r="B31" t="s">
        <v>6281</v>
      </c>
    </row>
    <row r="32" spans="1:2" ht="15" customHeight="1" x14ac:dyDescent="0.25">
      <c r="A32" t="s">
        <v>6294</v>
      </c>
      <c r="B32" t="s">
        <v>6281</v>
      </c>
    </row>
    <row r="33" spans="1:2" ht="15" customHeight="1" x14ac:dyDescent="0.25">
      <c r="A33" t="s">
        <v>6295</v>
      </c>
      <c r="B33" t="s">
        <v>6281</v>
      </c>
    </row>
    <row r="34" spans="1:2" ht="15" customHeight="1" x14ac:dyDescent="0.25">
      <c r="A34" t="s">
        <v>6296</v>
      </c>
      <c r="B34" t="s">
        <v>6281</v>
      </c>
    </row>
    <row r="35" spans="1:2" ht="15" customHeight="1" x14ac:dyDescent="0.25">
      <c r="A35" t="s">
        <v>6297</v>
      </c>
      <c r="B35" t="s">
        <v>6281</v>
      </c>
    </row>
    <row r="36" spans="1:2" ht="15" customHeight="1" x14ac:dyDescent="0.25">
      <c r="A36" t="s">
        <v>6298</v>
      </c>
      <c r="B36" t="s">
        <v>6281</v>
      </c>
    </row>
    <row r="37" spans="1:2" ht="15" customHeight="1" x14ac:dyDescent="0.25">
      <c r="A37" t="s">
        <v>6299</v>
      </c>
      <c r="B37" t="s">
        <v>6281</v>
      </c>
    </row>
    <row r="38" spans="1:2" ht="15" customHeight="1" x14ac:dyDescent="0.25">
      <c r="A38" t="s">
        <v>6300</v>
      </c>
      <c r="B38" t="s">
        <v>6281</v>
      </c>
    </row>
    <row r="39" spans="1:2" ht="15" customHeight="1" x14ac:dyDescent="0.25">
      <c r="A39" t="s">
        <v>6301</v>
      </c>
      <c r="B39" t="s">
        <v>6099</v>
      </c>
    </row>
    <row r="40" spans="1:2" ht="15" customHeight="1" x14ac:dyDescent="0.25">
      <c r="A40" t="s">
        <v>6302</v>
      </c>
      <c r="B40" t="s">
        <v>6281</v>
      </c>
    </row>
    <row r="41" spans="1:2" ht="15" customHeight="1" x14ac:dyDescent="0.25">
      <c r="A41" t="s">
        <v>6303</v>
      </c>
      <c r="B41" t="s">
        <v>6281</v>
      </c>
    </row>
    <row r="42" spans="1:2" ht="15" customHeight="1" x14ac:dyDescent="0.25">
      <c r="A42" t="s">
        <v>6304</v>
      </c>
      <c r="B42" t="s">
        <v>6281</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V106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5" width="12" customWidth="1"/>
    <col min="20" max="22" width="12" customWidth="1"/>
  </cols>
  <sheetData>
    <row r="1" spans="1:22" ht="25.5" x14ac:dyDescent="0.25">
      <c r="A1" s="14" t="s">
        <v>9</v>
      </c>
      <c r="B1" s="14" t="s">
        <v>10</v>
      </c>
      <c r="C1" s="14" t="s">
        <v>53</v>
      </c>
      <c r="D1" s="14" t="s">
        <v>5</v>
      </c>
      <c r="E1" s="14" t="s">
        <v>6305</v>
      </c>
      <c r="F1" s="14" t="s">
        <v>6306</v>
      </c>
      <c r="G1" s="14" t="s">
        <v>6307</v>
      </c>
      <c r="H1" s="14" t="s">
        <v>6308</v>
      </c>
      <c r="I1" s="14" t="s">
        <v>6309</v>
      </c>
      <c r="J1" s="14" t="s">
        <v>6310</v>
      </c>
      <c r="K1" s="14" t="s">
        <v>6311</v>
      </c>
      <c r="L1" s="14" t="s">
        <v>6312</v>
      </c>
      <c r="M1" s="14" t="s">
        <v>6313</v>
      </c>
      <c r="N1" s="14" t="s">
        <v>6314</v>
      </c>
      <c r="O1" s="14" t="s">
        <v>6315</v>
      </c>
      <c r="R1" s="14" t="s">
        <v>7</v>
      </c>
      <c r="T1" s="14" t="s">
        <v>6316</v>
      </c>
      <c r="U1" s="14" t="s">
        <v>6317</v>
      </c>
      <c r="V1" s="14" t="s">
        <v>6318</v>
      </c>
    </row>
    <row r="2" spans="1:22" x14ac:dyDescent="0.25">
      <c r="A2" t="str">
        <f>IF(games!$A2="","",games!$A2)</f>
        <v>[Redacted]</v>
      </c>
      <c r="B2">
        <f>IF($A2="","",games!$B2)</f>
        <v>2024</v>
      </c>
      <c r="C2" t="str">
        <f>IF($A2="","",games!$C2)</f>
        <v>Action</v>
      </c>
      <c r="D2">
        <f>IF($A2="","",COUNTIF(connections!$A$2:$A$1188,$A2)+COUNTIF(connections!$B$2:$B$1188,$A2))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R2" s="21" t="s">
        <v>15</v>
      </c>
      <c r="T2">
        <f>IF(connections!$A2="","",IFERROR(INDEX(games!$B$2:$B$834,MATCH(connections!$A2,games!$A$2:$A$834,0)),""))</f>
        <v>2010</v>
      </c>
      <c r="U2">
        <f>IF(connections!$A2="","",IFERROR(INDEX(games!$B$2:$B$834,MATCH(connections!$B2,games!$A$2:$A$834,0)),""))</f>
        <v>2014</v>
      </c>
      <c r="V2">
        <f t="shared" ref="V2:V65" si="11">IF(OR($T2="",$U2=""),"",$U2-$T2)</f>
        <v>4</v>
      </c>
    </row>
    <row r="3" spans="1:22" x14ac:dyDescent="0.25">
      <c r="A3" t="str">
        <f>IF(games!$A3="","",games!$A3)</f>
        <v>100 Rogues</v>
      </c>
      <c r="B3">
        <f>IF($A3="","",games!$B3)</f>
        <v>2010</v>
      </c>
      <c r="C3" t="str">
        <f>IF($A3="","",games!$C3)</f>
        <v>Traditional</v>
      </c>
      <c r="D3">
        <f>IF($A3="","",COUNTIF(connections!$A$2:$A$1188,$A3)+COUNTIF(connections!$B$2:$B$1188,$A3))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R3" s="21" t="s">
        <v>18</v>
      </c>
      <c r="T3">
        <f>IF(connections!$A3="","",IFERROR(INDEX(games!$B$2:$B$834,MATCH(connections!$A3,games!$A$2:$A$834,0)),""))</f>
        <v>2010</v>
      </c>
      <c r="U3">
        <f>IF(connections!$A3="","",IFERROR(INDEX(games!$B$2:$B$834,MATCH(connections!$B3,games!$A$2:$A$834,0)),""))</f>
        <v>2014</v>
      </c>
      <c r="V3">
        <f t="shared" si="11"/>
        <v>4</v>
      </c>
    </row>
    <row r="4" spans="1:22" x14ac:dyDescent="0.25">
      <c r="A4" t="str">
        <f>IF(games!$A4="","",games!$A4)</f>
        <v>2 Fights in 2 Tight Spaces</v>
      </c>
      <c r="B4">
        <f>IF($A4="","",games!$B4)</f>
        <v>2026</v>
      </c>
      <c r="C4" t="str">
        <f>IF($A4="","",games!$C4)</f>
        <v>Deckbuilder</v>
      </c>
      <c r="D4">
        <f>IF($A4="","",COUNTIF(connections!$A$2:$A$1188,$A4)+COUNTIF(connections!$B$2:$B$1188,$A4))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R4" s="21" t="s">
        <v>22</v>
      </c>
      <c r="T4">
        <f>IF(connections!$A4="","",IFERROR(INDEX(games!$B$2:$B$834,MATCH(connections!$A4,games!$A$2:$A$834,0)),""))</f>
        <v>2022</v>
      </c>
      <c r="U4">
        <f>IF(connections!$A4="","",IFERROR(INDEX(games!$B$2:$B$834,MATCH(connections!$B4,games!$A$2:$A$834,0)),""))</f>
        <v>2023</v>
      </c>
      <c r="V4">
        <f t="shared" si="11"/>
        <v>1</v>
      </c>
    </row>
    <row r="5" spans="1:22" x14ac:dyDescent="0.25">
      <c r="A5" t="str">
        <f>IF(games!$A5="","",games!$A5)</f>
        <v>20 Minutes Till Dawn</v>
      </c>
      <c r="B5">
        <f>IF($A5="","",games!$B5)</f>
        <v>2022</v>
      </c>
      <c r="C5" t="str">
        <f>IF($A5="","",games!$C5)</f>
        <v>Action</v>
      </c>
      <c r="D5">
        <f>IF($A5="","",COUNTIF(connections!$A$2:$A$1188,$A5)+COUNTIF(connections!$B$2:$B$1188,$A5))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R5" s="21" t="s">
        <v>26</v>
      </c>
      <c r="T5">
        <f>IF(connections!$A5="","",IFERROR(INDEX(games!$B$2:$B$834,MATCH(connections!$A5,games!$A$2:$A$834,0)),""))</f>
        <v>2022</v>
      </c>
      <c r="U5">
        <f>IF(connections!$A5="","",IFERROR(INDEX(games!$B$2:$B$834,MATCH(connections!$B5,games!$A$2:$A$834,0)),""))</f>
        <v>2024</v>
      </c>
      <c r="V5">
        <f t="shared" si="11"/>
        <v>2</v>
      </c>
    </row>
    <row r="6" spans="1:22" x14ac:dyDescent="0.25">
      <c r="A6" t="str">
        <f>IF(games!$A6="","",games!$A6)</f>
        <v>20XX</v>
      </c>
      <c r="B6">
        <f>IF($A6="","",games!$B6)</f>
        <v>2017</v>
      </c>
      <c r="C6" t="str">
        <f>IF($A6="","",games!$C6)</f>
        <v>Action</v>
      </c>
      <c r="D6">
        <f>IF($A6="","",COUNTIF(connections!$A$2:$A$1188,$A6)+COUNTIF(connections!$B$2:$B$1188,$A6))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T6">
        <f>IF(connections!$A6="","",IFERROR(INDEX(games!$B$2:$B$834,MATCH(connections!$A6,games!$A$2:$A$834,0)),""))</f>
        <v>2017</v>
      </c>
      <c r="U6">
        <f>IF(connections!$A6="","",IFERROR(INDEX(games!$B$2:$B$834,MATCH(connections!$B6,games!$A$2:$A$834,0)),""))</f>
        <v>2021</v>
      </c>
      <c r="V6">
        <f t="shared" si="11"/>
        <v>4</v>
      </c>
    </row>
    <row r="7" spans="1:22" x14ac:dyDescent="0.25">
      <c r="A7" t="str">
        <f>IF(games!$A7="","",games!$A7)</f>
        <v>30XX</v>
      </c>
      <c r="B7">
        <f>IF($A7="","",games!$B7)</f>
        <v>2021</v>
      </c>
      <c r="C7" t="str">
        <f>IF($A7="","",games!$C7)</f>
        <v>Action</v>
      </c>
      <c r="D7">
        <f>IF($A7="","",COUNTIF(connections!$A$2:$A$1188,$A7)+COUNTIF(connections!$B$2:$B$1188,$A7))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T7">
        <f>IF(connections!$A7="","",IFERROR(INDEX(games!$B$2:$B$834,MATCH(connections!$A7,games!$A$2:$A$834,0)),""))</f>
        <v>2015</v>
      </c>
      <c r="U7">
        <f>IF(connections!$A7="","",IFERROR(INDEX(games!$B$2:$B$834,MATCH(connections!$B7,games!$A$2:$A$834,0)),""))</f>
        <v>2026</v>
      </c>
      <c r="V7">
        <f t="shared" si="11"/>
        <v>11</v>
      </c>
    </row>
    <row r="8" spans="1:22" x14ac:dyDescent="0.25">
      <c r="A8" t="str">
        <f>IF(games!$A8="","",games!$A8)</f>
        <v>33 Immortals</v>
      </c>
      <c r="B8">
        <f>IF($A8="","",games!$B8)</f>
        <v>2026</v>
      </c>
      <c r="C8" t="str">
        <f>IF($A8="","",games!$C8)</f>
        <v>Action</v>
      </c>
      <c r="D8">
        <f>IF($A8="","",COUNTIF(connections!$A$2:$A$1188,$A8)+COUNTIF(connections!$B$2:$B$1188,$A8))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T8">
        <f>IF(connections!$A8="","",IFERROR(INDEX(games!$B$2:$B$834,MATCH(connections!$A8,games!$A$2:$A$834,0)),""))</f>
        <v>2021</v>
      </c>
      <c r="U8">
        <f>IF(connections!$A8="","",IFERROR(INDEX(games!$B$2:$B$834,MATCH(connections!$B8,games!$A$2:$A$834,0)),""))</f>
        <v>2025</v>
      </c>
      <c r="V8">
        <f t="shared" si="11"/>
        <v>4</v>
      </c>
    </row>
    <row r="9" spans="1:22" x14ac:dyDescent="0.25">
      <c r="A9" t="str">
        <f>IF(games!$A9="","",games!$A9)</f>
        <v>868-Back</v>
      </c>
      <c r="B9">
        <f>IF($A9="","",games!$B9)</f>
        <v>2026</v>
      </c>
      <c r="C9" t="str">
        <f>IF($A9="","",games!$C9)</f>
        <v>Traditional</v>
      </c>
      <c r="D9">
        <f>IF($A9="","",COUNTIF(connections!$A$2:$A$1188,$A9)+COUNTIF(connections!$B$2:$B$1188,$A9))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T9">
        <f>IF(connections!$A9="","",IFERROR(INDEX(games!$B$2:$B$834,MATCH(connections!$A9,games!$A$2:$A$834,0)),""))</f>
        <v>1994</v>
      </c>
      <c r="U9">
        <f>IF(connections!$A9="","",IFERROR(INDEX(games!$B$2:$B$834,MATCH(connections!$B9,games!$A$2:$A$834,0)),""))</f>
        <v>2010</v>
      </c>
      <c r="V9">
        <f t="shared" si="11"/>
        <v>16</v>
      </c>
    </row>
    <row r="10" spans="1:22" x14ac:dyDescent="0.25">
      <c r="A10" t="str">
        <f>IF(games!$A10="","",games!$A10)</f>
        <v>868-Hack</v>
      </c>
      <c r="B10">
        <f>IF($A10="","",games!$B10)</f>
        <v>2015</v>
      </c>
      <c r="C10" t="str">
        <f>IF($A10="","",games!$C10)</f>
        <v>Traditional</v>
      </c>
      <c r="D10">
        <f>IF($A10="","",COUNTIF(connections!$A$2:$A$1188,$A10)+COUNTIF(connections!$B$2:$B$1188,$A10))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T10">
        <f>IF(connections!$A10="","",IFERROR(INDEX(games!$B$2:$B$834,MATCH(connections!$A10,games!$A$2:$A$834,0)),""))</f>
        <v>1994</v>
      </c>
      <c r="U10">
        <f>IF(connections!$A10="","",IFERROR(INDEX(games!$B$2:$B$834,MATCH(connections!$B10,games!$A$2:$A$834,0)),""))</f>
        <v>2025</v>
      </c>
      <c r="V10">
        <f t="shared" si="11"/>
        <v>31</v>
      </c>
    </row>
    <row r="11" spans="1:22" x14ac:dyDescent="0.25">
      <c r="A11" t="str">
        <f>IF(games!$A11="","",games!$A11)</f>
        <v>9 Kings</v>
      </c>
      <c r="B11">
        <f>IF($A11="","",games!$B11)</f>
        <v>2024</v>
      </c>
      <c r="C11" t="str">
        <f>IF($A11="","",games!$C11)</f>
        <v>Deckbuilder</v>
      </c>
      <c r="D11">
        <f>IF($A11="","",COUNTIF(connections!$A$2:$A$1188,$A11)+COUNTIF(connections!$B$2:$B$1188,$A11))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T11">
        <f>IF(connections!$A11="","",IFERROR(INDEX(games!$B$2:$B$834,MATCH(connections!$A11,games!$A$2:$A$834,0)),""))</f>
        <v>1994</v>
      </c>
      <c r="U11">
        <f>IF(connections!$A11="","",IFERROR(INDEX(games!$B$2:$B$834,MATCH(connections!$B11,games!$A$2:$A$834,0)),""))</f>
        <v>2010</v>
      </c>
      <c r="V11">
        <f t="shared" si="11"/>
        <v>16</v>
      </c>
    </row>
    <row r="12" spans="1:22" x14ac:dyDescent="0.25">
      <c r="A12" t="str">
        <f>IF(games!$A12="","",games!$A12)</f>
        <v>99 Levels to Hell</v>
      </c>
      <c r="B12">
        <f>IF($A12="","",games!$B12)</f>
        <v>2013</v>
      </c>
      <c r="C12" t="str">
        <f>IF($A12="","",games!$C12)</f>
        <v>Action</v>
      </c>
      <c r="D12">
        <f>IF($A12="","",COUNTIF(connections!$A$2:$A$1188,$A12)+COUNTIF(connections!$B$2:$B$1188,$A12))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T12">
        <f>IF(connections!$A12="","",IFERROR(INDEX(games!$B$2:$B$834,MATCH(connections!$A12,games!$A$2:$A$834,0)),""))</f>
        <v>1994</v>
      </c>
      <c r="U12">
        <f>IF(connections!$A12="","",IFERROR(INDEX(games!$B$2:$B$834,MATCH(connections!$B12,games!$A$2:$A$834,0)),""))</f>
        <v>2008</v>
      </c>
      <c r="V12">
        <f t="shared" si="11"/>
        <v>14</v>
      </c>
    </row>
    <row r="13" spans="1:22" x14ac:dyDescent="0.25">
      <c r="A13" t="str">
        <f>IF(games!$A13="","",games!$A13)</f>
        <v>A la Card</v>
      </c>
      <c r="B13">
        <f>IF($A13="","",games!$B13)</f>
        <v>2025</v>
      </c>
      <c r="C13" t="str">
        <f>IF($A13="","",games!$C13)</f>
        <v>Deckbuilder</v>
      </c>
      <c r="D13">
        <f>IF($A13="","",COUNTIF(connections!$A$2:$A$1188,$A13)+COUNTIF(connections!$B$2:$B$1188,$A13))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T13">
        <f>IF(connections!$A13="","",IFERROR(INDEX(games!$B$2:$B$834,MATCH(connections!$A13,games!$A$2:$A$834,0)),""))</f>
        <v>1994</v>
      </c>
      <c r="U13">
        <f>IF(connections!$A13="","",IFERROR(INDEX(games!$B$2:$B$834,MATCH(connections!$B13,games!$A$2:$A$834,0)),""))</f>
        <v>2006</v>
      </c>
      <c r="V13">
        <f t="shared" si="11"/>
        <v>12</v>
      </c>
    </row>
    <row r="14" spans="1:22" x14ac:dyDescent="0.25">
      <c r="A14" t="str">
        <f>IF(games!$A14="","",games!$A14)</f>
        <v>A Robot Named Fight!</v>
      </c>
      <c r="B14">
        <f>IF($A14="","",games!$B14)</f>
        <v>2017</v>
      </c>
      <c r="C14" t="str">
        <f>IF($A14="","",games!$C14)</f>
        <v>Action</v>
      </c>
      <c r="D14">
        <f>IF($A14="","",COUNTIF(connections!$A$2:$A$1188,$A14)+COUNTIF(connections!$B$2:$B$1188,$A14))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T14">
        <f>IF(connections!$A14="","",IFERROR(INDEX(games!$B$2:$B$834,MATCH(connections!$A14,games!$A$2:$A$834,0)),""))</f>
        <v>1994</v>
      </c>
      <c r="U14">
        <f>IF(connections!$A14="","",IFERROR(INDEX(games!$B$2:$B$834,MATCH(connections!$B14,games!$A$2:$A$834,0)),""))</f>
        <v>2022</v>
      </c>
      <c r="V14">
        <f t="shared" si="11"/>
        <v>28</v>
      </c>
    </row>
    <row r="15" spans="1:22" x14ac:dyDescent="0.25">
      <c r="A15" t="str">
        <f>IF(games!$A15="","",games!$A15)</f>
        <v>Abandon Ship</v>
      </c>
      <c r="B15">
        <f>IF($A15="","",games!$B15)</f>
        <v>2019</v>
      </c>
      <c r="C15" t="str">
        <f>IF($A15="","",games!$C15)</f>
        <v>Strategy</v>
      </c>
      <c r="D15">
        <f>IF($A15="","",COUNTIF(connections!$A$2:$A$1188,$A15)+COUNTIF(connections!$B$2:$B$1188,$A15))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T15">
        <f>IF(connections!$A15="","",IFERROR(INDEX(games!$B$2:$B$834,MATCH(connections!$A15,games!$A$2:$A$834,0)),""))</f>
        <v>1994</v>
      </c>
      <c r="U15">
        <f>IF(connections!$A15="","",IFERROR(INDEX(games!$B$2:$B$834,MATCH(connections!$B15,games!$A$2:$A$834,0)),""))</f>
        <v>2012</v>
      </c>
      <c r="V15">
        <f t="shared" si="11"/>
        <v>18</v>
      </c>
    </row>
    <row r="16" spans="1:22" x14ac:dyDescent="0.25">
      <c r="A16" t="str">
        <f>IF(games!$A16="","",games!$A16)</f>
        <v>Abandoned Archive</v>
      </c>
      <c r="B16">
        <f>IF($A16="","",games!$B16)</f>
        <v>2025</v>
      </c>
      <c r="C16" t="str">
        <f>IF($A16="","",games!$C16)</f>
        <v>Action</v>
      </c>
      <c r="D16">
        <f>IF($A16="","",COUNTIF(connections!$A$2:$A$1188,$A16)+COUNTIF(connections!$B$2:$B$1188,$A16))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T16">
        <f>IF(connections!$A16="","",IFERROR(INDEX(games!$B$2:$B$834,MATCH(connections!$A16,games!$A$2:$A$834,0)),""))</f>
        <v>1994</v>
      </c>
      <c r="U16">
        <f>IF(connections!$A16="","",IFERROR(INDEX(games!$B$2:$B$834,MATCH(connections!$B16,games!$A$2:$A$834,0)),""))</f>
        <v>2007</v>
      </c>
      <c r="V16">
        <f t="shared" si="11"/>
        <v>13</v>
      </c>
    </row>
    <row r="17" spans="1:22" x14ac:dyDescent="0.25">
      <c r="A17" t="str">
        <f>IF(games!$A17="","",games!$A17)</f>
        <v>Absolum</v>
      </c>
      <c r="B17">
        <f>IF($A17="","",games!$B17)</f>
        <v>2025</v>
      </c>
      <c r="C17" t="str">
        <f>IF($A17="","",games!$C17)</f>
        <v>Action</v>
      </c>
      <c r="D17">
        <f>IF($A17="","",COUNTIF(connections!$A$2:$A$1188,$A17)+COUNTIF(connections!$B$2:$B$1188,$A17))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T17">
        <f>IF(connections!$A17="","",IFERROR(INDEX(games!$B$2:$B$834,MATCH(connections!$A17,games!$A$2:$A$834,0)),""))</f>
        <v>1994</v>
      </c>
      <c r="U17">
        <f>IF(connections!$A17="","",IFERROR(INDEX(games!$B$2:$B$834,MATCH(connections!$B17,games!$A$2:$A$834,0)),""))</f>
        <v>2015</v>
      </c>
      <c r="V17">
        <f t="shared" si="11"/>
        <v>21</v>
      </c>
    </row>
    <row r="18" spans="1:22" x14ac:dyDescent="0.25">
      <c r="A18" t="str">
        <f>IF(games!$A18="","",games!$A18)</f>
        <v>Aces &amp; Adventures</v>
      </c>
      <c r="B18">
        <f>IF($A18="","",games!$B18)</f>
        <v>2023</v>
      </c>
      <c r="C18" t="str">
        <f>IF($A18="","",games!$C18)</f>
        <v>Deckbuilder</v>
      </c>
      <c r="D18">
        <f>IF($A18="","",COUNTIF(connections!$A$2:$A$1188,$A18)+COUNTIF(connections!$B$2:$B$1188,$A18))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T18">
        <f>IF(connections!$A18="","",IFERROR(INDEX(games!$B$2:$B$834,MATCH(connections!$A18,games!$A$2:$A$834,0)),""))</f>
        <v>1994</v>
      </c>
      <c r="U18">
        <f>IF(connections!$A18="","",IFERROR(INDEX(games!$B$2:$B$834,MATCH(connections!$B18,games!$A$2:$A$834,0)),""))</f>
        <v>2006</v>
      </c>
      <c r="V18">
        <f t="shared" si="11"/>
        <v>12</v>
      </c>
    </row>
    <row r="19" spans="1:22" x14ac:dyDescent="0.25">
      <c r="A19" t="str">
        <f>IF(games!$A19="","",games!$A19)</f>
        <v>Across the Obelisk</v>
      </c>
      <c r="B19">
        <f>IF($A19="","",games!$B19)</f>
        <v>2021</v>
      </c>
      <c r="C19" t="str">
        <f>IF($A19="","",games!$C19)</f>
        <v>Deckbuilder</v>
      </c>
      <c r="D19">
        <f>IF($A19="","",COUNTIF(connections!$A$2:$A$1188,$A19)+COUNTIF(connections!$B$2:$B$1188,$A19))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T19">
        <f>IF(connections!$A19="","",IFERROR(INDEX(games!$B$2:$B$834,MATCH(connections!$A19,games!$A$2:$A$834,0)),""))</f>
        <v>1994</v>
      </c>
      <c r="U19">
        <f>IF(connections!$A19="","",IFERROR(INDEX(games!$B$2:$B$834,MATCH(connections!$B19,games!$A$2:$A$834,0)),""))</f>
        <v>2023</v>
      </c>
      <c r="V19">
        <f t="shared" si="11"/>
        <v>29</v>
      </c>
    </row>
    <row r="20" spans="1:22" x14ac:dyDescent="0.25">
      <c r="A20" t="str">
        <f>IF(games!$A20="","",games!$A20)</f>
        <v>Aethermancer</v>
      </c>
      <c r="B20">
        <f>IF($A20="","",games!$B20)</f>
        <v>2025</v>
      </c>
      <c r="C20" t="str">
        <f>IF($A20="","",games!$C20)</f>
        <v>Strategy</v>
      </c>
      <c r="D20">
        <f>IF($A20="","",COUNTIF(connections!$A$2:$A$1188,$A20)+COUNTIF(connections!$B$2:$B$1188,$A20))</f>
        <v>1</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1.0000199999999999</v>
      </c>
      <c r="T20">
        <f>IF(connections!$A20="","",IFERROR(INDEX(games!$B$2:$B$834,MATCH(connections!$A20,games!$A$2:$A$834,0)),""))</f>
        <v>1994</v>
      </c>
      <c r="U20">
        <f>IF(connections!$A20="","",IFERROR(INDEX(games!$B$2:$B$834,MATCH(connections!$B20,games!$A$2:$A$834,0)),""))</f>
        <v>2003</v>
      </c>
      <c r="V20">
        <f t="shared" si="11"/>
        <v>9</v>
      </c>
    </row>
    <row r="21" spans="1:22" x14ac:dyDescent="0.25">
      <c r="A21" t="str">
        <f>IF(games!$A21="","",games!$A21)</f>
        <v>AK-xolotl</v>
      </c>
      <c r="B21">
        <f>IF($A21="","",games!$B21)</f>
        <v>2023</v>
      </c>
      <c r="C21" t="str">
        <f>IF($A21="","",games!$C21)</f>
        <v>Action</v>
      </c>
      <c r="D21">
        <f>IF($A21="","",COUNTIF(connections!$A$2:$A$1188,$A21)+COUNTIF(connections!$B$2:$B$1188,$A21))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T21">
        <f>IF(connections!$A21="","",IFERROR(INDEX(games!$B$2:$B$834,MATCH(connections!$A21,games!$A$2:$A$834,0)),""))</f>
        <v>1994</v>
      </c>
      <c r="U21">
        <f>IF(connections!$A21="","",IFERROR(INDEX(games!$B$2:$B$834,MATCH(connections!$B21,games!$A$2:$A$834,0)),""))</f>
        <v>2019</v>
      </c>
      <c r="V21">
        <f t="shared" si="11"/>
        <v>25</v>
      </c>
    </row>
    <row r="22" spans="1:22" x14ac:dyDescent="0.25">
      <c r="A22" t="str">
        <f>IF(games!$A22="","",games!$A22)</f>
        <v>Alina of the Arena</v>
      </c>
      <c r="B22">
        <f>IF($A22="","",games!$B22)</f>
        <v>2022</v>
      </c>
      <c r="C22" t="str">
        <f>IF($A22="","",games!$C22)</f>
        <v>Deckbuilder</v>
      </c>
      <c r="D22">
        <f>IF($A22="","",COUNTIF(connections!$A$2:$A$1188,$A22)+COUNTIF(connections!$B$2:$B$1188,$A22))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T22">
        <f>IF(connections!$A22="","",IFERROR(INDEX(games!$B$2:$B$834,MATCH(connections!$A22,games!$A$2:$A$834,0)),""))</f>
        <v>1994</v>
      </c>
      <c r="U22">
        <f>IF(connections!$A22="","",IFERROR(INDEX(games!$B$2:$B$834,MATCH(connections!$B22,games!$A$2:$A$834,0)),""))</f>
        <v>2015</v>
      </c>
      <c r="V22">
        <f t="shared" si="11"/>
        <v>21</v>
      </c>
    </row>
    <row r="23" spans="1:22" x14ac:dyDescent="0.25">
      <c r="A23" t="str">
        <f>IF(games!$A23="","",games!$A23)</f>
        <v>An Amazing Wizard</v>
      </c>
      <c r="B23">
        <f>IF($A23="","",games!$B23)</f>
        <v>2025</v>
      </c>
      <c r="C23" t="str">
        <f>IF($A23="","",games!$C23)</f>
        <v>Action</v>
      </c>
      <c r="D23">
        <f>IF($A23="","",COUNTIF(connections!$A$2:$A$1188,$A23)+COUNTIF(connections!$B$2:$B$1188,$A23))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T23">
        <f>IF(connections!$A23="","",IFERROR(INDEX(games!$B$2:$B$834,MATCH(connections!$A23,games!$A$2:$A$834,0)),""))</f>
        <v>1994</v>
      </c>
      <c r="U23">
        <f>IF(connections!$A23="","",IFERROR(INDEX(games!$B$2:$B$834,MATCH(connections!$B23,games!$A$2:$A$834,0)),""))</f>
        <v>2022</v>
      </c>
      <c r="V23">
        <f t="shared" si="11"/>
        <v>28</v>
      </c>
    </row>
    <row r="24" spans="1:22" x14ac:dyDescent="0.25">
      <c r="A24" t="str">
        <f>IF(games!$A24="","",games!$A24)</f>
        <v>Ancient Domains of Mystery</v>
      </c>
      <c r="B24">
        <f>IF($A24="","",games!$B24)</f>
        <v>1994</v>
      </c>
      <c r="C24" t="str">
        <f>IF($A24="","",games!$C24)</f>
        <v>Traditional</v>
      </c>
      <c r="D24">
        <f>IF($A24="","",COUNTIF(connections!$A$2:$A$1188,$A24)+COUNTIF(connections!$B$2:$B$1188,$A24))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T24">
        <f>IF(connections!$A24="","",IFERROR(INDEX(games!$B$2:$B$834,MATCH(connections!$A24,games!$A$2:$A$834,0)),""))</f>
        <v>1994</v>
      </c>
      <c r="U24">
        <f>IF(connections!$A24="","",IFERROR(INDEX(games!$B$2:$B$834,MATCH(connections!$B24,games!$A$2:$A$834,0)),""))</f>
        <v>2014</v>
      </c>
      <c r="V24">
        <f t="shared" si="11"/>
        <v>20</v>
      </c>
    </row>
    <row r="25" spans="1:22" x14ac:dyDescent="0.25">
      <c r="A25" t="str">
        <f>IF(games!$A25="","",games!$A25)</f>
        <v>Angband</v>
      </c>
      <c r="B25">
        <f>IF($A25="","",games!$B25)</f>
        <v>1990</v>
      </c>
      <c r="C25" t="str">
        <f>IF($A25="","",games!$C25)</f>
        <v>Traditional</v>
      </c>
      <c r="D25">
        <f>IF($A25="","",COUNTIF(connections!$A$2:$A$1188,$A25)+COUNTIF(connections!$B$2:$B$1188,$A25))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T25">
        <f>IF(connections!$A25="","",IFERROR(INDEX(games!$B$2:$B$834,MATCH(connections!$A25,games!$A$2:$A$834,0)),""))</f>
        <v>1994</v>
      </c>
      <c r="U25">
        <f>IF(connections!$A25="","",IFERROR(INDEX(games!$B$2:$B$834,MATCH(connections!$B25,games!$A$2:$A$834,0)),""))</f>
        <v>2020</v>
      </c>
      <c r="V25">
        <f t="shared" si="11"/>
        <v>26</v>
      </c>
    </row>
    <row r="26" spans="1:22" x14ac:dyDescent="0.25">
      <c r="A26" t="str">
        <f>IF(games!$A26="","",games!$A26)</f>
        <v>Another Farm Roguelike</v>
      </c>
      <c r="B26">
        <f>IF($A26="","",games!$B26)</f>
        <v>2022</v>
      </c>
      <c r="C26" t="str">
        <f>IF($A26="","",games!$C26)</f>
        <v>Strategy</v>
      </c>
      <c r="D26">
        <f>IF($A26="","",COUNTIF(connections!$A$2:$A$1188,$A26)+COUNTIF(connections!$B$2:$B$1188,$A26))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T26">
        <f>IF(connections!$A26="","",IFERROR(INDEX(games!$B$2:$B$834,MATCH(connections!$A26,games!$A$2:$A$834,0)),""))</f>
        <v>1994</v>
      </c>
      <c r="U26">
        <f>IF(connections!$A26="","",IFERROR(INDEX(games!$B$2:$B$834,MATCH(connections!$B26,games!$A$2:$A$834,0)),""))</f>
        <v>2021</v>
      </c>
      <c r="V26">
        <f t="shared" si="11"/>
        <v>27</v>
      </c>
    </row>
    <row r="27" spans="1:22" x14ac:dyDescent="0.25">
      <c r="A27" t="str">
        <f>IF(games!$A27="","",games!$A27)</f>
        <v>Another Farm Roguelike: Rebirth</v>
      </c>
      <c r="B27">
        <f>IF($A27="","",games!$B27)</f>
        <v>2025</v>
      </c>
      <c r="C27" t="str">
        <f>IF($A27="","",games!$C27)</f>
        <v>Strategy</v>
      </c>
      <c r="D27">
        <f>IF($A27="","",COUNTIF(connections!$A$2:$A$1188,$A27)+COUNTIF(connections!$B$2:$B$1188,$A27))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T27">
        <f>IF(connections!$A27="","",IFERROR(INDEX(games!$B$2:$B$834,MATCH(connections!$A27,games!$A$2:$A$834,0)),""))</f>
        <v>1990</v>
      </c>
      <c r="U27">
        <f>IF(connections!$A27="","",IFERROR(INDEX(games!$B$2:$B$834,MATCH(connections!$B27,games!$A$2:$A$834,0)),""))</f>
        <v>2010</v>
      </c>
      <c r="V27">
        <f t="shared" si="11"/>
        <v>20</v>
      </c>
    </row>
    <row r="28" spans="1:22" x14ac:dyDescent="0.25">
      <c r="A28" t="str">
        <f>IF(games!$A28="","",games!$A28)</f>
        <v>Aotenjo: Infinite Hands</v>
      </c>
      <c r="B28">
        <f>IF($A28="","",games!$B28)</f>
        <v>2024</v>
      </c>
      <c r="C28" t="str">
        <f>IF($A28="","",games!$C28)</f>
        <v>Deckbuilder</v>
      </c>
      <c r="D28">
        <f>IF($A28="","",COUNTIF(connections!$A$2:$A$1188,$A28)+COUNTIF(connections!$B$2:$B$1188,$A28))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T28">
        <f>IF(connections!$A28="","",IFERROR(INDEX(games!$B$2:$B$834,MATCH(connections!$A28,games!$A$2:$A$834,0)),""))</f>
        <v>1990</v>
      </c>
      <c r="U28">
        <f>IF(connections!$A28="","",IFERROR(INDEX(games!$B$2:$B$834,MATCH(connections!$B28,games!$A$2:$A$834,0)),""))</f>
        <v>2025</v>
      </c>
      <c r="V28">
        <f t="shared" si="11"/>
        <v>35</v>
      </c>
    </row>
    <row r="29" spans="1:22" x14ac:dyDescent="0.25">
      <c r="A29" t="str">
        <f>IF(games!$A29="","",games!$A29)</f>
        <v>Approaching Infinity</v>
      </c>
      <c r="B29">
        <f>IF($A29="","",games!$B29)</f>
        <v>2020</v>
      </c>
      <c r="C29" t="str">
        <f>IF($A29="","",games!$C29)</f>
        <v>Traditional</v>
      </c>
      <c r="D29">
        <f>IF($A29="","",COUNTIF(connections!$A$2:$A$1188,$A29)+COUNTIF(connections!$B$2:$B$1188,$A29))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T29">
        <f>IF(connections!$A29="","",IFERROR(INDEX(games!$B$2:$B$834,MATCH(connections!$A29,games!$A$2:$A$834,0)),""))</f>
        <v>1990</v>
      </c>
      <c r="U29">
        <f>IF(connections!$A29="","",IFERROR(INDEX(games!$B$2:$B$834,MATCH(connections!$B29,games!$A$2:$A$834,0)),""))</f>
        <v>1996</v>
      </c>
      <c r="V29">
        <f t="shared" si="11"/>
        <v>6</v>
      </c>
    </row>
    <row r="30" spans="1:22" x14ac:dyDescent="0.25">
      <c r="A30" t="str">
        <f>IF(games!$A30="","",games!$A30)</f>
        <v>Arc Seed</v>
      </c>
      <c r="B30">
        <f>IF($A30="","",games!$B30)</f>
        <v>2024</v>
      </c>
      <c r="C30" t="str">
        <f>IF($A30="","",games!$C30)</f>
        <v>Deckbuilder</v>
      </c>
      <c r="D30">
        <f>IF($A30="","",COUNTIF(connections!$A$2:$A$1188,$A30)+COUNTIF(connections!$B$2:$B$1188,$A30))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T30">
        <f>IF(connections!$A30="","",IFERROR(INDEX(games!$B$2:$B$834,MATCH(connections!$A30,games!$A$2:$A$834,0)),""))</f>
        <v>1990</v>
      </c>
      <c r="U30">
        <f>IF(connections!$A30="","",IFERROR(INDEX(games!$B$2:$B$834,MATCH(connections!$B30,games!$A$2:$A$834,0)),""))</f>
        <v>2010</v>
      </c>
      <c r="V30">
        <f t="shared" si="11"/>
        <v>20</v>
      </c>
    </row>
    <row r="31" spans="1:22" x14ac:dyDescent="0.25">
      <c r="A31" t="str">
        <f>IF(games!$A31="","",games!$A31)</f>
        <v>Arcane Trigger</v>
      </c>
      <c r="B31">
        <f>IF($A31="","",games!$B31)</f>
        <v>2025</v>
      </c>
      <c r="C31" t="str">
        <f>IF($A31="","",games!$C31)</f>
        <v>Action</v>
      </c>
      <c r="D31">
        <f>IF($A31="","",COUNTIF(connections!$A$2:$A$1188,$A31)+COUNTIF(connections!$B$2:$B$1188,$A31))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T31">
        <f>IF(connections!$A31="","",IFERROR(INDEX(games!$B$2:$B$834,MATCH(connections!$A31,games!$A$2:$A$834,0)),""))</f>
        <v>1990</v>
      </c>
      <c r="U31">
        <f>IF(connections!$A31="","",IFERROR(INDEX(games!$B$2:$B$834,MATCH(connections!$B31,games!$A$2:$A$834,0)),""))</f>
        <v>2008</v>
      </c>
      <c r="V31">
        <f t="shared" si="11"/>
        <v>18</v>
      </c>
    </row>
    <row r="32" spans="1:22" x14ac:dyDescent="0.25">
      <c r="A32" t="str">
        <f>IF(games!$A32="","",games!$A32)</f>
        <v>Arcanium: Rise of Akhan</v>
      </c>
      <c r="B32">
        <f>IF($A32="","",games!$B32)</f>
        <v>2020</v>
      </c>
      <c r="C32" t="str">
        <f>IF($A32="","",games!$C32)</f>
        <v>Deckbuilder</v>
      </c>
      <c r="D32">
        <f>IF($A32="","",COUNTIF(connections!$A$2:$A$1188,$A32)+COUNTIF(connections!$B$2:$B$1188,$A32))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T32">
        <f>IF(connections!$A32="","",IFERROR(INDEX(games!$B$2:$B$834,MATCH(connections!$A32,games!$A$2:$A$834,0)),""))</f>
        <v>1990</v>
      </c>
      <c r="U32">
        <f>IF(connections!$A32="","",IFERROR(INDEX(games!$B$2:$B$834,MATCH(connections!$B32,games!$A$2:$A$834,0)),""))</f>
        <v>2007</v>
      </c>
      <c r="V32">
        <f t="shared" si="11"/>
        <v>17</v>
      </c>
    </row>
    <row r="33" spans="1:22" x14ac:dyDescent="0.25">
      <c r="A33" t="str">
        <f>IF(games!$A33="","",games!$A33)</f>
        <v>Archon Soul</v>
      </c>
      <c r="B33">
        <f>IF($A33="","",games!$B33)</f>
        <v>2026</v>
      </c>
      <c r="C33" t="str">
        <f>IF($A33="","",games!$C33)</f>
        <v>Deckbuilder</v>
      </c>
      <c r="D33">
        <f>IF($A33="","",COUNTIF(connections!$A$2:$A$1188,$A33)+COUNTIF(connections!$B$2:$B$1188,$A33))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T33">
        <f>IF(connections!$A33="","",IFERROR(INDEX(games!$B$2:$B$834,MATCH(connections!$A33,games!$A$2:$A$834,0)),""))</f>
        <v>1990</v>
      </c>
      <c r="U33">
        <f>IF(connections!$A33="","",IFERROR(INDEX(games!$B$2:$B$834,MATCH(connections!$B33,games!$A$2:$A$834,0)),""))</f>
        <v>2011</v>
      </c>
      <c r="V33">
        <f t="shared" si="11"/>
        <v>21</v>
      </c>
    </row>
    <row r="34" spans="1:22" x14ac:dyDescent="0.25">
      <c r="A34" t="str">
        <f>IF(games!$A34="","",games!$A34)</f>
        <v>Archons</v>
      </c>
      <c r="B34">
        <f>IF($A34="","",games!$B34)</f>
        <v>2024</v>
      </c>
      <c r="C34" t="str">
        <f>IF($A34="","",games!$C34)</f>
        <v>Action</v>
      </c>
      <c r="D34">
        <f>IF($A34="","",COUNTIF(connections!$A$2:$A$1188,$A34)+COUNTIF(connections!$B$2:$B$1188,$A34))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T34">
        <f>IF(connections!$A34="","",IFERROR(INDEX(games!$B$2:$B$834,MATCH(connections!$A34,games!$A$2:$A$834,0)),""))</f>
        <v>1990</v>
      </c>
      <c r="U34">
        <f>IF(connections!$A34="","",IFERROR(INDEX(games!$B$2:$B$834,MATCH(connections!$B34,games!$A$2:$A$834,0)),""))</f>
        <v>2006</v>
      </c>
      <c r="V34">
        <f t="shared" si="11"/>
        <v>16</v>
      </c>
    </row>
    <row r="35" spans="1:22" x14ac:dyDescent="0.25">
      <c r="A35" t="str">
        <f>IF(games!$A35="","",games!$A35)</f>
        <v>Army of Ruin</v>
      </c>
      <c r="B35">
        <f>IF($A35="","",games!$B35)</f>
        <v>2022</v>
      </c>
      <c r="C35" t="str">
        <f>IF($A35="","",games!$C35)</f>
        <v>Action</v>
      </c>
      <c r="D35">
        <f>IF($A35="","",COUNTIF(connections!$A$2:$A$1188,$A35)+COUNTIF(connections!$B$2:$B$1188,$A35))</f>
        <v>1</v>
      </c>
      <c r="E35">
        <f t="shared" si="0"/>
        <v>1</v>
      </c>
      <c r="F35">
        <f t="shared" si="1"/>
        <v>1</v>
      </c>
      <c r="G35">
        <f t="shared" si="2"/>
        <v>2022</v>
      </c>
      <c r="H35">
        <f t="shared" si="3"/>
        <v>1.0229999999999999</v>
      </c>
      <c r="I35" t="e">
        <f t="shared" si="4"/>
        <v>#N/A</v>
      </c>
      <c r="J35" t="e">
        <f t="shared" si="5"/>
        <v>#N/A</v>
      </c>
      <c r="K35" t="e">
        <f t="shared" si="6"/>
        <v>#N/A</v>
      </c>
      <c r="L35" t="e">
        <f t="shared" si="7"/>
        <v>#N/A</v>
      </c>
      <c r="M35" t="e">
        <f t="shared" si="8"/>
        <v>#N/A</v>
      </c>
      <c r="N35" t="e">
        <f t="shared" si="9"/>
        <v>#N/A</v>
      </c>
      <c r="O35">
        <f t="shared" si="10"/>
        <v>1.000035</v>
      </c>
      <c r="T35">
        <f>IF(connections!$A35="","",IFERROR(INDEX(games!$B$2:$B$834,MATCH(connections!$A35,games!$A$2:$A$834,0)),""))</f>
        <v>1990</v>
      </c>
      <c r="U35">
        <f>IF(connections!$A35="","",IFERROR(INDEX(games!$B$2:$B$834,MATCH(connections!$B35,games!$A$2:$A$834,0)),""))</f>
        <v>2003</v>
      </c>
      <c r="V35">
        <f t="shared" si="11"/>
        <v>13</v>
      </c>
    </row>
    <row r="36" spans="1:22" x14ac:dyDescent="0.25">
      <c r="A36" t="str">
        <f>IF(games!$A36="","",games!$A36)</f>
        <v>Arrogue</v>
      </c>
      <c r="B36">
        <f>IF($A36="","",games!$B36)</f>
        <v>2025</v>
      </c>
      <c r="C36" t="str">
        <f>IF($A36="","",games!$C36)</f>
        <v>Deckbuilder</v>
      </c>
      <c r="D36">
        <f>IF($A36="","",COUNTIF(connections!$A$2:$A$1188,$A36)+COUNTIF(connections!$B$2:$B$1188,$A36))</f>
        <v>2</v>
      </c>
      <c r="E36">
        <f t="shared" si="0"/>
        <v>3</v>
      </c>
      <c r="F36">
        <f t="shared" si="1"/>
        <v>2</v>
      </c>
      <c r="G36" t="e">
        <f t="shared" si="2"/>
        <v>#N/A</v>
      </c>
      <c r="H36" t="e">
        <f t="shared" si="3"/>
        <v>#N/A</v>
      </c>
      <c r="I36" t="e">
        <f t="shared" si="4"/>
        <v>#N/A</v>
      </c>
      <c r="J36" t="e">
        <f t="shared" si="5"/>
        <v>#N/A</v>
      </c>
      <c r="K36">
        <f t="shared" si="6"/>
        <v>2025</v>
      </c>
      <c r="L36">
        <f t="shared" si="7"/>
        <v>3.0459999999999998</v>
      </c>
      <c r="M36" t="e">
        <f t="shared" si="8"/>
        <v>#N/A</v>
      </c>
      <c r="N36" t="e">
        <f t="shared" si="9"/>
        <v>#N/A</v>
      </c>
      <c r="O36">
        <f t="shared" si="10"/>
        <v>2.0000360000000001</v>
      </c>
      <c r="T36">
        <f>IF(connections!$A36="","",IFERROR(INDEX(games!$B$2:$B$834,MATCH(connections!$A36,games!$A$2:$A$834,0)),""))</f>
        <v>1990</v>
      </c>
      <c r="U36">
        <f>IF(connections!$A36="","",IFERROR(INDEX(games!$B$2:$B$834,MATCH(connections!$B36,games!$A$2:$A$834,0)),""))</f>
        <v>2012</v>
      </c>
      <c r="V36">
        <f t="shared" si="11"/>
        <v>22</v>
      </c>
    </row>
    <row r="37" spans="1:22" x14ac:dyDescent="0.25">
      <c r="A37" t="str">
        <f>IF(games!$A37="","",games!$A37)</f>
        <v>As We Descend</v>
      </c>
      <c r="B37">
        <f>IF($A37="","",games!$B37)</f>
        <v>2025</v>
      </c>
      <c r="C37" t="str">
        <f>IF($A37="","",games!$C37)</f>
        <v>Deckbuilder</v>
      </c>
      <c r="D37">
        <f>IF($A37="","",COUNTIF(connections!$A$2:$A$1188,$A37)+COUNTIF(connections!$B$2:$B$1188,$A37))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T37">
        <f>IF(connections!$A37="","",IFERROR(INDEX(games!$B$2:$B$834,MATCH(connections!$A37,games!$A$2:$A$834,0)),""))</f>
        <v>1990</v>
      </c>
      <c r="U37">
        <f>IF(connections!$A37="","",IFERROR(INDEX(games!$B$2:$B$834,MATCH(connections!$B37,games!$A$2:$A$834,0)),""))</f>
        <v>2014</v>
      </c>
      <c r="V37">
        <f t="shared" si="11"/>
        <v>24</v>
      </c>
    </row>
    <row r="38" spans="1:22" x14ac:dyDescent="0.25">
      <c r="A38" t="str">
        <f>IF(games!$A38="","",games!$A38)</f>
        <v>Asgard's Fall: Viking Survivors</v>
      </c>
      <c r="B38">
        <f>IF($A38="","",games!$B38)</f>
        <v>2025</v>
      </c>
      <c r="C38" t="str">
        <f>IF($A38="","",games!$C38)</f>
        <v>Action</v>
      </c>
      <c r="D38">
        <f>IF($A38="","",COUNTIF(connections!$A$2:$A$1188,$A38)+COUNTIF(connections!$B$2:$B$1188,$A38))</f>
        <v>2</v>
      </c>
      <c r="E38">
        <f t="shared" si="0"/>
        <v>1</v>
      </c>
      <c r="F38">
        <f t="shared" si="1"/>
        <v>4</v>
      </c>
      <c r="G38">
        <f t="shared" si="2"/>
        <v>2025</v>
      </c>
      <c r="H38">
        <f t="shared" si="3"/>
        <v>1.0920000000000001</v>
      </c>
      <c r="I38" t="e">
        <f t="shared" si="4"/>
        <v>#N/A</v>
      </c>
      <c r="J38" t="e">
        <f t="shared" si="5"/>
        <v>#N/A</v>
      </c>
      <c r="K38" t="e">
        <f t="shared" si="6"/>
        <v>#N/A</v>
      </c>
      <c r="L38" t="e">
        <f t="shared" si="7"/>
        <v>#N/A</v>
      </c>
      <c r="M38" t="e">
        <f t="shared" si="8"/>
        <v>#N/A</v>
      </c>
      <c r="N38" t="e">
        <f t="shared" si="9"/>
        <v>#N/A</v>
      </c>
      <c r="O38">
        <f t="shared" si="10"/>
        <v>2.000038</v>
      </c>
      <c r="T38">
        <f>IF(connections!$A38="","",IFERROR(INDEX(games!$B$2:$B$834,MATCH(connections!$A38,games!$A$2:$A$834,0)),""))</f>
        <v>1990</v>
      </c>
      <c r="U38">
        <f>IF(connections!$A38="","",IFERROR(INDEX(games!$B$2:$B$834,MATCH(connections!$B38,games!$A$2:$A$834,0)),""))</f>
        <v>1994</v>
      </c>
      <c r="V38">
        <f t="shared" si="11"/>
        <v>4</v>
      </c>
    </row>
    <row r="39" spans="1:22" x14ac:dyDescent="0.25">
      <c r="A39" t="str">
        <f>IF(games!$A39="","",games!$A39)</f>
        <v>Asterogues</v>
      </c>
      <c r="B39">
        <f>IF($A39="","",games!$B39)</f>
        <v>2023</v>
      </c>
      <c r="C39" t="str">
        <f>IF($A39="","",games!$C39)</f>
        <v>Action</v>
      </c>
      <c r="D39">
        <f>IF($A39="","",COUNTIF(connections!$A$2:$A$1188,$A39)+COUNTIF(connections!$B$2:$B$1188,$A39))</f>
        <v>2</v>
      </c>
      <c r="E39">
        <f t="shared" si="0"/>
        <v>1</v>
      </c>
      <c r="F39">
        <f t="shared" si="1"/>
        <v>5</v>
      </c>
      <c r="G39">
        <f t="shared" si="2"/>
        <v>2023</v>
      </c>
      <c r="H39">
        <f t="shared" si="3"/>
        <v>1.115</v>
      </c>
      <c r="I39" t="e">
        <f t="shared" si="4"/>
        <v>#N/A</v>
      </c>
      <c r="J39" t="e">
        <f t="shared" si="5"/>
        <v>#N/A</v>
      </c>
      <c r="K39" t="e">
        <f t="shared" si="6"/>
        <v>#N/A</v>
      </c>
      <c r="L39" t="e">
        <f t="shared" si="7"/>
        <v>#N/A</v>
      </c>
      <c r="M39" t="e">
        <f t="shared" si="8"/>
        <v>#N/A</v>
      </c>
      <c r="N39" t="e">
        <f t="shared" si="9"/>
        <v>#N/A</v>
      </c>
      <c r="O39">
        <f t="shared" si="10"/>
        <v>2.0000390000000001</v>
      </c>
      <c r="T39">
        <f>IF(connections!$A39="","",IFERROR(INDEX(games!$B$2:$B$834,MATCH(connections!$A39,games!$A$2:$A$834,0)),""))</f>
        <v>1990</v>
      </c>
      <c r="U39">
        <f>IF(connections!$A39="","",IFERROR(INDEX(games!$B$2:$B$834,MATCH(connections!$B39,games!$A$2:$A$834,0)),""))</f>
        <v>2025</v>
      </c>
      <c r="V39">
        <f t="shared" si="11"/>
        <v>35</v>
      </c>
    </row>
    <row r="40" spans="1:22" x14ac:dyDescent="0.25">
      <c r="A40" t="str">
        <f>IF(games!$A40="","",games!$A40)</f>
        <v>Astral Ascent</v>
      </c>
      <c r="B40">
        <f>IF($A40="","",games!$B40)</f>
        <v>2022</v>
      </c>
      <c r="C40" t="str">
        <f>IF($A40="","",games!$C40)</f>
        <v>Action</v>
      </c>
      <c r="D40">
        <f>IF($A40="","",COUNTIF(connections!$A$2:$A$1188,$A40)+COUNTIF(connections!$B$2:$B$1188,$A40))</f>
        <v>6</v>
      </c>
      <c r="E40">
        <f t="shared" si="0"/>
        <v>1</v>
      </c>
      <c r="F40">
        <f t="shared" si="1"/>
        <v>6</v>
      </c>
      <c r="G40">
        <f t="shared" si="2"/>
        <v>2022</v>
      </c>
      <c r="H40">
        <f t="shared" si="3"/>
        <v>1.1379999999999999</v>
      </c>
      <c r="I40" t="e">
        <f t="shared" si="4"/>
        <v>#N/A</v>
      </c>
      <c r="J40" t="e">
        <f t="shared" si="5"/>
        <v>#N/A</v>
      </c>
      <c r="K40" t="e">
        <f t="shared" si="6"/>
        <v>#N/A</v>
      </c>
      <c r="L40" t="e">
        <f t="shared" si="7"/>
        <v>#N/A</v>
      </c>
      <c r="M40" t="e">
        <f t="shared" si="8"/>
        <v>#N/A</v>
      </c>
      <c r="N40" t="e">
        <f t="shared" si="9"/>
        <v>#N/A</v>
      </c>
      <c r="O40">
        <f t="shared" si="10"/>
        <v>6.0000400000000003</v>
      </c>
      <c r="T40">
        <f>IF(connections!$A40="","",IFERROR(INDEX(games!$B$2:$B$834,MATCH(connections!$A40,games!$A$2:$A$834,0)),""))</f>
        <v>1990</v>
      </c>
      <c r="U40">
        <f>IF(connections!$A40="","",IFERROR(INDEX(games!$B$2:$B$834,MATCH(connections!$B40,games!$A$2:$A$834,0)),""))</f>
        <v>2022</v>
      </c>
      <c r="V40">
        <f t="shared" si="11"/>
        <v>32</v>
      </c>
    </row>
    <row r="41" spans="1:22" x14ac:dyDescent="0.25">
      <c r="A41" t="str">
        <f>IF(games!$A41="","",games!$A41)</f>
        <v>Astrea: Six-Sided Oracles</v>
      </c>
      <c r="B41">
        <f>IF($A41="","",games!$B41)</f>
        <v>2023</v>
      </c>
      <c r="C41" t="str">
        <f>IF($A41="","",games!$C41)</f>
        <v>Deckbuilder</v>
      </c>
      <c r="D41">
        <f>IF($A41="","",COUNTIF(connections!$A$2:$A$1188,$A41)+COUNTIF(connections!$B$2:$B$1188,$A41))</f>
        <v>1</v>
      </c>
      <c r="E41">
        <f t="shared" si="0"/>
        <v>3</v>
      </c>
      <c r="F41">
        <f t="shared" si="1"/>
        <v>7</v>
      </c>
      <c r="G41" t="e">
        <f t="shared" si="2"/>
        <v>#N/A</v>
      </c>
      <c r="H41" t="e">
        <f t="shared" si="3"/>
        <v>#N/A</v>
      </c>
      <c r="I41" t="e">
        <f t="shared" si="4"/>
        <v>#N/A</v>
      </c>
      <c r="J41" t="e">
        <f t="shared" si="5"/>
        <v>#N/A</v>
      </c>
      <c r="K41">
        <f t="shared" si="6"/>
        <v>2023</v>
      </c>
      <c r="L41">
        <f t="shared" si="7"/>
        <v>3.161</v>
      </c>
      <c r="M41" t="e">
        <f t="shared" si="8"/>
        <v>#N/A</v>
      </c>
      <c r="N41" t="e">
        <f t="shared" si="9"/>
        <v>#N/A</v>
      </c>
      <c r="O41">
        <f t="shared" si="10"/>
        <v>1.000041</v>
      </c>
      <c r="T41">
        <f>IF(connections!$A41="","",IFERROR(INDEX(games!$B$2:$B$834,MATCH(connections!$A41,games!$A$2:$A$834,0)),""))</f>
        <v>2022</v>
      </c>
      <c r="U41">
        <f>IF(connections!$A41="","",IFERROR(INDEX(games!$B$2:$B$834,MATCH(connections!$B41,games!$A$2:$A$834,0)),""))</f>
        <v>2025</v>
      </c>
      <c r="V41">
        <f t="shared" si="11"/>
        <v>3</v>
      </c>
    </row>
    <row r="42" spans="1:22" x14ac:dyDescent="0.25">
      <c r="A42" t="str">
        <f>IF(games!$A42="","",games!$A42)</f>
        <v>Astro Prospector</v>
      </c>
      <c r="B42">
        <f>IF($A42="","",games!$B42)</f>
        <v>2025</v>
      </c>
      <c r="C42" t="str">
        <f>IF($A42="","",games!$C42)</f>
        <v>Action</v>
      </c>
      <c r="D42">
        <f>IF($A42="","",COUNTIF(connections!$A$2:$A$1188,$A42)+COUNTIF(connections!$B$2:$B$1188,$A42))</f>
        <v>5</v>
      </c>
      <c r="E42">
        <f t="shared" si="0"/>
        <v>1</v>
      </c>
      <c r="F42">
        <f t="shared" si="1"/>
        <v>8</v>
      </c>
      <c r="G42">
        <f t="shared" si="2"/>
        <v>2025</v>
      </c>
      <c r="H42">
        <f t="shared" si="3"/>
        <v>1.1839999999999999</v>
      </c>
      <c r="I42" t="e">
        <f t="shared" si="4"/>
        <v>#N/A</v>
      </c>
      <c r="J42" t="e">
        <f t="shared" si="5"/>
        <v>#N/A</v>
      </c>
      <c r="K42" t="e">
        <f t="shared" si="6"/>
        <v>#N/A</v>
      </c>
      <c r="L42" t="e">
        <f t="shared" si="7"/>
        <v>#N/A</v>
      </c>
      <c r="M42" t="e">
        <f t="shared" si="8"/>
        <v>#N/A</v>
      </c>
      <c r="N42" t="e">
        <f t="shared" si="9"/>
        <v>#N/A</v>
      </c>
      <c r="O42">
        <f t="shared" si="10"/>
        <v>5.0000419999999997</v>
      </c>
      <c r="T42">
        <f>IF(connections!$A42="","",IFERROR(INDEX(games!$B$2:$B$834,MATCH(connections!$A42,games!$A$2:$A$834,0)),""))</f>
        <v>2020</v>
      </c>
      <c r="U42">
        <f>IF(connections!$A42="","",IFERROR(INDEX(games!$B$2:$B$834,MATCH(connections!$B42,games!$A$2:$A$834,0)),""))</f>
        <v>2024</v>
      </c>
      <c r="V42">
        <f t="shared" si="11"/>
        <v>4</v>
      </c>
    </row>
    <row r="43" spans="1:22" x14ac:dyDescent="0.25">
      <c r="A43" t="str">
        <f>IF(games!$A43="","",games!$A43)</f>
        <v>Astronarch</v>
      </c>
      <c r="B43">
        <f>IF($A43="","",games!$B43)</f>
        <v>2020</v>
      </c>
      <c r="C43" t="str">
        <f>IF($A43="","",games!$C43)</f>
        <v>Strategy</v>
      </c>
      <c r="D43">
        <f>IF($A43="","",COUNTIF(connections!$A$2:$A$1188,$A43)+COUNTIF(connections!$B$2:$B$1188,$A43))</f>
        <v>1</v>
      </c>
      <c r="E43">
        <f t="shared" si="0"/>
        <v>2</v>
      </c>
      <c r="F43">
        <f t="shared" si="1"/>
        <v>9</v>
      </c>
      <c r="G43" t="e">
        <f t="shared" si="2"/>
        <v>#N/A</v>
      </c>
      <c r="H43" t="e">
        <f t="shared" si="3"/>
        <v>#N/A</v>
      </c>
      <c r="I43">
        <f t="shared" si="4"/>
        <v>2020</v>
      </c>
      <c r="J43">
        <f t="shared" si="5"/>
        <v>2.2069999999999999</v>
      </c>
      <c r="K43" t="e">
        <f t="shared" si="6"/>
        <v>#N/A</v>
      </c>
      <c r="L43" t="e">
        <f t="shared" si="7"/>
        <v>#N/A</v>
      </c>
      <c r="M43" t="e">
        <f t="shared" si="8"/>
        <v>#N/A</v>
      </c>
      <c r="N43" t="e">
        <f t="shared" si="9"/>
        <v>#N/A</v>
      </c>
      <c r="O43">
        <f t="shared" si="10"/>
        <v>1.000043</v>
      </c>
      <c r="T43">
        <f>IF(connections!$A43="","",IFERROR(INDEX(games!$B$2:$B$834,MATCH(connections!$A43,games!$A$2:$A$834,0)),""))</f>
        <v>2020</v>
      </c>
      <c r="U43">
        <f>IF(connections!$A43="","",IFERROR(INDEX(games!$B$2:$B$834,MATCH(connections!$B43,games!$A$2:$A$834,0)),""))</f>
        <v>2024</v>
      </c>
      <c r="V43">
        <f t="shared" si="11"/>
        <v>4</v>
      </c>
    </row>
    <row r="44" spans="1:22" x14ac:dyDescent="0.25">
      <c r="A44" t="str">
        <f>IF(games!$A44="","",games!$A44)</f>
        <v>Atai no Gensoukyou</v>
      </c>
      <c r="B44">
        <f>IF($A44="","",games!$B44)</f>
        <v>2010</v>
      </c>
      <c r="C44" t="str">
        <f>IF($A44="","",games!$C44)</f>
        <v>Traditional</v>
      </c>
      <c r="D44">
        <f>IF($A44="","",COUNTIF(connections!$A$2:$A$1188,$A44)+COUNTIF(connections!$B$2:$B$1188,$A44))</f>
        <v>1</v>
      </c>
      <c r="E44">
        <f t="shared" si="0"/>
        <v>4</v>
      </c>
      <c r="F44">
        <f t="shared" si="1"/>
        <v>10</v>
      </c>
      <c r="G44" t="e">
        <f t="shared" si="2"/>
        <v>#N/A</v>
      </c>
      <c r="H44" t="e">
        <f t="shared" si="3"/>
        <v>#N/A</v>
      </c>
      <c r="I44" t="e">
        <f t="shared" si="4"/>
        <v>#N/A</v>
      </c>
      <c r="J44" t="e">
        <f t="shared" si="5"/>
        <v>#N/A</v>
      </c>
      <c r="K44" t="e">
        <f t="shared" si="6"/>
        <v>#N/A</v>
      </c>
      <c r="L44" t="e">
        <f t="shared" si="7"/>
        <v>#N/A</v>
      </c>
      <c r="M44">
        <f t="shared" si="8"/>
        <v>2010</v>
      </c>
      <c r="N44">
        <f t="shared" si="9"/>
        <v>4.2300000000000004</v>
      </c>
      <c r="O44">
        <f t="shared" si="10"/>
        <v>1.0000439999999999</v>
      </c>
      <c r="T44">
        <f>IF(connections!$A44="","",IFERROR(INDEX(games!$B$2:$B$834,MATCH(connections!$A44,games!$A$2:$A$834,0)),""))</f>
        <v>2014</v>
      </c>
      <c r="U44">
        <f>IF(connections!$A44="","",IFERROR(INDEX(games!$B$2:$B$834,MATCH(connections!$B44,games!$A$2:$A$834,0)),""))</f>
        <v>2024</v>
      </c>
      <c r="V44">
        <f t="shared" si="11"/>
        <v>10</v>
      </c>
    </row>
    <row r="45" spans="1:22" x14ac:dyDescent="0.25">
      <c r="A45" t="str">
        <f>IF(games!$A45="","",games!$A45)</f>
        <v>Atomic Owl</v>
      </c>
      <c r="B45">
        <f>IF($A45="","",games!$B45)</f>
        <v>2025</v>
      </c>
      <c r="C45" t="str">
        <f>IF($A45="","",games!$C45)</f>
        <v>Action</v>
      </c>
      <c r="D45">
        <f>IF($A45="","",COUNTIF(connections!$A$2:$A$1188,$A45)+COUNTIF(connections!$B$2:$B$1188,$A45))</f>
        <v>1</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1.0000450000000001</v>
      </c>
      <c r="T45">
        <f>IF(connections!$A45="","",IFERROR(INDEX(games!$B$2:$B$834,MATCH(connections!$A45,games!$A$2:$A$834,0)),""))</f>
        <v>1997</v>
      </c>
      <c r="U45">
        <f>IF(connections!$A45="","",IFERROR(INDEX(games!$B$2:$B$834,MATCH(connections!$B45,games!$A$2:$A$834,0)),""))</f>
        <v>2017</v>
      </c>
      <c r="V45">
        <f t="shared" si="11"/>
        <v>20</v>
      </c>
    </row>
    <row r="46" spans="1:22" x14ac:dyDescent="0.25">
      <c r="A46" t="str">
        <f>IF(games!$A46="","",games!$A46)</f>
        <v>Atomicrops</v>
      </c>
      <c r="B46">
        <f>IF($A46="","",games!$B46)</f>
        <v>2020</v>
      </c>
      <c r="C46" t="str">
        <f>IF($A46="","",games!$C46)</f>
        <v>Action</v>
      </c>
      <c r="D46">
        <f>IF($A46="","",COUNTIF(connections!$A$2:$A$1188,$A46)+COUNTIF(connections!$B$2:$B$1188,$A46))</f>
        <v>4</v>
      </c>
      <c r="E46">
        <f t="shared" si="0"/>
        <v>1</v>
      </c>
      <c r="F46">
        <f t="shared" si="1"/>
        <v>12</v>
      </c>
      <c r="G46">
        <f t="shared" si="2"/>
        <v>2020</v>
      </c>
      <c r="H46">
        <f t="shared" si="3"/>
        <v>1.276</v>
      </c>
      <c r="I46" t="e">
        <f t="shared" si="4"/>
        <v>#N/A</v>
      </c>
      <c r="J46" t="e">
        <f t="shared" si="5"/>
        <v>#N/A</v>
      </c>
      <c r="K46" t="e">
        <f t="shared" si="6"/>
        <v>#N/A</v>
      </c>
      <c r="L46" t="e">
        <f t="shared" si="7"/>
        <v>#N/A</v>
      </c>
      <c r="M46" t="e">
        <f t="shared" si="8"/>
        <v>#N/A</v>
      </c>
      <c r="N46" t="e">
        <f t="shared" si="9"/>
        <v>#N/A</v>
      </c>
      <c r="O46">
        <f t="shared" si="10"/>
        <v>4.0000460000000002</v>
      </c>
      <c r="T46">
        <f>IF(connections!$A46="","",IFERROR(INDEX(games!$B$2:$B$834,MATCH(connections!$A46,games!$A$2:$A$834,0)),""))</f>
        <v>1997</v>
      </c>
      <c r="U46">
        <f>IF(connections!$A46="","",IFERROR(INDEX(games!$B$2:$B$834,MATCH(connections!$B46,games!$A$2:$A$834,0)),""))</f>
        <v>2006</v>
      </c>
      <c r="V46">
        <f t="shared" si="11"/>
        <v>9</v>
      </c>
    </row>
    <row r="47" spans="1:22" x14ac:dyDescent="0.25">
      <c r="A47" t="str">
        <f>IF(games!$A47="","",games!$A47)</f>
        <v>Auro: A Monster-Bumping Adventure</v>
      </c>
      <c r="B47">
        <f>IF($A47="","",games!$B47)</f>
        <v>2014</v>
      </c>
      <c r="C47" t="str">
        <f>IF($A47="","",games!$C47)</f>
        <v>Strategy</v>
      </c>
      <c r="D47">
        <f>IF($A47="","",COUNTIF(connections!$A$2:$A$1188,$A47)+COUNTIF(connections!$B$2:$B$1188,$A47))</f>
        <v>2</v>
      </c>
      <c r="E47">
        <f t="shared" si="0"/>
        <v>2</v>
      </c>
      <c r="F47">
        <f t="shared" si="1"/>
        <v>13</v>
      </c>
      <c r="G47" t="e">
        <f t="shared" si="2"/>
        <v>#N/A</v>
      </c>
      <c r="H47" t="e">
        <f t="shared" si="3"/>
        <v>#N/A</v>
      </c>
      <c r="I47">
        <f t="shared" si="4"/>
        <v>2014</v>
      </c>
      <c r="J47">
        <f t="shared" si="5"/>
        <v>2.2989999999999999</v>
      </c>
      <c r="K47" t="e">
        <f t="shared" si="6"/>
        <v>#N/A</v>
      </c>
      <c r="L47" t="e">
        <f t="shared" si="7"/>
        <v>#N/A</v>
      </c>
      <c r="M47" t="e">
        <f t="shared" si="8"/>
        <v>#N/A</v>
      </c>
      <c r="N47" t="e">
        <f t="shared" si="9"/>
        <v>#N/A</v>
      </c>
      <c r="O47">
        <f t="shared" si="10"/>
        <v>2.0000469999999999</v>
      </c>
      <c r="T47">
        <f>IF(connections!$A47="","",IFERROR(INDEX(games!$B$2:$B$834,MATCH(connections!$A47,games!$A$2:$A$834,0)),""))</f>
        <v>2023</v>
      </c>
      <c r="U47">
        <f>IF(connections!$A47="","",IFERROR(INDEX(games!$B$2:$B$834,MATCH(connections!$B47,games!$A$2:$A$834,0)),""))</f>
        <v>2025</v>
      </c>
      <c r="V47">
        <f t="shared" si="11"/>
        <v>2</v>
      </c>
    </row>
    <row r="48" spans="1:22" x14ac:dyDescent="0.25">
      <c r="A48" t="str">
        <f>IF(games!$A48="","",games!$A48)</f>
        <v>Auto Rogue</v>
      </c>
      <c r="B48">
        <f>IF($A48="","",games!$B48)</f>
        <v>2025</v>
      </c>
      <c r="C48" t="str">
        <f>IF($A48="","",games!$C48)</f>
        <v>Strategy</v>
      </c>
      <c r="D48">
        <f>IF($A48="","",COUNTIF(connections!$A$2:$A$1188,$A48)+COUNTIF(connections!$B$2:$B$1188,$A48))</f>
        <v>0</v>
      </c>
      <c r="E48">
        <f t="shared" si="0"/>
        <v>2</v>
      </c>
      <c r="F48">
        <f t="shared" si="1"/>
        <v>14</v>
      </c>
      <c r="G48" t="e">
        <f t="shared" si="2"/>
        <v>#N/A</v>
      </c>
      <c r="H48" t="e">
        <f t="shared" si="3"/>
        <v>#N/A</v>
      </c>
      <c r="I48">
        <f t="shared" si="4"/>
        <v>2025</v>
      </c>
      <c r="J48">
        <f t="shared" si="5"/>
        <v>2.3220000000000001</v>
      </c>
      <c r="K48" t="e">
        <f t="shared" si="6"/>
        <v>#N/A</v>
      </c>
      <c r="L48" t="e">
        <f t="shared" si="7"/>
        <v>#N/A</v>
      </c>
      <c r="M48" t="e">
        <f t="shared" si="8"/>
        <v>#N/A</v>
      </c>
      <c r="N48" t="e">
        <f t="shared" si="9"/>
        <v>#N/A</v>
      </c>
      <c r="O48">
        <f t="shared" si="10"/>
        <v>4.8000000000000001E-5</v>
      </c>
      <c r="T48">
        <f>IF(connections!$A48="","",IFERROR(INDEX(games!$B$2:$B$834,MATCH(connections!$A48,games!$A$2:$A$834,0)),""))</f>
        <v>2023</v>
      </c>
      <c r="U48">
        <f>IF(connections!$A48="","",IFERROR(INDEX(games!$B$2:$B$834,MATCH(connections!$B48,games!$A$2:$A$834,0)),""))</f>
        <v>2025</v>
      </c>
      <c r="V48">
        <f t="shared" si="11"/>
        <v>2</v>
      </c>
    </row>
    <row r="49" spans="1:22" x14ac:dyDescent="0.25">
      <c r="A49" t="str">
        <f>IF(games!$A49="","",games!$A49)</f>
        <v>Azure Dreams</v>
      </c>
      <c r="B49">
        <f>IF($A49="","",games!$B49)</f>
        <v>1997</v>
      </c>
      <c r="C49" t="str">
        <f>IF($A49="","",games!$C49)</f>
        <v>Traditional</v>
      </c>
      <c r="D49">
        <f>IF($A49="","",COUNTIF(connections!$A$2:$A$1188,$A49)+COUNTIF(connections!$B$2:$B$1188,$A49))</f>
        <v>4</v>
      </c>
      <c r="E49">
        <f t="shared" si="0"/>
        <v>4</v>
      </c>
      <c r="F49">
        <f t="shared" si="1"/>
        <v>15</v>
      </c>
      <c r="G49" t="e">
        <f t="shared" si="2"/>
        <v>#N/A</v>
      </c>
      <c r="H49" t="e">
        <f t="shared" si="3"/>
        <v>#N/A</v>
      </c>
      <c r="I49" t="e">
        <f t="shared" si="4"/>
        <v>#N/A</v>
      </c>
      <c r="J49" t="e">
        <f t="shared" si="5"/>
        <v>#N/A</v>
      </c>
      <c r="K49" t="e">
        <f t="shared" si="6"/>
        <v>#N/A</v>
      </c>
      <c r="L49" t="e">
        <f t="shared" si="7"/>
        <v>#N/A</v>
      </c>
      <c r="M49">
        <f t="shared" si="8"/>
        <v>1997</v>
      </c>
      <c r="N49">
        <f t="shared" si="9"/>
        <v>4.3449999999999998</v>
      </c>
      <c r="O49">
        <f t="shared" si="10"/>
        <v>4.0000489999999997</v>
      </c>
      <c r="T49">
        <f>IF(connections!$A49="","",IFERROR(INDEX(games!$B$2:$B$834,MATCH(connections!$A49,games!$A$2:$A$834,0)),""))</f>
        <v>2023</v>
      </c>
      <c r="U49">
        <f>IF(connections!$A49="","",IFERROR(INDEX(games!$B$2:$B$834,MATCH(connections!$B49,games!$A$2:$A$834,0)),""))</f>
        <v>2025</v>
      </c>
      <c r="V49">
        <f t="shared" si="11"/>
        <v>2</v>
      </c>
    </row>
    <row r="50" spans="1:22" x14ac:dyDescent="0.25">
      <c r="A50" t="str">
        <f>IF(games!$A50="","",games!$A50)</f>
        <v>Backpack Battles</v>
      </c>
      <c r="B50">
        <f>IF($A50="","",games!$B50)</f>
        <v>2023</v>
      </c>
      <c r="C50" t="str">
        <f>IF($A50="","",games!$C50)</f>
        <v>Strategy</v>
      </c>
      <c r="D50">
        <f>IF($A50="","",COUNTIF(connections!$A$2:$A$1188,$A50)+COUNTIF(connections!$B$2:$B$1188,$A50))</f>
        <v>9</v>
      </c>
      <c r="E50">
        <f t="shared" si="0"/>
        <v>2</v>
      </c>
      <c r="F50">
        <f t="shared" si="1"/>
        <v>16</v>
      </c>
      <c r="G50" t="e">
        <f t="shared" si="2"/>
        <v>#N/A</v>
      </c>
      <c r="H50" t="e">
        <f t="shared" si="3"/>
        <v>#N/A</v>
      </c>
      <c r="I50">
        <f t="shared" si="4"/>
        <v>2023</v>
      </c>
      <c r="J50">
        <f t="shared" si="5"/>
        <v>2.3679999999999999</v>
      </c>
      <c r="K50" t="e">
        <f t="shared" si="6"/>
        <v>#N/A</v>
      </c>
      <c r="L50" t="e">
        <f t="shared" si="7"/>
        <v>#N/A</v>
      </c>
      <c r="M50" t="e">
        <f t="shared" si="8"/>
        <v>#N/A</v>
      </c>
      <c r="N50" t="e">
        <f t="shared" si="9"/>
        <v>#N/A</v>
      </c>
      <c r="O50">
        <f t="shared" si="10"/>
        <v>9.0000499999999999</v>
      </c>
      <c r="T50">
        <f>IF(connections!$A50="","",IFERROR(INDEX(games!$B$2:$B$834,MATCH(connections!$A50,games!$A$2:$A$834,0)),""))</f>
        <v>2023</v>
      </c>
      <c r="U50">
        <f>IF(connections!$A50="","",IFERROR(INDEX(games!$B$2:$B$834,MATCH(connections!$B50,games!$A$2:$A$834,0)),""))</f>
        <v>2026</v>
      </c>
      <c r="V50">
        <f t="shared" si="11"/>
        <v>3</v>
      </c>
    </row>
    <row r="51" spans="1:22" x14ac:dyDescent="0.25">
      <c r="A51" t="str">
        <f>IF(games!$A51="","",games!$A51)</f>
        <v>Backpack Hero</v>
      </c>
      <c r="B51">
        <f>IF($A51="","",games!$B51)</f>
        <v>2022</v>
      </c>
      <c r="C51" t="str">
        <f>IF($A51="","",games!$C51)</f>
        <v>Deckbuilder</v>
      </c>
      <c r="D51">
        <f>IF($A51="","",COUNTIF(connections!$A$2:$A$1188,$A51)+COUNTIF(connections!$B$2:$B$1188,$A51))</f>
        <v>10</v>
      </c>
      <c r="E51">
        <f t="shared" si="0"/>
        <v>3</v>
      </c>
      <c r="F51">
        <f t="shared" si="1"/>
        <v>17</v>
      </c>
      <c r="G51" t="e">
        <f t="shared" si="2"/>
        <v>#N/A</v>
      </c>
      <c r="H51" t="e">
        <f t="shared" si="3"/>
        <v>#N/A</v>
      </c>
      <c r="I51" t="e">
        <f t="shared" si="4"/>
        <v>#N/A</v>
      </c>
      <c r="J51" t="e">
        <f t="shared" si="5"/>
        <v>#N/A</v>
      </c>
      <c r="K51">
        <f t="shared" si="6"/>
        <v>2022</v>
      </c>
      <c r="L51">
        <f t="shared" si="7"/>
        <v>3.391</v>
      </c>
      <c r="M51" t="e">
        <f t="shared" si="8"/>
        <v>#N/A</v>
      </c>
      <c r="N51" t="e">
        <f t="shared" si="9"/>
        <v>#N/A</v>
      </c>
      <c r="O51">
        <f t="shared" si="10"/>
        <v>10.000050999999999</v>
      </c>
      <c r="T51">
        <f>IF(connections!$A51="","",IFERROR(INDEX(games!$B$2:$B$834,MATCH(connections!$A51,games!$A$2:$A$834,0)),""))</f>
        <v>2023</v>
      </c>
      <c r="U51">
        <f>IF(connections!$A51="","",IFERROR(INDEX(games!$B$2:$B$834,MATCH(connections!$B51,games!$A$2:$A$834,0)),""))</f>
        <v>2025</v>
      </c>
      <c r="V51">
        <f t="shared" si="11"/>
        <v>2</v>
      </c>
    </row>
    <row r="52" spans="1:22" x14ac:dyDescent="0.25">
      <c r="A52" t="str">
        <f>IF(games!$A52="","",games!$A52)</f>
        <v>Bad North</v>
      </c>
      <c r="B52">
        <f>IF($A52="","",games!$B52)</f>
        <v>2018</v>
      </c>
      <c r="C52" t="str">
        <f>IF($A52="","",games!$C52)</f>
        <v>Strategy</v>
      </c>
      <c r="D52">
        <f>IF($A52="","",COUNTIF(connections!$A$2:$A$1188,$A52)+COUNTIF(connections!$B$2:$B$1188,$A52))</f>
        <v>1</v>
      </c>
      <c r="E52">
        <f t="shared" si="0"/>
        <v>2</v>
      </c>
      <c r="F52">
        <f t="shared" si="1"/>
        <v>18</v>
      </c>
      <c r="G52" t="e">
        <f t="shared" si="2"/>
        <v>#N/A</v>
      </c>
      <c r="H52" t="e">
        <f t="shared" si="3"/>
        <v>#N/A</v>
      </c>
      <c r="I52">
        <f t="shared" si="4"/>
        <v>2018</v>
      </c>
      <c r="J52">
        <f t="shared" si="5"/>
        <v>2.4140000000000001</v>
      </c>
      <c r="K52" t="e">
        <f t="shared" si="6"/>
        <v>#N/A</v>
      </c>
      <c r="L52" t="e">
        <f t="shared" si="7"/>
        <v>#N/A</v>
      </c>
      <c r="M52" t="e">
        <f t="shared" si="8"/>
        <v>#N/A</v>
      </c>
      <c r="N52" t="e">
        <f t="shared" si="9"/>
        <v>#N/A</v>
      </c>
      <c r="O52">
        <f t="shared" si="10"/>
        <v>1.0000519999999999</v>
      </c>
      <c r="T52">
        <f>IF(connections!$A52="","",IFERROR(INDEX(games!$B$2:$B$834,MATCH(connections!$A52,games!$A$2:$A$834,0)),""))</f>
        <v>2023</v>
      </c>
      <c r="U52">
        <f>IF(connections!$A52="","",IFERROR(INDEX(games!$B$2:$B$834,MATCH(connections!$B52,games!$A$2:$A$834,0)),""))</f>
        <v>2026</v>
      </c>
      <c r="V52">
        <f t="shared" si="11"/>
        <v>3</v>
      </c>
    </row>
    <row r="53" spans="1:22" x14ac:dyDescent="0.25">
      <c r="A53" t="str">
        <f>IF(games!$A53="","",games!$A53)</f>
        <v>Balatro</v>
      </c>
      <c r="B53">
        <f>IF($A53="","",games!$B53)</f>
        <v>2023</v>
      </c>
      <c r="C53" t="str">
        <f>IF($A53="","",games!$C53)</f>
        <v>Deckbuilder</v>
      </c>
      <c r="D53">
        <f>IF($A53="","",COUNTIF(connections!$A$2:$A$1188,$A53)+COUNTIF(connections!$B$2:$B$1188,$A53))</f>
        <v>46</v>
      </c>
      <c r="E53">
        <f t="shared" si="0"/>
        <v>3</v>
      </c>
      <c r="F53">
        <f t="shared" si="1"/>
        <v>19</v>
      </c>
      <c r="G53" t="e">
        <f t="shared" si="2"/>
        <v>#N/A</v>
      </c>
      <c r="H53" t="e">
        <f t="shared" si="3"/>
        <v>#N/A</v>
      </c>
      <c r="I53" t="e">
        <f t="shared" si="4"/>
        <v>#N/A</v>
      </c>
      <c r="J53" t="e">
        <f t="shared" si="5"/>
        <v>#N/A</v>
      </c>
      <c r="K53">
        <f t="shared" si="6"/>
        <v>2023</v>
      </c>
      <c r="L53">
        <f t="shared" si="7"/>
        <v>3.4369999999999998</v>
      </c>
      <c r="M53" t="e">
        <f t="shared" si="8"/>
        <v>#N/A</v>
      </c>
      <c r="N53" t="e">
        <f t="shared" si="9"/>
        <v>#N/A</v>
      </c>
      <c r="O53">
        <f t="shared" si="10"/>
        <v>46.000053000000001</v>
      </c>
      <c r="T53">
        <f>IF(connections!$A53="","",IFERROR(INDEX(games!$B$2:$B$834,MATCH(connections!$A53,games!$A$2:$A$834,0)),""))</f>
        <v>2022</v>
      </c>
      <c r="U53">
        <f>IF(connections!$A53="","",IFERROR(INDEX(games!$B$2:$B$834,MATCH(connections!$B53,games!$A$2:$A$834,0)),""))</f>
        <v>2023</v>
      </c>
      <c r="V53">
        <f t="shared" si="11"/>
        <v>1</v>
      </c>
    </row>
    <row r="54" spans="1:22" x14ac:dyDescent="0.25">
      <c r="A54" t="str">
        <f>IF(games!$A54="","",games!$A54)</f>
        <v>Baldi's Basics Plus</v>
      </c>
      <c r="B54">
        <f>IF($A54="","",games!$B54)</f>
        <v>2020</v>
      </c>
      <c r="C54" t="str">
        <f>IF($A54="","",games!$C54)</f>
        <v>Strategy</v>
      </c>
      <c r="D54">
        <f>IF($A54="","",COUNTIF(connections!$A$2:$A$1188,$A54)+COUNTIF(connections!$B$2:$B$1188,$A54))</f>
        <v>1</v>
      </c>
      <c r="E54">
        <f t="shared" si="0"/>
        <v>2</v>
      </c>
      <c r="F54">
        <f t="shared" si="1"/>
        <v>20</v>
      </c>
      <c r="G54" t="e">
        <f t="shared" si="2"/>
        <v>#N/A</v>
      </c>
      <c r="H54" t="e">
        <f t="shared" si="3"/>
        <v>#N/A</v>
      </c>
      <c r="I54">
        <f t="shared" si="4"/>
        <v>2020</v>
      </c>
      <c r="J54">
        <f t="shared" si="5"/>
        <v>2.46</v>
      </c>
      <c r="K54" t="e">
        <f t="shared" si="6"/>
        <v>#N/A</v>
      </c>
      <c r="L54" t="e">
        <f t="shared" si="7"/>
        <v>#N/A</v>
      </c>
      <c r="M54" t="e">
        <f t="shared" si="8"/>
        <v>#N/A</v>
      </c>
      <c r="N54" t="e">
        <f t="shared" si="9"/>
        <v>#N/A</v>
      </c>
      <c r="O54">
        <f t="shared" si="10"/>
        <v>1.000054</v>
      </c>
      <c r="T54">
        <f>IF(connections!$A54="","",IFERROR(INDEX(games!$B$2:$B$834,MATCH(connections!$A54,games!$A$2:$A$834,0)),""))</f>
        <v>2022</v>
      </c>
      <c r="U54">
        <f>IF(connections!$A54="","",IFERROR(INDEX(games!$B$2:$B$834,MATCH(connections!$B54,games!$A$2:$A$834,0)),""))</f>
        <v>2024</v>
      </c>
      <c r="V54">
        <f t="shared" si="11"/>
        <v>2</v>
      </c>
    </row>
    <row r="55" spans="1:22" x14ac:dyDescent="0.25">
      <c r="A55" t="str">
        <f>IF(games!$A55="","",games!$A55)</f>
        <v>Ball x Pit</v>
      </c>
      <c r="B55">
        <f>IF($A55="","",games!$B55)</f>
        <v>2025</v>
      </c>
      <c r="C55" t="str">
        <f>IF($A55="","",games!$C55)</f>
        <v>Action</v>
      </c>
      <c r="D55">
        <f>IF($A55="","",COUNTIF(connections!$A$2:$A$1188,$A55)+COUNTIF(connections!$B$2:$B$1188,$A55))</f>
        <v>1</v>
      </c>
      <c r="E55">
        <f t="shared" si="0"/>
        <v>1</v>
      </c>
      <c r="F55">
        <f t="shared" si="1"/>
        <v>21</v>
      </c>
      <c r="G55">
        <f t="shared" si="2"/>
        <v>2025</v>
      </c>
      <c r="H55">
        <f t="shared" si="3"/>
        <v>1.4830000000000001</v>
      </c>
      <c r="I55" t="e">
        <f t="shared" si="4"/>
        <v>#N/A</v>
      </c>
      <c r="J55" t="e">
        <f t="shared" si="5"/>
        <v>#N/A</v>
      </c>
      <c r="K55" t="e">
        <f t="shared" si="6"/>
        <v>#N/A</v>
      </c>
      <c r="L55" t="e">
        <f t="shared" si="7"/>
        <v>#N/A</v>
      </c>
      <c r="M55" t="e">
        <f t="shared" si="8"/>
        <v>#N/A</v>
      </c>
      <c r="N55" t="e">
        <f t="shared" si="9"/>
        <v>#N/A</v>
      </c>
      <c r="O55">
        <f t="shared" si="10"/>
        <v>1.0000549999999999</v>
      </c>
      <c r="T55">
        <f>IF(connections!$A55="","",IFERROR(INDEX(games!$B$2:$B$834,MATCH(connections!$A55,games!$A$2:$A$834,0)),""))</f>
        <v>2022</v>
      </c>
      <c r="U55">
        <f>IF(connections!$A55="","",IFERROR(INDEX(games!$B$2:$B$834,MATCH(connections!$B55,games!$A$2:$A$834,0)),""))</f>
        <v>2024</v>
      </c>
      <c r="V55">
        <f t="shared" si="11"/>
        <v>2</v>
      </c>
    </row>
    <row r="56" spans="1:22" x14ac:dyDescent="0.25">
      <c r="A56" t="str">
        <f>IF(games!$A56="","",games!$A56)</f>
        <v>Ballionaire</v>
      </c>
      <c r="B56">
        <f>IF($A56="","",games!$B56)</f>
        <v>2024</v>
      </c>
      <c r="C56" t="str">
        <f>IF($A56="","",games!$C56)</f>
        <v>Deckbuilder</v>
      </c>
      <c r="D56">
        <f>IF($A56="","",COUNTIF(connections!$A$2:$A$1188,$A56)+COUNTIF(connections!$B$2:$B$1188,$A56))</f>
        <v>3</v>
      </c>
      <c r="E56">
        <f t="shared" si="0"/>
        <v>3</v>
      </c>
      <c r="F56">
        <f t="shared" si="1"/>
        <v>22</v>
      </c>
      <c r="G56" t="e">
        <f t="shared" si="2"/>
        <v>#N/A</v>
      </c>
      <c r="H56" t="e">
        <f t="shared" si="3"/>
        <v>#N/A</v>
      </c>
      <c r="I56" t="e">
        <f t="shared" si="4"/>
        <v>#N/A</v>
      </c>
      <c r="J56" t="e">
        <f t="shared" si="5"/>
        <v>#N/A</v>
      </c>
      <c r="K56">
        <f t="shared" si="6"/>
        <v>2024</v>
      </c>
      <c r="L56">
        <f t="shared" si="7"/>
        <v>3.5060000000000002</v>
      </c>
      <c r="M56" t="e">
        <f t="shared" si="8"/>
        <v>#N/A</v>
      </c>
      <c r="N56" t="e">
        <f t="shared" si="9"/>
        <v>#N/A</v>
      </c>
      <c r="O56">
        <f t="shared" si="10"/>
        <v>3.0000559999999998</v>
      </c>
      <c r="T56">
        <f>IF(connections!$A56="","",IFERROR(INDEX(games!$B$2:$B$834,MATCH(connections!$A56,games!$A$2:$A$834,0)),""))</f>
        <v>2022</v>
      </c>
      <c r="U56">
        <f>IF(connections!$A56="","",IFERROR(INDEX(games!$B$2:$B$834,MATCH(connections!$B56,games!$A$2:$A$834,0)),""))</f>
        <v>2024</v>
      </c>
      <c r="V56">
        <f t="shared" si="11"/>
        <v>2</v>
      </c>
    </row>
    <row r="57" spans="1:22" x14ac:dyDescent="0.25">
      <c r="A57" t="str">
        <f>IF(games!$A57="","",games!$A57)</f>
        <v>Banners of Ruin</v>
      </c>
      <c r="B57">
        <f>IF($A57="","",games!$B57)</f>
        <v>2020</v>
      </c>
      <c r="C57" t="str">
        <f>IF($A57="","",games!$C57)</f>
        <v>Deckbuilder</v>
      </c>
      <c r="D57">
        <f>IF($A57="","",COUNTIF(connections!$A$2:$A$1188,$A57)+COUNTIF(connections!$B$2:$B$1188,$A57))</f>
        <v>1</v>
      </c>
      <c r="E57">
        <f t="shared" si="0"/>
        <v>3</v>
      </c>
      <c r="F57">
        <f t="shared" si="1"/>
        <v>23</v>
      </c>
      <c r="G57" t="e">
        <f t="shared" si="2"/>
        <v>#N/A</v>
      </c>
      <c r="H57" t="e">
        <f t="shared" si="3"/>
        <v>#N/A</v>
      </c>
      <c r="I57" t="e">
        <f t="shared" si="4"/>
        <v>#N/A</v>
      </c>
      <c r="J57" t="e">
        <f t="shared" si="5"/>
        <v>#N/A</v>
      </c>
      <c r="K57">
        <f t="shared" si="6"/>
        <v>2020</v>
      </c>
      <c r="L57">
        <f t="shared" si="7"/>
        <v>3.5289999999999999</v>
      </c>
      <c r="M57" t="e">
        <f t="shared" si="8"/>
        <v>#N/A</v>
      </c>
      <c r="N57" t="e">
        <f t="shared" si="9"/>
        <v>#N/A</v>
      </c>
      <c r="O57">
        <f t="shared" si="10"/>
        <v>1.000057</v>
      </c>
      <c r="T57">
        <f>IF(connections!$A57="","",IFERROR(INDEX(games!$B$2:$B$834,MATCH(connections!$A57,games!$A$2:$A$834,0)),""))</f>
        <v>2018</v>
      </c>
      <c r="U57">
        <f>IF(connections!$A57="","",IFERROR(INDEX(games!$B$2:$B$834,MATCH(connections!$B57,games!$A$2:$A$834,0)),""))</f>
        <v>2026</v>
      </c>
      <c r="V57">
        <f t="shared" si="11"/>
        <v>8</v>
      </c>
    </row>
    <row r="58" spans="1:22" x14ac:dyDescent="0.25">
      <c r="A58" t="str">
        <f>IF(games!$A58="","",games!$A58)</f>
        <v>Barda</v>
      </c>
      <c r="B58">
        <f>IF($A58="","",games!$B58)</f>
        <v>2026</v>
      </c>
      <c r="C58" t="str">
        <f>IF($A58="","",games!$C58)</f>
        <v>Strategy</v>
      </c>
      <c r="D58">
        <f>IF($A58="","",COUNTIF(connections!$A$2:$A$1188,$A58)+COUNTIF(connections!$B$2:$B$1188,$A58))</f>
        <v>2</v>
      </c>
      <c r="E58">
        <f t="shared" si="0"/>
        <v>2</v>
      </c>
      <c r="F58">
        <f t="shared" si="1"/>
        <v>24</v>
      </c>
      <c r="G58" t="e">
        <f t="shared" si="2"/>
        <v>#N/A</v>
      </c>
      <c r="H58" t="e">
        <f t="shared" si="3"/>
        <v>#N/A</v>
      </c>
      <c r="I58">
        <f t="shared" si="4"/>
        <v>2026</v>
      </c>
      <c r="J58">
        <f t="shared" si="5"/>
        <v>2.552</v>
      </c>
      <c r="K58" t="e">
        <f t="shared" si="6"/>
        <v>#N/A</v>
      </c>
      <c r="L58" t="e">
        <f t="shared" si="7"/>
        <v>#N/A</v>
      </c>
      <c r="M58" t="e">
        <f t="shared" si="8"/>
        <v>#N/A</v>
      </c>
      <c r="N58" t="e">
        <f t="shared" si="9"/>
        <v>#N/A</v>
      </c>
      <c r="O58">
        <f t="shared" si="10"/>
        <v>2.0000580000000001</v>
      </c>
      <c r="T58">
        <f>IF(connections!$A58="","",IFERROR(INDEX(games!$B$2:$B$834,MATCH(connections!$A58,games!$A$2:$A$834,0)),""))</f>
        <v>2023</v>
      </c>
      <c r="U58">
        <f>IF(connections!$A58="","",IFERROR(INDEX(games!$B$2:$B$834,MATCH(connections!$B58,games!$A$2:$A$834,0)),""))</f>
        <v>2024</v>
      </c>
      <c r="V58">
        <f t="shared" si="11"/>
        <v>1</v>
      </c>
    </row>
    <row r="59" spans="1:22" x14ac:dyDescent="0.25">
      <c r="A59" t="str">
        <f>IF(games!$A59="","",games!$A59)</f>
        <v>Barony</v>
      </c>
      <c r="B59">
        <f>IF($A59="","",games!$B59)</f>
        <v>2015</v>
      </c>
      <c r="C59" t="str">
        <f>IF($A59="","",games!$C59)</f>
        <v>Action</v>
      </c>
      <c r="D59">
        <f>IF($A59="","",COUNTIF(connections!$A$2:$A$1188,$A59)+COUNTIF(connections!$B$2:$B$1188,$A59))</f>
        <v>2</v>
      </c>
      <c r="E59">
        <f t="shared" si="0"/>
        <v>1</v>
      </c>
      <c r="F59">
        <f t="shared" si="1"/>
        <v>25</v>
      </c>
      <c r="G59">
        <f t="shared" si="2"/>
        <v>2015</v>
      </c>
      <c r="H59">
        <f t="shared" si="3"/>
        <v>1.575</v>
      </c>
      <c r="I59" t="e">
        <f t="shared" si="4"/>
        <v>#N/A</v>
      </c>
      <c r="J59" t="e">
        <f t="shared" si="5"/>
        <v>#N/A</v>
      </c>
      <c r="K59" t="e">
        <f t="shared" si="6"/>
        <v>#N/A</v>
      </c>
      <c r="L59" t="e">
        <f t="shared" si="7"/>
        <v>#N/A</v>
      </c>
      <c r="M59" t="e">
        <f t="shared" si="8"/>
        <v>#N/A</v>
      </c>
      <c r="N59" t="e">
        <f t="shared" si="9"/>
        <v>#N/A</v>
      </c>
      <c r="O59">
        <f t="shared" si="10"/>
        <v>2.0000589999999998</v>
      </c>
      <c r="T59">
        <f>IF(connections!$A59="","",IFERROR(INDEX(games!$B$2:$B$834,MATCH(connections!$A59,games!$A$2:$A$834,0)),""))</f>
        <v>2023</v>
      </c>
      <c r="U59">
        <f>IF(connections!$A59="","",IFERROR(INDEX(games!$B$2:$B$834,MATCH(connections!$B59,games!$A$2:$A$834,0)),""))</f>
        <v>2025</v>
      </c>
      <c r="V59">
        <f t="shared" si="11"/>
        <v>2</v>
      </c>
    </row>
    <row r="60" spans="1:22" x14ac:dyDescent="0.25">
      <c r="A60" t="str">
        <f>IF(games!$A60="","",games!$A60)</f>
        <v>Baroque</v>
      </c>
      <c r="B60">
        <f>IF($A60="","",games!$B60)</f>
        <v>1998</v>
      </c>
      <c r="C60" t="str">
        <f>IF($A60="","",games!$C60)</f>
        <v>Action</v>
      </c>
      <c r="D60">
        <f>IF($A60="","",COUNTIF(connections!$A$2:$A$1188,$A60)+COUNTIF(connections!$B$2:$B$1188,$A60))</f>
        <v>2</v>
      </c>
      <c r="E60">
        <f t="shared" si="0"/>
        <v>1</v>
      </c>
      <c r="F60">
        <f t="shared" si="1"/>
        <v>26</v>
      </c>
      <c r="G60">
        <f t="shared" si="2"/>
        <v>1998</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T60">
        <f>IF(connections!$A60="","",IFERROR(INDEX(games!$B$2:$B$834,MATCH(connections!$A60,games!$A$2:$A$834,0)),""))</f>
        <v>2023</v>
      </c>
      <c r="U60">
        <f>IF(connections!$A60="","",IFERROR(INDEX(games!$B$2:$B$834,MATCH(connections!$B60,games!$A$2:$A$834,0)),""))</f>
        <v>2026</v>
      </c>
      <c r="V60">
        <f t="shared" si="11"/>
        <v>3</v>
      </c>
    </row>
    <row r="61" spans="1:22" x14ac:dyDescent="0.25">
      <c r="A61" t="str">
        <f>IF(games!$A61="","",games!$A61)</f>
        <v>Baroque (2007)</v>
      </c>
      <c r="B61">
        <f>IF($A61="","",games!$B61)</f>
        <v>2007</v>
      </c>
      <c r="C61" t="str">
        <f>IF($A61="","",games!$C61)</f>
        <v>Action</v>
      </c>
      <c r="D61">
        <f>IF($A61="","",COUNTIF(connections!$A$2:$A$1188,$A61)+COUNTIF(connections!$B$2:$B$1188,$A61))</f>
        <v>1</v>
      </c>
      <c r="E61">
        <f t="shared" si="0"/>
        <v>1</v>
      </c>
      <c r="F61">
        <f t="shared" si="1"/>
        <v>27</v>
      </c>
      <c r="G61">
        <f t="shared" si="2"/>
        <v>2007</v>
      </c>
      <c r="H61">
        <f t="shared" si="3"/>
        <v>1.621</v>
      </c>
      <c r="I61" t="e">
        <f t="shared" si="4"/>
        <v>#N/A</v>
      </c>
      <c r="J61" t="e">
        <f t="shared" si="5"/>
        <v>#N/A</v>
      </c>
      <c r="K61" t="e">
        <f t="shared" si="6"/>
        <v>#N/A</v>
      </c>
      <c r="L61" t="e">
        <f t="shared" si="7"/>
        <v>#N/A</v>
      </c>
      <c r="M61" t="e">
        <f t="shared" si="8"/>
        <v>#N/A</v>
      </c>
      <c r="N61" t="e">
        <f t="shared" si="9"/>
        <v>#N/A</v>
      </c>
      <c r="O61">
        <f t="shared" si="10"/>
        <v>1.0000610000000001</v>
      </c>
      <c r="T61">
        <f>IF(connections!$A61="","",IFERROR(INDEX(games!$B$2:$B$834,MATCH(connections!$A61,games!$A$2:$A$834,0)),""))</f>
        <v>2023</v>
      </c>
      <c r="U61">
        <f>IF(connections!$A61="","",IFERROR(INDEX(games!$B$2:$B$834,MATCH(connections!$B61,games!$A$2:$A$834,0)),""))</f>
        <v>2024</v>
      </c>
      <c r="V61">
        <f t="shared" si="11"/>
        <v>1</v>
      </c>
    </row>
    <row r="62" spans="1:22" x14ac:dyDescent="0.25">
      <c r="A62" t="str">
        <f>IF(games!$A62="","",games!$A62)</f>
        <v>Battle Brothers</v>
      </c>
      <c r="B62">
        <f>IF($A62="","",games!$B62)</f>
        <v>2017</v>
      </c>
      <c r="C62" t="str">
        <f>IF($A62="","",games!$C62)</f>
        <v>Strategy</v>
      </c>
      <c r="D62">
        <f>IF($A62="","",COUNTIF(connections!$A$2:$A$1188,$A62)+COUNTIF(connections!$B$2:$B$1188,$A62))</f>
        <v>2</v>
      </c>
      <c r="E62">
        <f t="shared" si="0"/>
        <v>2</v>
      </c>
      <c r="F62">
        <f t="shared" si="1"/>
        <v>28</v>
      </c>
      <c r="G62" t="e">
        <f t="shared" si="2"/>
        <v>#N/A</v>
      </c>
      <c r="H62" t="e">
        <f t="shared" si="3"/>
        <v>#N/A</v>
      </c>
      <c r="I62">
        <f t="shared" si="4"/>
        <v>2017</v>
      </c>
      <c r="J62">
        <f t="shared" si="5"/>
        <v>2.6440000000000001</v>
      </c>
      <c r="K62" t="e">
        <f t="shared" si="6"/>
        <v>#N/A</v>
      </c>
      <c r="L62" t="e">
        <f t="shared" si="7"/>
        <v>#N/A</v>
      </c>
      <c r="M62" t="e">
        <f t="shared" si="8"/>
        <v>#N/A</v>
      </c>
      <c r="N62" t="e">
        <f t="shared" si="9"/>
        <v>#N/A</v>
      </c>
      <c r="O62">
        <f t="shared" si="10"/>
        <v>2.0000619999999998</v>
      </c>
      <c r="T62">
        <f>IF(connections!$A62="","",IFERROR(INDEX(games!$B$2:$B$834,MATCH(connections!$A62,games!$A$2:$A$834,0)),""))</f>
        <v>2023</v>
      </c>
      <c r="U62">
        <f>IF(connections!$A62="","",IFERROR(INDEX(games!$B$2:$B$834,MATCH(connections!$B62,games!$A$2:$A$834,0)),""))</f>
        <v>2026</v>
      </c>
      <c r="V62">
        <f t="shared" si="11"/>
        <v>3</v>
      </c>
    </row>
    <row r="63" spans="1:22" x14ac:dyDescent="0.25">
      <c r="A63" t="str">
        <f>IF(games!$A63="","",games!$A63)</f>
        <v>Battle Shapers</v>
      </c>
      <c r="B63">
        <f>IF($A63="","",games!$B63)</f>
        <v>2023</v>
      </c>
      <c r="C63" t="str">
        <f>IF($A63="","",games!$C63)</f>
        <v>Action</v>
      </c>
      <c r="D63">
        <f>IF($A63="","",COUNTIF(connections!$A$2:$A$1188,$A63)+COUNTIF(connections!$B$2:$B$1188,$A63))</f>
        <v>2</v>
      </c>
      <c r="E63">
        <f t="shared" si="0"/>
        <v>1</v>
      </c>
      <c r="F63">
        <f t="shared" si="1"/>
        <v>29</v>
      </c>
      <c r="G63">
        <f t="shared" si="2"/>
        <v>2023</v>
      </c>
      <c r="H63">
        <f t="shared" si="3"/>
        <v>1.667</v>
      </c>
      <c r="I63" t="e">
        <f t="shared" si="4"/>
        <v>#N/A</v>
      </c>
      <c r="J63" t="e">
        <f t="shared" si="5"/>
        <v>#N/A</v>
      </c>
      <c r="K63" t="e">
        <f t="shared" si="6"/>
        <v>#N/A</v>
      </c>
      <c r="L63" t="e">
        <f t="shared" si="7"/>
        <v>#N/A</v>
      </c>
      <c r="M63" t="e">
        <f t="shared" si="8"/>
        <v>#N/A</v>
      </c>
      <c r="N63" t="e">
        <f t="shared" si="9"/>
        <v>#N/A</v>
      </c>
      <c r="O63">
        <f t="shared" si="10"/>
        <v>2.0000629999999999</v>
      </c>
      <c r="T63">
        <f>IF(connections!$A63="","",IFERROR(INDEX(games!$B$2:$B$834,MATCH(connections!$A63,games!$A$2:$A$834,0)),""))</f>
        <v>2023</v>
      </c>
      <c r="U63">
        <f>IF(connections!$A63="","",IFERROR(INDEX(games!$B$2:$B$834,MATCH(connections!$B63,games!$A$2:$A$834,0)),""))</f>
        <v>2025</v>
      </c>
      <c r="V63">
        <f t="shared" si="11"/>
        <v>2</v>
      </c>
    </row>
    <row r="64" spans="1:22" x14ac:dyDescent="0.25">
      <c r="A64" t="str">
        <f>IF(games!$A64="","",games!$A64)</f>
        <v>BAZR</v>
      </c>
      <c r="B64">
        <f>IF($A64="","",games!$B64)</f>
        <v>2025</v>
      </c>
      <c r="C64" t="str">
        <f>IF($A64="","",games!$C64)</f>
        <v>Deckbuilder</v>
      </c>
      <c r="D64">
        <f>IF($A64="","",COUNTIF(connections!$A$2:$A$1188,$A64)+COUNTIF(connections!$B$2:$B$1188,$A64))</f>
        <v>1</v>
      </c>
      <c r="E64">
        <f t="shared" si="0"/>
        <v>3</v>
      </c>
      <c r="F64">
        <f t="shared" si="1"/>
        <v>30</v>
      </c>
      <c r="G64" t="e">
        <f t="shared" si="2"/>
        <v>#N/A</v>
      </c>
      <c r="H64" t="e">
        <f t="shared" si="3"/>
        <v>#N/A</v>
      </c>
      <c r="I64" t="e">
        <f t="shared" si="4"/>
        <v>#N/A</v>
      </c>
      <c r="J64" t="e">
        <f t="shared" si="5"/>
        <v>#N/A</v>
      </c>
      <c r="K64">
        <f t="shared" si="6"/>
        <v>2025</v>
      </c>
      <c r="L64">
        <f t="shared" si="7"/>
        <v>3.69</v>
      </c>
      <c r="M64" t="e">
        <f t="shared" si="8"/>
        <v>#N/A</v>
      </c>
      <c r="N64" t="e">
        <f t="shared" si="9"/>
        <v>#N/A</v>
      </c>
      <c r="O64">
        <f t="shared" si="10"/>
        <v>1.0000640000000001</v>
      </c>
      <c r="T64">
        <f>IF(connections!$A64="","",IFERROR(INDEX(games!$B$2:$B$834,MATCH(connections!$A64,games!$A$2:$A$834,0)),""))</f>
        <v>2023</v>
      </c>
      <c r="U64">
        <f>IF(connections!$A64="","",IFERROR(INDEX(games!$B$2:$B$834,MATCH(connections!$B64,games!$A$2:$A$834,0)),""))</f>
        <v>2025</v>
      </c>
      <c r="V64">
        <f t="shared" si="11"/>
        <v>2</v>
      </c>
    </row>
    <row r="65" spans="1:22" x14ac:dyDescent="0.25">
      <c r="A65" t="str">
        <f>IF(games!$A65="","",games!$A65)</f>
        <v>Be My Horde</v>
      </c>
      <c r="B65">
        <f>IF($A65="","",games!$B65)</f>
        <v>2024</v>
      </c>
      <c r="C65" t="str">
        <f>IF($A65="","",games!$C65)</f>
        <v>Action</v>
      </c>
      <c r="D65">
        <f>IF($A65="","",COUNTIF(connections!$A$2:$A$1188,$A65)+COUNTIF(connections!$B$2:$B$1188,$A65))</f>
        <v>6</v>
      </c>
      <c r="E65">
        <f t="shared" si="0"/>
        <v>1</v>
      </c>
      <c r="F65">
        <f t="shared" si="1"/>
        <v>31</v>
      </c>
      <c r="G65">
        <f t="shared" si="2"/>
        <v>2024</v>
      </c>
      <c r="H65">
        <f t="shared" si="3"/>
        <v>1.7130000000000001</v>
      </c>
      <c r="I65" t="e">
        <f t="shared" si="4"/>
        <v>#N/A</v>
      </c>
      <c r="J65" t="e">
        <f t="shared" si="5"/>
        <v>#N/A</v>
      </c>
      <c r="K65" t="e">
        <f t="shared" si="6"/>
        <v>#N/A</v>
      </c>
      <c r="L65" t="e">
        <f t="shared" si="7"/>
        <v>#N/A</v>
      </c>
      <c r="M65" t="e">
        <f t="shared" si="8"/>
        <v>#N/A</v>
      </c>
      <c r="N65" t="e">
        <f t="shared" si="9"/>
        <v>#N/A</v>
      </c>
      <c r="O65">
        <f t="shared" si="10"/>
        <v>6.0000650000000002</v>
      </c>
      <c r="T65">
        <f>IF(connections!$A65="","",IFERROR(INDEX(games!$B$2:$B$834,MATCH(connections!$A65,games!$A$2:$A$834,0)),""))</f>
        <v>2023</v>
      </c>
      <c r="U65">
        <f>IF(connections!$A65="","",IFERROR(INDEX(games!$B$2:$B$834,MATCH(connections!$B65,games!$A$2:$A$834,0)),""))</f>
        <v>2025</v>
      </c>
      <c r="V65">
        <f t="shared" si="11"/>
        <v>2</v>
      </c>
    </row>
    <row r="66" spans="1:22" x14ac:dyDescent="0.25">
      <c r="A66" t="str">
        <f>IF(games!$A66="","",games!$A66)</f>
        <v>Beat Blast</v>
      </c>
      <c r="B66">
        <f>IF($A66="","",games!$B66)</f>
        <v>2020</v>
      </c>
      <c r="C66" t="str">
        <f>IF($A66="","",games!$C66)</f>
        <v>Action</v>
      </c>
      <c r="D66">
        <f>IF($A66="","",COUNTIF(connections!$A$2:$A$1188,$A66)+COUNTIF(connections!$B$2:$B$1188,$A66))</f>
        <v>0</v>
      </c>
      <c r="E66">
        <f t="shared" ref="E66:E129" si="12">IF($A66="","",IFERROR(MATCH($C66,$R$2:$R$5,0),0))</f>
        <v>1</v>
      </c>
      <c r="F66">
        <f t="shared" ref="F66:F129" si="13">IF($A66="","",MOD(ROW(),34))</f>
        <v>32</v>
      </c>
      <c r="G66">
        <f t="shared" ref="G66:G129" si="14">IF($A66="",NA(),IF($C66="Action",$B66,NA()))</f>
        <v>2020</v>
      </c>
      <c r="H66">
        <f t="shared" ref="H66:H129" si="15">IF($A66="",NA(),IF($C66="Action",1+$F66*0.023,NA()))</f>
        <v>1.736</v>
      </c>
      <c r="I66" t="e">
        <f t="shared" ref="I66:I129" si="16">IF($A66="",NA(),IF($C66="Strategy",$B66,NA()))</f>
        <v>#N/A</v>
      </c>
      <c r="J66" t="e">
        <f t="shared" ref="J66:J129" si="17">IF($A66="",NA(),IF($C66="Strategy",2+$F66*0.023,NA()))</f>
        <v>#N/A</v>
      </c>
      <c r="K66" t="e">
        <f t="shared" ref="K66:K129" si="18">IF($A66="",NA(),IF($C66="Deckbuilder",$B66,NA()))</f>
        <v>#N/A</v>
      </c>
      <c r="L66" t="e">
        <f t="shared" ref="L66:L129" si="19">IF($A66="",NA(),IF($C66="Deckbuilder",3+$F66*0.023,NA()))</f>
        <v>#N/A</v>
      </c>
      <c r="M66" t="e">
        <f t="shared" ref="M66:M129" si="20">IF($A66="",NA(),IF($C66="Traditional",$B66,NA()))</f>
        <v>#N/A</v>
      </c>
      <c r="N66" t="e">
        <f t="shared" ref="N66:N129" si="21">IF($A66="",NA(),IF($C66="Traditional",4+$F66*0.023,NA()))</f>
        <v>#N/A</v>
      </c>
      <c r="O66">
        <f t="shared" ref="O66:O129" si="22">IF($A66="","",$D66+ROW()/1000000)</f>
        <v>6.6000000000000005E-5</v>
      </c>
      <c r="T66">
        <f>IF(connections!$A66="","",IFERROR(INDEX(games!$B$2:$B$834,MATCH(connections!$A66,games!$A$2:$A$834,0)),""))</f>
        <v>2023</v>
      </c>
      <c r="U66">
        <f>IF(connections!$A66="","",IFERROR(INDEX(games!$B$2:$B$834,MATCH(connections!$B66,games!$A$2:$A$834,0)),""))</f>
        <v>2026</v>
      </c>
      <c r="V66">
        <f t="shared" ref="V66:V129" si="23">IF(OR($T66="",$U66=""),"",$U66-$T66)</f>
        <v>3</v>
      </c>
    </row>
    <row r="67" spans="1:22" x14ac:dyDescent="0.25">
      <c r="A67" t="str">
        <f>IF(games!$A67="","",games!$A67)</f>
        <v>Bella Wants Blood</v>
      </c>
      <c r="B67">
        <f>IF($A67="","",games!$B67)</f>
        <v>2024</v>
      </c>
      <c r="C67" t="str">
        <f>IF($A67="","",games!$C67)</f>
        <v>Strategy</v>
      </c>
      <c r="D67">
        <f>IF($A67="","",COUNTIF(connections!$A$2:$A$1188,$A67)+COUNTIF(connections!$B$2:$B$1188,$A67))</f>
        <v>2</v>
      </c>
      <c r="E67">
        <f t="shared" si="12"/>
        <v>2</v>
      </c>
      <c r="F67">
        <f t="shared" si="13"/>
        <v>33</v>
      </c>
      <c r="G67" t="e">
        <f t="shared" si="14"/>
        <v>#N/A</v>
      </c>
      <c r="H67" t="e">
        <f t="shared" si="15"/>
        <v>#N/A</v>
      </c>
      <c r="I67">
        <f t="shared" si="16"/>
        <v>2024</v>
      </c>
      <c r="J67">
        <f t="shared" si="17"/>
        <v>2.7589999999999999</v>
      </c>
      <c r="K67" t="e">
        <f t="shared" si="18"/>
        <v>#N/A</v>
      </c>
      <c r="L67" t="e">
        <f t="shared" si="19"/>
        <v>#N/A</v>
      </c>
      <c r="M67" t="e">
        <f t="shared" si="20"/>
        <v>#N/A</v>
      </c>
      <c r="N67" t="e">
        <f t="shared" si="21"/>
        <v>#N/A</v>
      </c>
      <c r="O67">
        <f t="shared" si="22"/>
        <v>2.000067</v>
      </c>
      <c r="T67">
        <f>IF(connections!$A67="","",IFERROR(INDEX(games!$B$2:$B$834,MATCH(connections!$A67,games!$A$2:$A$834,0)),""))</f>
        <v>2023</v>
      </c>
      <c r="U67">
        <f>IF(connections!$A67="","",IFERROR(INDEX(games!$B$2:$B$834,MATCH(connections!$B67,games!$A$2:$A$834,0)),""))</f>
        <v>2026</v>
      </c>
      <c r="V67">
        <f t="shared" si="23"/>
        <v>3</v>
      </c>
    </row>
    <row r="68" spans="1:22" x14ac:dyDescent="0.25">
      <c r="A68" t="str">
        <f>IF(games!$A68="","",games!$A68)</f>
        <v>Beneath Apple Manor</v>
      </c>
      <c r="B68">
        <f>IF($A68="","",games!$B68)</f>
        <v>1978</v>
      </c>
      <c r="C68" t="str">
        <f>IF($A68="","",games!$C68)</f>
        <v>Traditional</v>
      </c>
      <c r="D68">
        <f>IF($A68="","",COUNTIF(connections!$A$2:$A$1188,$A68)+COUNTIF(connections!$B$2:$B$1188,$A68))</f>
        <v>0</v>
      </c>
      <c r="E68">
        <f t="shared" si="12"/>
        <v>4</v>
      </c>
      <c r="F68">
        <f t="shared" si="13"/>
        <v>0</v>
      </c>
      <c r="G68" t="e">
        <f t="shared" si="14"/>
        <v>#N/A</v>
      </c>
      <c r="H68" t="e">
        <f t="shared" si="15"/>
        <v>#N/A</v>
      </c>
      <c r="I68" t="e">
        <f t="shared" si="16"/>
        <v>#N/A</v>
      </c>
      <c r="J68" t="e">
        <f t="shared" si="17"/>
        <v>#N/A</v>
      </c>
      <c r="K68" t="e">
        <f t="shared" si="18"/>
        <v>#N/A</v>
      </c>
      <c r="L68" t="e">
        <f t="shared" si="19"/>
        <v>#N/A</v>
      </c>
      <c r="M68">
        <f t="shared" si="20"/>
        <v>1978</v>
      </c>
      <c r="N68">
        <f t="shared" si="21"/>
        <v>4</v>
      </c>
      <c r="O68">
        <f t="shared" si="22"/>
        <v>6.7999999999999999E-5</v>
      </c>
      <c r="T68">
        <f>IF(connections!$A68="","",IFERROR(INDEX(games!$B$2:$B$834,MATCH(connections!$A68,games!$A$2:$A$834,0)),""))</f>
        <v>2023</v>
      </c>
      <c r="U68">
        <f>IF(connections!$A68="","",IFERROR(INDEX(games!$B$2:$B$834,MATCH(connections!$B68,games!$A$2:$A$834,0)),""))</f>
        <v>2025</v>
      </c>
      <c r="V68">
        <f t="shared" si="23"/>
        <v>2</v>
      </c>
    </row>
    <row r="69" spans="1:22" x14ac:dyDescent="0.25">
      <c r="A69" t="str">
        <f>IF(games!$A69="","",games!$A69)</f>
        <v>Beneath Oresa</v>
      </c>
      <c r="B69">
        <f>IF($A69="","",games!$B69)</f>
        <v>2022</v>
      </c>
      <c r="C69" t="str">
        <f>IF($A69="","",games!$C69)</f>
        <v>Deckbuilder</v>
      </c>
      <c r="D69">
        <f>IF($A69="","",COUNTIF(connections!$A$2:$A$1188,$A69)+COUNTIF(connections!$B$2:$B$1188,$A69))</f>
        <v>1</v>
      </c>
      <c r="E69">
        <f t="shared" si="12"/>
        <v>3</v>
      </c>
      <c r="F69">
        <f t="shared" si="13"/>
        <v>1</v>
      </c>
      <c r="G69" t="e">
        <f t="shared" si="14"/>
        <v>#N/A</v>
      </c>
      <c r="H69" t="e">
        <f t="shared" si="15"/>
        <v>#N/A</v>
      </c>
      <c r="I69" t="e">
        <f t="shared" si="16"/>
        <v>#N/A</v>
      </c>
      <c r="J69" t="e">
        <f t="shared" si="17"/>
        <v>#N/A</v>
      </c>
      <c r="K69">
        <f t="shared" si="18"/>
        <v>2022</v>
      </c>
      <c r="L69">
        <f t="shared" si="19"/>
        <v>3.0230000000000001</v>
      </c>
      <c r="M69" t="e">
        <f t="shared" si="20"/>
        <v>#N/A</v>
      </c>
      <c r="N69" t="e">
        <f t="shared" si="21"/>
        <v>#N/A</v>
      </c>
      <c r="O69">
        <f t="shared" si="22"/>
        <v>1.0000690000000001</v>
      </c>
      <c r="T69">
        <f>IF(connections!$A69="","",IFERROR(INDEX(games!$B$2:$B$834,MATCH(connections!$A69,games!$A$2:$A$834,0)),""))</f>
        <v>2023</v>
      </c>
      <c r="U69">
        <f>IF(connections!$A69="","",IFERROR(INDEX(games!$B$2:$B$834,MATCH(connections!$B69,games!$A$2:$A$834,0)),""))</f>
        <v>2026</v>
      </c>
      <c r="V69">
        <f t="shared" si="23"/>
        <v>3</v>
      </c>
    </row>
    <row r="70" spans="1:22" x14ac:dyDescent="0.25">
      <c r="A70" t="str">
        <f>IF(games!$A70="","",games!$A70)</f>
        <v>Beyond the Long Night</v>
      </c>
      <c r="B70">
        <f>IF($A70="","",games!$B70)</f>
        <v>2023</v>
      </c>
      <c r="C70" t="str">
        <f>IF($A70="","",games!$C70)</f>
        <v>Action</v>
      </c>
      <c r="D70">
        <f>IF($A70="","",COUNTIF(connections!$A$2:$A$1188,$A70)+COUNTIF(connections!$B$2:$B$1188,$A70))</f>
        <v>2</v>
      </c>
      <c r="E70">
        <f t="shared" si="12"/>
        <v>1</v>
      </c>
      <c r="F70">
        <f t="shared" si="13"/>
        <v>2</v>
      </c>
      <c r="G70">
        <f t="shared" si="14"/>
        <v>2023</v>
      </c>
      <c r="H70">
        <f t="shared" si="15"/>
        <v>1.046</v>
      </c>
      <c r="I70" t="e">
        <f t="shared" si="16"/>
        <v>#N/A</v>
      </c>
      <c r="J70" t="e">
        <f t="shared" si="17"/>
        <v>#N/A</v>
      </c>
      <c r="K70" t="e">
        <f t="shared" si="18"/>
        <v>#N/A</v>
      </c>
      <c r="L70" t="e">
        <f t="shared" si="19"/>
        <v>#N/A</v>
      </c>
      <c r="M70" t="e">
        <f t="shared" si="20"/>
        <v>#N/A</v>
      </c>
      <c r="N70" t="e">
        <f t="shared" si="21"/>
        <v>#N/A</v>
      </c>
      <c r="O70">
        <f t="shared" si="22"/>
        <v>2.00007</v>
      </c>
      <c r="T70">
        <f>IF(connections!$A70="","",IFERROR(INDEX(games!$B$2:$B$834,MATCH(connections!$A70,games!$A$2:$A$834,0)),""))</f>
        <v>2023</v>
      </c>
      <c r="U70">
        <f>IF(connections!$A70="","",IFERROR(INDEX(games!$B$2:$B$834,MATCH(connections!$B70,games!$A$2:$A$834,0)),""))</f>
        <v>2025</v>
      </c>
      <c r="V70">
        <f t="shared" si="23"/>
        <v>2</v>
      </c>
    </row>
    <row r="71" spans="1:22" x14ac:dyDescent="0.25">
      <c r="A71" t="str">
        <f>IF(games!$A71="","",games!$A71)</f>
        <v>Beyond Words</v>
      </c>
      <c r="B71">
        <f>IF($A71="","",games!$B71)</f>
        <v>2026</v>
      </c>
      <c r="C71" t="str">
        <f>IF($A71="","",games!$C71)</f>
        <v>Deckbuilder</v>
      </c>
      <c r="D71">
        <f>IF($A71="","",COUNTIF(connections!$A$2:$A$1188,$A71)+COUNTIF(connections!$B$2:$B$1188,$A71))</f>
        <v>1</v>
      </c>
      <c r="E71">
        <f t="shared" si="12"/>
        <v>3</v>
      </c>
      <c r="F71">
        <f t="shared" si="13"/>
        <v>3</v>
      </c>
      <c r="G71" t="e">
        <f t="shared" si="14"/>
        <v>#N/A</v>
      </c>
      <c r="H71" t="e">
        <f t="shared" si="15"/>
        <v>#N/A</v>
      </c>
      <c r="I71" t="e">
        <f t="shared" si="16"/>
        <v>#N/A</v>
      </c>
      <c r="J71" t="e">
        <f t="shared" si="17"/>
        <v>#N/A</v>
      </c>
      <c r="K71">
        <f t="shared" si="18"/>
        <v>2026</v>
      </c>
      <c r="L71">
        <f t="shared" si="19"/>
        <v>3.069</v>
      </c>
      <c r="M71" t="e">
        <f t="shared" si="20"/>
        <v>#N/A</v>
      </c>
      <c r="N71" t="e">
        <f t="shared" si="21"/>
        <v>#N/A</v>
      </c>
      <c r="O71">
        <f t="shared" si="22"/>
        <v>1.0000709999999999</v>
      </c>
      <c r="T71">
        <f>IF(connections!$A71="","",IFERROR(INDEX(games!$B$2:$B$834,MATCH(connections!$A71,games!$A$2:$A$834,0)),""))</f>
        <v>2023</v>
      </c>
      <c r="U71">
        <f>IF(connections!$A71="","",IFERROR(INDEX(games!$B$2:$B$834,MATCH(connections!$B71,games!$A$2:$A$834,0)),""))</f>
        <v>2025</v>
      </c>
      <c r="V71">
        <f t="shared" si="23"/>
        <v>2</v>
      </c>
    </row>
    <row r="72" spans="1:22" x14ac:dyDescent="0.25">
      <c r="A72" t="str">
        <f>IF(games!$A72="","",games!$A72)</f>
        <v>Bingle Bingle</v>
      </c>
      <c r="B72">
        <f>IF($A72="","",games!$B72)</f>
        <v>2024</v>
      </c>
      <c r="C72" t="str">
        <f>IF($A72="","",games!$C72)</f>
        <v>Deckbuilder</v>
      </c>
      <c r="D72">
        <f>IF($A72="","",COUNTIF(connections!$A$2:$A$1188,$A72)+COUNTIF(connections!$B$2:$B$1188,$A72))</f>
        <v>3</v>
      </c>
      <c r="E72">
        <f t="shared" si="12"/>
        <v>3</v>
      </c>
      <c r="F72">
        <f t="shared" si="13"/>
        <v>4</v>
      </c>
      <c r="G72" t="e">
        <f t="shared" si="14"/>
        <v>#N/A</v>
      </c>
      <c r="H72" t="e">
        <f t="shared" si="15"/>
        <v>#N/A</v>
      </c>
      <c r="I72" t="e">
        <f t="shared" si="16"/>
        <v>#N/A</v>
      </c>
      <c r="J72" t="e">
        <f t="shared" si="17"/>
        <v>#N/A</v>
      </c>
      <c r="K72">
        <f t="shared" si="18"/>
        <v>2024</v>
      </c>
      <c r="L72">
        <f t="shared" si="19"/>
        <v>3.0920000000000001</v>
      </c>
      <c r="M72" t="e">
        <f t="shared" si="20"/>
        <v>#N/A</v>
      </c>
      <c r="N72" t="e">
        <f t="shared" si="21"/>
        <v>#N/A</v>
      </c>
      <c r="O72">
        <f t="shared" si="22"/>
        <v>3.0000719999999998</v>
      </c>
      <c r="T72">
        <f>IF(connections!$A72="","",IFERROR(INDEX(games!$B$2:$B$834,MATCH(connections!$A72,games!$A$2:$A$834,0)),""))</f>
        <v>2023</v>
      </c>
      <c r="U72">
        <f>IF(connections!$A72="","",IFERROR(INDEX(games!$B$2:$B$834,MATCH(connections!$B72,games!$A$2:$A$834,0)),""))</f>
        <v>2025</v>
      </c>
      <c r="V72">
        <f t="shared" si="23"/>
        <v>2</v>
      </c>
    </row>
    <row r="73" spans="1:22" x14ac:dyDescent="0.25">
      <c r="A73" t="str">
        <f>IF(games!$A73="","",games!$A73)</f>
        <v>Bioprototype</v>
      </c>
      <c r="B73">
        <f>IF($A73="","",games!$B73)</f>
        <v>2022</v>
      </c>
      <c r="C73" t="str">
        <f>IF($A73="","",games!$C73)</f>
        <v>Action</v>
      </c>
      <c r="D73">
        <f>IF($A73="","",COUNTIF(connections!$A$2:$A$1188,$A73)+COUNTIF(connections!$B$2:$B$1188,$A73))</f>
        <v>1</v>
      </c>
      <c r="E73">
        <f t="shared" si="12"/>
        <v>1</v>
      </c>
      <c r="F73">
        <f t="shared" si="13"/>
        <v>5</v>
      </c>
      <c r="G73">
        <f t="shared" si="14"/>
        <v>2022</v>
      </c>
      <c r="H73">
        <f t="shared" si="15"/>
        <v>1.115</v>
      </c>
      <c r="I73" t="e">
        <f t="shared" si="16"/>
        <v>#N/A</v>
      </c>
      <c r="J73" t="e">
        <f t="shared" si="17"/>
        <v>#N/A</v>
      </c>
      <c r="K73" t="e">
        <f t="shared" si="18"/>
        <v>#N/A</v>
      </c>
      <c r="L73" t="e">
        <f t="shared" si="19"/>
        <v>#N/A</v>
      </c>
      <c r="M73" t="e">
        <f t="shared" si="20"/>
        <v>#N/A</v>
      </c>
      <c r="N73" t="e">
        <f t="shared" si="21"/>
        <v>#N/A</v>
      </c>
      <c r="O73">
        <f t="shared" si="22"/>
        <v>1.000073</v>
      </c>
      <c r="T73">
        <f>IF(connections!$A73="","",IFERROR(INDEX(games!$B$2:$B$834,MATCH(connections!$A73,games!$A$2:$A$834,0)),""))</f>
        <v>2023</v>
      </c>
      <c r="U73">
        <f>IF(connections!$A73="","",IFERROR(INDEX(games!$B$2:$B$834,MATCH(connections!$B73,games!$A$2:$A$834,0)),""))</f>
        <v>2025</v>
      </c>
      <c r="V73">
        <f t="shared" si="23"/>
        <v>2</v>
      </c>
    </row>
    <row r="74" spans="1:22" x14ac:dyDescent="0.25">
      <c r="A74" t="str">
        <f>IF(games!$A74="","",games!$A74)</f>
        <v>Black Jacket</v>
      </c>
      <c r="B74">
        <f>IF($A74="","",games!$B74)</f>
        <v>2026</v>
      </c>
      <c r="C74" t="str">
        <f>IF($A74="","",games!$C74)</f>
        <v>Deckbuilder</v>
      </c>
      <c r="D74">
        <f>IF($A74="","",COUNTIF(connections!$A$2:$A$1188,$A74)+COUNTIF(connections!$B$2:$B$1188,$A74))</f>
        <v>5</v>
      </c>
      <c r="E74">
        <f t="shared" si="12"/>
        <v>3</v>
      </c>
      <c r="F74">
        <f t="shared" si="13"/>
        <v>6</v>
      </c>
      <c r="G74" t="e">
        <f t="shared" si="14"/>
        <v>#N/A</v>
      </c>
      <c r="H74" t="e">
        <f t="shared" si="15"/>
        <v>#N/A</v>
      </c>
      <c r="I74" t="e">
        <f t="shared" si="16"/>
        <v>#N/A</v>
      </c>
      <c r="J74" t="e">
        <f t="shared" si="17"/>
        <v>#N/A</v>
      </c>
      <c r="K74">
        <f t="shared" si="18"/>
        <v>2026</v>
      </c>
      <c r="L74">
        <f t="shared" si="19"/>
        <v>3.1379999999999999</v>
      </c>
      <c r="M74" t="e">
        <f t="shared" si="20"/>
        <v>#N/A</v>
      </c>
      <c r="N74" t="e">
        <f t="shared" si="21"/>
        <v>#N/A</v>
      </c>
      <c r="O74">
        <f t="shared" si="22"/>
        <v>5.0000739999999997</v>
      </c>
      <c r="T74">
        <f>IF(connections!$A74="","",IFERROR(INDEX(games!$B$2:$B$834,MATCH(connections!$A74,games!$A$2:$A$834,0)),""))</f>
        <v>2023</v>
      </c>
      <c r="U74">
        <f>IF(connections!$A74="","",IFERROR(INDEX(games!$B$2:$B$834,MATCH(connections!$B74,games!$A$2:$A$834,0)),""))</f>
        <v>2026</v>
      </c>
      <c r="V74">
        <f t="shared" si="23"/>
        <v>3</v>
      </c>
    </row>
    <row r="75" spans="1:22" x14ac:dyDescent="0.25">
      <c r="A75" t="str">
        <f>IF(games!$A75="","",games!$A75)</f>
        <v>Blazing Beaks</v>
      </c>
      <c r="B75">
        <f>IF($A75="","",games!$B75)</f>
        <v>2019</v>
      </c>
      <c r="C75" t="str">
        <f>IF($A75="","",games!$C75)</f>
        <v>Action</v>
      </c>
      <c r="D75">
        <f>IF($A75="","",COUNTIF(connections!$A$2:$A$1188,$A75)+COUNTIF(connections!$B$2:$B$1188,$A75))</f>
        <v>3</v>
      </c>
      <c r="E75">
        <f t="shared" si="12"/>
        <v>1</v>
      </c>
      <c r="F75">
        <f t="shared" si="13"/>
        <v>7</v>
      </c>
      <c r="G75">
        <f t="shared" si="14"/>
        <v>2019</v>
      </c>
      <c r="H75">
        <f t="shared" si="15"/>
        <v>1.161</v>
      </c>
      <c r="I75" t="e">
        <f t="shared" si="16"/>
        <v>#N/A</v>
      </c>
      <c r="J75" t="e">
        <f t="shared" si="17"/>
        <v>#N/A</v>
      </c>
      <c r="K75" t="e">
        <f t="shared" si="18"/>
        <v>#N/A</v>
      </c>
      <c r="L75" t="e">
        <f t="shared" si="19"/>
        <v>#N/A</v>
      </c>
      <c r="M75" t="e">
        <f t="shared" si="20"/>
        <v>#N/A</v>
      </c>
      <c r="N75" t="e">
        <f t="shared" si="21"/>
        <v>#N/A</v>
      </c>
      <c r="O75">
        <f t="shared" si="22"/>
        <v>3.0000749999999998</v>
      </c>
      <c r="T75">
        <f>IF(connections!$A75="","",IFERROR(INDEX(games!$B$2:$B$834,MATCH(connections!$A75,games!$A$2:$A$834,0)),""))</f>
        <v>2023</v>
      </c>
      <c r="U75">
        <f>IF(connections!$A75="","",IFERROR(INDEX(games!$B$2:$B$834,MATCH(connections!$B75,games!$A$2:$A$834,0)),""))</f>
        <v>2026</v>
      </c>
      <c r="V75">
        <f t="shared" si="23"/>
        <v>3</v>
      </c>
    </row>
    <row r="76" spans="1:22" x14ac:dyDescent="0.25">
      <c r="A76" t="str">
        <f>IF(games!$A76="","",games!$A76)</f>
        <v>Bleak Sword</v>
      </c>
      <c r="B76">
        <f>IF($A76="","",games!$B76)</f>
        <v>2019</v>
      </c>
      <c r="C76" t="str">
        <f>IF($A76="","",games!$C76)</f>
        <v>Action</v>
      </c>
      <c r="D76">
        <f>IF($A76="","",COUNTIF(connections!$A$2:$A$1188,$A76)+COUNTIF(connections!$B$2:$B$1188,$A76))</f>
        <v>1</v>
      </c>
      <c r="E76">
        <f t="shared" si="12"/>
        <v>1</v>
      </c>
      <c r="F76">
        <f t="shared" si="13"/>
        <v>8</v>
      </c>
      <c r="G76">
        <f t="shared" si="14"/>
        <v>2019</v>
      </c>
      <c r="H76">
        <f t="shared" si="15"/>
        <v>1.1839999999999999</v>
      </c>
      <c r="I76" t="e">
        <f t="shared" si="16"/>
        <v>#N/A</v>
      </c>
      <c r="J76" t="e">
        <f t="shared" si="17"/>
        <v>#N/A</v>
      </c>
      <c r="K76" t="e">
        <f t="shared" si="18"/>
        <v>#N/A</v>
      </c>
      <c r="L76" t="e">
        <f t="shared" si="19"/>
        <v>#N/A</v>
      </c>
      <c r="M76" t="e">
        <f t="shared" si="20"/>
        <v>#N/A</v>
      </c>
      <c r="N76" t="e">
        <f t="shared" si="21"/>
        <v>#N/A</v>
      </c>
      <c r="O76">
        <f t="shared" si="22"/>
        <v>1.000076</v>
      </c>
      <c r="T76">
        <f>IF(connections!$A76="","",IFERROR(INDEX(games!$B$2:$B$834,MATCH(connections!$A76,games!$A$2:$A$834,0)),""))</f>
        <v>2023</v>
      </c>
      <c r="U76">
        <f>IF(connections!$A76="","",IFERROR(INDEX(games!$B$2:$B$834,MATCH(connections!$B76,games!$A$2:$A$834,0)),""))</f>
        <v>2026</v>
      </c>
      <c r="V76">
        <f t="shared" si="23"/>
        <v>3</v>
      </c>
    </row>
    <row r="77" spans="1:22" x14ac:dyDescent="0.25">
      <c r="A77" t="str">
        <f>IF(games!$A77="","",games!$A77)</f>
        <v>Block Tower TD</v>
      </c>
      <c r="B77">
        <f>IF($A77="","",games!$B77)</f>
        <v>2023</v>
      </c>
      <c r="C77" t="str">
        <f>IF($A77="","",games!$C77)</f>
        <v>Strategy</v>
      </c>
      <c r="D77">
        <f>IF($A77="","",COUNTIF(connections!$A$2:$A$1188,$A77)+COUNTIF(connections!$B$2:$B$1188,$A77))</f>
        <v>1</v>
      </c>
      <c r="E77">
        <f t="shared" si="12"/>
        <v>2</v>
      </c>
      <c r="F77">
        <f t="shared" si="13"/>
        <v>9</v>
      </c>
      <c r="G77" t="e">
        <f t="shared" si="14"/>
        <v>#N/A</v>
      </c>
      <c r="H77" t="e">
        <f t="shared" si="15"/>
        <v>#N/A</v>
      </c>
      <c r="I77">
        <f t="shared" si="16"/>
        <v>2023</v>
      </c>
      <c r="J77">
        <f t="shared" si="17"/>
        <v>2.2069999999999999</v>
      </c>
      <c r="K77" t="e">
        <f t="shared" si="18"/>
        <v>#N/A</v>
      </c>
      <c r="L77" t="e">
        <f t="shared" si="19"/>
        <v>#N/A</v>
      </c>
      <c r="M77" t="e">
        <f t="shared" si="20"/>
        <v>#N/A</v>
      </c>
      <c r="N77" t="e">
        <f t="shared" si="21"/>
        <v>#N/A</v>
      </c>
      <c r="O77">
        <f t="shared" si="22"/>
        <v>1.0000770000000001</v>
      </c>
      <c r="T77">
        <f>IF(connections!$A77="","",IFERROR(INDEX(games!$B$2:$B$834,MATCH(connections!$A77,games!$A$2:$A$834,0)),""))</f>
        <v>2023</v>
      </c>
      <c r="U77">
        <f>IF(connections!$A77="","",IFERROR(INDEX(games!$B$2:$B$834,MATCH(connections!$B77,games!$A$2:$A$834,0)),""))</f>
        <v>2025</v>
      </c>
      <c r="V77">
        <f t="shared" si="23"/>
        <v>2</v>
      </c>
    </row>
    <row r="78" spans="1:22" x14ac:dyDescent="0.25">
      <c r="A78" t="str">
        <f>IF(games!$A78="","",games!$A78)</f>
        <v>Block Tower TD 2</v>
      </c>
      <c r="B78">
        <f>IF($A78="","",games!$B78)</f>
        <v>2024</v>
      </c>
      <c r="C78" t="str">
        <f>IF($A78="","",games!$C78)</f>
        <v>Strategy</v>
      </c>
      <c r="D78">
        <f>IF($A78="","",COUNTIF(connections!$A$2:$A$1188,$A78)+COUNTIF(connections!$B$2:$B$1188,$A78))</f>
        <v>1</v>
      </c>
      <c r="E78">
        <f t="shared" si="12"/>
        <v>2</v>
      </c>
      <c r="F78">
        <f t="shared" si="13"/>
        <v>10</v>
      </c>
      <c r="G78" t="e">
        <f t="shared" si="14"/>
        <v>#N/A</v>
      </c>
      <c r="H78" t="e">
        <f t="shared" si="15"/>
        <v>#N/A</v>
      </c>
      <c r="I78">
        <f t="shared" si="16"/>
        <v>2024</v>
      </c>
      <c r="J78">
        <f t="shared" si="17"/>
        <v>2.23</v>
      </c>
      <c r="K78" t="e">
        <f t="shared" si="18"/>
        <v>#N/A</v>
      </c>
      <c r="L78" t="e">
        <f t="shared" si="19"/>
        <v>#N/A</v>
      </c>
      <c r="M78" t="e">
        <f t="shared" si="20"/>
        <v>#N/A</v>
      </c>
      <c r="N78" t="e">
        <f t="shared" si="21"/>
        <v>#N/A</v>
      </c>
      <c r="O78">
        <f t="shared" si="22"/>
        <v>1.000078</v>
      </c>
      <c r="T78">
        <f>IF(connections!$A78="","",IFERROR(INDEX(games!$B$2:$B$834,MATCH(connections!$A78,games!$A$2:$A$834,0)),""))</f>
        <v>2023</v>
      </c>
      <c r="U78">
        <f>IF(connections!$A78="","",IFERROR(INDEX(games!$B$2:$B$834,MATCH(connections!$B78,games!$A$2:$A$834,0)),""))</f>
        <v>2026</v>
      </c>
      <c r="V78">
        <f t="shared" si="23"/>
        <v>3</v>
      </c>
    </row>
    <row r="79" spans="1:22" x14ac:dyDescent="0.25">
      <c r="A79" t="str">
        <f>IF(games!$A79="","",games!$A79)</f>
        <v>BloodDome99</v>
      </c>
      <c r="B79">
        <f>IF($A79="","",games!$B79)</f>
        <v>2023</v>
      </c>
      <c r="C79" t="str">
        <f>IF($A79="","",games!$C79)</f>
        <v>Action</v>
      </c>
      <c r="D79">
        <f>IF($A79="","",COUNTIF(connections!$A$2:$A$1188,$A79)+COUNTIF(connections!$B$2:$B$1188,$A79))</f>
        <v>2</v>
      </c>
      <c r="E79">
        <f t="shared" si="12"/>
        <v>1</v>
      </c>
      <c r="F79">
        <f t="shared" si="13"/>
        <v>11</v>
      </c>
      <c r="G79">
        <f t="shared" si="14"/>
        <v>2023</v>
      </c>
      <c r="H79">
        <f t="shared" si="15"/>
        <v>1.2530000000000001</v>
      </c>
      <c r="I79" t="e">
        <f t="shared" si="16"/>
        <v>#N/A</v>
      </c>
      <c r="J79" t="e">
        <f t="shared" si="17"/>
        <v>#N/A</v>
      </c>
      <c r="K79" t="e">
        <f t="shared" si="18"/>
        <v>#N/A</v>
      </c>
      <c r="L79" t="e">
        <f t="shared" si="19"/>
        <v>#N/A</v>
      </c>
      <c r="M79" t="e">
        <f t="shared" si="20"/>
        <v>#N/A</v>
      </c>
      <c r="N79" t="e">
        <f t="shared" si="21"/>
        <v>#N/A</v>
      </c>
      <c r="O79">
        <f t="shared" si="22"/>
        <v>2.0000789999999999</v>
      </c>
      <c r="T79">
        <f>IF(connections!$A79="","",IFERROR(INDEX(games!$B$2:$B$834,MATCH(connections!$A79,games!$A$2:$A$834,0)),""))</f>
        <v>2023</v>
      </c>
      <c r="U79">
        <f>IF(connections!$A79="","",IFERROR(INDEX(games!$B$2:$B$834,MATCH(connections!$B79,games!$A$2:$A$834,0)),""))</f>
        <v>2025</v>
      </c>
      <c r="V79">
        <f t="shared" si="23"/>
        <v>2</v>
      </c>
    </row>
    <row r="80" spans="1:22" x14ac:dyDescent="0.25">
      <c r="A80" t="str">
        <f>IF(games!$A80="","",games!$A80)</f>
        <v>Bloodshed</v>
      </c>
      <c r="B80">
        <f>IF($A80="","",games!$B80)</f>
        <v>2024</v>
      </c>
      <c r="C80" t="str">
        <f>IF($A80="","",games!$C80)</f>
        <v>Action</v>
      </c>
      <c r="D80">
        <f>IF($A80="","",COUNTIF(connections!$A$2:$A$1188,$A80)+COUNTIF(connections!$B$2:$B$1188,$A80))</f>
        <v>1</v>
      </c>
      <c r="E80">
        <f t="shared" si="12"/>
        <v>1</v>
      </c>
      <c r="F80">
        <f t="shared" si="13"/>
        <v>12</v>
      </c>
      <c r="G80">
        <f t="shared" si="14"/>
        <v>2024</v>
      </c>
      <c r="H80">
        <f t="shared" si="15"/>
        <v>1.276</v>
      </c>
      <c r="I80" t="e">
        <f t="shared" si="16"/>
        <v>#N/A</v>
      </c>
      <c r="J80" t="e">
        <f t="shared" si="17"/>
        <v>#N/A</v>
      </c>
      <c r="K80" t="e">
        <f t="shared" si="18"/>
        <v>#N/A</v>
      </c>
      <c r="L80" t="e">
        <f t="shared" si="19"/>
        <v>#N/A</v>
      </c>
      <c r="M80" t="e">
        <f t="shared" si="20"/>
        <v>#N/A</v>
      </c>
      <c r="N80" t="e">
        <f t="shared" si="21"/>
        <v>#N/A</v>
      </c>
      <c r="O80">
        <f t="shared" si="22"/>
        <v>1.0000800000000001</v>
      </c>
      <c r="T80">
        <f>IF(connections!$A80="","",IFERROR(INDEX(games!$B$2:$B$834,MATCH(connections!$A80,games!$A$2:$A$834,0)),""))</f>
        <v>2023</v>
      </c>
      <c r="U80">
        <f>IF(connections!$A80="","",IFERROR(INDEX(games!$B$2:$B$834,MATCH(connections!$B80,games!$A$2:$A$834,0)),""))</f>
        <v>2025</v>
      </c>
      <c r="V80">
        <f t="shared" si="23"/>
        <v>2</v>
      </c>
    </row>
    <row r="81" spans="1:22" x14ac:dyDescent="0.25">
      <c r="A81" t="str">
        <f>IF(games!$A81="","",games!$A81)</f>
        <v>Bloons TD 6: Rogue Legends</v>
      </c>
      <c r="B81">
        <f>IF($A81="","",games!$B81)</f>
        <v>2025</v>
      </c>
      <c r="C81" t="str">
        <f>IF($A81="","",games!$C81)</f>
        <v>Strategy</v>
      </c>
      <c r="D81">
        <f>IF($A81="","",COUNTIF(connections!$A$2:$A$1188,$A81)+COUNTIF(connections!$B$2:$B$1188,$A81))</f>
        <v>0</v>
      </c>
      <c r="E81">
        <f t="shared" si="12"/>
        <v>2</v>
      </c>
      <c r="F81">
        <f t="shared" si="13"/>
        <v>13</v>
      </c>
      <c r="G81" t="e">
        <f t="shared" si="14"/>
        <v>#N/A</v>
      </c>
      <c r="H81" t="e">
        <f t="shared" si="15"/>
        <v>#N/A</v>
      </c>
      <c r="I81">
        <f t="shared" si="16"/>
        <v>2025</v>
      </c>
      <c r="J81">
        <f t="shared" si="17"/>
        <v>2.2989999999999999</v>
      </c>
      <c r="K81" t="e">
        <f t="shared" si="18"/>
        <v>#N/A</v>
      </c>
      <c r="L81" t="e">
        <f t="shared" si="19"/>
        <v>#N/A</v>
      </c>
      <c r="M81" t="e">
        <f t="shared" si="20"/>
        <v>#N/A</v>
      </c>
      <c r="N81" t="e">
        <f t="shared" si="21"/>
        <v>#N/A</v>
      </c>
      <c r="O81">
        <f t="shared" si="22"/>
        <v>8.1000000000000004E-5</v>
      </c>
      <c r="T81">
        <f>IF(connections!$A81="","",IFERROR(INDEX(games!$B$2:$B$834,MATCH(connections!$A81,games!$A$2:$A$834,0)),""))</f>
        <v>2023</v>
      </c>
      <c r="U81">
        <f>IF(connections!$A81="","",IFERROR(INDEX(games!$B$2:$B$834,MATCH(connections!$B81,games!$A$2:$A$834,0)),""))</f>
        <v>2025</v>
      </c>
      <c r="V81">
        <f t="shared" si="23"/>
        <v>2</v>
      </c>
    </row>
    <row r="82" spans="1:22" x14ac:dyDescent="0.25">
      <c r="A82" t="str">
        <f>IF(games!$A82="","",games!$A82)</f>
        <v>Blue Prince</v>
      </c>
      <c r="B82">
        <f>IF($A82="","",games!$B82)</f>
        <v>2025</v>
      </c>
      <c r="C82" t="str">
        <f>IF($A82="","",games!$C82)</f>
        <v>Strategy</v>
      </c>
      <c r="D82">
        <f>IF($A82="","",COUNTIF(connections!$A$2:$A$1188,$A82)+COUNTIF(connections!$B$2:$B$1188,$A82))</f>
        <v>0</v>
      </c>
      <c r="E82">
        <f t="shared" si="12"/>
        <v>2</v>
      </c>
      <c r="F82">
        <f t="shared" si="13"/>
        <v>14</v>
      </c>
      <c r="G82" t="e">
        <f t="shared" si="14"/>
        <v>#N/A</v>
      </c>
      <c r="H82" t="e">
        <f t="shared" si="15"/>
        <v>#N/A</v>
      </c>
      <c r="I82">
        <f t="shared" si="16"/>
        <v>2025</v>
      </c>
      <c r="J82">
        <f t="shared" si="17"/>
        <v>2.3220000000000001</v>
      </c>
      <c r="K82" t="e">
        <f t="shared" si="18"/>
        <v>#N/A</v>
      </c>
      <c r="L82" t="e">
        <f t="shared" si="19"/>
        <v>#N/A</v>
      </c>
      <c r="M82" t="e">
        <f t="shared" si="20"/>
        <v>#N/A</v>
      </c>
      <c r="N82" t="e">
        <f t="shared" si="21"/>
        <v>#N/A</v>
      </c>
      <c r="O82">
        <f t="shared" si="22"/>
        <v>8.2000000000000001E-5</v>
      </c>
      <c r="T82">
        <f>IF(connections!$A82="","",IFERROR(INDEX(games!$B$2:$B$834,MATCH(connections!$A82,games!$A$2:$A$834,0)),""))</f>
        <v>2023</v>
      </c>
      <c r="U82">
        <f>IF(connections!$A82="","",IFERROR(INDEX(games!$B$2:$B$834,MATCH(connections!$B82,games!$A$2:$A$834,0)),""))</f>
        <v>2026</v>
      </c>
      <c r="V82">
        <f t="shared" si="23"/>
        <v>3</v>
      </c>
    </row>
    <row r="83" spans="1:22" x14ac:dyDescent="0.25">
      <c r="A83" t="str">
        <f>IF(games!$A83="","",games!$A83)</f>
        <v>Boneraiser Minions</v>
      </c>
      <c r="B83">
        <f>IF($A83="","",games!$B83)</f>
        <v>2022</v>
      </c>
      <c r="C83" t="str">
        <f>IF($A83="","",games!$C83)</f>
        <v>Action</v>
      </c>
      <c r="D83">
        <f>IF($A83="","",COUNTIF(connections!$A$2:$A$1188,$A83)+COUNTIF(connections!$B$2:$B$1188,$A83))</f>
        <v>4</v>
      </c>
      <c r="E83">
        <f t="shared" si="12"/>
        <v>1</v>
      </c>
      <c r="F83">
        <f t="shared" si="13"/>
        <v>15</v>
      </c>
      <c r="G83">
        <f t="shared" si="14"/>
        <v>2022</v>
      </c>
      <c r="H83">
        <f t="shared" si="15"/>
        <v>1.345</v>
      </c>
      <c r="I83" t="e">
        <f t="shared" si="16"/>
        <v>#N/A</v>
      </c>
      <c r="J83" t="e">
        <f t="shared" si="17"/>
        <v>#N/A</v>
      </c>
      <c r="K83" t="e">
        <f t="shared" si="18"/>
        <v>#N/A</v>
      </c>
      <c r="L83" t="e">
        <f t="shared" si="19"/>
        <v>#N/A</v>
      </c>
      <c r="M83" t="e">
        <f t="shared" si="20"/>
        <v>#N/A</v>
      </c>
      <c r="N83" t="e">
        <f t="shared" si="21"/>
        <v>#N/A</v>
      </c>
      <c r="O83">
        <f t="shared" si="22"/>
        <v>4.0000830000000001</v>
      </c>
      <c r="T83">
        <f>IF(connections!$A83="","",IFERROR(INDEX(games!$B$2:$B$834,MATCH(connections!$A83,games!$A$2:$A$834,0)),""))</f>
        <v>2023</v>
      </c>
      <c r="U83">
        <f>IF(connections!$A83="","",IFERROR(INDEX(games!$B$2:$B$834,MATCH(connections!$B83,games!$A$2:$A$834,0)),""))</f>
        <v>2026</v>
      </c>
      <c r="V83">
        <f t="shared" si="23"/>
        <v>3</v>
      </c>
    </row>
    <row r="84" spans="1:22" x14ac:dyDescent="0.25">
      <c r="A84" t="str">
        <f>IF(games!$A84="","",games!$A84)</f>
        <v>Book of Demons</v>
      </c>
      <c r="B84">
        <f>IF($A84="","",games!$B84)</f>
        <v>2018</v>
      </c>
      <c r="C84" t="str">
        <f>IF($A84="","",games!$C84)</f>
        <v>Deckbuilder</v>
      </c>
      <c r="D84">
        <f>IF($A84="","",COUNTIF(connections!$A$2:$A$1188,$A84)+COUNTIF(connections!$B$2:$B$1188,$A84))</f>
        <v>2</v>
      </c>
      <c r="E84">
        <f t="shared" si="12"/>
        <v>3</v>
      </c>
      <c r="F84">
        <f t="shared" si="13"/>
        <v>16</v>
      </c>
      <c r="G84" t="e">
        <f t="shared" si="14"/>
        <v>#N/A</v>
      </c>
      <c r="H84" t="e">
        <f t="shared" si="15"/>
        <v>#N/A</v>
      </c>
      <c r="I84" t="e">
        <f t="shared" si="16"/>
        <v>#N/A</v>
      </c>
      <c r="J84" t="e">
        <f t="shared" si="17"/>
        <v>#N/A</v>
      </c>
      <c r="K84">
        <f t="shared" si="18"/>
        <v>2018</v>
      </c>
      <c r="L84">
        <f t="shared" si="19"/>
        <v>3.3679999999999999</v>
      </c>
      <c r="M84" t="e">
        <f t="shared" si="20"/>
        <v>#N/A</v>
      </c>
      <c r="N84" t="e">
        <f t="shared" si="21"/>
        <v>#N/A</v>
      </c>
      <c r="O84">
        <f t="shared" si="22"/>
        <v>2.0000840000000002</v>
      </c>
      <c r="T84">
        <f>IF(connections!$A84="","",IFERROR(INDEX(games!$B$2:$B$834,MATCH(connections!$A84,games!$A$2:$A$834,0)),""))</f>
        <v>2023</v>
      </c>
      <c r="U84">
        <f>IF(connections!$A84="","",IFERROR(INDEX(games!$B$2:$B$834,MATCH(connections!$B84,games!$A$2:$A$834,0)),""))</f>
        <v>2026</v>
      </c>
      <c r="V84">
        <f t="shared" si="23"/>
        <v>3</v>
      </c>
    </row>
    <row r="85" spans="1:22" x14ac:dyDescent="0.25">
      <c r="A85" t="str">
        <f>IF(games!$A85="","",games!$A85)</f>
        <v>Bounty of One</v>
      </c>
      <c r="B85">
        <f>IF($A85="","",games!$B85)</f>
        <v>2022</v>
      </c>
      <c r="C85" t="str">
        <f>IF($A85="","",games!$C85)</f>
        <v>Action</v>
      </c>
      <c r="D85">
        <f>IF($A85="","",COUNTIF(connections!$A$2:$A$1188,$A85)+COUNTIF(connections!$B$2:$B$1188,$A85))</f>
        <v>3</v>
      </c>
      <c r="E85">
        <f t="shared" si="12"/>
        <v>1</v>
      </c>
      <c r="F85">
        <f t="shared" si="13"/>
        <v>17</v>
      </c>
      <c r="G85">
        <f t="shared" si="14"/>
        <v>2022</v>
      </c>
      <c r="H85">
        <f t="shared" si="15"/>
        <v>1.391</v>
      </c>
      <c r="I85" t="e">
        <f t="shared" si="16"/>
        <v>#N/A</v>
      </c>
      <c r="J85" t="e">
        <f t="shared" si="17"/>
        <v>#N/A</v>
      </c>
      <c r="K85" t="e">
        <f t="shared" si="18"/>
        <v>#N/A</v>
      </c>
      <c r="L85" t="e">
        <f t="shared" si="19"/>
        <v>#N/A</v>
      </c>
      <c r="M85" t="e">
        <f t="shared" si="20"/>
        <v>#N/A</v>
      </c>
      <c r="N85" t="e">
        <f t="shared" si="21"/>
        <v>#N/A</v>
      </c>
      <c r="O85">
        <f t="shared" si="22"/>
        <v>3.0000849999999999</v>
      </c>
      <c r="T85">
        <f>IF(connections!$A85="","",IFERROR(INDEX(games!$B$2:$B$834,MATCH(connections!$A85,games!$A$2:$A$834,0)),""))</f>
        <v>2023</v>
      </c>
      <c r="U85">
        <f>IF(connections!$A85="","",IFERROR(INDEX(games!$B$2:$B$834,MATCH(connections!$B85,games!$A$2:$A$834,0)),""))</f>
        <v>2026</v>
      </c>
      <c r="V85">
        <f t="shared" si="23"/>
        <v>3</v>
      </c>
    </row>
    <row r="86" spans="1:22" x14ac:dyDescent="0.25">
      <c r="A86" t="str">
        <f>IF(games!$A86="","",games!$A86)</f>
        <v>Boyfriend Dungeon</v>
      </c>
      <c r="B86">
        <f>IF($A86="","",games!$B86)</f>
        <v>2021</v>
      </c>
      <c r="C86" t="str">
        <f>IF($A86="","",games!$C86)</f>
        <v>Action</v>
      </c>
      <c r="D86">
        <f>IF($A86="","",COUNTIF(connections!$A$2:$A$1188,$A86)+COUNTIF(connections!$B$2:$B$1188,$A86))</f>
        <v>1</v>
      </c>
      <c r="E86">
        <f t="shared" si="12"/>
        <v>1</v>
      </c>
      <c r="F86">
        <f t="shared" si="13"/>
        <v>18</v>
      </c>
      <c r="G86">
        <f t="shared" si="14"/>
        <v>2021</v>
      </c>
      <c r="H86">
        <f t="shared" si="15"/>
        <v>1.4139999999999999</v>
      </c>
      <c r="I86" t="e">
        <f t="shared" si="16"/>
        <v>#N/A</v>
      </c>
      <c r="J86" t="e">
        <f t="shared" si="17"/>
        <v>#N/A</v>
      </c>
      <c r="K86" t="e">
        <f t="shared" si="18"/>
        <v>#N/A</v>
      </c>
      <c r="L86" t="e">
        <f t="shared" si="19"/>
        <v>#N/A</v>
      </c>
      <c r="M86" t="e">
        <f t="shared" si="20"/>
        <v>#N/A</v>
      </c>
      <c r="N86" t="e">
        <f t="shared" si="21"/>
        <v>#N/A</v>
      </c>
      <c r="O86">
        <f t="shared" si="22"/>
        <v>1.000086</v>
      </c>
      <c r="T86">
        <f>IF(connections!$A86="","",IFERROR(INDEX(games!$B$2:$B$834,MATCH(connections!$A86,games!$A$2:$A$834,0)),""))</f>
        <v>2023</v>
      </c>
      <c r="U86">
        <f>IF(connections!$A86="","",IFERROR(INDEX(games!$B$2:$B$834,MATCH(connections!$B86,games!$A$2:$A$834,0)),""))</f>
        <v>2024</v>
      </c>
      <c r="V86">
        <f t="shared" si="23"/>
        <v>1</v>
      </c>
    </row>
    <row r="87" spans="1:22" x14ac:dyDescent="0.25">
      <c r="A87" t="str">
        <f>IF(games!$A87="","",games!$A87)</f>
        <v>BPM: Bullets Per Minute</v>
      </c>
      <c r="B87">
        <f>IF($A87="","",games!$B87)</f>
        <v>2020</v>
      </c>
      <c r="C87" t="str">
        <f>IF($A87="","",games!$C87)</f>
        <v>Action</v>
      </c>
      <c r="D87">
        <f>IF($A87="","",COUNTIF(connections!$A$2:$A$1188,$A87)+COUNTIF(connections!$B$2:$B$1188,$A87))</f>
        <v>1</v>
      </c>
      <c r="E87">
        <f t="shared" si="12"/>
        <v>1</v>
      </c>
      <c r="F87">
        <f t="shared" si="13"/>
        <v>19</v>
      </c>
      <c r="G87">
        <f t="shared" si="14"/>
        <v>2020</v>
      </c>
      <c r="H87">
        <f t="shared" si="15"/>
        <v>1.4370000000000001</v>
      </c>
      <c r="I87" t="e">
        <f t="shared" si="16"/>
        <v>#N/A</v>
      </c>
      <c r="J87" t="e">
        <f t="shared" si="17"/>
        <v>#N/A</v>
      </c>
      <c r="K87" t="e">
        <f t="shared" si="18"/>
        <v>#N/A</v>
      </c>
      <c r="L87" t="e">
        <f t="shared" si="19"/>
        <v>#N/A</v>
      </c>
      <c r="M87" t="e">
        <f t="shared" si="20"/>
        <v>#N/A</v>
      </c>
      <c r="N87" t="e">
        <f t="shared" si="21"/>
        <v>#N/A</v>
      </c>
      <c r="O87">
        <f t="shared" si="22"/>
        <v>1.0000869999999999</v>
      </c>
      <c r="T87">
        <f>IF(connections!$A87="","",IFERROR(INDEX(games!$B$2:$B$834,MATCH(connections!$A87,games!$A$2:$A$834,0)),""))</f>
        <v>2023</v>
      </c>
      <c r="U87">
        <f>IF(connections!$A87="","",IFERROR(INDEX(games!$B$2:$B$834,MATCH(connections!$B87,games!$A$2:$A$834,0)),""))</f>
        <v>2025</v>
      </c>
      <c r="V87">
        <f t="shared" si="23"/>
        <v>2</v>
      </c>
    </row>
    <row r="88" spans="1:22" x14ac:dyDescent="0.25">
      <c r="A88" t="str">
        <f>IF(games!$A88="","",games!$A88)</f>
        <v>Brawl Tactics: Origins</v>
      </c>
      <c r="B88">
        <f>IF($A88="","",games!$B88)</f>
        <v>2023</v>
      </c>
      <c r="C88" t="str">
        <f>IF($A88="","",games!$C88)</f>
        <v>Deckbuilder</v>
      </c>
      <c r="D88">
        <f>IF($A88="","",COUNTIF(connections!$A$2:$A$1188,$A88)+COUNTIF(connections!$B$2:$B$1188,$A88))</f>
        <v>2</v>
      </c>
      <c r="E88">
        <f t="shared" si="12"/>
        <v>3</v>
      </c>
      <c r="F88">
        <f t="shared" si="13"/>
        <v>20</v>
      </c>
      <c r="G88" t="e">
        <f t="shared" si="14"/>
        <v>#N/A</v>
      </c>
      <c r="H88" t="e">
        <f t="shared" si="15"/>
        <v>#N/A</v>
      </c>
      <c r="I88" t="e">
        <f t="shared" si="16"/>
        <v>#N/A</v>
      </c>
      <c r="J88" t="e">
        <f t="shared" si="17"/>
        <v>#N/A</v>
      </c>
      <c r="K88">
        <f t="shared" si="18"/>
        <v>2023</v>
      </c>
      <c r="L88">
        <f t="shared" si="19"/>
        <v>3.46</v>
      </c>
      <c r="M88" t="e">
        <f t="shared" si="20"/>
        <v>#N/A</v>
      </c>
      <c r="N88" t="e">
        <f t="shared" si="21"/>
        <v>#N/A</v>
      </c>
      <c r="O88">
        <f t="shared" si="22"/>
        <v>2.0000879999999999</v>
      </c>
      <c r="T88">
        <f>IF(connections!$A88="","",IFERROR(INDEX(games!$B$2:$B$834,MATCH(connections!$A88,games!$A$2:$A$834,0)),""))</f>
        <v>2023</v>
      </c>
      <c r="U88">
        <f>IF(connections!$A88="","",IFERROR(INDEX(games!$B$2:$B$834,MATCH(connections!$B88,games!$A$2:$A$834,0)),""))</f>
        <v>2026</v>
      </c>
      <c r="V88">
        <f t="shared" si="23"/>
        <v>3</v>
      </c>
    </row>
    <row r="89" spans="1:22" x14ac:dyDescent="0.25">
      <c r="A89" t="str">
        <f>IF(games!$A89="","",games!$A89)</f>
        <v>Breach Wanderers</v>
      </c>
      <c r="B89">
        <f>IF($A89="","",games!$B89)</f>
        <v>2021</v>
      </c>
      <c r="C89" t="str">
        <f>IF($A89="","",games!$C89)</f>
        <v>Deckbuilder</v>
      </c>
      <c r="D89">
        <f>IF($A89="","",COUNTIF(connections!$A$2:$A$1188,$A89)+COUNTIF(connections!$B$2:$B$1188,$A89))</f>
        <v>1</v>
      </c>
      <c r="E89">
        <f t="shared" si="12"/>
        <v>3</v>
      </c>
      <c r="F89">
        <f t="shared" si="13"/>
        <v>21</v>
      </c>
      <c r="G89" t="e">
        <f t="shared" si="14"/>
        <v>#N/A</v>
      </c>
      <c r="H89" t="e">
        <f t="shared" si="15"/>
        <v>#N/A</v>
      </c>
      <c r="I89" t="e">
        <f t="shared" si="16"/>
        <v>#N/A</v>
      </c>
      <c r="J89" t="e">
        <f t="shared" si="17"/>
        <v>#N/A</v>
      </c>
      <c r="K89">
        <f t="shared" si="18"/>
        <v>2021</v>
      </c>
      <c r="L89">
        <f t="shared" si="19"/>
        <v>3.4830000000000001</v>
      </c>
      <c r="M89" t="e">
        <f t="shared" si="20"/>
        <v>#N/A</v>
      </c>
      <c r="N89" t="e">
        <f t="shared" si="21"/>
        <v>#N/A</v>
      </c>
      <c r="O89">
        <f t="shared" si="22"/>
        <v>1.000089</v>
      </c>
      <c r="T89">
        <f>IF(connections!$A89="","",IFERROR(INDEX(games!$B$2:$B$834,MATCH(connections!$A89,games!$A$2:$A$834,0)),""))</f>
        <v>2023</v>
      </c>
      <c r="U89">
        <f>IF(connections!$A89="","",IFERROR(INDEX(games!$B$2:$B$834,MATCH(connections!$B89,games!$A$2:$A$834,0)),""))</f>
        <v>2023</v>
      </c>
      <c r="V89">
        <f t="shared" si="23"/>
        <v>0</v>
      </c>
    </row>
    <row r="90" spans="1:22" x14ac:dyDescent="0.25">
      <c r="A90" t="str">
        <f>IF(games!$A90="","",games!$A90)</f>
        <v>Breachway</v>
      </c>
      <c r="B90">
        <f>IF($A90="","",games!$B90)</f>
        <v>2024</v>
      </c>
      <c r="C90" t="str">
        <f>IF($A90="","",games!$C90)</f>
        <v>Deckbuilder</v>
      </c>
      <c r="D90">
        <f>IF($A90="","",COUNTIF(connections!$A$2:$A$1188,$A90)+COUNTIF(connections!$B$2:$B$1188,$A90))</f>
        <v>2</v>
      </c>
      <c r="E90">
        <f t="shared" si="12"/>
        <v>3</v>
      </c>
      <c r="F90">
        <f t="shared" si="13"/>
        <v>22</v>
      </c>
      <c r="G90" t="e">
        <f t="shared" si="14"/>
        <v>#N/A</v>
      </c>
      <c r="H90" t="e">
        <f t="shared" si="15"/>
        <v>#N/A</v>
      </c>
      <c r="I90" t="e">
        <f t="shared" si="16"/>
        <v>#N/A</v>
      </c>
      <c r="J90" t="e">
        <f t="shared" si="17"/>
        <v>#N/A</v>
      </c>
      <c r="K90">
        <f t="shared" si="18"/>
        <v>2024</v>
      </c>
      <c r="L90">
        <f t="shared" si="19"/>
        <v>3.5060000000000002</v>
      </c>
      <c r="M90" t="e">
        <f t="shared" si="20"/>
        <v>#N/A</v>
      </c>
      <c r="N90" t="e">
        <f t="shared" si="21"/>
        <v>#N/A</v>
      </c>
      <c r="O90">
        <f t="shared" si="22"/>
        <v>2.0000900000000001</v>
      </c>
      <c r="T90">
        <f>IF(connections!$A90="","",IFERROR(INDEX(games!$B$2:$B$834,MATCH(connections!$A90,games!$A$2:$A$834,0)),""))</f>
        <v>2023</v>
      </c>
      <c r="U90">
        <f>IF(connections!$A90="","",IFERROR(INDEX(games!$B$2:$B$834,MATCH(connections!$B90,games!$A$2:$A$834,0)),""))</f>
        <v>2024</v>
      </c>
      <c r="V90">
        <f t="shared" si="23"/>
        <v>1</v>
      </c>
    </row>
    <row r="91" spans="1:22" x14ac:dyDescent="0.25">
      <c r="A91" t="str">
        <f>IF(games!$A91="","",games!$A91)</f>
        <v>Brew</v>
      </c>
      <c r="B91">
        <f>IF($A91="","",games!$B91)</f>
        <v>2025</v>
      </c>
      <c r="C91" t="str">
        <f>IF($A91="","",games!$C91)</f>
        <v>Action</v>
      </c>
      <c r="D91">
        <f>IF($A91="","",COUNTIF(connections!$A$2:$A$1188,$A91)+COUNTIF(connections!$B$2:$B$1188,$A91))</f>
        <v>3</v>
      </c>
      <c r="E91">
        <f t="shared" si="12"/>
        <v>1</v>
      </c>
      <c r="F91">
        <f t="shared" si="13"/>
        <v>23</v>
      </c>
      <c r="G91">
        <f t="shared" si="14"/>
        <v>2025</v>
      </c>
      <c r="H91">
        <f t="shared" si="15"/>
        <v>1.5289999999999999</v>
      </c>
      <c r="I91" t="e">
        <f t="shared" si="16"/>
        <v>#N/A</v>
      </c>
      <c r="J91" t="e">
        <f t="shared" si="17"/>
        <v>#N/A</v>
      </c>
      <c r="K91" t="e">
        <f t="shared" si="18"/>
        <v>#N/A</v>
      </c>
      <c r="L91" t="e">
        <f t="shared" si="19"/>
        <v>#N/A</v>
      </c>
      <c r="M91" t="e">
        <f t="shared" si="20"/>
        <v>#N/A</v>
      </c>
      <c r="N91" t="e">
        <f t="shared" si="21"/>
        <v>#N/A</v>
      </c>
      <c r="O91">
        <f t="shared" si="22"/>
        <v>3.0000909999999998</v>
      </c>
      <c r="T91">
        <f>IF(connections!$A91="","",IFERROR(INDEX(games!$B$2:$B$834,MATCH(connections!$A91,games!$A$2:$A$834,0)),""))</f>
        <v>2023</v>
      </c>
      <c r="U91">
        <f>IF(connections!$A91="","",IFERROR(INDEX(games!$B$2:$B$834,MATCH(connections!$B91,games!$A$2:$A$834,0)),""))</f>
        <v>2026</v>
      </c>
      <c r="V91">
        <f t="shared" si="23"/>
        <v>3</v>
      </c>
    </row>
    <row r="92" spans="1:22" x14ac:dyDescent="0.25">
      <c r="A92" t="str">
        <f>IF(games!$A92="","",games!$A92)</f>
        <v>Brogue</v>
      </c>
      <c r="B92">
        <f>IF($A92="","",games!$B92)</f>
        <v>2009</v>
      </c>
      <c r="C92" t="str">
        <f>IF($A92="","",games!$C92)</f>
        <v>Traditional</v>
      </c>
      <c r="D92">
        <f>IF($A92="","",COUNTIF(connections!$A$2:$A$1188,$A92)+COUNTIF(connections!$B$2:$B$1188,$A92))</f>
        <v>9</v>
      </c>
      <c r="E92">
        <f t="shared" si="12"/>
        <v>4</v>
      </c>
      <c r="F92">
        <f t="shared" si="13"/>
        <v>24</v>
      </c>
      <c r="G92" t="e">
        <f t="shared" si="14"/>
        <v>#N/A</v>
      </c>
      <c r="H92" t="e">
        <f t="shared" si="15"/>
        <v>#N/A</v>
      </c>
      <c r="I92" t="e">
        <f t="shared" si="16"/>
        <v>#N/A</v>
      </c>
      <c r="J92" t="e">
        <f t="shared" si="17"/>
        <v>#N/A</v>
      </c>
      <c r="K92" t="e">
        <f t="shared" si="18"/>
        <v>#N/A</v>
      </c>
      <c r="L92" t="e">
        <f t="shared" si="19"/>
        <v>#N/A</v>
      </c>
      <c r="M92">
        <f t="shared" si="20"/>
        <v>2009</v>
      </c>
      <c r="N92">
        <f t="shared" si="21"/>
        <v>4.5519999999999996</v>
      </c>
      <c r="O92">
        <f t="shared" si="22"/>
        <v>9.0000920000000004</v>
      </c>
      <c r="T92">
        <f>IF(connections!$A92="","",IFERROR(INDEX(games!$B$2:$B$834,MATCH(connections!$A92,games!$A$2:$A$834,0)),""))</f>
        <v>2023</v>
      </c>
      <c r="U92">
        <f>IF(connections!$A92="","",IFERROR(INDEX(games!$B$2:$B$834,MATCH(connections!$B92,games!$A$2:$A$834,0)),""))</f>
        <v>2025</v>
      </c>
      <c r="V92">
        <f t="shared" si="23"/>
        <v>2</v>
      </c>
    </row>
    <row r="93" spans="1:22" x14ac:dyDescent="0.25">
      <c r="A93" t="str">
        <f>IF(games!$A93="","",games!$A93)</f>
        <v>BroomSweeper</v>
      </c>
      <c r="B93">
        <f>IF($A93="","",games!$B93)</f>
        <v>2026</v>
      </c>
      <c r="C93" t="str">
        <f>IF($A93="","",games!$C93)</f>
        <v>Strategy</v>
      </c>
      <c r="D93">
        <f>IF($A93="","",COUNTIF(connections!$A$2:$A$1188,$A93)+COUNTIF(connections!$B$2:$B$1188,$A93))</f>
        <v>4</v>
      </c>
      <c r="E93">
        <f t="shared" si="12"/>
        <v>2</v>
      </c>
      <c r="F93">
        <f t="shared" si="13"/>
        <v>25</v>
      </c>
      <c r="G93" t="e">
        <f t="shared" si="14"/>
        <v>#N/A</v>
      </c>
      <c r="H93" t="e">
        <f t="shared" si="15"/>
        <v>#N/A</v>
      </c>
      <c r="I93">
        <f t="shared" si="16"/>
        <v>2026</v>
      </c>
      <c r="J93">
        <f t="shared" si="17"/>
        <v>2.5750000000000002</v>
      </c>
      <c r="K93" t="e">
        <f t="shared" si="18"/>
        <v>#N/A</v>
      </c>
      <c r="L93" t="e">
        <f t="shared" si="19"/>
        <v>#N/A</v>
      </c>
      <c r="M93" t="e">
        <f t="shared" si="20"/>
        <v>#N/A</v>
      </c>
      <c r="N93" t="e">
        <f t="shared" si="21"/>
        <v>#N/A</v>
      </c>
      <c r="O93">
        <f t="shared" si="22"/>
        <v>4.0000929999999997</v>
      </c>
      <c r="T93">
        <f>IF(connections!$A93="","",IFERROR(INDEX(games!$B$2:$B$834,MATCH(connections!$A93,games!$A$2:$A$834,0)),""))</f>
        <v>2023</v>
      </c>
      <c r="U93">
        <f>IF(connections!$A93="","",IFERROR(INDEX(games!$B$2:$B$834,MATCH(connections!$B93,games!$A$2:$A$834,0)),""))</f>
        <v>2025</v>
      </c>
      <c r="V93">
        <f t="shared" si="23"/>
        <v>2</v>
      </c>
    </row>
    <row r="94" spans="1:22" x14ac:dyDescent="0.25">
      <c r="A94" t="str">
        <f>IF(games!$A94="","",games!$A94)</f>
        <v>Brotato</v>
      </c>
      <c r="B94">
        <f>IF($A94="","",games!$B94)</f>
        <v>2022</v>
      </c>
      <c r="C94" t="str">
        <f>IF($A94="","",games!$C94)</f>
        <v>Action</v>
      </c>
      <c r="D94">
        <f>IF($A94="","",COUNTIF(connections!$A$2:$A$1188,$A94)+COUNTIF(connections!$B$2:$B$1188,$A94))</f>
        <v>12</v>
      </c>
      <c r="E94">
        <f t="shared" si="12"/>
        <v>1</v>
      </c>
      <c r="F94">
        <f t="shared" si="13"/>
        <v>26</v>
      </c>
      <c r="G94">
        <f t="shared" si="14"/>
        <v>2022</v>
      </c>
      <c r="H94">
        <f t="shared" si="15"/>
        <v>1.5979999999999999</v>
      </c>
      <c r="I94" t="e">
        <f t="shared" si="16"/>
        <v>#N/A</v>
      </c>
      <c r="J94" t="e">
        <f t="shared" si="17"/>
        <v>#N/A</v>
      </c>
      <c r="K94" t="e">
        <f t="shared" si="18"/>
        <v>#N/A</v>
      </c>
      <c r="L94" t="e">
        <f t="shared" si="19"/>
        <v>#N/A</v>
      </c>
      <c r="M94" t="e">
        <f t="shared" si="20"/>
        <v>#N/A</v>
      </c>
      <c r="N94" t="e">
        <f t="shared" si="21"/>
        <v>#N/A</v>
      </c>
      <c r="O94">
        <f t="shared" si="22"/>
        <v>12.000094000000001</v>
      </c>
      <c r="T94">
        <f>IF(connections!$A94="","",IFERROR(INDEX(games!$B$2:$B$834,MATCH(connections!$A94,games!$A$2:$A$834,0)),""))</f>
        <v>2023</v>
      </c>
      <c r="U94">
        <f>IF(connections!$A94="","",IFERROR(INDEX(games!$B$2:$B$834,MATCH(connections!$B94,games!$A$2:$A$834,0)),""))</f>
        <v>2025</v>
      </c>
      <c r="V94">
        <f t="shared" si="23"/>
        <v>2</v>
      </c>
    </row>
    <row r="95" spans="1:22" x14ac:dyDescent="0.25">
      <c r="A95" t="str">
        <f>IF(games!$A95="","",games!$A95)</f>
        <v>Brutal Orchestra</v>
      </c>
      <c r="B95">
        <f>IF($A95="","",games!$B95)</f>
        <v>2021</v>
      </c>
      <c r="C95" t="str">
        <f>IF($A95="","",games!$C95)</f>
        <v>Strategy</v>
      </c>
      <c r="D95">
        <f>IF($A95="","",COUNTIF(connections!$A$2:$A$1188,$A95)+COUNTIF(connections!$B$2:$B$1188,$A95))</f>
        <v>3</v>
      </c>
      <c r="E95">
        <f t="shared" si="12"/>
        <v>2</v>
      </c>
      <c r="F95">
        <f t="shared" si="13"/>
        <v>27</v>
      </c>
      <c r="G95" t="e">
        <f t="shared" si="14"/>
        <v>#N/A</v>
      </c>
      <c r="H95" t="e">
        <f t="shared" si="15"/>
        <v>#N/A</v>
      </c>
      <c r="I95">
        <f t="shared" si="16"/>
        <v>2021</v>
      </c>
      <c r="J95">
        <f t="shared" si="17"/>
        <v>2.621</v>
      </c>
      <c r="K95" t="e">
        <f t="shared" si="18"/>
        <v>#N/A</v>
      </c>
      <c r="L95" t="e">
        <f t="shared" si="19"/>
        <v>#N/A</v>
      </c>
      <c r="M95" t="e">
        <f t="shared" si="20"/>
        <v>#N/A</v>
      </c>
      <c r="N95" t="e">
        <f t="shared" si="21"/>
        <v>#N/A</v>
      </c>
      <c r="O95">
        <f t="shared" si="22"/>
        <v>3.000095</v>
      </c>
      <c r="T95">
        <f>IF(connections!$A95="","",IFERROR(INDEX(games!$B$2:$B$834,MATCH(connections!$A95,games!$A$2:$A$834,0)),""))</f>
        <v>2023</v>
      </c>
      <c r="U95">
        <f>IF(connections!$A95="","",IFERROR(INDEX(games!$B$2:$B$834,MATCH(connections!$B95,games!$A$2:$A$834,0)),""))</f>
        <v>2025</v>
      </c>
      <c r="V95">
        <f t="shared" si="23"/>
        <v>2</v>
      </c>
    </row>
    <row r="96" spans="1:22" x14ac:dyDescent="0.25">
      <c r="A96" t="str">
        <f>IF(games!$A96="","",games!$A96)</f>
        <v>Buckshot Roulette</v>
      </c>
      <c r="B96">
        <f>IF($A96="","",games!$B96)</f>
        <v>2023</v>
      </c>
      <c r="C96" t="str">
        <f>IF($A96="","",games!$C96)</f>
        <v>Strategy</v>
      </c>
      <c r="D96">
        <f>IF($A96="","",COUNTIF(connections!$A$2:$A$1188,$A96)+COUNTIF(connections!$B$2:$B$1188,$A96))</f>
        <v>1</v>
      </c>
      <c r="E96">
        <f t="shared" si="12"/>
        <v>2</v>
      </c>
      <c r="F96">
        <f t="shared" si="13"/>
        <v>28</v>
      </c>
      <c r="G96" t="e">
        <f t="shared" si="14"/>
        <v>#N/A</v>
      </c>
      <c r="H96" t="e">
        <f t="shared" si="15"/>
        <v>#N/A</v>
      </c>
      <c r="I96">
        <f t="shared" si="16"/>
        <v>2023</v>
      </c>
      <c r="J96">
        <f t="shared" si="17"/>
        <v>2.6440000000000001</v>
      </c>
      <c r="K96" t="e">
        <f t="shared" si="18"/>
        <v>#N/A</v>
      </c>
      <c r="L96" t="e">
        <f t="shared" si="19"/>
        <v>#N/A</v>
      </c>
      <c r="M96" t="e">
        <f t="shared" si="20"/>
        <v>#N/A</v>
      </c>
      <c r="N96" t="e">
        <f t="shared" si="21"/>
        <v>#N/A</v>
      </c>
      <c r="O96">
        <f t="shared" si="22"/>
        <v>1.0000960000000001</v>
      </c>
      <c r="T96">
        <f>IF(connections!$A96="","",IFERROR(INDEX(games!$B$2:$B$834,MATCH(connections!$A96,games!$A$2:$A$834,0)),""))</f>
        <v>2023</v>
      </c>
      <c r="U96">
        <f>IF(connections!$A96="","",IFERROR(INDEX(games!$B$2:$B$834,MATCH(connections!$B96,games!$A$2:$A$834,0)),""))</f>
        <v>2025</v>
      </c>
      <c r="V96">
        <f t="shared" si="23"/>
        <v>2</v>
      </c>
    </row>
    <row r="97" spans="1:22" x14ac:dyDescent="0.25">
      <c r="A97" t="str">
        <f>IF(games!$A97="","",games!$A97)</f>
        <v>Candies 'n Curses</v>
      </c>
      <c r="B97">
        <f>IF($A97="","",games!$B97)</f>
        <v>2018</v>
      </c>
      <c r="C97" t="str">
        <f>IF($A97="","",games!$C97)</f>
        <v>Action</v>
      </c>
      <c r="D97">
        <f>IF($A97="","",COUNTIF(connections!$A$2:$A$1188,$A97)+COUNTIF(connections!$B$2:$B$1188,$A97))</f>
        <v>1</v>
      </c>
      <c r="E97">
        <f t="shared" si="12"/>
        <v>1</v>
      </c>
      <c r="F97">
        <f t="shared" si="13"/>
        <v>29</v>
      </c>
      <c r="G97">
        <f t="shared" si="14"/>
        <v>2018</v>
      </c>
      <c r="H97">
        <f t="shared" si="15"/>
        <v>1.667</v>
      </c>
      <c r="I97" t="e">
        <f t="shared" si="16"/>
        <v>#N/A</v>
      </c>
      <c r="J97" t="e">
        <f t="shared" si="17"/>
        <v>#N/A</v>
      </c>
      <c r="K97" t="e">
        <f t="shared" si="18"/>
        <v>#N/A</v>
      </c>
      <c r="L97" t="e">
        <f t="shared" si="19"/>
        <v>#N/A</v>
      </c>
      <c r="M97" t="e">
        <f t="shared" si="20"/>
        <v>#N/A</v>
      </c>
      <c r="N97" t="e">
        <f t="shared" si="21"/>
        <v>#N/A</v>
      </c>
      <c r="O97">
        <f t="shared" si="22"/>
        <v>1.000097</v>
      </c>
      <c r="T97">
        <f>IF(connections!$A97="","",IFERROR(INDEX(games!$B$2:$B$834,MATCH(connections!$A97,games!$A$2:$A$834,0)),""))</f>
        <v>2023</v>
      </c>
      <c r="U97">
        <f>IF(connections!$A97="","",IFERROR(INDEX(games!$B$2:$B$834,MATCH(connections!$B97,games!$A$2:$A$834,0)),""))</f>
        <v>2025</v>
      </c>
      <c r="V97">
        <f t="shared" si="23"/>
        <v>2</v>
      </c>
    </row>
    <row r="98" spans="1:22" x14ac:dyDescent="0.25">
      <c r="A98" t="str">
        <f>IF(games!$A98="","",games!$A98)</f>
        <v>Captain Forever Remix</v>
      </c>
      <c r="B98">
        <f>IF($A98="","",games!$B98)</f>
        <v>2016</v>
      </c>
      <c r="C98" t="str">
        <f>IF($A98="","",games!$C98)</f>
        <v>Action</v>
      </c>
      <c r="D98">
        <f>IF($A98="","",COUNTIF(connections!$A$2:$A$1188,$A98)+COUNTIF(connections!$B$2:$B$1188,$A98))</f>
        <v>0</v>
      </c>
      <c r="E98">
        <f t="shared" si="12"/>
        <v>1</v>
      </c>
      <c r="F98">
        <f t="shared" si="13"/>
        <v>30</v>
      </c>
      <c r="G98">
        <f t="shared" si="14"/>
        <v>2016</v>
      </c>
      <c r="H98">
        <f t="shared" si="15"/>
        <v>1.69</v>
      </c>
      <c r="I98" t="e">
        <f t="shared" si="16"/>
        <v>#N/A</v>
      </c>
      <c r="J98" t="e">
        <f t="shared" si="17"/>
        <v>#N/A</v>
      </c>
      <c r="K98" t="e">
        <f t="shared" si="18"/>
        <v>#N/A</v>
      </c>
      <c r="L98" t="e">
        <f t="shared" si="19"/>
        <v>#N/A</v>
      </c>
      <c r="M98" t="e">
        <f t="shared" si="20"/>
        <v>#N/A</v>
      </c>
      <c r="N98" t="e">
        <f t="shared" si="21"/>
        <v>#N/A</v>
      </c>
      <c r="O98">
        <f t="shared" si="22"/>
        <v>9.7999999999999997E-5</v>
      </c>
      <c r="T98">
        <f>IF(connections!$A98="","",IFERROR(INDEX(games!$B$2:$B$834,MATCH(connections!$A98,games!$A$2:$A$834,0)),""))</f>
        <v>2023</v>
      </c>
      <c r="U98">
        <f>IF(connections!$A98="","",IFERROR(INDEX(games!$B$2:$B$834,MATCH(connections!$B98,games!$A$2:$A$834,0)),""))</f>
        <v>2025</v>
      </c>
      <c r="V98">
        <f t="shared" si="23"/>
        <v>2</v>
      </c>
    </row>
    <row r="99" spans="1:22" x14ac:dyDescent="0.25">
      <c r="A99" t="str">
        <f>IF(games!$A99="","",games!$A99)</f>
        <v>Cardinal Quest</v>
      </c>
      <c r="B99">
        <f>IF($A99="","",games!$B99)</f>
        <v>2010</v>
      </c>
      <c r="C99" t="str">
        <f>IF($A99="","",games!$C99)</f>
        <v>Traditional</v>
      </c>
      <c r="D99">
        <f>IF($A99="","",COUNTIF(connections!$A$2:$A$1188,$A99)+COUNTIF(connections!$B$2:$B$1188,$A99))</f>
        <v>5</v>
      </c>
      <c r="E99">
        <f t="shared" si="12"/>
        <v>4</v>
      </c>
      <c r="F99">
        <f t="shared" si="13"/>
        <v>31</v>
      </c>
      <c r="G99" t="e">
        <f t="shared" si="14"/>
        <v>#N/A</v>
      </c>
      <c r="H99" t="e">
        <f t="shared" si="15"/>
        <v>#N/A</v>
      </c>
      <c r="I99" t="e">
        <f t="shared" si="16"/>
        <v>#N/A</v>
      </c>
      <c r="J99" t="e">
        <f t="shared" si="17"/>
        <v>#N/A</v>
      </c>
      <c r="K99" t="e">
        <f t="shared" si="18"/>
        <v>#N/A</v>
      </c>
      <c r="L99" t="e">
        <f t="shared" si="19"/>
        <v>#N/A</v>
      </c>
      <c r="M99">
        <f t="shared" si="20"/>
        <v>2010</v>
      </c>
      <c r="N99">
        <f t="shared" si="21"/>
        <v>4.7130000000000001</v>
      </c>
      <c r="O99">
        <f t="shared" si="22"/>
        <v>5.0000989999999996</v>
      </c>
      <c r="T99">
        <f>IF(connections!$A99="","",IFERROR(INDEX(games!$B$2:$B$834,MATCH(connections!$A99,games!$A$2:$A$834,0)),""))</f>
        <v>2023</v>
      </c>
      <c r="U99">
        <f>IF(connections!$A99="","",IFERROR(INDEX(games!$B$2:$B$834,MATCH(connections!$B99,games!$A$2:$A$834,0)),""))</f>
        <v>2025</v>
      </c>
      <c r="V99">
        <f t="shared" si="23"/>
        <v>2</v>
      </c>
    </row>
    <row r="100" spans="1:22" x14ac:dyDescent="0.25">
      <c r="A100" t="str">
        <f>IF(games!$A100="","",games!$A100)</f>
        <v>Cardinal Quest 2</v>
      </c>
      <c r="B100">
        <f>IF($A100="","",games!$B100)</f>
        <v>2014</v>
      </c>
      <c r="C100" t="str">
        <f>IF($A100="","",games!$C100)</f>
        <v>Traditional</v>
      </c>
      <c r="D100">
        <f>IF($A100="","",COUNTIF(connections!$A$2:$A$1188,$A100)+COUNTIF(connections!$B$2:$B$1188,$A100))</f>
        <v>1</v>
      </c>
      <c r="E100">
        <f t="shared" si="12"/>
        <v>4</v>
      </c>
      <c r="F100">
        <f t="shared" si="13"/>
        <v>32</v>
      </c>
      <c r="G100" t="e">
        <f t="shared" si="14"/>
        <v>#N/A</v>
      </c>
      <c r="H100" t="e">
        <f t="shared" si="15"/>
        <v>#N/A</v>
      </c>
      <c r="I100" t="e">
        <f t="shared" si="16"/>
        <v>#N/A</v>
      </c>
      <c r="J100" t="e">
        <f t="shared" si="17"/>
        <v>#N/A</v>
      </c>
      <c r="K100" t="e">
        <f t="shared" si="18"/>
        <v>#N/A</v>
      </c>
      <c r="L100" t="e">
        <f t="shared" si="19"/>
        <v>#N/A</v>
      </c>
      <c r="M100">
        <f t="shared" si="20"/>
        <v>2014</v>
      </c>
      <c r="N100">
        <f t="shared" si="21"/>
        <v>4.7359999999999998</v>
      </c>
      <c r="O100">
        <f t="shared" si="22"/>
        <v>1.0001</v>
      </c>
      <c r="T100">
        <f>IF(connections!$A100="","",IFERROR(INDEX(games!$B$2:$B$834,MATCH(connections!$A100,games!$A$2:$A$834,0)),""))</f>
        <v>2023</v>
      </c>
      <c r="U100">
        <f>IF(connections!$A100="","",IFERROR(INDEX(games!$B$2:$B$834,MATCH(connections!$B100,games!$A$2:$A$834,0)),""))</f>
        <v>2026</v>
      </c>
      <c r="V100">
        <f t="shared" si="23"/>
        <v>3</v>
      </c>
    </row>
    <row r="101" spans="1:22" x14ac:dyDescent="0.25">
      <c r="A101" t="str">
        <f>IF(games!$A101="","",games!$A101)</f>
        <v>Castle of the Winds</v>
      </c>
      <c r="B101">
        <f>IF($A101="","",games!$B101)</f>
        <v>1994</v>
      </c>
      <c r="C101" t="str">
        <f>IF($A101="","",games!$C101)</f>
        <v>Traditional</v>
      </c>
      <c r="D101">
        <f>IF($A101="","",COUNTIF(connections!$A$2:$A$1188,$A101)+COUNTIF(connections!$B$2:$B$1188,$A101))</f>
        <v>2</v>
      </c>
      <c r="E101">
        <f t="shared" si="12"/>
        <v>4</v>
      </c>
      <c r="F101">
        <f t="shared" si="13"/>
        <v>33</v>
      </c>
      <c r="G101" t="e">
        <f t="shared" si="14"/>
        <v>#N/A</v>
      </c>
      <c r="H101" t="e">
        <f t="shared" si="15"/>
        <v>#N/A</v>
      </c>
      <c r="I101" t="e">
        <f t="shared" si="16"/>
        <v>#N/A</v>
      </c>
      <c r="J101" t="e">
        <f t="shared" si="17"/>
        <v>#N/A</v>
      </c>
      <c r="K101" t="e">
        <f t="shared" si="18"/>
        <v>#N/A</v>
      </c>
      <c r="L101" t="e">
        <f t="shared" si="19"/>
        <v>#N/A</v>
      </c>
      <c r="M101">
        <f t="shared" si="20"/>
        <v>1994</v>
      </c>
      <c r="N101">
        <f t="shared" si="21"/>
        <v>4.7590000000000003</v>
      </c>
      <c r="O101">
        <f t="shared" si="22"/>
        <v>2.0001009999999999</v>
      </c>
      <c r="T101">
        <f>IF(connections!$A101="","",IFERROR(INDEX(games!$B$2:$B$834,MATCH(connections!$A101,games!$A$2:$A$834,0)),""))</f>
        <v>2024</v>
      </c>
      <c r="U101">
        <f>IF(connections!$A101="","",IFERROR(INDEX(games!$B$2:$B$834,MATCH(connections!$B101,games!$A$2:$A$834,0)),""))</f>
        <v>2026</v>
      </c>
      <c r="V101">
        <f t="shared" si="23"/>
        <v>2</v>
      </c>
    </row>
    <row r="102" spans="1:22" x14ac:dyDescent="0.25">
      <c r="A102" t="str">
        <f>IF(games!$A102="","",games!$A102)</f>
        <v>CastlevaniaRL</v>
      </c>
      <c r="B102">
        <f>IF($A102="","",games!$B102)</f>
        <v>2005</v>
      </c>
      <c r="C102" t="str">
        <f>IF($A102="","",games!$C102)</f>
        <v>Traditional</v>
      </c>
      <c r="D102">
        <f>IF($A102="","",COUNTIF(connections!$A$2:$A$1188,$A102)+COUNTIF(connections!$B$2:$B$1188,$A102))</f>
        <v>1</v>
      </c>
      <c r="E102">
        <f t="shared" si="12"/>
        <v>4</v>
      </c>
      <c r="F102">
        <f t="shared" si="13"/>
        <v>0</v>
      </c>
      <c r="G102" t="e">
        <f t="shared" si="14"/>
        <v>#N/A</v>
      </c>
      <c r="H102" t="e">
        <f t="shared" si="15"/>
        <v>#N/A</v>
      </c>
      <c r="I102" t="e">
        <f t="shared" si="16"/>
        <v>#N/A</v>
      </c>
      <c r="J102" t="e">
        <f t="shared" si="17"/>
        <v>#N/A</v>
      </c>
      <c r="K102" t="e">
        <f t="shared" si="18"/>
        <v>#N/A</v>
      </c>
      <c r="L102" t="e">
        <f t="shared" si="19"/>
        <v>#N/A</v>
      </c>
      <c r="M102">
        <f t="shared" si="20"/>
        <v>2005</v>
      </c>
      <c r="N102">
        <f t="shared" si="21"/>
        <v>4</v>
      </c>
      <c r="O102">
        <f t="shared" si="22"/>
        <v>1.000102</v>
      </c>
      <c r="T102">
        <f>IF(connections!$A102="","",IFERROR(INDEX(games!$B$2:$B$834,MATCH(connections!$A102,games!$A$2:$A$834,0)),""))</f>
        <v>2024</v>
      </c>
      <c r="U102">
        <f>IF(connections!$A102="","",IFERROR(INDEX(games!$B$2:$B$834,MATCH(connections!$B102,games!$A$2:$A$834,0)),""))</f>
        <v>2025</v>
      </c>
      <c r="V102">
        <f t="shared" si="23"/>
        <v>1</v>
      </c>
    </row>
    <row r="103" spans="1:22" x14ac:dyDescent="0.25">
      <c r="A103" t="str">
        <f>IF(games!$A103="","",games!$A103)</f>
        <v>Cat God Ranch</v>
      </c>
      <c r="B103">
        <f>IF($A103="","",games!$B103)</f>
        <v>2024</v>
      </c>
      <c r="C103" t="str">
        <f>IF($A103="","",games!$C103)</f>
        <v>Deckbuilder</v>
      </c>
      <c r="D103">
        <f>IF($A103="","",COUNTIF(connections!$A$2:$A$1188,$A103)+COUNTIF(connections!$B$2:$B$1188,$A103))</f>
        <v>1</v>
      </c>
      <c r="E103">
        <f t="shared" si="12"/>
        <v>3</v>
      </c>
      <c r="F103">
        <f t="shared" si="13"/>
        <v>1</v>
      </c>
      <c r="G103" t="e">
        <f t="shared" si="14"/>
        <v>#N/A</v>
      </c>
      <c r="H103" t="e">
        <f t="shared" si="15"/>
        <v>#N/A</v>
      </c>
      <c r="I103" t="e">
        <f t="shared" si="16"/>
        <v>#N/A</v>
      </c>
      <c r="J103" t="e">
        <f t="shared" si="17"/>
        <v>#N/A</v>
      </c>
      <c r="K103">
        <f t="shared" si="18"/>
        <v>2024</v>
      </c>
      <c r="L103">
        <f t="shared" si="19"/>
        <v>3.0230000000000001</v>
      </c>
      <c r="M103" t="e">
        <f t="shared" si="20"/>
        <v>#N/A</v>
      </c>
      <c r="N103" t="e">
        <f t="shared" si="21"/>
        <v>#N/A</v>
      </c>
      <c r="O103">
        <f t="shared" si="22"/>
        <v>1.000103</v>
      </c>
      <c r="T103">
        <f>IF(connections!$A103="","",IFERROR(INDEX(games!$B$2:$B$834,MATCH(connections!$A103,games!$A$2:$A$834,0)),""))</f>
        <v>1998</v>
      </c>
      <c r="U103">
        <f>IF(connections!$A103="","",IFERROR(INDEX(games!$B$2:$B$834,MATCH(connections!$B103,games!$A$2:$A$834,0)),""))</f>
        <v>2007</v>
      </c>
      <c r="V103">
        <f t="shared" si="23"/>
        <v>9</v>
      </c>
    </row>
    <row r="104" spans="1:22" x14ac:dyDescent="0.25">
      <c r="A104" t="str">
        <f>IF(games!$A104="","",games!$A104)</f>
        <v>Cataclysm</v>
      </c>
      <c r="B104">
        <f>IF($A104="","",games!$B104)</f>
        <v>2010</v>
      </c>
      <c r="C104" t="str">
        <f>IF($A104="","",games!$C104)</f>
        <v>Traditional</v>
      </c>
      <c r="D104">
        <f>IF($A104="","",COUNTIF(connections!$A$2:$A$1188,$A104)+COUNTIF(connections!$B$2:$B$1188,$A104))</f>
        <v>4</v>
      </c>
      <c r="E104">
        <f t="shared" si="12"/>
        <v>4</v>
      </c>
      <c r="F104">
        <f t="shared" si="13"/>
        <v>2</v>
      </c>
      <c r="G104" t="e">
        <f t="shared" si="14"/>
        <v>#N/A</v>
      </c>
      <c r="H104" t="e">
        <f t="shared" si="15"/>
        <v>#N/A</v>
      </c>
      <c r="I104" t="e">
        <f t="shared" si="16"/>
        <v>#N/A</v>
      </c>
      <c r="J104" t="e">
        <f t="shared" si="17"/>
        <v>#N/A</v>
      </c>
      <c r="K104" t="e">
        <f t="shared" si="18"/>
        <v>#N/A</v>
      </c>
      <c r="L104" t="e">
        <f t="shared" si="19"/>
        <v>#N/A</v>
      </c>
      <c r="M104">
        <f t="shared" si="20"/>
        <v>2010</v>
      </c>
      <c r="N104">
        <f t="shared" si="21"/>
        <v>4.0460000000000003</v>
      </c>
      <c r="O104">
        <f t="shared" si="22"/>
        <v>4.0001040000000003</v>
      </c>
      <c r="T104">
        <f>IF(connections!$A104="","",IFERROR(INDEX(games!$B$2:$B$834,MATCH(connections!$A104,games!$A$2:$A$834,0)),""))</f>
        <v>2017</v>
      </c>
      <c r="U104">
        <f>IF(connections!$A104="","",IFERROR(INDEX(games!$B$2:$B$834,MATCH(connections!$B104,games!$A$2:$A$834,0)),""))</f>
        <v>2019</v>
      </c>
      <c r="V104">
        <f t="shared" si="23"/>
        <v>2</v>
      </c>
    </row>
    <row r="105" spans="1:22" x14ac:dyDescent="0.25">
      <c r="A105" t="str">
        <f>IF(games!$A105="","",games!$A105)</f>
        <v>Cataclysm: Bright Nights</v>
      </c>
      <c r="B105">
        <f>IF($A105="","",games!$B105)</f>
        <v>2020</v>
      </c>
      <c r="C105" t="str">
        <f>IF($A105="","",games!$C105)</f>
        <v>Traditional</v>
      </c>
      <c r="D105">
        <f>IF($A105="","",COUNTIF(connections!$A$2:$A$1188,$A105)+COUNTIF(connections!$B$2:$B$1188,$A105))</f>
        <v>1</v>
      </c>
      <c r="E105">
        <f t="shared" si="12"/>
        <v>4</v>
      </c>
      <c r="F105">
        <f t="shared" si="13"/>
        <v>3</v>
      </c>
      <c r="G105" t="e">
        <f t="shared" si="14"/>
        <v>#N/A</v>
      </c>
      <c r="H105" t="e">
        <f t="shared" si="15"/>
        <v>#N/A</v>
      </c>
      <c r="I105" t="e">
        <f t="shared" si="16"/>
        <v>#N/A</v>
      </c>
      <c r="J105" t="e">
        <f t="shared" si="17"/>
        <v>#N/A</v>
      </c>
      <c r="K105" t="e">
        <f t="shared" si="18"/>
        <v>#N/A</v>
      </c>
      <c r="L105" t="e">
        <f t="shared" si="19"/>
        <v>#N/A</v>
      </c>
      <c r="M105">
        <f t="shared" si="20"/>
        <v>2020</v>
      </c>
      <c r="N105">
        <f t="shared" si="21"/>
        <v>4.069</v>
      </c>
      <c r="O105">
        <f t="shared" si="22"/>
        <v>1.000105</v>
      </c>
      <c r="T105">
        <f>IF(connections!$A105="","",IFERROR(INDEX(games!$B$2:$B$834,MATCH(connections!$A105,games!$A$2:$A$834,0)),""))</f>
        <v>2017</v>
      </c>
      <c r="U105">
        <f>IF(connections!$A105="","",IFERROR(INDEX(games!$B$2:$B$834,MATCH(connections!$B105,games!$A$2:$A$834,0)),""))</f>
        <v>2021</v>
      </c>
      <c r="V105">
        <f t="shared" si="23"/>
        <v>4</v>
      </c>
    </row>
    <row r="106" spans="1:22" x14ac:dyDescent="0.25">
      <c r="A106" t="str">
        <f>IF(games!$A106="","",games!$A106)</f>
        <v>Cataclysm: Dark Days Ahead</v>
      </c>
      <c r="B106">
        <f>IF($A106="","",games!$B106)</f>
        <v>2013</v>
      </c>
      <c r="C106" t="str">
        <f>IF($A106="","",games!$C106)</f>
        <v>Traditional</v>
      </c>
      <c r="D106">
        <f>IF($A106="","",COUNTIF(connections!$A$2:$A$1188,$A106)+COUNTIF(connections!$B$2:$B$1188,$A106))</f>
        <v>2</v>
      </c>
      <c r="E106">
        <f t="shared" si="12"/>
        <v>4</v>
      </c>
      <c r="F106">
        <f t="shared" si="13"/>
        <v>4</v>
      </c>
      <c r="G106" t="e">
        <f t="shared" si="14"/>
        <v>#N/A</v>
      </c>
      <c r="H106" t="e">
        <f t="shared" si="15"/>
        <v>#N/A</v>
      </c>
      <c r="I106" t="e">
        <f t="shared" si="16"/>
        <v>#N/A</v>
      </c>
      <c r="J106" t="e">
        <f t="shared" si="17"/>
        <v>#N/A</v>
      </c>
      <c r="K106" t="e">
        <f t="shared" si="18"/>
        <v>#N/A</v>
      </c>
      <c r="L106" t="e">
        <f t="shared" si="19"/>
        <v>#N/A</v>
      </c>
      <c r="M106">
        <f t="shared" si="20"/>
        <v>2013</v>
      </c>
      <c r="N106">
        <f t="shared" si="21"/>
        <v>4.0919999999999996</v>
      </c>
      <c r="O106">
        <f t="shared" si="22"/>
        <v>2.0001060000000002</v>
      </c>
      <c r="T106">
        <f>IF(connections!$A106="","",IFERROR(INDEX(games!$B$2:$B$834,MATCH(connections!$A106,games!$A$2:$A$834,0)),""))</f>
        <v>2019</v>
      </c>
      <c r="U106">
        <f>IF(connections!$A106="","",IFERROR(INDEX(games!$B$2:$B$834,MATCH(connections!$B106,games!$A$2:$A$834,0)),""))</f>
        <v>2020</v>
      </c>
      <c r="V106">
        <f t="shared" si="23"/>
        <v>1</v>
      </c>
    </row>
    <row r="107" spans="1:22" x14ac:dyDescent="0.25">
      <c r="A107" t="str">
        <f>IF(games!$A107="","",games!$A107)</f>
        <v>Cataclysm: The Last Generation</v>
      </c>
      <c r="B107">
        <f>IF($A107="","",games!$B107)</f>
        <v>2025</v>
      </c>
      <c r="C107" t="str">
        <f>IF($A107="","",games!$C107)</f>
        <v>Traditional</v>
      </c>
      <c r="D107">
        <f>IF($A107="","",COUNTIF(connections!$A$2:$A$1188,$A107)+COUNTIF(connections!$B$2:$B$1188,$A107))</f>
        <v>1</v>
      </c>
      <c r="E107">
        <f t="shared" si="12"/>
        <v>4</v>
      </c>
      <c r="F107">
        <f t="shared" si="13"/>
        <v>5</v>
      </c>
      <c r="G107" t="e">
        <f t="shared" si="14"/>
        <v>#N/A</v>
      </c>
      <c r="H107" t="e">
        <f t="shared" si="15"/>
        <v>#N/A</v>
      </c>
      <c r="I107" t="e">
        <f t="shared" si="16"/>
        <v>#N/A</v>
      </c>
      <c r="J107" t="e">
        <f t="shared" si="17"/>
        <v>#N/A</v>
      </c>
      <c r="K107" t="e">
        <f t="shared" si="18"/>
        <v>#N/A</v>
      </c>
      <c r="L107" t="e">
        <f t="shared" si="19"/>
        <v>#N/A</v>
      </c>
      <c r="M107">
        <f t="shared" si="20"/>
        <v>2025</v>
      </c>
      <c r="N107">
        <f t="shared" si="21"/>
        <v>4.1150000000000002</v>
      </c>
      <c r="O107">
        <f t="shared" si="22"/>
        <v>1.0001070000000001</v>
      </c>
      <c r="T107">
        <f>IF(connections!$A107="","",IFERROR(INDEX(games!$B$2:$B$834,MATCH(connections!$A107,games!$A$2:$A$834,0)),""))</f>
        <v>2023</v>
      </c>
      <c r="U107">
        <f>IF(connections!$A107="","",IFERROR(INDEX(games!$B$2:$B$834,MATCH(connections!$B107,games!$A$2:$A$834,0)),""))</f>
        <v>2024</v>
      </c>
      <c r="V107">
        <f t="shared" si="23"/>
        <v>1</v>
      </c>
    </row>
    <row r="108" spans="1:22" x14ac:dyDescent="0.25">
      <c r="A108" t="str">
        <f>IF(games!$A108="","",games!$A108)</f>
        <v>Catacomb Kids</v>
      </c>
      <c r="B108">
        <f>IF($A108="","",games!$B108)</f>
        <v>2015</v>
      </c>
      <c r="C108" t="str">
        <f>IF($A108="","",games!$C108)</f>
        <v>Action</v>
      </c>
      <c r="D108">
        <f>IF($A108="","",COUNTIF(connections!$A$2:$A$1188,$A108)+COUNTIF(connections!$B$2:$B$1188,$A108))</f>
        <v>4</v>
      </c>
      <c r="E108">
        <f t="shared" si="12"/>
        <v>1</v>
      </c>
      <c r="F108">
        <f t="shared" si="13"/>
        <v>6</v>
      </c>
      <c r="G108">
        <f t="shared" si="14"/>
        <v>2015</v>
      </c>
      <c r="H108">
        <f t="shared" si="15"/>
        <v>1.1379999999999999</v>
      </c>
      <c r="I108" t="e">
        <f t="shared" si="16"/>
        <v>#N/A</v>
      </c>
      <c r="J108" t="e">
        <f t="shared" si="17"/>
        <v>#N/A</v>
      </c>
      <c r="K108" t="e">
        <f t="shared" si="18"/>
        <v>#N/A</v>
      </c>
      <c r="L108" t="e">
        <f t="shared" si="19"/>
        <v>#N/A</v>
      </c>
      <c r="M108" t="e">
        <f t="shared" si="20"/>
        <v>#N/A</v>
      </c>
      <c r="N108" t="e">
        <f t="shared" si="21"/>
        <v>#N/A</v>
      </c>
      <c r="O108">
        <f t="shared" si="22"/>
        <v>4.000108</v>
      </c>
      <c r="T108">
        <f>IF(connections!$A108="","",IFERROR(INDEX(games!$B$2:$B$834,MATCH(connections!$A108,games!$A$2:$A$834,0)),""))</f>
        <v>2022</v>
      </c>
      <c r="U108">
        <f>IF(connections!$A108="","",IFERROR(INDEX(games!$B$2:$B$834,MATCH(connections!$B108,games!$A$2:$A$834,0)),""))</f>
        <v>2024</v>
      </c>
      <c r="V108">
        <f t="shared" si="23"/>
        <v>2</v>
      </c>
    </row>
    <row r="109" spans="1:22" x14ac:dyDescent="0.25">
      <c r="A109" t="str">
        <f>IF(games!$A109="","",games!$A109)</f>
        <v>Cats &amp; Dice</v>
      </c>
      <c r="B109">
        <f>IF($A109="","",games!$B109)</f>
        <v>2025</v>
      </c>
      <c r="C109" t="str">
        <f>IF($A109="","",games!$C109)</f>
        <v>Deckbuilder</v>
      </c>
      <c r="D109">
        <f>IF($A109="","",COUNTIF(connections!$A$2:$A$1188,$A109)+COUNTIF(connections!$B$2:$B$1188,$A109))</f>
        <v>2</v>
      </c>
      <c r="E109">
        <f t="shared" si="12"/>
        <v>3</v>
      </c>
      <c r="F109">
        <f t="shared" si="13"/>
        <v>7</v>
      </c>
      <c r="G109" t="e">
        <f t="shared" si="14"/>
        <v>#N/A</v>
      </c>
      <c r="H109" t="e">
        <f t="shared" si="15"/>
        <v>#N/A</v>
      </c>
      <c r="I109" t="e">
        <f t="shared" si="16"/>
        <v>#N/A</v>
      </c>
      <c r="J109" t="e">
        <f t="shared" si="17"/>
        <v>#N/A</v>
      </c>
      <c r="K109">
        <f t="shared" si="18"/>
        <v>2025</v>
      </c>
      <c r="L109">
        <f t="shared" si="19"/>
        <v>3.161</v>
      </c>
      <c r="M109" t="e">
        <f t="shared" si="20"/>
        <v>#N/A</v>
      </c>
      <c r="N109" t="e">
        <f t="shared" si="21"/>
        <v>#N/A</v>
      </c>
      <c r="O109">
        <f t="shared" si="22"/>
        <v>2.0001090000000001</v>
      </c>
      <c r="T109">
        <f>IF(connections!$A109="","",IFERROR(INDEX(games!$B$2:$B$834,MATCH(connections!$A109,games!$A$2:$A$834,0)),""))</f>
        <v>2022</v>
      </c>
      <c r="U109">
        <f>IF(connections!$A109="","",IFERROR(INDEX(games!$B$2:$B$834,MATCH(connections!$B109,games!$A$2:$A$834,0)),""))</f>
        <v>2024</v>
      </c>
      <c r="V109">
        <f t="shared" si="23"/>
        <v>2</v>
      </c>
    </row>
    <row r="110" spans="1:22" x14ac:dyDescent="0.25">
      <c r="A110" t="str">
        <f>IF(games!$A110="","",games!$A110)</f>
        <v>Cave Noire</v>
      </c>
      <c r="B110">
        <f>IF($A110="","",games!$B110)</f>
        <v>1991</v>
      </c>
      <c r="C110" t="str">
        <f>IF($A110="","",games!$C110)</f>
        <v>Traditional</v>
      </c>
      <c r="D110">
        <f>IF($A110="","",COUNTIF(connections!$A$2:$A$1188,$A110)+COUNTIF(connections!$B$2:$B$1188,$A110))</f>
        <v>1</v>
      </c>
      <c r="E110">
        <f t="shared" si="12"/>
        <v>4</v>
      </c>
      <c r="F110">
        <f t="shared" si="13"/>
        <v>8</v>
      </c>
      <c r="G110" t="e">
        <f t="shared" si="14"/>
        <v>#N/A</v>
      </c>
      <c r="H110" t="e">
        <f t="shared" si="15"/>
        <v>#N/A</v>
      </c>
      <c r="I110" t="e">
        <f t="shared" si="16"/>
        <v>#N/A</v>
      </c>
      <c r="J110" t="e">
        <f t="shared" si="17"/>
        <v>#N/A</v>
      </c>
      <c r="K110" t="e">
        <f t="shared" si="18"/>
        <v>#N/A</v>
      </c>
      <c r="L110" t="e">
        <f t="shared" si="19"/>
        <v>#N/A</v>
      </c>
      <c r="M110">
        <f t="shared" si="20"/>
        <v>1991</v>
      </c>
      <c r="N110">
        <f t="shared" si="21"/>
        <v>4.1840000000000002</v>
      </c>
      <c r="O110">
        <f t="shared" si="22"/>
        <v>1.0001100000000001</v>
      </c>
      <c r="T110">
        <f>IF(connections!$A110="","",IFERROR(INDEX(games!$B$2:$B$834,MATCH(connections!$A110,games!$A$2:$A$834,0)),""))</f>
        <v>2018</v>
      </c>
      <c r="U110">
        <f>IF(connections!$A110="","",IFERROR(INDEX(games!$B$2:$B$834,MATCH(connections!$B110,games!$A$2:$A$834,0)),""))</f>
        <v>2023</v>
      </c>
      <c r="V110">
        <f t="shared" si="23"/>
        <v>5</v>
      </c>
    </row>
    <row r="111" spans="1:22" x14ac:dyDescent="0.25">
      <c r="A111" t="str">
        <f>IF(games!$A111="","",games!$A111)</f>
        <v>Caveblazers</v>
      </c>
      <c r="B111">
        <f>IF($A111="","",games!$B111)</f>
        <v>2017</v>
      </c>
      <c r="C111" t="str">
        <f>IF($A111="","",games!$C111)</f>
        <v>Action</v>
      </c>
      <c r="D111">
        <f>IF($A111="","",COUNTIF(connections!$A$2:$A$1188,$A111)+COUNTIF(connections!$B$2:$B$1188,$A111))</f>
        <v>2</v>
      </c>
      <c r="E111">
        <f t="shared" si="12"/>
        <v>1</v>
      </c>
      <c r="F111">
        <f t="shared" si="13"/>
        <v>9</v>
      </c>
      <c r="G111">
        <f t="shared" si="14"/>
        <v>2017</v>
      </c>
      <c r="H111">
        <f t="shared" si="15"/>
        <v>1.2070000000000001</v>
      </c>
      <c r="I111" t="e">
        <f t="shared" si="16"/>
        <v>#N/A</v>
      </c>
      <c r="J111" t="e">
        <f t="shared" si="17"/>
        <v>#N/A</v>
      </c>
      <c r="K111" t="e">
        <f t="shared" si="18"/>
        <v>#N/A</v>
      </c>
      <c r="L111" t="e">
        <f t="shared" si="19"/>
        <v>#N/A</v>
      </c>
      <c r="M111" t="e">
        <f t="shared" si="20"/>
        <v>#N/A</v>
      </c>
      <c r="N111" t="e">
        <f t="shared" si="21"/>
        <v>#N/A</v>
      </c>
      <c r="O111">
        <f t="shared" si="22"/>
        <v>2.000111</v>
      </c>
      <c r="T111">
        <f>IF(connections!$A111="","",IFERROR(INDEX(games!$B$2:$B$834,MATCH(connections!$A111,games!$A$2:$A$834,0)),""))</f>
        <v>2022</v>
      </c>
      <c r="U111">
        <f>IF(connections!$A111="","",IFERROR(INDEX(games!$B$2:$B$834,MATCH(connections!$B111,games!$A$2:$A$834,0)),""))</f>
        <v>2026</v>
      </c>
      <c r="V111">
        <f t="shared" si="23"/>
        <v>4</v>
      </c>
    </row>
    <row r="112" spans="1:22" x14ac:dyDescent="0.25">
      <c r="A112" t="str">
        <f>IF(games!$A112="","",games!$A112)</f>
        <v>Caves of Qud</v>
      </c>
      <c r="B112">
        <f>IF($A112="","",games!$B112)</f>
        <v>2010</v>
      </c>
      <c r="C112" t="str">
        <f>IF($A112="","",games!$C112)</f>
        <v>Traditional</v>
      </c>
      <c r="D112">
        <f>IF($A112="","",COUNTIF(connections!$A$2:$A$1188,$A112)+COUNTIF(connections!$B$2:$B$1188,$A112))</f>
        <v>3</v>
      </c>
      <c r="E112">
        <f t="shared" si="12"/>
        <v>4</v>
      </c>
      <c r="F112">
        <f t="shared" si="13"/>
        <v>10</v>
      </c>
      <c r="G112" t="e">
        <f t="shared" si="14"/>
        <v>#N/A</v>
      </c>
      <c r="H112" t="e">
        <f t="shared" si="15"/>
        <v>#N/A</v>
      </c>
      <c r="I112" t="e">
        <f t="shared" si="16"/>
        <v>#N/A</v>
      </c>
      <c r="J112" t="e">
        <f t="shared" si="17"/>
        <v>#N/A</v>
      </c>
      <c r="K112" t="e">
        <f t="shared" si="18"/>
        <v>#N/A</v>
      </c>
      <c r="L112" t="e">
        <f t="shared" si="19"/>
        <v>#N/A</v>
      </c>
      <c r="M112">
        <f t="shared" si="20"/>
        <v>2010</v>
      </c>
      <c r="N112">
        <f t="shared" si="21"/>
        <v>4.2300000000000004</v>
      </c>
      <c r="O112">
        <f t="shared" si="22"/>
        <v>3.0001120000000001</v>
      </c>
      <c r="T112">
        <f>IF(connections!$A112="","",IFERROR(INDEX(games!$B$2:$B$834,MATCH(connections!$A112,games!$A$2:$A$834,0)),""))</f>
        <v>2009</v>
      </c>
      <c r="U112">
        <f>IF(connections!$A112="","",IFERROR(INDEX(games!$B$2:$B$834,MATCH(connections!$B112,games!$A$2:$A$834,0)),""))</f>
        <v>2025</v>
      </c>
      <c r="V112">
        <f t="shared" si="23"/>
        <v>16</v>
      </c>
    </row>
    <row r="113" spans="1:22" x14ac:dyDescent="0.25">
      <c r="A113" t="str">
        <f>IF(games!$A113="","",games!$A113)</f>
        <v>Cavity Busters</v>
      </c>
      <c r="B113">
        <f>IF($A113="","",games!$B113)</f>
        <v>2020</v>
      </c>
      <c r="C113" t="str">
        <f>IF($A113="","",games!$C113)</f>
        <v>Action</v>
      </c>
      <c r="D113">
        <f>IF($A113="","",COUNTIF(connections!$A$2:$A$1188,$A113)+COUNTIF(connections!$B$2:$B$1188,$A113))</f>
        <v>1</v>
      </c>
      <c r="E113">
        <f t="shared" si="12"/>
        <v>1</v>
      </c>
      <c r="F113">
        <f t="shared" si="13"/>
        <v>11</v>
      </c>
      <c r="G113">
        <f t="shared" si="14"/>
        <v>2020</v>
      </c>
      <c r="H113">
        <f t="shared" si="15"/>
        <v>1.2530000000000001</v>
      </c>
      <c r="I113" t="e">
        <f t="shared" si="16"/>
        <v>#N/A</v>
      </c>
      <c r="J113" t="e">
        <f t="shared" si="17"/>
        <v>#N/A</v>
      </c>
      <c r="K113" t="e">
        <f t="shared" si="18"/>
        <v>#N/A</v>
      </c>
      <c r="L113" t="e">
        <f t="shared" si="19"/>
        <v>#N/A</v>
      </c>
      <c r="M113" t="e">
        <f t="shared" si="20"/>
        <v>#N/A</v>
      </c>
      <c r="N113" t="e">
        <f t="shared" si="21"/>
        <v>#N/A</v>
      </c>
      <c r="O113">
        <f t="shared" si="22"/>
        <v>1.000113</v>
      </c>
      <c r="T113">
        <f>IF(connections!$A113="","",IFERROR(INDEX(games!$B$2:$B$834,MATCH(connections!$A113,games!$A$2:$A$834,0)),""))</f>
        <v>2009</v>
      </c>
      <c r="U113">
        <f>IF(connections!$A113="","",IFERROR(INDEX(games!$B$2:$B$834,MATCH(connections!$B113,games!$A$2:$A$834,0)),""))</f>
        <v>2020</v>
      </c>
      <c r="V113">
        <f t="shared" si="23"/>
        <v>11</v>
      </c>
    </row>
    <row r="114" spans="1:22" x14ac:dyDescent="0.25">
      <c r="A114" t="str">
        <f>IF(games!$A114="","",games!$A114)</f>
        <v>Cell Command</v>
      </c>
      <c r="B114">
        <f>IF($A114="","",games!$B114)</f>
        <v>2025</v>
      </c>
      <c r="C114" t="str">
        <f>IF($A114="","",games!$C114)</f>
        <v>Strategy</v>
      </c>
      <c r="D114">
        <f>IF($A114="","",COUNTIF(connections!$A$2:$A$1188,$A114)+COUNTIF(connections!$B$2:$B$1188,$A114))</f>
        <v>1</v>
      </c>
      <c r="E114">
        <f t="shared" si="12"/>
        <v>2</v>
      </c>
      <c r="F114">
        <f t="shared" si="13"/>
        <v>12</v>
      </c>
      <c r="G114" t="e">
        <f t="shared" si="14"/>
        <v>#N/A</v>
      </c>
      <c r="H114" t="e">
        <f t="shared" si="15"/>
        <v>#N/A</v>
      </c>
      <c r="I114">
        <f t="shared" si="16"/>
        <v>2025</v>
      </c>
      <c r="J114">
        <f t="shared" si="17"/>
        <v>2.2759999999999998</v>
      </c>
      <c r="K114" t="e">
        <f t="shared" si="18"/>
        <v>#N/A</v>
      </c>
      <c r="L114" t="e">
        <f t="shared" si="19"/>
        <v>#N/A</v>
      </c>
      <c r="M114" t="e">
        <f t="shared" si="20"/>
        <v>#N/A</v>
      </c>
      <c r="N114" t="e">
        <f t="shared" si="21"/>
        <v>#N/A</v>
      </c>
      <c r="O114">
        <f t="shared" si="22"/>
        <v>1.0001139999999999</v>
      </c>
      <c r="T114">
        <f>IF(connections!$A114="","",IFERROR(INDEX(games!$B$2:$B$834,MATCH(connections!$A114,games!$A$2:$A$834,0)),""))</f>
        <v>2009</v>
      </c>
      <c r="U114">
        <f>IF(connections!$A114="","",IFERROR(INDEX(games!$B$2:$B$834,MATCH(connections!$B114,games!$A$2:$A$834,0)),""))</f>
        <v>2023</v>
      </c>
      <c r="V114">
        <f t="shared" si="23"/>
        <v>14</v>
      </c>
    </row>
    <row r="115" spans="1:22" x14ac:dyDescent="0.25">
      <c r="A115" t="str">
        <f>IF(games!$A115="","",games!$A115)</f>
        <v>Centipede Gun</v>
      </c>
      <c r="B115">
        <f>IF($A115="","",games!$B115)</f>
        <v>2023</v>
      </c>
      <c r="C115" t="str">
        <f>IF($A115="","",games!$C115)</f>
        <v>Action</v>
      </c>
      <c r="D115">
        <f>IF($A115="","",COUNTIF(connections!$A$2:$A$1188,$A115)+COUNTIF(connections!$B$2:$B$1188,$A115))</f>
        <v>2</v>
      </c>
      <c r="E115">
        <f t="shared" si="12"/>
        <v>1</v>
      </c>
      <c r="F115">
        <f t="shared" si="13"/>
        <v>13</v>
      </c>
      <c r="G115">
        <f t="shared" si="14"/>
        <v>2023</v>
      </c>
      <c r="H115">
        <f t="shared" si="15"/>
        <v>1.2989999999999999</v>
      </c>
      <c r="I115" t="e">
        <f t="shared" si="16"/>
        <v>#N/A</v>
      </c>
      <c r="J115" t="e">
        <f t="shared" si="17"/>
        <v>#N/A</v>
      </c>
      <c r="K115" t="e">
        <f t="shared" si="18"/>
        <v>#N/A</v>
      </c>
      <c r="L115" t="e">
        <f t="shared" si="19"/>
        <v>#N/A</v>
      </c>
      <c r="M115" t="e">
        <f t="shared" si="20"/>
        <v>#N/A</v>
      </c>
      <c r="N115" t="e">
        <f t="shared" si="21"/>
        <v>#N/A</v>
      </c>
      <c r="O115">
        <f t="shared" si="22"/>
        <v>2.0001150000000001</v>
      </c>
      <c r="T115">
        <f>IF(connections!$A115="","",IFERROR(INDEX(games!$B$2:$B$834,MATCH(connections!$A115,games!$A$2:$A$834,0)),""))</f>
        <v>2009</v>
      </c>
      <c r="U115">
        <f>IF(connections!$A115="","",IFERROR(INDEX(games!$B$2:$B$834,MATCH(connections!$B115,games!$A$2:$A$834,0)),""))</f>
        <v>2012</v>
      </c>
      <c r="V115">
        <f t="shared" si="23"/>
        <v>3</v>
      </c>
    </row>
    <row r="116" spans="1:22" x14ac:dyDescent="0.25">
      <c r="A116" t="str">
        <f>IF(games!$A116="","",games!$A116)</f>
        <v>Chaos Zero Nightmare</v>
      </c>
      <c r="B116">
        <f>IF($A116="","",games!$B116)</f>
        <v>2025</v>
      </c>
      <c r="C116" t="str">
        <f>IF($A116="","",games!$C116)</f>
        <v>Deckbuilder</v>
      </c>
      <c r="D116">
        <f>IF($A116="","",COUNTIF(connections!$A$2:$A$1188,$A116)+COUNTIF(connections!$B$2:$B$1188,$A116))</f>
        <v>1</v>
      </c>
      <c r="E116">
        <f t="shared" si="12"/>
        <v>3</v>
      </c>
      <c r="F116">
        <f t="shared" si="13"/>
        <v>14</v>
      </c>
      <c r="G116" t="e">
        <f t="shared" si="14"/>
        <v>#N/A</v>
      </c>
      <c r="H116" t="e">
        <f t="shared" si="15"/>
        <v>#N/A</v>
      </c>
      <c r="I116" t="e">
        <f t="shared" si="16"/>
        <v>#N/A</v>
      </c>
      <c r="J116" t="e">
        <f t="shared" si="17"/>
        <v>#N/A</v>
      </c>
      <c r="K116">
        <f t="shared" si="18"/>
        <v>2025</v>
      </c>
      <c r="L116">
        <f t="shared" si="19"/>
        <v>3.3220000000000001</v>
      </c>
      <c r="M116" t="e">
        <f t="shared" si="20"/>
        <v>#N/A</v>
      </c>
      <c r="N116" t="e">
        <f t="shared" si="21"/>
        <v>#N/A</v>
      </c>
      <c r="O116">
        <f t="shared" si="22"/>
        <v>1.000116</v>
      </c>
      <c r="T116">
        <f>IF(connections!$A116="","",IFERROR(INDEX(games!$B$2:$B$834,MATCH(connections!$A116,games!$A$2:$A$834,0)),""))</f>
        <v>2009</v>
      </c>
      <c r="U116">
        <f>IF(connections!$A116="","",IFERROR(INDEX(games!$B$2:$B$834,MATCH(connections!$B116,games!$A$2:$A$834,0)),""))</f>
        <v>2023</v>
      </c>
      <c r="V116">
        <f t="shared" si="23"/>
        <v>14</v>
      </c>
    </row>
    <row r="117" spans="1:22" x14ac:dyDescent="0.25">
      <c r="A117" t="str">
        <f>IF(games!$A117="","",games!$A117)</f>
        <v>Chess Survivors</v>
      </c>
      <c r="B117">
        <f>IF($A117="","",games!$B117)</f>
        <v>2022</v>
      </c>
      <c r="C117" t="str">
        <f>IF($A117="","",games!$C117)</f>
        <v>Action</v>
      </c>
      <c r="D117">
        <f>IF($A117="","",COUNTIF(connections!$A$2:$A$1188,$A117)+COUNTIF(connections!$B$2:$B$1188,$A117))</f>
        <v>5</v>
      </c>
      <c r="E117">
        <f t="shared" si="12"/>
        <v>1</v>
      </c>
      <c r="F117">
        <f t="shared" si="13"/>
        <v>15</v>
      </c>
      <c r="G117">
        <f t="shared" si="14"/>
        <v>2022</v>
      </c>
      <c r="H117">
        <f t="shared" si="15"/>
        <v>1.345</v>
      </c>
      <c r="I117" t="e">
        <f t="shared" si="16"/>
        <v>#N/A</v>
      </c>
      <c r="J117" t="e">
        <f t="shared" si="17"/>
        <v>#N/A</v>
      </c>
      <c r="K117" t="e">
        <f t="shared" si="18"/>
        <v>#N/A</v>
      </c>
      <c r="L117" t="e">
        <f t="shared" si="19"/>
        <v>#N/A</v>
      </c>
      <c r="M117" t="e">
        <f t="shared" si="20"/>
        <v>#N/A</v>
      </c>
      <c r="N117" t="e">
        <f t="shared" si="21"/>
        <v>#N/A</v>
      </c>
      <c r="O117">
        <f t="shared" si="22"/>
        <v>5.0001170000000004</v>
      </c>
      <c r="T117">
        <f>IF(connections!$A117="","",IFERROR(INDEX(games!$B$2:$B$834,MATCH(connections!$A117,games!$A$2:$A$834,0)),""))</f>
        <v>2009</v>
      </c>
      <c r="U117">
        <f>IF(connections!$A117="","",IFERROR(INDEX(games!$B$2:$B$834,MATCH(connections!$B117,games!$A$2:$A$834,0)),""))</f>
        <v>2016</v>
      </c>
      <c r="V117">
        <f t="shared" si="23"/>
        <v>7</v>
      </c>
    </row>
    <row r="118" spans="1:22" x14ac:dyDescent="0.25">
      <c r="A118" t="str">
        <f>IF(games!$A118="","",games!$A118)</f>
        <v>Children of Morta</v>
      </c>
      <c r="B118">
        <f>IF($A118="","",games!$B118)</f>
        <v>2019</v>
      </c>
      <c r="C118" t="str">
        <f>IF($A118="","",games!$C118)</f>
        <v>Action</v>
      </c>
      <c r="D118">
        <f>IF($A118="","",COUNTIF(connections!$A$2:$A$1188,$A118)+COUNTIF(connections!$B$2:$B$1188,$A118))</f>
        <v>2</v>
      </c>
      <c r="E118">
        <f t="shared" si="12"/>
        <v>1</v>
      </c>
      <c r="F118">
        <f t="shared" si="13"/>
        <v>16</v>
      </c>
      <c r="G118">
        <f t="shared" si="14"/>
        <v>2019</v>
      </c>
      <c r="H118">
        <f t="shared" si="15"/>
        <v>1.3679999999999999</v>
      </c>
      <c r="I118" t="e">
        <f t="shared" si="16"/>
        <v>#N/A</v>
      </c>
      <c r="J118" t="e">
        <f t="shared" si="17"/>
        <v>#N/A</v>
      </c>
      <c r="K118" t="e">
        <f t="shared" si="18"/>
        <v>#N/A</v>
      </c>
      <c r="L118" t="e">
        <f t="shared" si="19"/>
        <v>#N/A</v>
      </c>
      <c r="M118" t="e">
        <f t="shared" si="20"/>
        <v>#N/A</v>
      </c>
      <c r="N118" t="e">
        <f t="shared" si="21"/>
        <v>#N/A</v>
      </c>
      <c r="O118">
        <f t="shared" si="22"/>
        <v>2.0001180000000001</v>
      </c>
      <c r="T118">
        <f>IF(connections!$A118="","",IFERROR(INDEX(games!$B$2:$B$834,MATCH(connections!$A118,games!$A$2:$A$834,0)),""))</f>
        <v>2009</v>
      </c>
      <c r="U118">
        <f>IF(connections!$A118="","",IFERROR(INDEX(games!$B$2:$B$834,MATCH(connections!$B118,games!$A$2:$A$834,0)),""))</f>
        <v>2017</v>
      </c>
      <c r="V118">
        <f t="shared" si="23"/>
        <v>8</v>
      </c>
    </row>
    <row r="119" spans="1:22" x14ac:dyDescent="0.25">
      <c r="A119" t="str">
        <f>IF(games!$A119="","",games!$A119)</f>
        <v>Chocobo's Dungeon 2</v>
      </c>
      <c r="B119">
        <f>IF($A119="","",games!$B119)</f>
        <v>1998</v>
      </c>
      <c r="C119" t="str">
        <f>IF($A119="","",games!$C119)</f>
        <v>Traditional</v>
      </c>
      <c r="D119">
        <f>IF($A119="","",COUNTIF(connections!$A$2:$A$1188,$A119)+COUNTIF(connections!$B$2:$B$1188,$A119))</f>
        <v>2</v>
      </c>
      <c r="E119">
        <f t="shared" si="12"/>
        <v>4</v>
      </c>
      <c r="F119">
        <f t="shared" si="13"/>
        <v>17</v>
      </c>
      <c r="G119" t="e">
        <f t="shared" si="14"/>
        <v>#N/A</v>
      </c>
      <c r="H119" t="e">
        <f t="shared" si="15"/>
        <v>#N/A</v>
      </c>
      <c r="I119" t="e">
        <f t="shared" si="16"/>
        <v>#N/A</v>
      </c>
      <c r="J119" t="e">
        <f t="shared" si="17"/>
        <v>#N/A</v>
      </c>
      <c r="K119" t="e">
        <f t="shared" si="18"/>
        <v>#N/A</v>
      </c>
      <c r="L119" t="e">
        <f t="shared" si="19"/>
        <v>#N/A</v>
      </c>
      <c r="M119">
        <f t="shared" si="20"/>
        <v>1998</v>
      </c>
      <c r="N119">
        <f t="shared" si="21"/>
        <v>4.391</v>
      </c>
      <c r="O119">
        <f t="shared" si="22"/>
        <v>2.0001190000000002</v>
      </c>
      <c r="T119">
        <f>IF(connections!$A119="","",IFERROR(INDEX(games!$B$2:$B$834,MATCH(connections!$A119,games!$A$2:$A$834,0)),""))</f>
        <v>2009</v>
      </c>
      <c r="U119">
        <f>IF(connections!$A119="","",IFERROR(INDEX(games!$B$2:$B$834,MATCH(connections!$B119,games!$A$2:$A$834,0)),""))</f>
        <v>2023</v>
      </c>
      <c r="V119">
        <f t="shared" si="23"/>
        <v>14</v>
      </c>
    </row>
    <row r="120" spans="1:22" x14ac:dyDescent="0.25">
      <c r="A120" t="str">
        <f>IF(games!$A120="","",games!$A120)</f>
        <v>Chocobo's Mysterious Dungeon</v>
      </c>
      <c r="B120">
        <f>IF($A120="","",games!$B120)</f>
        <v>1997</v>
      </c>
      <c r="C120" t="str">
        <f>IF($A120="","",games!$C120)</f>
        <v>Traditional</v>
      </c>
      <c r="D120">
        <f>IF($A120="","",COUNTIF(connections!$A$2:$A$1188,$A120)+COUNTIF(connections!$B$2:$B$1188,$A120))</f>
        <v>2</v>
      </c>
      <c r="E120">
        <f t="shared" si="12"/>
        <v>4</v>
      </c>
      <c r="F120">
        <f t="shared" si="13"/>
        <v>18</v>
      </c>
      <c r="G120" t="e">
        <f t="shared" si="14"/>
        <v>#N/A</v>
      </c>
      <c r="H120" t="e">
        <f t="shared" si="15"/>
        <v>#N/A</v>
      </c>
      <c r="I120" t="e">
        <f t="shared" si="16"/>
        <v>#N/A</v>
      </c>
      <c r="J120" t="e">
        <f t="shared" si="17"/>
        <v>#N/A</v>
      </c>
      <c r="K120" t="e">
        <f t="shared" si="18"/>
        <v>#N/A</v>
      </c>
      <c r="L120" t="e">
        <f t="shared" si="19"/>
        <v>#N/A</v>
      </c>
      <c r="M120">
        <f t="shared" si="20"/>
        <v>1997</v>
      </c>
      <c r="N120">
        <f t="shared" si="21"/>
        <v>4.4139999999999997</v>
      </c>
      <c r="O120">
        <f t="shared" si="22"/>
        <v>2.0001199999999999</v>
      </c>
      <c r="T120">
        <f>IF(connections!$A120="","",IFERROR(INDEX(games!$B$2:$B$834,MATCH(connections!$A120,games!$A$2:$A$834,0)),""))</f>
        <v>2022</v>
      </c>
      <c r="U120">
        <f>IF(connections!$A120="","",IFERROR(INDEX(games!$B$2:$B$834,MATCH(connections!$B120,games!$A$2:$A$834,0)),""))</f>
        <v>2025</v>
      </c>
      <c r="V120">
        <f t="shared" si="23"/>
        <v>3</v>
      </c>
    </row>
    <row r="121" spans="1:22" x14ac:dyDescent="0.25">
      <c r="A121" t="str">
        <f>IF(games!$A121="","",games!$A121)</f>
        <v>Chocobo's Mystery Dungeon Every Buddy!</v>
      </c>
      <c r="B121">
        <f>IF($A121="","",games!$B121)</f>
        <v>2019</v>
      </c>
      <c r="C121" t="str">
        <f>IF($A121="","",games!$C121)</f>
        <v>Traditional</v>
      </c>
      <c r="D121">
        <f>IF($A121="","",COUNTIF(connections!$A$2:$A$1188,$A121)+COUNTIF(connections!$B$2:$B$1188,$A121))</f>
        <v>1</v>
      </c>
      <c r="E121">
        <f t="shared" si="12"/>
        <v>4</v>
      </c>
      <c r="F121">
        <f t="shared" si="13"/>
        <v>19</v>
      </c>
      <c r="G121" t="e">
        <f t="shared" si="14"/>
        <v>#N/A</v>
      </c>
      <c r="H121" t="e">
        <f t="shared" si="15"/>
        <v>#N/A</v>
      </c>
      <c r="I121" t="e">
        <f t="shared" si="16"/>
        <v>#N/A</v>
      </c>
      <c r="J121" t="e">
        <f t="shared" si="17"/>
        <v>#N/A</v>
      </c>
      <c r="K121" t="e">
        <f t="shared" si="18"/>
        <v>#N/A</v>
      </c>
      <c r="L121" t="e">
        <f t="shared" si="19"/>
        <v>#N/A</v>
      </c>
      <c r="M121">
        <f t="shared" si="20"/>
        <v>2019</v>
      </c>
      <c r="N121">
        <f t="shared" si="21"/>
        <v>4.4370000000000003</v>
      </c>
      <c r="O121">
        <f t="shared" si="22"/>
        <v>1.000121</v>
      </c>
      <c r="T121">
        <f>IF(connections!$A121="","",IFERROR(INDEX(games!$B$2:$B$834,MATCH(connections!$A121,games!$A$2:$A$834,0)),""))</f>
        <v>2022</v>
      </c>
      <c r="U121">
        <f>IF(connections!$A121="","",IFERROR(INDEX(games!$B$2:$B$834,MATCH(connections!$B121,games!$A$2:$A$834,0)),""))</f>
        <v>2024</v>
      </c>
      <c r="V121">
        <f t="shared" si="23"/>
        <v>2</v>
      </c>
    </row>
    <row r="122" spans="1:22" x14ac:dyDescent="0.25">
      <c r="A122" t="str">
        <f>IF(games!$A122="","",games!$A122)</f>
        <v>Choo Choo Survivor</v>
      </c>
      <c r="B122">
        <f>IF($A122="","",games!$B122)</f>
        <v>2023</v>
      </c>
      <c r="C122" t="str">
        <f>IF($A122="","",games!$C122)</f>
        <v>Action</v>
      </c>
      <c r="D122">
        <f>IF($A122="","",COUNTIF(connections!$A$2:$A$1188,$A122)+COUNTIF(connections!$B$2:$B$1188,$A122))</f>
        <v>2</v>
      </c>
      <c r="E122">
        <f t="shared" si="12"/>
        <v>1</v>
      </c>
      <c r="F122">
        <f t="shared" si="13"/>
        <v>20</v>
      </c>
      <c r="G122">
        <f t="shared" si="14"/>
        <v>2023</v>
      </c>
      <c r="H122">
        <f t="shared" si="15"/>
        <v>1.46</v>
      </c>
      <c r="I122" t="e">
        <f t="shared" si="16"/>
        <v>#N/A</v>
      </c>
      <c r="J122" t="e">
        <f t="shared" si="17"/>
        <v>#N/A</v>
      </c>
      <c r="K122" t="e">
        <f t="shared" si="18"/>
        <v>#N/A</v>
      </c>
      <c r="L122" t="e">
        <f t="shared" si="19"/>
        <v>#N/A</v>
      </c>
      <c r="M122" t="e">
        <f t="shared" si="20"/>
        <v>#N/A</v>
      </c>
      <c r="N122" t="e">
        <f t="shared" si="21"/>
        <v>#N/A</v>
      </c>
      <c r="O122">
        <f t="shared" si="22"/>
        <v>2.0001220000000002</v>
      </c>
      <c r="T122">
        <f>IF(connections!$A122="","",IFERROR(INDEX(games!$B$2:$B$834,MATCH(connections!$A122,games!$A$2:$A$834,0)),""))</f>
        <v>2022</v>
      </c>
      <c r="U122">
        <f>IF(connections!$A122="","",IFERROR(INDEX(games!$B$2:$B$834,MATCH(connections!$B122,games!$A$2:$A$834,0)),""))</f>
        <v>2026</v>
      </c>
      <c r="V122">
        <f t="shared" si="23"/>
        <v>4</v>
      </c>
    </row>
    <row r="123" spans="1:22" x14ac:dyDescent="0.25">
      <c r="A123" t="str">
        <f>IF(games!$A123="","",games!$A123)</f>
        <v>Choo Choo Survivor 2</v>
      </c>
      <c r="B123">
        <f>IF($A123="","",games!$B123)</f>
        <v>2025</v>
      </c>
      <c r="C123" t="str">
        <f>IF($A123="","",games!$C123)</f>
        <v>Action</v>
      </c>
      <c r="D123">
        <f>IF($A123="","",COUNTIF(connections!$A$2:$A$1188,$A123)+COUNTIF(connections!$B$2:$B$1188,$A123))</f>
        <v>1</v>
      </c>
      <c r="E123">
        <f t="shared" si="12"/>
        <v>1</v>
      </c>
      <c r="F123">
        <f t="shared" si="13"/>
        <v>21</v>
      </c>
      <c r="G123">
        <f t="shared" si="14"/>
        <v>2025</v>
      </c>
      <c r="H123">
        <f t="shared" si="15"/>
        <v>1.4830000000000001</v>
      </c>
      <c r="I123" t="e">
        <f t="shared" si="16"/>
        <v>#N/A</v>
      </c>
      <c r="J123" t="e">
        <f t="shared" si="17"/>
        <v>#N/A</v>
      </c>
      <c r="K123" t="e">
        <f t="shared" si="18"/>
        <v>#N/A</v>
      </c>
      <c r="L123" t="e">
        <f t="shared" si="19"/>
        <v>#N/A</v>
      </c>
      <c r="M123" t="e">
        <f t="shared" si="20"/>
        <v>#N/A</v>
      </c>
      <c r="N123" t="e">
        <f t="shared" si="21"/>
        <v>#N/A</v>
      </c>
      <c r="O123">
        <f t="shared" si="22"/>
        <v>1.0001230000000001</v>
      </c>
      <c r="T123">
        <f>IF(connections!$A123="","",IFERROR(INDEX(games!$B$2:$B$834,MATCH(connections!$A123,games!$A$2:$A$834,0)),""))</f>
        <v>2022</v>
      </c>
      <c r="U123">
        <f>IF(connections!$A123="","",IFERROR(INDEX(games!$B$2:$B$834,MATCH(connections!$B123,games!$A$2:$A$834,0)),""))</f>
        <v>2025</v>
      </c>
      <c r="V123">
        <f t="shared" si="23"/>
        <v>3</v>
      </c>
    </row>
    <row r="124" spans="1:22" x14ac:dyDescent="0.25">
      <c r="A124" t="str">
        <f>IF(games!$A124="","",games!$A124)</f>
        <v>Chrono Ark</v>
      </c>
      <c r="B124">
        <f>IF($A124="","",games!$B124)</f>
        <v>2019</v>
      </c>
      <c r="C124" t="str">
        <f>IF($A124="","",games!$C124)</f>
        <v>Deckbuilder</v>
      </c>
      <c r="D124">
        <f>IF($A124="","",COUNTIF(connections!$A$2:$A$1188,$A124)+COUNTIF(connections!$B$2:$B$1188,$A124))</f>
        <v>2</v>
      </c>
      <c r="E124">
        <f t="shared" si="12"/>
        <v>3</v>
      </c>
      <c r="F124">
        <f t="shared" si="13"/>
        <v>22</v>
      </c>
      <c r="G124" t="e">
        <f t="shared" si="14"/>
        <v>#N/A</v>
      </c>
      <c r="H124" t="e">
        <f t="shared" si="15"/>
        <v>#N/A</v>
      </c>
      <c r="I124" t="e">
        <f t="shared" si="16"/>
        <v>#N/A</v>
      </c>
      <c r="J124" t="e">
        <f t="shared" si="17"/>
        <v>#N/A</v>
      </c>
      <c r="K124">
        <f t="shared" si="18"/>
        <v>2019</v>
      </c>
      <c r="L124">
        <f t="shared" si="19"/>
        <v>3.5060000000000002</v>
      </c>
      <c r="M124" t="e">
        <f t="shared" si="20"/>
        <v>#N/A</v>
      </c>
      <c r="N124" t="e">
        <f t="shared" si="21"/>
        <v>#N/A</v>
      </c>
      <c r="O124">
        <f t="shared" si="22"/>
        <v>2.000124</v>
      </c>
      <c r="T124">
        <f>IF(connections!$A124="","",IFERROR(INDEX(games!$B$2:$B$834,MATCH(connections!$A124,games!$A$2:$A$834,0)),""))</f>
        <v>2022</v>
      </c>
      <c r="U124">
        <f>IF(connections!$A124="","",IFERROR(INDEX(games!$B$2:$B$834,MATCH(connections!$B124,games!$A$2:$A$834,0)),""))</f>
        <v>2025</v>
      </c>
      <c r="V124">
        <f t="shared" si="23"/>
        <v>3</v>
      </c>
    </row>
    <row r="125" spans="1:22" x14ac:dyDescent="0.25">
      <c r="A125" t="str">
        <f>IF(games!$A125="","",games!$A125)</f>
        <v>Cinderia</v>
      </c>
      <c r="B125">
        <f>IF($A125="","",games!$B125)</f>
        <v>2026</v>
      </c>
      <c r="C125" t="str">
        <f>IF($A125="","",games!$C125)</f>
        <v>Action</v>
      </c>
      <c r="D125">
        <f>IF($A125="","",COUNTIF(connections!$A$2:$A$1188,$A125)+COUNTIF(connections!$B$2:$B$1188,$A125))</f>
        <v>2</v>
      </c>
      <c r="E125">
        <f t="shared" si="12"/>
        <v>1</v>
      </c>
      <c r="F125">
        <f t="shared" si="13"/>
        <v>23</v>
      </c>
      <c r="G125">
        <f t="shared" si="14"/>
        <v>2026</v>
      </c>
      <c r="H125">
        <f t="shared" si="15"/>
        <v>1.5289999999999999</v>
      </c>
      <c r="I125" t="e">
        <f t="shared" si="16"/>
        <v>#N/A</v>
      </c>
      <c r="J125" t="e">
        <f t="shared" si="17"/>
        <v>#N/A</v>
      </c>
      <c r="K125" t="e">
        <f t="shared" si="18"/>
        <v>#N/A</v>
      </c>
      <c r="L125" t="e">
        <f t="shared" si="19"/>
        <v>#N/A</v>
      </c>
      <c r="M125" t="e">
        <f t="shared" si="20"/>
        <v>#N/A</v>
      </c>
      <c r="N125" t="e">
        <f t="shared" si="21"/>
        <v>#N/A</v>
      </c>
      <c r="O125">
        <f t="shared" si="22"/>
        <v>2.0001250000000002</v>
      </c>
      <c r="T125">
        <f>IF(connections!$A125="","",IFERROR(INDEX(games!$B$2:$B$834,MATCH(connections!$A125,games!$A$2:$A$834,0)),""))</f>
        <v>2022</v>
      </c>
      <c r="U125">
        <f>IF(connections!$A125="","",IFERROR(INDEX(games!$B$2:$B$834,MATCH(connections!$B125,games!$A$2:$A$834,0)),""))</f>
        <v>2025</v>
      </c>
      <c r="V125">
        <f t="shared" si="23"/>
        <v>3</v>
      </c>
    </row>
    <row r="126" spans="1:22" x14ac:dyDescent="0.25">
      <c r="A126" t="str">
        <f>IF(games!$A126="","",games!$A126)</f>
        <v>CleanFall</v>
      </c>
      <c r="B126">
        <f>IF($A126="","",games!$B126)</f>
        <v>2025</v>
      </c>
      <c r="C126" t="str">
        <f>IF($A126="","",games!$C126)</f>
        <v>Action</v>
      </c>
      <c r="D126">
        <f>IF($A126="","",COUNTIF(connections!$A$2:$A$1188,$A126)+COUNTIF(connections!$B$2:$B$1188,$A126))</f>
        <v>3</v>
      </c>
      <c r="E126">
        <f t="shared" si="12"/>
        <v>1</v>
      </c>
      <c r="F126">
        <f t="shared" si="13"/>
        <v>24</v>
      </c>
      <c r="G126">
        <f t="shared" si="14"/>
        <v>2025</v>
      </c>
      <c r="H126">
        <f t="shared" si="15"/>
        <v>1.552</v>
      </c>
      <c r="I126" t="e">
        <f t="shared" si="16"/>
        <v>#N/A</v>
      </c>
      <c r="J126" t="e">
        <f t="shared" si="17"/>
        <v>#N/A</v>
      </c>
      <c r="K126" t="e">
        <f t="shared" si="18"/>
        <v>#N/A</v>
      </c>
      <c r="L126" t="e">
        <f t="shared" si="19"/>
        <v>#N/A</v>
      </c>
      <c r="M126" t="e">
        <f t="shared" si="20"/>
        <v>#N/A</v>
      </c>
      <c r="N126" t="e">
        <f t="shared" si="21"/>
        <v>#N/A</v>
      </c>
      <c r="O126">
        <f t="shared" si="22"/>
        <v>3.0001259999999998</v>
      </c>
      <c r="T126">
        <f>IF(connections!$A126="","",IFERROR(INDEX(games!$B$2:$B$834,MATCH(connections!$A126,games!$A$2:$A$834,0)),""))</f>
        <v>2022</v>
      </c>
      <c r="U126">
        <f>IF(connections!$A126="","",IFERROR(INDEX(games!$B$2:$B$834,MATCH(connections!$B126,games!$A$2:$A$834,0)),""))</f>
        <v>2024</v>
      </c>
      <c r="V126">
        <f t="shared" si="23"/>
        <v>2</v>
      </c>
    </row>
    <row r="127" spans="1:22" x14ac:dyDescent="0.25">
      <c r="A127" t="str">
        <f>IF(games!$A127="","",games!$A127)</f>
        <v>CloverPit</v>
      </c>
      <c r="B127">
        <f>IF($A127="","",games!$B127)</f>
        <v>2025</v>
      </c>
      <c r="C127" t="str">
        <f>IF($A127="","",games!$C127)</f>
        <v>Strategy</v>
      </c>
      <c r="D127">
        <f>IF($A127="","",COUNTIF(connections!$A$2:$A$1188,$A127)+COUNTIF(connections!$B$2:$B$1188,$A127))</f>
        <v>2</v>
      </c>
      <c r="E127">
        <f t="shared" si="12"/>
        <v>2</v>
      </c>
      <c r="F127">
        <f t="shared" si="13"/>
        <v>25</v>
      </c>
      <c r="G127" t="e">
        <f t="shared" si="14"/>
        <v>#N/A</v>
      </c>
      <c r="H127" t="e">
        <f t="shared" si="15"/>
        <v>#N/A</v>
      </c>
      <c r="I127">
        <f t="shared" si="16"/>
        <v>2025</v>
      </c>
      <c r="J127">
        <f t="shared" si="17"/>
        <v>2.5750000000000002</v>
      </c>
      <c r="K127" t="e">
        <f t="shared" si="18"/>
        <v>#N/A</v>
      </c>
      <c r="L127" t="e">
        <f t="shared" si="19"/>
        <v>#N/A</v>
      </c>
      <c r="M127" t="e">
        <f t="shared" si="20"/>
        <v>#N/A</v>
      </c>
      <c r="N127" t="e">
        <f t="shared" si="21"/>
        <v>#N/A</v>
      </c>
      <c r="O127">
        <f t="shared" si="22"/>
        <v>2.000127</v>
      </c>
      <c r="T127">
        <f>IF(connections!$A127="","",IFERROR(INDEX(games!$B$2:$B$834,MATCH(connections!$A127,games!$A$2:$A$834,0)),""))</f>
        <v>2022</v>
      </c>
      <c r="U127">
        <f>IF(connections!$A127="","",IFERROR(INDEX(games!$B$2:$B$834,MATCH(connections!$B127,games!$A$2:$A$834,0)),""))</f>
        <v>2024</v>
      </c>
      <c r="V127">
        <f t="shared" si="23"/>
        <v>2</v>
      </c>
    </row>
    <row r="128" spans="1:22" x14ac:dyDescent="0.25">
      <c r="A128" t="str">
        <f>IF(games!$A128="","",games!$A128)</f>
        <v>Cluckmech Oasis</v>
      </c>
      <c r="B128">
        <f>IF($A128="","",games!$B128)</f>
        <v>2024</v>
      </c>
      <c r="C128" t="str">
        <f>IF($A128="","",games!$C128)</f>
        <v>Strategy</v>
      </c>
      <c r="D128">
        <f>IF($A128="","",COUNTIF(connections!$A$2:$A$1188,$A128)+COUNTIF(connections!$B$2:$B$1188,$A128))</f>
        <v>3</v>
      </c>
      <c r="E128">
        <f t="shared" si="12"/>
        <v>2</v>
      </c>
      <c r="F128">
        <f t="shared" si="13"/>
        <v>26</v>
      </c>
      <c r="G128" t="e">
        <f t="shared" si="14"/>
        <v>#N/A</v>
      </c>
      <c r="H128" t="e">
        <f t="shared" si="15"/>
        <v>#N/A</v>
      </c>
      <c r="I128">
        <f t="shared" si="16"/>
        <v>2024</v>
      </c>
      <c r="J128">
        <f t="shared" si="17"/>
        <v>2.5979999999999999</v>
      </c>
      <c r="K128" t="e">
        <f t="shared" si="18"/>
        <v>#N/A</v>
      </c>
      <c r="L128" t="e">
        <f t="shared" si="19"/>
        <v>#N/A</v>
      </c>
      <c r="M128" t="e">
        <f t="shared" si="20"/>
        <v>#N/A</v>
      </c>
      <c r="N128" t="e">
        <f t="shared" si="21"/>
        <v>#N/A</v>
      </c>
      <c r="O128">
        <f t="shared" si="22"/>
        <v>3.0001280000000001</v>
      </c>
      <c r="T128">
        <f>IF(connections!$A128="","",IFERROR(INDEX(games!$B$2:$B$834,MATCH(connections!$A128,games!$A$2:$A$834,0)),""))</f>
        <v>2022</v>
      </c>
      <c r="U128">
        <f>IF(connections!$A128="","",IFERROR(INDEX(games!$B$2:$B$834,MATCH(connections!$B128,games!$A$2:$A$834,0)),""))</f>
        <v>2023</v>
      </c>
      <c r="V128">
        <f t="shared" si="23"/>
        <v>1</v>
      </c>
    </row>
    <row r="129" spans="1:22" x14ac:dyDescent="0.25">
      <c r="A129" t="str">
        <f>IF(games!$A129="","",games!$A129)</f>
        <v>Clutchtime: Basketball Deckbuilder</v>
      </c>
      <c r="B129">
        <f>IF($A129="","",games!$B129)</f>
        <v>2025</v>
      </c>
      <c r="C129" t="str">
        <f>IF($A129="","",games!$C129)</f>
        <v>Deckbuilder</v>
      </c>
      <c r="D129">
        <f>IF($A129="","",COUNTIF(connections!$A$2:$A$1188,$A129)+COUNTIF(connections!$B$2:$B$1188,$A129))</f>
        <v>1</v>
      </c>
      <c r="E129">
        <f t="shared" si="12"/>
        <v>3</v>
      </c>
      <c r="F129">
        <f t="shared" si="13"/>
        <v>27</v>
      </c>
      <c r="G129" t="e">
        <f t="shared" si="14"/>
        <v>#N/A</v>
      </c>
      <c r="H129" t="e">
        <f t="shared" si="15"/>
        <v>#N/A</v>
      </c>
      <c r="I129" t="e">
        <f t="shared" si="16"/>
        <v>#N/A</v>
      </c>
      <c r="J129" t="e">
        <f t="shared" si="17"/>
        <v>#N/A</v>
      </c>
      <c r="K129">
        <f t="shared" si="18"/>
        <v>2025</v>
      </c>
      <c r="L129">
        <f t="shared" si="19"/>
        <v>3.621</v>
      </c>
      <c r="M129" t="e">
        <f t="shared" si="20"/>
        <v>#N/A</v>
      </c>
      <c r="N129" t="e">
        <f t="shared" si="21"/>
        <v>#N/A</v>
      </c>
      <c r="O129">
        <f t="shared" si="22"/>
        <v>1.000129</v>
      </c>
      <c r="T129">
        <f>IF(connections!$A129="","",IFERROR(INDEX(games!$B$2:$B$834,MATCH(connections!$A129,games!$A$2:$A$834,0)),""))</f>
        <v>2022</v>
      </c>
      <c r="U129">
        <f>IF(connections!$A129="","",IFERROR(INDEX(games!$B$2:$B$834,MATCH(connections!$B129,games!$A$2:$A$834,0)),""))</f>
        <v>2024</v>
      </c>
      <c r="V129">
        <f t="shared" si="23"/>
        <v>2</v>
      </c>
    </row>
    <row r="130" spans="1:22" x14ac:dyDescent="0.25">
      <c r="A130" t="str">
        <f>IF(games!$A130="","",games!$A130)</f>
        <v>Coal LLC</v>
      </c>
      <c r="B130">
        <f>IF($A130="","",games!$B130)</f>
        <v>2025</v>
      </c>
      <c r="C130" t="str">
        <f>IF($A130="","",games!$C130)</f>
        <v>Strategy</v>
      </c>
      <c r="D130">
        <f>IF($A130="","",COUNTIF(connections!$A$2:$A$1188,$A130)+COUNTIF(connections!$B$2:$B$1188,$A130))</f>
        <v>0</v>
      </c>
      <c r="E130">
        <f t="shared" ref="E130:E193" si="24">IF($A130="","",IFERROR(MATCH($C130,$R$2:$R$5,0),0))</f>
        <v>2</v>
      </c>
      <c r="F130">
        <f t="shared" ref="F130:F193" si="25">IF($A130="","",MOD(ROW(),34))</f>
        <v>28</v>
      </c>
      <c r="G130" t="e">
        <f t="shared" ref="G130:G193" si="26">IF($A130="",NA(),IF($C130="Action",$B130,NA()))</f>
        <v>#N/A</v>
      </c>
      <c r="H130" t="e">
        <f t="shared" ref="H130:H193" si="27">IF($A130="",NA(),IF($C130="Action",1+$F130*0.023,NA()))</f>
        <v>#N/A</v>
      </c>
      <c r="I130">
        <f t="shared" ref="I130:I193" si="28">IF($A130="",NA(),IF($C130="Strategy",$B130,NA()))</f>
        <v>2025</v>
      </c>
      <c r="J130">
        <f t="shared" ref="J130:J193" si="29">IF($A130="",NA(),IF($C130="Strategy",2+$F130*0.023,NA()))</f>
        <v>2.6440000000000001</v>
      </c>
      <c r="K130" t="e">
        <f t="shared" ref="K130:K193" si="30">IF($A130="",NA(),IF($C130="Deckbuilder",$B130,NA()))</f>
        <v>#N/A</v>
      </c>
      <c r="L130" t="e">
        <f t="shared" ref="L130:L193" si="31">IF($A130="",NA(),IF($C130="Deckbuilder",3+$F130*0.023,NA()))</f>
        <v>#N/A</v>
      </c>
      <c r="M130" t="e">
        <f t="shared" ref="M130:M193" si="32">IF($A130="",NA(),IF($C130="Traditional",$B130,NA()))</f>
        <v>#N/A</v>
      </c>
      <c r="N130" t="e">
        <f t="shared" ref="N130:N193" si="33">IF($A130="",NA(),IF($C130="Traditional",4+$F130*0.023,NA()))</f>
        <v>#N/A</v>
      </c>
      <c r="O130">
        <f t="shared" ref="O130:O193" si="34">IF($A130="","",$D130+ROW()/1000000)</f>
        <v>1.2999999999999999E-4</v>
      </c>
      <c r="T130">
        <f>IF(connections!$A130="","",IFERROR(INDEX(games!$B$2:$B$834,MATCH(connections!$A130,games!$A$2:$A$834,0)),""))</f>
        <v>2023</v>
      </c>
      <c r="U130">
        <f>IF(connections!$A130="","",IFERROR(INDEX(games!$B$2:$B$834,MATCH(connections!$B130,games!$A$2:$A$834,0)),""))</f>
        <v>2025</v>
      </c>
      <c r="V130">
        <f t="shared" ref="V130:V193" si="35">IF(OR($T130="",$U130=""),"",$U130-$T130)</f>
        <v>2</v>
      </c>
    </row>
    <row r="131" spans="1:22" x14ac:dyDescent="0.25">
      <c r="A131" t="str">
        <f>IF(games!$A131="","",games!$A131)</f>
        <v>Cobalt Core</v>
      </c>
      <c r="B131">
        <f>IF($A131="","",games!$B131)</f>
        <v>2023</v>
      </c>
      <c r="C131" t="str">
        <f>IF($A131="","",games!$C131)</f>
        <v>Deckbuilder</v>
      </c>
      <c r="D131">
        <f>IF($A131="","",COUNTIF(connections!$A$2:$A$1188,$A131)+COUNTIF(connections!$B$2:$B$1188,$A131))</f>
        <v>2</v>
      </c>
      <c r="E131">
        <f t="shared" si="24"/>
        <v>3</v>
      </c>
      <c r="F131">
        <f t="shared" si="25"/>
        <v>29</v>
      </c>
      <c r="G131" t="e">
        <f t="shared" si="26"/>
        <v>#N/A</v>
      </c>
      <c r="H131" t="e">
        <f t="shared" si="27"/>
        <v>#N/A</v>
      </c>
      <c r="I131" t="e">
        <f t="shared" si="28"/>
        <v>#N/A</v>
      </c>
      <c r="J131" t="e">
        <f t="shared" si="29"/>
        <v>#N/A</v>
      </c>
      <c r="K131">
        <f t="shared" si="30"/>
        <v>2023</v>
      </c>
      <c r="L131">
        <f t="shared" si="31"/>
        <v>3.6669999999999998</v>
      </c>
      <c r="M131" t="e">
        <f t="shared" si="32"/>
        <v>#N/A</v>
      </c>
      <c r="N131" t="e">
        <f t="shared" si="33"/>
        <v>#N/A</v>
      </c>
      <c r="O131">
        <f t="shared" si="34"/>
        <v>2.0001310000000001</v>
      </c>
      <c r="T131">
        <f>IF(connections!$A131="","",IFERROR(INDEX(games!$B$2:$B$834,MATCH(connections!$A131,games!$A$2:$A$834,0)),""))</f>
        <v>2018</v>
      </c>
      <c r="U131">
        <f>IF(connections!$A131="","",IFERROR(INDEX(games!$B$2:$B$834,MATCH(connections!$B131,games!$A$2:$A$834,0)),""))</f>
        <v>2023</v>
      </c>
      <c r="V131">
        <f t="shared" si="35"/>
        <v>5</v>
      </c>
    </row>
    <row r="132" spans="1:22" x14ac:dyDescent="0.25">
      <c r="A132" t="str">
        <f>IF(games!$A132="","",games!$A132)</f>
        <v>Cogmind</v>
      </c>
      <c r="B132">
        <f>IF($A132="","",games!$B132)</f>
        <v>2017</v>
      </c>
      <c r="C132" t="str">
        <f>IF($A132="","",games!$C132)</f>
        <v>Traditional</v>
      </c>
      <c r="D132">
        <f>IF($A132="","",COUNTIF(connections!$A$2:$A$1188,$A132)+COUNTIF(connections!$B$2:$B$1188,$A132))</f>
        <v>3</v>
      </c>
      <c r="E132">
        <f t="shared" si="24"/>
        <v>4</v>
      </c>
      <c r="F132">
        <f t="shared" si="25"/>
        <v>30</v>
      </c>
      <c r="G132" t="e">
        <f t="shared" si="26"/>
        <v>#N/A</v>
      </c>
      <c r="H132" t="e">
        <f t="shared" si="27"/>
        <v>#N/A</v>
      </c>
      <c r="I132" t="e">
        <f t="shared" si="28"/>
        <v>#N/A</v>
      </c>
      <c r="J132" t="e">
        <f t="shared" si="29"/>
        <v>#N/A</v>
      </c>
      <c r="K132" t="e">
        <f t="shared" si="30"/>
        <v>#N/A</v>
      </c>
      <c r="L132" t="e">
        <f t="shared" si="31"/>
        <v>#N/A</v>
      </c>
      <c r="M132">
        <f t="shared" si="32"/>
        <v>2017</v>
      </c>
      <c r="N132">
        <f t="shared" si="33"/>
        <v>4.6899999999999995</v>
      </c>
      <c r="O132">
        <f t="shared" si="34"/>
        <v>3.0001319999999998</v>
      </c>
      <c r="T132">
        <f>IF(connections!$A132="","",IFERROR(INDEX(games!$B$2:$B$834,MATCH(connections!$A132,games!$A$2:$A$834,0)),""))</f>
        <v>2010</v>
      </c>
      <c r="U132">
        <f>IF(connections!$A132="","",IFERROR(INDEX(games!$B$2:$B$834,MATCH(connections!$B132,games!$A$2:$A$834,0)),""))</f>
        <v>2014</v>
      </c>
      <c r="V132">
        <f t="shared" si="35"/>
        <v>4</v>
      </c>
    </row>
    <row r="133" spans="1:22" x14ac:dyDescent="0.25">
      <c r="A133" t="str">
        <f>IF(games!$A133="","",games!$A133)</f>
        <v>Coin Crypt</v>
      </c>
      <c r="B133">
        <f>IF($A133="","",games!$B133)</f>
        <v>2013</v>
      </c>
      <c r="C133" t="str">
        <f>IF($A133="","",games!$C133)</f>
        <v>Deckbuilder</v>
      </c>
      <c r="D133">
        <f>IF($A133="","",COUNTIF(connections!$A$2:$A$1188,$A133)+COUNTIF(connections!$B$2:$B$1188,$A133))</f>
        <v>1</v>
      </c>
      <c r="E133">
        <f t="shared" si="24"/>
        <v>3</v>
      </c>
      <c r="F133">
        <f t="shared" si="25"/>
        <v>31</v>
      </c>
      <c r="G133" t="e">
        <f t="shared" si="26"/>
        <v>#N/A</v>
      </c>
      <c r="H133" t="e">
        <f t="shared" si="27"/>
        <v>#N/A</v>
      </c>
      <c r="I133" t="e">
        <f t="shared" si="28"/>
        <v>#N/A</v>
      </c>
      <c r="J133" t="e">
        <f t="shared" si="29"/>
        <v>#N/A</v>
      </c>
      <c r="K133">
        <f t="shared" si="30"/>
        <v>2013</v>
      </c>
      <c r="L133">
        <f t="shared" si="31"/>
        <v>3.7130000000000001</v>
      </c>
      <c r="M133" t="e">
        <f t="shared" si="32"/>
        <v>#N/A</v>
      </c>
      <c r="N133" t="e">
        <f t="shared" si="33"/>
        <v>#N/A</v>
      </c>
      <c r="O133">
        <f t="shared" si="34"/>
        <v>1.0001329999999999</v>
      </c>
      <c r="T133">
        <f>IF(connections!$A133="","",IFERROR(INDEX(games!$B$2:$B$834,MATCH(connections!$A133,games!$A$2:$A$834,0)),""))</f>
        <v>1994</v>
      </c>
      <c r="U133">
        <f>IF(connections!$A133="","",IFERROR(INDEX(games!$B$2:$B$834,MATCH(connections!$B133,games!$A$2:$A$834,0)),""))</f>
        <v>2010</v>
      </c>
      <c r="V133">
        <f t="shared" si="35"/>
        <v>16</v>
      </c>
    </row>
    <row r="134" spans="1:22" x14ac:dyDescent="0.25">
      <c r="A134" t="str">
        <f>IF(games!$A134="","",games!$A134)</f>
        <v>Colt Canyon</v>
      </c>
      <c r="B134">
        <f>IF($A134="","",games!$B134)</f>
        <v>2020</v>
      </c>
      <c r="C134" t="str">
        <f>IF($A134="","",games!$C134)</f>
        <v>Action</v>
      </c>
      <c r="D134">
        <f>IF($A134="","",COUNTIF(connections!$A$2:$A$1188,$A134)+COUNTIF(connections!$B$2:$B$1188,$A134))</f>
        <v>1</v>
      </c>
      <c r="E134">
        <f t="shared" si="24"/>
        <v>1</v>
      </c>
      <c r="F134">
        <f t="shared" si="25"/>
        <v>32</v>
      </c>
      <c r="G134">
        <f t="shared" si="26"/>
        <v>2020</v>
      </c>
      <c r="H134">
        <f t="shared" si="27"/>
        <v>1.736</v>
      </c>
      <c r="I134" t="e">
        <f t="shared" si="28"/>
        <v>#N/A</v>
      </c>
      <c r="J134" t="e">
        <f t="shared" si="29"/>
        <v>#N/A</v>
      </c>
      <c r="K134" t="e">
        <f t="shared" si="30"/>
        <v>#N/A</v>
      </c>
      <c r="L134" t="e">
        <f t="shared" si="31"/>
        <v>#N/A</v>
      </c>
      <c r="M134" t="e">
        <f t="shared" si="32"/>
        <v>#N/A</v>
      </c>
      <c r="N134" t="e">
        <f t="shared" si="33"/>
        <v>#N/A</v>
      </c>
      <c r="O134">
        <f t="shared" si="34"/>
        <v>1.0001340000000001</v>
      </c>
      <c r="T134">
        <f>IF(connections!$A134="","",IFERROR(INDEX(games!$B$2:$B$834,MATCH(connections!$A134,games!$A$2:$A$834,0)),""))</f>
        <v>2005</v>
      </c>
      <c r="U134">
        <f>IF(connections!$A134="","",IFERROR(INDEX(games!$B$2:$B$834,MATCH(connections!$B134,games!$A$2:$A$834,0)),""))</f>
        <v>2025</v>
      </c>
      <c r="V134">
        <f t="shared" si="35"/>
        <v>20</v>
      </c>
    </row>
    <row r="135" spans="1:22" x14ac:dyDescent="0.25">
      <c r="A135" t="str">
        <f>IF(games!$A135="","",games!$A135)</f>
        <v>Commander Quest</v>
      </c>
      <c r="B135">
        <f>IF($A135="","",games!$B135)</f>
        <v>2025</v>
      </c>
      <c r="C135" t="str">
        <f>IF($A135="","",games!$C135)</f>
        <v>Deckbuilder</v>
      </c>
      <c r="D135">
        <f>IF($A135="","",COUNTIF(connections!$A$2:$A$1188,$A135)+COUNTIF(connections!$B$2:$B$1188,$A135))</f>
        <v>1</v>
      </c>
      <c r="E135">
        <f t="shared" si="24"/>
        <v>3</v>
      </c>
      <c r="F135">
        <f t="shared" si="25"/>
        <v>33</v>
      </c>
      <c r="G135" t="e">
        <f t="shared" si="26"/>
        <v>#N/A</v>
      </c>
      <c r="H135" t="e">
        <f t="shared" si="27"/>
        <v>#N/A</v>
      </c>
      <c r="I135" t="e">
        <f t="shared" si="28"/>
        <v>#N/A</v>
      </c>
      <c r="J135" t="e">
        <f t="shared" si="29"/>
        <v>#N/A</v>
      </c>
      <c r="K135">
        <f t="shared" si="30"/>
        <v>2025</v>
      </c>
      <c r="L135">
        <f t="shared" si="31"/>
        <v>3.7589999999999999</v>
      </c>
      <c r="M135" t="e">
        <f t="shared" si="32"/>
        <v>#N/A</v>
      </c>
      <c r="N135" t="e">
        <f t="shared" si="33"/>
        <v>#N/A</v>
      </c>
      <c r="O135">
        <f t="shared" si="34"/>
        <v>1.000135</v>
      </c>
      <c r="T135">
        <f>IF(connections!$A135="","",IFERROR(INDEX(games!$B$2:$B$834,MATCH(connections!$A135,games!$A$2:$A$834,0)),""))</f>
        <v>2010</v>
      </c>
      <c r="U135">
        <f>IF(connections!$A135="","",IFERROR(INDEX(games!$B$2:$B$834,MATCH(connections!$B135,games!$A$2:$A$834,0)),""))</f>
        <v>2020</v>
      </c>
      <c r="V135">
        <f t="shared" si="35"/>
        <v>10</v>
      </c>
    </row>
    <row r="136" spans="1:22" x14ac:dyDescent="0.25">
      <c r="A136" t="str">
        <f>IF(games!$A136="","",games!$A136)</f>
        <v>Conan Chop Chop</v>
      </c>
      <c r="B136">
        <f>IF($A136="","",games!$B136)</f>
        <v>2022</v>
      </c>
      <c r="C136" t="str">
        <f>IF($A136="","",games!$C136)</f>
        <v>Action</v>
      </c>
      <c r="D136">
        <f>IF($A136="","",COUNTIF(connections!$A$2:$A$1188,$A136)+COUNTIF(connections!$B$2:$B$1188,$A136))</f>
        <v>1</v>
      </c>
      <c r="E136">
        <f t="shared" si="24"/>
        <v>1</v>
      </c>
      <c r="F136">
        <f t="shared" si="25"/>
        <v>0</v>
      </c>
      <c r="G136">
        <f t="shared" si="26"/>
        <v>2022</v>
      </c>
      <c r="H136">
        <f t="shared" si="27"/>
        <v>1</v>
      </c>
      <c r="I136" t="e">
        <f t="shared" si="28"/>
        <v>#N/A</v>
      </c>
      <c r="J136" t="e">
        <f t="shared" si="29"/>
        <v>#N/A</v>
      </c>
      <c r="K136" t="e">
        <f t="shared" si="30"/>
        <v>#N/A</v>
      </c>
      <c r="L136" t="e">
        <f t="shared" si="31"/>
        <v>#N/A</v>
      </c>
      <c r="M136" t="e">
        <f t="shared" si="32"/>
        <v>#N/A</v>
      </c>
      <c r="N136" t="e">
        <f t="shared" si="33"/>
        <v>#N/A</v>
      </c>
      <c r="O136">
        <f t="shared" si="34"/>
        <v>1.0001359999999999</v>
      </c>
      <c r="T136">
        <f>IF(connections!$A136="","",IFERROR(INDEX(games!$B$2:$B$834,MATCH(connections!$A136,games!$A$2:$A$834,0)),""))</f>
        <v>2010</v>
      </c>
      <c r="U136">
        <f>IF(connections!$A136="","",IFERROR(INDEX(games!$B$2:$B$834,MATCH(connections!$B136,games!$A$2:$A$834,0)),""))</f>
        <v>2013</v>
      </c>
      <c r="V136">
        <f t="shared" si="35"/>
        <v>3</v>
      </c>
    </row>
    <row r="137" spans="1:22" x14ac:dyDescent="0.25">
      <c r="A137" t="str">
        <f>IF(games!$A137="","",games!$A137)</f>
        <v>Convoy</v>
      </c>
      <c r="B137">
        <f>IF($A137="","",games!$B137)</f>
        <v>2015</v>
      </c>
      <c r="C137" t="str">
        <f>IF($A137="","",games!$C137)</f>
        <v>Strategy</v>
      </c>
      <c r="D137">
        <f>IF($A137="","",COUNTIF(connections!$A$2:$A$1188,$A137)+COUNTIF(connections!$B$2:$B$1188,$A137))</f>
        <v>1</v>
      </c>
      <c r="E137">
        <f t="shared" si="24"/>
        <v>2</v>
      </c>
      <c r="F137">
        <f t="shared" si="25"/>
        <v>1</v>
      </c>
      <c r="G137" t="e">
        <f t="shared" si="26"/>
        <v>#N/A</v>
      </c>
      <c r="H137" t="e">
        <f t="shared" si="27"/>
        <v>#N/A</v>
      </c>
      <c r="I137">
        <f t="shared" si="28"/>
        <v>2015</v>
      </c>
      <c r="J137">
        <f t="shared" si="29"/>
        <v>2.0230000000000001</v>
      </c>
      <c r="K137" t="e">
        <f t="shared" si="30"/>
        <v>#N/A</v>
      </c>
      <c r="L137" t="e">
        <f t="shared" si="31"/>
        <v>#N/A</v>
      </c>
      <c r="M137" t="e">
        <f t="shared" si="32"/>
        <v>#N/A</v>
      </c>
      <c r="N137" t="e">
        <f t="shared" si="33"/>
        <v>#N/A</v>
      </c>
      <c r="O137">
        <f t="shared" si="34"/>
        <v>1.0001370000000001</v>
      </c>
      <c r="T137">
        <f>IF(connections!$A137="","",IFERROR(INDEX(games!$B$2:$B$834,MATCH(connections!$A137,games!$A$2:$A$834,0)),""))</f>
        <v>2013</v>
      </c>
      <c r="U137">
        <f>IF(connections!$A137="","",IFERROR(INDEX(games!$B$2:$B$834,MATCH(connections!$B137,games!$A$2:$A$834,0)),""))</f>
        <v>2025</v>
      </c>
      <c r="V137">
        <f t="shared" si="35"/>
        <v>12</v>
      </c>
    </row>
    <row r="138" spans="1:22" x14ac:dyDescent="0.25">
      <c r="A138" t="str">
        <f>IF(games!$A138="","",games!$A138)</f>
        <v>Core Defense</v>
      </c>
      <c r="B138">
        <f>IF($A138="","",games!$B138)</f>
        <v>2020</v>
      </c>
      <c r="C138" t="str">
        <f>IF($A138="","",games!$C138)</f>
        <v>Strategy</v>
      </c>
      <c r="D138">
        <f>IF($A138="","",COUNTIF(connections!$A$2:$A$1188,$A138)+COUNTIF(connections!$B$2:$B$1188,$A138))</f>
        <v>2</v>
      </c>
      <c r="E138">
        <f t="shared" si="24"/>
        <v>2</v>
      </c>
      <c r="F138">
        <f t="shared" si="25"/>
        <v>2</v>
      </c>
      <c r="G138" t="e">
        <f t="shared" si="26"/>
        <v>#N/A</v>
      </c>
      <c r="H138" t="e">
        <f t="shared" si="27"/>
        <v>#N/A</v>
      </c>
      <c r="I138">
        <f t="shared" si="28"/>
        <v>2020</v>
      </c>
      <c r="J138">
        <f t="shared" si="29"/>
        <v>2.0459999999999998</v>
      </c>
      <c r="K138" t="e">
        <f t="shared" si="30"/>
        <v>#N/A</v>
      </c>
      <c r="L138" t="e">
        <f t="shared" si="31"/>
        <v>#N/A</v>
      </c>
      <c r="M138" t="e">
        <f t="shared" si="32"/>
        <v>#N/A</v>
      </c>
      <c r="N138" t="e">
        <f t="shared" si="33"/>
        <v>#N/A</v>
      </c>
      <c r="O138">
        <f t="shared" si="34"/>
        <v>2.0001380000000002</v>
      </c>
      <c r="T138">
        <f>IF(connections!$A138="","",IFERROR(INDEX(games!$B$2:$B$834,MATCH(connections!$A138,games!$A$2:$A$834,0)),""))</f>
        <v>2015</v>
      </c>
      <c r="U138">
        <f>IF(connections!$A138="","",IFERROR(INDEX(games!$B$2:$B$834,MATCH(connections!$B138,games!$A$2:$A$834,0)),""))</f>
        <v>2012</v>
      </c>
      <c r="V138">
        <f t="shared" si="35"/>
        <v>-3</v>
      </c>
    </row>
    <row r="139" spans="1:22" x14ac:dyDescent="0.25">
      <c r="A139" t="str">
        <f>IF(games!$A139="","",games!$A139)</f>
        <v>Corpse Keeper</v>
      </c>
      <c r="B139">
        <f>IF($A139="","",games!$B139)</f>
        <v>2023</v>
      </c>
      <c r="C139" t="str">
        <f>IF($A139="","",games!$C139)</f>
        <v>Action</v>
      </c>
      <c r="D139">
        <f>IF($A139="","",COUNTIF(connections!$A$2:$A$1188,$A139)+COUNTIF(connections!$B$2:$B$1188,$A139))</f>
        <v>1</v>
      </c>
      <c r="E139">
        <f t="shared" si="24"/>
        <v>1</v>
      </c>
      <c r="F139">
        <f t="shared" si="25"/>
        <v>3</v>
      </c>
      <c r="G139">
        <f t="shared" si="26"/>
        <v>2023</v>
      </c>
      <c r="H139">
        <f t="shared" si="27"/>
        <v>1.069</v>
      </c>
      <c r="I139" t="e">
        <f t="shared" si="28"/>
        <v>#N/A</v>
      </c>
      <c r="J139" t="e">
        <f t="shared" si="29"/>
        <v>#N/A</v>
      </c>
      <c r="K139" t="e">
        <f t="shared" si="30"/>
        <v>#N/A</v>
      </c>
      <c r="L139" t="e">
        <f t="shared" si="31"/>
        <v>#N/A</v>
      </c>
      <c r="M139" t="e">
        <f t="shared" si="32"/>
        <v>#N/A</v>
      </c>
      <c r="N139" t="e">
        <f t="shared" si="33"/>
        <v>#N/A</v>
      </c>
      <c r="O139">
        <f t="shared" si="34"/>
        <v>1.0001389999999999</v>
      </c>
      <c r="T139">
        <f>IF(connections!$A139="","",IFERROR(INDEX(games!$B$2:$B$834,MATCH(connections!$A139,games!$A$2:$A$834,0)),""))</f>
        <v>2017</v>
      </c>
      <c r="U139">
        <f>IF(connections!$A139="","",IFERROR(INDEX(games!$B$2:$B$834,MATCH(connections!$B139,games!$A$2:$A$834,0)),""))</f>
        <v>2023</v>
      </c>
      <c r="V139">
        <f t="shared" si="35"/>
        <v>6</v>
      </c>
    </row>
    <row r="140" spans="1:22" x14ac:dyDescent="0.25">
      <c r="A140" t="str">
        <f>IF(games!$A140="","",games!$A140)</f>
        <v>Crab Champions</v>
      </c>
      <c r="B140">
        <f>IF($A140="","",games!$B140)</f>
        <v>2023</v>
      </c>
      <c r="C140" t="str">
        <f>IF($A140="","",games!$C140)</f>
        <v>Action</v>
      </c>
      <c r="D140">
        <f>IF($A140="","",COUNTIF(connections!$A$2:$A$1188,$A140)+COUNTIF(connections!$B$2:$B$1188,$A140))</f>
        <v>2</v>
      </c>
      <c r="E140">
        <f t="shared" si="24"/>
        <v>1</v>
      </c>
      <c r="F140">
        <f t="shared" si="25"/>
        <v>4</v>
      </c>
      <c r="G140">
        <f t="shared" si="26"/>
        <v>2023</v>
      </c>
      <c r="H140">
        <f t="shared" si="27"/>
        <v>1.0920000000000001</v>
      </c>
      <c r="I140" t="e">
        <f t="shared" si="28"/>
        <v>#N/A</v>
      </c>
      <c r="J140" t="e">
        <f t="shared" si="29"/>
        <v>#N/A</v>
      </c>
      <c r="K140" t="e">
        <f t="shared" si="30"/>
        <v>#N/A</v>
      </c>
      <c r="L140" t="e">
        <f t="shared" si="31"/>
        <v>#N/A</v>
      </c>
      <c r="M140" t="e">
        <f t="shared" si="32"/>
        <v>#N/A</v>
      </c>
      <c r="N140" t="e">
        <f t="shared" si="33"/>
        <v>#N/A</v>
      </c>
      <c r="O140">
        <f t="shared" si="34"/>
        <v>2.00014</v>
      </c>
      <c r="T140">
        <f>IF(connections!$A140="","",IFERROR(INDEX(games!$B$2:$B$834,MATCH(connections!$A140,games!$A$2:$A$834,0)),""))</f>
        <v>2010</v>
      </c>
      <c r="U140">
        <f>IF(connections!$A140="","",IFERROR(INDEX(games!$B$2:$B$834,MATCH(connections!$B140,games!$A$2:$A$834,0)),""))</f>
        <v>2020</v>
      </c>
      <c r="V140">
        <f t="shared" si="35"/>
        <v>10</v>
      </c>
    </row>
    <row r="141" spans="1:22" x14ac:dyDescent="0.25">
      <c r="A141" t="str">
        <f>IF(games!$A141="","",games!$A141)</f>
        <v>Crablike</v>
      </c>
      <c r="B141">
        <f>IF($A141="","",games!$B141)</f>
        <v>2025</v>
      </c>
      <c r="C141" t="str">
        <f>IF($A141="","",games!$C141)</f>
        <v>Traditional</v>
      </c>
      <c r="D141">
        <f>IF($A141="","",COUNTIF(connections!$A$2:$A$1188,$A141)+COUNTIF(connections!$B$2:$B$1188,$A141))</f>
        <v>2</v>
      </c>
      <c r="E141">
        <f t="shared" si="24"/>
        <v>4</v>
      </c>
      <c r="F141">
        <f t="shared" si="25"/>
        <v>5</v>
      </c>
      <c r="G141" t="e">
        <f t="shared" si="26"/>
        <v>#N/A</v>
      </c>
      <c r="H141" t="e">
        <f t="shared" si="27"/>
        <v>#N/A</v>
      </c>
      <c r="I141" t="e">
        <f t="shared" si="28"/>
        <v>#N/A</v>
      </c>
      <c r="J141" t="e">
        <f t="shared" si="29"/>
        <v>#N/A</v>
      </c>
      <c r="K141" t="e">
        <f t="shared" si="30"/>
        <v>#N/A</v>
      </c>
      <c r="L141" t="e">
        <f t="shared" si="31"/>
        <v>#N/A</v>
      </c>
      <c r="M141">
        <f t="shared" si="32"/>
        <v>2025</v>
      </c>
      <c r="N141">
        <f t="shared" si="33"/>
        <v>4.1150000000000002</v>
      </c>
      <c r="O141">
        <f t="shared" si="34"/>
        <v>2.0001410000000002</v>
      </c>
      <c r="T141">
        <f>IF(connections!$A141="","",IFERROR(INDEX(games!$B$2:$B$834,MATCH(connections!$A141,games!$A$2:$A$834,0)),""))</f>
        <v>2010</v>
      </c>
      <c r="U141">
        <f>IF(connections!$A141="","",IFERROR(INDEX(games!$B$2:$B$834,MATCH(connections!$B141,games!$A$2:$A$834,0)),""))</f>
        <v>2014</v>
      </c>
      <c r="V141">
        <f t="shared" si="35"/>
        <v>4</v>
      </c>
    </row>
    <row r="142" spans="1:22" x14ac:dyDescent="0.25">
      <c r="A142" t="str">
        <f>IF(games!$A142="","",games!$A142)</f>
        <v>Crafty Survivors</v>
      </c>
      <c r="B142">
        <f>IF($A142="","",games!$B142)</f>
        <v>2023</v>
      </c>
      <c r="C142" t="str">
        <f>IF($A142="","",games!$C142)</f>
        <v>Action</v>
      </c>
      <c r="D142">
        <f>IF($A142="","",COUNTIF(connections!$A$2:$A$1188,$A142)+COUNTIF(connections!$B$2:$B$1188,$A142))</f>
        <v>1</v>
      </c>
      <c r="E142">
        <f t="shared" si="24"/>
        <v>1</v>
      </c>
      <c r="F142">
        <f t="shared" si="25"/>
        <v>6</v>
      </c>
      <c r="G142">
        <f t="shared" si="26"/>
        <v>2023</v>
      </c>
      <c r="H142">
        <f t="shared" si="27"/>
        <v>1.1379999999999999</v>
      </c>
      <c r="I142" t="e">
        <f t="shared" si="28"/>
        <v>#N/A</v>
      </c>
      <c r="J142" t="e">
        <f t="shared" si="29"/>
        <v>#N/A</v>
      </c>
      <c r="K142" t="e">
        <f t="shared" si="30"/>
        <v>#N/A</v>
      </c>
      <c r="L142" t="e">
        <f t="shared" si="31"/>
        <v>#N/A</v>
      </c>
      <c r="M142" t="e">
        <f t="shared" si="32"/>
        <v>#N/A</v>
      </c>
      <c r="N142" t="e">
        <f t="shared" si="33"/>
        <v>#N/A</v>
      </c>
      <c r="O142">
        <f t="shared" si="34"/>
        <v>1.0001420000000001</v>
      </c>
      <c r="T142">
        <f>IF(connections!$A142="","",IFERROR(INDEX(games!$B$2:$B$834,MATCH(connections!$A142,games!$A$2:$A$834,0)),""))</f>
        <v>2022</v>
      </c>
      <c r="U142">
        <f>IF(connections!$A142="","",IFERROR(INDEX(games!$B$2:$B$834,MATCH(connections!$B142,games!$A$2:$A$834,0)),""))</f>
        <v>2025</v>
      </c>
      <c r="V142">
        <f t="shared" si="35"/>
        <v>3</v>
      </c>
    </row>
    <row r="143" spans="1:22" x14ac:dyDescent="0.25">
      <c r="A143" t="str">
        <f>IF(games!$A143="","",games!$A143)</f>
        <v>Crawl</v>
      </c>
      <c r="B143">
        <f>IF($A143="","",games!$B143)</f>
        <v>2017</v>
      </c>
      <c r="C143" t="str">
        <f>IF($A143="","",games!$C143)</f>
        <v>Action</v>
      </c>
      <c r="D143">
        <f>IF($A143="","",COUNTIF(connections!$A$2:$A$1188,$A143)+COUNTIF(connections!$B$2:$B$1188,$A143))</f>
        <v>0</v>
      </c>
      <c r="E143">
        <f t="shared" si="24"/>
        <v>1</v>
      </c>
      <c r="F143">
        <f t="shared" si="25"/>
        <v>7</v>
      </c>
      <c r="G143">
        <f t="shared" si="26"/>
        <v>2017</v>
      </c>
      <c r="H143">
        <f t="shared" si="27"/>
        <v>1.161</v>
      </c>
      <c r="I143" t="e">
        <f t="shared" si="28"/>
        <v>#N/A</v>
      </c>
      <c r="J143" t="e">
        <f t="shared" si="29"/>
        <v>#N/A</v>
      </c>
      <c r="K143" t="e">
        <f t="shared" si="30"/>
        <v>#N/A</v>
      </c>
      <c r="L143" t="e">
        <f t="shared" si="31"/>
        <v>#N/A</v>
      </c>
      <c r="M143" t="e">
        <f t="shared" si="32"/>
        <v>#N/A</v>
      </c>
      <c r="N143" t="e">
        <f t="shared" si="33"/>
        <v>#N/A</v>
      </c>
      <c r="O143">
        <f t="shared" si="34"/>
        <v>1.4300000000000001E-4</v>
      </c>
      <c r="T143">
        <f>IF(connections!$A143="","",IFERROR(INDEX(games!$B$2:$B$834,MATCH(connections!$A143,games!$A$2:$A$834,0)),""))</f>
        <v>2019</v>
      </c>
      <c r="U143">
        <f>IF(connections!$A143="","",IFERROR(INDEX(games!$B$2:$B$834,MATCH(connections!$B143,games!$A$2:$A$834,0)),""))</f>
        <v>2022</v>
      </c>
      <c r="V143">
        <f t="shared" si="35"/>
        <v>3</v>
      </c>
    </row>
    <row r="144" spans="1:22" x14ac:dyDescent="0.25">
      <c r="A144" t="str">
        <f>IF(games!$A144="","",games!$A144)</f>
        <v>Crop Rotation</v>
      </c>
      <c r="B144">
        <f>IF($A144="","",games!$B144)</f>
        <v>2023</v>
      </c>
      <c r="C144" t="str">
        <f>IF($A144="","",games!$C144)</f>
        <v>Deckbuilder</v>
      </c>
      <c r="D144">
        <f>IF($A144="","",COUNTIF(connections!$A$2:$A$1188,$A144)+COUNTIF(connections!$B$2:$B$1188,$A144))</f>
        <v>1</v>
      </c>
      <c r="E144">
        <f t="shared" si="24"/>
        <v>3</v>
      </c>
      <c r="F144">
        <f t="shared" si="25"/>
        <v>8</v>
      </c>
      <c r="G144" t="e">
        <f t="shared" si="26"/>
        <v>#N/A</v>
      </c>
      <c r="H144" t="e">
        <f t="shared" si="27"/>
        <v>#N/A</v>
      </c>
      <c r="I144" t="e">
        <f t="shared" si="28"/>
        <v>#N/A</v>
      </c>
      <c r="J144" t="e">
        <f t="shared" si="29"/>
        <v>#N/A</v>
      </c>
      <c r="K144">
        <f t="shared" si="30"/>
        <v>2023</v>
      </c>
      <c r="L144">
        <f t="shared" si="31"/>
        <v>3.1840000000000002</v>
      </c>
      <c r="M144" t="e">
        <f t="shared" si="32"/>
        <v>#N/A</v>
      </c>
      <c r="N144" t="e">
        <f t="shared" si="33"/>
        <v>#N/A</v>
      </c>
      <c r="O144">
        <f t="shared" si="34"/>
        <v>1.0001439999999999</v>
      </c>
      <c r="T144">
        <f>IF(connections!$A144="","",IFERROR(INDEX(games!$B$2:$B$834,MATCH(connections!$A144,games!$A$2:$A$834,0)),""))</f>
        <v>1998</v>
      </c>
      <c r="U144">
        <f>IF(connections!$A144="","",IFERROR(INDEX(games!$B$2:$B$834,MATCH(connections!$B144,games!$A$2:$A$834,0)),""))</f>
        <v>2007</v>
      </c>
      <c r="V144">
        <f t="shared" si="35"/>
        <v>9</v>
      </c>
    </row>
    <row r="145" spans="1:22" x14ac:dyDescent="0.25">
      <c r="A145" t="str">
        <f>IF(games!$A145="","",games!$A145)</f>
        <v>Cropdeck</v>
      </c>
      <c r="B145">
        <f>IF($A145="","",games!$B145)</f>
        <v>2026</v>
      </c>
      <c r="C145" t="str">
        <f>IF($A145="","",games!$C145)</f>
        <v>Deckbuilder</v>
      </c>
      <c r="D145">
        <f>IF($A145="","",COUNTIF(connections!$A$2:$A$1188,$A145)+COUNTIF(connections!$B$2:$B$1188,$A145))</f>
        <v>3</v>
      </c>
      <c r="E145">
        <f t="shared" si="24"/>
        <v>3</v>
      </c>
      <c r="F145">
        <f t="shared" si="25"/>
        <v>9</v>
      </c>
      <c r="G145" t="e">
        <f t="shared" si="26"/>
        <v>#N/A</v>
      </c>
      <c r="H145" t="e">
        <f t="shared" si="27"/>
        <v>#N/A</v>
      </c>
      <c r="I145" t="e">
        <f t="shared" si="28"/>
        <v>#N/A</v>
      </c>
      <c r="J145" t="e">
        <f t="shared" si="29"/>
        <v>#N/A</v>
      </c>
      <c r="K145">
        <f t="shared" si="30"/>
        <v>2026</v>
      </c>
      <c r="L145">
        <f t="shared" si="31"/>
        <v>3.2069999999999999</v>
      </c>
      <c r="M145" t="e">
        <f t="shared" si="32"/>
        <v>#N/A</v>
      </c>
      <c r="N145" t="e">
        <f t="shared" si="33"/>
        <v>#N/A</v>
      </c>
      <c r="O145">
        <f t="shared" si="34"/>
        <v>3.0001449999999998</v>
      </c>
      <c r="T145">
        <f>IF(connections!$A145="","",IFERROR(INDEX(games!$B$2:$B$834,MATCH(connections!$A145,games!$A$2:$A$834,0)),""))</f>
        <v>1997</v>
      </c>
      <c r="U145">
        <f>IF(connections!$A145="","",IFERROR(INDEX(games!$B$2:$B$834,MATCH(connections!$B145,games!$A$2:$A$834,0)),""))</f>
        <v>1998</v>
      </c>
      <c r="V145">
        <f t="shared" si="35"/>
        <v>1</v>
      </c>
    </row>
    <row r="146" spans="1:22" x14ac:dyDescent="0.25">
      <c r="A146" t="str">
        <f>IF(games!$A146="","",games!$A146)</f>
        <v>Cross Blitz</v>
      </c>
      <c r="B146">
        <f>IF($A146="","",games!$B146)</f>
        <v>2023</v>
      </c>
      <c r="C146" t="str">
        <f>IF($A146="","",games!$C146)</f>
        <v>Deckbuilder</v>
      </c>
      <c r="D146">
        <f>IF($A146="","",COUNTIF(connections!$A$2:$A$1188,$A146)+COUNTIF(connections!$B$2:$B$1188,$A146))</f>
        <v>2</v>
      </c>
      <c r="E146">
        <f t="shared" si="24"/>
        <v>3</v>
      </c>
      <c r="F146">
        <f t="shared" si="25"/>
        <v>10</v>
      </c>
      <c r="G146" t="e">
        <f t="shared" si="26"/>
        <v>#N/A</v>
      </c>
      <c r="H146" t="e">
        <f t="shared" si="27"/>
        <v>#N/A</v>
      </c>
      <c r="I146" t="e">
        <f t="shared" si="28"/>
        <v>#N/A</v>
      </c>
      <c r="J146" t="e">
        <f t="shared" si="29"/>
        <v>#N/A</v>
      </c>
      <c r="K146">
        <f t="shared" si="30"/>
        <v>2023</v>
      </c>
      <c r="L146">
        <f t="shared" si="31"/>
        <v>3.23</v>
      </c>
      <c r="M146" t="e">
        <f t="shared" si="32"/>
        <v>#N/A</v>
      </c>
      <c r="N146" t="e">
        <f t="shared" si="33"/>
        <v>#N/A</v>
      </c>
      <c r="O146">
        <f t="shared" si="34"/>
        <v>2.000146</v>
      </c>
      <c r="T146">
        <f>IF(connections!$A146="","",IFERROR(INDEX(games!$B$2:$B$834,MATCH(connections!$A146,games!$A$2:$A$834,0)),""))</f>
        <v>2023</v>
      </c>
      <c r="U146">
        <f>IF(connections!$A146="","",IFERROR(INDEX(games!$B$2:$B$834,MATCH(connections!$B146,games!$A$2:$A$834,0)),""))</f>
        <v>2025</v>
      </c>
      <c r="V146">
        <f t="shared" si="35"/>
        <v>2</v>
      </c>
    </row>
    <row r="147" spans="1:22" x14ac:dyDescent="0.25">
      <c r="A147" t="str">
        <f>IF(games!$A147="","",games!$A147)</f>
        <v>Crown Trick</v>
      </c>
      <c r="B147">
        <f>IF($A147="","",games!$B147)</f>
        <v>2020</v>
      </c>
      <c r="C147" t="str">
        <f>IF($A147="","",games!$C147)</f>
        <v>Strategy</v>
      </c>
      <c r="D147">
        <f>IF($A147="","",COUNTIF(connections!$A$2:$A$1188,$A147)+COUNTIF(connections!$B$2:$B$1188,$A147))</f>
        <v>0</v>
      </c>
      <c r="E147">
        <f t="shared" si="24"/>
        <v>2</v>
      </c>
      <c r="F147">
        <f t="shared" si="25"/>
        <v>11</v>
      </c>
      <c r="G147" t="e">
        <f t="shared" si="26"/>
        <v>#N/A</v>
      </c>
      <c r="H147" t="e">
        <f t="shared" si="27"/>
        <v>#N/A</v>
      </c>
      <c r="I147">
        <f t="shared" si="28"/>
        <v>2020</v>
      </c>
      <c r="J147">
        <f t="shared" si="29"/>
        <v>2.2530000000000001</v>
      </c>
      <c r="K147" t="e">
        <f t="shared" si="30"/>
        <v>#N/A</v>
      </c>
      <c r="L147" t="e">
        <f t="shared" si="31"/>
        <v>#N/A</v>
      </c>
      <c r="M147" t="e">
        <f t="shared" si="32"/>
        <v>#N/A</v>
      </c>
      <c r="N147" t="e">
        <f t="shared" si="33"/>
        <v>#N/A</v>
      </c>
      <c r="O147">
        <f t="shared" si="34"/>
        <v>1.47E-4</v>
      </c>
      <c r="T147">
        <f>IF(connections!$A147="","",IFERROR(INDEX(games!$B$2:$B$834,MATCH(connections!$A147,games!$A$2:$A$834,0)),""))</f>
        <v>2017</v>
      </c>
      <c r="U147">
        <f>IF(connections!$A147="","",IFERROR(INDEX(games!$B$2:$B$834,MATCH(connections!$B147,games!$A$2:$A$834,0)),""))</f>
        <v>2020</v>
      </c>
      <c r="V147">
        <f t="shared" si="35"/>
        <v>3</v>
      </c>
    </row>
    <row r="148" spans="1:22" x14ac:dyDescent="0.25">
      <c r="A148" t="str">
        <f>IF(games!$A148="","",games!$A148)</f>
        <v>Crush the Industry</v>
      </c>
      <c r="B148">
        <f>IF($A148="","",games!$B148)</f>
        <v>2025</v>
      </c>
      <c r="C148" t="str">
        <f>IF($A148="","",games!$C148)</f>
        <v>Deckbuilder</v>
      </c>
      <c r="D148">
        <f>IF($A148="","",COUNTIF(connections!$A$2:$A$1188,$A148)+COUNTIF(connections!$B$2:$B$1188,$A148))</f>
        <v>1</v>
      </c>
      <c r="E148">
        <f t="shared" si="24"/>
        <v>3</v>
      </c>
      <c r="F148">
        <f t="shared" si="25"/>
        <v>12</v>
      </c>
      <c r="G148" t="e">
        <f t="shared" si="26"/>
        <v>#N/A</v>
      </c>
      <c r="H148" t="e">
        <f t="shared" si="27"/>
        <v>#N/A</v>
      </c>
      <c r="I148" t="e">
        <f t="shared" si="28"/>
        <v>#N/A</v>
      </c>
      <c r="J148" t="e">
        <f t="shared" si="29"/>
        <v>#N/A</v>
      </c>
      <c r="K148">
        <f t="shared" si="30"/>
        <v>2025</v>
      </c>
      <c r="L148">
        <f t="shared" si="31"/>
        <v>3.2759999999999998</v>
      </c>
      <c r="M148" t="e">
        <f t="shared" si="32"/>
        <v>#N/A</v>
      </c>
      <c r="N148" t="e">
        <f t="shared" si="33"/>
        <v>#N/A</v>
      </c>
      <c r="O148">
        <f t="shared" si="34"/>
        <v>1.000148</v>
      </c>
      <c r="T148">
        <f>IF(connections!$A148="","",IFERROR(INDEX(games!$B$2:$B$834,MATCH(connections!$A148,games!$A$2:$A$834,0)),""))</f>
        <v>2017</v>
      </c>
      <c r="U148">
        <f>IF(connections!$A148="","",IFERROR(INDEX(games!$B$2:$B$834,MATCH(connections!$B148,games!$A$2:$A$834,0)),""))</f>
        <v>2021</v>
      </c>
      <c r="V148">
        <f t="shared" si="35"/>
        <v>4</v>
      </c>
    </row>
    <row r="149" spans="1:22" x14ac:dyDescent="0.25">
      <c r="A149" t="str">
        <f>IF(games!$A149="","",games!$A149)</f>
        <v>Crying Suns</v>
      </c>
      <c r="B149">
        <f>IF($A149="","",games!$B149)</f>
        <v>2019</v>
      </c>
      <c r="C149" t="str">
        <f>IF($A149="","",games!$C149)</f>
        <v>Strategy</v>
      </c>
      <c r="D149">
        <f>IF($A149="","",COUNTIF(connections!$A$2:$A$1188,$A149)+COUNTIF(connections!$B$2:$B$1188,$A149))</f>
        <v>1</v>
      </c>
      <c r="E149">
        <f t="shared" si="24"/>
        <v>2</v>
      </c>
      <c r="F149">
        <f t="shared" si="25"/>
        <v>13</v>
      </c>
      <c r="G149" t="e">
        <f t="shared" si="26"/>
        <v>#N/A</v>
      </c>
      <c r="H149" t="e">
        <f t="shared" si="27"/>
        <v>#N/A</v>
      </c>
      <c r="I149">
        <f t="shared" si="28"/>
        <v>2019</v>
      </c>
      <c r="J149">
        <f t="shared" si="29"/>
        <v>2.2989999999999999</v>
      </c>
      <c r="K149" t="e">
        <f t="shared" si="30"/>
        <v>#N/A</v>
      </c>
      <c r="L149" t="e">
        <f t="shared" si="31"/>
        <v>#N/A</v>
      </c>
      <c r="M149" t="e">
        <f t="shared" si="32"/>
        <v>#N/A</v>
      </c>
      <c r="N149" t="e">
        <f t="shared" si="33"/>
        <v>#N/A</v>
      </c>
      <c r="O149">
        <f t="shared" si="34"/>
        <v>1.000149</v>
      </c>
      <c r="T149">
        <f>IF(connections!$A149="","",IFERROR(INDEX(games!$B$2:$B$834,MATCH(connections!$A149,games!$A$2:$A$834,0)),""))</f>
        <v>2020</v>
      </c>
      <c r="U149">
        <f>IF(connections!$A149="","",IFERROR(INDEX(games!$B$2:$B$834,MATCH(connections!$B149,games!$A$2:$A$834,0)),""))</f>
        <v>2024</v>
      </c>
      <c r="V149">
        <f t="shared" si="35"/>
        <v>4</v>
      </c>
    </row>
    <row r="150" spans="1:22" x14ac:dyDescent="0.25">
      <c r="A150" t="str">
        <f>IF(games!$A150="","",games!$A150)</f>
        <v>Crypt of the NecroDancer</v>
      </c>
      <c r="B150">
        <f>IF($A150="","",games!$B150)</f>
        <v>2015</v>
      </c>
      <c r="C150" t="str">
        <f>IF($A150="","",games!$C150)</f>
        <v>Traditional</v>
      </c>
      <c r="D150">
        <f>IF($A150="","",COUNTIF(connections!$A$2:$A$1188,$A150)+COUNTIF(connections!$B$2:$B$1188,$A150))</f>
        <v>12</v>
      </c>
      <c r="E150">
        <f t="shared" si="24"/>
        <v>4</v>
      </c>
      <c r="F150">
        <f t="shared" si="25"/>
        <v>14</v>
      </c>
      <c r="G150" t="e">
        <f t="shared" si="26"/>
        <v>#N/A</v>
      </c>
      <c r="H150" t="e">
        <f t="shared" si="27"/>
        <v>#N/A</v>
      </c>
      <c r="I150" t="e">
        <f t="shared" si="28"/>
        <v>#N/A</v>
      </c>
      <c r="J150" t="e">
        <f t="shared" si="29"/>
        <v>#N/A</v>
      </c>
      <c r="K150" t="e">
        <f t="shared" si="30"/>
        <v>#N/A</v>
      </c>
      <c r="L150" t="e">
        <f t="shared" si="31"/>
        <v>#N/A</v>
      </c>
      <c r="M150">
        <f t="shared" si="32"/>
        <v>2015</v>
      </c>
      <c r="N150">
        <f t="shared" si="33"/>
        <v>4.3220000000000001</v>
      </c>
      <c r="O150">
        <f t="shared" si="34"/>
        <v>12.00015</v>
      </c>
      <c r="T150">
        <f>IF(connections!$A150="","",IFERROR(INDEX(games!$B$2:$B$834,MATCH(connections!$A150,games!$A$2:$A$834,0)),""))</f>
        <v>2023</v>
      </c>
      <c r="U150">
        <f>IF(connections!$A150="","",IFERROR(INDEX(games!$B$2:$B$834,MATCH(connections!$B150,games!$A$2:$A$834,0)),""))</f>
        <v>2026</v>
      </c>
      <c r="V150">
        <f t="shared" si="35"/>
        <v>3</v>
      </c>
    </row>
    <row r="151" spans="1:22" x14ac:dyDescent="0.25">
      <c r="A151" t="str">
        <f>IF(games!$A151="","",games!$A151)</f>
        <v>Cryptark</v>
      </c>
      <c r="B151">
        <f>IF($A151="","",games!$B151)</f>
        <v>2017</v>
      </c>
      <c r="C151" t="str">
        <f>IF($A151="","",games!$C151)</f>
        <v>Action</v>
      </c>
      <c r="D151">
        <f>IF($A151="","",COUNTIF(connections!$A$2:$A$1188,$A151)+COUNTIF(connections!$B$2:$B$1188,$A151))</f>
        <v>0</v>
      </c>
      <c r="E151">
        <f t="shared" si="24"/>
        <v>1</v>
      </c>
      <c r="F151">
        <f t="shared" si="25"/>
        <v>15</v>
      </c>
      <c r="G151">
        <f t="shared" si="26"/>
        <v>2017</v>
      </c>
      <c r="H151">
        <f t="shared" si="27"/>
        <v>1.345</v>
      </c>
      <c r="I151" t="e">
        <f t="shared" si="28"/>
        <v>#N/A</v>
      </c>
      <c r="J151" t="e">
        <f t="shared" si="29"/>
        <v>#N/A</v>
      </c>
      <c r="K151" t="e">
        <f t="shared" si="30"/>
        <v>#N/A</v>
      </c>
      <c r="L151" t="e">
        <f t="shared" si="31"/>
        <v>#N/A</v>
      </c>
      <c r="M151" t="e">
        <f t="shared" si="32"/>
        <v>#N/A</v>
      </c>
      <c r="N151" t="e">
        <f t="shared" si="33"/>
        <v>#N/A</v>
      </c>
      <c r="O151">
        <f t="shared" si="34"/>
        <v>1.5100000000000001E-4</v>
      </c>
      <c r="T151">
        <f>IF(connections!$A151="","",IFERROR(INDEX(games!$B$2:$B$834,MATCH(connections!$A151,games!$A$2:$A$834,0)),""))</f>
        <v>2023</v>
      </c>
      <c r="U151">
        <f>IF(connections!$A151="","",IFERROR(INDEX(games!$B$2:$B$834,MATCH(connections!$B151,games!$A$2:$A$834,0)),""))</f>
        <v>2024</v>
      </c>
      <c r="V151">
        <f t="shared" si="35"/>
        <v>1</v>
      </c>
    </row>
    <row r="152" spans="1:22" x14ac:dyDescent="0.25">
      <c r="A152" t="str">
        <f>IF(games!$A152="","",games!$A152)</f>
        <v>Cthangband</v>
      </c>
      <c r="B152">
        <f>IF($A152="","",games!$B152)</f>
        <v>1998</v>
      </c>
      <c r="C152" t="str">
        <f>IF($A152="","",games!$C152)</f>
        <v>Traditional</v>
      </c>
      <c r="D152">
        <f>IF($A152="","",COUNTIF(connections!$A$2:$A$1188,$A152)+COUNTIF(connections!$B$2:$B$1188,$A152))</f>
        <v>1</v>
      </c>
      <c r="E152">
        <f t="shared" si="24"/>
        <v>4</v>
      </c>
      <c r="F152">
        <f t="shared" si="25"/>
        <v>16</v>
      </c>
      <c r="G152" t="e">
        <f t="shared" si="26"/>
        <v>#N/A</v>
      </c>
      <c r="H152" t="e">
        <f t="shared" si="27"/>
        <v>#N/A</v>
      </c>
      <c r="I152" t="e">
        <f t="shared" si="28"/>
        <v>#N/A</v>
      </c>
      <c r="J152" t="e">
        <f t="shared" si="29"/>
        <v>#N/A</v>
      </c>
      <c r="K152" t="e">
        <f t="shared" si="30"/>
        <v>#N/A</v>
      </c>
      <c r="L152" t="e">
        <f t="shared" si="31"/>
        <v>#N/A</v>
      </c>
      <c r="M152">
        <f t="shared" si="32"/>
        <v>1998</v>
      </c>
      <c r="N152">
        <f t="shared" si="33"/>
        <v>4.3680000000000003</v>
      </c>
      <c r="O152">
        <f t="shared" si="34"/>
        <v>1.0001519999999999</v>
      </c>
      <c r="T152">
        <f>IF(connections!$A152="","",IFERROR(INDEX(games!$B$2:$B$834,MATCH(connections!$A152,games!$A$2:$A$834,0)),""))</f>
        <v>2015</v>
      </c>
      <c r="U152">
        <f>IF(connections!$A152="","",IFERROR(INDEX(games!$B$2:$B$834,MATCH(connections!$B152,games!$A$2:$A$834,0)),""))</f>
        <v>2017</v>
      </c>
      <c r="V152">
        <f t="shared" si="35"/>
        <v>2</v>
      </c>
    </row>
    <row r="153" spans="1:22" x14ac:dyDescent="0.25">
      <c r="A153" t="str">
        <f>IF(games!$A153="","",games!$A153)</f>
        <v>Cube Chaos</v>
      </c>
      <c r="B153">
        <f>IF($A153="","",games!$B153)</f>
        <v>2023</v>
      </c>
      <c r="C153" t="str">
        <f>IF($A153="","",games!$C153)</f>
        <v>Deckbuilder</v>
      </c>
      <c r="D153">
        <f>IF($A153="","",COUNTIF(connections!$A$2:$A$1188,$A153)+COUNTIF(connections!$B$2:$B$1188,$A153))</f>
        <v>0</v>
      </c>
      <c r="E153">
        <f t="shared" si="24"/>
        <v>3</v>
      </c>
      <c r="F153">
        <f t="shared" si="25"/>
        <v>17</v>
      </c>
      <c r="G153" t="e">
        <f t="shared" si="26"/>
        <v>#N/A</v>
      </c>
      <c r="H153" t="e">
        <f t="shared" si="27"/>
        <v>#N/A</v>
      </c>
      <c r="I153" t="e">
        <f t="shared" si="28"/>
        <v>#N/A</v>
      </c>
      <c r="J153" t="e">
        <f t="shared" si="29"/>
        <v>#N/A</v>
      </c>
      <c r="K153">
        <f t="shared" si="30"/>
        <v>2023</v>
      </c>
      <c r="L153">
        <f t="shared" si="31"/>
        <v>3.391</v>
      </c>
      <c r="M153" t="e">
        <f t="shared" si="32"/>
        <v>#N/A</v>
      </c>
      <c r="N153" t="e">
        <f t="shared" si="33"/>
        <v>#N/A</v>
      </c>
      <c r="O153">
        <f t="shared" si="34"/>
        <v>1.5300000000000001E-4</v>
      </c>
      <c r="T153">
        <f>IF(connections!$A153="","",IFERROR(INDEX(games!$B$2:$B$834,MATCH(connections!$A153,games!$A$2:$A$834,0)),""))</f>
        <v>2015</v>
      </c>
      <c r="U153">
        <f>IF(connections!$A153="","",IFERROR(INDEX(games!$B$2:$B$834,MATCH(connections!$B153,games!$A$2:$A$834,0)),""))</f>
        <v>2020</v>
      </c>
      <c r="V153">
        <f t="shared" si="35"/>
        <v>5</v>
      </c>
    </row>
    <row r="154" spans="1:22" x14ac:dyDescent="0.25">
      <c r="A154" t="str">
        <f>IF(games!$A154="","",games!$A154)</f>
        <v>Cubic Cosmos</v>
      </c>
      <c r="B154">
        <f>IF($A154="","",games!$B154)</f>
        <v>2025</v>
      </c>
      <c r="C154" t="str">
        <f>IF($A154="","",games!$C154)</f>
        <v>Deckbuilder</v>
      </c>
      <c r="D154">
        <f>IF($A154="","",COUNTIF(connections!$A$2:$A$1188,$A154)+COUNTIF(connections!$B$2:$B$1188,$A154))</f>
        <v>0</v>
      </c>
      <c r="E154">
        <f t="shared" si="24"/>
        <v>3</v>
      </c>
      <c r="F154">
        <f t="shared" si="25"/>
        <v>18</v>
      </c>
      <c r="G154" t="e">
        <f t="shared" si="26"/>
        <v>#N/A</v>
      </c>
      <c r="H154" t="e">
        <f t="shared" si="27"/>
        <v>#N/A</v>
      </c>
      <c r="I154" t="e">
        <f t="shared" si="28"/>
        <v>#N/A</v>
      </c>
      <c r="J154" t="e">
        <f t="shared" si="29"/>
        <v>#N/A</v>
      </c>
      <c r="K154">
        <f t="shared" si="30"/>
        <v>2025</v>
      </c>
      <c r="L154">
        <f t="shared" si="31"/>
        <v>3.4140000000000001</v>
      </c>
      <c r="M154" t="e">
        <f t="shared" si="32"/>
        <v>#N/A</v>
      </c>
      <c r="N154" t="e">
        <f t="shared" si="33"/>
        <v>#N/A</v>
      </c>
      <c r="O154">
        <f t="shared" si="34"/>
        <v>1.54E-4</v>
      </c>
      <c r="T154">
        <f>IF(connections!$A154="","",IFERROR(INDEX(games!$B$2:$B$834,MATCH(connections!$A154,games!$A$2:$A$834,0)),""))</f>
        <v>2015</v>
      </c>
      <c r="U154">
        <f>IF(connections!$A154="","",IFERROR(INDEX(games!$B$2:$B$834,MATCH(connections!$B154,games!$A$2:$A$834,0)),""))</f>
        <v>2022</v>
      </c>
      <c r="V154">
        <f t="shared" si="35"/>
        <v>7</v>
      </c>
    </row>
    <row r="155" spans="1:22" x14ac:dyDescent="0.25">
      <c r="A155" t="str">
        <f>IF(games!$A155="","",games!$A155)</f>
        <v>Cult of the Lamb</v>
      </c>
      <c r="B155">
        <f>IF($A155="","",games!$B155)</f>
        <v>2022</v>
      </c>
      <c r="C155" t="str">
        <f>IF($A155="","",games!$C155)</f>
        <v>Action</v>
      </c>
      <c r="D155">
        <f>IF($A155="","",COUNTIF(connections!$A$2:$A$1188,$A155)+COUNTIF(connections!$B$2:$B$1188,$A155))</f>
        <v>7</v>
      </c>
      <c r="E155">
        <f t="shared" si="24"/>
        <v>1</v>
      </c>
      <c r="F155">
        <f t="shared" si="25"/>
        <v>19</v>
      </c>
      <c r="G155">
        <f t="shared" si="26"/>
        <v>2022</v>
      </c>
      <c r="H155">
        <f t="shared" si="27"/>
        <v>1.4370000000000001</v>
      </c>
      <c r="I155" t="e">
        <f t="shared" si="28"/>
        <v>#N/A</v>
      </c>
      <c r="J155" t="e">
        <f t="shared" si="29"/>
        <v>#N/A</v>
      </c>
      <c r="K155" t="e">
        <f t="shared" si="30"/>
        <v>#N/A</v>
      </c>
      <c r="L155" t="e">
        <f t="shared" si="31"/>
        <v>#N/A</v>
      </c>
      <c r="M155" t="e">
        <f t="shared" si="32"/>
        <v>#N/A</v>
      </c>
      <c r="N155" t="e">
        <f t="shared" si="33"/>
        <v>#N/A</v>
      </c>
      <c r="O155">
        <f t="shared" si="34"/>
        <v>7.0001550000000003</v>
      </c>
      <c r="T155">
        <f>IF(connections!$A155="","",IFERROR(INDEX(games!$B$2:$B$834,MATCH(connections!$A155,games!$A$2:$A$834,0)),""))</f>
        <v>2015</v>
      </c>
      <c r="U155">
        <f>IF(connections!$A155="","",IFERROR(INDEX(games!$B$2:$B$834,MATCH(connections!$B155,games!$A$2:$A$834,0)),""))</f>
        <v>2026</v>
      </c>
      <c r="V155">
        <f t="shared" si="35"/>
        <v>11</v>
      </c>
    </row>
    <row r="156" spans="1:22" x14ac:dyDescent="0.25">
      <c r="A156" t="str">
        <f>IF(games!$A156="","",games!$A156)</f>
        <v>Cultist Simulator</v>
      </c>
      <c r="B156">
        <f>IF($A156="","",games!$B156)</f>
        <v>2018</v>
      </c>
      <c r="C156" t="str">
        <f>IF($A156="","",games!$C156)</f>
        <v>Strategy</v>
      </c>
      <c r="D156">
        <f>IF($A156="","",COUNTIF(connections!$A$2:$A$1188,$A156)+COUNTIF(connections!$B$2:$B$1188,$A156))</f>
        <v>2</v>
      </c>
      <c r="E156">
        <f t="shared" si="24"/>
        <v>2</v>
      </c>
      <c r="F156">
        <f t="shared" si="25"/>
        <v>20</v>
      </c>
      <c r="G156" t="e">
        <f t="shared" si="26"/>
        <v>#N/A</v>
      </c>
      <c r="H156" t="e">
        <f t="shared" si="27"/>
        <v>#N/A</v>
      </c>
      <c r="I156">
        <f t="shared" si="28"/>
        <v>2018</v>
      </c>
      <c r="J156">
        <f t="shared" si="29"/>
        <v>2.46</v>
      </c>
      <c r="K156" t="e">
        <f t="shared" si="30"/>
        <v>#N/A</v>
      </c>
      <c r="L156" t="e">
        <f t="shared" si="31"/>
        <v>#N/A</v>
      </c>
      <c r="M156" t="e">
        <f t="shared" si="32"/>
        <v>#N/A</v>
      </c>
      <c r="N156" t="e">
        <f t="shared" si="33"/>
        <v>#N/A</v>
      </c>
      <c r="O156">
        <f t="shared" si="34"/>
        <v>2.000156</v>
      </c>
      <c r="T156">
        <f>IF(connections!$A156="","",IFERROR(INDEX(games!$B$2:$B$834,MATCH(connections!$A156,games!$A$2:$A$834,0)),""))</f>
        <v>2015</v>
      </c>
      <c r="U156">
        <f>IF(connections!$A156="","",IFERROR(INDEX(games!$B$2:$B$834,MATCH(connections!$B156,games!$A$2:$A$834,0)),""))</f>
        <v>2021</v>
      </c>
      <c r="V156">
        <f t="shared" si="35"/>
        <v>6</v>
      </c>
    </row>
    <row r="157" spans="1:22" x14ac:dyDescent="0.25">
      <c r="A157" t="str">
        <f>IF(games!$A157="","",games!$A157)</f>
        <v>Cupiclaw</v>
      </c>
      <c r="B157">
        <f>IF($A157="","",games!$B157)</f>
        <v>2024</v>
      </c>
      <c r="C157" t="str">
        <f>IF($A157="","",games!$C157)</f>
        <v>Deckbuilder</v>
      </c>
      <c r="D157">
        <f>IF($A157="","",COUNTIF(connections!$A$2:$A$1188,$A157)+COUNTIF(connections!$B$2:$B$1188,$A157))</f>
        <v>2</v>
      </c>
      <c r="E157">
        <f t="shared" si="24"/>
        <v>3</v>
      </c>
      <c r="F157">
        <f t="shared" si="25"/>
        <v>21</v>
      </c>
      <c r="G157" t="e">
        <f t="shared" si="26"/>
        <v>#N/A</v>
      </c>
      <c r="H157" t="e">
        <f t="shared" si="27"/>
        <v>#N/A</v>
      </c>
      <c r="I157" t="e">
        <f t="shared" si="28"/>
        <v>#N/A</v>
      </c>
      <c r="J157" t="e">
        <f t="shared" si="29"/>
        <v>#N/A</v>
      </c>
      <c r="K157">
        <f t="shared" si="30"/>
        <v>2024</v>
      </c>
      <c r="L157">
        <f t="shared" si="31"/>
        <v>3.4830000000000001</v>
      </c>
      <c r="M157" t="e">
        <f t="shared" si="32"/>
        <v>#N/A</v>
      </c>
      <c r="N157" t="e">
        <f t="shared" si="33"/>
        <v>#N/A</v>
      </c>
      <c r="O157">
        <f t="shared" si="34"/>
        <v>2.0001570000000002</v>
      </c>
      <c r="T157">
        <f>IF(connections!$A157="","",IFERROR(INDEX(games!$B$2:$B$834,MATCH(connections!$A157,games!$A$2:$A$834,0)),""))</f>
        <v>2015</v>
      </c>
      <c r="U157">
        <f>IF(connections!$A157="","",IFERROR(INDEX(games!$B$2:$B$834,MATCH(connections!$B157,games!$A$2:$A$834,0)),""))</f>
        <v>2012</v>
      </c>
      <c r="V157">
        <f t="shared" si="35"/>
        <v>-3</v>
      </c>
    </row>
    <row r="158" spans="1:22" x14ac:dyDescent="0.25">
      <c r="A158" t="str">
        <f>IF(games!$A158="","",games!$A158)</f>
        <v>Curious Expedition</v>
      </c>
      <c r="B158">
        <f>IF($A158="","",games!$B158)</f>
        <v>2016</v>
      </c>
      <c r="C158" t="str">
        <f>IF($A158="","",games!$C158)</f>
        <v>Strategy</v>
      </c>
      <c r="D158">
        <f>IF($A158="","",COUNTIF(connections!$A$2:$A$1188,$A158)+COUNTIF(connections!$B$2:$B$1188,$A158))</f>
        <v>3</v>
      </c>
      <c r="E158">
        <f t="shared" si="24"/>
        <v>2</v>
      </c>
      <c r="F158">
        <f t="shared" si="25"/>
        <v>22</v>
      </c>
      <c r="G158" t="e">
        <f t="shared" si="26"/>
        <v>#N/A</v>
      </c>
      <c r="H158" t="e">
        <f t="shared" si="27"/>
        <v>#N/A</v>
      </c>
      <c r="I158">
        <f t="shared" si="28"/>
        <v>2016</v>
      </c>
      <c r="J158">
        <f t="shared" si="29"/>
        <v>2.5060000000000002</v>
      </c>
      <c r="K158" t="e">
        <f t="shared" si="30"/>
        <v>#N/A</v>
      </c>
      <c r="L158" t="e">
        <f t="shared" si="31"/>
        <v>#N/A</v>
      </c>
      <c r="M158" t="e">
        <f t="shared" si="32"/>
        <v>#N/A</v>
      </c>
      <c r="N158" t="e">
        <f t="shared" si="33"/>
        <v>#N/A</v>
      </c>
      <c r="O158">
        <f t="shared" si="34"/>
        <v>3.0001579999999999</v>
      </c>
      <c r="T158">
        <f>IF(connections!$A158="","",IFERROR(INDEX(games!$B$2:$B$834,MATCH(connections!$A158,games!$A$2:$A$834,0)),""))</f>
        <v>2015</v>
      </c>
      <c r="U158">
        <f>IF(connections!$A158="","",IFERROR(INDEX(games!$B$2:$B$834,MATCH(connections!$B158,games!$A$2:$A$834,0)),""))</f>
        <v>2025</v>
      </c>
      <c r="V158">
        <f t="shared" si="35"/>
        <v>10</v>
      </c>
    </row>
    <row r="159" spans="1:22" x14ac:dyDescent="0.25">
      <c r="A159" t="str">
        <f>IF(games!$A159="","",games!$A159)</f>
        <v>Curious Expedition 2</v>
      </c>
      <c r="B159">
        <f>IF($A159="","",games!$B159)</f>
        <v>2020</v>
      </c>
      <c r="C159" t="str">
        <f>IF($A159="","",games!$C159)</f>
        <v>Strategy</v>
      </c>
      <c r="D159">
        <f>IF($A159="","",COUNTIF(connections!$A$2:$A$1188,$A159)+COUNTIF(connections!$B$2:$B$1188,$A159))</f>
        <v>1</v>
      </c>
      <c r="E159">
        <f t="shared" si="24"/>
        <v>2</v>
      </c>
      <c r="F159">
        <f t="shared" si="25"/>
        <v>23</v>
      </c>
      <c r="G159" t="e">
        <f t="shared" si="26"/>
        <v>#N/A</v>
      </c>
      <c r="H159" t="e">
        <f t="shared" si="27"/>
        <v>#N/A</v>
      </c>
      <c r="I159">
        <f t="shared" si="28"/>
        <v>2020</v>
      </c>
      <c r="J159">
        <f t="shared" si="29"/>
        <v>2.5289999999999999</v>
      </c>
      <c r="K159" t="e">
        <f t="shared" si="30"/>
        <v>#N/A</v>
      </c>
      <c r="L159" t="e">
        <f t="shared" si="31"/>
        <v>#N/A</v>
      </c>
      <c r="M159" t="e">
        <f t="shared" si="32"/>
        <v>#N/A</v>
      </c>
      <c r="N159" t="e">
        <f t="shared" si="33"/>
        <v>#N/A</v>
      </c>
      <c r="O159">
        <f t="shared" si="34"/>
        <v>1.000159</v>
      </c>
      <c r="T159">
        <f>IF(connections!$A159="","",IFERROR(INDEX(games!$B$2:$B$834,MATCH(connections!$A159,games!$A$2:$A$834,0)),""))</f>
        <v>2015</v>
      </c>
      <c r="U159">
        <f>IF(connections!$A159="","",IFERROR(INDEX(games!$B$2:$B$834,MATCH(connections!$B159,games!$A$2:$A$834,0)),""))</f>
        <v>2023</v>
      </c>
      <c r="V159">
        <f t="shared" si="35"/>
        <v>8</v>
      </c>
    </row>
    <row r="160" spans="1:22" x14ac:dyDescent="0.25">
      <c r="A160" t="str">
        <f>IF(games!$A160="","",games!$A160)</f>
        <v>Curse of the Dead Gods</v>
      </c>
      <c r="B160">
        <f>IF($A160="","",games!$B160)</f>
        <v>2020</v>
      </c>
      <c r="C160" t="str">
        <f>IF($A160="","",games!$C160)</f>
        <v>Action</v>
      </c>
      <c r="D160">
        <f>IF($A160="","",COUNTIF(connections!$A$2:$A$1188,$A160)+COUNTIF(connections!$B$2:$B$1188,$A160))</f>
        <v>2</v>
      </c>
      <c r="E160">
        <f t="shared" si="24"/>
        <v>1</v>
      </c>
      <c r="F160">
        <f t="shared" si="25"/>
        <v>24</v>
      </c>
      <c r="G160">
        <f t="shared" si="26"/>
        <v>2020</v>
      </c>
      <c r="H160">
        <f t="shared" si="27"/>
        <v>1.552</v>
      </c>
      <c r="I160" t="e">
        <f t="shared" si="28"/>
        <v>#N/A</v>
      </c>
      <c r="J160" t="e">
        <f t="shared" si="29"/>
        <v>#N/A</v>
      </c>
      <c r="K160" t="e">
        <f t="shared" si="30"/>
        <v>#N/A</v>
      </c>
      <c r="L160" t="e">
        <f t="shared" si="31"/>
        <v>#N/A</v>
      </c>
      <c r="M160" t="e">
        <f t="shared" si="32"/>
        <v>#N/A</v>
      </c>
      <c r="N160" t="e">
        <f t="shared" si="33"/>
        <v>#N/A</v>
      </c>
      <c r="O160">
        <f t="shared" si="34"/>
        <v>2.0001600000000002</v>
      </c>
      <c r="T160">
        <f>IF(connections!$A160="","",IFERROR(INDEX(games!$B$2:$B$834,MATCH(connections!$A160,games!$A$2:$A$834,0)),""))</f>
        <v>2022</v>
      </c>
      <c r="U160">
        <f>IF(connections!$A160="","",IFERROR(INDEX(games!$B$2:$B$834,MATCH(connections!$B160,games!$A$2:$A$834,0)),""))</f>
        <v>2026</v>
      </c>
      <c r="V160">
        <f t="shared" si="35"/>
        <v>4</v>
      </c>
    </row>
    <row r="161" spans="1:22" x14ac:dyDescent="0.25">
      <c r="A161" t="str">
        <f>IF(games!$A161="","",games!$A161)</f>
        <v>Cursed Words</v>
      </c>
      <c r="B161">
        <f>IF($A161="","",games!$B161)</f>
        <v>2026</v>
      </c>
      <c r="C161" t="str">
        <f>IF($A161="","",games!$C161)</f>
        <v>Strategy</v>
      </c>
      <c r="D161">
        <f>IF($A161="","",COUNTIF(connections!$A$2:$A$1188,$A161)+COUNTIF(connections!$B$2:$B$1188,$A161))</f>
        <v>5</v>
      </c>
      <c r="E161">
        <f t="shared" si="24"/>
        <v>2</v>
      </c>
      <c r="F161">
        <f t="shared" si="25"/>
        <v>25</v>
      </c>
      <c r="G161" t="e">
        <f t="shared" si="26"/>
        <v>#N/A</v>
      </c>
      <c r="H161" t="e">
        <f t="shared" si="27"/>
        <v>#N/A</v>
      </c>
      <c r="I161">
        <f t="shared" si="28"/>
        <v>2026</v>
      </c>
      <c r="J161">
        <f t="shared" si="29"/>
        <v>2.5750000000000002</v>
      </c>
      <c r="K161" t="e">
        <f t="shared" si="30"/>
        <v>#N/A</v>
      </c>
      <c r="L161" t="e">
        <f t="shared" si="31"/>
        <v>#N/A</v>
      </c>
      <c r="M161" t="e">
        <f t="shared" si="32"/>
        <v>#N/A</v>
      </c>
      <c r="N161" t="e">
        <f t="shared" si="33"/>
        <v>#N/A</v>
      </c>
      <c r="O161">
        <f t="shared" si="34"/>
        <v>5.0001610000000003</v>
      </c>
      <c r="T161">
        <f>IF(connections!$A161="","",IFERROR(INDEX(games!$B$2:$B$834,MATCH(connections!$A161,games!$A$2:$A$834,0)),""))</f>
        <v>2022</v>
      </c>
      <c r="U161">
        <f>IF(connections!$A161="","",IFERROR(INDEX(games!$B$2:$B$834,MATCH(connections!$B161,games!$A$2:$A$834,0)),""))</f>
        <v>2025</v>
      </c>
      <c r="V161">
        <f t="shared" si="35"/>
        <v>3</v>
      </c>
    </row>
    <row r="162" spans="1:22" x14ac:dyDescent="0.25">
      <c r="A162" t="str">
        <f>IF(games!$A162="","",games!$A162)</f>
        <v>Cursorblade</v>
      </c>
      <c r="B162">
        <f>IF($A162="","",games!$B162)</f>
        <v>2023</v>
      </c>
      <c r="C162" t="str">
        <f>IF($A162="","",games!$C162)</f>
        <v>Action</v>
      </c>
      <c r="D162">
        <f>IF($A162="","",COUNTIF(connections!$A$2:$A$1188,$A162)+COUNTIF(connections!$B$2:$B$1188,$A162))</f>
        <v>0</v>
      </c>
      <c r="E162">
        <f t="shared" si="24"/>
        <v>1</v>
      </c>
      <c r="F162">
        <f t="shared" si="25"/>
        <v>26</v>
      </c>
      <c r="G162">
        <f t="shared" si="26"/>
        <v>2023</v>
      </c>
      <c r="H162">
        <f t="shared" si="27"/>
        <v>1.5979999999999999</v>
      </c>
      <c r="I162" t="e">
        <f t="shared" si="28"/>
        <v>#N/A</v>
      </c>
      <c r="J162" t="e">
        <f t="shared" si="29"/>
        <v>#N/A</v>
      </c>
      <c r="K162" t="e">
        <f t="shared" si="30"/>
        <v>#N/A</v>
      </c>
      <c r="L162" t="e">
        <f t="shared" si="31"/>
        <v>#N/A</v>
      </c>
      <c r="M162" t="e">
        <f t="shared" si="32"/>
        <v>#N/A</v>
      </c>
      <c r="N162" t="e">
        <f t="shared" si="33"/>
        <v>#N/A</v>
      </c>
      <c r="O162">
        <f t="shared" si="34"/>
        <v>1.6200000000000001E-4</v>
      </c>
      <c r="T162">
        <f>IF(connections!$A162="","",IFERROR(INDEX(games!$B$2:$B$834,MATCH(connections!$A162,games!$A$2:$A$834,0)),""))</f>
        <v>2024</v>
      </c>
      <c r="U162">
        <f>IF(connections!$A162="","",IFERROR(INDEX(games!$B$2:$B$834,MATCH(connections!$B162,games!$A$2:$A$834,0)),""))</f>
        <v>2026</v>
      </c>
      <c r="V162">
        <f t="shared" si="35"/>
        <v>2</v>
      </c>
    </row>
    <row r="163" spans="1:22" x14ac:dyDescent="0.25">
      <c r="A163" t="str">
        <f>IF(games!$A163="","",games!$A163)</f>
        <v>Dark Devotion</v>
      </c>
      <c r="B163">
        <f>IF($A163="","",games!$B163)</f>
        <v>2019</v>
      </c>
      <c r="C163" t="str">
        <f>IF($A163="","",games!$C163)</f>
        <v>Action</v>
      </c>
      <c r="D163">
        <f>IF($A163="","",COUNTIF(connections!$A$2:$A$1188,$A163)+COUNTIF(connections!$B$2:$B$1188,$A163))</f>
        <v>2</v>
      </c>
      <c r="E163">
        <f t="shared" si="24"/>
        <v>1</v>
      </c>
      <c r="F163">
        <f t="shared" si="25"/>
        <v>27</v>
      </c>
      <c r="G163">
        <f t="shared" si="26"/>
        <v>2019</v>
      </c>
      <c r="H163">
        <f t="shared" si="27"/>
        <v>1.621</v>
      </c>
      <c r="I163" t="e">
        <f t="shared" si="28"/>
        <v>#N/A</v>
      </c>
      <c r="J163" t="e">
        <f t="shared" si="29"/>
        <v>#N/A</v>
      </c>
      <c r="K163" t="e">
        <f t="shared" si="30"/>
        <v>#N/A</v>
      </c>
      <c r="L163" t="e">
        <f t="shared" si="31"/>
        <v>#N/A</v>
      </c>
      <c r="M163" t="e">
        <f t="shared" si="32"/>
        <v>#N/A</v>
      </c>
      <c r="N163" t="e">
        <f t="shared" si="33"/>
        <v>#N/A</v>
      </c>
      <c r="O163">
        <f t="shared" si="34"/>
        <v>2.0001630000000001</v>
      </c>
      <c r="T163">
        <f>IF(connections!$A163="","",IFERROR(INDEX(games!$B$2:$B$834,MATCH(connections!$A163,games!$A$2:$A$834,0)),""))</f>
        <v>2016</v>
      </c>
      <c r="U163">
        <f>IF(connections!$A163="","",IFERROR(INDEX(games!$B$2:$B$834,MATCH(connections!$B163,games!$A$2:$A$834,0)),""))</f>
        <v>2020</v>
      </c>
      <c r="V163">
        <f t="shared" si="35"/>
        <v>4</v>
      </c>
    </row>
    <row r="164" spans="1:22" x14ac:dyDescent="0.25">
      <c r="A164" t="str">
        <f>IF(games!$A164="","",games!$A164)</f>
        <v>Dark Light: Survivor</v>
      </c>
      <c r="B164">
        <f>IF($A164="","",games!$B164)</f>
        <v>2026</v>
      </c>
      <c r="C164" t="str">
        <f>IF($A164="","",games!$C164)</f>
        <v>Action</v>
      </c>
      <c r="D164">
        <f>IF($A164="","",COUNTIF(connections!$A$2:$A$1188,$A164)+COUNTIF(connections!$B$2:$B$1188,$A164))</f>
        <v>4</v>
      </c>
      <c r="E164">
        <f t="shared" si="24"/>
        <v>1</v>
      </c>
      <c r="F164">
        <f t="shared" si="25"/>
        <v>28</v>
      </c>
      <c r="G164">
        <f t="shared" si="26"/>
        <v>2026</v>
      </c>
      <c r="H164">
        <f t="shared" si="27"/>
        <v>1.6440000000000001</v>
      </c>
      <c r="I164" t="e">
        <f t="shared" si="28"/>
        <v>#N/A</v>
      </c>
      <c r="J164" t="e">
        <f t="shared" si="29"/>
        <v>#N/A</v>
      </c>
      <c r="K164" t="e">
        <f t="shared" si="30"/>
        <v>#N/A</v>
      </c>
      <c r="L164" t="e">
        <f t="shared" si="31"/>
        <v>#N/A</v>
      </c>
      <c r="M164" t="e">
        <f t="shared" si="32"/>
        <v>#N/A</v>
      </c>
      <c r="N164" t="e">
        <f t="shared" si="33"/>
        <v>#N/A</v>
      </c>
      <c r="O164">
        <f t="shared" si="34"/>
        <v>4.0001639999999998</v>
      </c>
      <c r="T164">
        <f>IF(connections!$A164="","",IFERROR(INDEX(games!$B$2:$B$834,MATCH(connections!$A164,games!$A$2:$A$834,0)),""))</f>
        <v>2016</v>
      </c>
      <c r="U164">
        <f>IF(connections!$A164="","",IFERROR(INDEX(games!$B$2:$B$834,MATCH(connections!$B164,games!$A$2:$A$834,0)),""))</f>
        <v>2021</v>
      </c>
      <c r="V164">
        <f t="shared" si="35"/>
        <v>5</v>
      </c>
    </row>
    <row r="165" spans="1:22" x14ac:dyDescent="0.25">
      <c r="A165" t="str">
        <f>IF(games!$A165="","",games!$A165)</f>
        <v>Darkblade Ascent</v>
      </c>
      <c r="B165">
        <f>IF($A165="","",games!$B165)</f>
        <v>2025</v>
      </c>
      <c r="C165" t="str">
        <f>IF($A165="","",games!$C165)</f>
        <v>Action</v>
      </c>
      <c r="D165">
        <f>IF($A165="","",COUNTIF(connections!$A$2:$A$1188,$A165)+COUNTIF(connections!$B$2:$B$1188,$A165))</f>
        <v>2</v>
      </c>
      <c r="E165">
        <f t="shared" si="24"/>
        <v>1</v>
      </c>
      <c r="F165">
        <f t="shared" si="25"/>
        <v>29</v>
      </c>
      <c r="G165">
        <f t="shared" si="26"/>
        <v>2025</v>
      </c>
      <c r="H165">
        <f t="shared" si="27"/>
        <v>1.667</v>
      </c>
      <c r="I165" t="e">
        <f t="shared" si="28"/>
        <v>#N/A</v>
      </c>
      <c r="J165" t="e">
        <f t="shared" si="29"/>
        <v>#N/A</v>
      </c>
      <c r="K165" t="e">
        <f t="shared" si="30"/>
        <v>#N/A</v>
      </c>
      <c r="L165" t="e">
        <f t="shared" si="31"/>
        <v>#N/A</v>
      </c>
      <c r="M165" t="e">
        <f t="shared" si="32"/>
        <v>#N/A</v>
      </c>
      <c r="N165" t="e">
        <f t="shared" si="33"/>
        <v>#N/A</v>
      </c>
      <c r="O165">
        <f t="shared" si="34"/>
        <v>2.000165</v>
      </c>
      <c r="T165">
        <f>IF(connections!$A165="","",IFERROR(INDEX(games!$B$2:$B$834,MATCH(connections!$A165,games!$A$2:$A$834,0)),""))</f>
        <v>2020</v>
      </c>
      <c r="U165">
        <f>IF(connections!$A165="","",IFERROR(INDEX(games!$B$2:$B$834,MATCH(connections!$B165,games!$A$2:$A$834,0)),""))</f>
        <v>2023</v>
      </c>
      <c r="V165">
        <f t="shared" si="35"/>
        <v>3</v>
      </c>
    </row>
    <row r="166" spans="1:22" x14ac:dyDescent="0.25">
      <c r="A166" t="str">
        <f>IF(games!$A166="","",games!$A166)</f>
        <v>Darkest Dungeon</v>
      </c>
      <c r="B166">
        <f>IF($A166="","",games!$B166)</f>
        <v>2015</v>
      </c>
      <c r="C166" t="str">
        <f>IF($A166="","",games!$C166)</f>
        <v>Strategy</v>
      </c>
      <c r="D166">
        <f>IF($A166="","",COUNTIF(connections!$A$2:$A$1188,$A166)+COUNTIF(connections!$B$2:$B$1188,$A166))</f>
        <v>24</v>
      </c>
      <c r="E166">
        <f t="shared" si="24"/>
        <v>2</v>
      </c>
      <c r="F166">
        <f t="shared" si="25"/>
        <v>30</v>
      </c>
      <c r="G166" t="e">
        <f t="shared" si="26"/>
        <v>#N/A</v>
      </c>
      <c r="H166" t="e">
        <f t="shared" si="27"/>
        <v>#N/A</v>
      </c>
      <c r="I166">
        <f t="shared" si="28"/>
        <v>2015</v>
      </c>
      <c r="J166">
        <f t="shared" si="29"/>
        <v>2.69</v>
      </c>
      <c r="K166" t="e">
        <f t="shared" si="30"/>
        <v>#N/A</v>
      </c>
      <c r="L166" t="e">
        <f t="shared" si="31"/>
        <v>#N/A</v>
      </c>
      <c r="M166" t="e">
        <f t="shared" si="32"/>
        <v>#N/A</v>
      </c>
      <c r="N166" t="e">
        <f t="shared" si="33"/>
        <v>#N/A</v>
      </c>
      <c r="O166">
        <f t="shared" si="34"/>
        <v>24.000166</v>
      </c>
      <c r="T166">
        <f>IF(connections!$A166="","",IFERROR(INDEX(games!$B$2:$B$834,MATCH(connections!$A166,games!$A$2:$A$834,0)),""))</f>
        <v>2019</v>
      </c>
      <c r="U166">
        <f>IF(connections!$A166="","",IFERROR(INDEX(games!$B$2:$B$834,MATCH(connections!$B166,games!$A$2:$A$834,0)),""))</f>
        <v>2022</v>
      </c>
      <c r="V166">
        <f t="shared" si="35"/>
        <v>3</v>
      </c>
    </row>
    <row r="167" spans="1:22" x14ac:dyDescent="0.25">
      <c r="A167" t="str">
        <f>IF(games!$A167="","",games!$A167)</f>
        <v>Darkest Dungeon 2</v>
      </c>
      <c r="B167">
        <f>IF($A167="","",games!$B167)</f>
        <v>2023</v>
      </c>
      <c r="C167" t="str">
        <f>IF($A167="","",games!$C167)</f>
        <v>Strategy</v>
      </c>
      <c r="D167">
        <f>IF($A167="","",COUNTIF(connections!$A$2:$A$1188,$A167)+COUNTIF(connections!$B$2:$B$1188,$A167))</f>
        <v>1</v>
      </c>
      <c r="E167">
        <f t="shared" si="24"/>
        <v>2</v>
      </c>
      <c r="F167">
        <f t="shared" si="25"/>
        <v>31</v>
      </c>
      <c r="G167" t="e">
        <f t="shared" si="26"/>
        <v>#N/A</v>
      </c>
      <c r="H167" t="e">
        <f t="shared" si="27"/>
        <v>#N/A</v>
      </c>
      <c r="I167">
        <f t="shared" si="28"/>
        <v>2023</v>
      </c>
      <c r="J167">
        <f t="shared" si="29"/>
        <v>2.7130000000000001</v>
      </c>
      <c r="K167" t="e">
        <f t="shared" si="30"/>
        <v>#N/A</v>
      </c>
      <c r="L167" t="e">
        <f t="shared" si="31"/>
        <v>#N/A</v>
      </c>
      <c r="M167" t="e">
        <f t="shared" si="32"/>
        <v>#N/A</v>
      </c>
      <c r="N167" t="e">
        <f t="shared" si="33"/>
        <v>#N/A</v>
      </c>
      <c r="O167">
        <f t="shared" si="34"/>
        <v>1.000167</v>
      </c>
      <c r="T167">
        <f>IF(connections!$A167="","",IFERROR(INDEX(games!$B$2:$B$834,MATCH(connections!$A167,games!$A$2:$A$834,0)),""))</f>
        <v>2015</v>
      </c>
      <c r="U167">
        <f>IF(connections!$A167="","",IFERROR(INDEX(games!$B$2:$B$834,MATCH(connections!$B167,games!$A$2:$A$834,0)),""))</f>
        <v>2021</v>
      </c>
      <c r="V167">
        <f t="shared" si="35"/>
        <v>6</v>
      </c>
    </row>
    <row r="168" spans="1:22" x14ac:dyDescent="0.25">
      <c r="A168" t="str">
        <f>IF(games!$A168="","",games!$A168)</f>
        <v>Dave the Diver</v>
      </c>
      <c r="B168">
        <f>IF($A168="","",games!$B168)</f>
        <v>2022</v>
      </c>
      <c r="C168" t="str">
        <f>IF($A168="","",games!$C168)</f>
        <v>Action</v>
      </c>
      <c r="D168">
        <f>IF($A168="","",COUNTIF(connections!$A$2:$A$1188,$A168)+COUNTIF(connections!$B$2:$B$1188,$A168))</f>
        <v>2</v>
      </c>
      <c r="E168">
        <f t="shared" si="24"/>
        <v>1</v>
      </c>
      <c r="F168">
        <f t="shared" si="25"/>
        <v>32</v>
      </c>
      <c r="G168">
        <f t="shared" si="26"/>
        <v>2022</v>
      </c>
      <c r="H168">
        <f t="shared" si="27"/>
        <v>1.736</v>
      </c>
      <c r="I168" t="e">
        <f t="shared" si="28"/>
        <v>#N/A</v>
      </c>
      <c r="J168" t="e">
        <f t="shared" si="29"/>
        <v>#N/A</v>
      </c>
      <c r="K168" t="e">
        <f t="shared" si="30"/>
        <v>#N/A</v>
      </c>
      <c r="L168" t="e">
        <f t="shared" si="31"/>
        <v>#N/A</v>
      </c>
      <c r="M168" t="e">
        <f t="shared" si="32"/>
        <v>#N/A</v>
      </c>
      <c r="N168" t="e">
        <f t="shared" si="33"/>
        <v>#N/A</v>
      </c>
      <c r="O168">
        <f t="shared" si="34"/>
        <v>2.0001679999999999</v>
      </c>
      <c r="T168">
        <f>IF(connections!$A168="","",IFERROR(INDEX(games!$B$2:$B$834,MATCH(connections!$A168,games!$A$2:$A$834,0)),""))</f>
        <v>2015</v>
      </c>
      <c r="U168">
        <f>IF(connections!$A168="","",IFERROR(INDEX(games!$B$2:$B$834,MATCH(connections!$B168,games!$A$2:$A$834,0)),""))</f>
        <v>2025</v>
      </c>
      <c r="V168">
        <f t="shared" si="35"/>
        <v>10</v>
      </c>
    </row>
    <row r="169" spans="1:22" x14ac:dyDescent="0.25">
      <c r="A169" t="str">
        <f>IF(games!$A169="","",games!$A169)</f>
        <v>Dead Cells</v>
      </c>
      <c r="B169">
        <f>IF($A169="","",games!$B169)</f>
        <v>2018</v>
      </c>
      <c r="C169" t="str">
        <f>IF($A169="","",games!$C169)</f>
        <v>Action</v>
      </c>
      <c r="D169">
        <f>IF($A169="","",COUNTIF(connections!$A$2:$A$1188,$A169)+COUNTIF(connections!$B$2:$B$1188,$A169))</f>
        <v>28</v>
      </c>
      <c r="E169">
        <f t="shared" si="24"/>
        <v>1</v>
      </c>
      <c r="F169">
        <f t="shared" si="25"/>
        <v>33</v>
      </c>
      <c r="G169">
        <f t="shared" si="26"/>
        <v>2018</v>
      </c>
      <c r="H169">
        <f t="shared" si="27"/>
        <v>1.7589999999999999</v>
      </c>
      <c r="I169" t="e">
        <f t="shared" si="28"/>
        <v>#N/A</v>
      </c>
      <c r="J169" t="e">
        <f t="shared" si="29"/>
        <v>#N/A</v>
      </c>
      <c r="K169" t="e">
        <f t="shared" si="30"/>
        <v>#N/A</v>
      </c>
      <c r="L169" t="e">
        <f t="shared" si="31"/>
        <v>#N/A</v>
      </c>
      <c r="M169" t="e">
        <f t="shared" si="32"/>
        <v>#N/A</v>
      </c>
      <c r="N169" t="e">
        <f t="shared" si="33"/>
        <v>#N/A</v>
      </c>
      <c r="O169">
        <f t="shared" si="34"/>
        <v>28.000169</v>
      </c>
      <c r="T169">
        <f>IF(connections!$A169="","",IFERROR(INDEX(games!$B$2:$B$834,MATCH(connections!$A169,games!$A$2:$A$834,0)),""))</f>
        <v>2015</v>
      </c>
      <c r="U169">
        <f>IF(connections!$A169="","",IFERROR(INDEX(games!$B$2:$B$834,MATCH(connections!$B169,games!$A$2:$A$834,0)),""))</f>
        <v>2019</v>
      </c>
      <c r="V169">
        <f t="shared" si="35"/>
        <v>4</v>
      </c>
    </row>
    <row r="170" spans="1:22" x14ac:dyDescent="0.25">
      <c r="A170" t="str">
        <f>IF(games!$A170="","",games!$A170)</f>
        <v>Dead Estate</v>
      </c>
      <c r="B170">
        <f>IF($A170="","",games!$B170)</f>
        <v>2020</v>
      </c>
      <c r="C170" t="str">
        <f>IF($A170="","",games!$C170)</f>
        <v>Action</v>
      </c>
      <c r="D170">
        <f>IF($A170="","",COUNTIF(connections!$A$2:$A$1188,$A170)+COUNTIF(connections!$B$2:$B$1188,$A170))</f>
        <v>2</v>
      </c>
      <c r="E170">
        <f t="shared" si="24"/>
        <v>1</v>
      </c>
      <c r="F170">
        <f t="shared" si="25"/>
        <v>0</v>
      </c>
      <c r="G170">
        <f t="shared" si="26"/>
        <v>2020</v>
      </c>
      <c r="H170">
        <f t="shared" si="27"/>
        <v>1</v>
      </c>
      <c r="I170" t="e">
        <f t="shared" si="28"/>
        <v>#N/A</v>
      </c>
      <c r="J170" t="e">
        <f t="shared" si="29"/>
        <v>#N/A</v>
      </c>
      <c r="K170" t="e">
        <f t="shared" si="30"/>
        <v>#N/A</v>
      </c>
      <c r="L170" t="e">
        <f t="shared" si="31"/>
        <v>#N/A</v>
      </c>
      <c r="M170" t="e">
        <f t="shared" si="32"/>
        <v>#N/A</v>
      </c>
      <c r="N170" t="e">
        <f t="shared" si="33"/>
        <v>#N/A</v>
      </c>
      <c r="O170">
        <f t="shared" si="34"/>
        <v>2.0001699999999998</v>
      </c>
      <c r="T170">
        <f>IF(connections!$A170="","",IFERROR(INDEX(games!$B$2:$B$834,MATCH(connections!$A170,games!$A$2:$A$834,0)),""))</f>
        <v>2015</v>
      </c>
      <c r="U170">
        <f>IF(connections!$A170="","",IFERROR(INDEX(games!$B$2:$B$834,MATCH(connections!$B170,games!$A$2:$A$834,0)),""))</f>
        <v>2023</v>
      </c>
      <c r="V170">
        <f t="shared" si="35"/>
        <v>8</v>
      </c>
    </row>
    <row r="171" spans="1:22" x14ac:dyDescent="0.25">
      <c r="A171" t="str">
        <f>IF(games!$A171="","",games!$A171)</f>
        <v>Dead Finger Dice</v>
      </c>
      <c r="B171">
        <f>IF($A171="","",games!$B171)</f>
        <v>2025</v>
      </c>
      <c r="C171" t="str">
        <f>IF($A171="","",games!$C171)</f>
        <v>Deckbuilder</v>
      </c>
      <c r="D171">
        <f>IF($A171="","",COUNTIF(connections!$A$2:$A$1188,$A171)+COUNTIF(connections!$B$2:$B$1188,$A171))</f>
        <v>1</v>
      </c>
      <c r="E171">
        <f t="shared" si="24"/>
        <v>3</v>
      </c>
      <c r="F171">
        <f t="shared" si="25"/>
        <v>1</v>
      </c>
      <c r="G171" t="e">
        <f t="shared" si="26"/>
        <v>#N/A</v>
      </c>
      <c r="H171" t="e">
        <f t="shared" si="27"/>
        <v>#N/A</v>
      </c>
      <c r="I171" t="e">
        <f t="shared" si="28"/>
        <v>#N/A</v>
      </c>
      <c r="J171" t="e">
        <f t="shared" si="29"/>
        <v>#N/A</v>
      </c>
      <c r="K171">
        <f t="shared" si="30"/>
        <v>2025</v>
      </c>
      <c r="L171">
        <f t="shared" si="31"/>
        <v>3.0230000000000001</v>
      </c>
      <c r="M171" t="e">
        <f t="shared" si="32"/>
        <v>#N/A</v>
      </c>
      <c r="N171" t="e">
        <f t="shared" si="33"/>
        <v>#N/A</v>
      </c>
      <c r="O171">
        <f t="shared" si="34"/>
        <v>1.0001709999999999</v>
      </c>
      <c r="T171">
        <f>IF(connections!$A171="","",IFERROR(INDEX(games!$B$2:$B$834,MATCH(connections!$A171,games!$A$2:$A$834,0)),""))</f>
        <v>2015</v>
      </c>
      <c r="U171">
        <f>IF(connections!$A171="","",IFERROR(INDEX(games!$B$2:$B$834,MATCH(connections!$B171,games!$A$2:$A$834,0)),""))</f>
        <v>2020</v>
      </c>
      <c r="V171">
        <f t="shared" si="35"/>
        <v>5</v>
      </c>
    </row>
    <row r="172" spans="1:22" x14ac:dyDescent="0.25">
      <c r="A172" t="str">
        <f>IF(games!$A172="","",games!$A172)</f>
        <v>Dead Weight</v>
      </c>
      <c r="B172">
        <f>IF($A172="","",games!$B172)</f>
        <v>2026</v>
      </c>
      <c r="C172" t="str">
        <f>IF($A172="","",games!$C172)</f>
        <v>Strategy</v>
      </c>
      <c r="D172">
        <f>IF($A172="","",COUNTIF(connections!$A$2:$A$1188,$A172)+COUNTIF(connections!$B$2:$B$1188,$A172))</f>
        <v>1</v>
      </c>
      <c r="E172">
        <f t="shared" si="24"/>
        <v>2</v>
      </c>
      <c r="F172">
        <f t="shared" si="25"/>
        <v>2</v>
      </c>
      <c r="G172" t="e">
        <f t="shared" si="26"/>
        <v>#N/A</v>
      </c>
      <c r="H172" t="e">
        <f t="shared" si="27"/>
        <v>#N/A</v>
      </c>
      <c r="I172">
        <f t="shared" si="28"/>
        <v>2026</v>
      </c>
      <c r="J172">
        <f t="shared" si="29"/>
        <v>2.0459999999999998</v>
      </c>
      <c r="K172" t="e">
        <f t="shared" si="30"/>
        <v>#N/A</v>
      </c>
      <c r="L172" t="e">
        <f t="shared" si="31"/>
        <v>#N/A</v>
      </c>
      <c r="M172" t="e">
        <f t="shared" si="32"/>
        <v>#N/A</v>
      </c>
      <c r="N172" t="e">
        <f t="shared" si="33"/>
        <v>#N/A</v>
      </c>
      <c r="O172">
        <f t="shared" si="34"/>
        <v>1.0001720000000001</v>
      </c>
      <c r="T172">
        <f>IF(connections!$A172="","",IFERROR(INDEX(games!$B$2:$B$834,MATCH(connections!$A172,games!$A$2:$A$834,0)),""))</f>
        <v>2015</v>
      </c>
      <c r="U172">
        <f>IF(connections!$A172="","",IFERROR(INDEX(games!$B$2:$B$834,MATCH(connections!$B172,games!$A$2:$A$834,0)),""))</f>
        <v>2019</v>
      </c>
      <c r="V172">
        <f t="shared" si="35"/>
        <v>4</v>
      </c>
    </row>
    <row r="173" spans="1:22" x14ac:dyDescent="0.25">
      <c r="A173" t="str">
        <f>IF(games!$A173="","",games!$A173)</f>
        <v>Deadzone: Rogue</v>
      </c>
      <c r="B173">
        <f>IF($A173="","",games!$B173)</f>
        <v>2025</v>
      </c>
      <c r="C173" t="str">
        <f>IF($A173="","",games!$C173)</f>
        <v>Action</v>
      </c>
      <c r="D173">
        <f>IF($A173="","",COUNTIF(connections!$A$2:$A$1188,$A173)+COUNTIF(connections!$B$2:$B$1188,$A173))</f>
        <v>0</v>
      </c>
      <c r="E173">
        <f t="shared" si="24"/>
        <v>1</v>
      </c>
      <c r="F173">
        <f t="shared" si="25"/>
        <v>3</v>
      </c>
      <c r="G173">
        <f t="shared" si="26"/>
        <v>2025</v>
      </c>
      <c r="H173">
        <f t="shared" si="27"/>
        <v>1.069</v>
      </c>
      <c r="I173" t="e">
        <f t="shared" si="28"/>
        <v>#N/A</v>
      </c>
      <c r="J173" t="e">
        <f t="shared" si="29"/>
        <v>#N/A</v>
      </c>
      <c r="K173" t="e">
        <f t="shared" si="30"/>
        <v>#N/A</v>
      </c>
      <c r="L173" t="e">
        <f t="shared" si="31"/>
        <v>#N/A</v>
      </c>
      <c r="M173" t="e">
        <f t="shared" si="32"/>
        <v>#N/A</v>
      </c>
      <c r="N173" t="e">
        <f t="shared" si="33"/>
        <v>#N/A</v>
      </c>
      <c r="O173">
        <f t="shared" si="34"/>
        <v>1.73E-4</v>
      </c>
      <c r="T173">
        <f>IF(connections!$A173="","",IFERROR(INDEX(games!$B$2:$B$834,MATCH(connections!$A173,games!$A$2:$A$834,0)),""))</f>
        <v>2015</v>
      </c>
      <c r="U173">
        <f>IF(connections!$A173="","",IFERROR(INDEX(games!$B$2:$B$834,MATCH(connections!$B173,games!$A$2:$A$834,0)),""))</f>
        <v>2023</v>
      </c>
      <c r="V173">
        <f t="shared" si="35"/>
        <v>8</v>
      </c>
    </row>
    <row r="174" spans="1:22" x14ac:dyDescent="0.25">
      <c r="A174" t="str">
        <f>IF(games!$A174="","",games!$A174)</f>
        <v>Death by Scrolling</v>
      </c>
      <c r="B174">
        <f>IF($A174="","",games!$B174)</f>
        <v>2025</v>
      </c>
      <c r="C174" t="str">
        <f>IF($A174="","",games!$C174)</f>
        <v>Action</v>
      </c>
      <c r="D174">
        <f>IF($A174="","",COUNTIF(connections!$A$2:$A$1188,$A174)+COUNTIF(connections!$B$2:$B$1188,$A174))</f>
        <v>0</v>
      </c>
      <c r="E174">
        <f t="shared" si="24"/>
        <v>1</v>
      </c>
      <c r="F174">
        <f t="shared" si="25"/>
        <v>4</v>
      </c>
      <c r="G174">
        <f t="shared" si="26"/>
        <v>2025</v>
      </c>
      <c r="H174">
        <f t="shared" si="27"/>
        <v>1.0920000000000001</v>
      </c>
      <c r="I174" t="e">
        <f t="shared" si="28"/>
        <v>#N/A</v>
      </c>
      <c r="J174" t="e">
        <f t="shared" si="29"/>
        <v>#N/A</v>
      </c>
      <c r="K174" t="e">
        <f t="shared" si="30"/>
        <v>#N/A</v>
      </c>
      <c r="L174" t="e">
        <f t="shared" si="31"/>
        <v>#N/A</v>
      </c>
      <c r="M174" t="e">
        <f t="shared" si="32"/>
        <v>#N/A</v>
      </c>
      <c r="N174" t="e">
        <f t="shared" si="33"/>
        <v>#N/A</v>
      </c>
      <c r="O174">
        <f t="shared" si="34"/>
        <v>1.74E-4</v>
      </c>
      <c r="T174">
        <f>IF(connections!$A174="","",IFERROR(INDEX(games!$B$2:$B$834,MATCH(connections!$A174,games!$A$2:$A$834,0)),""))</f>
        <v>2015</v>
      </c>
      <c r="U174">
        <f>IF(connections!$A174="","",IFERROR(INDEX(games!$B$2:$B$834,MATCH(connections!$B174,games!$A$2:$A$834,0)),""))</f>
        <v>2019</v>
      </c>
      <c r="V174">
        <f t="shared" si="35"/>
        <v>4</v>
      </c>
    </row>
    <row r="175" spans="1:22" x14ac:dyDescent="0.25">
      <c r="A175" t="str">
        <f>IF(games!$A175="","",games!$A175)</f>
        <v>Death Must Die</v>
      </c>
      <c r="B175">
        <f>IF($A175="","",games!$B175)</f>
        <v>2023</v>
      </c>
      <c r="C175" t="str">
        <f>IF($A175="","",games!$C175)</f>
        <v>Action</v>
      </c>
      <c r="D175">
        <f>IF($A175="","",COUNTIF(connections!$A$2:$A$1188,$A175)+COUNTIF(connections!$B$2:$B$1188,$A175))</f>
        <v>8</v>
      </c>
      <c r="E175">
        <f t="shared" si="24"/>
        <v>1</v>
      </c>
      <c r="F175">
        <f t="shared" si="25"/>
        <v>5</v>
      </c>
      <c r="G175">
        <f t="shared" si="26"/>
        <v>2023</v>
      </c>
      <c r="H175">
        <f t="shared" si="27"/>
        <v>1.115</v>
      </c>
      <c r="I175" t="e">
        <f t="shared" si="28"/>
        <v>#N/A</v>
      </c>
      <c r="J175" t="e">
        <f t="shared" si="29"/>
        <v>#N/A</v>
      </c>
      <c r="K175" t="e">
        <f t="shared" si="30"/>
        <v>#N/A</v>
      </c>
      <c r="L175" t="e">
        <f t="shared" si="31"/>
        <v>#N/A</v>
      </c>
      <c r="M175" t="e">
        <f t="shared" si="32"/>
        <v>#N/A</v>
      </c>
      <c r="N175" t="e">
        <f t="shared" si="33"/>
        <v>#N/A</v>
      </c>
      <c r="O175">
        <f t="shared" si="34"/>
        <v>8.0001750000000005</v>
      </c>
      <c r="T175">
        <f>IF(connections!$A175="","",IFERROR(INDEX(games!$B$2:$B$834,MATCH(connections!$A175,games!$A$2:$A$834,0)),""))</f>
        <v>2015</v>
      </c>
      <c r="U175">
        <f>IF(connections!$A175="","",IFERROR(INDEX(games!$B$2:$B$834,MATCH(connections!$B175,games!$A$2:$A$834,0)),""))</f>
        <v>2018</v>
      </c>
      <c r="V175">
        <f t="shared" si="35"/>
        <v>3</v>
      </c>
    </row>
    <row r="176" spans="1:22" x14ac:dyDescent="0.25">
      <c r="A176" t="str">
        <f>IF(games!$A176="","",games!$A176)</f>
        <v>Death Road to Canada</v>
      </c>
      <c r="B176">
        <f>IF($A176="","",games!$B176)</f>
        <v>2016</v>
      </c>
      <c r="C176" t="str">
        <f>IF($A176="","",games!$C176)</f>
        <v>Action</v>
      </c>
      <c r="D176">
        <f>IF($A176="","",COUNTIF(connections!$A$2:$A$1188,$A176)+COUNTIF(connections!$B$2:$B$1188,$A176))</f>
        <v>0</v>
      </c>
      <c r="E176">
        <f t="shared" si="24"/>
        <v>1</v>
      </c>
      <c r="F176">
        <f t="shared" si="25"/>
        <v>6</v>
      </c>
      <c r="G176">
        <f t="shared" si="26"/>
        <v>2016</v>
      </c>
      <c r="H176">
        <f t="shared" si="27"/>
        <v>1.1379999999999999</v>
      </c>
      <c r="I176" t="e">
        <f t="shared" si="28"/>
        <v>#N/A</v>
      </c>
      <c r="J176" t="e">
        <f t="shared" si="29"/>
        <v>#N/A</v>
      </c>
      <c r="K176" t="e">
        <f t="shared" si="30"/>
        <v>#N/A</v>
      </c>
      <c r="L176" t="e">
        <f t="shared" si="31"/>
        <v>#N/A</v>
      </c>
      <c r="M176" t="e">
        <f t="shared" si="32"/>
        <v>#N/A</v>
      </c>
      <c r="N176" t="e">
        <f t="shared" si="33"/>
        <v>#N/A</v>
      </c>
      <c r="O176">
        <f t="shared" si="34"/>
        <v>1.76E-4</v>
      </c>
      <c r="T176">
        <f>IF(connections!$A176="","",IFERROR(INDEX(games!$B$2:$B$834,MATCH(connections!$A176,games!$A$2:$A$834,0)),""))</f>
        <v>2015</v>
      </c>
      <c r="U176">
        <f>IF(connections!$A176="","",IFERROR(INDEX(games!$B$2:$B$834,MATCH(connections!$B176,games!$A$2:$A$834,0)),""))</f>
        <v>2025</v>
      </c>
      <c r="V176">
        <f t="shared" si="35"/>
        <v>10</v>
      </c>
    </row>
    <row r="177" spans="1:22" x14ac:dyDescent="0.25">
      <c r="A177" t="str">
        <f>IF(games!$A177="","",games!$A177)</f>
        <v>Death Roads: Tournament</v>
      </c>
      <c r="B177">
        <f>IF($A177="","",games!$B177)</f>
        <v>2023</v>
      </c>
      <c r="C177" t="str">
        <f>IF($A177="","",games!$C177)</f>
        <v>Deckbuilder</v>
      </c>
      <c r="D177">
        <f>IF($A177="","",COUNTIF(connections!$A$2:$A$1188,$A177)+COUNTIF(connections!$B$2:$B$1188,$A177))</f>
        <v>4</v>
      </c>
      <c r="E177">
        <f t="shared" si="24"/>
        <v>3</v>
      </c>
      <c r="F177">
        <f t="shared" si="25"/>
        <v>7</v>
      </c>
      <c r="G177" t="e">
        <f t="shared" si="26"/>
        <v>#N/A</v>
      </c>
      <c r="H177" t="e">
        <f t="shared" si="27"/>
        <v>#N/A</v>
      </c>
      <c r="I177" t="e">
        <f t="shared" si="28"/>
        <v>#N/A</v>
      </c>
      <c r="J177" t="e">
        <f t="shared" si="29"/>
        <v>#N/A</v>
      </c>
      <c r="K177">
        <f t="shared" si="30"/>
        <v>2023</v>
      </c>
      <c r="L177">
        <f t="shared" si="31"/>
        <v>3.161</v>
      </c>
      <c r="M177" t="e">
        <f t="shared" si="32"/>
        <v>#N/A</v>
      </c>
      <c r="N177" t="e">
        <f t="shared" si="33"/>
        <v>#N/A</v>
      </c>
      <c r="O177">
        <f t="shared" si="34"/>
        <v>4.0001769999999999</v>
      </c>
      <c r="T177">
        <f>IF(connections!$A177="","",IFERROR(INDEX(games!$B$2:$B$834,MATCH(connections!$A177,games!$A$2:$A$834,0)),""))</f>
        <v>2015</v>
      </c>
      <c r="U177">
        <f>IF(connections!$A177="","",IFERROR(INDEX(games!$B$2:$B$834,MATCH(connections!$B177,games!$A$2:$A$834,0)),""))</f>
        <v>2016</v>
      </c>
      <c r="V177">
        <f t="shared" si="35"/>
        <v>1</v>
      </c>
    </row>
    <row r="178" spans="1:22" x14ac:dyDescent="0.25">
      <c r="A178" t="str">
        <f>IF(games!$A178="","",games!$A178)</f>
        <v>Death Skid Marks</v>
      </c>
      <c r="B178">
        <f>IF($A178="","",games!$B178)</f>
        <v>2014</v>
      </c>
      <c r="C178" t="str">
        <f>IF($A178="","",games!$C178)</f>
        <v>Action</v>
      </c>
      <c r="D178">
        <f>IF($A178="","",COUNTIF(connections!$A$2:$A$1188,$A178)+COUNTIF(connections!$B$2:$B$1188,$A178))</f>
        <v>1</v>
      </c>
      <c r="E178">
        <f t="shared" si="24"/>
        <v>1</v>
      </c>
      <c r="F178">
        <f t="shared" si="25"/>
        <v>8</v>
      </c>
      <c r="G178">
        <f t="shared" si="26"/>
        <v>2014</v>
      </c>
      <c r="H178">
        <f t="shared" si="27"/>
        <v>1.1839999999999999</v>
      </c>
      <c r="I178" t="e">
        <f t="shared" si="28"/>
        <v>#N/A</v>
      </c>
      <c r="J178" t="e">
        <f t="shared" si="29"/>
        <v>#N/A</v>
      </c>
      <c r="K178" t="e">
        <f t="shared" si="30"/>
        <v>#N/A</v>
      </c>
      <c r="L178" t="e">
        <f t="shared" si="31"/>
        <v>#N/A</v>
      </c>
      <c r="M178" t="e">
        <f t="shared" si="32"/>
        <v>#N/A</v>
      </c>
      <c r="N178" t="e">
        <f t="shared" si="33"/>
        <v>#N/A</v>
      </c>
      <c r="O178">
        <f t="shared" si="34"/>
        <v>1.000178</v>
      </c>
      <c r="T178">
        <f>IF(connections!$A178="","",IFERROR(INDEX(games!$B$2:$B$834,MATCH(connections!$A178,games!$A$2:$A$834,0)),""))</f>
        <v>2015</v>
      </c>
      <c r="U178">
        <f>IF(connections!$A178="","",IFERROR(INDEX(games!$B$2:$B$834,MATCH(connections!$B178,games!$A$2:$A$834,0)),""))</f>
        <v>2025</v>
      </c>
      <c r="V178">
        <f t="shared" si="35"/>
        <v>10</v>
      </c>
    </row>
    <row r="179" spans="1:22" x14ac:dyDescent="0.25">
      <c r="A179" t="str">
        <f>IF(games!$A179="","",games!$A179)</f>
        <v>Deck of Ashes</v>
      </c>
      <c r="B179">
        <f>IF($A179="","",games!$B179)</f>
        <v>2019</v>
      </c>
      <c r="C179" t="str">
        <f>IF($A179="","",games!$C179)</f>
        <v>Deckbuilder</v>
      </c>
      <c r="D179">
        <f>IF($A179="","",COUNTIF(connections!$A$2:$A$1188,$A179)+COUNTIF(connections!$B$2:$B$1188,$A179))</f>
        <v>4</v>
      </c>
      <c r="E179">
        <f t="shared" si="24"/>
        <v>3</v>
      </c>
      <c r="F179">
        <f t="shared" si="25"/>
        <v>9</v>
      </c>
      <c r="G179" t="e">
        <f t="shared" si="26"/>
        <v>#N/A</v>
      </c>
      <c r="H179" t="e">
        <f t="shared" si="27"/>
        <v>#N/A</v>
      </c>
      <c r="I179" t="e">
        <f t="shared" si="28"/>
        <v>#N/A</v>
      </c>
      <c r="J179" t="e">
        <f t="shared" si="29"/>
        <v>#N/A</v>
      </c>
      <c r="K179">
        <f t="shared" si="30"/>
        <v>2019</v>
      </c>
      <c r="L179">
        <f t="shared" si="31"/>
        <v>3.2069999999999999</v>
      </c>
      <c r="M179" t="e">
        <f t="shared" si="32"/>
        <v>#N/A</v>
      </c>
      <c r="N179" t="e">
        <f t="shared" si="33"/>
        <v>#N/A</v>
      </c>
      <c r="O179">
        <f t="shared" si="34"/>
        <v>4.0001790000000002</v>
      </c>
      <c r="T179">
        <f>IF(connections!$A179="","",IFERROR(INDEX(games!$B$2:$B$834,MATCH(connections!$A179,games!$A$2:$A$834,0)),""))</f>
        <v>2015</v>
      </c>
      <c r="U179">
        <f>IF(connections!$A179="","",IFERROR(INDEX(games!$B$2:$B$834,MATCH(connections!$B179,games!$A$2:$A$834,0)),""))</f>
        <v>2025</v>
      </c>
      <c r="V179">
        <f t="shared" si="35"/>
        <v>10</v>
      </c>
    </row>
    <row r="180" spans="1:22" x14ac:dyDescent="0.25">
      <c r="A180" t="str">
        <f>IF(games!$A180="","",games!$A180)</f>
        <v>Deck of Haunts</v>
      </c>
      <c r="B180">
        <f>IF($A180="","",games!$B180)</f>
        <v>2025</v>
      </c>
      <c r="C180" t="str">
        <f>IF($A180="","",games!$C180)</f>
        <v>Deckbuilder</v>
      </c>
      <c r="D180">
        <f>IF($A180="","",COUNTIF(connections!$A$2:$A$1188,$A180)+COUNTIF(connections!$B$2:$B$1188,$A180))</f>
        <v>1</v>
      </c>
      <c r="E180">
        <f t="shared" si="24"/>
        <v>3</v>
      </c>
      <c r="F180">
        <f t="shared" si="25"/>
        <v>10</v>
      </c>
      <c r="G180" t="e">
        <f t="shared" si="26"/>
        <v>#N/A</v>
      </c>
      <c r="H180" t="e">
        <f t="shared" si="27"/>
        <v>#N/A</v>
      </c>
      <c r="I180" t="e">
        <f t="shared" si="28"/>
        <v>#N/A</v>
      </c>
      <c r="J180" t="e">
        <f t="shared" si="29"/>
        <v>#N/A</v>
      </c>
      <c r="K180">
        <f t="shared" si="30"/>
        <v>2025</v>
      </c>
      <c r="L180">
        <f t="shared" si="31"/>
        <v>3.23</v>
      </c>
      <c r="M180" t="e">
        <f t="shared" si="32"/>
        <v>#N/A</v>
      </c>
      <c r="N180" t="e">
        <f t="shared" si="33"/>
        <v>#N/A</v>
      </c>
      <c r="O180">
        <f t="shared" si="34"/>
        <v>1.0001800000000001</v>
      </c>
      <c r="T180">
        <f>IF(connections!$A180="","",IFERROR(INDEX(games!$B$2:$B$834,MATCH(connections!$A180,games!$A$2:$A$834,0)),""))</f>
        <v>2015</v>
      </c>
      <c r="U180">
        <f>IF(connections!$A180="","",IFERROR(INDEX(games!$B$2:$B$834,MATCH(connections!$B180,games!$A$2:$A$834,0)),""))</f>
        <v>2019</v>
      </c>
      <c r="V180">
        <f t="shared" si="35"/>
        <v>4</v>
      </c>
    </row>
    <row r="181" spans="1:22" x14ac:dyDescent="0.25">
      <c r="A181" t="str">
        <f>IF(games!$A181="","",games!$A181)</f>
        <v>Decktamer</v>
      </c>
      <c r="B181">
        <f>IF($A181="","",games!$B181)</f>
        <v>2025</v>
      </c>
      <c r="C181" t="str">
        <f>IF($A181="","",games!$C181)</f>
        <v>Deckbuilder</v>
      </c>
      <c r="D181">
        <f>IF($A181="","",COUNTIF(connections!$A$2:$A$1188,$A181)+COUNTIF(connections!$B$2:$B$1188,$A181))</f>
        <v>2</v>
      </c>
      <c r="E181">
        <f t="shared" si="24"/>
        <v>3</v>
      </c>
      <c r="F181">
        <f t="shared" si="25"/>
        <v>11</v>
      </c>
      <c r="G181" t="e">
        <f t="shared" si="26"/>
        <v>#N/A</v>
      </c>
      <c r="H181" t="e">
        <f t="shared" si="27"/>
        <v>#N/A</v>
      </c>
      <c r="I181" t="e">
        <f t="shared" si="28"/>
        <v>#N/A</v>
      </c>
      <c r="J181" t="e">
        <f t="shared" si="29"/>
        <v>#N/A</v>
      </c>
      <c r="K181">
        <f t="shared" si="30"/>
        <v>2025</v>
      </c>
      <c r="L181">
        <f t="shared" si="31"/>
        <v>3.2530000000000001</v>
      </c>
      <c r="M181" t="e">
        <f t="shared" si="32"/>
        <v>#N/A</v>
      </c>
      <c r="N181" t="e">
        <f t="shared" si="33"/>
        <v>#N/A</v>
      </c>
      <c r="O181">
        <f t="shared" si="34"/>
        <v>2.000181</v>
      </c>
      <c r="T181">
        <f>IF(connections!$A181="","",IFERROR(INDEX(games!$B$2:$B$834,MATCH(connections!$A181,games!$A$2:$A$834,0)),""))</f>
        <v>2015</v>
      </c>
      <c r="U181">
        <f>IF(connections!$A181="","",IFERROR(INDEX(games!$B$2:$B$834,MATCH(connections!$B181,games!$A$2:$A$834,0)),""))</f>
        <v>2019</v>
      </c>
      <c r="V181">
        <f t="shared" si="35"/>
        <v>4</v>
      </c>
    </row>
    <row r="182" spans="1:22" x14ac:dyDescent="0.25">
      <c r="A182" t="str">
        <f>IF(games!$A182="","",games!$A182)</f>
        <v>Deep Dungeons of Doom</v>
      </c>
      <c r="B182">
        <f>IF($A182="","",games!$B182)</f>
        <v>2014</v>
      </c>
      <c r="C182" t="str">
        <f>IF($A182="","",games!$C182)</f>
        <v>Action</v>
      </c>
      <c r="D182">
        <f>IF($A182="","",COUNTIF(connections!$A$2:$A$1188,$A182)+COUNTIF(connections!$B$2:$B$1188,$A182))</f>
        <v>1</v>
      </c>
      <c r="E182">
        <f t="shared" si="24"/>
        <v>1</v>
      </c>
      <c r="F182">
        <f t="shared" si="25"/>
        <v>12</v>
      </c>
      <c r="G182">
        <f t="shared" si="26"/>
        <v>2014</v>
      </c>
      <c r="H182">
        <f t="shared" si="27"/>
        <v>1.276</v>
      </c>
      <c r="I182" t="e">
        <f t="shared" si="28"/>
        <v>#N/A</v>
      </c>
      <c r="J182" t="e">
        <f t="shared" si="29"/>
        <v>#N/A</v>
      </c>
      <c r="K182" t="e">
        <f t="shared" si="30"/>
        <v>#N/A</v>
      </c>
      <c r="L182" t="e">
        <f t="shared" si="31"/>
        <v>#N/A</v>
      </c>
      <c r="M182" t="e">
        <f t="shared" si="32"/>
        <v>#N/A</v>
      </c>
      <c r="N182" t="e">
        <f t="shared" si="33"/>
        <v>#N/A</v>
      </c>
      <c r="O182">
        <f t="shared" si="34"/>
        <v>1.0001819999999999</v>
      </c>
      <c r="T182">
        <f>IF(connections!$A182="","",IFERROR(INDEX(games!$B$2:$B$834,MATCH(connections!$A182,games!$A$2:$A$834,0)),""))</f>
        <v>2015</v>
      </c>
      <c r="U182">
        <f>IF(connections!$A182="","",IFERROR(INDEX(games!$B$2:$B$834,MATCH(connections!$B182,games!$A$2:$A$834,0)),""))</f>
        <v>2024</v>
      </c>
      <c r="V182">
        <f t="shared" si="35"/>
        <v>9</v>
      </c>
    </row>
    <row r="183" spans="1:22" x14ac:dyDescent="0.25">
      <c r="A183" t="str">
        <f>IF(games!$A183="","",games!$A183)</f>
        <v>Deep Rock Galactic: Survivor</v>
      </c>
      <c r="B183">
        <f>IF($A183="","",games!$B183)</f>
        <v>2024</v>
      </c>
      <c r="C183" t="str">
        <f>IF($A183="","",games!$C183)</f>
        <v>Action</v>
      </c>
      <c r="D183">
        <f>IF($A183="","",COUNTIF(connections!$A$2:$A$1188,$A183)+COUNTIF(connections!$B$2:$B$1188,$A183))</f>
        <v>3</v>
      </c>
      <c r="E183">
        <f t="shared" si="24"/>
        <v>1</v>
      </c>
      <c r="F183">
        <f t="shared" si="25"/>
        <v>13</v>
      </c>
      <c r="G183">
        <f t="shared" si="26"/>
        <v>2024</v>
      </c>
      <c r="H183">
        <f t="shared" si="27"/>
        <v>1.2989999999999999</v>
      </c>
      <c r="I183" t="e">
        <f t="shared" si="28"/>
        <v>#N/A</v>
      </c>
      <c r="J183" t="e">
        <f t="shared" si="29"/>
        <v>#N/A</v>
      </c>
      <c r="K183" t="e">
        <f t="shared" si="30"/>
        <v>#N/A</v>
      </c>
      <c r="L183" t="e">
        <f t="shared" si="31"/>
        <v>#N/A</v>
      </c>
      <c r="M183" t="e">
        <f t="shared" si="32"/>
        <v>#N/A</v>
      </c>
      <c r="N183" t="e">
        <f t="shared" si="33"/>
        <v>#N/A</v>
      </c>
      <c r="O183">
        <f t="shared" si="34"/>
        <v>3.0001829999999998</v>
      </c>
      <c r="T183">
        <f>IF(connections!$A183="","",IFERROR(INDEX(games!$B$2:$B$834,MATCH(connections!$A183,games!$A$2:$A$834,0)),""))</f>
        <v>2015</v>
      </c>
      <c r="U183">
        <f>IF(connections!$A183="","",IFERROR(INDEX(games!$B$2:$B$834,MATCH(connections!$B183,games!$A$2:$A$834,0)),""))</f>
        <v>2025</v>
      </c>
      <c r="V183">
        <f t="shared" si="35"/>
        <v>10</v>
      </c>
    </row>
    <row r="184" spans="1:22" x14ac:dyDescent="0.25">
      <c r="A184" t="str">
        <f>IF(games!$A184="","",games!$A184)</f>
        <v>Deep Sky Derelicts</v>
      </c>
      <c r="B184">
        <f>IF($A184="","",games!$B184)</f>
        <v>2018</v>
      </c>
      <c r="C184" t="str">
        <f>IF($A184="","",games!$C184)</f>
        <v>Deckbuilder</v>
      </c>
      <c r="D184">
        <f>IF($A184="","",COUNTIF(connections!$A$2:$A$1188,$A184)+COUNTIF(connections!$B$2:$B$1188,$A184))</f>
        <v>3</v>
      </c>
      <c r="E184">
        <f t="shared" si="24"/>
        <v>3</v>
      </c>
      <c r="F184">
        <f t="shared" si="25"/>
        <v>14</v>
      </c>
      <c r="G184" t="e">
        <f t="shared" si="26"/>
        <v>#N/A</v>
      </c>
      <c r="H184" t="e">
        <f t="shared" si="27"/>
        <v>#N/A</v>
      </c>
      <c r="I184" t="e">
        <f t="shared" si="28"/>
        <v>#N/A</v>
      </c>
      <c r="J184" t="e">
        <f t="shared" si="29"/>
        <v>#N/A</v>
      </c>
      <c r="K184">
        <f t="shared" si="30"/>
        <v>2018</v>
      </c>
      <c r="L184">
        <f t="shared" si="31"/>
        <v>3.3220000000000001</v>
      </c>
      <c r="M184" t="e">
        <f t="shared" si="32"/>
        <v>#N/A</v>
      </c>
      <c r="N184" t="e">
        <f t="shared" si="33"/>
        <v>#N/A</v>
      </c>
      <c r="O184">
        <f t="shared" si="34"/>
        <v>3.000184</v>
      </c>
      <c r="T184">
        <f>IF(connections!$A184="","",IFERROR(INDEX(games!$B$2:$B$834,MATCH(connections!$A184,games!$A$2:$A$834,0)),""))</f>
        <v>2015</v>
      </c>
      <c r="U184">
        <f>IF(connections!$A184="","",IFERROR(INDEX(games!$B$2:$B$834,MATCH(connections!$B184,games!$A$2:$A$834,0)),""))</f>
        <v>2023</v>
      </c>
      <c r="V184">
        <f t="shared" si="35"/>
        <v>8</v>
      </c>
    </row>
    <row r="185" spans="1:22" x14ac:dyDescent="0.25">
      <c r="A185" t="str">
        <f>IF(games!$A185="","",games!$A185)</f>
        <v>Deepest Chamber: Resurrection</v>
      </c>
      <c r="B185">
        <f>IF($A185="","",games!$B185)</f>
        <v>2021</v>
      </c>
      <c r="C185" t="str">
        <f>IF($A185="","",games!$C185)</f>
        <v>Deckbuilder</v>
      </c>
      <c r="D185">
        <f>IF($A185="","",COUNTIF(connections!$A$2:$A$1188,$A185)+COUNTIF(connections!$B$2:$B$1188,$A185))</f>
        <v>1</v>
      </c>
      <c r="E185">
        <f t="shared" si="24"/>
        <v>3</v>
      </c>
      <c r="F185">
        <f t="shared" si="25"/>
        <v>15</v>
      </c>
      <c r="G185" t="e">
        <f t="shared" si="26"/>
        <v>#N/A</v>
      </c>
      <c r="H185" t="e">
        <f t="shared" si="27"/>
        <v>#N/A</v>
      </c>
      <c r="I185" t="e">
        <f t="shared" si="28"/>
        <v>#N/A</v>
      </c>
      <c r="J185" t="e">
        <f t="shared" si="29"/>
        <v>#N/A</v>
      </c>
      <c r="K185">
        <f t="shared" si="30"/>
        <v>2021</v>
      </c>
      <c r="L185">
        <f t="shared" si="31"/>
        <v>3.3449999999999998</v>
      </c>
      <c r="M185" t="e">
        <f t="shared" si="32"/>
        <v>#N/A</v>
      </c>
      <c r="N185" t="e">
        <f t="shared" si="33"/>
        <v>#N/A</v>
      </c>
      <c r="O185">
        <f t="shared" si="34"/>
        <v>1.0001850000000001</v>
      </c>
      <c r="T185">
        <f>IF(connections!$A185="","",IFERROR(INDEX(games!$B$2:$B$834,MATCH(connections!$A185,games!$A$2:$A$834,0)),""))</f>
        <v>2015</v>
      </c>
      <c r="U185">
        <f>IF(connections!$A185="","",IFERROR(INDEX(games!$B$2:$B$834,MATCH(connections!$B185,games!$A$2:$A$834,0)),""))</f>
        <v>2017</v>
      </c>
      <c r="V185">
        <f t="shared" si="35"/>
        <v>2</v>
      </c>
    </row>
    <row r="186" spans="1:22" x14ac:dyDescent="0.25">
      <c r="A186" t="str">
        <f>IF(games!$A186="","",games!$A186)</f>
        <v>Delver</v>
      </c>
      <c r="B186">
        <f>IF($A186="","",games!$B186)</f>
        <v>2012</v>
      </c>
      <c r="C186" t="str">
        <f>IF($A186="","",games!$C186)</f>
        <v>Action</v>
      </c>
      <c r="D186">
        <f>IF($A186="","",COUNTIF(connections!$A$2:$A$1188,$A186)+COUNTIF(connections!$B$2:$B$1188,$A186))</f>
        <v>0</v>
      </c>
      <c r="E186">
        <f t="shared" si="24"/>
        <v>1</v>
      </c>
      <c r="F186">
        <f t="shared" si="25"/>
        <v>16</v>
      </c>
      <c r="G186">
        <f t="shared" si="26"/>
        <v>2012</v>
      </c>
      <c r="H186">
        <f t="shared" si="27"/>
        <v>1.3679999999999999</v>
      </c>
      <c r="I186" t="e">
        <f t="shared" si="28"/>
        <v>#N/A</v>
      </c>
      <c r="J186" t="e">
        <f t="shared" si="29"/>
        <v>#N/A</v>
      </c>
      <c r="K186" t="e">
        <f t="shared" si="30"/>
        <v>#N/A</v>
      </c>
      <c r="L186" t="e">
        <f t="shared" si="31"/>
        <v>#N/A</v>
      </c>
      <c r="M186" t="e">
        <f t="shared" si="32"/>
        <v>#N/A</v>
      </c>
      <c r="N186" t="e">
        <f t="shared" si="33"/>
        <v>#N/A</v>
      </c>
      <c r="O186">
        <f t="shared" si="34"/>
        <v>1.8599999999999999E-4</v>
      </c>
      <c r="T186">
        <f>IF(connections!$A186="","",IFERROR(INDEX(games!$B$2:$B$834,MATCH(connections!$A186,games!$A$2:$A$834,0)),""))</f>
        <v>2015</v>
      </c>
      <c r="U186">
        <f>IF(connections!$A186="","",IFERROR(INDEX(games!$B$2:$B$834,MATCH(connections!$B186,games!$A$2:$A$834,0)),""))</f>
        <v>2020</v>
      </c>
      <c r="V186">
        <f t="shared" si="35"/>
        <v>5</v>
      </c>
    </row>
    <row r="187" spans="1:22" x14ac:dyDescent="0.25">
      <c r="A187" t="str">
        <f>IF(games!$A187="","",games!$A187)</f>
        <v>Demon Lord: Just a Block</v>
      </c>
      <c r="B187">
        <f>IF($A187="","",games!$B187)</f>
        <v>2026</v>
      </c>
      <c r="C187" t="str">
        <f>IF($A187="","",games!$C187)</f>
        <v>Traditional</v>
      </c>
      <c r="D187">
        <f>IF($A187="","",COUNTIF(connections!$A$2:$A$1188,$A187)+COUNTIF(connections!$B$2:$B$1188,$A187))</f>
        <v>2</v>
      </c>
      <c r="E187">
        <f t="shared" si="24"/>
        <v>4</v>
      </c>
      <c r="F187">
        <f t="shared" si="25"/>
        <v>17</v>
      </c>
      <c r="G187" t="e">
        <f t="shared" si="26"/>
        <v>#N/A</v>
      </c>
      <c r="H187" t="e">
        <f t="shared" si="27"/>
        <v>#N/A</v>
      </c>
      <c r="I187" t="e">
        <f t="shared" si="28"/>
        <v>#N/A</v>
      </c>
      <c r="J187" t="e">
        <f t="shared" si="29"/>
        <v>#N/A</v>
      </c>
      <c r="K187" t="e">
        <f t="shared" si="30"/>
        <v>#N/A</v>
      </c>
      <c r="L187" t="e">
        <f t="shared" si="31"/>
        <v>#N/A</v>
      </c>
      <c r="M187">
        <f t="shared" si="32"/>
        <v>2026</v>
      </c>
      <c r="N187">
        <f t="shared" si="33"/>
        <v>4.391</v>
      </c>
      <c r="O187">
        <f t="shared" si="34"/>
        <v>2.0001869999999999</v>
      </c>
      <c r="T187">
        <f>IF(connections!$A187="","",IFERROR(INDEX(games!$B$2:$B$834,MATCH(connections!$A187,games!$A$2:$A$834,0)),""))</f>
        <v>2015</v>
      </c>
      <c r="U187">
        <f>IF(connections!$A187="","",IFERROR(INDEX(games!$B$2:$B$834,MATCH(connections!$B187,games!$A$2:$A$834,0)),""))</f>
        <v>2022</v>
      </c>
      <c r="V187">
        <f t="shared" si="35"/>
        <v>7</v>
      </c>
    </row>
    <row r="188" spans="1:22" x14ac:dyDescent="0.25">
      <c r="A188" t="str">
        <f>IF(games!$A188="","",games!$A188)</f>
        <v>DemonCrawl</v>
      </c>
      <c r="B188">
        <f>IF($A188="","",games!$B188)</f>
        <v>2019</v>
      </c>
      <c r="C188" t="str">
        <f>IF($A188="","",games!$C188)</f>
        <v>Strategy</v>
      </c>
      <c r="D188">
        <f>IF($A188="","",COUNTIF(connections!$A$2:$A$1188,$A188)+COUNTIF(connections!$B$2:$B$1188,$A188))</f>
        <v>1</v>
      </c>
      <c r="E188">
        <f t="shared" si="24"/>
        <v>2</v>
      </c>
      <c r="F188">
        <f t="shared" si="25"/>
        <v>18</v>
      </c>
      <c r="G188" t="e">
        <f t="shared" si="26"/>
        <v>#N/A</v>
      </c>
      <c r="H188" t="e">
        <f t="shared" si="27"/>
        <v>#N/A</v>
      </c>
      <c r="I188">
        <f t="shared" si="28"/>
        <v>2019</v>
      </c>
      <c r="J188">
        <f t="shared" si="29"/>
        <v>2.4140000000000001</v>
      </c>
      <c r="K188" t="e">
        <f t="shared" si="30"/>
        <v>#N/A</v>
      </c>
      <c r="L188" t="e">
        <f t="shared" si="31"/>
        <v>#N/A</v>
      </c>
      <c r="M188" t="e">
        <f t="shared" si="32"/>
        <v>#N/A</v>
      </c>
      <c r="N188" t="e">
        <f t="shared" si="33"/>
        <v>#N/A</v>
      </c>
      <c r="O188">
        <f t="shared" si="34"/>
        <v>1.0001880000000001</v>
      </c>
      <c r="T188">
        <f>IF(connections!$A188="","",IFERROR(INDEX(games!$B$2:$B$834,MATCH(connections!$A188,games!$A$2:$A$834,0)),""))</f>
        <v>2015</v>
      </c>
      <c r="U188">
        <f>IF(connections!$A188="","",IFERROR(INDEX(games!$B$2:$B$834,MATCH(connections!$B188,games!$A$2:$A$834,0)),""))</f>
        <v>2026</v>
      </c>
      <c r="V188">
        <f t="shared" si="35"/>
        <v>11</v>
      </c>
    </row>
    <row r="189" spans="1:22" x14ac:dyDescent="0.25">
      <c r="A189" t="str">
        <f>IF(games!$A189="","",games!$A189)</f>
        <v>Demonic Mahjong</v>
      </c>
      <c r="B189">
        <f>IF($A189="","",games!$B189)</f>
        <v>2025</v>
      </c>
      <c r="C189" t="str">
        <f>IF($A189="","",games!$C189)</f>
        <v>Deckbuilder</v>
      </c>
      <c r="D189">
        <f>IF($A189="","",COUNTIF(connections!$A$2:$A$1188,$A189)+COUNTIF(connections!$B$2:$B$1188,$A189))</f>
        <v>1</v>
      </c>
      <c r="E189">
        <f t="shared" si="24"/>
        <v>3</v>
      </c>
      <c r="F189">
        <f t="shared" si="25"/>
        <v>19</v>
      </c>
      <c r="G189" t="e">
        <f t="shared" si="26"/>
        <v>#N/A</v>
      </c>
      <c r="H189" t="e">
        <f t="shared" si="27"/>
        <v>#N/A</v>
      </c>
      <c r="I189" t="e">
        <f t="shared" si="28"/>
        <v>#N/A</v>
      </c>
      <c r="J189" t="e">
        <f t="shared" si="29"/>
        <v>#N/A</v>
      </c>
      <c r="K189">
        <f t="shared" si="30"/>
        <v>2025</v>
      </c>
      <c r="L189">
        <f t="shared" si="31"/>
        <v>3.4369999999999998</v>
      </c>
      <c r="M189" t="e">
        <f t="shared" si="32"/>
        <v>#N/A</v>
      </c>
      <c r="N189" t="e">
        <f t="shared" si="33"/>
        <v>#N/A</v>
      </c>
      <c r="O189">
        <f t="shared" si="34"/>
        <v>1.000189</v>
      </c>
      <c r="T189">
        <f>IF(connections!$A189="","",IFERROR(INDEX(games!$B$2:$B$834,MATCH(connections!$A189,games!$A$2:$A$834,0)),""))</f>
        <v>2022</v>
      </c>
      <c r="U189">
        <f>IF(connections!$A189="","",IFERROR(INDEX(games!$B$2:$B$834,MATCH(connections!$B189,games!$A$2:$A$834,0)),""))</f>
        <v>2026</v>
      </c>
      <c r="V189">
        <f t="shared" si="35"/>
        <v>4</v>
      </c>
    </row>
    <row r="190" spans="1:22" x14ac:dyDescent="0.25">
      <c r="A190" t="str">
        <f>IF(games!$A190="","",games!$A190)</f>
        <v>Demonlore</v>
      </c>
      <c r="B190">
        <f>IF($A190="","",games!$B190)</f>
        <v>2022</v>
      </c>
      <c r="C190" t="str">
        <f>IF($A190="","",games!$C190)</f>
        <v>Strategy</v>
      </c>
      <c r="D190">
        <f>IF($A190="","",COUNTIF(connections!$A$2:$A$1188,$A190)+COUNTIF(connections!$B$2:$B$1188,$A190))</f>
        <v>0</v>
      </c>
      <c r="E190">
        <f t="shared" si="24"/>
        <v>2</v>
      </c>
      <c r="F190">
        <f t="shared" si="25"/>
        <v>20</v>
      </c>
      <c r="G190" t="e">
        <f t="shared" si="26"/>
        <v>#N/A</v>
      </c>
      <c r="H190" t="e">
        <f t="shared" si="27"/>
        <v>#N/A</v>
      </c>
      <c r="I190">
        <f t="shared" si="28"/>
        <v>2022</v>
      </c>
      <c r="J190">
        <f t="shared" si="29"/>
        <v>2.46</v>
      </c>
      <c r="K190" t="e">
        <f t="shared" si="30"/>
        <v>#N/A</v>
      </c>
      <c r="L190" t="e">
        <f t="shared" si="31"/>
        <v>#N/A</v>
      </c>
      <c r="M190" t="e">
        <f t="shared" si="32"/>
        <v>#N/A</v>
      </c>
      <c r="N190" t="e">
        <f t="shared" si="33"/>
        <v>#N/A</v>
      </c>
      <c r="O190">
        <f t="shared" si="34"/>
        <v>1.9000000000000001E-4</v>
      </c>
      <c r="T190">
        <f>IF(connections!$A190="","",IFERROR(INDEX(games!$B$2:$B$834,MATCH(connections!$A190,games!$A$2:$A$834,0)),""))</f>
        <v>2018</v>
      </c>
      <c r="U190">
        <f>IF(connections!$A190="","",IFERROR(INDEX(games!$B$2:$B$834,MATCH(connections!$B190,games!$A$2:$A$834,0)),""))</f>
        <v>2025</v>
      </c>
      <c r="V190">
        <f t="shared" si="35"/>
        <v>7</v>
      </c>
    </row>
    <row r="191" spans="1:22" x14ac:dyDescent="0.25">
      <c r="A191" t="str">
        <f>IF(games!$A191="","",games!$A191)</f>
        <v>Desktop Dungeons</v>
      </c>
      <c r="B191">
        <f>IF($A191="","",games!$B191)</f>
        <v>2010</v>
      </c>
      <c r="C191" t="str">
        <f>IF($A191="","",games!$C191)</f>
        <v>Traditional</v>
      </c>
      <c r="D191">
        <f>IF($A191="","",COUNTIF(connections!$A$2:$A$1188,$A191)+COUNTIF(connections!$B$2:$B$1188,$A191))</f>
        <v>3</v>
      </c>
      <c r="E191">
        <f t="shared" si="24"/>
        <v>4</v>
      </c>
      <c r="F191">
        <f t="shared" si="25"/>
        <v>21</v>
      </c>
      <c r="G191" t="e">
        <f t="shared" si="26"/>
        <v>#N/A</v>
      </c>
      <c r="H191" t="e">
        <f t="shared" si="27"/>
        <v>#N/A</v>
      </c>
      <c r="I191" t="e">
        <f t="shared" si="28"/>
        <v>#N/A</v>
      </c>
      <c r="J191" t="e">
        <f t="shared" si="29"/>
        <v>#N/A</v>
      </c>
      <c r="K191" t="e">
        <f t="shared" si="30"/>
        <v>#N/A</v>
      </c>
      <c r="L191" t="e">
        <f t="shared" si="31"/>
        <v>#N/A</v>
      </c>
      <c r="M191">
        <f t="shared" si="32"/>
        <v>2010</v>
      </c>
      <c r="N191">
        <f t="shared" si="33"/>
        <v>4.4829999999999997</v>
      </c>
      <c r="O191">
        <f t="shared" si="34"/>
        <v>3.0001910000000001</v>
      </c>
      <c r="T191">
        <f>IF(connections!$A191="","",IFERROR(INDEX(games!$B$2:$B$834,MATCH(connections!$A191,games!$A$2:$A$834,0)),""))</f>
        <v>2018</v>
      </c>
      <c r="U191">
        <f>IF(connections!$A191="","",IFERROR(INDEX(games!$B$2:$B$834,MATCH(connections!$B191,games!$A$2:$A$834,0)),""))</f>
        <v>2025</v>
      </c>
      <c r="V191">
        <f t="shared" si="35"/>
        <v>7</v>
      </c>
    </row>
    <row r="192" spans="1:22" x14ac:dyDescent="0.25">
      <c r="A192" t="str">
        <f>IF(games!$A192="","",games!$A192)</f>
        <v>Desktop Survivors 98</v>
      </c>
      <c r="B192">
        <f>IF($A192="","",games!$B192)</f>
        <v>2025</v>
      </c>
      <c r="C192" t="str">
        <f>IF($A192="","",games!$C192)</f>
        <v>Action</v>
      </c>
      <c r="D192">
        <f>IF($A192="","",COUNTIF(connections!$A$2:$A$1188,$A192)+COUNTIF(connections!$B$2:$B$1188,$A192))</f>
        <v>1</v>
      </c>
      <c r="E192">
        <f t="shared" si="24"/>
        <v>1</v>
      </c>
      <c r="F192">
        <f t="shared" si="25"/>
        <v>22</v>
      </c>
      <c r="G192">
        <f t="shared" si="26"/>
        <v>2025</v>
      </c>
      <c r="H192">
        <f t="shared" si="27"/>
        <v>1.506</v>
      </c>
      <c r="I192" t="e">
        <f t="shared" si="28"/>
        <v>#N/A</v>
      </c>
      <c r="J192" t="e">
        <f t="shared" si="29"/>
        <v>#N/A</v>
      </c>
      <c r="K192" t="e">
        <f t="shared" si="30"/>
        <v>#N/A</v>
      </c>
      <c r="L192" t="e">
        <f t="shared" si="31"/>
        <v>#N/A</v>
      </c>
      <c r="M192" t="e">
        <f t="shared" si="32"/>
        <v>#N/A</v>
      </c>
      <c r="N192" t="e">
        <f t="shared" si="33"/>
        <v>#N/A</v>
      </c>
      <c r="O192">
        <f t="shared" si="34"/>
        <v>1.000192</v>
      </c>
      <c r="T192">
        <f>IF(connections!$A192="","",IFERROR(INDEX(games!$B$2:$B$834,MATCH(connections!$A192,games!$A$2:$A$834,0)),""))</f>
        <v>2018</v>
      </c>
      <c r="U192">
        <f>IF(connections!$A192="","",IFERROR(INDEX(games!$B$2:$B$834,MATCH(connections!$B192,games!$A$2:$A$834,0)),""))</f>
        <v>2022</v>
      </c>
      <c r="V192">
        <f t="shared" si="35"/>
        <v>4</v>
      </c>
    </row>
    <row r="193" spans="1:22" x14ac:dyDescent="0.25">
      <c r="A193" t="str">
        <f>IF(games!$A193="","",games!$A193)</f>
        <v>Despot's Game: Dystopian Battle Simulator</v>
      </c>
      <c r="B193">
        <f>IF($A193="","",games!$B193)</f>
        <v>2021</v>
      </c>
      <c r="C193" t="str">
        <f>IF($A193="","",games!$C193)</f>
        <v>Action</v>
      </c>
      <c r="D193">
        <f>IF($A193="","",COUNTIF(connections!$A$2:$A$1188,$A193)+COUNTIF(connections!$B$2:$B$1188,$A193))</f>
        <v>2</v>
      </c>
      <c r="E193">
        <f t="shared" si="24"/>
        <v>1</v>
      </c>
      <c r="F193">
        <f t="shared" si="25"/>
        <v>23</v>
      </c>
      <c r="G193">
        <f t="shared" si="26"/>
        <v>2021</v>
      </c>
      <c r="H193">
        <f t="shared" si="27"/>
        <v>1.5289999999999999</v>
      </c>
      <c r="I193" t="e">
        <f t="shared" si="28"/>
        <v>#N/A</v>
      </c>
      <c r="J193" t="e">
        <f t="shared" si="29"/>
        <v>#N/A</v>
      </c>
      <c r="K193" t="e">
        <f t="shared" si="30"/>
        <v>#N/A</v>
      </c>
      <c r="L193" t="e">
        <f t="shared" si="31"/>
        <v>#N/A</v>
      </c>
      <c r="M193" t="e">
        <f t="shared" si="32"/>
        <v>#N/A</v>
      </c>
      <c r="N193" t="e">
        <f t="shared" si="33"/>
        <v>#N/A</v>
      </c>
      <c r="O193">
        <f t="shared" si="34"/>
        <v>2.0001929999999999</v>
      </c>
      <c r="T193">
        <f>IF(connections!$A193="","",IFERROR(INDEX(games!$B$2:$B$834,MATCH(connections!$A193,games!$A$2:$A$834,0)),""))</f>
        <v>2018</v>
      </c>
      <c r="U193">
        <f>IF(connections!$A193="","",IFERROR(INDEX(games!$B$2:$B$834,MATCH(connections!$B193,games!$A$2:$A$834,0)),""))</f>
        <v>2023</v>
      </c>
      <c r="V193">
        <f t="shared" si="35"/>
        <v>5</v>
      </c>
    </row>
    <row r="194" spans="1:22" x14ac:dyDescent="0.25">
      <c r="A194" t="str">
        <f>IF(games!$A194="","",games!$A194)</f>
        <v>Devil Slayer: Raksasi</v>
      </c>
      <c r="B194">
        <f>IF($A194="","",games!$B194)</f>
        <v>2019</v>
      </c>
      <c r="C194" t="str">
        <f>IF($A194="","",games!$C194)</f>
        <v>Action</v>
      </c>
      <c r="D194">
        <f>IF($A194="","",COUNTIF(connections!$A$2:$A$1188,$A194)+COUNTIF(connections!$B$2:$B$1188,$A194))</f>
        <v>2</v>
      </c>
      <c r="E194">
        <f t="shared" ref="E194:E257" si="36">IF($A194="","",IFERROR(MATCH($C194,$R$2:$R$5,0),0))</f>
        <v>1</v>
      </c>
      <c r="F194">
        <f t="shared" ref="F194:F257" si="37">IF($A194="","",MOD(ROW(),34))</f>
        <v>24</v>
      </c>
      <c r="G194">
        <f t="shared" ref="G194:G257" si="38">IF($A194="",NA(),IF($C194="Action",$B194,NA()))</f>
        <v>2019</v>
      </c>
      <c r="H194">
        <f t="shared" ref="H194:H257" si="39">IF($A194="",NA(),IF($C194="Action",1+$F194*0.023,NA()))</f>
        <v>1.552</v>
      </c>
      <c r="I194" t="e">
        <f t="shared" ref="I194:I257" si="40">IF($A194="",NA(),IF($C194="Strategy",$B194,NA()))</f>
        <v>#N/A</v>
      </c>
      <c r="J194" t="e">
        <f t="shared" ref="J194:J257" si="41">IF($A194="",NA(),IF($C194="Strategy",2+$F194*0.023,NA()))</f>
        <v>#N/A</v>
      </c>
      <c r="K194" t="e">
        <f t="shared" ref="K194:K257" si="42">IF($A194="",NA(),IF($C194="Deckbuilder",$B194,NA()))</f>
        <v>#N/A</v>
      </c>
      <c r="L194" t="e">
        <f t="shared" ref="L194:L257" si="43">IF($A194="",NA(),IF($C194="Deckbuilder",3+$F194*0.023,NA()))</f>
        <v>#N/A</v>
      </c>
      <c r="M194" t="e">
        <f t="shared" ref="M194:M257" si="44">IF($A194="",NA(),IF($C194="Traditional",$B194,NA()))</f>
        <v>#N/A</v>
      </c>
      <c r="N194" t="e">
        <f t="shared" ref="N194:N257" si="45">IF($A194="",NA(),IF($C194="Traditional",4+$F194*0.023,NA()))</f>
        <v>#N/A</v>
      </c>
      <c r="O194">
        <f t="shared" ref="O194:O257" si="46">IF($A194="","",$D194+ROW()/1000000)</f>
        <v>2.000194</v>
      </c>
      <c r="T194">
        <f>IF(connections!$A194="","",IFERROR(INDEX(games!$B$2:$B$834,MATCH(connections!$A194,games!$A$2:$A$834,0)),""))</f>
        <v>2018</v>
      </c>
      <c r="U194">
        <f>IF(connections!$A194="","",IFERROR(INDEX(games!$B$2:$B$834,MATCH(connections!$B194,games!$A$2:$A$834,0)),""))</f>
        <v>2022</v>
      </c>
      <c r="V194">
        <f t="shared" ref="V194:V257" si="47">IF(OR($T194="",$U194=""),"",$U194-$T194)</f>
        <v>4</v>
      </c>
    </row>
    <row r="195" spans="1:22" x14ac:dyDescent="0.25">
      <c r="A195" t="str">
        <f>IF(games!$A195="","",games!$A195)</f>
        <v>Diablo</v>
      </c>
      <c r="B195">
        <f>IF($A195="","",games!$B195)</f>
        <v>1996</v>
      </c>
      <c r="C195" t="str">
        <f>IF($A195="","",games!$C195)</f>
        <v>Action</v>
      </c>
      <c r="D195">
        <f>IF($A195="","",COUNTIF(connections!$A$2:$A$1188,$A195)+COUNTIF(connections!$B$2:$B$1188,$A195))</f>
        <v>17</v>
      </c>
      <c r="E195">
        <f t="shared" si="36"/>
        <v>1</v>
      </c>
      <c r="F195">
        <f t="shared" si="37"/>
        <v>25</v>
      </c>
      <c r="G195">
        <f t="shared" si="38"/>
        <v>1996</v>
      </c>
      <c r="H195">
        <f t="shared" si="39"/>
        <v>1.575</v>
      </c>
      <c r="I195" t="e">
        <f t="shared" si="40"/>
        <v>#N/A</v>
      </c>
      <c r="J195" t="e">
        <f t="shared" si="41"/>
        <v>#N/A</v>
      </c>
      <c r="K195" t="e">
        <f t="shared" si="42"/>
        <v>#N/A</v>
      </c>
      <c r="L195" t="e">
        <f t="shared" si="43"/>
        <v>#N/A</v>
      </c>
      <c r="M195" t="e">
        <f t="shared" si="44"/>
        <v>#N/A</v>
      </c>
      <c r="N195" t="e">
        <f t="shared" si="45"/>
        <v>#N/A</v>
      </c>
      <c r="O195">
        <f t="shared" si="46"/>
        <v>17.000195000000001</v>
      </c>
      <c r="T195">
        <f>IF(connections!$A195="","",IFERROR(INDEX(games!$B$2:$B$834,MATCH(connections!$A195,games!$A$2:$A$834,0)),""))</f>
        <v>2018</v>
      </c>
      <c r="U195">
        <f>IF(connections!$A195="","",IFERROR(INDEX(games!$B$2:$B$834,MATCH(connections!$B195,games!$A$2:$A$834,0)),""))</f>
        <v>2019</v>
      </c>
      <c r="V195">
        <f t="shared" si="47"/>
        <v>1</v>
      </c>
    </row>
    <row r="196" spans="1:22" x14ac:dyDescent="0.25">
      <c r="A196" t="str">
        <f>IF(games!$A196="","",games!$A196)</f>
        <v>Dice &amp; Fold</v>
      </c>
      <c r="B196">
        <f>IF($A196="","",games!$B196)</f>
        <v>2024</v>
      </c>
      <c r="C196" t="str">
        <f>IF($A196="","",games!$C196)</f>
        <v>Deckbuilder</v>
      </c>
      <c r="D196">
        <f>IF($A196="","",COUNTIF(connections!$A$2:$A$1188,$A196)+COUNTIF(connections!$B$2:$B$1188,$A196))</f>
        <v>2</v>
      </c>
      <c r="E196">
        <f t="shared" si="36"/>
        <v>3</v>
      </c>
      <c r="F196">
        <f t="shared" si="37"/>
        <v>26</v>
      </c>
      <c r="G196" t="e">
        <f t="shared" si="38"/>
        <v>#N/A</v>
      </c>
      <c r="H196" t="e">
        <f t="shared" si="39"/>
        <v>#N/A</v>
      </c>
      <c r="I196" t="e">
        <f t="shared" si="40"/>
        <v>#N/A</v>
      </c>
      <c r="J196" t="e">
        <f t="shared" si="41"/>
        <v>#N/A</v>
      </c>
      <c r="K196">
        <f t="shared" si="42"/>
        <v>2024</v>
      </c>
      <c r="L196">
        <f t="shared" si="43"/>
        <v>3.5979999999999999</v>
      </c>
      <c r="M196" t="e">
        <f t="shared" si="44"/>
        <v>#N/A</v>
      </c>
      <c r="N196" t="e">
        <f t="shared" si="45"/>
        <v>#N/A</v>
      </c>
      <c r="O196">
        <f t="shared" si="46"/>
        <v>2.0001959999999999</v>
      </c>
      <c r="T196">
        <f>IF(connections!$A196="","",IFERROR(INDEX(games!$B$2:$B$834,MATCH(connections!$A196,games!$A$2:$A$834,0)),""))</f>
        <v>2018</v>
      </c>
      <c r="U196">
        <f>IF(connections!$A196="","",IFERROR(INDEX(games!$B$2:$B$834,MATCH(connections!$B196,games!$A$2:$A$834,0)),""))</f>
        <v>2020</v>
      </c>
      <c r="V196">
        <f t="shared" si="47"/>
        <v>2</v>
      </c>
    </row>
    <row r="197" spans="1:22" x14ac:dyDescent="0.25">
      <c r="A197" t="str">
        <f>IF(games!$A197="","",games!$A197)</f>
        <v>Dice A Million</v>
      </c>
      <c r="B197">
        <f>IF($A197="","",games!$B197)</f>
        <v>2026</v>
      </c>
      <c r="C197" t="str">
        <f>IF($A197="","",games!$C197)</f>
        <v>Deckbuilder</v>
      </c>
      <c r="D197">
        <f>IF($A197="","",COUNTIF(connections!$A$2:$A$1188,$A197)+COUNTIF(connections!$B$2:$B$1188,$A197))</f>
        <v>2</v>
      </c>
      <c r="E197">
        <f t="shared" si="36"/>
        <v>3</v>
      </c>
      <c r="F197">
        <f t="shared" si="37"/>
        <v>27</v>
      </c>
      <c r="G197" t="e">
        <f t="shared" si="38"/>
        <v>#N/A</v>
      </c>
      <c r="H197" t="e">
        <f t="shared" si="39"/>
        <v>#N/A</v>
      </c>
      <c r="I197" t="e">
        <f t="shared" si="40"/>
        <v>#N/A</v>
      </c>
      <c r="J197" t="e">
        <f t="shared" si="41"/>
        <v>#N/A</v>
      </c>
      <c r="K197">
        <f t="shared" si="42"/>
        <v>2026</v>
      </c>
      <c r="L197">
        <f t="shared" si="43"/>
        <v>3.621</v>
      </c>
      <c r="M197" t="e">
        <f t="shared" si="44"/>
        <v>#N/A</v>
      </c>
      <c r="N197" t="e">
        <f t="shared" si="45"/>
        <v>#N/A</v>
      </c>
      <c r="O197">
        <f t="shared" si="46"/>
        <v>2.000197</v>
      </c>
      <c r="T197">
        <f>IF(connections!$A197="","",IFERROR(INDEX(games!$B$2:$B$834,MATCH(connections!$A197,games!$A$2:$A$834,0)),""))</f>
        <v>2018</v>
      </c>
      <c r="U197">
        <f>IF(connections!$A197="","",IFERROR(INDEX(games!$B$2:$B$834,MATCH(connections!$B197,games!$A$2:$A$834,0)),""))</f>
        <v>2025</v>
      </c>
      <c r="V197">
        <f t="shared" si="47"/>
        <v>7</v>
      </c>
    </row>
    <row r="198" spans="1:22" x14ac:dyDescent="0.25">
      <c r="A198" t="str">
        <f>IF(games!$A198="","",games!$A198)</f>
        <v>Dice With Death</v>
      </c>
      <c r="B198">
        <f>IF($A198="","",games!$B198)</f>
        <v>2025</v>
      </c>
      <c r="C198" t="str">
        <f>IF($A198="","",games!$C198)</f>
        <v>Strategy</v>
      </c>
      <c r="D198">
        <f>IF($A198="","",COUNTIF(connections!$A$2:$A$1188,$A198)+COUNTIF(connections!$B$2:$B$1188,$A198))</f>
        <v>0</v>
      </c>
      <c r="E198">
        <f t="shared" si="36"/>
        <v>2</v>
      </c>
      <c r="F198">
        <f t="shared" si="37"/>
        <v>28</v>
      </c>
      <c r="G198" t="e">
        <f t="shared" si="38"/>
        <v>#N/A</v>
      </c>
      <c r="H198" t="e">
        <f t="shared" si="39"/>
        <v>#N/A</v>
      </c>
      <c r="I198">
        <f t="shared" si="40"/>
        <v>2025</v>
      </c>
      <c r="J198">
        <f t="shared" si="41"/>
        <v>2.6440000000000001</v>
      </c>
      <c r="K198" t="e">
        <f t="shared" si="42"/>
        <v>#N/A</v>
      </c>
      <c r="L198" t="e">
        <f t="shared" si="43"/>
        <v>#N/A</v>
      </c>
      <c r="M198" t="e">
        <f t="shared" si="44"/>
        <v>#N/A</v>
      </c>
      <c r="N198" t="e">
        <f t="shared" si="45"/>
        <v>#N/A</v>
      </c>
      <c r="O198">
        <f t="shared" si="46"/>
        <v>1.9799999999999999E-4</v>
      </c>
      <c r="T198">
        <f>IF(connections!$A198="","",IFERROR(INDEX(games!$B$2:$B$834,MATCH(connections!$A198,games!$A$2:$A$834,0)),""))</f>
        <v>2018</v>
      </c>
      <c r="U198">
        <f>IF(connections!$A198="","",IFERROR(INDEX(games!$B$2:$B$834,MATCH(connections!$B198,games!$A$2:$A$834,0)),""))</f>
        <v>2022</v>
      </c>
      <c r="V198">
        <f t="shared" si="47"/>
        <v>4</v>
      </c>
    </row>
    <row r="199" spans="1:22" x14ac:dyDescent="0.25">
      <c r="A199" t="str">
        <f>IF(games!$A199="","",games!$A199)</f>
        <v>Dicealot</v>
      </c>
      <c r="B199">
        <f>IF($A199="","",games!$B199)</f>
        <v>2025</v>
      </c>
      <c r="C199" t="str">
        <f>IF($A199="","",games!$C199)</f>
        <v>Deckbuilder</v>
      </c>
      <c r="D199">
        <f>IF($A199="","",COUNTIF(connections!$A$2:$A$1188,$A199)+COUNTIF(connections!$B$2:$B$1188,$A199))</f>
        <v>5</v>
      </c>
      <c r="E199">
        <f t="shared" si="36"/>
        <v>3</v>
      </c>
      <c r="F199">
        <f t="shared" si="37"/>
        <v>29</v>
      </c>
      <c r="G199" t="e">
        <f t="shared" si="38"/>
        <v>#N/A</v>
      </c>
      <c r="H199" t="e">
        <f t="shared" si="39"/>
        <v>#N/A</v>
      </c>
      <c r="I199" t="e">
        <f t="shared" si="40"/>
        <v>#N/A</v>
      </c>
      <c r="J199" t="e">
        <f t="shared" si="41"/>
        <v>#N/A</v>
      </c>
      <c r="K199">
        <f t="shared" si="42"/>
        <v>2025</v>
      </c>
      <c r="L199">
        <f t="shared" si="43"/>
        <v>3.6669999999999998</v>
      </c>
      <c r="M199" t="e">
        <f t="shared" si="44"/>
        <v>#N/A</v>
      </c>
      <c r="N199" t="e">
        <f t="shared" si="45"/>
        <v>#N/A</v>
      </c>
      <c r="O199">
        <f t="shared" si="46"/>
        <v>5.0001990000000003</v>
      </c>
      <c r="T199">
        <f>IF(connections!$A199="","",IFERROR(INDEX(games!$B$2:$B$834,MATCH(connections!$A199,games!$A$2:$A$834,0)),""))</f>
        <v>2018</v>
      </c>
      <c r="U199">
        <f>IF(connections!$A199="","",IFERROR(INDEX(games!$B$2:$B$834,MATCH(connections!$B199,games!$A$2:$A$834,0)),""))</f>
        <v>2020</v>
      </c>
      <c r="V199">
        <f t="shared" si="47"/>
        <v>2</v>
      </c>
    </row>
    <row r="200" spans="1:22" x14ac:dyDescent="0.25">
      <c r="A200" t="str">
        <f>IF(games!$A200="","",games!$A200)</f>
        <v>Dicefolk</v>
      </c>
      <c r="B200">
        <f>IF($A200="","",games!$B200)</f>
        <v>2024</v>
      </c>
      <c r="C200" t="str">
        <f>IF($A200="","",games!$C200)</f>
        <v>Deckbuilder</v>
      </c>
      <c r="D200">
        <f>IF($A200="","",COUNTIF(connections!$A$2:$A$1188,$A200)+COUNTIF(connections!$B$2:$B$1188,$A200))</f>
        <v>6</v>
      </c>
      <c r="E200">
        <f t="shared" si="36"/>
        <v>3</v>
      </c>
      <c r="F200">
        <f t="shared" si="37"/>
        <v>30</v>
      </c>
      <c r="G200" t="e">
        <f t="shared" si="38"/>
        <v>#N/A</v>
      </c>
      <c r="H200" t="e">
        <f t="shared" si="39"/>
        <v>#N/A</v>
      </c>
      <c r="I200" t="e">
        <f t="shared" si="40"/>
        <v>#N/A</v>
      </c>
      <c r="J200" t="e">
        <f t="shared" si="41"/>
        <v>#N/A</v>
      </c>
      <c r="K200">
        <f t="shared" si="42"/>
        <v>2024</v>
      </c>
      <c r="L200">
        <f t="shared" si="43"/>
        <v>3.69</v>
      </c>
      <c r="M200" t="e">
        <f t="shared" si="44"/>
        <v>#N/A</v>
      </c>
      <c r="N200" t="e">
        <f t="shared" si="45"/>
        <v>#N/A</v>
      </c>
      <c r="O200">
        <f t="shared" si="46"/>
        <v>6.0002000000000004</v>
      </c>
      <c r="T200">
        <f>IF(connections!$A200="","",IFERROR(INDEX(games!$B$2:$B$834,MATCH(connections!$A200,games!$A$2:$A$834,0)),""))</f>
        <v>2018</v>
      </c>
      <c r="U200">
        <f>IF(connections!$A200="","",IFERROR(INDEX(games!$B$2:$B$834,MATCH(connections!$B200,games!$A$2:$A$834,0)),""))</f>
        <v>2024</v>
      </c>
      <c r="V200">
        <f t="shared" si="47"/>
        <v>6</v>
      </c>
    </row>
    <row r="201" spans="1:22" x14ac:dyDescent="0.25">
      <c r="A201" t="str">
        <f>IF(games!$A201="","",games!$A201)</f>
        <v>Diceomancer</v>
      </c>
      <c r="B201">
        <f>IF($A201="","",games!$B201)</f>
        <v>2024</v>
      </c>
      <c r="C201" t="str">
        <f>IF($A201="","",games!$C201)</f>
        <v>Deckbuilder</v>
      </c>
      <c r="D201">
        <f>IF($A201="","",COUNTIF(connections!$A$2:$A$1188,$A201)+COUNTIF(connections!$B$2:$B$1188,$A201))</f>
        <v>1</v>
      </c>
      <c r="E201">
        <f t="shared" si="36"/>
        <v>3</v>
      </c>
      <c r="F201">
        <f t="shared" si="37"/>
        <v>31</v>
      </c>
      <c r="G201" t="e">
        <f t="shared" si="38"/>
        <v>#N/A</v>
      </c>
      <c r="H201" t="e">
        <f t="shared" si="39"/>
        <v>#N/A</v>
      </c>
      <c r="I201" t="e">
        <f t="shared" si="40"/>
        <v>#N/A</v>
      </c>
      <c r="J201" t="e">
        <f t="shared" si="41"/>
        <v>#N/A</v>
      </c>
      <c r="K201">
        <f t="shared" si="42"/>
        <v>2024</v>
      </c>
      <c r="L201">
        <f t="shared" si="43"/>
        <v>3.7130000000000001</v>
      </c>
      <c r="M201" t="e">
        <f t="shared" si="44"/>
        <v>#N/A</v>
      </c>
      <c r="N201" t="e">
        <f t="shared" si="45"/>
        <v>#N/A</v>
      </c>
      <c r="O201">
        <f t="shared" si="46"/>
        <v>1.0002009999999999</v>
      </c>
      <c r="T201">
        <f>IF(connections!$A201="","",IFERROR(INDEX(games!$B$2:$B$834,MATCH(connections!$A201,games!$A$2:$A$834,0)),""))</f>
        <v>2018</v>
      </c>
      <c r="U201">
        <f>IF(connections!$A201="","",IFERROR(INDEX(games!$B$2:$B$834,MATCH(connections!$B201,games!$A$2:$A$834,0)),""))</f>
        <v>2020</v>
      </c>
      <c r="V201">
        <f t="shared" si="47"/>
        <v>2</v>
      </c>
    </row>
    <row r="202" spans="1:22" x14ac:dyDescent="0.25">
      <c r="A202" t="str">
        <f>IF(games!$A202="","",games!$A202)</f>
        <v>Dicey Dungeons</v>
      </c>
      <c r="B202">
        <f>IF($A202="","",games!$B202)</f>
        <v>2019</v>
      </c>
      <c r="C202" t="str">
        <f>IF($A202="","",games!$C202)</f>
        <v>Deckbuilder</v>
      </c>
      <c r="D202">
        <f>IF($A202="","",COUNTIF(connections!$A$2:$A$1188,$A202)+COUNTIF(connections!$B$2:$B$1188,$A202))</f>
        <v>9</v>
      </c>
      <c r="E202">
        <f t="shared" si="36"/>
        <v>3</v>
      </c>
      <c r="F202">
        <f t="shared" si="37"/>
        <v>32</v>
      </c>
      <c r="G202" t="e">
        <f t="shared" si="38"/>
        <v>#N/A</v>
      </c>
      <c r="H202" t="e">
        <f t="shared" si="39"/>
        <v>#N/A</v>
      </c>
      <c r="I202" t="e">
        <f t="shared" si="40"/>
        <v>#N/A</v>
      </c>
      <c r="J202" t="e">
        <f t="shared" si="41"/>
        <v>#N/A</v>
      </c>
      <c r="K202">
        <f t="shared" si="42"/>
        <v>2019</v>
      </c>
      <c r="L202">
        <f t="shared" si="43"/>
        <v>3.7359999999999998</v>
      </c>
      <c r="M202" t="e">
        <f t="shared" si="44"/>
        <v>#N/A</v>
      </c>
      <c r="N202" t="e">
        <f t="shared" si="45"/>
        <v>#N/A</v>
      </c>
      <c r="O202">
        <f t="shared" si="46"/>
        <v>9.0002019999999998</v>
      </c>
      <c r="T202">
        <f>IF(connections!$A202="","",IFERROR(INDEX(games!$B$2:$B$834,MATCH(connections!$A202,games!$A$2:$A$834,0)),""))</f>
        <v>2018</v>
      </c>
      <c r="U202">
        <f>IF(connections!$A202="","",IFERROR(INDEX(games!$B$2:$B$834,MATCH(connections!$B202,games!$A$2:$A$834,0)),""))</f>
        <v>2023</v>
      </c>
      <c r="V202">
        <f t="shared" si="47"/>
        <v>5</v>
      </c>
    </row>
    <row r="203" spans="1:22" x14ac:dyDescent="0.25">
      <c r="A203" t="str">
        <f>IF(games!$A203="","",games!$A203)</f>
        <v>Die For The Lich</v>
      </c>
      <c r="B203">
        <f>IF($A203="","",games!$B203)</f>
        <v>2025</v>
      </c>
      <c r="C203" t="str">
        <f>IF($A203="","",games!$C203)</f>
        <v>Deckbuilder</v>
      </c>
      <c r="D203">
        <f>IF($A203="","",COUNTIF(connections!$A$2:$A$1188,$A203)+COUNTIF(connections!$B$2:$B$1188,$A203))</f>
        <v>3</v>
      </c>
      <c r="E203">
        <f t="shared" si="36"/>
        <v>3</v>
      </c>
      <c r="F203">
        <f t="shared" si="37"/>
        <v>33</v>
      </c>
      <c r="G203" t="e">
        <f t="shared" si="38"/>
        <v>#N/A</v>
      </c>
      <c r="H203" t="e">
        <f t="shared" si="39"/>
        <v>#N/A</v>
      </c>
      <c r="I203" t="e">
        <f t="shared" si="40"/>
        <v>#N/A</v>
      </c>
      <c r="J203" t="e">
        <f t="shared" si="41"/>
        <v>#N/A</v>
      </c>
      <c r="K203">
        <f t="shared" si="42"/>
        <v>2025</v>
      </c>
      <c r="L203">
        <f t="shared" si="43"/>
        <v>3.7589999999999999</v>
      </c>
      <c r="M203" t="e">
        <f t="shared" si="44"/>
        <v>#N/A</v>
      </c>
      <c r="N203" t="e">
        <f t="shared" si="45"/>
        <v>#N/A</v>
      </c>
      <c r="O203">
        <f t="shared" si="46"/>
        <v>3.000203</v>
      </c>
      <c r="T203">
        <f>IF(connections!$A203="","",IFERROR(INDEX(games!$B$2:$B$834,MATCH(connections!$A203,games!$A$2:$A$834,0)),""))</f>
        <v>2018</v>
      </c>
      <c r="U203">
        <f>IF(connections!$A203="","",IFERROR(INDEX(games!$B$2:$B$834,MATCH(connections!$B203,games!$A$2:$A$834,0)),""))</f>
        <v>2025</v>
      </c>
      <c r="V203">
        <f t="shared" si="47"/>
        <v>7</v>
      </c>
    </row>
    <row r="204" spans="1:22" x14ac:dyDescent="0.25">
      <c r="A204" t="str">
        <f>IF(games!$A204="","",games!$A204)</f>
        <v>Die in the Dungeon</v>
      </c>
      <c r="B204">
        <f>IF($A204="","",games!$B204)</f>
        <v>2025</v>
      </c>
      <c r="C204" t="str">
        <f>IF($A204="","",games!$C204)</f>
        <v>Deckbuilder</v>
      </c>
      <c r="D204">
        <f>IF($A204="","",COUNTIF(connections!$A$2:$A$1188,$A204)+COUNTIF(connections!$B$2:$B$1188,$A204))</f>
        <v>1</v>
      </c>
      <c r="E204">
        <f t="shared" si="36"/>
        <v>3</v>
      </c>
      <c r="F204">
        <f t="shared" si="37"/>
        <v>0</v>
      </c>
      <c r="G204" t="e">
        <f t="shared" si="38"/>
        <v>#N/A</v>
      </c>
      <c r="H204" t="e">
        <f t="shared" si="39"/>
        <v>#N/A</v>
      </c>
      <c r="I204" t="e">
        <f t="shared" si="40"/>
        <v>#N/A</v>
      </c>
      <c r="J204" t="e">
        <f t="shared" si="41"/>
        <v>#N/A</v>
      </c>
      <c r="K204">
        <f t="shared" si="42"/>
        <v>2025</v>
      </c>
      <c r="L204">
        <f t="shared" si="43"/>
        <v>3</v>
      </c>
      <c r="M204" t="e">
        <f t="shared" si="44"/>
        <v>#N/A</v>
      </c>
      <c r="N204" t="e">
        <f t="shared" si="45"/>
        <v>#N/A</v>
      </c>
      <c r="O204">
        <f t="shared" si="46"/>
        <v>1.0002040000000001</v>
      </c>
      <c r="T204">
        <f>IF(connections!$A204="","",IFERROR(INDEX(games!$B$2:$B$834,MATCH(connections!$A204,games!$A$2:$A$834,0)),""))</f>
        <v>2018</v>
      </c>
      <c r="U204">
        <f>IF(connections!$A204="","",IFERROR(INDEX(games!$B$2:$B$834,MATCH(connections!$B204,games!$A$2:$A$834,0)),""))</f>
        <v>2020</v>
      </c>
      <c r="V204">
        <f t="shared" si="47"/>
        <v>2</v>
      </c>
    </row>
    <row r="205" spans="1:22" x14ac:dyDescent="0.25">
      <c r="A205" t="str">
        <f>IF(games!$A205="","",games!$A205)</f>
        <v>DIG: Deep In Galaxies</v>
      </c>
      <c r="B205">
        <f>IF($A205="","",games!$B205)</f>
        <v>2021</v>
      </c>
      <c r="C205" t="str">
        <f>IF($A205="","",games!$C205)</f>
        <v>Action</v>
      </c>
      <c r="D205">
        <f>IF($A205="","",COUNTIF(connections!$A$2:$A$1188,$A205)+COUNTIF(connections!$B$2:$B$1188,$A205))</f>
        <v>0</v>
      </c>
      <c r="E205">
        <f t="shared" si="36"/>
        <v>1</v>
      </c>
      <c r="F205">
        <f t="shared" si="37"/>
        <v>1</v>
      </c>
      <c r="G205">
        <f t="shared" si="38"/>
        <v>2021</v>
      </c>
      <c r="H205">
        <f t="shared" si="39"/>
        <v>1.0229999999999999</v>
      </c>
      <c r="I205" t="e">
        <f t="shared" si="40"/>
        <v>#N/A</v>
      </c>
      <c r="J205" t="e">
        <f t="shared" si="41"/>
        <v>#N/A</v>
      </c>
      <c r="K205" t="e">
        <f t="shared" si="42"/>
        <v>#N/A</v>
      </c>
      <c r="L205" t="e">
        <f t="shared" si="43"/>
        <v>#N/A</v>
      </c>
      <c r="M205" t="e">
        <f t="shared" si="44"/>
        <v>#N/A</v>
      </c>
      <c r="N205" t="e">
        <f t="shared" si="45"/>
        <v>#N/A</v>
      </c>
      <c r="O205">
        <f t="shared" si="46"/>
        <v>2.05E-4</v>
      </c>
      <c r="T205">
        <f>IF(connections!$A205="","",IFERROR(INDEX(games!$B$2:$B$834,MATCH(connections!$A205,games!$A$2:$A$834,0)),""))</f>
        <v>2018</v>
      </c>
      <c r="U205">
        <f>IF(connections!$A205="","",IFERROR(INDEX(games!$B$2:$B$834,MATCH(connections!$B205,games!$A$2:$A$834,0)),""))</f>
        <v>2020</v>
      </c>
      <c r="V205">
        <f t="shared" si="47"/>
        <v>2</v>
      </c>
    </row>
    <row r="206" spans="1:22" x14ac:dyDescent="0.25">
      <c r="A206" t="str">
        <f>IF(games!$A206="","",games!$A206)</f>
        <v>Dimensionals</v>
      </c>
      <c r="B206">
        <f>IF($A206="","",games!$B206)</f>
        <v>2024</v>
      </c>
      <c r="C206" t="str">
        <f>IF($A206="","",games!$C206)</f>
        <v>Deckbuilder</v>
      </c>
      <c r="D206">
        <f>IF($A206="","",COUNTIF(connections!$A$2:$A$1188,$A206)+COUNTIF(connections!$B$2:$B$1188,$A206))</f>
        <v>1</v>
      </c>
      <c r="E206">
        <f t="shared" si="36"/>
        <v>3</v>
      </c>
      <c r="F206">
        <f t="shared" si="37"/>
        <v>2</v>
      </c>
      <c r="G206" t="e">
        <f t="shared" si="38"/>
        <v>#N/A</v>
      </c>
      <c r="H206" t="e">
        <f t="shared" si="39"/>
        <v>#N/A</v>
      </c>
      <c r="I206" t="e">
        <f t="shared" si="40"/>
        <v>#N/A</v>
      </c>
      <c r="J206" t="e">
        <f t="shared" si="41"/>
        <v>#N/A</v>
      </c>
      <c r="K206">
        <f t="shared" si="42"/>
        <v>2024</v>
      </c>
      <c r="L206">
        <f t="shared" si="43"/>
        <v>3.0459999999999998</v>
      </c>
      <c r="M206" t="e">
        <f t="shared" si="44"/>
        <v>#N/A</v>
      </c>
      <c r="N206" t="e">
        <f t="shared" si="45"/>
        <v>#N/A</v>
      </c>
      <c r="O206">
        <f t="shared" si="46"/>
        <v>1.0002059999999999</v>
      </c>
      <c r="T206">
        <f>IF(connections!$A206="","",IFERROR(INDEX(games!$B$2:$B$834,MATCH(connections!$A206,games!$A$2:$A$834,0)),""))</f>
        <v>2018</v>
      </c>
      <c r="U206">
        <f>IF(connections!$A206="","",IFERROR(INDEX(games!$B$2:$B$834,MATCH(connections!$B206,games!$A$2:$A$834,0)),""))</f>
        <v>2019</v>
      </c>
      <c r="V206">
        <f t="shared" si="47"/>
        <v>1</v>
      </c>
    </row>
    <row r="207" spans="1:22" x14ac:dyDescent="0.25">
      <c r="A207" t="str">
        <f>IF(games!$A207="","",games!$A207)</f>
        <v>Disfigure</v>
      </c>
      <c r="B207">
        <f>IF($A207="","",games!$B207)</f>
        <v>2023</v>
      </c>
      <c r="C207" t="str">
        <f>IF($A207="","",games!$C207)</f>
        <v>Action</v>
      </c>
      <c r="D207">
        <f>IF($A207="","",COUNTIF(connections!$A$2:$A$1188,$A207)+COUNTIF(connections!$B$2:$B$1188,$A207))</f>
        <v>2</v>
      </c>
      <c r="E207">
        <f t="shared" si="36"/>
        <v>1</v>
      </c>
      <c r="F207">
        <f t="shared" si="37"/>
        <v>3</v>
      </c>
      <c r="G207">
        <f t="shared" si="38"/>
        <v>2023</v>
      </c>
      <c r="H207">
        <f t="shared" si="39"/>
        <v>1.069</v>
      </c>
      <c r="I207" t="e">
        <f t="shared" si="40"/>
        <v>#N/A</v>
      </c>
      <c r="J207" t="e">
        <f t="shared" si="41"/>
        <v>#N/A</v>
      </c>
      <c r="K207" t="e">
        <f t="shared" si="42"/>
        <v>#N/A</v>
      </c>
      <c r="L207" t="e">
        <f t="shared" si="43"/>
        <v>#N/A</v>
      </c>
      <c r="M207" t="e">
        <f t="shared" si="44"/>
        <v>#N/A</v>
      </c>
      <c r="N207" t="e">
        <f t="shared" si="45"/>
        <v>#N/A</v>
      </c>
      <c r="O207">
        <f t="shared" si="46"/>
        <v>2.0002070000000001</v>
      </c>
      <c r="T207">
        <f>IF(connections!$A207="","",IFERROR(INDEX(games!$B$2:$B$834,MATCH(connections!$A207,games!$A$2:$A$834,0)),""))</f>
        <v>2018</v>
      </c>
      <c r="U207">
        <f>IF(connections!$A207="","",IFERROR(INDEX(games!$B$2:$B$834,MATCH(connections!$B207,games!$A$2:$A$834,0)),""))</f>
        <v>2024</v>
      </c>
      <c r="V207">
        <f t="shared" si="47"/>
        <v>6</v>
      </c>
    </row>
    <row r="208" spans="1:22" x14ac:dyDescent="0.25">
      <c r="A208" t="str">
        <f>IF(games!$A208="","",games!$A208)</f>
        <v>Dive or Die: Children of Rain</v>
      </c>
      <c r="B208">
        <f>IF($A208="","",games!$B208)</f>
        <v>2026</v>
      </c>
      <c r="C208" t="str">
        <f>IF($A208="","",games!$C208)</f>
        <v>Action</v>
      </c>
      <c r="D208">
        <f>IF($A208="","",COUNTIF(connections!$A$2:$A$1188,$A208)+COUNTIF(connections!$B$2:$B$1188,$A208))</f>
        <v>1</v>
      </c>
      <c r="E208">
        <f t="shared" si="36"/>
        <v>1</v>
      </c>
      <c r="F208">
        <f t="shared" si="37"/>
        <v>4</v>
      </c>
      <c r="G208">
        <f t="shared" si="38"/>
        <v>2026</v>
      </c>
      <c r="H208">
        <f t="shared" si="39"/>
        <v>1.0920000000000001</v>
      </c>
      <c r="I208" t="e">
        <f t="shared" si="40"/>
        <v>#N/A</v>
      </c>
      <c r="J208" t="e">
        <f t="shared" si="41"/>
        <v>#N/A</v>
      </c>
      <c r="K208" t="e">
        <f t="shared" si="42"/>
        <v>#N/A</v>
      </c>
      <c r="L208" t="e">
        <f t="shared" si="43"/>
        <v>#N/A</v>
      </c>
      <c r="M208" t="e">
        <f t="shared" si="44"/>
        <v>#N/A</v>
      </c>
      <c r="N208" t="e">
        <f t="shared" si="45"/>
        <v>#N/A</v>
      </c>
      <c r="O208">
        <f t="shared" si="46"/>
        <v>1.000208</v>
      </c>
      <c r="T208">
        <f>IF(connections!$A208="","",IFERROR(INDEX(games!$B$2:$B$834,MATCH(connections!$A208,games!$A$2:$A$834,0)),""))</f>
        <v>2018</v>
      </c>
      <c r="U208">
        <f>IF(connections!$A208="","",IFERROR(INDEX(games!$B$2:$B$834,MATCH(connections!$B208,games!$A$2:$A$834,0)),""))</f>
        <v>2025</v>
      </c>
      <c r="V208">
        <f t="shared" si="47"/>
        <v>7</v>
      </c>
    </row>
    <row r="209" spans="1:22" x14ac:dyDescent="0.25">
      <c r="A209" t="str">
        <f>IF(games!$A209="","",games!$A209)</f>
        <v>Dog and Goblin</v>
      </c>
      <c r="B209">
        <f>IF($A209="","",games!$B209)</f>
        <v>2024</v>
      </c>
      <c r="C209" t="str">
        <f>IF($A209="","",games!$C209)</f>
        <v>Deckbuilder</v>
      </c>
      <c r="D209">
        <f>IF($A209="","",COUNTIF(connections!$A$2:$A$1188,$A209)+COUNTIF(connections!$B$2:$B$1188,$A209))</f>
        <v>1</v>
      </c>
      <c r="E209">
        <f t="shared" si="36"/>
        <v>3</v>
      </c>
      <c r="F209">
        <f t="shared" si="37"/>
        <v>5</v>
      </c>
      <c r="G209" t="e">
        <f t="shared" si="38"/>
        <v>#N/A</v>
      </c>
      <c r="H209" t="e">
        <f t="shared" si="39"/>
        <v>#N/A</v>
      </c>
      <c r="I209" t="e">
        <f t="shared" si="40"/>
        <v>#N/A</v>
      </c>
      <c r="J209" t="e">
        <f t="shared" si="41"/>
        <v>#N/A</v>
      </c>
      <c r="K209">
        <f t="shared" si="42"/>
        <v>2024</v>
      </c>
      <c r="L209">
        <f t="shared" si="43"/>
        <v>3.1150000000000002</v>
      </c>
      <c r="M209" t="e">
        <f t="shared" si="44"/>
        <v>#N/A</v>
      </c>
      <c r="N209" t="e">
        <f t="shared" si="45"/>
        <v>#N/A</v>
      </c>
      <c r="O209">
        <f t="shared" si="46"/>
        <v>1.0002089999999999</v>
      </c>
      <c r="T209">
        <f>IF(connections!$A209="","",IFERROR(INDEX(games!$B$2:$B$834,MATCH(connections!$A209,games!$A$2:$A$834,0)),""))</f>
        <v>2018</v>
      </c>
      <c r="U209">
        <f>IF(connections!$A209="","",IFERROR(INDEX(games!$B$2:$B$834,MATCH(connections!$B209,games!$A$2:$A$834,0)),""))</f>
        <v>2019</v>
      </c>
      <c r="V209">
        <f t="shared" si="47"/>
        <v>1</v>
      </c>
    </row>
    <row r="210" spans="1:22" x14ac:dyDescent="0.25">
      <c r="A210" t="str">
        <f>IF(games!$A210="","",games!$A210)</f>
        <v>Dog Witch</v>
      </c>
      <c r="B210">
        <f>IF($A210="","",games!$B210)</f>
        <v>2025</v>
      </c>
      <c r="C210" t="str">
        <f>IF($A210="","",games!$C210)</f>
        <v>Deckbuilder</v>
      </c>
      <c r="D210">
        <f>IF($A210="","",COUNTIF(connections!$A$2:$A$1188,$A210)+COUNTIF(connections!$B$2:$B$1188,$A210))</f>
        <v>2</v>
      </c>
      <c r="E210">
        <f t="shared" si="36"/>
        <v>3</v>
      </c>
      <c r="F210">
        <f t="shared" si="37"/>
        <v>6</v>
      </c>
      <c r="G210" t="e">
        <f t="shared" si="38"/>
        <v>#N/A</v>
      </c>
      <c r="H210" t="e">
        <f t="shared" si="39"/>
        <v>#N/A</v>
      </c>
      <c r="I210" t="e">
        <f t="shared" si="40"/>
        <v>#N/A</v>
      </c>
      <c r="J210" t="e">
        <f t="shared" si="41"/>
        <v>#N/A</v>
      </c>
      <c r="K210">
        <f t="shared" si="42"/>
        <v>2025</v>
      </c>
      <c r="L210">
        <f t="shared" si="43"/>
        <v>3.1379999999999999</v>
      </c>
      <c r="M210" t="e">
        <f t="shared" si="44"/>
        <v>#N/A</v>
      </c>
      <c r="N210" t="e">
        <f t="shared" si="45"/>
        <v>#N/A</v>
      </c>
      <c r="O210">
        <f t="shared" si="46"/>
        <v>2.00021</v>
      </c>
      <c r="T210">
        <f>IF(connections!$A210="","",IFERROR(INDEX(games!$B$2:$B$834,MATCH(connections!$A210,games!$A$2:$A$834,0)),""))</f>
        <v>2018</v>
      </c>
      <c r="U210">
        <f>IF(connections!$A210="","",IFERROR(INDEX(games!$B$2:$B$834,MATCH(connections!$B210,games!$A$2:$A$834,0)),""))</f>
        <v>2024</v>
      </c>
      <c r="V210">
        <f t="shared" si="47"/>
        <v>6</v>
      </c>
    </row>
    <row r="211" spans="1:22" x14ac:dyDescent="0.25">
      <c r="A211" t="str">
        <f>IF(games!$A211="","",games!$A211)</f>
        <v>Dogpile</v>
      </c>
      <c r="B211">
        <f>IF($A211="","",games!$B211)</f>
        <v>2025</v>
      </c>
      <c r="C211" t="str">
        <f>IF($A211="","",games!$C211)</f>
        <v>Deckbuilder</v>
      </c>
      <c r="D211">
        <f>IF($A211="","",COUNTIF(connections!$A$2:$A$1188,$A211)+COUNTIF(connections!$B$2:$B$1188,$A211))</f>
        <v>1</v>
      </c>
      <c r="E211">
        <f t="shared" si="36"/>
        <v>3</v>
      </c>
      <c r="F211">
        <f t="shared" si="37"/>
        <v>7</v>
      </c>
      <c r="G211" t="e">
        <f t="shared" si="38"/>
        <v>#N/A</v>
      </c>
      <c r="H211" t="e">
        <f t="shared" si="39"/>
        <v>#N/A</v>
      </c>
      <c r="I211" t="e">
        <f t="shared" si="40"/>
        <v>#N/A</v>
      </c>
      <c r="J211" t="e">
        <f t="shared" si="41"/>
        <v>#N/A</v>
      </c>
      <c r="K211">
        <f t="shared" si="42"/>
        <v>2025</v>
      </c>
      <c r="L211">
        <f t="shared" si="43"/>
        <v>3.161</v>
      </c>
      <c r="M211" t="e">
        <f t="shared" si="44"/>
        <v>#N/A</v>
      </c>
      <c r="N211" t="e">
        <f t="shared" si="45"/>
        <v>#N/A</v>
      </c>
      <c r="O211">
        <f t="shared" si="46"/>
        <v>1.000211</v>
      </c>
      <c r="T211">
        <f>IF(connections!$A211="","",IFERROR(INDEX(games!$B$2:$B$834,MATCH(connections!$A211,games!$A$2:$A$834,0)),""))</f>
        <v>2023</v>
      </c>
      <c r="U211">
        <f>IF(connections!$A211="","",IFERROR(INDEX(games!$B$2:$B$834,MATCH(connections!$B211,games!$A$2:$A$834,0)),""))</f>
        <v>2024</v>
      </c>
      <c r="V211">
        <f t="shared" si="47"/>
        <v>1</v>
      </c>
    </row>
    <row r="212" spans="1:22" x14ac:dyDescent="0.25">
      <c r="A212" t="str">
        <f>IF(games!$A212="","",games!$A212)</f>
        <v>Dome Keeper</v>
      </c>
      <c r="B212">
        <f>IF($A212="","",games!$B212)</f>
        <v>2022</v>
      </c>
      <c r="C212" t="str">
        <f>IF($A212="","",games!$C212)</f>
        <v>Strategy</v>
      </c>
      <c r="D212">
        <f>IF($A212="","",COUNTIF(connections!$A$2:$A$1188,$A212)+COUNTIF(connections!$B$2:$B$1188,$A212))</f>
        <v>5</v>
      </c>
      <c r="E212">
        <f t="shared" si="36"/>
        <v>2</v>
      </c>
      <c r="F212">
        <f t="shared" si="37"/>
        <v>8</v>
      </c>
      <c r="G212" t="e">
        <f t="shared" si="38"/>
        <v>#N/A</v>
      </c>
      <c r="H212" t="e">
        <f t="shared" si="39"/>
        <v>#N/A</v>
      </c>
      <c r="I212">
        <f t="shared" si="40"/>
        <v>2022</v>
      </c>
      <c r="J212">
        <f t="shared" si="41"/>
        <v>2.1840000000000002</v>
      </c>
      <c r="K212" t="e">
        <f t="shared" si="42"/>
        <v>#N/A</v>
      </c>
      <c r="L212" t="e">
        <f t="shared" si="43"/>
        <v>#N/A</v>
      </c>
      <c r="M212" t="e">
        <f t="shared" si="44"/>
        <v>#N/A</v>
      </c>
      <c r="N212" t="e">
        <f t="shared" si="45"/>
        <v>#N/A</v>
      </c>
      <c r="O212">
        <f t="shared" si="46"/>
        <v>5.0002120000000003</v>
      </c>
      <c r="T212">
        <f>IF(connections!$A212="","",IFERROR(INDEX(games!$B$2:$B$834,MATCH(connections!$A212,games!$A$2:$A$834,0)),""))</f>
        <v>2023</v>
      </c>
      <c r="U212">
        <f>IF(connections!$A212="","",IFERROR(INDEX(games!$B$2:$B$834,MATCH(connections!$B212,games!$A$2:$A$834,0)),""))</f>
        <v>2026</v>
      </c>
      <c r="V212">
        <f t="shared" si="47"/>
        <v>3</v>
      </c>
    </row>
    <row r="213" spans="1:22" x14ac:dyDescent="0.25">
      <c r="A213" t="str">
        <f>IF(games!$A213="","",games!$A213)</f>
        <v>Don't Lose Aggro</v>
      </c>
      <c r="B213">
        <f>IF($A213="","",games!$B213)</f>
        <v>2026</v>
      </c>
      <c r="C213" t="str">
        <f>IF($A213="","",games!$C213)</f>
        <v>Action</v>
      </c>
      <c r="D213">
        <f>IF($A213="","",COUNTIF(connections!$A$2:$A$1188,$A213)+COUNTIF(connections!$B$2:$B$1188,$A213))</f>
        <v>0</v>
      </c>
      <c r="E213">
        <f t="shared" si="36"/>
        <v>1</v>
      </c>
      <c r="F213">
        <f t="shared" si="37"/>
        <v>9</v>
      </c>
      <c r="G213">
        <f t="shared" si="38"/>
        <v>2026</v>
      </c>
      <c r="H213">
        <f t="shared" si="39"/>
        <v>1.2070000000000001</v>
      </c>
      <c r="I213" t="e">
        <f t="shared" si="40"/>
        <v>#N/A</v>
      </c>
      <c r="J213" t="e">
        <f t="shared" si="41"/>
        <v>#N/A</v>
      </c>
      <c r="K213" t="e">
        <f t="shared" si="42"/>
        <v>#N/A</v>
      </c>
      <c r="L213" t="e">
        <f t="shared" si="43"/>
        <v>#N/A</v>
      </c>
      <c r="M213" t="e">
        <f t="shared" si="44"/>
        <v>#N/A</v>
      </c>
      <c r="N213" t="e">
        <f t="shared" si="45"/>
        <v>#N/A</v>
      </c>
      <c r="O213">
        <f t="shared" si="46"/>
        <v>2.13E-4</v>
      </c>
      <c r="T213">
        <f>IF(connections!$A213="","",IFERROR(INDEX(games!$B$2:$B$834,MATCH(connections!$A213,games!$A$2:$A$834,0)),""))</f>
        <v>2023</v>
      </c>
      <c r="U213">
        <f>IF(connections!$A213="","",IFERROR(INDEX(games!$B$2:$B$834,MATCH(connections!$B213,games!$A$2:$A$834,0)),""))</f>
        <v>2025</v>
      </c>
      <c r="V213">
        <f t="shared" si="47"/>
        <v>2</v>
      </c>
    </row>
    <row r="214" spans="1:22" x14ac:dyDescent="0.25">
      <c r="A214" t="str">
        <f>IF(games!$A214="","",games!$A214)</f>
        <v>Don't Starve</v>
      </c>
      <c r="B214">
        <f>IF($A214="","",games!$B214)</f>
        <v>2013</v>
      </c>
      <c r="C214" t="str">
        <f>IF($A214="","",games!$C214)</f>
        <v>Action</v>
      </c>
      <c r="D214">
        <f>IF($A214="","",COUNTIF(connections!$A$2:$A$1188,$A214)+COUNTIF(connections!$B$2:$B$1188,$A214))</f>
        <v>5</v>
      </c>
      <c r="E214">
        <f t="shared" si="36"/>
        <v>1</v>
      </c>
      <c r="F214">
        <f t="shared" si="37"/>
        <v>10</v>
      </c>
      <c r="G214">
        <f t="shared" si="38"/>
        <v>2013</v>
      </c>
      <c r="H214">
        <f t="shared" si="39"/>
        <v>1.23</v>
      </c>
      <c r="I214" t="e">
        <f t="shared" si="40"/>
        <v>#N/A</v>
      </c>
      <c r="J214" t="e">
        <f t="shared" si="41"/>
        <v>#N/A</v>
      </c>
      <c r="K214" t="e">
        <f t="shared" si="42"/>
        <v>#N/A</v>
      </c>
      <c r="L214" t="e">
        <f t="shared" si="43"/>
        <v>#N/A</v>
      </c>
      <c r="M214" t="e">
        <f t="shared" si="44"/>
        <v>#N/A</v>
      </c>
      <c r="N214" t="e">
        <f t="shared" si="45"/>
        <v>#N/A</v>
      </c>
      <c r="O214">
        <f t="shared" si="46"/>
        <v>5.0002139999999997</v>
      </c>
      <c r="T214">
        <f>IF(connections!$A214="","",IFERROR(INDEX(games!$B$2:$B$834,MATCH(connections!$A214,games!$A$2:$A$834,0)),""))</f>
        <v>2023</v>
      </c>
      <c r="U214">
        <f>IF(connections!$A214="","",IFERROR(INDEX(games!$B$2:$B$834,MATCH(connections!$B214,games!$A$2:$A$834,0)),""))</f>
        <v>2025</v>
      </c>
      <c r="V214">
        <f t="shared" si="47"/>
        <v>2</v>
      </c>
    </row>
    <row r="215" spans="1:22" x14ac:dyDescent="0.25">
      <c r="A215" t="str">
        <f>IF(games!$A215="","",games!$A215)</f>
        <v>Don't Starve Together</v>
      </c>
      <c r="B215">
        <f>IF($A215="","",games!$B215)</f>
        <v>2014</v>
      </c>
      <c r="C215" t="str">
        <f>IF($A215="","",games!$C215)</f>
        <v>Action</v>
      </c>
      <c r="D215">
        <f>IF($A215="","",COUNTIF(connections!$A$2:$A$1188,$A215)+COUNTIF(connections!$B$2:$B$1188,$A215))</f>
        <v>1</v>
      </c>
      <c r="E215">
        <f t="shared" si="36"/>
        <v>1</v>
      </c>
      <c r="F215">
        <f t="shared" si="37"/>
        <v>11</v>
      </c>
      <c r="G215">
        <f t="shared" si="38"/>
        <v>2014</v>
      </c>
      <c r="H215">
        <f t="shared" si="39"/>
        <v>1.2530000000000001</v>
      </c>
      <c r="I215" t="e">
        <f t="shared" si="40"/>
        <v>#N/A</v>
      </c>
      <c r="J215" t="e">
        <f t="shared" si="41"/>
        <v>#N/A</v>
      </c>
      <c r="K215" t="e">
        <f t="shared" si="42"/>
        <v>#N/A</v>
      </c>
      <c r="L215" t="e">
        <f t="shared" si="43"/>
        <v>#N/A</v>
      </c>
      <c r="M215" t="e">
        <f t="shared" si="44"/>
        <v>#N/A</v>
      </c>
      <c r="N215" t="e">
        <f t="shared" si="45"/>
        <v>#N/A</v>
      </c>
      <c r="O215">
        <f t="shared" si="46"/>
        <v>1.0002150000000001</v>
      </c>
      <c r="T215">
        <f>IF(connections!$A215="","",IFERROR(INDEX(games!$B$2:$B$834,MATCH(connections!$A215,games!$A$2:$A$834,0)),""))</f>
        <v>2023</v>
      </c>
      <c r="U215">
        <f>IF(connections!$A215="","",IFERROR(INDEX(games!$B$2:$B$834,MATCH(connections!$B215,games!$A$2:$A$834,0)),""))</f>
        <v>2024</v>
      </c>
      <c r="V215">
        <f t="shared" si="47"/>
        <v>1</v>
      </c>
    </row>
    <row r="216" spans="1:22" x14ac:dyDescent="0.25">
      <c r="A216" t="str">
        <f>IF(games!$A216="","",games!$A216)</f>
        <v>DoomRL</v>
      </c>
      <c r="B216">
        <f>IF($A216="","",games!$B216)</f>
        <v>2002</v>
      </c>
      <c r="C216" t="str">
        <f>IF($A216="","",games!$C216)</f>
        <v>Traditional</v>
      </c>
      <c r="D216">
        <f>IF($A216="","",COUNTIF(connections!$A$2:$A$1188,$A216)+COUNTIF(connections!$B$2:$B$1188,$A216))</f>
        <v>8</v>
      </c>
      <c r="E216">
        <f t="shared" si="36"/>
        <v>4</v>
      </c>
      <c r="F216">
        <f t="shared" si="37"/>
        <v>12</v>
      </c>
      <c r="G216" t="e">
        <f t="shared" si="38"/>
        <v>#N/A</v>
      </c>
      <c r="H216" t="e">
        <f t="shared" si="39"/>
        <v>#N/A</v>
      </c>
      <c r="I216" t="e">
        <f t="shared" si="40"/>
        <v>#N/A</v>
      </c>
      <c r="J216" t="e">
        <f t="shared" si="41"/>
        <v>#N/A</v>
      </c>
      <c r="K216" t="e">
        <f t="shared" si="42"/>
        <v>#N/A</v>
      </c>
      <c r="L216" t="e">
        <f t="shared" si="43"/>
        <v>#N/A</v>
      </c>
      <c r="M216">
        <f t="shared" si="44"/>
        <v>2002</v>
      </c>
      <c r="N216">
        <f t="shared" si="45"/>
        <v>4.2759999999999998</v>
      </c>
      <c r="O216">
        <f t="shared" si="46"/>
        <v>8.000216</v>
      </c>
      <c r="T216">
        <f>IF(connections!$A216="","",IFERROR(INDEX(games!$B$2:$B$834,MATCH(connections!$A216,games!$A$2:$A$834,0)),""))</f>
        <v>2023</v>
      </c>
      <c r="U216">
        <f>IF(connections!$A216="","",IFERROR(INDEX(games!$B$2:$B$834,MATCH(connections!$B216,games!$A$2:$A$834,0)),""))</f>
        <v>2026</v>
      </c>
      <c r="V216">
        <f t="shared" si="47"/>
        <v>3</v>
      </c>
    </row>
    <row r="217" spans="1:22" x14ac:dyDescent="0.25">
      <c r="A217" t="str">
        <f>IF(games!$A217="","",games!$A217)</f>
        <v>Dota Auto Chess</v>
      </c>
      <c r="B217">
        <f>IF($A217="","",games!$B217)</f>
        <v>2019</v>
      </c>
      <c r="C217" t="str">
        <f>IF($A217="","",games!$C217)</f>
        <v>Strategy</v>
      </c>
      <c r="D217">
        <f>IF($A217="","",COUNTIF(connections!$A$2:$A$1188,$A217)+COUNTIF(connections!$B$2:$B$1188,$A217))</f>
        <v>5</v>
      </c>
      <c r="E217">
        <f t="shared" si="36"/>
        <v>2</v>
      </c>
      <c r="F217">
        <f t="shared" si="37"/>
        <v>13</v>
      </c>
      <c r="G217" t="e">
        <f t="shared" si="38"/>
        <v>#N/A</v>
      </c>
      <c r="H217" t="e">
        <f t="shared" si="39"/>
        <v>#N/A</v>
      </c>
      <c r="I217">
        <f t="shared" si="40"/>
        <v>2019</v>
      </c>
      <c r="J217">
        <f t="shared" si="41"/>
        <v>2.2989999999999999</v>
      </c>
      <c r="K217" t="e">
        <f t="shared" si="42"/>
        <v>#N/A</v>
      </c>
      <c r="L217" t="e">
        <f t="shared" si="43"/>
        <v>#N/A</v>
      </c>
      <c r="M217" t="e">
        <f t="shared" si="44"/>
        <v>#N/A</v>
      </c>
      <c r="N217" t="e">
        <f t="shared" si="45"/>
        <v>#N/A</v>
      </c>
      <c r="O217">
        <f t="shared" si="46"/>
        <v>5.0002170000000001</v>
      </c>
      <c r="T217">
        <f>IF(connections!$A217="","",IFERROR(INDEX(games!$B$2:$B$834,MATCH(connections!$A217,games!$A$2:$A$834,0)),""))</f>
        <v>2024</v>
      </c>
      <c r="U217">
        <f>IF(connections!$A217="","",IFERROR(INDEX(games!$B$2:$B$834,MATCH(connections!$B217,games!$A$2:$A$834,0)),""))</f>
        <v>2026</v>
      </c>
      <c r="V217">
        <f t="shared" si="47"/>
        <v>2</v>
      </c>
    </row>
    <row r="218" spans="1:22" x14ac:dyDescent="0.25">
      <c r="A218" t="str">
        <f>IF(games!$A218="","",games!$A218)</f>
        <v>Double Dragon Gaiden: Rise Of The Dragons</v>
      </c>
      <c r="B218">
        <f>IF($A218="","",games!$B218)</f>
        <v>2023</v>
      </c>
      <c r="C218" t="str">
        <f>IF($A218="","",games!$C218)</f>
        <v>Action</v>
      </c>
      <c r="D218">
        <f>IF($A218="","",COUNTIF(connections!$A$2:$A$1188,$A218)+COUNTIF(connections!$B$2:$B$1188,$A218))</f>
        <v>0</v>
      </c>
      <c r="E218">
        <f t="shared" si="36"/>
        <v>1</v>
      </c>
      <c r="F218">
        <f t="shared" si="37"/>
        <v>14</v>
      </c>
      <c r="G218">
        <f t="shared" si="38"/>
        <v>2023</v>
      </c>
      <c r="H218">
        <f t="shared" si="39"/>
        <v>1.3220000000000001</v>
      </c>
      <c r="I218" t="e">
        <f t="shared" si="40"/>
        <v>#N/A</v>
      </c>
      <c r="J218" t="e">
        <f t="shared" si="41"/>
        <v>#N/A</v>
      </c>
      <c r="K218" t="e">
        <f t="shared" si="42"/>
        <v>#N/A</v>
      </c>
      <c r="L218" t="e">
        <f t="shared" si="43"/>
        <v>#N/A</v>
      </c>
      <c r="M218" t="e">
        <f t="shared" si="44"/>
        <v>#N/A</v>
      </c>
      <c r="N218" t="e">
        <f t="shared" si="45"/>
        <v>#N/A</v>
      </c>
      <c r="O218">
        <f t="shared" si="46"/>
        <v>2.1800000000000001E-4</v>
      </c>
      <c r="T218">
        <f>IF(connections!$A218="","",IFERROR(INDEX(games!$B$2:$B$834,MATCH(connections!$A218,games!$A$2:$A$834,0)),""))</f>
        <v>2024</v>
      </c>
      <c r="U218">
        <f>IF(connections!$A218="","",IFERROR(INDEX(games!$B$2:$B$834,MATCH(connections!$B218,games!$A$2:$A$834,0)),""))</f>
        <v>2024</v>
      </c>
      <c r="V218">
        <f t="shared" si="47"/>
        <v>0</v>
      </c>
    </row>
    <row r="219" spans="1:22" x14ac:dyDescent="0.25">
      <c r="A219" t="str">
        <f>IF(games!$A219="","",games!$A219)</f>
        <v>Downwell</v>
      </c>
      <c r="B219">
        <f>IF($A219="","",games!$B219)</f>
        <v>2015</v>
      </c>
      <c r="C219" t="str">
        <f>IF($A219="","",games!$C219)</f>
        <v>Action</v>
      </c>
      <c r="D219">
        <f>IF($A219="","",COUNTIF(connections!$A$2:$A$1188,$A219)+COUNTIF(connections!$B$2:$B$1188,$A219))</f>
        <v>9</v>
      </c>
      <c r="E219">
        <f t="shared" si="36"/>
        <v>1</v>
      </c>
      <c r="F219">
        <f t="shared" si="37"/>
        <v>15</v>
      </c>
      <c r="G219">
        <f t="shared" si="38"/>
        <v>2015</v>
      </c>
      <c r="H219">
        <f t="shared" si="39"/>
        <v>1.345</v>
      </c>
      <c r="I219" t="e">
        <f t="shared" si="40"/>
        <v>#N/A</v>
      </c>
      <c r="J219" t="e">
        <f t="shared" si="41"/>
        <v>#N/A</v>
      </c>
      <c r="K219" t="e">
        <f t="shared" si="42"/>
        <v>#N/A</v>
      </c>
      <c r="L219" t="e">
        <f t="shared" si="43"/>
        <v>#N/A</v>
      </c>
      <c r="M219" t="e">
        <f t="shared" si="44"/>
        <v>#N/A</v>
      </c>
      <c r="N219" t="e">
        <f t="shared" si="45"/>
        <v>#N/A</v>
      </c>
      <c r="O219">
        <f t="shared" si="46"/>
        <v>9.0002189999999995</v>
      </c>
      <c r="T219">
        <f>IF(connections!$A219="","",IFERROR(INDEX(games!$B$2:$B$834,MATCH(connections!$A219,games!$A$2:$A$834,0)),""))</f>
        <v>2018</v>
      </c>
      <c r="U219">
        <f>IF(connections!$A219="","",IFERROR(INDEX(games!$B$2:$B$834,MATCH(connections!$B219,games!$A$2:$A$834,0)),""))</f>
        <v>2023</v>
      </c>
      <c r="V219">
        <f t="shared" si="47"/>
        <v>5</v>
      </c>
    </row>
    <row r="220" spans="1:22" x14ac:dyDescent="0.25">
      <c r="A220" t="str">
        <f>IF(games!$A220="","",games!$A220)</f>
        <v>Dragon Quest: Young Yangus and the Mystery Dungeon</v>
      </c>
      <c r="B220">
        <f>IF($A220="","",games!$B220)</f>
        <v>2006</v>
      </c>
      <c r="C220" t="str">
        <f>IF($A220="","",games!$C220)</f>
        <v>Traditional</v>
      </c>
      <c r="D220">
        <f>IF($A220="","",COUNTIF(connections!$A$2:$A$1188,$A220)+COUNTIF(connections!$B$2:$B$1188,$A220))</f>
        <v>1</v>
      </c>
      <c r="E220">
        <f t="shared" si="36"/>
        <v>4</v>
      </c>
      <c r="F220">
        <f t="shared" si="37"/>
        <v>16</v>
      </c>
      <c r="G220" t="e">
        <f t="shared" si="38"/>
        <v>#N/A</v>
      </c>
      <c r="H220" t="e">
        <f t="shared" si="39"/>
        <v>#N/A</v>
      </c>
      <c r="I220" t="e">
        <f t="shared" si="40"/>
        <v>#N/A</v>
      </c>
      <c r="J220" t="e">
        <f t="shared" si="41"/>
        <v>#N/A</v>
      </c>
      <c r="K220" t="e">
        <f t="shared" si="42"/>
        <v>#N/A</v>
      </c>
      <c r="L220" t="e">
        <f t="shared" si="43"/>
        <v>#N/A</v>
      </c>
      <c r="M220">
        <f t="shared" si="44"/>
        <v>2006</v>
      </c>
      <c r="N220">
        <f t="shared" si="45"/>
        <v>4.3680000000000003</v>
      </c>
      <c r="O220">
        <f t="shared" si="46"/>
        <v>1.0002200000000001</v>
      </c>
      <c r="T220">
        <f>IF(connections!$A220="","",IFERROR(INDEX(games!$B$2:$B$834,MATCH(connections!$A220,games!$A$2:$A$834,0)),""))</f>
        <v>2019</v>
      </c>
      <c r="U220">
        <f>IF(connections!$A220="","",IFERROR(INDEX(games!$B$2:$B$834,MATCH(connections!$B220,games!$A$2:$A$834,0)),""))</f>
        <v>2026</v>
      </c>
      <c r="V220">
        <f t="shared" si="47"/>
        <v>7</v>
      </c>
    </row>
    <row r="221" spans="1:22" x14ac:dyDescent="0.25">
      <c r="A221" t="str">
        <f>IF(games!$A221="","",games!$A221)</f>
        <v>Dragonslayer</v>
      </c>
      <c r="B221">
        <f>IF($A221="","",games!$B221)</f>
        <v>2003</v>
      </c>
      <c r="C221" t="str">
        <f>IF($A221="","",games!$C221)</f>
        <v>Traditional</v>
      </c>
      <c r="D221">
        <f>IF($A221="","",COUNTIF(connections!$A$2:$A$1188,$A221)+COUNTIF(connections!$B$2:$B$1188,$A221))</f>
        <v>1</v>
      </c>
      <c r="E221">
        <f t="shared" si="36"/>
        <v>4</v>
      </c>
      <c r="F221">
        <f t="shared" si="37"/>
        <v>17</v>
      </c>
      <c r="G221" t="e">
        <f t="shared" si="38"/>
        <v>#N/A</v>
      </c>
      <c r="H221" t="e">
        <f t="shared" si="39"/>
        <v>#N/A</v>
      </c>
      <c r="I221" t="e">
        <f t="shared" si="40"/>
        <v>#N/A</v>
      </c>
      <c r="J221" t="e">
        <f t="shared" si="41"/>
        <v>#N/A</v>
      </c>
      <c r="K221" t="e">
        <f t="shared" si="42"/>
        <v>#N/A</v>
      </c>
      <c r="L221" t="e">
        <f t="shared" si="43"/>
        <v>#N/A</v>
      </c>
      <c r="M221">
        <f t="shared" si="44"/>
        <v>2003</v>
      </c>
      <c r="N221">
        <f t="shared" si="45"/>
        <v>4.391</v>
      </c>
      <c r="O221">
        <f t="shared" si="46"/>
        <v>1.000221</v>
      </c>
      <c r="T221">
        <f>IF(connections!$A221="","",IFERROR(INDEX(games!$B$2:$B$834,MATCH(connections!$A221,games!$A$2:$A$834,0)),""))</f>
        <v>2010</v>
      </c>
      <c r="U221">
        <f>IF(connections!$A221="","",IFERROR(INDEX(games!$B$2:$B$834,MATCH(connections!$B221,games!$A$2:$A$834,0)),""))</f>
        <v>2011</v>
      </c>
      <c r="V221">
        <f t="shared" si="47"/>
        <v>1</v>
      </c>
    </row>
    <row r="222" spans="1:22" x14ac:dyDescent="0.25">
      <c r="A222" t="str">
        <f>IF(games!$A222="","",games!$A222)</f>
        <v>Drapline</v>
      </c>
      <c r="B222">
        <f>IF($A222="","",games!$B222)</f>
        <v>2025</v>
      </c>
      <c r="C222" t="str">
        <f>IF($A222="","",games!$C222)</f>
        <v>Strategy</v>
      </c>
      <c r="D222">
        <f>IF($A222="","",COUNTIF(connections!$A$2:$A$1188,$A222)+COUNTIF(connections!$B$2:$B$1188,$A222))</f>
        <v>0</v>
      </c>
      <c r="E222">
        <f t="shared" si="36"/>
        <v>2</v>
      </c>
      <c r="F222">
        <f t="shared" si="37"/>
        <v>18</v>
      </c>
      <c r="G222" t="e">
        <f t="shared" si="38"/>
        <v>#N/A</v>
      </c>
      <c r="H222" t="e">
        <f t="shared" si="39"/>
        <v>#N/A</v>
      </c>
      <c r="I222">
        <f t="shared" si="40"/>
        <v>2025</v>
      </c>
      <c r="J222">
        <f t="shared" si="41"/>
        <v>2.4140000000000001</v>
      </c>
      <c r="K222" t="e">
        <f t="shared" si="42"/>
        <v>#N/A</v>
      </c>
      <c r="L222" t="e">
        <f t="shared" si="43"/>
        <v>#N/A</v>
      </c>
      <c r="M222" t="e">
        <f t="shared" si="44"/>
        <v>#N/A</v>
      </c>
      <c r="N222" t="e">
        <f t="shared" si="45"/>
        <v>#N/A</v>
      </c>
      <c r="O222">
        <f t="shared" si="46"/>
        <v>2.22E-4</v>
      </c>
      <c r="T222">
        <f>IF(connections!$A222="","",IFERROR(INDEX(games!$B$2:$B$834,MATCH(connections!$A222,games!$A$2:$A$834,0)),""))</f>
        <v>2021</v>
      </c>
      <c r="U222">
        <f>IF(connections!$A222="","",IFERROR(INDEX(games!$B$2:$B$834,MATCH(connections!$B222,games!$A$2:$A$834,0)),""))</f>
        <v>2026</v>
      </c>
      <c r="V222">
        <f t="shared" si="47"/>
        <v>5</v>
      </c>
    </row>
    <row r="223" spans="1:22" x14ac:dyDescent="0.25">
      <c r="A223" t="str">
        <f>IF(games!$A223="","",games!$A223)</f>
        <v>Dream Quest</v>
      </c>
      <c r="B223">
        <f>IF($A223="","",games!$B223)</f>
        <v>2014</v>
      </c>
      <c r="C223" t="str">
        <f>IF($A223="","",games!$C223)</f>
        <v>Deckbuilder</v>
      </c>
      <c r="D223">
        <f>IF($A223="","",COUNTIF(connections!$A$2:$A$1188,$A223)+COUNTIF(connections!$B$2:$B$1188,$A223))</f>
        <v>4</v>
      </c>
      <c r="E223">
        <f t="shared" si="36"/>
        <v>3</v>
      </c>
      <c r="F223">
        <f t="shared" si="37"/>
        <v>19</v>
      </c>
      <c r="G223" t="e">
        <f t="shared" si="38"/>
        <v>#N/A</v>
      </c>
      <c r="H223" t="e">
        <f t="shared" si="39"/>
        <v>#N/A</v>
      </c>
      <c r="I223" t="e">
        <f t="shared" si="40"/>
        <v>#N/A</v>
      </c>
      <c r="J223" t="e">
        <f t="shared" si="41"/>
        <v>#N/A</v>
      </c>
      <c r="K223">
        <f t="shared" si="42"/>
        <v>2014</v>
      </c>
      <c r="L223">
        <f t="shared" si="43"/>
        <v>3.4369999999999998</v>
      </c>
      <c r="M223" t="e">
        <f t="shared" si="44"/>
        <v>#N/A</v>
      </c>
      <c r="N223" t="e">
        <f t="shared" si="45"/>
        <v>#N/A</v>
      </c>
      <c r="O223">
        <f t="shared" si="46"/>
        <v>4.0002230000000001</v>
      </c>
      <c r="T223">
        <f>IF(connections!$A223="","",IFERROR(INDEX(games!$B$2:$B$834,MATCH(connections!$A223,games!$A$2:$A$834,0)),""))</f>
        <v>2021</v>
      </c>
      <c r="U223">
        <f>IF(connections!$A223="","",IFERROR(INDEX(games!$B$2:$B$834,MATCH(connections!$B223,games!$A$2:$A$834,0)),""))</f>
        <v>2023</v>
      </c>
      <c r="V223">
        <f t="shared" si="47"/>
        <v>2</v>
      </c>
    </row>
    <row r="224" spans="1:22" x14ac:dyDescent="0.25">
      <c r="A224" t="str">
        <f>IF(games!$A224="","",games!$A224)</f>
        <v>Dreamscaper</v>
      </c>
      <c r="B224">
        <f>IF($A224="","",games!$B224)</f>
        <v>2020</v>
      </c>
      <c r="C224" t="str">
        <f>IF($A224="","",games!$C224)</f>
        <v>Action</v>
      </c>
      <c r="D224">
        <f>IF($A224="","",COUNTIF(connections!$A$2:$A$1188,$A224)+COUNTIF(connections!$B$2:$B$1188,$A224))</f>
        <v>3</v>
      </c>
      <c r="E224">
        <f t="shared" si="36"/>
        <v>1</v>
      </c>
      <c r="F224">
        <f t="shared" si="37"/>
        <v>20</v>
      </c>
      <c r="G224">
        <f t="shared" si="38"/>
        <v>2020</v>
      </c>
      <c r="H224">
        <f t="shared" si="39"/>
        <v>1.46</v>
      </c>
      <c r="I224" t="e">
        <f t="shared" si="40"/>
        <v>#N/A</v>
      </c>
      <c r="J224" t="e">
        <f t="shared" si="41"/>
        <v>#N/A</v>
      </c>
      <c r="K224" t="e">
        <f t="shared" si="42"/>
        <v>#N/A</v>
      </c>
      <c r="L224" t="e">
        <f t="shared" si="43"/>
        <v>#N/A</v>
      </c>
      <c r="M224" t="e">
        <f t="shared" si="44"/>
        <v>#N/A</v>
      </c>
      <c r="N224" t="e">
        <f t="shared" si="45"/>
        <v>#N/A</v>
      </c>
      <c r="O224">
        <f t="shared" si="46"/>
        <v>3.0002239999999998</v>
      </c>
      <c r="T224">
        <f>IF(connections!$A224="","",IFERROR(INDEX(games!$B$2:$B$834,MATCH(connections!$A224,games!$A$2:$A$834,0)),""))</f>
        <v>1996</v>
      </c>
      <c r="U224">
        <f>IF(connections!$A224="","",IFERROR(INDEX(games!$B$2:$B$834,MATCH(connections!$B224,games!$A$2:$A$834,0)),""))</f>
        <v>2018</v>
      </c>
      <c r="V224">
        <f t="shared" si="47"/>
        <v>22</v>
      </c>
    </row>
    <row r="225" spans="1:22" x14ac:dyDescent="0.25">
      <c r="A225" t="str">
        <f>IF(games!$A225="","",games!$A225)</f>
        <v>Drill Core</v>
      </c>
      <c r="B225">
        <f>IF($A225="","",games!$B225)</f>
        <v>2024</v>
      </c>
      <c r="C225" t="str">
        <f>IF($A225="","",games!$C225)</f>
        <v>Strategy</v>
      </c>
      <c r="D225">
        <f>IF($A225="","",COUNTIF(connections!$A$2:$A$1188,$A225)+COUNTIF(connections!$B$2:$B$1188,$A225))</f>
        <v>1</v>
      </c>
      <c r="E225">
        <f t="shared" si="36"/>
        <v>2</v>
      </c>
      <c r="F225">
        <f t="shared" si="37"/>
        <v>21</v>
      </c>
      <c r="G225" t="e">
        <f t="shared" si="38"/>
        <v>#N/A</v>
      </c>
      <c r="H225" t="e">
        <f t="shared" si="39"/>
        <v>#N/A</v>
      </c>
      <c r="I225">
        <f t="shared" si="40"/>
        <v>2024</v>
      </c>
      <c r="J225">
        <f t="shared" si="41"/>
        <v>2.4830000000000001</v>
      </c>
      <c r="K225" t="e">
        <f t="shared" si="42"/>
        <v>#N/A</v>
      </c>
      <c r="L225" t="e">
        <f t="shared" si="43"/>
        <v>#N/A</v>
      </c>
      <c r="M225" t="e">
        <f t="shared" si="44"/>
        <v>#N/A</v>
      </c>
      <c r="N225" t="e">
        <f t="shared" si="45"/>
        <v>#N/A</v>
      </c>
      <c r="O225">
        <f t="shared" si="46"/>
        <v>1.0002249999999999</v>
      </c>
      <c r="T225">
        <f>IF(connections!$A225="","",IFERROR(INDEX(games!$B$2:$B$834,MATCH(connections!$A225,games!$A$2:$A$834,0)),""))</f>
        <v>1996</v>
      </c>
      <c r="U225">
        <f>IF(connections!$A225="","",IFERROR(INDEX(games!$B$2:$B$834,MATCH(connections!$B225,games!$A$2:$A$834,0)),""))</f>
        <v>2010</v>
      </c>
      <c r="V225">
        <f t="shared" si="47"/>
        <v>14</v>
      </c>
    </row>
    <row r="226" spans="1:22" x14ac:dyDescent="0.25">
      <c r="A226" t="str">
        <f>IF(games!$A226="","",games!$A226)</f>
        <v>Drop Duchy</v>
      </c>
      <c r="B226">
        <f>IF($A226="","",games!$B226)</f>
        <v>2025</v>
      </c>
      <c r="C226" t="str">
        <f>IF($A226="","",games!$C226)</f>
        <v>Strategy</v>
      </c>
      <c r="D226">
        <f>IF($A226="","",COUNTIF(connections!$A$2:$A$1188,$A226)+COUNTIF(connections!$B$2:$B$1188,$A226))</f>
        <v>1</v>
      </c>
      <c r="E226">
        <f t="shared" si="36"/>
        <v>2</v>
      </c>
      <c r="F226">
        <f t="shared" si="37"/>
        <v>22</v>
      </c>
      <c r="G226" t="e">
        <f t="shared" si="38"/>
        <v>#N/A</v>
      </c>
      <c r="H226" t="e">
        <f t="shared" si="39"/>
        <v>#N/A</v>
      </c>
      <c r="I226">
        <f t="shared" si="40"/>
        <v>2025</v>
      </c>
      <c r="J226">
        <f t="shared" si="41"/>
        <v>2.5060000000000002</v>
      </c>
      <c r="K226" t="e">
        <f t="shared" si="42"/>
        <v>#N/A</v>
      </c>
      <c r="L226" t="e">
        <f t="shared" si="43"/>
        <v>#N/A</v>
      </c>
      <c r="M226" t="e">
        <f t="shared" si="44"/>
        <v>#N/A</v>
      </c>
      <c r="N226" t="e">
        <f t="shared" si="45"/>
        <v>#N/A</v>
      </c>
      <c r="O226">
        <f t="shared" si="46"/>
        <v>1.0002260000000001</v>
      </c>
      <c r="T226">
        <f>IF(connections!$A226="","",IFERROR(INDEX(games!$B$2:$B$834,MATCH(connections!$A226,games!$A$2:$A$834,0)),""))</f>
        <v>1996</v>
      </c>
      <c r="U226">
        <f>IF(connections!$A226="","",IFERROR(INDEX(games!$B$2:$B$834,MATCH(connections!$B226,games!$A$2:$A$834,0)),""))</f>
        <v>2023</v>
      </c>
      <c r="V226">
        <f t="shared" si="47"/>
        <v>27</v>
      </c>
    </row>
    <row r="227" spans="1:22" x14ac:dyDescent="0.25">
      <c r="A227" t="str">
        <f>IF(games!$A227="","",games!$A227)</f>
        <v>Drop Pockets</v>
      </c>
      <c r="B227">
        <f>IF($A227="","",games!$B227)</f>
        <v>2025</v>
      </c>
      <c r="C227" t="str">
        <f>IF($A227="","",games!$C227)</f>
        <v>Strategy</v>
      </c>
      <c r="D227">
        <f>IF($A227="","",COUNTIF(connections!$A$2:$A$1188,$A227)+COUNTIF(connections!$B$2:$B$1188,$A227))</f>
        <v>1</v>
      </c>
      <c r="E227">
        <f t="shared" si="36"/>
        <v>2</v>
      </c>
      <c r="F227">
        <f t="shared" si="37"/>
        <v>23</v>
      </c>
      <c r="G227" t="e">
        <f t="shared" si="38"/>
        <v>#N/A</v>
      </c>
      <c r="H227" t="e">
        <f t="shared" si="39"/>
        <v>#N/A</v>
      </c>
      <c r="I227">
        <f t="shared" si="40"/>
        <v>2025</v>
      </c>
      <c r="J227">
        <f t="shared" si="41"/>
        <v>2.5289999999999999</v>
      </c>
      <c r="K227" t="e">
        <f t="shared" si="42"/>
        <v>#N/A</v>
      </c>
      <c r="L227" t="e">
        <f t="shared" si="43"/>
        <v>#N/A</v>
      </c>
      <c r="M227" t="e">
        <f t="shared" si="44"/>
        <v>#N/A</v>
      </c>
      <c r="N227" t="e">
        <f t="shared" si="45"/>
        <v>#N/A</v>
      </c>
      <c r="O227">
        <f t="shared" si="46"/>
        <v>1.000227</v>
      </c>
      <c r="T227">
        <f>IF(connections!$A227="","",IFERROR(INDEX(games!$B$2:$B$834,MATCH(connections!$A227,games!$A$2:$A$834,0)),""))</f>
        <v>1996</v>
      </c>
      <c r="U227">
        <f>IF(connections!$A227="","",IFERROR(INDEX(games!$B$2:$B$834,MATCH(connections!$B227,games!$A$2:$A$834,0)),""))</f>
        <v>2010</v>
      </c>
      <c r="V227">
        <f t="shared" si="47"/>
        <v>14</v>
      </c>
    </row>
    <row r="228" spans="1:22" x14ac:dyDescent="0.25">
      <c r="A228" t="str">
        <f>IF(games!$A228="","",games!$A228)</f>
        <v>Dungeon Clawler</v>
      </c>
      <c r="B228">
        <f>IF($A228="","",games!$B228)</f>
        <v>2024</v>
      </c>
      <c r="C228" t="str">
        <f>IF($A228="","",games!$C228)</f>
        <v>Deckbuilder</v>
      </c>
      <c r="D228">
        <f>IF($A228="","",COUNTIF(connections!$A$2:$A$1188,$A228)+COUNTIF(connections!$B$2:$B$1188,$A228))</f>
        <v>4</v>
      </c>
      <c r="E228">
        <f t="shared" si="36"/>
        <v>3</v>
      </c>
      <c r="F228">
        <f t="shared" si="37"/>
        <v>24</v>
      </c>
      <c r="G228" t="e">
        <f t="shared" si="38"/>
        <v>#N/A</v>
      </c>
      <c r="H228" t="e">
        <f t="shared" si="39"/>
        <v>#N/A</v>
      </c>
      <c r="I228" t="e">
        <f t="shared" si="40"/>
        <v>#N/A</v>
      </c>
      <c r="J228" t="e">
        <f t="shared" si="41"/>
        <v>#N/A</v>
      </c>
      <c r="K228">
        <f t="shared" si="42"/>
        <v>2024</v>
      </c>
      <c r="L228">
        <f t="shared" si="43"/>
        <v>3.552</v>
      </c>
      <c r="M228" t="e">
        <f t="shared" si="44"/>
        <v>#N/A</v>
      </c>
      <c r="N228" t="e">
        <f t="shared" si="45"/>
        <v>#N/A</v>
      </c>
      <c r="O228">
        <f t="shared" si="46"/>
        <v>4.0002279999999999</v>
      </c>
      <c r="T228">
        <f>IF(connections!$A228="","",IFERROR(INDEX(games!$B$2:$B$834,MATCH(connections!$A228,games!$A$2:$A$834,0)),""))</f>
        <v>1996</v>
      </c>
      <c r="U228">
        <f>IF(connections!$A228="","",IFERROR(INDEX(games!$B$2:$B$834,MATCH(connections!$B228,games!$A$2:$A$834,0)),""))</f>
        <v>2025</v>
      </c>
      <c r="V228">
        <f t="shared" si="47"/>
        <v>29</v>
      </c>
    </row>
    <row r="229" spans="1:22" x14ac:dyDescent="0.25">
      <c r="A229" t="str">
        <f>IF(games!$A229="","",games!$A229)</f>
        <v>Dungeon Crawl Stone Soup</v>
      </c>
      <c r="B229">
        <f>IF($A229="","",games!$B229)</f>
        <v>2006</v>
      </c>
      <c r="C229" t="str">
        <f>IF($A229="","",games!$C229)</f>
        <v>Traditional</v>
      </c>
      <c r="D229">
        <f>IF($A229="","",COUNTIF(connections!$A$2:$A$1188,$A229)+COUNTIF(connections!$B$2:$B$1188,$A229))</f>
        <v>11</v>
      </c>
      <c r="E229">
        <f t="shared" si="36"/>
        <v>4</v>
      </c>
      <c r="F229">
        <f t="shared" si="37"/>
        <v>25</v>
      </c>
      <c r="G229" t="e">
        <f t="shared" si="38"/>
        <v>#N/A</v>
      </c>
      <c r="H229" t="e">
        <f t="shared" si="39"/>
        <v>#N/A</v>
      </c>
      <c r="I229" t="e">
        <f t="shared" si="40"/>
        <v>#N/A</v>
      </c>
      <c r="J229" t="e">
        <f t="shared" si="41"/>
        <v>#N/A</v>
      </c>
      <c r="K229" t="e">
        <f t="shared" si="42"/>
        <v>#N/A</v>
      </c>
      <c r="L229" t="e">
        <f t="shared" si="43"/>
        <v>#N/A</v>
      </c>
      <c r="M229">
        <f t="shared" si="44"/>
        <v>2006</v>
      </c>
      <c r="N229">
        <f t="shared" si="45"/>
        <v>4.5750000000000002</v>
      </c>
      <c r="O229">
        <f t="shared" si="46"/>
        <v>11.000228999999999</v>
      </c>
      <c r="T229">
        <f>IF(connections!$A229="","",IFERROR(INDEX(games!$B$2:$B$834,MATCH(connections!$A229,games!$A$2:$A$834,0)),""))</f>
        <v>1996</v>
      </c>
      <c r="U229">
        <f>IF(connections!$A229="","",IFERROR(INDEX(games!$B$2:$B$834,MATCH(connections!$B229,games!$A$2:$A$834,0)),""))</f>
        <v>2023</v>
      </c>
      <c r="V229">
        <f t="shared" si="47"/>
        <v>27</v>
      </c>
    </row>
    <row r="230" spans="1:22" x14ac:dyDescent="0.25">
      <c r="A230" t="str">
        <f>IF(games!$A230="","",games!$A230)</f>
        <v>Dungeon Deathball</v>
      </c>
      <c r="B230">
        <f>IF($A230="","",games!$B230)</f>
        <v>2021</v>
      </c>
      <c r="C230" t="str">
        <f>IF($A230="","",games!$C230)</f>
        <v>Strategy</v>
      </c>
      <c r="D230">
        <f>IF($A230="","",COUNTIF(connections!$A$2:$A$1188,$A230)+COUNTIF(connections!$B$2:$B$1188,$A230))</f>
        <v>0</v>
      </c>
      <c r="E230">
        <f t="shared" si="36"/>
        <v>2</v>
      </c>
      <c r="F230">
        <f t="shared" si="37"/>
        <v>26</v>
      </c>
      <c r="G230" t="e">
        <f t="shared" si="38"/>
        <v>#N/A</v>
      </c>
      <c r="H230" t="e">
        <f t="shared" si="39"/>
        <v>#N/A</v>
      </c>
      <c r="I230">
        <f t="shared" si="40"/>
        <v>2021</v>
      </c>
      <c r="J230">
        <f t="shared" si="41"/>
        <v>2.5979999999999999</v>
      </c>
      <c r="K230" t="e">
        <f t="shared" si="42"/>
        <v>#N/A</v>
      </c>
      <c r="L230" t="e">
        <f t="shared" si="43"/>
        <v>#N/A</v>
      </c>
      <c r="M230" t="e">
        <f t="shared" si="44"/>
        <v>#N/A</v>
      </c>
      <c r="N230" t="e">
        <f t="shared" si="45"/>
        <v>#N/A</v>
      </c>
      <c r="O230">
        <f t="shared" si="46"/>
        <v>2.3000000000000001E-4</v>
      </c>
      <c r="T230">
        <f>IF(connections!$A230="","",IFERROR(INDEX(games!$B$2:$B$834,MATCH(connections!$A230,games!$A$2:$A$834,0)),""))</f>
        <v>1996</v>
      </c>
      <c r="U230">
        <f>IF(connections!$A230="","",IFERROR(INDEX(games!$B$2:$B$834,MATCH(connections!$B230,games!$A$2:$A$834,0)),""))</f>
        <v>2025</v>
      </c>
      <c r="V230">
        <f t="shared" si="47"/>
        <v>29</v>
      </c>
    </row>
    <row r="231" spans="1:22" x14ac:dyDescent="0.25">
      <c r="A231" t="str">
        <f>IF(games!$A231="","",games!$A231)</f>
        <v>Dungeon Drafters</v>
      </c>
      <c r="B231">
        <f>IF($A231="","",games!$B231)</f>
        <v>2023</v>
      </c>
      <c r="C231" t="str">
        <f>IF($A231="","",games!$C231)</f>
        <v>Traditional</v>
      </c>
      <c r="D231">
        <f>IF($A231="","",COUNTIF(connections!$A$2:$A$1188,$A231)+COUNTIF(connections!$B$2:$B$1188,$A231))</f>
        <v>4</v>
      </c>
      <c r="E231">
        <f t="shared" si="36"/>
        <v>4</v>
      </c>
      <c r="F231">
        <f t="shared" si="37"/>
        <v>27</v>
      </c>
      <c r="G231" t="e">
        <f t="shared" si="38"/>
        <v>#N/A</v>
      </c>
      <c r="H231" t="e">
        <f t="shared" si="39"/>
        <v>#N/A</v>
      </c>
      <c r="I231" t="e">
        <f t="shared" si="40"/>
        <v>#N/A</v>
      </c>
      <c r="J231" t="e">
        <f t="shared" si="41"/>
        <v>#N/A</v>
      </c>
      <c r="K231" t="e">
        <f t="shared" si="42"/>
        <v>#N/A</v>
      </c>
      <c r="L231" t="e">
        <f t="shared" si="43"/>
        <v>#N/A</v>
      </c>
      <c r="M231">
        <f t="shared" si="44"/>
        <v>2023</v>
      </c>
      <c r="N231">
        <f t="shared" si="45"/>
        <v>4.6210000000000004</v>
      </c>
      <c r="O231">
        <f t="shared" si="46"/>
        <v>4.0002310000000003</v>
      </c>
      <c r="T231">
        <f>IF(connections!$A231="","",IFERROR(INDEX(games!$B$2:$B$834,MATCH(connections!$A231,games!$A$2:$A$834,0)),""))</f>
        <v>1996</v>
      </c>
      <c r="U231">
        <f>IF(connections!$A231="","",IFERROR(INDEX(games!$B$2:$B$834,MATCH(connections!$B231,games!$A$2:$A$834,0)),""))</f>
        <v>2025</v>
      </c>
      <c r="V231">
        <f t="shared" si="47"/>
        <v>29</v>
      </c>
    </row>
    <row r="232" spans="1:22" x14ac:dyDescent="0.25">
      <c r="A232" t="str">
        <f>IF(games!$A232="","",games!$A232)</f>
        <v>Dungeon Hack</v>
      </c>
      <c r="B232">
        <f>IF($A232="","",games!$B232)</f>
        <v>1993</v>
      </c>
      <c r="C232" t="str">
        <f>IF($A232="","",games!$C232)</f>
        <v>Action</v>
      </c>
      <c r="D232">
        <f>IF($A232="","",COUNTIF(connections!$A$2:$A$1188,$A232)+COUNTIF(connections!$B$2:$B$1188,$A232))</f>
        <v>0</v>
      </c>
      <c r="E232">
        <f t="shared" si="36"/>
        <v>1</v>
      </c>
      <c r="F232">
        <f t="shared" si="37"/>
        <v>28</v>
      </c>
      <c r="G232">
        <f t="shared" si="38"/>
        <v>1993</v>
      </c>
      <c r="H232">
        <f t="shared" si="39"/>
        <v>1.6440000000000001</v>
      </c>
      <c r="I232" t="e">
        <f t="shared" si="40"/>
        <v>#N/A</v>
      </c>
      <c r="J232" t="e">
        <f t="shared" si="41"/>
        <v>#N/A</v>
      </c>
      <c r="K232" t="e">
        <f t="shared" si="42"/>
        <v>#N/A</v>
      </c>
      <c r="L232" t="e">
        <f t="shared" si="43"/>
        <v>#N/A</v>
      </c>
      <c r="M232" t="e">
        <f t="shared" si="44"/>
        <v>#N/A</v>
      </c>
      <c r="N232" t="e">
        <f t="shared" si="45"/>
        <v>#N/A</v>
      </c>
      <c r="O232">
        <f t="shared" si="46"/>
        <v>2.32E-4</v>
      </c>
      <c r="T232">
        <f>IF(connections!$A232="","",IFERROR(INDEX(games!$B$2:$B$834,MATCH(connections!$A232,games!$A$2:$A$834,0)),""))</f>
        <v>1996</v>
      </c>
      <c r="U232">
        <f>IF(connections!$A232="","",IFERROR(INDEX(games!$B$2:$B$834,MATCH(connections!$B232,games!$A$2:$A$834,0)),""))</f>
        <v>2006</v>
      </c>
      <c r="V232">
        <f t="shared" si="47"/>
        <v>10</v>
      </c>
    </row>
    <row r="233" spans="1:22" x14ac:dyDescent="0.25">
      <c r="A233" t="str">
        <f>IF(games!$A233="","",games!$A233)</f>
        <v>Dungeon of Windaria</v>
      </c>
      <c r="B233">
        <f>IF($A233="","",games!$B233)</f>
        <v>2008</v>
      </c>
      <c r="C233" t="str">
        <f>IF($A233="","",games!$C233)</f>
        <v>Traditional</v>
      </c>
      <c r="D233">
        <f>IF($A233="","",COUNTIF(connections!$A$2:$A$1188,$A233)+COUNTIF(connections!$B$2:$B$1188,$A233))</f>
        <v>1</v>
      </c>
      <c r="E233">
        <f t="shared" si="36"/>
        <v>4</v>
      </c>
      <c r="F233">
        <f t="shared" si="37"/>
        <v>29</v>
      </c>
      <c r="G233" t="e">
        <f t="shared" si="38"/>
        <v>#N/A</v>
      </c>
      <c r="H233" t="e">
        <f t="shared" si="39"/>
        <v>#N/A</v>
      </c>
      <c r="I233" t="e">
        <f t="shared" si="40"/>
        <v>#N/A</v>
      </c>
      <c r="J233" t="e">
        <f t="shared" si="41"/>
        <v>#N/A</v>
      </c>
      <c r="K233" t="e">
        <f t="shared" si="42"/>
        <v>#N/A</v>
      </c>
      <c r="L233" t="e">
        <f t="shared" si="43"/>
        <v>#N/A</v>
      </c>
      <c r="M233">
        <f t="shared" si="44"/>
        <v>2008</v>
      </c>
      <c r="N233">
        <f t="shared" si="45"/>
        <v>4.6669999999999998</v>
      </c>
      <c r="O233">
        <f t="shared" si="46"/>
        <v>1.0002329999999999</v>
      </c>
      <c r="T233">
        <f>IF(connections!$A233="","",IFERROR(INDEX(games!$B$2:$B$834,MATCH(connections!$A233,games!$A$2:$A$834,0)),""))</f>
        <v>1996</v>
      </c>
      <c r="U233">
        <f>IF(connections!$A233="","",IFERROR(INDEX(games!$B$2:$B$834,MATCH(connections!$B233,games!$A$2:$A$834,0)),""))</f>
        <v>2003</v>
      </c>
      <c r="V233">
        <f t="shared" si="47"/>
        <v>7</v>
      </c>
    </row>
    <row r="234" spans="1:22" x14ac:dyDescent="0.25">
      <c r="A234" t="str">
        <f>IF(games!$A234="","",games!$A234)</f>
        <v>Dungeon Rushers</v>
      </c>
      <c r="B234">
        <f>IF($A234="","",games!$B234)</f>
        <v>2016</v>
      </c>
      <c r="C234" t="str">
        <f>IF($A234="","",games!$C234)</f>
        <v>Strategy</v>
      </c>
      <c r="D234">
        <f>IF($A234="","",COUNTIF(connections!$A$2:$A$1188,$A234)+COUNTIF(connections!$B$2:$B$1188,$A234))</f>
        <v>1</v>
      </c>
      <c r="E234">
        <f t="shared" si="36"/>
        <v>2</v>
      </c>
      <c r="F234">
        <f t="shared" si="37"/>
        <v>30</v>
      </c>
      <c r="G234" t="e">
        <f t="shared" si="38"/>
        <v>#N/A</v>
      </c>
      <c r="H234" t="e">
        <f t="shared" si="39"/>
        <v>#N/A</v>
      </c>
      <c r="I234">
        <f t="shared" si="40"/>
        <v>2016</v>
      </c>
      <c r="J234">
        <f t="shared" si="41"/>
        <v>2.69</v>
      </c>
      <c r="K234" t="e">
        <f t="shared" si="42"/>
        <v>#N/A</v>
      </c>
      <c r="L234" t="e">
        <f t="shared" si="43"/>
        <v>#N/A</v>
      </c>
      <c r="M234" t="e">
        <f t="shared" si="44"/>
        <v>#N/A</v>
      </c>
      <c r="N234" t="e">
        <f t="shared" si="45"/>
        <v>#N/A</v>
      </c>
      <c r="O234">
        <f t="shared" si="46"/>
        <v>1.0002340000000001</v>
      </c>
      <c r="T234">
        <f>IF(connections!$A234="","",IFERROR(INDEX(games!$B$2:$B$834,MATCH(connections!$A234,games!$A$2:$A$834,0)),""))</f>
        <v>1996</v>
      </c>
      <c r="U234">
        <f>IF(connections!$A234="","",IFERROR(INDEX(games!$B$2:$B$834,MATCH(connections!$B234,games!$A$2:$A$834,0)),""))</f>
        <v>2020</v>
      </c>
      <c r="V234">
        <f t="shared" si="47"/>
        <v>24</v>
      </c>
    </row>
    <row r="235" spans="1:22" x14ac:dyDescent="0.25">
      <c r="A235" t="str">
        <f>IF(games!$A235="","",games!$A235)</f>
        <v>Dungeonmans</v>
      </c>
      <c r="B235">
        <f>IF($A235="","",games!$B235)</f>
        <v>2010</v>
      </c>
      <c r="C235" t="str">
        <f>IF($A235="","",games!$C235)</f>
        <v>Traditional</v>
      </c>
      <c r="D235">
        <f>IF($A235="","",COUNTIF(connections!$A$2:$A$1188,$A235)+COUNTIF(connections!$B$2:$B$1188,$A235))</f>
        <v>10</v>
      </c>
      <c r="E235">
        <f t="shared" si="36"/>
        <v>4</v>
      </c>
      <c r="F235">
        <f t="shared" si="37"/>
        <v>31</v>
      </c>
      <c r="G235" t="e">
        <f t="shared" si="38"/>
        <v>#N/A</v>
      </c>
      <c r="H235" t="e">
        <f t="shared" si="39"/>
        <v>#N/A</v>
      </c>
      <c r="I235" t="e">
        <f t="shared" si="40"/>
        <v>#N/A</v>
      </c>
      <c r="J235" t="e">
        <f t="shared" si="41"/>
        <v>#N/A</v>
      </c>
      <c r="K235" t="e">
        <f t="shared" si="42"/>
        <v>#N/A</v>
      </c>
      <c r="L235" t="e">
        <f t="shared" si="43"/>
        <v>#N/A</v>
      </c>
      <c r="M235">
        <f t="shared" si="44"/>
        <v>2010</v>
      </c>
      <c r="N235">
        <f t="shared" si="45"/>
        <v>4.7130000000000001</v>
      </c>
      <c r="O235">
        <f t="shared" si="46"/>
        <v>10.000235</v>
      </c>
      <c r="T235">
        <f>IF(connections!$A235="","",IFERROR(INDEX(games!$B$2:$B$834,MATCH(connections!$A235,games!$A$2:$A$834,0)),""))</f>
        <v>1996</v>
      </c>
      <c r="U235">
        <f>IF(connections!$A235="","",IFERROR(INDEX(games!$B$2:$B$834,MATCH(connections!$B235,games!$A$2:$A$834,0)),""))</f>
        <v>2013</v>
      </c>
      <c r="V235">
        <f t="shared" si="47"/>
        <v>17</v>
      </c>
    </row>
    <row r="236" spans="1:22" x14ac:dyDescent="0.25">
      <c r="A236" t="str">
        <f>IF(games!$A236="","",games!$A236)</f>
        <v>Dungeons &amp; Degenerate Gamblers</v>
      </c>
      <c r="B236">
        <f>IF($A236="","",games!$B236)</f>
        <v>2024</v>
      </c>
      <c r="C236" t="str">
        <f>IF($A236="","",games!$C236)</f>
        <v>Deckbuilder</v>
      </c>
      <c r="D236">
        <f>IF($A236="","",COUNTIF(connections!$A$2:$A$1188,$A236)+COUNTIF(connections!$B$2:$B$1188,$A236))</f>
        <v>1</v>
      </c>
      <c r="E236">
        <f t="shared" si="36"/>
        <v>3</v>
      </c>
      <c r="F236">
        <f t="shared" si="37"/>
        <v>32</v>
      </c>
      <c r="G236" t="e">
        <f t="shared" si="38"/>
        <v>#N/A</v>
      </c>
      <c r="H236" t="e">
        <f t="shared" si="39"/>
        <v>#N/A</v>
      </c>
      <c r="I236" t="e">
        <f t="shared" si="40"/>
        <v>#N/A</v>
      </c>
      <c r="J236" t="e">
        <f t="shared" si="41"/>
        <v>#N/A</v>
      </c>
      <c r="K236">
        <f t="shared" si="42"/>
        <v>2024</v>
      </c>
      <c r="L236">
        <f t="shared" si="43"/>
        <v>3.7359999999999998</v>
      </c>
      <c r="M236" t="e">
        <f t="shared" si="44"/>
        <v>#N/A</v>
      </c>
      <c r="N236" t="e">
        <f t="shared" si="45"/>
        <v>#N/A</v>
      </c>
      <c r="O236">
        <f t="shared" si="46"/>
        <v>1.0002359999999999</v>
      </c>
      <c r="T236">
        <f>IF(connections!$A236="","",IFERROR(INDEX(games!$B$2:$B$834,MATCH(connections!$A236,games!$A$2:$A$834,0)),""))</f>
        <v>2019</v>
      </c>
      <c r="U236">
        <f>IF(connections!$A236="","",IFERROR(INDEX(games!$B$2:$B$834,MATCH(connections!$B236,games!$A$2:$A$834,0)),""))</f>
        <v>2026</v>
      </c>
      <c r="V236">
        <f t="shared" si="47"/>
        <v>7</v>
      </c>
    </row>
    <row r="237" spans="1:22" x14ac:dyDescent="0.25">
      <c r="A237" t="str">
        <f>IF(games!$A237="","",games!$A237)</f>
        <v>Dungeons of Blood and Dream</v>
      </c>
      <c r="B237">
        <f>IF($A237="","",games!$B237)</f>
        <v>2024</v>
      </c>
      <c r="C237" t="str">
        <f>IF($A237="","",games!$C237)</f>
        <v>Action</v>
      </c>
      <c r="D237">
        <f>IF($A237="","",COUNTIF(connections!$A$2:$A$1188,$A237)+COUNTIF(connections!$B$2:$B$1188,$A237))</f>
        <v>1</v>
      </c>
      <c r="E237">
        <f t="shared" si="36"/>
        <v>1</v>
      </c>
      <c r="F237">
        <f t="shared" si="37"/>
        <v>33</v>
      </c>
      <c r="G237">
        <f t="shared" si="38"/>
        <v>2024</v>
      </c>
      <c r="H237">
        <f t="shared" si="39"/>
        <v>1.7589999999999999</v>
      </c>
      <c r="I237" t="e">
        <f t="shared" si="40"/>
        <v>#N/A</v>
      </c>
      <c r="J237" t="e">
        <f t="shared" si="41"/>
        <v>#N/A</v>
      </c>
      <c r="K237" t="e">
        <f t="shared" si="42"/>
        <v>#N/A</v>
      </c>
      <c r="L237" t="e">
        <f t="shared" si="43"/>
        <v>#N/A</v>
      </c>
      <c r="M237" t="e">
        <f t="shared" si="44"/>
        <v>#N/A</v>
      </c>
      <c r="N237" t="e">
        <f t="shared" si="45"/>
        <v>#N/A</v>
      </c>
      <c r="O237">
        <f t="shared" si="46"/>
        <v>1.000237</v>
      </c>
      <c r="T237">
        <f>IF(connections!$A237="","",IFERROR(INDEX(games!$B$2:$B$834,MATCH(connections!$A237,games!$A$2:$A$834,0)),""))</f>
        <v>2019</v>
      </c>
      <c r="U237">
        <f>IF(connections!$A237="","",IFERROR(INDEX(games!$B$2:$B$834,MATCH(connections!$B237,games!$A$2:$A$834,0)),""))</f>
        <v>2022</v>
      </c>
      <c r="V237">
        <f t="shared" si="47"/>
        <v>3</v>
      </c>
    </row>
    <row r="238" spans="1:22" x14ac:dyDescent="0.25">
      <c r="A238" t="str">
        <f>IF(games!$A238="","",games!$A238)</f>
        <v>Dungeons of Dredmor</v>
      </c>
      <c r="B238">
        <f>IF($A238="","",games!$B238)</f>
        <v>2011</v>
      </c>
      <c r="C238" t="str">
        <f>IF($A238="","",games!$C238)</f>
        <v>Traditional</v>
      </c>
      <c r="D238">
        <f>IF($A238="","",COUNTIF(connections!$A$2:$A$1188,$A238)+COUNTIF(connections!$B$2:$B$1188,$A238))</f>
        <v>5</v>
      </c>
      <c r="E238">
        <f t="shared" si="36"/>
        <v>4</v>
      </c>
      <c r="F238">
        <f t="shared" si="37"/>
        <v>0</v>
      </c>
      <c r="G238" t="e">
        <f t="shared" si="38"/>
        <v>#N/A</v>
      </c>
      <c r="H238" t="e">
        <f t="shared" si="39"/>
        <v>#N/A</v>
      </c>
      <c r="I238" t="e">
        <f t="shared" si="40"/>
        <v>#N/A</v>
      </c>
      <c r="J238" t="e">
        <f t="shared" si="41"/>
        <v>#N/A</v>
      </c>
      <c r="K238" t="e">
        <f t="shared" si="42"/>
        <v>#N/A</v>
      </c>
      <c r="L238" t="e">
        <f t="shared" si="43"/>
        <v>#N/A</v>
      </c>
      <c r="M238">
        <f t="shared" si="44"/>
        <v>2011</v>
      </c>
      <c r="N238">
        <f t="shared" si="45"/>
        <v>4</v>
      </c>
      <c r="O238">
        <f t="shared" si="46"/>
        <v>5.0002380000000004</v>
      </c>
      <c r="T238">
        <f>IF(connections!$A238="","",IFERROR(INDEX(games!$B$2:$B$834,MATCH(connections!$A238,games!$A$2:$A$834,0)),""))</f>
        <v>2019</v>
      </c>
      <c r="U238">
        <f>IF(connections!$A238="","",IFERROR(INDEX(games!$B$2:$B$834,MATCH(connections!$B238,games!$A$2:$A$834,0)),""))</f>
        <v>2024</v>
      </c>
      <c r="V238">
        <f t="shared" si="47"/>
        <v>5</v>
      </c>
    </row>
    <row r="239" spans="1:22" x14ac:dyDescent="0.25">
      <c r="A239" t="str">
        <f>IF(games!$A239="","",games!$A239)</f>
        <v>Dungreed</v>
      </c>
      <c r="B239">
        <f>IF($A239="","",games!$B239)</f>
        <v>2018</v>
      </c>
      <c r="C239" t="str">
        <f>IF($A239="","",games!$C239)</f>
        <v>Action</v>
      </c>
      <c r="D239">
        <f>IF($A239="","",COUNTIF(connections!$A$2:$A$1188,$A239)+COUNTIF(connections!$B$2:$B$1188,$A239))</f>
        <v>1</v>
      </c>
      <c r="E239">
        <f t="shared" si="36"/>
        <v>1</v>
      </c>
      <c r="F239">
        <f t="shared" si="37"/>
        <v>1</v>
      </c>
      <c r="G239">
        <f t="shared" si="38"/>
        <v>2018</v>
      </c>
      <c r="H239">
        <f t="shared" si="39"/>
        <v>1.0229999999999999</v>
      </c>
      <c r="I239" t="e">
        <f t="shared" si="40"/>
        <v>#N/A</v>
      </c>
      <c r="J239" t="e">
        <f t="shared" si="41"/>
        <v>#N/A</v>
      </c>
      <c r="K239" t="e">
        <f t="shared" si="42"/>
        <v>#N/A</v>
      </c>
      <c r="L239" t="e">
        <f t="shared" si="43"/>
        <v>#N/A</v>
      </c>
      <c r="M239" t="e">
        <f t="shared" si="44"/>
        <v>#N/A</v>
      </c>
      <c r="N239" t="e">
        <f t="shared" si="45"/>
        <v>#N/A</v>
      </c>
      <c r="O239">
        <f t="shared" si="46"/>
        <v>1.0002390000000001</v>
      </c>
      <c r="T239">
        <f>IF(connections!$A239="","",IFERROR(INDEX(games!$B$2:$B$834,MATCH(connections!$A239,games!$A$2:$A$834,0)),""))</f>
        <v>2019</v>
      </c>
      <c r="U239">
        <f>IF(connections!$A239="","",IFERROR(INDEX(games!$B$2:$B$834,MATCH(connections!$B239,games!$A$2:$A$834,0)),""))</f>
        <v>2025</v>
      </c>
      <c r="V239">
        <f t="shared" si="47"/>
        <v>6</v>
      </c>
    </row>
    <row r="240" spans="1:22" x14ac:dyDescent="0.25">
      <c r="A240" t="str">
        <f>IF(games!$A240="","",games!$A240)</f>
        <v>Dunjungle</v>
      </c>
      <c r="B240">
        <f>IF($A240="","",games!$B240)</f>
        <v>2025</v>
      </c>
      <c r="C240" t="str">
        <f>IF($A240="","",games!$C240)</f>
        <v>Action</v>
      </c>
      <c r="D240">
        <f>IF($A240="","",COUNTIF(connections!$A$2:$A$1188,$A240)+COUNTIF(connections!$B$2:$B$1188,$A240))</f>
        <v>4</v>
      </c>
      <c r="E240">
        <f t="shared" si="36"/>
        <v>1</v>
      </c>
      <c r="F240">
        <f t="shared" si="37"/>
        <v>2</v>
      </c>
      <c r="G240">
        <f t="shared" si="38"/>
        <v>2025</v>
      </c>
      <c r="H240">
        <f t="shared" si="39"/>
        <v>1.046</v>
      </c>
      <c r="I240" t="e">
        <f t="shared" si="40"/>
        <v>#N/A</v>
      </c>
      <c r="J240" t="e">
        <f t="shared" si="41"/>
        <v>#N/A</v>
      </c>
      <c r="K240" t="e">
        <f t="shared" si="42"/>
        <v>#N/A</v>
      </c>
      <c r="L240" t="e">
        <f t="shared" si="43"/>
        <v>#N/A</v>
      </c>
      <c r="M240" t="e">
        <f t="shared" si="44"/>
        <v>#N/A</v>
      </c>
      <c r="N240" t="e">
        <f t="shared" si="45"/>
        <v>#N/A</v>
      </c>
      <c r="O240">
        <f t="shared" si="46"/>
        <v>4.0002399999999998</v>
      </c>
      <c r="T240">
        <f>IF(connections!$A240="","",IFERROR(INDEX(games!$B$2:$B$834,MATCH(connections!$A240,games!$A$2:$A$834,0)),""))</f>
        <v>2019</v>
      </c>
      <c r="U240">
        <f>IF(connections!$A240="","",IFERROR(INDEX(games!$B$2:$B$834,MATCH(connections!$B240,games!$A$2:$A$834,0)),""))</f>
        <v>2025</v>
      </c>
      <c r="V240">
        <f t="shared" si="47"/>
        <v>6</v>
      </c>
    </row>
    <row r="241" spans="1:22" x14ac:dyDescent="0.25">
      <c r="A241" t="str">
        <f>IF(games!$A241="","",games!$A241)</f>
        <v>Dwarf Fortress</v>
      </c>
      <c r="B241">
        <f>IF($A241="","",games!$B241)</f>
        <v>2006</v>
      </c>
      <c r="C241" t="str">
        <f>IF($A241="","",games!$C241)</f>
        <v>Strategy</v>
      </c>
      <c r="D241">
        <f>IF($A241="","",COUNTIF(connections!$A$2:$A$1188,$A241)+COUNTIF(connections!$B$2:$B$1188,$A241))</f>
        <v>10</v>
      </c>
      <c r="E241">
        <f t="shared" si="36"/>
        <v>2</v>
      </c>
      <c r="F241">
        <f t="shared" si="37"/>
        <v>3</v>
      </c>
      <c r="G241" t="e">
        <f t="shared" si="38"/>
        <v>#N/A</v>
      </c>
      <c r="H241" t="e">
        <f t="shared" si="39"/>
        <v>#N/A</v>
      </c>
      <c r="I241">
        <f t="shared" si="40"/>
        <v>2006</v>
      </c>
      <c r="J241">
        <f t="shared" si="41"/>
        <v>2.069</v>
      </c>
      <c r="K241" t="e">
        <f t="shared" si="42"/>
        <v>#N/A</v>
      </c>
      <c r="L241" t="e">
        <f t="shared" si="43"/>
        <v>#N/A</v>
      </c>
      <c r="M241" t="e">
        <f t="shared" si="44"/>
        <v>#N/A</v>
      </c>
      <c r="N241" t="e">
        <f t="shared" si="45"/>
        <v>#N/A</v>
      </c>
      <c r="O241">
        <f t="shared" si="46"/>
        <v>10.000241000000001</v>
      </c>
      <c r="T241">
        <f>IF(connections!$A241="","",IFERROR(INDEX(games!$B$2:$B$834,MATCH(connections!$A241,games!$A$2:$A$834,0)),""))</f>
        <v>2019</v>
      </c>
      <c r="U241">
        <f>IF(connections!$A241="","",IFERROR(INDEX(games!$B$2:$B$834,MATCH(connections!$B241,games!$A$2:$A$834,0)),""))</f>
        <v>2025</v>
      </c>
      <c r="V241">
        <f t="shared" si="47"/>
        <v>6</v>
      </c>
    </row>
    <row r="242" spans="1:22" x14ac:dyDescent="0.25">
      <c r="A242" t="str">
        <f>IF(games!$A242="","",games!$A242)</f>
        <v>Dwarves: Glory, Death and Loot</v>
      </c>
      <c r="B242">
        <f>IF($A242="","",games!$B242)</f>
        <v>2023</v>
      </c>
      <c r="C242" t="str">
        <f>IF($A242="","",games!$C242)</f>
        <v>Strategy</v>
      </c>
      <c r="D242">
        <f>IF($A242="","",COUNTIF(connections!$A$2:$A$1188,$A242)+COUNTIF(connections!$B$2:$B$1188,$A242))</f>
        <v>1</v>
      </c>
      <c r="E242">
        <f t="shared" si="36"/>
        <v>2</v>
      </c>
      <c r="F242">
        <f t="shared" si="37"/>
        <v>4</v>
      </c>
      <c r="G242" t="e">
        <f t="shared" si="38"/>
        <v>#N/A</v>
      </c>
      <c r="H242" t="e">
        <f t="shared" si="39"/>
        <v>#N/A</v>
      </c>
      <c r="I242">
        <f t="shared" si="40"/>
        <v>2023</v>
      </c>
      <c r="J242">
        <f t="shared" si="41"/>
        <v>2.0920000000000001</v>
      </c>
      <c r="K242" t="e">
        <f t="shared" si="42"/>
        <v>#N/A</v>
      </c>
      <c r="L242" t="e">
        <f t="shared" si="43"/>
        <v>#N/A</v>
      </c>
      <c r="M242" t="e">
        <f t="shared" si="44"/>
        <v>#N/A</v>
      </c>
      <c r="N242" t="e">
        <f t="shared" si="45"/>
        <v>#N/A</v>
      </c>
      <c r="O242">
        <f t="shared" si="46"/>
        <v>1.0002420000000001</v>
      </c>
      <c r="T242">
        <f>IF(connections!$A242="","",IFERROR(INDEX(games!$B$2:$B$834,MATCH(connections!$A242,games!$A$2:$A$834,0)),""))</f>
        <v>2019</v>
      </c>
      <c r="U242">
        <f>IF(connections!$A242="","",IFERROR(INDEX(games!$B$2:$B$834,MATCH(connections!$B242,games!$A$2:$A$834,0)),""))</f>
        <v>2024</v>
      </c>
      <c r="V242">
        <f t="shared" si="47"/>
        <v>5</v>
      </c>
    </row>
    <row r="243" spans="1:22" x14ac:dyDescent="0.25">
      <c r="A243" t="str">
        <f>IF(games!$A243="","",games!$A243)</f>
        <v>Elden Ring Nightreign</v>
      </c>
      <c r="B243">
        <f>IF($A243="","",games!$B243)</f>
        <v>2025</v>
      </c>
      <c r="C243" t="str">
        <f>IF($A243="","",games!$C243)</f>
        <v>Action</v>
      </c>
      <c r="D243">
        <f>IF($A243="","",COUNTIF(connections!$A$2:$A$1188,$A243)+COUNTIF(connections!$B$2:$B$1188,$A243))</f>
        <v>1</v>
      </c>
      <c r="E243">
        <f t="shared" si="36"/>
        <v>1</v>
      </c>
      <c r="F243">
        <f t="shared" si="37"/>
        <v>5</v>
      </c>
      <c r="G243">
        <f t="shared" si="38"/>
        <v>2025</v>
      </c>
      <c r="H243">
        <f t="shared" si="39"/>
        <v>1.115</v>
      </c>
      <c r="I243" t="e">
        <f t="shared" si="40"/>
        <v>#N/A</v>
      </c>
      <c r="J243" t="e">
        <f t="shared" si="41"/>
        <v>#N/A</v>
      </c>
      <c r="K243" t="e">
        <f t="shared" si="42"/>
        <v>#N/A</v>
      </c>
      <c r="L243" t="e">
        <f t="shared" si="43"/>
        <v>#N/A</v>
      </c>
      <c r="M243" t="e">
        <f t="shared" si="44"/>
        <v>#N/A</v>
      </c>
      <c r="N243" t="e">
        <f t="shared" si="45"/>
        <v>#N/A</v>
      </c>
      <c r="O243">
        <f t="shared" si="46"/>
        <v>1.000243</v>
      </c>
      <c r="T243">
        <f>IF(connections!$A243="","",IFERROR(INDEX(games!$B$2:$B$834,MATCH(connections!$A243,games!$A$2:$A$834,0)),""))</f>
        <v>2019</v>
      </c>
      <c r="U243">
        <f>IF(connections!$A243="","",IFERROR(INDEX(games!$B$2:$B$834,MATCH(connections!$B243,games!$A$2:$A$834,0)),""))</f>
        <v>2024</v>
      </c>
      <c r="V243">
        <f t="shared" si="47"/>
        <v>5</v>
      </c>
    </row>
    <row r="244" spans="1:22" x14ac:dyDescent="0.25">
      <c r="A244" t="str">
        <f>IF(games!$A244="","",games!$A244)</f>
        <v>Eldritch</v>
      </c>
      <c r="B244">
        <f>IF($A244="","",games!$B244)</f>
        <v>2013</v>
      </c>
      <c r="C244" t="str">
        <f>IF($A244="","",games!$C244)</f>
        <v>Action</v>
      </c>
      <c r="D244">
        <f>IF($A244="","",COUNTIF(connections!$A$2:$A$1188,$A244)+COUNTIF(connections!$B$2:$B$1188,$A244))</f>
        <v>1</v>
      </c>
      <c r="E244">
        <f t="shared" si="36"/>
        <v>1</v>
      </c>
      <c r="F244">
        <f t="shared" si="37"/>
        <v>6</v>
      </c>
      <c r="G244">
        <f t="shared" si="38"/>
        <v>2013</v>
      </c>
      <c r="H244">
        <f t="shared" si="39"/>
        <v>1.1379999999999999</v>
      </c>
      <c r="I244" t="e">
        <f t="shared" si="40"/>
        <v>#N/A</v>
      </c>
      <c r="J244" t="e">
        <f t="shared" si="41"/>
        <v>#N/A</v>
      </c>
      <c r="K244" t="e">
        <f t="shared" si="42"/>
        <v>#N/A</v>
      </c>
      <c r="L244" t="e">
        <f t="shared" si="43"/>
        <v>#N/A</v>
      </c>
      <c r="M244" t="e">
        <f t="shared" si="44"/>
        <v>#N/A</v>
      </c>
      <c r="N244" t="e">
        <f t="shared" si="45"/>
        <v>#N/A</v>
      </c>
      <c r="O244">
        <f t="shared" si="46"/>
        <v>1.0002439999999999</v>
      </c>
      <c r="T244">
        <f>IF(connections!$A244="","",IFERROR(INDEX(games!$B$2:$B$834,MATCH(connections!$A244,games!$A$2:$A$834,0)),""))</f>
        <v>2022</v>
      </c>
      <c r="U244">
        <f>IF(connections!$A244="","",IFERROR(INDEX(games!$B$2:$B$834,MATCH(connections!$B244,games!$A$2:$A$834,0)),""))</f>
        <v>2024</v>
      </c>
      <c r="V244">
        <f t="shared" si="47"/>
        <v>2</v>
      </c>
    </row>
    <row r="245" spans="1:22" x14ac:dyDescent="0.25">
      <c r="A245" t="str">
        <f>IF(games!$A245="","",games!$A245)</f>
        <v>Elemental Survivors</v>
      </c>
      <c r="B245">
        <f>IF($A245="","",games!$B245)</f>
        <v>2023</v>
      </c>
      <c r="C245" t="str">
        <f>IF($A245="","",games!$C245)</f>
        <v>Action</v>
      </c>
      <c r="D245">
        <f>IF($A245="","",COUNTIF(connections!$A$2:$A$1188,$A245)+COUNTIF(connections!$B$2:$B$1188,$A245))</f>
        <v>1</v>
      </c>
      <c r="E245">
        <f t="shared" si="36"/>
        <v>1</v>
      </c>
      <c r="F245">
        <f t="shared" si="37"/>
        <v>7</v>
      </c>
      <c r="G245">
        <f t="shared" si="38"/>
        <v>2023</v>
      </c>
      <c r="H245">
        <f t="shared" si="39"/>
        <v>1.161</v>
      </c>
      <c r="I245" t="e">
        <f t="shared" si="40"/>
        <v>#N/A</v>
      </c>
      <c r="J245" t="e">
        <f t="shared" si="41"/>
        <v>#N/A</v>
      </c>
      <c r="K245" t="e">
        <f t="shared" si="42"/>
        <v>#N/A</v>
      </c>
      <c r="L245" t="e">
        <f t="shared" si="43"/>
        <v>#N/A</v>
      </c>
      <c r="M245" t="e">
        <f t="shared" si="44"/>
        <v>#N/A</v>
      </c>
      <c r="N245" t="e">
        <f t="shared" si="45"/>
        <v>#N/A</v>
      </c>
      <c r="O245">
        <f t="shared" si="46"/>
        <v>1.0002450000000001</v>
      </c>
      <c r="T245">
        <f>IF(connections!$A245="","",IFERROR(INDEX(games!$B$2:$B$834,MATCH(connections!$A245,games!$A$2:$A$834,0)),""))</f>
        <v>2022</v>
      </c>
      <c r="U245">
        <f>IF(connections!$A245="","",IFERROR(INDEX(games!$B$2:$B$834,MATCH(connections!$B245,games!$A$2:$A$834,0)),""))</f>
        <v>2025</v>
      </c>
      <c r="V245">
        <f t="shared" si="47"/>
        <v>3</v>
      </c>
    </row>
    <row r="246" spans="1:22" x14ac:dyDescent="0.25">
      <c r="A246" t="str">
        <f>IF(games!$A246="","",games!$A246)</f>
        <v>Elewar: Fused Survivors</v>
      </c>
      <c r="B246">
        <f>IF($A246="","",games!$B246)</f>
        <v>2023</v>
      </c>
      <c r="C246" t="str">
        <f>IF($A246="","",games!$C246)</f>
        <v>Action</v>
      </c>
      <c r="D246">
        <f>IF($A246="","",COUNTIF(connections!$A$2:$A$1188,$A246)+COUNTIF(connections!$B$2:$B$1188,$A246))</f>
        <v>1</v>
      </c>
      <c r="E246">
        <f t="shared" si="36"/>
        <v>1</v>
      </c>
      <c r="F246">
        <f t="shared" si="37"/>
        <v>8</v>
      </c>
      <c r="G246">
        <f t="shared" si="38"/>
        <v>2023</v>
      </c>
      <c r="H246">
        <f t="shared" si="39"/>
        <v>1.1839999999999999</v>
      </c>
      <c r="I246" t="e">
        <f t="shared" si="40"/>
        <v>#N/A</v>
      </c>
      <c r="J246" t="e">
        <f t="shared" si="41"/>
        <v>#N/A</v>
      </c>
      <c r="K246" t="e">
        <f t="shared" si="42"/>
        <v>#N/A</v>
      </c>
      <c r="L246" t="e">
        <f t="shared" si="43"/>
        <v>#N/A</v>
      </c>
      <c r="M246" t="e">
        <f t="shared" si="44"/>
        <v>#N/A</v>
      </c>
      <c r="N246" t="e">
        <f t="shared" si="45"/>
        <v>#N/A</v>
      </c>
      <c r="O246">
        <f t="shared" si="46"/>
        <v>1.000246</v>
      </c>
      <c r="T246">
        <f>IF(connections!$A246="","",IFERROR(INDEX(games!$B$2:$B$834,MATCH(connections!$A246,games!$A$2:$A$834,0)),""))</f>
        <v>2022</v>
      </c>
      <c r="U246">
        <f>IF(connections!$A246="","",IFERROR(INDEX(games!$B$2:$B$834,MATCH(connections!$B246,games!$A$2:$A$834,0)),""))</f>
        <v>2023</v>
      </c>
      <c r="V246">
        <f t="shared" si="47"/>
        <v>1</v>
      </c>
    </row>
    <row r="247" spans="1:22" x14ac:dyDescent="0.25">
      <c r="A247" t="str">
        <f>IF(games!$A247="","",games!$A247)</f>
        <v>Elin</v>
      </c>
      <c r="B247">
        <f>IF($A247="","",games!$B247)</f>
        <v>2024</v>
      </c>
      <c r="C247" t="str">
        <f>IF($A247="","",games!$C247)</f>
        <v>Traditional</v>
      </c>
      <c r="D247">
        <f>IF($A247="","",COUNTIF(connections!$A$2:$A$1188,$A247)+COUNTIF(connections!$B$2:$B$1188,$A247))</f>
        <v>1</v>
      </c>
      <c r="E247">
        <f t="shared" si="36"/>
        <v>4</v>
      </c>
      <c r="F247">
        <f t="shared" si="37"/>
        <v>9</v>
      </c>
      <c r="G247" t="e">
        <f t="shared" si="38"/>
        <v>#N/A</v>
      </c>
      <c r="H247" t="e">
        <f t="shared" si="39"/>
        <v>#N/A</v>
      </c>
      <c r="I247" t="e">
        <f t="shared" si="40"/>
        <v>#N/A</v>
      </c>
      <c r="J247" t="e">
        <f t="shared" si="41"/>
        <v>#N/A</v>
      </c>
      <c r="K247" t="e">
        <f t="shared" si="42"/>
        <v>#N/A</v>
      </c>
      <c r="L247" t="e">
        <f t="shared" si="43"/>
        <v>#N/A</v>
      </c>
      <c r="M247">
        <f t="shared" si="44"/>
        <v>2024</v>
      </c>
      <c r="N247">
        <f t="shared" si="45"/>
        <v>4.2069999999999999</v>
      </c>
      <c r="O247">
        <f t="shared" si="46"/>
        <v>1.0002470000000001</v>
      </c>
      <c r="T247">
        <f>IF(connections!$A247="","",IFERROR(INDEX(games!$B$2:$B$834,MATCH(connections!$A247,games!$A$2:$A$834,0)),""))</f>
        <v>2013</v>
      </c>
      <c r="U247">
        <f>IF(connections!$A247="","",IFERROR(INDEX(games!$B$2:$B$834,MATCH(connections!$B247,games!$A$2:$A$834,0)),""))</f>
        <v>2022</v>
      </c>
      <c r="V247">
        <f t="shared" si="47"/>
        <v>9</v>
      </c>
    </row>
    <row r="248" spans="1:22" x14ac:dyDescent="0.25">
      <c r="A248" t="str">
        <f>IF(games!$A248="","",games!$A248)</f>
        <v>Elona</v>
      </c>
      <c r="B248">
        <f>IF($A248="","",games!$B248)</f>
        <v>2008</v>
      </c>
      <c r="C248" t="str">
        <f>IF($A248="","",games!$C248)</f>
        <v>Traditional</v>
      </c>
      <c r="D248">
        <f>IF($A248="","",COUNTIF(connections!$A$2:$A$1188,$A248)+COUNTIF(connections!$B$2:$B$1188,$A248))</f>
        <v>5</v>
      </c>
      <c r="E248">
        <f t="shared" si="36"/>
        <v>4</v>
      </c>
      <c r="F248">
        <f t="shared" si="37"/>
        <v>10</v>
      </c>
      <c r="G248" t="e">
        <f t="shared" si="38"/>
        <v>#N/A</v>
      </c>
      <c r="H248" t="e">
        <f t="shared" si="39"/>
        <v>#N/A</v>
      </c>
      <c r="I248" t="e">
        <f t="shared" si="40"/>
        <v>#N/A</v>
      </c>
      <c r="J248" t="e">
        <f t="shared" si="41"/>
        <v>#N/A</v>
      </c>
      <c r="K248" t="e">
        <f t="shared" si="42"/>
        <v>#N/A</v>
      </c>
      <c r="L248" t="e">
        <f t="shared" si="43"/>
        <v>#N/A</v>
      </c>
      <c r="M248">
        <f t="shared" si="44"/>
        <v>2008</v>
      </c>
      <c r="N248">
        <f t="shared" si="45"/>
        <v>4.2300000000000004</v>
      </c>
      <c r="O248">
        <f t="shared" si="46"/>
        <v>5.000248</v>
      </c>
      <c r="T248">
        <f>IF(connections!$A248="","",IFERROR(INDEX(games!$B$2:$B$834,MATCH(connections!$A248,games!$A$2:$A$834,0)),""))</f>
        <v>2013</v>
      </c>
      <c r="U248">
        <f>IF(connections!$A248="","",IFERROR(INDEX(games!$B$2:$B$834,MATCH(connections!$B248,games!$A$2:$A$834,0)),""))</f>
        <v>2014</v>
      </c>
      <c r="V248">
        <f t="shared" si="47"/>
        <v>1</v>
      </c>
    </row>
    <row r="249" spans="1:22" x14ac:dyDescent="0.25">
      <c r="A249" t="str">
        <f>IF(games!$A249="","",games!$A249)</f>
        <v>Ember Knights</v>
      </c>
      <c r="B249">
        <f>IF($A249="","",games!$B249)</f>
        <v>2022</v>
      </c>
      <c r="C249" t="str">
        <f>IF($A249="","",games!$C249)</f>
        <v>Action</v>
      </c>
      <c r="D249">
        <f>IF($A249="","",COUNTIF(connections!$A$2:$A$1188,$A249)+COUNTIF(connections!$B$2:$B$1188,$A249))</f>
        <v>5</v>
      </c>
      <c r="E249">
        <f t="shared" si="36"/>
        <v>1</v>
      </c>
      <c r="F249">
        <f t="shared" si="37"/>
        <v>11</v>
      </c>
      <c r="G249">
        <f t="shared" si="38"/>
        <v>2022</v>
      </c>
      <c r="H249">
        <f t="shared" si="39"/>
        <v>1.2530000000000001</v>
      </c>
      <c r="I249" t="e">
        <f t="shared" si="40"/>
        <v>#N/A</v>
      </c>
      <c r="J249" t="e">
        <f t="shared" si="41"/>
        <v>#N/A</v>
      </c>
      <c r="K249" t="e">
        <f t="shared" si="42"/>
        <v>#N/A</v>
      </c>
      <c r="L249" t="e">
        <f t="shared" si="43"/>
        <v>#N/A</v>
      </c>
      <c r="M249" t="e">
        <f t="shared" si="44"/>
        <v>#N/A</v>
      </c>
      <c r="N249" t="e">
        <f t="shared" si="45"/>
        <v>#N/A</v>
      </c>
      <c r="O249">
        <f t="shared" si="46"/>
        <v>5.0002490000000002</v>
      </c>
      <c r="T249">
        <f>IF(connections!$A249="","",IFERROR(INDEX(games!$B$2:$B$834,MATCH(connections!$A249,games!$A$2:$A$834,0)),""))</f>
        <v>2013</v>
      </c>
      <c r="U249">
        <f>IF(connections!$A249="","",IFERROR(INDEX(games!$B$2:$B$834,MATCH(connections!$B249,games!$A$2:$A$834,0)),""))</f>
        <v>2026</v>
      </c>
      <c r="V249">
        <f t="shared" si="47"/>
        <v>13</v>
      </c>
    </row>
    <row r="250" spans="1:22" x14ac:dyDescent="0.25">
      <c r="A250" t="str">
        <f>IF(games!$A250="","",games!$A250)</f>
        <v>Emberward</v>
      </c>
      <c r="B250">
        <f>IF($A250="","",games!$B250)</f>
        <v>2024</v>
      </c>
      <c r="C250" t="str">
        <f>IF($A250="","",games!$C250)</f>
        <v>Strategy</v>
      </c>
      <c r="D250">
        <f>IF($A250="","",COUNTIF(connections!$A$2:$A$1188,$A250)+COUNTIF(connections!$B$2:$B$1188,$A250))</f>
        <v>1</v>
      </c>
      <c r="E250">
        <f t="shared" si="36"/>
        <v>2</v>
      </c>
      <c r="F250">
        <f t="shared" si="37"/>
        <v>12</v>
      </c>
      <c r="G250" t="e">
        <f t="shared" si="38"/>
        <v>#N/A</v>
      </c>
      <c r="H250" t="e">
        <f t="shared" si="39"/>
        <v>#N/A</v>
      </c>
      <c r="I250">
        <f t="shared" si="40"/>
        <v>2024</v>
      </c>
      <c r="J250">
        <f t="shared" si="41"/>
        <v>2.2759999999999998</v>
      </c>
      <c r="K250" t="e">
        <f t="shared" si="42"/>
        <v>#N/A</v>
      </c>
      <c r="L250" t="e">
        <f t="shared" si="43"/>
        <v>#N/A</v>
      </c>
      <c r="M250" t="e">
        <f t="shared" si="44"/>
        <v>#N/A</v>
      </c>
      <c r="N250" t="e">
        <f t="shared" si="45"/>
        <v>#N/A</v>
      </c>
      <c r="O250">
        <f t="shared" si="46"/>
        <v>1.0002500000000001</v>
      </c>
      <c r="T250">
        <f>IF(connections!$A250="","",IFERROR(INDEX(games!$B$2:$B$834,MATCH(connections!$A250,games!$A$2:$A$834,0)),""))</f>
        <v>2013</v>
      </c>
      <c r="U250">
        <f>IF(connections!$A250="","",IFERROR(INDEX(games!$B$2:$B$834,MATCH(connections!$B250,games!$A$2:$A$834,0)),""))</f>
        <v>2014</v>
      </c>
      <c r="V250">
        <f t="shared" si="47"/>
        <v>1</v>
      </c>
    </row>
    <row r="251" spans="1:22" x14ac:dyDescent="0.25">
      <c r="A251" t="str">
        <f>IF(games!$A251="","",games!$A251)</f>
        <v>Endgame of Devil</v>
      </c>
      <c r="B251">
        <f>IF($A251="","",games!$B251)</f>
        <v>2023</v>
      </c>
      <c r="C251" t="str">
        <f>IF($A251="","",games!$C251)</f>
        <v>Deckbuilder</v>
      </c>
      <c r="D251">
        <f>IF($A251="","",COUNTIF(connections!$A$2:$A$1188,$A251)+COUNTIF(connections!$B$2:$B$1188,$A251))</f>
        <v>1</v>
      </c>
      <c r="E251">
        <f t="shared" si="36"/>
        <v>3</v>
      </c>
      <c r="F251">
        <f t="shared" si="37"/>
        <v>13</v>
      </c>
      <c r="G251" t="e">
        <f t="shared" si="38"/>
        <v>#N/A</v>
      </c>
      <c r="H251" t="e">
        <f t="shared" si="39"/>
        <v>#N/A</v>
      </c>
      <c r="I251" t="e">
        <f t="shared" si="40"/>
        <v>#N/A</v>
      </c>
      <c r="J251" t="e">
        <f t="shared" si="41"/>
        <v>#N/A</v>
      </c>
      <c r="K251">
        <f t="shared" si="42"/>
        <v>2023</v>
      </c>
      <c r="L251">
        <f t="shared" si="43"/>
        <v>3.2989999999999999</v>
      </c>
      <c r="M251" t="e">
        <f t="shared" si="44"/>
        <v>#N/A</v>
      </c>
      <c r="N251" t="e">
        <f t="shared" si="45"/>
        <v>#N/A</v>
      </c>
      <c r="O251">
        <f t="shared" si="46"/>
        <v>1.000251</v>
      </c>
      <c r="T251">
        <f>IF(connections!$A251="","",IFERROR(INDEX(games!$B$2:$B$834,MATCH(connections!$A251,games!$A$2:$A$834,0)),""))</f>
        <v>2013</v>
      </c>
      <c r="U251">
        <f>IF(connections!$A251="","",IFERROR(INDEX(games!$B$2:$B$834,MATCH(connections!$B251,games!$A$2:$A$834,0)),""))</f>
        <v>2016</v>
      </c>
      <c r="V251">
        <f t="shared" si="47"/>
        <v>3</v>
      </c>
    </row>
    <row r="252" spans="1:22" x14ac:dyDescent="0.25">
      <c r="A252" t="str">
        <f>IF(games!$A252="","",games!$A252)</f>
        <v>Endless Alice</v>
      </c>
      <c r="B252">
        <f>IF($A252="","",games!$B252)</f>
        <v>2025</v>
      </c>
      <c r="C252" t="str">
        <f>IF($A252="","",games!$C252)</f>
        <v>Action</v>
      </c>
      <c r="D252">
        <f>IF($A252="","",COUNTIF(connections!$A$2:$A$1188,$A252)+COUNTIF(connections!$B$2:$B$1188,$A252))</f>
        <v>1</v>
      </c>
      <c r="E252">
        <f t="shared" si="36"/>
        <v>1</v>
      </c>
      <c r="F252">
        <f t="shared" si="37"/>
        <v>14</v>
      </c>
      <c r="G252">
        <f t="shared" si="38"/>
        <v>2025</v>
      </c>
      <c r="H252">
        <f t="shared" si="39"/>
        <v>1.3220000000000001</v>
      </c>
      <c r="I252" t="e">
        <f t="shared" si="40"/>
        <v>#N/A</v>
      </c>
      <c r="J252" t="e">
        <f t="shared" si="41"/>
        <v>#N/A</v>
      </c>
      <c r="K252" t="e">
        <f t="shared" si="42"/>
        <v>#N/A</v>
      </c>
      <c r="L252" t="e">
        <f t="shared" si="43"/>
        <v>#N/A</v>
      </c>
      <c r="M252" t="e">
        <f t="shared" si="44"/>
        <v>#N/A</v>
      </c>
      <c r="N252" t="e">
        <f t="shared" si="45"/>
        <v>#N/A</v>
      </c>
      <c r="O252">
        <f t="shared" si="46"/>
        <v>1.0002519999999999</v>
      </c>
      <c r="T252">
        <f>IF(connections!$A252="","",IFERROR(INDEX(games!$B$2:$B$834,MATCH(connections!$A252,games!$A$2:$A$834,0)),""))</f>
        <v>2002</v>
      </c>
      <c r="U252">
        <f>IF(connections!$A252="","",IFERROR(INDEX(games!$B$2:$B$834,MATCH(connections!$B252,games!$A$2:$A$834,0)),""))</f>
        <v>2010</v>
      </c>
      <c r="V252">
        <f t="shared" si="47"/>
        <v>8</v>
      </c>
    </row>
    <row r="253" spans="1:22" x14ac:dyDescent="0.25">
      <c r="A253" t="str">
        <f>IF(games!$A253="","",games!$A253)</f>
        <v>Enter the Gungeon</v>
      </c>
      <c r="B253">
        <f>IF($A253="","",games!$B253)</f>
        <v>2016</v>
      </c>
      <c r="C253" t="str">
        <f>IF($A253="","",games!$C253)</f>
        <v>Action</v>
      </c>
      <c r="D253">
        <f>IF($A253="","",COUNTIF(connections!$A$2:$A$1188,$A253)+COUNTIF(connections!$B$2:$B$1188,$A253))</f>
        <v>26</v>
      </c>
      <c r="E253">
        <f t="shared" si="36"/>
        <v>1</v>
      </c>
      <c r="F253">
        <f t="shared" si="37"/>
        <v>15</v>
      </c>
      <c r="G253">
        <f t="shared" si="38"/>
        <v>2016</v>
      </c>
      <c r="H253">
        <f t="shared" si="39"/>
        <v>1.345</v>
      </c>
      <c r="I253" t="e">
        <f t="shared" si="40"/>
        <v>#N/A</v>
      </c>
      <c r="J253" t="e">
        <f t="shared" si="41"/>
        <v>#N/A</v>
      </c>
      <c r="K253" t="e">
        <f t="shared" si="42"/>
        <v>#N/A</v>
      </c>
      <c r="L253" t="e">
        <f t="shared" si="43"/>
        <v>#N/A</v>
      </c>
      <c r="M253" t="e">
        <f t="shared" si="44"/>
        <v>#N/A</v>
      </c>
      <c r="N253" t="e">
        <f t="shared" si="45"/>
        <v>#N/A</v>
      </c>
      <c r="O253">
        <f t="shared" si="46"/>
        <v>26.000253000000001</v>
      </c>
      <c r="T253">
        <f>IF(connections!$A253="","",IFERROR(INDEX(games!$B$2:$B$834,MATCH(connections!$A253,games!$A$2:$A$834,0)),""))</f>
        <v>2002</v>
      </c>
      <c r="U253">
        <f>IF(connections!$A253="","",IFERROR(INDEX(games!$B$2:$B$834,MATCH(connections!$B253,games!$A$2:$A$834,0)),""))</f>
        <v>2010</v>
      </c>
      <c r="V253">
        <f t="shared" si="47"/>
        <v>8</v>
      </c>
    </row>
    <row r="254" spans="1:22" x14ac:dyDescent="0.25">
      <c r="A254" t="str">
        <f>IF(games!$A254="","",games!$A254)</f>
        <v>Escape The Mad Empire</v>
      </c>
      <c r="B254">
        <f>IF($A254="","",games!$B254)</f>
        <v>2025</v>
      </c>
      <c r="C254" t="str">
        <f>IF($A254="","",games!$C254)</f>
        <v>Strategy</v>
      </c>
      <c r="D254">
        <f>IF($A254="","",COUNTIF(connections!$A$2:$A$1188,$A254)+COUNTIF(connections!$B$2:$B$1188,$A254))</f>
        <v>6</v>
      </c>
      <c r="E254">
        <f t="shared" si="36"/>
        <v>2</v>
      </c>
      <c r="F254">
        <f t="shared" si="37"/>
        <v>16</v>
      </c>
      <c r="G254" t="e">
        <f t="shared" si="38"/>
        <v>#N/A</v>
      </c>
      <c r="H254" t="e">
        <f t="shared" si="39"/>
        <v>#N/A</v>
      </c>
      <c r="I254">
        <f t="shared" si="40"/>
        <v>2025</v>
      </c>
      <c r="J254">
        <f t="shared" si="41"/>
        <v>2.3679999999999999</v>
      </c>
      <c r="K254" t="e">
        <f t="shared" si="42"/>
        <v>#N/A</v>
      </c>
      <c r="L254" t="e">
        <f t="shared" si="43"/>
        <v>#N/A</v>
      </c>
      <c r="M254" t="e">
        <f t="shared" si="44"/>
        <v>#N/A</v>
      </c>
      <c r="N254" t="e">
        <f t="shared" si="45"/>
        <v>#N/A</v>
      </c>
      <c r="O254">
        <f t="shared" si="46"/>
        <v>6.000254</v>
      </c>
      <c r="T254">
        <f>IF(connections!$A254="","",IFERROR(INDEX(games!$B$2:$B$834,MATCH(connections!$A254,games!$A$2:$A$834,0)),""))</f>
        <v>2002</v>
      </c>
      <c r="U254">
        <f>IF(connections!$A254="","",IFERROR(INDEX(games!$B$2:$B$834,MATCH(connections!$B254,games!$A$2:$A$834,0)),""))</f>
        <v>2010</v>
      </c>
      <c r="V254">
        <f t="shared" si="47"/>
        <v>8</v>
      </c>
    </row>
    <row r="255" spans="1:22" x14ac:dyDescent="0.25">
      <c r="A255" t="str">
        <f>IF(games!$A255="","",games!$A255)</f>
        <v>Etrian Mystery Dungeon</v>
      </c>
      <c r="B255">
        <f>IF($A255="","",games!$B255)</f>
        <v>2015</v>
      </c>
      <c r="C255" t="str">
        <f>IF($A255="","",games!$C255)</f>
        <v>Traditional</v>
      </c>
      <c r="D255">
        <f>IF($A255="","",COUNTIF(connections!$A$2:$A$1188,$A255)+COUNTIF(connections!$B$2:$B$1188,$A255))</f>
        <v>2</v>
      </c>
      <c r="E255">
        <f t="shared" si="36"/>
        <v>4</v>
      </c>
      <c r="F255">
        <f t="shared" si="37"/>
        <v>17</v>
      </c>
      <c r="G255" t="e">
        <f t="shared" si="38"/>
        <v>#N/A</v>
      </c>
      <c r="H255" t="e">
        <f t="shared" si="39"/>
        <v>#N/A</v>
      </c>
      <c r="I255" t="e">
        <f t="shared" si="40"/>
        <v>#N/A</v>
      </c>
      <c r="J255" t="e">
        <f t="shared" si="41"/>
        <v>#N/A</v>
      </c>
      <c r="K255" t="e">
        <f t="shared" si="42"/>
        <v>#N/A</v>
      </c>
      <c r="L255" t="e">
        <f t="shared" si="43"/>
        <v>#N/A</v>
      </c>
      <c r="M255">
        <f t="shared" si="44"/>
        <v>2015</v>
      </c>
      <c r="N255">
        <f t="shared" si="45"/>
        <v>4.391</v>
      </c>
      <c r="O255">
        <f t="shared" si="46"/>
        <v>2.0002550000000001</v>
      </c>
      <c r="T255">
        <f>IF(connections!$A255="","",IFERROR(INDEX(games!$B$2:$B$834,MATCH(connections!$A255,games!$A$2:$A$834,0)),""))</f>
        <v>2002</v>
      </c>
      <c r="U255">
        <f>IF(connections!$A255="","",IFERROR(INDEX(games!$B$2:$B$834,MATCH(connections!$B255,games!$A$2:$A$834,0)),""))</f>
        <v>2006</v>
      </c>
      <c r="V255">
        <f t="shared" si="47"/>
        <v>4</v>
      </c>
    </row>
    <row r="256" spans="1:22" x14ac:dyDescent="0.25">
      <c r="A256" t="str">
        <f>IF(games!$A256="","",games!$A256)</f>
        <v>Etrian Mystery Dungeon 2</v>
      </c>
      <c r="B256">
        <f>IF($A256="","",games!$B256)</f>
        <v>2017</v>
      </c>
      <c r="C256" t="str">
        <f>IF($A256="","",games!$C256)</f>
        <v>Traditional</v>
      </c>
      <c r="D256">
        <f>IF($A256="","",COUNTIF(connections!$A$2:$A$1188,$A256)+COUNTIF(connections!$B$2:$B$1188,$A256))</f>
        <v>1</v>
      </c>
      <c r="E256">
        <f t="shared" si="36"/>
        <v>4</v>
      </c>
      <c r="F256">
        <f t="shared" si="37"/>
        <v>18</v>
      </c>
      <c r="G256" t="e">
        <f t="shared" si="38"/>
        <v>#N/A</v>
      </c>
      <c r="H256" t="e">
        <f t="shared" si="39"/>
        <v>#N/A</v>
      </c>
      <c r="I256" t="e">
        <f t="shared" si="40"/>
        <v>#N/A</v>
      </c>
      <c r="J256" t="e">
        <f t="shared" si="41"/>
        <v>#N/A</v>
      </c>
      <c r="K256" t="e">
        <f t="shared" si="42"/>
        <v>#N/A</v>
      </c>
      <c r="L256" t="e">
        <f t="shared" si="43"/>
        <v>#N/A</v>
      </c>
      <c r="M256">
        <f t="shared" si="44"/>
        <v>2017</v>
      </c>
      <c r="N256">
        <f t="shared" si="45"/>
        <v>4.4139999999999997</v>
      </c>
      <c r="O256">
        <f t="shared" si="46"/>
        <v>1.000256</v>
      </c>
      <c r="T256">
        <f>IF(connections!$A256="","",IFERROR(INDEX(games!$B$2:$B$834,MATCH(connections!$A256,games!$A$2:$A$834,0)),""))</f>
        <v>2002</v>
      </c>
      <c r="U256">
        <f>IF(connections!$A256="","",IFERROR(INDEX(games!$B$2:$B$834,MATCH(connections!$B256,games!$A$2:$A$834,0)),""))</f>
        <v>2011</v>
      </c>
      <c r="V256">
        <f t="shared" si="47"/>
        <v>9</v>
      </c>
    </row>
    <row r="257" spans="1:22" x14ac:dyDescent="0.25">
      <c r="A257" t="str">
        <f>IF(games!$A257="","",games!$A257)</f>
        <v>Everything is Crab</v>
      </c>
      <c r="B257">
        <f>IF($A257="","",games!$B257)</f>
        <v>2026</v>
      </c>
      <c r="C257" t="str">
        <f>IF($A257="","",games!$C257)</f>
        <v>Action</v>
      </c>
      <c r="D257">
        <f>IF($A257="","",COUNTIF(connections!$A$2:$A$1188,$A257)+COUNTIF(connections!$B$2:$B$1188,$A257))</f>
        <v>3</v>
      </c>
      <c r="E257">
        <f t="shared" si="36"/>
        <v>1</v>
      </c>
      <c r="F257">
        <f t="shared" si="37"/>
        <v>19</v>
      </c>
      <c r="G257">
        <f t="shared" si="38"/>
        <v>2026</v>
      </c>
      <c r="H257">
        <f t="shared" si="39"/>
        <v>1.4370000000000001</v>
      </c>
      <c r="I257" t="e">
        <f t="shared" si="40"/>
        <v>#N/A</v>
      </c>
      <c r="J257" t="e">
        <f t="shared" si="41"/>
        <v>#N/A</v>
      </c>
      <c r="K257" t="e">
        <f t="shared" si="42"/>
        <v>#N/A</v>
      </c>
      <c r="L257" t="e">
        <f t="shared" si="43"/>
        <v>#N/A</v>
      </c>
      <c r="M257" t="e">
        <f t="shared" si="44"/>
        <v>#N/A</v>
      </c>
      <c r="N257" t="e">
        <f t="shared" si="45"/>
        <v>#N/A</v>
      </c>
      <c r="O257">
        <f t="shared" si="46"/>
        <v>3.000257</v>
      </c>
      <c r="T257">
        <f>IF(connections!$A257="","",IFERROR(INDEX(games!$B$2:$B$834,MATCH(connections!$A257,games!$A$2:$A$834,0)),""))</f>
        <v>2002</v>
      </c>
      <c r="U257">
        <f>IF(connections!$A257="","",IFERROR(INDEX(games!$B$2:$B$834,MATCH(connections!$B257,games!$A$2:$A$834,0)),""))</f>
        <v>2019</v>
      </c>
      <c r="V257">
        <f t="shared" si="47"/>
        <v>17</v>
      </c>
    </row>
    <row r="258" spans="1:22" x14ac:dyDescent="0.25">
      <c r="A258" t="str">
        <f>IF(games!$A258="","",games!$A258)</f>
        <v>Evolings</v>
      </c>
      <c r="B258">
        <f>IF($A258="","",games!$B258)</f>
        <v>2023</v>
      </c>
      <c r="C258" t="str">
        <f>IF($A258="","",games!$C258)</f>
        <v>Action</v>
      </c>
      <c r="D258">
        <f>IF($A258="","",COUNTIF(connections!$A$2:$A$1188,$A258)+COUNTIF(connections!$B$2:$B$1188,$A258))</f>
        <v>0</v>
      </c>
      <c r="E258">
        <f t="shared" ref="E258:E321" si="48">IF($A258="","",IFERROR(MATCH($C258,$R$2:$R$5,0),0))</f>
        <v>1</v>
      </c>
      <c r="F258">
        <f t="shared" ref="F258:F321" si="49">IF($A258="","",MOD(ROW(),34))</f>
        <v>20</v>
      </c>
      <c r="G258">
        <f t="shared" ref="G258:G321" si="50">IF($A258="",NA(),IF($C258="Action",$B258,NA()))</f>
        <v>2023</v>
      </c>
      <c r="H258">
        <f t="shared" ref="H258:H321" si="51">IF($A258="",NA(),IF($C258="Action",1+$F258*0.023,NA()))</f>
        <v>1.46</v>
      </c>
      <c r="I258" t="e">
        <f t="shared" ref="I258:I321" si="52">IF($A258="",NA(),IF($C258="Strategy",$B258,NA()))</f>
        <v>#N/A</v>
      </c>
      <c r="J258" t="e">
        <f t="shared" ref="J258:J321" si="53">IF($A258="",NA(),IF($C258="Strategy",2+$F258*0.023,NA()))</f>
        <v>#N/A</v>
      </c>
      <c r="K258" t="e">
        <f t="shared" ref="K258:K321" si="54">IF($A258="",NA(),IF($C258="Deckbuilder",$B258,NA()))</f>
        <v>#N/A</v>
      </c>
      <c r="L258" t="e">
        <f t="shared" ref="L258:L321" si="55">IF($A258="",NA(),IF($C258="Deckbuilder",3+$F258*0.023,NA()))</f>
        <v>#N/A</v>
      </c>
      <c r="M258" t="e">
        <f t="shared" ref="M258:M321" si="56">IF($A258="",NA(),IF($C258="Traditional",$B258,NA()))</f>
        <v>#N/A</v>
      </c>
      <c r="N258" t="e">
        <f t="shared" ref="N258:N321" si="57">IF($A258="",NA(),IF($C258="Traditional",4+$F258*0.023,NA()))</f>
        <v>#N/A</v>
      </c>
      <c r="O258">
        <f t="shared" ref="O258:O321" si="58">IF($A258="","",$D258+ROW()/1000000)</f>
        <v>2.5799999999999998E-4</v>
      </c>
      <c r="T258">
        <f>IF(connections!$A258="","",IFERROR(INDEX(games!$B$2:$B$834,MATCH(connections!$A258,games!$A$2:$A$834,0)),""))</f>
        <v>2002</v>
      </c>
      <c r="U258">
        <f>IF(connections!$A258="","",IFERROR(INDEX(games!$B$2:$B$834,MATCH(connections!$B258,games!$A$2:$A$834,0)),""))</f>
        <v>2023</v>
      </c>
      <c r="V258">
        <f t="shared" ref="V258:V321" si="59">IF(OR($T258="",$U258=""),"",$U258-$T258)</f>
        <v>21</v>
      </c>
    </row>
    <row r="259" spans="1:22" x14ac:dyDescent="0.25">
      <c r="A259" t="str">
        <f>IF(games!$A259="","",games!$A259)</f>
        <v>Exit the Gungeon</v>
      </c>
      <c r="B259">
        <f>IF($A259="","",games!$B259)</f>
        <v>2020</v>
      </c>
      <c r="C259" t="str">
        <f>IF($A259="","",games!$C259)</f>
        <v>Action</v>
      </c>
      <c r="D259">
        <f>IF($A259="","",COUNTIF(connections!$A$2:$A$1188,$A259)+COUNTIF(connections!$B$2:$B$1188,$A259))</f>
        <v>1</v>
      </c>
      <c r="E259">
        <f t="shared" si="48"/>
        <v>1</v>
      </c>
      <c r="F259">
        <f t="shared" si="49"/>
        <v>21</v>
      </c>
      <c r="G259">
        <f t="shared" si="50"/>
        <v>2020</v>
      </c>
      <c r="H259">
        <f t="shared" si="51"/>
        <v>1.4830000000000001</v>
      </c>
      <c r="I259" t="e">
        <f t="shared" si="52"/>
        <v>#N/A</v>
      </c>
      <c r="J259" t="e">
        <f t="shared" si="53"/>
        <v>#N/A</v>
      </c>
      <c r="K259" t="e">
        <f t="shared" si="54"/>
        <v>#N/A</v>
      </c>
      <c r="L259" t="e">
        <f t="shared" si="55"/>
        <v>#N/A</v>
      </c>
      <c r="M259" t="e">
        <f t="shared" si="56"/>
        <v>#N/A</v>
      </c>
      <c r="N259" t="e">
        <f t="shared" si="57"/>
        <v>#N/A</v>
      </c>
      <c r="O259">
        <f t="shared" si="58"/>
        <v>1.000259</v>
      </c>
      <c r="T259">
        <f>IF(connections!$A259="","",IFERROR(INDEX(games!$B$2:$B$834,MATCH(connections!$A259,games!$A$2:$A$834,0)),""))</f>
        <v>2002</v>
      </c>
      <c r="U259">
        <f>IF(connections!$A259="","",IFERROR(INDEX(games!$B$2:$B$834,MATCH(connections!$B259,games!$A$2:$A$834,0)),""))</f>
        <v>2016</v>
      </c>
      <c r="V259">
        <f t="shared" si="59"/>
        <v>14</v>
      </c>
    </row>
    <row r="260" spans="1:22" x14ac:dyDescent="0.25">
      <c r="A260" t="str">
        <f>IF(games!$A260="","",games!$A260)</f>
        <v>Facehand</v>
      </c>
      <c r="B260">
        <f>IF($A260="","",games!$B260)</f>
        <v>2024</v>
      </c>
      <c r="C260" t="str">
        <f>IF($A260="","",games!$C260)</f>
        <v>Deckbuilder</v>
      </c>
      <c r="D260">
        <f>IF($A260="","",COUNTIF(connections!$A$2:$A$1188,$A260)+COUNTIF(connections!$B$2:$B$1188,$A260))</f>
        <v>1</v>
      </c>
      <c r="E260">
        <f t="shared" si="48"/>
        <v>3</v>
      </c>
      <c r="F260">
        <f t="shared" si="49"/>
        <v>22</v>
      </c>
      <c r="G260" t="e">
        <f t="shared" si="50"/>
        <v>#N/A</v>
      </c>
      <c r="H260" t="e">
        <f t="shared" si="51"/>
        <v>#N/A</v>
      </c>
      <c r="I260" t="e">
        <f t="shared" si="52"/>
        <v>#N/A</v>
      </c>
      <c r="J260" t="e">
        <f t="shared" si="53"/>
        <v>#N/A</v>
      </c>
      <c r="K260">
        <f t="shared" si="54"/>
        <v>2024</v>
      </c>
      <c r="L260">
        <f t="shared" si="55"/>
        <v>3.5060000000000002</v>
      </c>
      <c r="M260" t="e">
        <f t="shared" si="56"/>
        <v>#N/A</v>
      </c>
      <c r="N260" t="e">
        <f t="shared" si="57"/>
        <v>#N/A</v>
      </c>
      <c r="O260">
        <f t="shared" si="58"/>
        <v>1.0002599999999999</v>
      </c>
      <c r="T260">
        <f>IF(connections!$A260="","",IFERROR(INDEX(games!$B$2:$B$834,MATCH(connections!$A260,games!$A$2:$A$834,0)),""))</f>
        <v>2019</v>
      </c>
      <c r="U260">
        <f>IF(connections!$A260="","",IFERROR(INDEX(games!$B$2:$B$834,MATCH(connections!$B260,games!$A$2:$A$834,0)),""))</f>
        <v>2021</v>
      </c>
      <c r="V260">
        <f t="shared" si="59"/>
        <v>2</v>
      </c>
    </row>
    <row r="261" spans="1:22" x14ac:dyDescent="0.25">
      <c r="A261" t="str">
        <f>IF(games!$A261="","",games!$A261)</f>
        <v>Fairy Tail: Dungeons</v>
      </c>
      <c r="B261">
        <f>IF($A261="","",games!$B261)</f>
        <v>2024</v>
      </c>
      <c r="C261" t="str">
        <f>IF($A261="","",games!$C261)</f>
        <v>Deckbuilder</v>
      </c>
      <c r="D261">
        <f>IF($A261="","",COUNTIF(connections!$A$2:$A$1188,$A261)+COUNTIF(connections!$B$2:$B$1188,$A261))</f>
        <v>0</v>
      </c>
      <c r="E261">
        <f t="shared" si="48"/>
        <v>3</v>
      </c>
      <c r="F261">
        <f t="shared" si="49"/>
        <v>23</v>
      </c>
      <c r="G261" t="e">
        <f t="shared" si="50"/>
        <v>#N/A</v>
      </c>
      <c r="H261" t="e">
        <f t="shared" si="51"/>
        <v>#N/A</v>
      </c>
      <c r="I261" t="e">
        <f t="shared" si="52"/>
        <v>#N/A</v>
      </c>
      <c r="J261" t="e">
        <f t="shared" si="53"/>
        <v>#N/A</v>
      </c>
      <c r="K261">
        <f t="shared" si="54"/>
        <v>2024</v>
      </c>
      <c r="L261">
        <f t="shared" si="55"/>
        <v>3.5289999999999999</v>
      </c>
      <c r="M261" t="e">
        <f t="shared" si="56"/>
        <v>#N/A</v>
      </c>
      <c r="N261" t="e">
        <f t="shared" si="57"/>
        <v>#N/A</v>
      </c>
      <c r="O261">
        <f t="shared" si="58"/>
        <v>2.61E-4</v>
      </c>
      <c r="T261">
        <f>IF(connections!$A261="","",IFERROR(INDEX(games!$B$2:$B$834,MATCH(connections!$A261,games!$A$2:$A$834,0)),""))</f>
        <v>2019</v>
      </c>
      <c r="U261">
        <f>IF(connections!$A261="","",IFERROR(INDEX(games!$B$2:$B$834,MATCH(connections!$B261,games!$A$2:$A$834,0)),""))</f>
        <v>2019</v>
      </c>
      <c r="V261">
        <f t="shared" si="59"/>
        <v>0</v>
      </c>
    </row>
    <row r="262" spans="1:22" x14ac:dyDescent="0.25">
      <c r="A262" t="str">
        <f>IF(games!$A262="","",games!$A262)</f>
        <v>Fatal Labyrinth</v>
      </c>
      <c r="B262">
        <f>IF($A262="","",games!$B262)</f>
        <v>1990</v>
      </c>
      <c r="C262" t="str">
        <f>IF($A262="","",games!$C262)</f>
        <v>Traditional</v>
      </c>
      <c r="D262">
        <f>IF($A262="","",COUNTIF(connections!$A$2:$A$1188,$A262)+COUNTIF(connections!$B$2:$B$1188,$A262))</f>
        <v>1</v>
      </c>
      <c r="E262">
        <f t="shared" si="48"/>
        <v>4</v>
      </c>
      <c r="F262">
        <f t="shared" si="49"/>
        <v>24</v>
      </c>
      <c r="G262" t="e">
        <f t="shared" si="50"/>
        <v>#N/A</v>
      </c>
      <c r="H262" t="e">
        <f t="shared" si="51"/>
        <v>#N/A</v>
      </c>
      <c r="I262" t="e">
        <f t="shared" si="52"/>
        <v>#N/A</v>
      </c>
      <c r="J262" t="e">
        <f t="shared" si="53"/>
        <v>#N/A</v>
      </c>
      <c r="K262" t="e">
        <f t="shared" si="54"/>
        <v>#N/A</v>
      </c>
      <c r="L262" t="e">
        <f t="shared" si="55"/>
        <v>#N/A</v>
      </c>
      <c r="M262">
        <f t="shared" si="56"/>
        <v>1990</v>
      </c>
      <c r="N262">
        <f t="shared" si="57"/>
        <v>4.5519999999999996</v>
      </c>
      <c r="O262">
        <f t="shared" si="58"/>
        <v>1.000262</v>
      </c>
      <c r="T262">
        <f>IF(connections!$A262="","",IFERROR(INDEX(games!$B$2:$B$834,MATCH(connections!$A262,games!$A$2:$A$834,0)),""))</f>
        <v>2019</v>
      </c>
      <c r="U262">
        <f>IF(connections!$A262="","",IFERROR(INDEX(games!$B$2:$B$834,MATCH(connections!$B262,games!$A$2:$A$834,0)),""))</f>
        <v>2025</v>
      </c>
      <c r="V262">
        <f t="shared" si="59"/>
        <v>6</v>
      </c>
    </row>
    <row r="263" spans="1:22" x14ac:dyDescent="0.25">
      <c r="A263" t="str">
        <f>IF(games!$A263="","",games!$A263)</f>
        <v>Fear &amp; Hunger</v>
      </c>
      <c r="B263">
        <f>IF($A263="","",games!$B263)</f>
        <v>2018</v>
      </c>
      <c r="C263" t="str">
        <f>IF($A263="","",games!$C263)</f>
        <v>Strategy</v>
      </c>
      <c r="D263">
        <f>IF($A263="","",COUNTIF(connections!$A$2:$A$1188,$A263)+COUNTIF(connections!$B$2:$B$1188,$A263))</f>
        <v>1</v>
      </c>
      <c r="E263">
        <f t="shared" si="48"/>
        <v>2</v>
      </c>
      <c r="F263">
        <f t="shared" si="49"/>
        <v>25</v>
      </c>
      <c r="G263" t="e">
        <f t="shared" si="50"/>
        <v>#N/A</v>
      </c>
      <c r="H263" t="e">
        <f t="shared" si="51"/>
        <v>#N/A</v>
      </c>
      <c r="I263">
        <f t="shared" si="52"/>
        <v>2018</v>
      </c>
      <c r="J263">
        <f t="shared" si="53"/>
        <v>2.5750000000000002</v>
      </c>
      <c r="K263" t="e">
        <f t="shared" si="54"/>
        <v>#N/A</v>
      </c>
      <c r="L263" t="e">
        <f t="shared" si="55"/>
        <v>#N/A</v>
      </c>
      <c r="M263" t="e">
        <f t="shared" si="56"/>
        <v>#N/A</v>
      </c>
      <c r="N263" t="e">
        <f t="shared" si="57"/>
        <v>#N/A</v>
      </c>
      <c r="O263">
        <f t="shared" si="58"/>
        <v>1.0002629999999999</v>
      </c>
      <c r="T263">
        <f>IF(connections!$A263="","",IFERROR(INDEX(games!$B$2:$B$834,MATCH(connections!$A263,games!$A$2:$A$834,0)),""))</f>
        <v>2019</v>
      </c>
      <c r="U263">
        <f>IF(connections!$A263="","",IFERROR(INDEX(games!$B$2:$B$834,MATCH(connections!$B263,games!$A$2:$A$834,0)),""))</f>
        <v>2021</v>
      </c>
      <c r="V263">
        <f t="shared" si="59"/>
        <v>2</v>
      </c>
    </row>
    <row r="264" spans="1:22" x14ac:dyDescent="0.25">
      <c r="A264" t="str">
        <f>IF(games!$A264="","",games!$A264)</f>
        <v>Feed the Deep</v>
      </c>
      <c r="B264">
        <f>IF($A264="","",games!$B264)</f>
        <v>2024</v>
      </c>
      <c r="C264" t="str">
        <f>IF($A264="","",games!$C264)</f>
        <v>Strategy</v>
      </c>
      <c r="D264">
        <f>IF($A264="","",COUNTIF(connections!$A$2:$A$1188,$A264)+COUNTIF(connections!$B$2:$B$1188,$A264))</f>
        <v>2</v>
      </c>
      <c r="E264">
        <f t="shared" si="48"/>
        <v>2</v>
      </c>
      <c r="F264">
        <f t="shared" si="49"/>
        <v>26</v>
      </c>
      <c r="G264" t="e">
        <f t="shared" si="50"/>
        <v>#N/A</v>
      </c>
      <c r="H264" t="e">
        <f t="shared" si="51"/>
        <v>#N/A</v>
      </c>
      <c r="I264">
        <f t="shared" si="52"/>
        <v>2024</v>
      </c>
      <c r="J264">
        <f t="shared" si="53"/>
        <v>2.5979999999999999</v>
      </c>
      <c r="K264" t="e">
        <f t="shared" si="54"/>
        <v>#N/A</v>
      </c>
      <c r="L264" t="e">
        <f t="shared" si="55"/>
        <v>#N/A</v>
      </c>
      <c r="M264" t="e">
        <f t="shared" si="56"/>
        <v>#N/A</v>
      </c>
      <c r="N264" t="e">
        <f t="shared" si="57"/>
        <v>#N/A</v>
      </c>
      <c r="O264">
        <f t="shared" si="58"/>
        <v>2.000264</v>
      </c>
      <c r="T264">
        <f>IF(connections!$A264="","",IFERROR(INDEX(games!$B$2:$B$834,MATCH(connections!$A264,games!$A$2:$A$834,0)),""))</f>
        <v>2015</v>
      </c>
      <c r="U264">
        <f>IF(connections!$A264="","",IFERROR(INDEX(games!$B$2:$B$834,MATCH(connections!$B264,games!$A$2:$A$834,0)),""))</f>
        <v>2016</v>
      </c>
      <c r="V264">
        <f t="shared" si="59"/>
        <v>1</v>
      </c>
    </row>
    <row r="265" spans="1:22" x14ac:dyDescent="0.25">
      <c r="A265" t="str">
        <f>IF(games!$A265="","",games!$A265)</f>
        <v>Fights in Tight Spaces</v>
      </c>
      <c r="B265">
        <f>IF($A265="","",games!$B265)</f>
        <v>2021</v>
      </c>
      <c r="C265" t="str">
        <f>IF($A265="","",games!$C265)</f>
        <v>Deckbuilder</v>
      </c>
      <c r="D265">
        <f>IF($A265="","",COUNTIF(connections!$A$2:$A$1188,$A265)+COUNTIF(connections!$B$2:$B$1188,$A265))</f>
        <v>5</v>
      </c>
      <c r="E265">
        <f t="shared" si="48"/>
        <v>3</v>
      </c>
      <c r="F265">
        <f t="shared" si="49"/>
        <v>27</v>
      </c>
      <c r="G265" t="e">
        <f t="shared" si="50"/>
        <v>#N/A</v>
      </c>
      <c r="H265" t="e">
        <f t="shared" si="51"/>
        <v>#N/A</v>
      </c>
      <c r="I265" t="e">
        <f t="shared" si="52"/>
        <v>#N/A</v>
      </c>
      <c r="J265" t="e">
        <f t="shared" si="53"/>
        <v>#N/A</v>
      </c>
      <c r="K265">
        <f t="shared" si="54"/>
        <v>2021</v>
      </c>
      <c r="L265">
        <f t="shared" si="55"/>
        <v>3.621</v>
      </c>
      <c r="M265" t="e">
        <f t="shared" si="56"/>
        <v>#N/A</v>
      </c>
      <c r="N265" t="e">
        <f t="shared" si="57"/>
        <v>#N/A</v>
      </c>
      <c r="O265">
        <f t="shared" si="58"/>
        <v>5.0002649999999997</v>
      </c>
      <c r="T265">
        <f>IF(connections!$A265="","",IFERROR(INDEX(games!$B$2:$B$834,MATCH(connections!$A265,games!$A$2:$A$834,0)),""))</f>
        <v>2015</v>
      </c>
      <c r="U265">
        <f>IF(connections!$A265="","",IFERROR(INDEX(games!$B$2:$B$834,MATCH(connections!$B265,games!$A$2:$A$834,0)),""))</f>
        <v>2023</v>
      </c>
      <c r="V265">
        <f t="shared" si="59"/>
        <v>8</v>
      </c>
    </row>
    <row r="266" spans="1:22" x14ac:dyDescent="0.25">
      <c r="A266" t="str">
        <f>IF(games!$A266="","",games!$A266)</f>
        <v>Final Fantasy Fables: Chocobo's Dungeon</v>
      </c>
      <c r="B266">
        <f>IF($A266="","",games!$B266)</f>
        <v>2007</v>
      </c>
      <c r="C266" t="str">
        <f>IF($A266="","",games!$C266)</f>
        <v>Traditional</v>
      </c>
      <c r="D266">
        <f>IF($A266="","",COUNTIF(connections!$A$2:$A$1188,$A266)+COUNTIF(connections!$B$2:$B$1188,$A266))</f>
        <v>2</v>
      </c>
      <c r="E266">
        <f t="shared" si="48"/>
        <v>4</v>
      </c>
      <c r="F266">
        <f t="shared" si="49"/>
        <v>28</v>
      </c>
      <c r="G266" t="e">
        <f t="shared" si="50"/>
        <v>#N/A</v>
      </c>
      <c r="H266" t="e">
        <f t="shared" si="51"/>
        <v>#N/A</v>
      </c>
      <c r="I266" t="e">
        <f t="shared" si="52"/>
        <v>#N/A</v>
      </c>
      <c r="J266" t="e">
        <f t="shared" si="53"/>
        <v>#N/A</v>
      </c>
      <c r="K266" t="e">
        <f t="shared" si="54"/>
        <v>#N/A</v>
      </c>
      <c r="L266" t="e">
        <f t="shared" si="55"/>
        <v>#N/A</v>
      </c>
      <c r="M266">
        <f t="shared" si="56"/>
        <v>2007</v>
      </c>
      <c r="N266">
        <f t="shared" si="57"/>
        <v>4.6440000000000001</v>
      </c>
      <c r="O266">
        <f t="shared" si="58"/>
        <v>2.0002659999999999</v>
      </c>
      <c r="T266">
        <f>IF(connections!$A266="","",IFERROR(INDEX(games!$B$2:$B$834,MATCH(connections!$A266,games!$A$2:$A$834,0)),""))</f>
        <v>2015</v>
      </c>
      <c r="U266">
        <f>IF(connections!$A266="","",IFERROR(INDEX(games!$B$2:$B$834,MATCH(connections!$B266,games!$A$2:$A$834,0)),""))</f>
        <v>2017</v>
      </c>
      <c r="V266">
        <f t="shared" si="59"/>
        <v>2</v>
      </c>
    </row>
    <row r="267" spans="1:22" x14ac:dyDescent="0.25">
      <c r="A267" t="str">
        <f>IF(games!$A267="","",games!$A267)</f>
        <v>Fish Fear Me</v>
      </c>
      <c r="B267">
        <f>IF($A267="","",games!$B267)</f>
        <v>2024</v>
      </c>
      <c r="C267" t="str">
        <f>IF($A267="","",games!$C267)</f>
        <v>Action</v>
      </c>
      <c r="D267">
        <f>IF($A267="","",COUNTIF(connections!$A$2:$A$1188,$A267)+COUNTIF(connections!$B$2:$B$1188,$A267))</f>
        <v>1</v>
      </c>
      <c r="E267">
        <f t="shared" si="48"/>
        <v>1</v>
      </c>
      <c r="F267">
        <f t="shared" si="49"/>
        <v>29</v>
      </c>
      <c r="G267">
        <f t="shared" si="50"/>
        <v>2024</v>
      </c>
      <c r="H267">
        <f t="shared" si="51"/>
        <v>1.667</v>
      </c>
      <c r="I267" t="e">
        <f t="shared" si="52"/>
        <v>#N/A</v>
      </c>
      <c r="J267" t="e">
        <f t="shared" si="53"/>
        <v>#N/A</v>
      </c>
      <c r="K267" t="e">
        <f t="shared" si="54"/>
        <v>#N/A</v>
      </c>
      <c r="L267" t="e">
        <f t="shared" si="55"/>
        <v>#N/A</v>
      </c>
      <c r="M267" t="e">
        <f t="shared" si="56"/>
        <v>#N/A</v>
      </c>
      <c r="N267" t="e">
        <f t="shared" si="57"/>
        <v>#N/A</v>
      </c>
      <c r="O267">
        <f t="shared" si="58"/>
        <v>1.000267</v>
      </c>
      <c r="T267">
        <f>IF(connections!$A267="","",IFERROR(INDEX(games!$B$2:$B$834,MATCH(connections!$A267,games!$A$2:$A$834,0)),""))</f>
        <v>2015</v>
      </c>
      <c r="U267">
        <f>IF(connections!$A267="","",IFERROR(INDEX(games!$B$2:$B$834,MATCH(connections!$B267,games!$A$2:$A$834,0)),""))</f>
        <v>2017</v>
      </c>
      <c r="V267">
        <f t="shared" si="59"/>
        <v>2</v>
      </c>
    </row>
    <row r="268" spans="1:22" x14ac:dyDescent="0.25">
      <c r="A268" t="str">
        <f>IF(games!$A268="","",games!$A268)</f>
        <v>FLERP</v>
      </c>
      <c r="B268">
        <f>IF($A268="","",games!$B268)</f>
        <v>2022</v>
      </c>
      <c r="C268" t="str">
        <f>IF($A268="","",games!$C268)</f>
        <v>Action</v>
      </c>
      <c r="D268">
        <f>IF($A268="","",COUNTIF(connections!$A$2:$A$1188,$A268)+COUNTIF(connections!$B$2:$B$1188,$A268))</f>
        <v>2</v>
      </c>
      <c r="E268">
        <f t="shared" si="48"/>
        <v>1</v>
      </c>
      <c r="F268">
        <f t="shared" si="49"/>
        <v>30</v>
      </c>
      <c r="G268">
        <f t="shared" si="50"/>
        <v>2022</v>
      </c>
      <c r="H268">
        <f t="shared" si="51"/>
        <v>1.69</v>
      </c>
      <c r="I268" t="e">
        <f t="shared" si="52"/>
        <v>#N/A</v>
      </c>
      <c r="J268" t="e">
        <f t="shared" si="53"/>
        <v>#N/A</v>
      </c>
      <c r="K268" t="e">
        <f t="shared" si="54"/>
        <v>#N/A</v>
      </c>
      <c r="L268" t="e">
        <f t="shared" si="55"/>
        <v>#N/A</v>
      </c>
      <c r="M268" t="e">
        <f t="shared" si="56"/>
        <v>#N/A</v>
      </c>
      <c r="N268" t="e">
        <f t="shared" si="57"/>
        <v>#N/A</v>
      </c>
      <c r="O268">
        <f t="shared" si="58"/>
        <v>2.0002680000000002</v>
      </c>
      <c r="T268">
        <f>IF(connections!$A268="","",IFERROR(INDEX(games!$B$2:$B$834,MATCH(connections!$A268,games!$A$2:$A$834,0)),""))</f>
        <v>2015</v>
      </c>
      <c r="U268">
        <f>IF(connections!$A268="","",IFERROR(INDEX(games!$B$2:$B$834,MATCH(connections!$B268,games!$A$2:$A$834,0)),""))</f>
        <v>2020</v>
      </c>
      <c r="V268">
        <f t="shared" si="59"/>
        <v>5</v>
      </c>
    </row>
    <row r="269" spans="1:22" x14ac:dyDescent="0.25">
      <c r="A269" t="str">
        <f>IF(games!$A269="","",games!$A269)</f>
        <v>Flick Shot Rogues</v>
      </c>
      <c r="B269">
        <f>IF($A269="","",games!$B269)</f>
        <v>2025</v>
      </c>
      <c r="C269" t="str">
        <f>IF($A269="","",games!$C269)</f>
        <v>Strategy</v>
      </c>
      <c r="D269">
        <f>IF($A269="","",COUNTIF(connections!$A$2:$A$1188,$A269)+COUNTIF(connections!$B$2:$B$1188,$A269))</f>
        <v>0</v>
      </c>
      <c r="E269">
        <f t="shared" si="48"/>
        <v>2</v>
      </c>
      <c r="F269">
        <f t="shared" si="49"/>
        <v>31</v>
      </c>
      <c r="G269" t="e">
        <f t="shared" si="50"/>
        <v>#N/A</v>
      </c>
      <c r="H269" t="e">
        <f t="shared" si="51"/>
        <v>#N/A</v>
      </c>
      <c r="I269">
        <f t="shared" si="52"/>
        <v>2025</v>
      </c>
      <c r="J269">
        <f t="shared" si="53"/>
        <v>2.7130000000000001</v>
      </c>
      <c r="K269" t="e">
        <f t="shared" si="54"/>
        <v>#N/A</v>
      </c>
      <c r="L269" t="e">
        <f t="shared" si="55"/>
        <v>#N/A</v>
      </c>
      <c r="M269" t="e">
        <f t="shared" si="56"/>
        <v>#N/A</v>
      </c>
      <c r="N269" t="e">
        <f t="shared" si="57"/>
        <v>#N/A</v>
      </c>
      <c r="O269">
        <f t="shared" si="58"/>
        <v>2.6899999999999998E-4</v>
      </c>
      <c r="T269">
        <f>IF(connections!$A269="","",IFERROR(INDEX(games!$B$2:$B$834,MATCH(connections!$A269,games!$A$2:$A$834,0)),""))</f>
        <v>2015</v>
      </c>
      <c r="U269">
        <f>IF(connections!$A269="","",IFERROR(INDEX(games!$B$2:$B$834,MATCH(connections!$B269,games!$A$2:$A$834,0)),""))</f>
        <v>2022</v>
      </c>
      <c r="V269">
        <f t="shared" si="59"/>
        <v>7</v>
      </c>
    </row>
    <row r="270" spans="1:22" x14ac:dyDescent="0.25">
      <c r="A270" t="str">
        <f>IF(games!$A270="","",games!$A270)</f>
        <v>Flinthook</v>
      </c>
      <c r="B270">
        <f>IF($A270="","",games!$B270)</f>
        <v>2017</v>
      </c>
      <c r="C270" t="str">
        <f>IF($A270="","",games!$C270)</f>
        <v>Action</v>
      </c>
      <c r="D270">
        <f>IF($A270="","",COUNTIF(connections!$A$2:$A$1188,$A270)+COUNTIF(connections!$B$2:$B$1188,$A270))</f>
        <v>2</v>
      </c>
      <c r="E270">
        <f t="shared" si="48"/>
        <v>1</v>
      </c>
      <c r="F270">
        <f t="shared" si="49"/>
        <v>32</v>
      </c>
      <c r="G270">
        <f t="shared" si="50"/>
        <v>2017</v>
      </c>
      <c r="H270">
        <f t="shared" si="51"/>
        <v>1.736</v>
      </c>
      <c r="I270" t="e">
        <f t="shared" si="52"/>
        <v>#N/A</v>
      </c>
      <c r="J270" t="e">
        <f t="shared" si="53"/>
        <v>#N/A</v>
      </c>
      <c r="K270" t="e">
        <f t="shared" si="54"/>
        <v>#N/A</v>
      </c>
      <c r="L270" t="e">
        <f t="shared" si="55"/>
        <v>#N/A</v>
      </c>
      <c r="M270" t="e">
        <f t="shared" si="56"/>
        <v>#N/A</v>
      </c>
      <c r="N270" t="e">
        <f t="shared" si="57"/>
        <v>#N/A</v>
      </c>
      <c r="O270">
        <f t="shared" si="58"/>
        <v>2.00027</v>
      </c>
      <c r="T270">
        <f>IF(connections!$A270="","",IFERROR(INDEX(games!$B$2:$B$834,MATCH(connections!$A270,games!$A$2:$A$834,0)),""))</f>
        <v>2015</v>
      </c>
      <c r="U270">
        <f>IF(connections!$A270="","",IFERROR(INDEX(games!$B$2:$B$834,MATCH(connections!$B270,games!$A$2:$A$834,0)),""))</f>
        <v>2017</v>
      </c>
      <c r="V270">
        <f t="shared" si="59"/>
        <v>2</v>
      </c>
    </row>
    <row r="271" spans="1:22" x14ac:dyDescent="0.25">
      <c r="A271" t="str">
        <f>IF(games!$A271="","",games!$A271)</f>
        <v>Fogpiercer</v>
      </c>
      <c r="B271">
        <f>IF($A271="","",games!$B271)</f>
        <v>2026</v>
      </c>
      <c r="C271" t="str">
        <f>IF($A271="","",games!$C271)</f>
        <v>Deckbuilder</v>
      </c>
      <c r="D271">
        <f>IF($A271="","",COUNTIF(connections!$A$2:$A$1188,$A271)+COUNTIF(connections!$B$2:$B$1188,$A271))</f>
        <v>4</v>
      </c>
      <c r="E271">
        <f t="shared" si="48"/>
        <v>3</v>
      </c>
      <c r="F271">
        <f t="shared" si="49"/>
        <v>33</v>
      </c>
      <c r="G271" t="e">
        <f t="shared" si="50"/>
        <v>#N/A</v>
      </c>
      <c r="H271" t="e">
        <f t="shared" si="51"/>
        <v>#N/A</v>
      </c>
      <c r="I271" t="e">
        <f t="shared" si="52"/>
        <v>#N/A</v>
      </c>
      <c r="J271" t="e">
        <f t="shared" si="53"/>
        <v>#N/A</v>
      </c>
      <c r="K271">
        <f t="shared" si="54"/>
        <v>2026</v>
      </c>
      <c r="L271">
        <f t="shared" si="55"/>
        <v>3.7589999999999999</v>
      </c>
      <c r="M271" t="e">
        <f t="shared" si="56"/>
        <v>#N/A</v>
      </c>
      <c r="N271" t="e">
        <f t="shared" si="57"/>
        <v>#N/A</v>
      </c>
      <c r="O271">
        <f t="shared" si="58"/>
        <v>4.0002709999999997</v>
      </c>
      <c r="T271">
        <f>IF(connections!$A271="","",IFERROR(INDEX(games!$B$2:$B$834,MATCH(connections!$A271,games!$A$2:$A$834,0)),""))</f>
        <v>2014</v>
      </c>
      <c r="U271">
        <f>IF(connections!$A271="","",IFERROR(INDEX(games!$B$2:$B$834,MATCH(connections!$B271,games!$A$2:$A$834,0)),""))</f>
        <v>2019</v>
      </c>
      <c r="V271">
        <f t="shared" si="59"/>
        <v>5</v>
      </c>
    </row>
    <row r="272" spans="1:22" x14ac:dyDescent="0.25">
      <c r="A272" t="str">
        <f>IF(games!$A272="","",games!$A272)</f>
        <v>Footgun: Underground</v>
      </c>
      <c r="B272">
        <f>IF($A272="","",games!$B272)</f>
        <v>2024</v>
      </c>
      <c r="C272" t="str">
        <f>IF($A272="","",games!$C272)</f>
        <v>Action</v>
      </c>
      <c r="D272">
        <f>IF($A272="","",COUNTIF(connections!$A$2:$A$1188,$A272)+COUNTIF(connections!$B$2:$B$1188,$A272))</f>
        <v>0</v>
      </c>
      <c r="E272">
        <f t="shared" si="48"/>
        <v>1</v>
      </c>
      <c r="F272">
        <f t="shared" si="49"/>
        <v>0</v>
      </c>
      <c r="G272">
        <f t="shared" si="50"/>
        <v>2024</v>
      </c>
      <c r="H272">
        <f t="shared" si="51"/>
        <v>1</v>
      </c>
      <c r="I272" t="e">
        <f t="shared" si="52"/>
        <v>#N/A</v>
      </c>
      <c r="J272" t="e">
        <f t="shared" si="53"/>
        <v>#N/A</v>
      </c>
      <c r="K272" t="e">
        <f t="shared" si="54"/>
        <v>#N/A</v>
      </c>
      <c r="L272" t="e">
        <f t="shared" si="55"/>
        <v>#N/A</v>
      </c>
      <c r="M272" t="e">
        <f t="shared" si="56"/>
        <v>#N/A</v>
      </c>
      <c r="N272" t="e">
        <f t="shared" si="57"/>
        <v>#N/A</v>
      </c>
      <c r="O272">
        <f t="shared" si="58"/>
        <v>2.72E-4</v>
      </c>
      <c r="T272">
        <f>IF(connections!$A272="","",IFERROR(INDEX(games!$B$2:$B$834,MATCH(connections!$A272,games!$A$2:$A$834,0)),""))</f>
        <v>2014</v>
      </c>
      <c r="U272">
        <f>IF(connections!$A272="","",IFERROR(INDEX(games!$B$2:$B$834,MATCH(connections!$B272,games!$A$2:$A$834,0)),""))</f>
        <v>2017</v>
      </c>
      <c r="V272">
        <f t="shared" si="59"/>
        <v>3</v>
      </c>
    </row>
    <row r="273" spans="1:22" x14ac:dyDescent="0.25">
      <c r="A273" t="str">
        <f>IF(games!$A273="","",games!$A273)</f>
        <v>For the King</v>
      </c>
      <c r="B273">
        <f>IF($A273="","",games!$B273)</f>
        <v>2018</v>
      </c>
      <c r="C273" t="str">
        <f>IF($A273="","",games!$C273)</f>
        <v>Strategy</v>
      </c>
      <c r="D273">
        <f>IF($A273="","",COUNTIF(connections!$A$2:$A$1188,$A273)+COUNTIF(connections!$B$2:$B$1188,$A273))</f>
        <v>3</v>
      </c>
      <c r="E273">
        <f t="shared" si="48"/>
        <v>2</v>
      </c>
      <c r="F273">
        <f t="shared" si="49"/>
        <v>1</v>
      </c>
      <c r="G273" t="e">
        <f t="shared" si="50"/>
        <v>#N/A</v>
      </c>
      <c r="H273" t="e">
        <f t="shared" si="51"/>
        <v>#N/A</v>
      </c>
      <c r="I273">
        <f t="shared" si="52"/>
        <v>2018</v>
      </c>
      <c r="J273">
        <f t="shared" si="53"/>
        <v>2.0230000000000001</v>
      </c>
      <c r="K273" t="e">
        <f t="shared" si="54"/>
        <v>#N/A</v>
      </c>
      <c r="L273" t="e">
        <f t="shared" si="55"/>
        <v>#N/A</v>
      </c>
      <c r="M273" t="e">
        <f t="shared" si="56"/>
        <v>#N/A</v>
      </c>
      <c r="N273" t="e">
        <f t="shared" si="57"/>
        <v>#N/A</v>
      </c>
      <c r="O273">
        <f t="shared" si="58"/>
        <v>3.000273</v>
      </c>
      <c r="T273">
        <f>IF(connections!$A273="","",IFERROR(INDEX(games!$B$2:$B$834,MATCH(connections!$A273,games!$A$2:$A$834,0)),""))</f>
        <v>2014</v>
      </c>
      <c r="U273">
        <f>IF(connections!$A273="","",IFERROR(INDEX(games!$B$2:$B$834,MATCH(connections!$B273,games!$A$2:$A$834,0)),""))</f>
        <v>2019</v>
      </c>
      <c r="V273">
        <f t="shared" si="59"/>
        <v>5</v>
      </c>
    </row>
    <row r="274" spans="1:22" x14ac:dyDescent="0.25">
      <c r="A274" t="str">
        <f>IF(games!$A274="","",games!$A274)</f>
        <v>For the King 2</v>
      </c>
      <c r="B274">
        <f>IF($A274="","",games!$B274)</f>
        <v>2023</v>
      </c>
      <c r="C274" t="str">
        <f>IF($A274="","",games!$C274)</f>
        <v>Strategy</v>
      </c>
      <c r="D274">
        <f>IF($A274="","",COUNTIF(connections!$A$2:$A$1188,$A274)+COUNTIF(connections!$B$2:$B$1188,$A274))</f>
        <v>1</v>
      </c>
      <c r="E274">
        <f t="shared" si="48"/>
        <v>2</v>
      </c>
      <c r="F274">
        <f t="shared" si="49"/>
        <v>2</v>
      </c>
      <c r="G274" t="e">
        <f t="shared" si="50"/>
        <v>#N/A</v>
      </c>
      <c r="H274" t="e">
        <f t="shared" si="51"/>
        <v>#N/A</v>
      </c>
      <c r="I274">
        <f t="shared" si="52"/>
        <v>2023</v>
      </c>
      <c r="J274">
        <f t="shared" si="53"/>
        <v>2.0459999999999998</v>
      </c>
      <c r="K274" t="e">
        <f t="shared" si="54"/>
        <v>#N/A</v>
      </c>
      <c r="L274" t="e">
        <f t="shared" si="55"/>
        <v>#N/A</v>
      </c>
      <c r="M274" t="e">
        <f t="shared" si="56"/>
        <v>#N/A</v>
      </c>
      <c r="N274" t="e">
        <f t="shared" si="57"/>
        <v>#N/A</v>
      </c>
      <c r="O274">
        <f t="shared" si="58"/>
        <v>1.0002740000000001</v>
      </c>
      <c r="T274">
        <f>IF(connections!$A274="","",IFERROR(INDEX(games!$B$2:$B$834,MATCH(connections!$A274,games!$A$2:$A$834,0)),""))</f>
        <v>2014</v>
      </c>
      <c r="U274">
        <f>IF(connections!$A274="","",IFERROR(INDEX(games!$B$2:$B$834,MATCH(connections!$B274,games!$A$2:$A$834,0)),""))</f>
        <v>2017</v>
      </c>
      <c r="V274">
        <f t="shared" si="59"/>
        <v>3</v>
      </c>
    </row>
    <row r="275" spans="1:22" x14ac:dyDescent="0.25">
      <c r="A275" t="str">
        <f>IF(games!$A275="","",games!$A275)</f>
        <v>For The Warp</v>
      </c>
      <c r="B275">
        <f>IF($A275="","",games!$B275)</f>
        <v>2020</v>
      </c>
      <c r="C275" t="str">
        <f>IF($A275="","",games!$C275)</f>
        <v>Deckbuilder</v>
      </c>
      <c r="D275">
        <f>IF($A275="","",COUNTIF(connections!$A$2:$A$1188,$A275)+COUNTIF(connections!$B$2:$B$1188,$A275))</f>
        <v>3</v>
      </c>
      <c r="E275">
        <f t="shared" si="48"/>
        <v>3</v>
      </c>
      <c r="F275">
        <f t="shared" si="49"/>
        <v>3</v>
      </c>
      <c r="G275" t="e">
        <f t="shared" si="50"/>
        <v>#N/A</v>
      </c>
      <c r="H275" t="e">
        <f t="shared" si="51"/>
        <v>#N/A</v>
      </c>
      <c r="I275" t="e">
        <f t="shared" si="52"/>
        <v>#N/A</v>
      </c>
      <c r="J275" t="e">
        <f t="shared" si="53"/>
        <v>#N/A</v>
      </c>
      <c r="K275">
        <f t="shared" si="54"/>
        <v>2020</v>
      </c>
      <c r="L275">
        <f t="shared" si="55"/>
        <v>3.069</v>
      </c>
      <c r="M275" t="e">
        <f t="shared" si="56"/>
        <v>#N/A</v>
      </c>
      <c r="N275" t="e">
        <f t="shared" si="57"/>
        <v>#N/A</v>
      </c>
      <c r="O275">
        <f t="shared" si="58"/>
        <v>3.0002749999999998</v>
      </c>
      <c r="T275">
        <f>IF(connections!$A275="","",IFERROR(INDEX(games!$B$2:$B$834,MATCH(connections!$A275,games!$A$2:$A$834,0)),""))</f>
        <v>2024</v>
      </c>
      <c r="U275">
        <f>IF(connections!$A275="","",IFERROR(INDEX(games!$B$2:$B$834,MATCH(connections!$B275,games!$A$2:$A$834,0)),""))</f>
        <v>2026</v>
      </c>
      <c r="V275">
        <f t="shared" si="59"/>
        <v>2</v>
      </c>
    </row>
    <row r="276" spans="1:22" x14ac:dyDescent="0.25">
      <c r="A276" t="str">
        <f>IF(games!$A276="","",games!$A276)</f>
        <v>Forestrike</v>
      </c>
      <c r="B276">
        <f>IF($A276="","",games!$B276)</f>
        <v>2025</v>
      </c>
      <c r="C276" t="str">
        <f>IF($A276="","",games!$C276)</f>
        <v>Action</v>
      </c>
      <c r="D276">
        <f>IF($A276="","",COUNTIF(connections!$A$2:$A$1188,$A276)+COUNTIF(connections!$B$2:$B$1188,$A276))</f>
        <v>0</v>
      </c>
      <c r="E276">
        <f t="shared" si="48"/>
        <v>1</v>
      </c>
      <c r="F276">
        <f t="shared" si="49"/>
        <v>4</v>
      </c>
      <c r="G276">
        <f t="shared" si="50"/>
        <v>2025</v>
      </c>
      <c r="H276">
        <f t="shared" si="51"/>
        <v>1.0920000000000001</v>
      </c>
      <c r="I276" t="e">
        <f t="shared" si="52"/>
        <v>#N/A</v>
      </c>
      <c r="J276" t="e">
        <f t="shared" si="53"/>
        <v>#N/A</v>
      </c>
      <c r="K276" t="e">
        <f t="shared" si="54"/>
        <v>#N/A</v>
      </c>
      <c r="L276" t="e">
        <f t="shared" si="55"/>
        <v>#N/A</v>
      </c>
      <c r="M276" t="e">
        <f t="shared" si="56"/>
        <v>#N/A</v>
      </c>
      <c r="N276" t="e">
        <f t="shared" si="57"/>
        <v>#N/A</v>
      </c>
      <c r="O276">
        <f t="shared" si="58"/>
        <v>2.7599999999999999E-4</v>
      </c>
      <c r="T276">
        <f>IF(connections!$A276="","",IFERROR(INDEX(games!$B$2:$B$834,MATCH(connections!$A276,games!$A$2:$A$834,0)),""))</f>
        <v>2006</v>
      </c>
      <c r="U276">
        <f>IF(connections!$A276="","",IFERROR(INDEX(games!$B$2:$B$834,MATCH(connections!$B276,games!$A$2:$A$834,0)),""))</f>
        <v>2010</v>
      </c>
      <c r="V276">
        <f t="shared" si="59"/>
        <v>4</v>
      </c>
    </row>
    <row r="277" spans="1:22" x14ac:dyDescent="0.25">
      <c r="A277" t="str">
        <f>IF(games!$A277="","",games!$A277)</f>
        <v>Forward: Escape the Fold</v>
      </c>
      <c r="B277">
        <f>IF($A277="","",games!$B277)</f>
        <v>2022</v>
      </c>
      <c r="C277" t="str">
        <f>IF($A277="","",games!$C277)</f>
        <v>Strategy</v>
      </c>
      <c r="D277">
        <f>IF($A277="","",COUNTIF(connections!$A$2:$A$1188,$A277)+COUNTIF(connections!$B$2:$B$1188,$A277))</f>
        <v>3</v>
      </c>
      <c r="E277">
        <f t="shared" si="48"/>
        <v>2</v>
      </c>
      <c r="F277">
        <f t="shared" si="49"/>
        <v>5</v>
      </c>
      <c r="G277" t="e">
        <f t="shared" si="50"/>
        <v>#N/A</v>
      </c>
      <c r="H277" t="e">
        <f t="shared" si="51"/>
        <v>#N/A</v>
      </c>
      <c r="I277">
        <f t="shared" si="52"/>
        <v>2022</v>
      </c>
      <c r="J277">
        <f t="shared" si="53"/>
        <v>2.1150000000000002</v>
      </c>
      <c r="K277" t="e">
        <f t="shared" si="54"/>
        <v>#N/A</v>
      </c>
      <c r="L277" t="e">
        <f t="shared" si="55"/>
        <v>#N/A</v>
      </c>
      <c r="M277" t="e">
        <f t="shared" si="56"/>
        <v>#N/A</v>
      </c>
      <c r="N277" t="e">
        <f t="shared" si="57"/>
        <v>#N/A</v>
      </c>
      <c r="O277">
        <f t="shared" si="58"/>
        <v>3.0002770000000001</v>
      </c>
      <c r="T277">
        <f>IF(connections!$A277="","",IFERROR(INDEX(games!$B$2:$B$834,MATCH(connections!$A277,games!$A$2:$A$834,0)),""))</f>
        <v>2006</v>
      </c>
      <c r="U277">
        <f>IF(connections!$A277="","",IFERROR(INDEX(games!$B$2:$B$834,MATCH(connections!$B277,games!$A$2:$A$834,0)),""))</f>
        <v>2017</v>
      </c>
      <c r="V277">
        <f t="shared" si="59"/>
        <v>11</v>
      </c>
    </row>
    <row r="278" spans="1:22" x14ac:dyDescent="0.25">
      <c r="A278" t="str">
        <f>IF(games!$A278="","",games!$A278)</f>
        <v>Freaky Awesome</v>
      </c>
      <c r="B278">
        <f>IF($A278="","",games!$B278)</f>
        <v>2017</v>
      </c>
      <c r="C278" t="str">
        <f>IF($A278="","",games!$C278)</f>
        <v>Action</v>
      </c>
      <c r="D278">
        <f>IF($A278="","",COUNTIF(connections!$A$2:$A$1188,$A278)+COUNTIF(connections!$B$2:$B$1188,$A278))</f>
        <v>1</v>
      </c>
      <c r="E278">
        <f t="shared" si="48"/>
        <v>1</v>
      </c>
      <c r="F278">
        <f t="shared" si="49"/>
        <v>6</v>
      </c>
      <c r="G278">
        <f t="shared" si="50"/>
        <v>2017</v>
      </c>
      <c r="H278">
        <f t="shared" si="51"/>
        <v>1.1379999999999999</v>
      </c>
      <c r="I278" t="e">
        <f t="shared" si="52"/>
        <v>#N/A</v>
      </c>
      <c r="J278" t="e">
        <f t="shared" si="53"/>
        <v>#N/A</v>
      </c>
      <c r="K278" t="e">
        <f t="shared" si="54"/>
        <v>#N/A</v>
      </c>
      <c r="L278" t="e">
        <f t="shared" si="55"/>
        <v>#N/A</v>
      </c>
      <c r="M278" t="e">
        <f t="shared" si="56"/>
        <v>#N/A</v>
      </c>
      <c r="N278" t="e">
        <f t="shared" si="57"/>
        <v>#N/A</v>
      </c>
      <c r="O278">
        <f t="shared" si="58"/>
        <v>1.000278</v>
      </c>
      <c r="T278">
        <f>IF(connections!$A278="","",IFERROR(INDEX(games!$B$2:$B$834,MATCH(connections!$A278,games!$A$2:$A$834,0)),""))</f>
        <v>2006</v>
      </c>
      <c r="U278">
        <f>IF(connections!$A278="","",IFERROR(INDEX(games!$B$2:$B$834,MATCH(connections!$B278,games!$A$2:$A$834,0)),""))</f>
        <v>2010</v>
      </c>
      <c r="V278">
        <f t="shared" si="59"/>
        <v>4</v>
      </c>
    </row>
    <row r="279" spans="1:22" x14ac:dyDescent="0.25">
      <c r="A279" t="str">
        <f>IF(games!$A279="","",games!$A279)</f>
        <v>From The Top</v>
      </c>
      <c r="B279">
        <f>IF($A279="","",games!$B279)</f>
        <v>2025</v>
      </c>
      <c r="C279" t="str">
        <f>IF($A279="","",games!$C279)</f>
        <v>Action</v>
      </c>
      <c r="D279">
        <f>IF($A279="","",COUNTIF(connections!$A$2:$A$1188,$A279)+COUNTIF(connections!$B$2:$B$1188,$A279))</f>
        <v>1</v>
      </c>
      <c r="E279">
        <f t="shared" si="48"/>
        <v>1</v>
      </c>
      <c r="F279">
        <f t="shared" si="49"/>
        <v>7</v>
      </c>
      <c r="G279">
        <f t="shared" si="50"/>
        <v>2025</v>
      </c>
      <c r="H279">
        <f t="shared" si="51"/>
        <v>1.161</v>
      </c>
      <c r="I279" t="e">
        <f t="shared" si="52"/>
        <v>#N/A</v>
      </c>
      <c r="J279" t="e">
        <f t="shared" si="53"/>
        <v>#N/A</v>
      </c>
      <c r="K279" t="e">
        <f t="shared" si="54"/>
        <v>#N/A</v>
      </c>
      <c r="L279" t="e">
        <f t="shared" si="55"/>
        <v>#N/A</v>
      </c>
      <c r="M279" t="e">
        <f t="shared" si="56"/>
        <v>#N/A</v>
      </c>
      <c r="N279" t="e">
        <f t="shared" si="57"/>
        <v>#N/A</v>
      </c>
      <c r="O279">
        <f t="shared" si="58"/>
        <v>1.0002789999999999</v>
      </c>
      <c r="T279">
        <f>IF(connections!$A279="","",IFERROR(INDEX(games!$B$2:$B$834,MATCH(connections!$A279,games!$A$2:$A$834,0)),""))</f>
        <v>2006</v>
      </c>
      <c r="U279">
        <f>IF(connections!$A279="","",IFERROR(INDEX(games!$B$2:$B$834,MATCH(connections!$B279,games!$A$2:$A$834,0)),""))</f>
        <v>2010</v>
      </c>
      <c r="V279">
        <f t="shared" si="59"/>
        <v>4</v>
      </c>
    </row>
    <row r="280" spans="1:22" x14ac:dyDescent="0.25">
      <c r="A280" t="str">
        <f>IF(games!$A280="","",games!$A280)</f>
        <v>Frozen Depths</v>
      </c>
      <c r="B280">
        <f>IF($A280="","",games!$B280)</f>
        <v>2006</v>
      </c>
      <c r="C280" t="str">
        <f>IF($A280="","",games!$C280)</f>
        <v>Traditional</v>
      </c>
      <c r="D280">
        <f>IF($A280="","",COUNTIF(connections!$A$2:$A$1188,$A280)+COUNTIF(connections!$B$2:$B$1188,$A280))</f>
        <v>4</v>
      </c>
      <c r="E280">
        <f t="shared" si="48"/>
        <v>4</v>
      </c>
      <c r="F280">
        <f t="shared" si="49"/>
        <v>8</v>
      </c>
      <c r="G280" t="e">
        <f t="shared" si="50"/>
        <v>#N/A</v>
      </c>
      <c r="H280" t="e">
        <f t="shared" si="51"/>
        <v>#N/A</v>
      </c>
      <c r="I280" t="e">
        <f t="shared" si="52"/>
        <v>#N/A</v>
      </c>
      <c r="J280" t="e">
        <f t="shared" si="53"/>
        <v>#N/A</v>
      </c>
      <c r="K280" t="e">
        <f t="shared" si="54"/>
        <v>#N/A</v>
      </c>
      <c r="L280" t="e">
        <f t="shared" si="55"/>
        <v>#N/A</v>
      </c>
      <c r="M280">
        <f t="shared" si="56"/>
        <v>2006</v>
      </c>
      <c r="N280">
        <f t="shared" si="57"/>
        <v>4.1840000000000002</v>
      </c>
      <c r="O280">
        <f t="shared" si="58"/>
        <v>4.0002800000000001</v>
      </c>
      <c r="T280">
        <f>IF(connections!$A280="","",IFERROR(INDEX(games!$B$2:$B$834,MATCH(connections!$A280,games!$A$2:$A$834,0)),""))</f>
        <v>2006</v>
      </c>
      <c r="U280">
        <f>IF(connections!$A280="","",IFERROR(INDEX(games!$B$2:$B$834,MATCH(connections!$B280,games!$A$2:$A$834,0)),""))</f>
        <v>2014</v>
      </c>
      <c r="V280">
        <f t="shared" si="59"/>
        <v>8</v>
      </c>
    </row>
    <row r="281" spans="1:22" x14ac:dyDescent="0.25">
      <c r="A281" t="str">
        <f>IF(games!$A281="","",games!$A281)</f>
        <v>FTL</v>
      </c>
      <c r="B281">
        <f>IF($A281="","",games!$B281)</f>
        <v>2012</v>
      </c>
      <c r="C281" t="str">
        <f>IF($A281="","",games!$C281)</f>
        <v>Strategy</v>
      </c>
      <c r="D281">
        <f>IF($A281="","",COUNTIF(connections!$A$2:$A$1188,$A281)+COUNTIF(connections!$B$2:$B$1188,$A281))</f>
        <v>36</v>
      </c>
      <c r="E281">
        <f t="shared" si="48"/>
        <v>2</v>
      </c>
      <c r="F281">
        <f t="shared" si="49"/>
        <v>9</v>
      </c>
      <c r="G281" t="e">
        <f t="shared" si="50"/>
        <v>#N/A</v>
      </c>
      <c r="H281" t="e">
        <f t="shared" si="51"/>
        <v>#N/A</v>
      </c>
      <c r="I281">
        <f t="shared" si="52"/>
        <v>2012</v>
      </c>
      <c r="J281">
        <f t="shared" si="53"/>
        <v>2.2069999999999999</v>
      </c>
      <c r="K281" t="e">
        <f t="shared" si="54"/>
        <v>#N/A</v>
      </c>
      <c r="L281" t="e">
        <f t="shared" si="55"/>
        <v>#N/A</v>
      </c>
      <c r="M281" t="e">
        <f t="shared" si="56"/>
        <v>#N/A</v>
      </c>
      <c r="N281" t="e">
        <f t="shared" si="57"/>
        <v>#N/A</v>
      </c>
      <c r="O281">
        <f t="shared" si="58"/>
        <v>36.000281000000001</v>
      </c>
      <c r="T281">
        <f>IF(connections!$A281="","",IFERROR(INDEX(games!$B$2:$B$834,MATCH(connections!$A281,games!$A$2:$A$834,0)),""))</f>
        <v>2006</v>
      </c>
      <c r="U281">
        <f>IF(connections!$A281="","",IFERROR(INDEX(games!$B$2:$B$834,MATCH(connections!$B281,games!$A$2:$A$834,0)),""))</f>
        <v>2023</v>
      </c>
      <c r="V281">
        <f t="shared" si="59"/>
        <v>17</v>
      </c>
    </row>
    <row r="282" spans="1:22" x14ac:dyDescent="0.25">
      <c r="A282" t="str">
        <f>IF(games!$A282="","",games!$A282)</f>
        <v>Full Mojo Rampage</v>
      </c>
      <c r="B282">
        <f>IF($A282="","",games!$B282)</f>
        <v>2013</v>
      </c>
      <c r="C282" t="str">
        <f>IF($A282="","",games!$C282)</f>
        <v>Action</v>
      </c>
      <c r="D282">
        <f>IF($A282="","",COUNTIF(connections!$A$2:$A$1188,$A282)+COUNTIF(connections!$B$2:$B$1188,$A282))</f>
        <v>1</v>
      </c>
      <c r="E282">
        <f t="shared" si="48"/>
        <v>1</v>
      </c>
      <c r="F282">
        <f t="shared" si="49"/>
        <v>10</v>
      </c>
      <c r="G282">
        <f t="shared" si="50"/>
        <v>2013</v>
      </c>
      <c r="H282">
        <f t="shared" si="51"/>
        <v>1.23</v>
      </c>
      <c r="I282" t="e">
        <f t="shared" si="52"/>
        <v>#N/A</v>
      </c>
      <c r="J282" t="e">
        <f t="shared" si="53"/>
        <v>#N/A</v>
      </c>
      <c r="K282" t="e">
        <f t="shared" si="54"/>
        <v>#N/A</v>
      </c>
      <c r="L282" t="e">
        <f t="shared" si="55"/>
        <v>#N/A</v>
      </c>
      <c r="M282" t="e">
        <f t="shared" si="56"/>
        <v>#N/A</v>
      </c>
      <c r="N282" t="e">
        <f t="shared" si="57"/>
        <v>#N/A</v>
      </c>
      <c r="O282">
        <f t="shared" si="58"/>
        <v>1.0002819999999999</v>
      </c>
      <c r="T282">
        <f>IF(connections!$A282="","",IFERROR(INDEX(games!$B$2:$B$834,MATCH(connections!$A282,games!$A$2:$A$834,0)),""))</f>
        <v>2006</v>
      </c>
      <c r="U282">
        <f>IF(connections!$A282="","",IFERROR(INDEX(games!$B$2:$B$834,MATCH(connections!$B282,games!$A$2:$A$834,0)),""))</f>
        <v>2020</v>
      </c>
      <c r="V282">
        <f t="shared" si="59"/>
        <v>14</v>
      </c>
    </row>
    <row r="283" spans="1:22" x14ac:dyDescent="0.25">
      <c r="A283" t="str">
        <f>IF(games!$A283="","",games!$A283)</f>
        <v>Fury Unleashed</v>
      </c>
      <c r="B283">
        <f>IF($A283="","",games!$B283)</f>
        <v>2020</v>
      </c>
      <c r="C283" t="str">
        <f>IF($A283="","",games!$C283)</f>
        <v>Action</v>
      </c>
      <c r="D283">
        <f>IF($A283="","",COUNTIF(connections!$A$2:$A$1188,$A283)+COUNTIF(connections!$B$2:$B$1188,$A283))</f>
        <v>2</v>
      </c>
      <c r="E283">
        <f t="shared" si="48"/>
        <v>1</v>
      </c>
      <c r="F283">
        <f t="shared" si="49"/>
        <v>11</v>
      </c>
      <c r="G283">
        <f t="shared" si="50"/>
        <v>2020</v>
      </c>
      <c r="H283">
        <f t="shared" si="51"/>
        <v>1.2530000000000001</v>
      </c>
      <c r="I283" t="e">
        <f t="shared" si="52"/>
        <v>#N/A</v>
      </c>
      <c r="J283" t="e">
        <f t="shared" si="53"/>
        <v>#N/A</v>
      </c>
      <c r="K283" t="e">
        <f t="shared" si="54"/>
        <v>#N/A</v>
      </c>
      <c r="L283" t="e">
        <f t="shared" si="55"/>
        <v>#N/A</v>
      </c>
      <c r="M283" t="e">
        <f t="shared" si="56"/>
        <v>#N/A</v>
      </c>
      <c r="N283" t="e">
        <f t="shared" si="57"/>
        <v>#N/A</v>
      </c>
      <c r="O283">
        <f t="shared" si="58"/>
        <v>2.000283</v>
      </c>
      <c r="T283">
        <f>IF(connections!$A283="","",IFERROR(INDEX(games!$B$2:$B$834,MATCH(connections!$A283,games!$A$2:$A$834,0)),""))</f>
        <v>2006</v>
      </c>
      <c r="U283">
        <f>IF(connections!$A283="","",IFERROR(INDEX(games!$B$2:$B$834,MATCH(connections!$B283,games!$A$2:$A$834,0)),""))</f>
        <v>2025</v>
      </c>
      <c r="V283">
        <f t="shared" si="59"/>
        <v>19</v>
      </c>
    </row>
    <row r="284" spans="1:22" x14ac:dyDescent="0.25">
      <c r="A284" t="str">
        <f>IF(games!$A284="","",games!$A284)</f>
        <v>Fushigi no Gensoukyou</v>
      </c>
      <c r="B284">
        <f>IF($A284="","",games!$B284)</f>
        <v>2010</v>
      </c>
      <c r="C284" t="str">
        <f>IF($A284="","",games!$C284)</f>
        <v>Traditional</v>
      </c>
      <c r="D284">
        <f>IF($A284="","",COUNTIF(connections!$A$2:$A$1188,$A284)+COUNTIF(connections!$B$2:$B$1188,$A284))</f>
        <v>5</v>
      </c>
      <c r="E284">
        <f t="shared" si="48"/>
        <v>4</v>
      </c>
      <c r="F284">
        <f t="shared" si="49"/>
        <v>12</v>
      </c>
      <c r="G284" t="e">
        <f t="shared" si="50"/>
        <v>#N/A</v>
      </c>
      <c r="H284" t="e">
        <f t="shared" si="51"/>
        <v>#N/A</v>
      </c>
      <c r="I284" t="e">
        <f t="shared" si="52"/>
        <v>#N/A</v>
      </c>
      <c r="J284" t="e">
        <f t="shared" si="53"/>
        <v>#N/A</v>
      </c>
      <c r="K284" t="e">
        <f t="shared" si="54"/>
        <v>#N/A</v>
      </c>
      <c r="L284" t="e">
        <f t="shared" si="55"/>
        <v>#N/A</v>
      </c>
      <c r="M284">
        <f t="shared" si="56"/>
        <v>2010</v>
      </c>
      <c r="N284">
        <f t="shared" si="57"/>
        <v>4.2759999999999998</v>
      </c>
      <c r="O284">
        <f t="shared" si="58"/>
        <v>5.0002839999999997</v>
      </c>
      <c r="T284">
        <f>IF(connections!$A284="","",IFERROR(INDEX(games!$B$2:$B$834,MATCH(connections!$A284,games!$A$2:$A$834,0)),""))</f>
        <v>2006</v>
      </c>
      <c r="U284">
        <f>IF(connections!$A284="","",IFERROR(INDEX(games!$B$2:$B$834,MATCH(connections!$B284,games!$A$2:$A$834,0)),""))</f>
        <v>2018</v>
      </c>
      <c r="V284">
        <f t="shared" si="59"/>
        <v>12</v>
      </c>
    </row>
    <row r="285" spans="1:22" x14ac:dyDescent="0.25">
      <c r="A285" t="str">
        <f>IF(games!$A285="","",games!$A285)</f>
        <v>Fushigi no Gensoukyou 3</v>
      </c>
      <c r="B285">
        <f>IF($A285="","",games!$B285)</f>
        <v>2014</v>
      </c>
      <c r="C285" t="str">
        <f>IF($A285="","",games!$C285)</f>
        <v>Traditional</v>
      </c>
      <c r="D285">
        <f>IF($A285="","",COUNTIF(connections!$A$2:$A$1188,$A285)+COUNTIF(connections!$B$2:$B$1188,$A285))</f>
        <v>3</v>
      </c>
      <c r="E285">
        <f t="shared" si="48"/>
        <v>4</v>
      </c>
      <c r="F285">
        <f t="shared" si="49"/>
        <v>13</v>
      </c>
      <c r="G285" t="e">
        <f t="shared" si="50"/>
        <v>#N/A</v>
      </c>
      <c r="H285" t="e">
        <f t="shared" si="51"/>
        <v>#N/A</v>
      </c>
      <c r="I285" t="e">
        <f t="shared" si="52"/>
        <v>#N/A</v>
      </c>
      <c r="J285" t="e">
        <f t="shared" si="53"/>
        <v>#N/A</v>
      </c>
      <c r="K285" t="e">
        <f t="shared" si="54"/>
        <v>#N/A</v>
      </c>
      <c r="L285" t="e">
        <f t="shared" si="55"/>
        <v>#N/A</v>
      </c>
      <c r="M285">
        <f t="shared" si="56"/>
        <v>2014</v>
      </c>
      <c r="N285">
        <f t="shared" si="57"/>
        <v>4.2990000000000004</v>
      </c>
      <c r="O285">
        <f t="shared" si="58"/>
        <v>3.0002849999999999</v>
      </c>
      <c r="T285">
        <f>IF(connections!$A285="","",IFERROR(INDEX(games!$B$2:$B$834,MATCH(connections!$A285,games!$A$2:$A$834,0)),""))</f>
        <v>2006</v>
      </c>
      <c r="U285">
        <f>IF(connections!$A285="","",IFERROR(INDEX(games!$B$2:$B$834,MATCH(connections!$B285,games!$A$2:$A$834,0)),""))</f>
        <v>2025</v>
      </c>
      <c r="V285">
        <f t="shared" si="59"/>
        <v>19</v>
      </c>
    </row>
    <row r="286" spans="1:22" x14ac:dyDescent="0.25">
      <c r="A286" t="str">
        <f>IF(games!$A286="","",games!$A286)</f>
        <v>Galactic Glitch</v>
      </c>
      <c r="B286">
        <f>IF($A286="","",games!$B286)</f>
        <v>2024</v>
      </c>
      <c r="C286" t="str">
        <f>IF($A286="","",games!$C286)</f>
        <v>Action</v>
      </c>
      <c r="D286">
        <f>IF($A286="","",COUNTIF(connections!$A$2:$A$1188,$A286)+COUNTIF(connections!$B$2:$B$1188,$A286))</f>
        <v>3</v>
      </c>
      <c r="E286">
        <f t="shared" si="48"/>
        <v>1</v>
      </c>
      <c r="F286">
        <f t="shared" si="49"/>
        <v>14</v>
      </c>
      <c r="G286">
        <f t="shared" si="50"/>
        <v>2024</v>
      </c>
      <c r="H286">
        <f t="shared" si="51"/>
        <v>1.3220000000000001</v>
      </c>
      <c r="I286" t="e">
        <f t="shared" si="52"/>
        <v>#N/A</v>
      </c>
      <c r="J286" t="e">
        <f t="shared" si="53"/>
        <v>#N/A</v>
      </c>
      <c r="K286" t="e">
        <f t="shared" si="54"/>
        <v>#N/A</v>
      </c>
      <c r="L286" t="e">
        <f t="shared" si="55"/>
        <v>#N/A</v>
      </c>
      <c r="M286" t="e">
        <f t="shared" si="56"/>
        <v>#N/A</v>
      </c>
      <c r="N286" t="e">
        <f t="shared" si="57"/>
        <v>#N/A</v>
      </c>
      <c r="O286">
        <f t="shared" si="58"/>
        <v>3.000286</v>
      </c>
      <c r="T286">
        <f>IF(connections!$A286="","",IFERROR(INDEX(games!$B$2:$B$834,MATCH(connections!$A286,games!$A$2:$A$834,0)),""))</f>
        <v>2010</v>
      </c>
      <c r="U286">
        <f>IF(connections!$A286="","",IFERROR(INDEX(games!$B$2:$B$834,MATCH(connections!$B286,games!$A$2:$A$834,0)),""))</f>
        <v>2017</v>
      </c>
      <c r="V286">
        <f t="shared" si="59"/>
        <v>7</v>
      </c>
    </row>
    <row r="287" spans="1:22" x14ac:dyDescent="0.25">
      <c r="A287" t="str">
        <f>IF(games!$A287="","",games!$A287)</f>
        <v>Gambonanza</v>
      </c>
      <c r="B287">
        <f>IF($A287="","",games!$B287)</f>
        <v>2026</v>
      </c>
      <c r="C287" t="str">
        <f>IF($A287="","",games!$C287)</f>
        <v>Deckbuilder</v>
      </c>
      <c r="D287">
        <f>IF($A287="","",COUNTIF(connections!$A$2:$A$1188,$A287)+COUNTIF(connections!$B$2:$B$1188,$A287))</f>
        <v>1</v>
      </c>
      <c r="E287">
        <f t="shared" si="48"/>
        <v>3</v>
      </c>
      <c r="F287">
        <f t="shared" si="49"/>
        <v>15</v>
      </c>
      <c r="G287" t="e">
        <f t="shared" si="50"/>
        <v>#N/A</v>
      </c>
      <c r="H287" t="e">
        <f t="shared" si="51"/>
        <v>#N/A</v>
      </c>
      <c r="I287" t="e">
        <f t="shared" si="52"/>
        <v>#N/A</v>
      </c>
      <c r="J287" t="e">
        <f t="shared" si="53"/>
        <v>#N/A</v>
      </c>
      <c r="K287">
        <f t="shared" si="54"/>
        <v>2026</v>
      </c>
      <c r="L287">
        <f t="shared" si="55"/>
        <v>3.3449999999999998</v>
      </c>
      <c r="M287" t="e">
        <f t="shared" si="56"/>
        <v>#N/A</v>
      </c>
      <c r="N287" t="e">
        <f t="shared" si="57"/>
        <v>#N/A</v>
      </c>
      <c r="O287">
        <f t="shared" si="58"/>
        <v>1.0002869999999999</v>
      </c>
      <c r="T287">
        <f>IF(connections!$A287="","",IFERROR(INDEX(games!$B$2:$B$834,MATCH(connections!$A287,games!$A$2:$A$834,0)),""))</f>
        <v>2011</v>
      </c>
      <c r="U287">
        <f>IF(connections!$A287="","",IFERROR(INDEX(games!$B$2:$B$834,MATCH(connections!$B287,games!$A$2:$A$834,0)),""))</f>
        <v>2017</v>
      </c>
      <c r="V287">
        <f t="shared" si="59"/>
        <v>6</v>
      </c>
    </row>
    <row r="288" spans="1:22" x14ac:dyDescent="0.25">
      <c r="A288" t="str">
        <f>IF(games!$A288="","",games!$A288)</f>
        <v>Garden of Witches</v>
      </c>
      <c r="B288">
        <f>IF($A288="","",games!$B288)</f>
        <v>2025</v>
      </c>
      <c r="C288" t="str">
        <f>IF($A288="","",games!$C288)</f>
        <v>Action</v>
      </c>
      <c r="D288">
        <f>IF($A288="","",COUNTIF(connections!$A$2:$A$1188,$A288)+COUNTIF(connections!$B$2:$B$1188,$A288))</f>
        <v>2</v>
      </c>
      <c r="E288">
        <f t="shared" si="48"/>
        <v>1</v>
      </c>
      <c r="F288">
        <f t="shared" si="49"/>
        <v>16</v>
      </c>
      <c r="G288">
        <f t="shared" si="50"/>
        <v>2025</v>
      </c>
      <c r="H288">
        <f t="shared" si="51"/>
        <v>1.3679999999999999</v>
      </c>
      <c r="I288" t="e">
        <f t="shared" si="52"/>
        <v>#N/A</v>
      </c>
      <c r="J288" t="e">
        <f t="shared" si="53"/>
        <v>#N/A</v>
      </c>
      <c r="K288" t="e">
        <f t="shared" si="54"/>
        <v>#N/A</v>
      </c>
      <c r="L288" t="e">
        <f t="shared" si="55"/>
        <v>#N/A</v>
      </c>
      <c r="M288" t="e">
        <f t="shared" si="56"/>
        <v>#N/A</v>
      </c>
      <c r="N288" t="e">
        <f t="shared" si="57"/>
        <v>#N/A</v>
      </c>
      <c r="O288">
        <f t="shared" si="58"/>
        <v>2.0002879999999998</v>
      </c>
      <c r="T288">
        <f>IF(connections!$A288="","",IFERROR(INDEX(games!$B$2:$B$834,MATCH(connections!$A288,games!$A$2:$A$834,0)),""))</f>
        <v>2011</v>
      </c>
      <c r="U288">
        <f>IF(connections!$A288="","",IFERROR(INDEX(games!$B$2:$B$834,MATCH(connections!$B288,games!$A$2:$A$834,0)),""))</f>
        <v>2014</v>
      </c>
      <c r="V288">
        <f t="shared" si="59"/>
        <v>3</v>
      </c>
    </row>
    <row r="289" spans="1:22" x14ac:dyDescent="0.25">
      <c r="A289" t="str">
        <f>IF(games!$A289="","",games!$A289)</f>
        <v>Gatekeeper</v>
      </c>
      <c r="B289">
        <f>IF($A289="","",games!$B289)</f>
        <v>2024</v>
      </c>
      <c r="C289" t="str">
        <f>IF($A289="","",games!$C289)</f>
        <v>Action</v>
      </c>
      <c r="D289">
        <f>IF($A289="","",COUNTIF(connections!$A$2:$A$1188,$A289)+COUNTIF(connections!$B$2:$B$1188,$A289))</f>
        <v>1</v>
      </c>
      <c r="E289">
        <f t="shared" si="48"/>
        <v>1</v>
      </c>
      <c r="F289">
        <f t="shared" si="49"/>
        <v>17</v>
      </c>
      <c r="G289">
        <f t="shared" si="50"/>
        <v>2024</v>
      </c>
      <c r="H289">
        <f t="shared" si="51"/>
        <v>1.391</v>
      </c>
      <c r="I289" t="e">
        <f t="shared" si="52"/>
        <v>#N/A</v>
      </c>
      <c r="J289" t="e">
        <f t="shared" si="53"/>
        <v>#N/A</v>
      </c>
      <c r="K289" t="e">
        <f t="shared" si="54"/>
        <v>#N/A</v>
      </c>
      <c r="L289" t="e">
        <f t="shared" si="55"/>
        <v>#N/A</v>
      </c>
      <c r="M289" t="e">
        <f t="shared" si="56"/>
        <v>#N/A</v>
      </c>
      <c r="N289" t="e">
        <f t="shared" si="57"/>
        <v>#N/A</v>
      </c>
      <c r="O289">
        <f t="shared" si="58"/>
        <v>1.000289</v>
      </c>
      <c r="T289">
        <f>IF(connections!$A289="","",IFERROR(INDEX(games!$B$2:$B$834,MATCH(connections!$A289,games!$A$2:$A$834,0)),""))</f>
        <v>2011</v>
      </c>
      <c r="U289">
        <f>IF(connections!$A289="","",IFERROR(INDEX(games!$B$2:$B$834,MATCH(connections!$B289,games!$A$2:$A$834,0)),""))</f>
        <v>2016</v>
      </c>
      <c r="V289">
        <f t="shared" si="59"/>
        <v>5</v>
      </c>
    </row>
    <row r="290" spans="1:22" x14ac:dyDescent="0.25">
      <c r="A290" t="str">
        <f>IF(games!$A290="","",games!$A290)</f>
        <v>GearHead</v>
      </c>
      <c r="B290">
        <f>IF($A290="","",games!$B290)</f>
        <v>2002</v>
      </c>
      <c r="C290" t="str">
        <f>IF($A290="","",games!$C290)</f>
        <v>Traditional</v>
      </c>
      <c r="D290">
        <f>IF($A290="","",COUNTIF(connections!$A$2:$A$1188,$A290)+COUNTIF(connections!$B$2:$B$1188,$A290))</f>
        <v>2</v>
      </c>
      <c r="E290">
        <f t="shared" si="48"/>
        <v>4</v>
      </c>
      <c r="F290">
        <f t="shared" si="49"/>
        <v>18</v>
      </c>
      <c r="G290" t="e">
        <f t="shared" si="50"/>
        <v>#N/A</v>
      </c>
      <c r="H290" t="e">
        <f t="shared" si="51"/>
        <v>#N/A</v>
      </c>
      <c r="I290" t="e">
        <f t="shared" si="52"/>
        <v>#N/A</v>
      </c>
      <c r="J290" t="e">
        <f t="shared" si="53"/>
        <v>#N/A</v>
      </c>
      <c r="K290" t="e">
        <f t="shared" si="54"/>
        <v>#N/A</v>
      </c>
      <c r="L290" t="e">
        <f t="shared" si="55"/>
        <v>#N/A</v>
      </c>
      <c r="M290">
        <f t="shared" si="56"/>
        <v>2002</v>
      </c>
      <c r="N290">
        <f t="shared" si="57"/>
        <v>4.4139999999999997</v>
      </c>
      <c r="O290">
        <f t="shared" si="58"/>
        <v>2.0002900000000001</v>
      </c>
      <c r="T290">
        <f>IF(connections!$A290="","",IFERROR(INDEX(games!$B$2:$B$834,MATCH(connections!$A290,games!$A$2:$A$834,0)),""))</f>
        <v>2011</v>
      </c>
      <c r="U290">
        <f>IF(connections!$A290="","",IFERROR(INDEX(games!$B$2:$B$834,MATCH(connections!$B290,games!$A$2:$A$834,0)),""))</f>
        <v>2021</v>
      </c>
      <c r="V290">
        <f t="shared" si="59"/>
        <v>10</v>
      </c>
    </row>
    <row r="291" spans="1:22" x14ac:dyDescent="0.25">
      <c r="A291" t="str">
        <f>IF(games!$A291="","",games!$A291)</f>
        <v>GearHead 2</v>
      </c>
      <c r="B291">
        <f>IF($A291="","",games!$B291)</f>
        <v>2007</v>
      </c>
      <c r="C291" t="str">
        <f>IF($A291="","",games!$C291)</f>
        <v>Traditional</v>
      </c>
      <c r="D291">
        <f>IF($A291="","",COUNTIF(connections!$A$2:$A$1188,$A291)+COUNTIF(connections!$B$2:$B$1188,$A291))</f>
        <v>2</v>
      </c>
      <c r="E291">
        <f t="shared" si="48"/>
        <v>4</v>
      </c>
      <c r="F291">
        <f t="shared" si="49"/>
        <v>19</v>
      </c>
      <c r="G291" t="e">
        <f t="shared" si="50"/>
        <v>#N/A</v>
      </c>
      <c r="H291" t="e">
        <f t="shared" si="51"/>
        <v>#N/A</v>
      </c>
      <c r="I291" t="e">
        <f t="shared" si="52"/>
        <v>#N/A</v>
      </c>
      <c r="J291" t="e">
        <f t="shared" si="53"/>
        <v>#N/A</v>
      </c>
      <c r="K291" t="e">
        <f t="shared" si="54"/>
        <v>#N/A</v>
      </c>
      <c r="L291" t="e">
        <f t="shared" si="55"/>
        <v>#N/A</v>
      </c>
      <c r="M291">
        <f t="shared" si="56"/>
        <v>2007</v>
      </c>
      <c r="N291">
        <f t="shared" si="57"/>
        <v>4.4370000000000003</v>
      </c>
      <c r="O291">
        <f t="shared" si="58"/>
        <v>2.0002909999999998</v>
      </c>
      <c r="T291">
        <f>IF(connections!$A291="","",IFERROR(INDEX(games!$B$2:$B$834,MATCH(connections!$A291,games!$A$2:$A$834,0)),""))</f>
        <v>2018</v>
      </c>
      <c r="U291">
        <f>IF(connections!$A291="","",IFERROR(INDEX(games!$B$2:$B$834,MATCH(connections!$B291,games!$A$2:$A$834,0)),""))</f>
        <v>2025</v>
      </c>
      <c r="V291">
        <f t="shared" si="59"/>
        <v>7</v>
      </c>
    </row>
    <row r="292" spans="1:22" x14ac:dyDescent="0.25">
      <c r="A292" t="str">
        <f>IF(games!$A292="","",games!$A292)</f>
        <v>GearHead Caramel</v>
      </c>
      <c r="B292">
        <f>IF($A292="","",games!$B292)</f>
        <v>2022</v>
      </c>
      <c r="C292" t="str">
        <f>IF($A292="","",games!$C292)</f>
        <v>Traditional</v>
      </c>
      <c r="D292">
        <f>IF($A292="","",COUNTIF(connections!$A$2:$A$1188,$A292)+COUNTIF(connections!$B$2:$B$1188,$A292))</f>
        <v>3</v>
      </c>
      <c r="E292">
        <f t="shared" si="48"/>
        <v>4</v>
      </c>
      <c r="F292">
        <f t="shared" si="49"/>
        <v>20</v>
      </c>
      <c r="G292" t="e">
        <f t="shared" si="50"/>
        <v>#N/A</v>
      </c>
      <c r="H292" t="e">
        <f t="shared" si="51"/>
        <v>#N/A</v>
      </c>
      <c r="I292" t="e">
        <f t="shared" si="52"/>
        <v>#N/A</v>
      </c>
      <c r="J292" t="e">
        <f t="shared" si="53"/>
        <v>#N/A</v>
      </c>
      <c r="K292" t="e">
        <f t="shared" si="54"/>
        <v>#N/A</v>
      </c>
      <c r="L292" t="e">
        <f t="shared" si="55"/>
        <v>#N/A</v>
      </c>
      <c r="M292">
        <f t="shared" si="56"/>
        <v>2022</v>
      </c>
      <c r="N292">
        <f t="shared" si="57"/>
        <v>4.46</v>
      </c>
      <c r="O292">
        <f t="shared" si="58"/>
        <v>3.000292</v>
      </c>
      <c r="T292">
        <f>IF(connections!$A292="","",IFERROR(INDEX(games!$B$2:$B$834,MATCH(connections!$A292,games!$A$2:$A$834,0)),""))</f>
        <v>2006</v>
      </c>
      <c r="U292">
        <f>IF(connections!$A292="","",IFERROR(INDEX(games!$B$2:$B$834,MATCH(connections!$B292,games!$A$2:$A$834,0)),""))</f>
        <v>2010</v>
      </c>
      <c r="V292">
        <f t="shared" si="59"/>
        <v>4</v>
      </c>
    </row>
    <row r="293" spans="1:22" x14ac:dyDescent="0.25">
      <c r="A293" t="str">
        <f>IF(games!$A293="","",games!$A293)</f>
        <v>Genome Guardian</v>
      </c>
      <c r="B293">
        <f>IF($A293="","",games!$B293)</f>
        <v>2024</v>
      </c>
      <c r="C293" t="str">
        <f>IF($A293="","",games!$C293)</f>
        <v>Action</v>
      </c>
      <c r="D293">
        <f>IF($A293="","",COUNTIF(connections!$A$2:$A$1188,$A293)+COUNTIF(connections!$B$2:$B$1188,$A293))</f>
        <v>1</v>
      </c>
      <c r="E293">
        <f t="shared" si="48"/>
        <v>1</v>
      </c>
      <c r="F293">
        <f t="shared" si="49"/>
        <v>21</v>
      </c>
      <c r="G293">
        <f t="shared" si="50"/>
        <v>2024</v>
      </c>
      <c r="H293">
        <f t="shared" si="51"/>
        <v>1.4830000000000001</v>
      </c>
      <c r="I293" t="e">
        <f t="shared" si="52"/>
        <v>#N/A</v>
      </c>
      <c r="J293" t="e">
        <f t="shared" si="53"/>
        <v>#N/A</v>
      </c>
      <c r="K293" t="e">
        <f t="shared" si="54"/>
        <v>#N/A</v>
      </c>
      <c r="L293" t="e">
        <f t="shared" si="55"/>
        <v>#N/A</v>
      </c>
      <c r="M293" t="e">
        <f t="shared" si="56"/>
        <v>#N/A</v>
      </c>
      <c r="N293" t="e">
        <f t="shared" si="57"/>
        <v>#N/A</v>
      </c>
      <c r="O293">
        <f t="shared" si="58"/>
        <v>1.0002930000000001</v>
      </c>
      <c r="T293">
        <f>IF(connections!$A293="","",IFERROR(INDEX(games!$B$2:$B$834,MATCH(connections!$A293,games!$A$2:$A$834,0)),""))</f>
        <v>2006</v>
      </c>
      <c r="U293">
        <f>IF(connections!$A293="","",IFERROR(INDEX(games!$B$2:$B$834,MATCH(connections!$B293,games!$A$2:$A$834,0)),""))</f>
        <v>2015</v>
      </c>
      <c r="V293">
        <f t="shared" si="59"/>
        <v>9</v>
      </c>
    </row>
    <row r="294" spans="1:22" x14ac:dyDescent="0.25">
      <c r="A294" t="str">
        <f>IF(games!$A294="","",games!$A294)</f>
        <v>Geometry Arena</v>
      </c>
      <c r="B294">
        <f>IF($A294="","",games!$B294)</f>
        <v>2020</v>
      </c>
      <c r="C294" t="str">
        <f>IF($A294="","",games!$C294)</f>
        <v>Action</v>
      </c>
      <c r="D294">
        <f>IF($A294="","",COUNTIF(connections!$A$2:$A$1188,$A294)+COUNTIF(connections!$B$2:$B$1188,$A294))</f>
        <v>1</v>
      </c>
      <c r="E294">
        <f t="shared" si="48"/>
        <v>1</v>
      </c>
      <c r="F294">
        <f t="shared" si="49"/>
        <v>22</v>
      </c>
      <c r="G294">
        <f t="shared" si="50"/>
        <v>2020</v>
      </c>
      <c r="H294">
        <f t="shared" si="51"/>
        <v>1.506</v>
      </c>
      <c r="I294" t="e">
        <f t="shared" si="52"/>
        <v>#N/A</v>
      </c>
      <c r="J294" t="e">
        <f t="shared" si="53"/>
        <v>#N/A</v>
      </c>
      <c r="K294" t="e">
        <f t="shared" si="54"/>
        <v>#N/A</v>
      </c>
      <c r="L294" t="e">
        <f t="shared" si="55"/>
        <v>#N/A</v>
      </c>
      <c r="M294" t="e">
        <f t="shared" si="56"/>
        <v>#N/A</v>
      </c>
      <c r="N294" t="e">
        <f t="shared" si="57"/>
        <v>#N/A</v>
      </c>
      <c r="O294">
        <f t="shared" si="58"/>
        <v>1.000294</v>
      </c>
      <c r="T294">
        <f>IF(connections!$A294="","",IFERROR(INDEX(games!$B$2:$B$834,MATCH(connections!$A294,games!$A$2:$A$834,0)),""))</f>
        <v>2006</v>
      </c>
      <c r="U294">
        <f>IF(connections!$A294="","",IFERROR(INDEX(games!$B$2:$B$834,MATCH(connections!$B294,games!$A$2:$A$834,0)),""))</f>
        <v>2023</v>
      </c>
      <c r="V294">
        <f t="shared" si="59"/>
        <v>17</v>
      </c>
    </row>
    <row r="295" spans="1:22" x14ac:dyDescent="0.25">
      <c r="A295" t="str">
        <f>IF(games!$A295="","",games!$A295)</f>
        <v>Geometry Arena 2</v>
      </c>
      <c r="B295">
        <f>IF($A295="","",games!$B295)</f>
        <v>2023</v>
      </c>
      <c r="C295" t="str">
        <f>IF($A295="","",games!$C295)</f>
        <v>Action</v>
      </c>
      <c r="D295">
        <f>IF($A295="","",COUNTIF(connections!$A$2:$A$1188,$A295)+COUNTIF(connections!$B$2:$B$1188,$A295))</f>
        <v>1</v>
      </c>
      <c r="E295">
        <f t="shared" si="48"/>
        <v>1</v>
      </c>
      <c r="F295">
        <f t="shared" si="49"/>
        <v>23</v>
      </c>
      <c r="G295">
        <f t="shared" si="50"/>
        <v>2023</v>
      </c>
      <c r="H295">
        <f t="shared" si="51"/>
        <v>1.5289999999999999</v>
      </c>
      <c r="I295" t="e">
        <f t="shared" si="52"/>
        <v>#N/A</v>
      </c>
      <c r="J295" t="e">
        <f t="shared" si="53"/>
        <v>#N/A</v>
      </c>
      <c r="K295" t="e">
        <f t="shared" si="54"/>
        <v>#N/A</v>
      </c>
      <c r="L295" t="e">
        <f t="shared" si="55"/>
        <v>#N/A</v>
      </c>
      <c r="M295" t="e">
        <f t="shared" si="56"/>
        <v>#N/A</v>
      </c>
      <c r="N295" t="e">
        <f t="shared" si="57"/>
        <v>#N/A</v>
      </c>
      <c r="O295">
        <f t="shared" si="58"/>
        <v>1.0002949999999999</v>
      </c>
      <c r="T295">
        <f>IF(connections!$A295="","",IFERROR(INDEX(games!$B$2:$B$834,MATCH(connections!$A295,games!$A$2:$A$834,0)),""))</f>
        <v>2006</v>
      </c>
      <c r="U295">
        <f>IF(connections!$A295="","",IFERROR(INDEX(games!$B$2:$B$834,MATCH(connections!$B295,games!$A$2:$A$834,0)),""))</f>
        <v>2025</v>
      </c>
      <c r="V295">
        <f t="shared" si="59"/>
        <v>19</v>
      </c>
    </row>
    <row r="296" spans="1:22" x14ac:dyDescent="0.25">
      <c r="A296" t="str">
        <f>IF(games!$A296="","",games!$A296)</f>
        <v>Glyphica: Typing Survival</v>
      </c>
      <c r="B296">
        <f>IF($A296="","",games!$B296)</f>
        <v>2024</v>
      </c>
      <c r="C296" t="str">
        <f>IF($A296="","",games!$C296)</f>
        <v>Action</v>
      </c>
      <c r="D296">
        <f>IF($A296="","",COUNTIF(connections!$A$2:$A$1188,$A296)+COUNTIF(connections!$B$2:$B$1188,$A296))</f>
        <v>1</v>
      </c>
      <c r="E296">
        <f t="shared" si="48"/>
        <v>1</v>
      </c>
      <c r="F296">
        <f t="shared" si="49"/>
        <v>24</v>
      </c>
      <c r="G296">
        <f t="shared" si="50"/>
        <v>2024</v>
      </c>
      <c r="H296">
        <f t="shared" si="51"/>
        <v>1.552</v>
      </c>
      <c r="I296" t="e">
        <f t="shared" si="52"/>
        <v>#N/A</v>
      </c>
      <c r="J296" t="e">
        <f t="shared" si="53"/>
        <v>#N/A</v>
      </c>
      <c r="K296" t="e">
        <f t="shared" si="54"/>
        <v>#N/A</v>
      </c>
      <c r="L296" t="e">
        <f t="shared" si="55"/>
        <v>#N/A</v>
      </c>
      <c r="M296" t="e">
        <f t="shared" si="56"/>
        <v>#N/A</v>
      </c>
      <c r="N296" t="e">
        <f t="shared" si="57"/>
        <v>#N/A</v>
      </c>
      <c r="O296">
        <f t="shared" si="58"/>
        <v>1.0002960000000001</v>
      </c>
      <c r="T296">
        <f>IF(connections!$A296="","",IFERROR(INDEX(games!$B$2:$B$834,MATCH(connections!$A296,games!$A$2:$A$834,0)),""))</f>
        <v>2006</v>
      </c>
      <c r="U296">
        <f>IF(connections!$A296="","",IFERROR(INDEX(games!$B$2:$B$834,MATCH(connections!$B296,games!$A$2:$A$834,0)),""))</f>
        <v>2021</v>
      </c>
      <c r="V296">
        <f t="shared" si="59"/>
        <v>15</v>
      </c>
    </row>
    <row r="297" spans="1:22" x14ac:dyDescent="0.25">
      <c r="A297" t="str">
        <f>IF(games!$A297="","",games!$A297)</f>
        <v>GnollHack</v>
      </c>
      <c r="B297">
        <f>IF($A297="","",games!$B297)</f>
        <v>2020</v>
      </c>
      <c r="C297" t="str">
        <f>IF($A297="","",games!$C297)</f>
        <v>Traditional</v>
      </c>
      <c r="D297">
        <f>IF($A297="","",COUNTIF(connections!$A$2:$A$1188,$A297)+COUNTIF(connections!$B$2:$B$1188,$A297))</f>
        <v>1</v>
      </c>
      <c r="E297">
        <f t="shared" si="48"/>
        <v>4</v>
      </c>
      <c r="F297">
        <f t="shared" si="49"/>
        <v>25</v>
      </c>
      <c r="G297" t="e">
        <f t="shared" si="50"/>
        <v>#N/A</v>
      </c>
      <c r="H297" t="e">
        <f t="shared" si="51"/>
        <v>#N/A</v>
      </c>
      <c r="I297" t="e">
        <f t="shared" si="52"/>
        <v>#N/A</v>
      </c>
      <c r="J297" t="e">
        <f t="shared" si="53"/>
        <v>#N/A</v>
      </c>
      <c r="K297" t="e">
        <f t="shared" si="54"/>
        <v>#N/A</v>
      </c>
      <c r="L297" t="e">
        <f t="shared" si="55"/>
        <v>#N/A</v>
      </c>
      <c r="M297">
        <f t="shared" si="56"/>
        <v>2020</v>
      </c>
      <c r="N297">
        <f t="shared" si="57"/>
        <v>4.5750000000000002</v>
      </c>
      <c r="O297">
        <f t="shared" si="58"/>
        <v>1.000297</v>
      </c>
      <c r="T297">
        <f>IF(connections!$A297="","",IFERROR(INDEX(games!$B$2:$B$834,MATCH(connections!$A297,games!$A$2:$A$834,0)),""))</f>
        <v>2006</v>
      </c>
      <c r="U297">
        <f>IF(connections!$A297="","",IFERROR(INDEX(games!$B$2:$B$834,MATCH(connections!$B297,games!$A$2:$A$834,0)),""))</f>
        <v>2012</v>
      </c>
      <c r="V297">
        <f t="shared" si="59"/>
        <v>6</v>
      </c>
    </row>
    <row r="298" spans="1:22" x14ac:dyDescent="0.25">
      <c r="A298" t="str">
        <f>IF(games!$A298="","",games!$A298)</f>
        <v>Gnomes</v>
      </c>
      <c r="B298">
        <f>IF($A298="","",games!$B298)</f>
        <v>2025</v>
      </c>
      <c r="C298" t="str">
        <f>IF($A298="","",games!$C298)</f>
        <v>Strategy</v>
      </c>
      <c r="D298">
        <f>IF($A298="","",COUNTIF(connections!$A$2:$A$1188,$A298)+COUNTIF(connections!$B$2:$B$1188,$A298))</f>
        <v>0</v>
      </c>
      <c r="E298">
        <f t="shared" si="48"/>
        <v>2</v>
      </c>
      <c r="F298">
        <f t="shared" si="49"/>
        <v>26</v>
      </c>
      <c r="G298" t="e">
        <f t="shared" si="50"/>
        <v>#N/A</v>
      </c>
      <c r="H298" t="e">
        <f t="shared" si="51"/>
        <v>#N/A</v>
      </c>
      <c r="I298">
        <f t="shared" si="52"/>
        <v>2025</v>
      </c>
      <c r="J298">
        <f t="shared" si="53"/>
        <v>2.5979999999999999</v>
      </c>
      <c r="K298" t="e">
        <f t="shared" si="54"/>
        <v>#N/A</v>
      </c>
      <c r="L298" t="e">
        <f t="shared" si="55"/>
        <v>#N/A</v>
      </c>
      <c r="M298" t="e">
        <f t="shared" si="56"/>
        <v>#N/A</v>
      </c>
      <c r="N298" t="e">
        <f t="shared" si="57"/>
        <v>#N/A</v>
      </c>
      <c r="O298">
        <f t="shared" si="58"/>
        <v>2.9799999999999998E-4</v>
      </c>
      <c r="T298">
        <f>IF(connections!$A298="","",IFERROR(INDEX(games!$B$2:$B$834,MATCH(connections!$A298,games!$A$2:$A$834,0)),""))</f>
        <v>2006</v>
      </c>
      <c r="U298">
        <f>IF(connections!$A298="","",IFERROR(INDEX(games!$B$2:$B$834,MATCH(connections!$B298,games!$A$2:$A$834,0)),""))</f>
        <v>2024</v>
      </c>
      <c r="V298">
        <f t="shared" si="59"/>
        <v>18</v>
      </c>
    </row>
    <row r="299" spans="1:22" x14ac:dyDescent="0.25">
      <c r="A299" t="str">
        <f>IF(games!$A299="","",games!$A299)</f>
        <v>Go Mecha Ball</v>
      </c>
      <c r="B299">
        <f>IF($A299="","",games!$B299)</f>
        <v>2024</v>
      </c>
      <c r="C299" t="str">
        <f>IF($A299="","",games!$C299)</f>
        <v>Action</v>
      </c>
      <c r="D299">
        <f>IF($A299="","",COUNTIF(connections!$A$2:$A$1188,$A299)+COUNTIF(connections!$B$2:$B$1188,$A299))</f>
        <v>0</v>
      </c>
      <c r="E299">
        <f t="shared" si="48"/>
        <v>1</v>
      </c>
      <c r="F299">
        <f t="shared" si="49"/>
        <v>27</v>
      </c>
      <c r="G299">
        <f t="shared" si="50"/>
        <v>2024</v>
      </c>
      <c r="H299">
        <f t="shared" si="51"/>
        <v>1.621</v>
      </c>
      <c r="I299" t="e">
        <f t="shared" si="52"/>
        <v>#N/A</v>
      </c>
      <c r="J299" t="e">
        <f t="shared" si="53"/>
        <v>#N/A</v>
      </c>
      <c r="K299" t="e">
        <f t="shared" si="54"/>
        <v>#N/A</v>
      </c>
      <c r="L299" t="e">
        <f t="shared" si="55"/>
        <v>#N/A</v>
      </c>
      <c r="M299" t="e">
        <f t="shared" si="56"/>
        <v>#N/A</v>
      </c>
      <c r="N299" t="e">
        <f t="shared" si="57"/>
        <v>#N/A</v>
      </c>
      <c r="O299">
        <f t="shared" si="58"/>
        <v>2.99E-4</v>
      </c>
      <c r="T299">
        <f>IF(connections!$A299="","",IFERROR(INDEX(games!$B$2:$B$834,MATCH(connections!$A299,games!$A$2:$A$834,0)),""))</f>
        <v>2006</v>
      </c>
      <c r="U299">
        <f>IF(connections!$A299="","",IFERROR(INDEX(games!$B$2:$B$834,MATCH(connections!$B299,games!$A$2:$A$834,0)),""))</f>
        <v>2017</v>
      </c>
      <c r="V299">
        <f t="shared" si="59"/>
        <v>11</v>
      </c>
    </row>
    <row r="300" spans="1:22" x14ac:dyDescent="0.25">
      <c r="A300" t="str">
        <f>IF(games!$A300="","",games!$A300)</f>
        <v>Goblin Sushi</v>
      </c>
      <c r="B300">
        <f>IF($A300="","",games!$B300)</f>
        <v>2026</v>
      </c>
      <c r="C300" t="str">
        <f>IF($A300="","",games!$C300)</f>
        <v>Deckbuilder</v>
      </c>
      <c r="D300">
        <f>IF($A300="","",COUNTIF(connections!$A$2:$A$1188,$A300)+COUNTIF(connections!$B$2:$B$1188,$A300))</f>
        <v>0</v>
      </c>
      <c r="E300">
        <f t="shared" si="48"/>
        <v>3</v>
      </c>
      <c r="F300">
        <f t="shared" si="49"/>
        <v>28</v>
      </c>
      <c r="G300" t="e">
        <f t="shared" si="50"/>
        <v>#N/A</v>
      </c>
      <c r="H300" t="e">
        <f t="shared" si="51"/>
        <v>#N/A</v>
      </c>
      <c r="I300" t="e">
        <f t="shared" si="52"/>
        <v>#N/A</v>
      </c>
      <c r="J300" t="e">
        <f t="shared" si="53"/>
        <v>#N/A</v>
      </c>
      <c r="K300">
        <f t="shared" si="54"/>
        <v>2026</v>
      </c>
      <c r="L300">
        <f t="shared" si="55"/>
        <v>3.6440000000000001</v>
      </c>
      <c r="M300" t="e">
        <f t="shared" si="56"/>
        <v>#N/A</v>
      </c>
      <c r="N300" t="e">
        <f t="shared" si="57"/>
        <v>#N/A</v>
      </c>
      <c r="O300">
        <f t="shared" si="58"/>
        <v>2.9999999999999997E-4</v>
      </c>
      <c r="T300">
        <f>IF(connections!$A300="","",IFERROR(INDEX(games!$B$2:$B$834,MATCH(connections!$A300,games!$A$2:$A$834,0)),""))</f>
        <v>2006</v>
      </c>
      <c r="U300">
        <f>IF(connections!$A300="","",IFERROR(INDEX(games!$B$2:$B$834,MATCH(connections!$B300,games!$A$2:$A$834,0)),""))</f>
        <v>2011</v>
      </c>
      <c r="V300">
        <f t="shared" si="59"/>
        <v>5</v>
      </c>
    </row>
    <row r="301" spans="1:22" x14ac:dyDescent="0.25">
      <c r="A301" t="str">
        <f>IF(games!$A301="","",games!$A301)</f>
        <v>God of Weapons</v>
      </c>
      <c r="B301">
        <f>IF($A301="","",games!$B301)</f>
        <v>2023</v>
      </c>
      <c r="C301" t="str">
        <f>IF($A301="","",games!$C301)</f>
        <v>Action</v>
      </c>
      <c r="D301">
        <f>IF($A301="","",COUNTIF(connections!$A$2:$A$1188,$A301)+COUNTIF(connections!$B$2:$B$1188,$A301))</f>
        <v>1</v>
      </c>
      <c r="E301">
        <f t="shared" si="48"/>
        <v>1</v>
      </c>
      <c r="F301">
        <f t="shared" si="49"/>
        <v>29</v>
      </c>
      <c r="G301">
        <f t="shared" si="50"/>
        <v>2023</v>
      </c>
      <c r="H301">
        <f t="shared" si="51"/>
        <v>1.667</v>
      </c>
      <c r="I301" t="e">
        <f t="shared" si="52"/>
        <v>#N/A</v>
      </c>
      <c r="J301" t="e">
        <f t="shared" si="53"/>
        <v>#N/A</v>
      </c>
      <c r="K301" t="e">
        <f t="shared" si="54"/>
        <v>#N/A</v>
      </c>
      <c r="L301" t="e">
        <f t="shared" si="55"/>
        <v>#N/A</v>
      </c>
      <c r="M301" t="e">
        <f t="shared" si="56"/>
        <v>#N/A</v>
      </c>
      <c r="N301" t="e">
        <f t="shared" si="57"/>
        <v>#N/A</v>
      </c>
      <c r="O301">
        <f t="shared" si="58"/>
        <v>1.0003010000000001</v>
      </c>
      <c r="T301">
        <f>IF(connections!$A301="","",IFERROR(INDEX(games!$B$2:$B$834,MATCH(connections!$A301,games!$A$2:$A$834,0)),""))</f>
        <v>2025</v>
      </c>
      <c r="U301">
        <f>IF(connections!$A301="","",IFERROR(INDEX(games!$B$2:$B$834,MATCH(connections!$B301,games!$A$2:$A$834,0)),""))</f>
        <v>2026</v>
      </c>
      <c r="V301">
        <f t="shared" si="59"/>
        <v>1</v>
      </c>
    </row>
    <row r="302" spans="1:22" x14ac:dyDescent="0.25">
      <c r="A302" t="str">
        <f>IF(games!$A302="","",games!$A302)</f>
        <v>Godbreakers</v>
      </c>
      <c r="B302">
        <f>IF($A302="","",games!$B302)</f>
        <v>2025</v>
      </c>
      <c r="C302" t="str">
        <f>IF($A302="","",games!$C302)</f>
        <v>Action</v>
      </c>
      <c r="D302">
        <f>IF($A302="","",COUNTIF(connections!$A$2:$A$1188,$A302)+COUNTIF(connections!$B$2:$B$1188,$A302))</f>
        <v>0</v>
      </c>
      <c r="E302">
        <f t="shared" si="48"/>
        <v>1</v>
      </c>
      <c r="F302">
        <f t="shared" si="49"/>
        <v>30</v>
      </c>
      <c r="G302">
        <f t="shared" si="50"/>
        <v>2025</v>
      </c>
      <c r="H302">
        <f t="shared" si="51"/>
        <v>1.69</v>
      </c>
      <c r="I302" t="e">
        <f t="shared" si="52"/>
        <v>#N/A</v>
      </c>
      <c r="J302" t="e">
        <f t="shared" si="53"/>
        <v>#N/A</v>
      </c>
      <c r="K302" t="e">
        <f t="shared" si="54"/>
        <v>#N/A</v>
      </c>
      <c r="L302" t="e">
        <f t="shared" si="55"/>
        <v>#N/A</v>
      </c>
      <c r="M302" t="e">
        <f t="shared" si="56"/>
        <v>#N/A</v>
      </c>
      <c r="N302" t="e">
        <f t="shared" si="57"/>
        <v>#N/A</v>
      </c>
      <c r="O302">
        <f t="shared" si="58"/>
        <v>3.0200000000000002E-4</v>
      </c>
      <c r="T302">
        <f>IF(connections!$A302="","",IFERROR(INDEX(games!$B$2:$B$834,MATCH(connections!$A302,games!$A$2:$A$834,0)),""))</f>
        <v>2008</v>
      </c>
      <c r="U302">
        <f>IF(connections!$A302="","",IFERROR(INDEX(games!$B$2:$B$834,MATCH(connections!$B302,games!$A$2:$A$834,0)),""))</f>
        <v>2010</v>
      </c>
      <c r="V302">
        <f t="shared" si="59"/>
        <v>2</v>
      </c>
    </row>
    <row r="303" spans="1:22" x14ac:dyDescent="0.25">
      <c r="A303" t="str">
        <f>IF(games!$A303="","",games!$A303)</f>
        <v>Going Under</v>
      </c>
      <c r="B303">
        <f>IF($A303="","",games!$B303)</f>
        <v>2020</v>
      </c>
      <c r="C303" t="str">
        <f>IF($A303="","",games!$C303)</f>
        <v>Action</v>
      </c>
      <c r="D303">
        <f>IF($A303="","",COUNTIF(connections!$A$2:$A$1188,$A303)+COUNTIF(connections!$B$2:$B$1188,$A303))</f>
        <v>4</v>
      </c>
      <c r="E303">
        <f t="shared" si="48"/>
        <v>1</v>
      </c>
      <c r="F303">
        <f t="shared" si="49"/>
        <v>31</v>
      </c>
      <c r="G303">
        <f t="shared" si="50"/>
        <v>2020</v>
      </c>
      <c r="H303">
        <f t="shared" si="51"/>
        <v>1.7130000000000001</v>
      </c>
      <c r="I303" t="e">
        <f t="shared" si="52"/>
        <v>#N/A</v>
      </c>
      <c r="J303" t="e">
        <f t="shared" si="53"/>
        <v>#N/A</v>
      </c>
      <c r="K303" t="e">
        <f t="shared" si="54"/>
        <v>#N/A</v>
      </c>
      <c r="L303" t="e">
        <f t="shared" si="55"/>
        <v>#N/A</v>
      </c>
      <c r="M303" t="e">
        <f t="shared" si="56"/>
        <v>#N/A</v>
      </c>
      <c r="N303" t="e">
        <f t="shared" si="57"/>
        <v>#N/A</v>
      </c>
      <c r="O303">
        <f t="shared" si="58"/>
        <v>4.0003029999999997</v>
      </c>
      <c r="T303">
        <f>IF(connections!$A303="","",IFERROR(INDEX(games!$B$2:$B$834,MATCH(connections!$A303,games!$A$2:$A$834,0)),""))</f>
        <v>2008</v>
      </c>
      <c r="U303">
        <f>IF(connections!$A303="","",IFERROR(INDEX(games!$B$2:$B$834,MATCH(connections!$B303,games!$A$2:$A$834,0)),""))</f>
        <v>2024</v>
      </c>
      <c r="V303">
        <f t="shared" si="59"/>
        <v>16</v>
      </c>
    </row>
    <row r="304" spans="1:22" x14ac:dyDescent="0.25">
      <c r="A304" t="str">
        <f>IF(games!$A304="","",games!$A304)</f>
        <v>Golden Krone Hotel</v>
      </c>
      <c r="B304">
        <f>IF($A304="","",games!$B304)</f>
        <v>2014</v>
      </c>
      <c r="C304" t="str">
        <f>IF($A304="","",games!$C304)</f>
        <v>Traditional</v>
      </c>
      <c r="D304">
        <f>IF($A304="","",COUNTIF(connections!$A$2:$A$1188,$A304)+COUNTIF(connections!$B$2:$B$1188,$A304))</f>
        <v>1</v>
      </c>
      <c r="E304">
        <f t="shared" si="48"/>
        <v>4</v>
      </c>
      <c r="F304">
        <f t="shared" si="49"/>
        <v>32</v>
      </c>
      <c r="G304" t="e">
        <f t="shared" si="50"/>
        <v>#N/A</v>
      </c>
      <c r="H304" t="e">
        <f t="shared" si="51"/>
        <v>#N/A</v>
      </c>
      <c r="I304" t="e">
        <f t="shared" si="52"/>
        <v>#N/A</v>
      </c>
      <c r="J304" t="e">
        <f t="shared" si="53"/>
        <v>#N/A</v>
      </c>
      <c r="K304" t="e">
        <f t="shared" si="54"/>
        <v>#N/A</v>
      </c>
      <c r="L304" t="e">
        <f t="shared" si="55"/>
        <v>#N/A</v>
      </c>
      <c r="M304">
        <f t="shared" si="56"/>
        <v>2014</v>
      </c>
      <c r="N304">
        <f t="shared" si="57"/>
        <v>4.7359999999999998</v>
      </c>
      <c r="O304">
        <f t="shared" si="58"/>
        <v>1.0003040000000001</v>
      </c>
      <c r="T304">
        <f>IF(connections!$A304="","",IFERROR(INDEX(games!$B$2:$B$834,MATCH(connections!$A304,games!$A$2:$A$834,0)),""))</f>
        <v>2022</v>
      </c>
      <c r="U304">
        <f>IF(connections!$A304="","",IFERROR(INDEX(games!$B$2:$B$834,MATCH(connections!$B304,games!$A$2:$A$834,0)),""))</f>
        <v>2024</v>
      </c>
      <c r="V304">
        <f t="shared" si="59"/>
        <v>2</v>
      </c>
    </row>
    <row r="305" spans="1:22" x14ac:dyDescent="0.25">
      <c r="A305" t="str">
        <f>IF(games!$A305="","",games!$A305)</f>
        <v>Golden Light</v>
      </c>
      <c r="B305">
        <f>IF($A305="","",games!$B305)</f>
        <v>2020</v>
      </c>
      <c r="C305" t="str">
        <f>IF($A305="","",games!$C305)</f>
        <v>Action</v>
      </c>
      <c r="D305">
        <f>IF($A305="","",COUNTIF(connections!$A$2:$A$1188,$A305)+COUNTIF(connections!$B$2:$B$1188,$A305))</f>
        <v>2</v>
      </c>
      <c r="E305">
        <f t="shared" si="48"/>
        <v>1</v>
      </c>
      <c r="F305">
        <f t="shared" si="49"/>
        <v>33</v>
      </c>
      <c r="G305">
        <f t="shared" si="50"/>
        <v>2020</v>
      </c>
      <c r="H305">
        <f t="shared" si="51"/>
        <v>1.7589999999999999</v>
      </c>
      <c r="I305" t="e">
        <f t="shared" si="52"/>
        <v>#N/A</v>
      </c>
      <c r="J305" t="e">
        <f t="shared" si="53"/>
        <v>#N/A</v>
      </c>
      <c r="K305" t="e">
        <f t="shared" si="54"/>
        <v>#N/A</v>
      </c>
      <c r="L305" t="e">
        <f t="shared" si="55"/>
        <v>#N/A</v>
      </c>
      <c r="M305" t="e">
        <f t="shared" si="56"/>
        <v>#N/A</v>
      </c>
      <c r="N305" t="e">
        <f t="shared" si="57"/>
        <v>#N/A</v>
      </c>
      <c r="O305">
        <f t="shared" si="58"/>
        <v>2.000305</v>
      </c>
      <c r="T305">
        <f>IF(connections!$A305="","",IFERROR(INDEX(games!$B$2:$B$834,MATCH(connections!$A305,games!$A$2:$A$834,0)),""))</f>
        <v>2016</v>
      </c>
      <c r="U305">
        <f>IF(connections!$A305="","",IFERROR(INDEX(games!$B$2:$B$834,MATCH(connections!$B305,games!$A$2:$A$834,0)),""))</f>
        <v>2025</v>
      </c>
      <c r="V305">
        <f t="shared" si="59"/>
        <v>9</v>
      </c>
    </row>
    <row r="306" spans="1:22" x14ac:dyDescent="0.25">
      <c r="A306" t="str">
        <f>IF(games!$A306="","",games!$A306)</f>
        <v>Golfie</v>
      </c>
      <c r="B306">
        <f>IF($A306="","",games!$B306)</f>
        <v>2022</v>
      </c>
      <c r="C306" t="str">
        <f>IF($A306="","",games!$C306)</f>
        <v>Action</v>
      </c>
      <c r="D306">
        <f>IF($A306="","",COUNTIF(connections!$A$2:$A$1188,$A306)+COUNTIF(connections!$B$2:$B$1188,$A306))</f>
        <v>1</v>
      </c>
      <c r="E306">
        <f t="shared" si="48"/>
        <v>1</v>
      </c>
      <c r="F306">
        <f t="shared" si="49"/>
        <v>0</v>
      </c>
      <c r="G306">
        <f t="shared" si="50"/>
        <v>2022</v>
      </c>
      <c r="H306">
        <f t="shared" si="51"/>
        <v>1</v>
      </c>
      <c r="I306" t="e">
        <f t="shared" si="52"/>
        <v>#N/A</v>
      </c>
      <c r="J306" t="e">
        <f t="shared" si="53"/>
        <v>#N/A</v>
      </c>
      <c r="K306" t="e">
        <f t="shared" si="54"/>
        <v>#N/A</v>
      </c>
      <c r="L306" t="e">
        <f t="shared" si="55"/>
        <v>#N/A</v>
      </c>
      <c r="M306" t="e">
        <f t="shared" si="56"/>
        <v>#N/A</v>
      </c>
      <c r="N306" t="e">
        <f t="shared" si="57"/>
        <v>#N/A</v>
      </c>
      <c r="O306">
        <f t="shared" si="58"/>
        <v>1.0003059999999999</v>
      </c>
      <c r="T306">
        <f>IF(connections!$A306="","",IFERROR(INDEX(games!$B$2:$B$834,MATCH(connections!$A306,games!$A$2:$A$834,0)),""))</f>
        <v>2016</v>
      </c>
      <c r="U306">
        <f>IF(connections!$A306="","",IFERROR(INDEX(games!$B$2:$B$834,MATCH(connections!$B306,games!$A$2:$A$834,0)),""))</f>
        <v>2023</v>
      </c>
      <c r="V306">
        <f t="shared" si="59"/>
        <v>7</v>
      </c>
    </row>
    <row r="307" spans="1:22" x14ac:dyDescent="0.25">
      <c r="A307" t="str">
        <f>IF(games!$A307="","",games!$A307)</f>
        <v>GoNNER</v>
      </c>
      <c r="B307">
        <f>IF($A307="","",games!$B307)</f>
        <v>2016</v>
      </c>
      <c r="C307" t="str">
        <f>IF($A307="","",games!$C307)</f>
        <v>Action</v>
      </c>
      <c r="D307">
        <f>IF($A307="","",COUNTIF(connections!$A$2:$A$1188,$A307)+COUNTIF(connections!$B$2:$B$1188,$A307))</f>
        <v>5</v>
      </c>
      <c r="E307">
        <f t="shared" si="48"/>
        <v>1</v>
      </c>
      <c r="F307">
        <f t="shared" si="49"/>
        <v>1</v>
      </c>
      <c r="G307">
        <f t="shared" si="50"/>
        <v>2016</v>
      </c>
      <c r="H307">
        <f t="shared" si="51"/>
        <v>1.0229999999999999</v>
      </c>
      <c r="I307" t="e">
        <f t="shared" si="52"/>
        <v>#N/A</v>
      </c>
      <c r="J307" t="e">
        <f t="shared" si="53"/>
        <v>#N/A</v>
      </c>
      <c r="K307" t="e">
        <f t="shared" si="54"/>
        <v>#N/A</v>
      </c>
      <c r="L307" t="e">
        <f t="shared" si="55"/>
        <v>#N/A</v>
      </c>
      <c r="M307" t="e">
        <f t="shared" si="56"/>
        <v>#N/A</v>
      </c>
      <c r="N307" t="e">
        <f t="shared" si="57"/>
        <v>#N/A</v>
      </c>
      <c r="O307">
        <f t="shared" si="58"/>
        <v>5.0003070000000003</v>
      </c>
      <c r="T307">
        <f>IF(connections!$A307="","",IFERROR(INDEX(games!$B$2:$B$834,MATCH(connections!$A307,games!$A$2:$A$834,0)),""))</f>
        <v>2016</v>
      </c>
      <c r="U307">
        <f>IF(connections!$A307="","",IFERROR(INDEX(games!$B$2:$B$834,MATCH(connections!$B307,games!$A$2:$A$834,0)),""))</f>
        <v>2023</v>
      </c>
      <c r="V307">
        <f t="shared" si="59"/>
        <v>7</v>
      </c>
    </row>
    <row r="308" spans="1:22" x14ac:dyDescent="0.25">
      <c r="A308" t="str">
        <f>IF(games!$A308="","",games!$A308)</f>
        <v>GONNER2</v>
      </c>
      <c r="B308">
        <f>IF($A308="","",games!$B308)</f>
        <v>2020</v>
      </c>
      <c r="C308" t="str">
        <f>IF($A308="","",games!$C308)</f>
        <v>Action</v>
      </c>
      <c r="D308">
        <f>IF($A308="","",COUNTIF(connections!$A$2:$A$1188,$A308)+COUNTIF(connections!$B$2:$B$1188,$A308))</f>
        <v>1</v>
      </c>
      <c r="E308">
        <f t="shared" si="48"/>
        <v>1</v>
      </c>
      <c r="F308">
        <f t="shared" si="49"/>
        <v>2</v>
      </c>
      <c r="G308">
        <f t="shared" si="50"/>
        <v>2020</v>
      </c>
      <c r="H308">
        <f t="shared" si="51"/>
        <v>1.046</v>
      </c>
      <c r="I308" t="e">
        <f t="shared" si="52"/>
        <v>#N/A</v>
      </c>
      <c r="J308" t="e">
        <f t="shared" si="53"/>
        <v>#N/A</v>
      </c>
      <c r="K308" t="e">
        <f t="shared" si="54"/>
        <v>#N/A</v>
      </c>
      <c r="L308" t="e">
        <f t="shared" si="55"/>
        <v>#N/A</v>
      </c>
      <c r="M308" t="e">
        <f t="shared" si="56"/>
        <v>#N/A</v>
      </c>
      <c r="N308" t="e">
        <f t="shared" si="57"/>
        <v>#N/A</v>
      </c>
      <c r="O308">
        <f t="shared" si="58"/>
        <v>1.000308</v>
      </c>
      <c r="T308">
        <f>IF(connections!$A308="","",IFERROR(INDEX(games!$B$2:$B$834,MATCH(connections!$A308,games!$A$2:$A$834,0)),""))</f>
        <v>2016</v>
      </c>
      <c r="U308">
        <f>IF(connections!$A308="","",IFERROR(INDEX(games!$B$2:$B$834,MATCH(connections!$B308,games!$A$2:$A$834,0)),""))</f>
        <v>2025</v>
      </c>
      <c r="V308">
        <f t="shared" si="59"/>
        <v>9</v>
      </c>
    </row>
    <row r="309" spans="1:22" x14ac:dyDescent="0.25">
      <c r="A309" t="str">
        <f>IF(games!$A309="","",games!$A309)</f>
        <v>Goobies</v>
      </c>
      <c r="B309">
        <f>IF($A309="","",games!$B309)</f>
        <v>2023</v>
      </c>
      <c r="C309" t="str">
        <f>IF($A309="","",games!$C309)</f>
        <v>Action</v>
      </c>
      <c r="D309">
        <f>IF($A309="","",COUNTIF(connections!$A$2:$A$1188,$A309)+COUNTIF(connections!$B$2:$B$1188,$A309))</f>
        <v>1</v>
      </c>
      <c r="E309">
        <f t="shared" si="48"/>
        <v>1</v>
      </c>
      <c r="F309">
        <f t="shared" si="49"/>
        <v>3</v>
      </c>
      <c r="G309">
        <f t="shared" si="50"/>
        <v>2023</v>
      </c>
      <c r="H309">
        <f t="shared" si="51"/>
        <v>1.069</v>
      </c>
      <c r="I309" t="e">
        <f t="shared" si="52"/>
        <v>#N/A</v>
      </c>
      <c r="J309" t="e">
        <f t="shared" si="53"/>
        <v>#N/A</v>
      </c>
      <c r="K309" t="e">
        <f t="shared" si="54"/>
        <v>#N/A</v>
      </c>
      <c r="L309" t="e">
        <f t="shared" si="55"/>
        <v>#N/A</v>
      </c>
      <c r="M309" t="e">
        <f t="shared" si="56"/>
        <v>#N/A</v>
      </c>
      <c r="N309" t="e">
        <f t="shared" si="57"/>
        <v>#N/A</v>
      </c>
      <c r="O309">
        <f t="shared" si="58"/>
        <v>1.0003089999999999</v>
      </c>
      <c r="T309">
        <f>IF(connections!$A309="","",IFERROR(INDEX(games!$B$2:$B$834,MATCH(connections!$A309,games!$A$2:$A$834,0)),""))</f>
        <v>2016</v>
      </c>
      <c r="U309">
        <f>IF(connections!$A309="","",IFERROR(INDEX(games!$B$2:$B$834,MATCH(connections!$B309,games!$A$2:$A$834,0)),""))</f>
        <v>2020</v>
      </c>
      <c r="V309">
        <f t="shared" si="59"/>
        <v>4</v>
      </c>
    </row>
    <row r="310" spans="1:22" x14ac:dyDescent="0.25">
      <c r="A310" t="str">
        <f>IF(games!$A310="","",games!$A310)</f>
        <v>Granvir</v>
      </c>
      <c r="B310">
        <f>IF($A310="","",games!$B310)</f>
        <v>2025</v>
      </c>
      <c r="C310" t="str">
        <f>IF($A310="","",games!$C310)</f>
        <v>Action</v>
      </c>
      <c r="D310">
        <f>IF($A310="","",COUNTIF(connections!$A$2:$A$1188,$A310)+COUNTIF(connections!$B$2:$B$1188,$A310))</f>
        <v>0</v>
      </c>
      <c r="E310">
        <f t="shared" si="48"/>
        <v>1</v>
      </c>
      <c r="F310">
        <f t="shared" si="49"/>
        <v>4</v>
      </c>
      <c r="G310">
        <f t="shared" si="50"/>
        <v>2025</v>
      </c>
      <c r="H310">
        <f t="shared" si="51"/>
        <v>1.0920000000000001</v>
      </c>
      <c r="I310" t="e">
        <f t="shared" si="52"/>
        <v>#N/A</v>
      </c>
      <c r="J310" t="e">
        <f t="shared" si="53"/>
        <v>#N/A</v>
      </c>
      <c r="K310" t="e">
        <f t="shared" si="54"/>
        <v>#N/A</v>
      </c>
      <c r="L310" t="e">
        <f t="shared" si="55"/>
        <v>#N/A</v>
      </c>
      <c r="M310" t="e">
        <f t="shared" si="56"/>
        <v>#N/A</v>
      </c>
      <c r="N310" t="e">
        <f t="shared" si="57"/>
        <v>#N/A</v>
      </c>
      <c r="O310">
        <f t="shared" si="58"/>
        <v>3.1E-4</v>
      </c>
      <c r="T310">
        <f>IF(connections!$A310="","",IFERROR(INDEX(games!$B$2:$B$834,MATCH(connections!$A310,games!$A$2:$A$834,0)),""))</f>
        <v>2016</v>
      </c>
      <c r="U310">
        <f>IF(connections!$A310="","",IFERROR(INDEX(games!$B$2:$B$834,MATCH(connections!$B310,games!$A$2:$A$834,0)),""))</f>
        <v>2023</v>
      </c>
      <c r="V310">
        <f t="shared" si="59"/>
        <v>7</v>
      </c>
    </row>
    <row r="311" spans="1:22" x14ac:dyDescent="0.25">
      <c r="A311" t="str">
        <f>IF(games!$A311="","",games!$A311)</f>
        <v>Greedland</v>
      </c>
      <c r="B311">
        <f>IF($A311="","",games!$B311)</f>
        <v>2023</v>
      </c>
      <c r="C311" t="str">
        <f>IF($A311="","",games!$C311)</f>
        <v>Action</v>
      </c>
      <c r="D311">
        <f>IF($A311="","",COUNTIF(connections!$A$2:$A$1188,$A311)+COUNTIF(connections!$B$2:$B$1188,$A311))</f>
        <v>1</v>
      </c>
      <c r="E311">
        <f t="shared" si="48"/>
        <v>1</v>
      </c>
      <c r="F311">
        <f t="shared" si="49"/>
        <v>5</v>
      </c>
      <c r="G311">
        <f t="shared" si="50"/>
        <v>2023</v>
      </c>
      <c r="H311">
        <f t="shared" si="51"/>
        <v>1.115</v>
      </c>
      <c r="I311" t="e">
        <f t="shared" si="52"/>
        <v>#N/A</v>
      </c>
      <c r="J311" t="e">
        <f t="shared" si="53"/>
        <v>#N/A</v>
      </c>
      <c r="K311" t="e">
        <f t="shared" si="54"/>
        <v>#N/A</v>
      </c>
      <c r="L311" t="e">
        <f t="shared" si="55"/>
        <v>#N/A</v>
      </c>
      <c r="M311" t="e">
        <f t="shared" si="56"/>
        <v>#N/A</v>
      </c>
      <c r="N311" t="e">
        <f t="shared" si="57"/>
        <v>#N/A</v>
      </c>
      <c r="O311">
        <f t="shared" si="58"/>
        <v>1.000311</v>
      </c>
      <c r="T311">
        <f>IF(connections!$A311="","",IFERROR(INDEX(games!$B$2:$B$834,MATCH(connections!$A311,games!$A$2:$A$834,0)),""))</f>
        <v>2016</v>
      </c>
      <c r="U311">
        <f>IF(connections!$A311="","",IFERROR(INDEX(games!$B$2:$B$834,MATCH(connections!$B311,games!$A$2:$A$834,0)),""))</f>
        <v>2021</v>
      </c>
      <c r="V311">
        <f t="shared" si="59"/>
        <v>5</v>
      </c>
    </row>
    <row r="312" spans="1:22" x14ac:dyDescent="0.25">
      <c r="A312" t="str">
        <f>IF(games!$A312="","",games!$A312)</f>
        <v>Griftlands</v>
      </c>
      <c r="B312">
        <f>IF($A312="","",games!$B312)</f>
        <v>2020</v>
      </c>
      <c r="C312" t="str">
        <f>IF($A312="","",games!$C312)</f>
        <v>Deckbuilder</v>
      </c>
      <c r="D312">
        <f>IF($A312="","",COUNTIF(connections!$A$2:$A$1188,$A312)+COUNTIF(connections!$B$2:$B$1188,$A312))</f>
        <v>2</v>
      </c>
      <c r="E312">
        <f t="shared" si="48"/>
        <v>3</v>
      </c>
      <c r="F312">
        <f t="shared" si="49"/>
        <v>6</v>
      </c>
      <c r="G312" t="e">
        <f t="shared" si="50"/>
        <v>#N/A</v>
      </c>
      <c r="H312" t="e">
        <f t="shared" si="51"/>
        <v>#N/A</v>
      </c>
      <c r="I312" t="e">
        <f t="shared" si="52"/>
        <v>#N/A</v>
      </c>
      <c r="J312" t="e">
        <f t="shared" si="53"/>
        <v>#N/A</v>
      </c>
      <c r="K312">
        <f t="shared" si="54"/>
        <v>2020</v>
      </c>
      <c r="L312">
        <f t="shared" si="55"/>
        <v>3.1379999999999999</v>
      </c>
      <c r="M312" t="e">
        <f t="shared" si="56"/>
        <v>#N/A</v>
      </c>
      <c r="N312" t="e">
        <f t="shared" si="57"/>
        <v>#N/A</v>
      </c>
      <c r="O312">
        <f t="shared" si="58"/>
        <v>2.0003120000000001</v>
      </c>
      <c r="T312">
        <f>IF(connections!$A312="","",IFERROR(INDEX(games!$B$2:$B$834,MATCH(connections!$A312,games!$A$2:$A$834,0)),""))</f>
        <v>2016</v>
      </c>
      <c r="U312">
        <f>IF(connections!$A312="","",IFERROR(INDEX(games!$B$2:$B$834,MATCH(connections!$B312,games!$A$2:$A$834,0)),""))</f>
        <v>2022</v>
      </c>
      <c r="V312">
        <f t="shared" si="59"/>
        <v>6</v>
      </c>
    </row>
    <row r="313" spans="1:22" x14ac:dyDescent="0.25">
      <c r="A313" t="str">
        <f>IF(games!$A313="","",games!$A313)</f>
        <v>Guidus</v>
      </c>
      <c r="B313">
        <f>IF($A313="","",games!$B313)</f>
        <v>2021</v>
      </c>
      <c r="C313" t="str">
        <f>IF($A313="","",games!$C313)</f>
        <v>Action</v>
      </c>
      <c r="D313">
        <f>IF($A313="","",COUNTIF(connections!$A$2:$A$1188,$A313)+COUNTIF(connections!$B$2:$B$1188,$A313))</f>
        <v>2</v>
      </c>
      <c r="E313">
        <f t="shared" si="48"/>
        <v>1</v>
      </c>
      <c r="F313">
        <f t="shared" si="49"/>
        <v>7</v>
      </c>
      <c r="G313">
        <f t="shared" si="50"/>
        <v>2021</v>
      </c>
      <c r="H313">
        <f t="shared" si="51"/>
        <v>1.161</v>
      </c>
      <c r="I313" t="e">
        <f t="shared" si="52"/>
        <v>#N/A</v>
      </c>
      <c r="J313" t="e">
        <f t="shared" si="53"/>
        <v>#N/A</v>
      </c>
      <c r="K313" t="e">
        <f t="shared" si="54"/>
        <v>#N/A</v>
      </c>
      <c r="L313" t="e">
        <f t="shared" si="55"/>
        <v>#N/A</v>
      </c>
      <c r="M313" t="e">
        <f t="shared" si="56"/>
        <v>#N/A</v>
      </c>
      <c r="N313" t="e">
        <f t="shared" si="57"/>
        <v>#N/A</v>
      </c>
      <c r="O313">
        <f t="shared" si="58"/>
        <v>2.0003129999999998</v>
      </c>
      <c r="T313">
        <f>IF(connections!$A313="","",IFERROR(INDEX(games!$B$2:$B$834,MATCH(connections!$A313,games!$A$2:$A$834,0)),""))</f>
        <v>2016</v>
      </c>
      <c r="U313">
        <f>IF(connections!$A313="","",IFERROR(INDEX(games!$B$2:$B$834,MATCH(connections!$B313,games!$A$2:$A$834,0)),""))</f>
        <v>2025</v>
      </c>
      <c r="V313">
        <f t="shared" si="59"/>
        <v>9</v>
      </c>
    </row>
    <row r="314" spans="1:22" x14ac:dyDescent="0.25">
      <c r="A314" t="str">
        <f>IF(games!$A314="","",games!$A314)</f>
        <v>Guidus Zero</v>
      </c>
      <c r="B314">
        <f>IF($A314="","",games!$B314)</f>
        <v>2024</v>
      </c>
      <c r="C314" t="str">
        <f>IF($A314="","",games!$C314)</f>
        <v>Action</v>
      </c>
      <c r="D314">
        <f>IF($A314="","",COUNTIF(connections!$A$2:$A$1188,$A314)+COUNTIF(connections!$B$2:$B$1188,$A314))</f>
        <v>1</v>
      </c>
      <c r="E314">
        <f t="shared" si="48"/>
        <v>1</v>
      </c>
      <c r="F314">
        <f t="shared" si="49"/>
        <v>8</v>
      </c>
      <c r="G314">
        <f t="shared" si="50"/>
        <v>2024</v>
      </c>
      <c r="H314">
        <f t="shared" si="51"/>
        <v>1.1839999999999999</v>
      </c>
      <c r="I314" t="e">
        <f t="shared" si="52"/>
        <v>#N/A</v>
      </c>
      <c r="J314" t="e">
        <f t="shared" si="53"/>
        <v>#N/A</v>
      </c>
      <c r="K314" t="e">
        <f t="shared" si="54"/>
        <v>#N/A</v>
      </c>
      <c r="L314" t="e">
        <f t="shared" si="55"/>
        <v>#N/A</v>
      </c>
      <c r="M314" t="e">
        <f t="shared" si="56"/>
        <v>#N/A</v>
      </c>
      <c r="N314" t="e">
        <f t="shared" si="57"/>
        <v>#N/A</v>
      </c>
      <c r="O314">
        <f t="shared" si="58"/>
        <v>1.0003139999999999</v>
      </c>
      <c r="T314">
        <f>IF(connections!$A314="","",IFERROR(INDEX(games!$B$2:$B$834,MATCH(connections!$A314,games!$A$2:$A$834,0)),""))</f>
        <v>2016</v>
      </c>
      <c r="U314">
        <f>IF(connections!$A314="","",IFERROR(INDEX(games!$B$2:$B$834,MATCH(connections!$B314,games!$A$2:$A$834,0)),""))</f>
        <v>2020</v>
      </c>
      <c r="V314">
        <f t="shared" si="59"/>
        <v>4</v>
      </c>
    </row>
    <row r="315" spans="1:22" x14ac:dyDescent="0.25">
      <c r="A315" t="str">
        <f>IF(games!$A315="","",games!$A315)</f>
        <v>Guild of Dungeoneering</v>
      </c>
      <c r="B315">
        <f>IF($A315="","",games!$B315)</f>
        <v>2015</v>
      </c>
      <c r="C315" t="str">
        <f>IF($A315="","",games!$C315)</f>
        <v>Deckbuilder</v>
      </c>
      <c r="D315">
        <f>IF($A315="","",COUNTIF(connections!$A$2:$A$1188,$A315)+COUNTIF(connections!$B$2:$B$1188,$A315))</f>
        <v>1</v>
      </c>
      <c r="E315">
        <f t="shared" si="48"/>
        <v>3</v>
      </c>
      <c r="F315">
        <f t="shared" si="49"/>
        <v>9</v>
      </c>
      <c r="G315" t="e">
        <f t="shared" si="50"/>
        <v>#N/A</v>
      </c>
      <c r="H315" t="e">
        <f t="shared" si="51"/>
        <v>#N/A</v>
      </c>
      <c r="I315" t="e">
        <f t="shared" si="52"/>
        <v>#N/A</v>
      </c>
      <c r="J315" t="e">
        <f t="shared" si="53"/>
        <v>#N/A</v>
      </c>
      <c r="K315">
        <f t="shared" si="54"/>
        <v>2015</v>
      </c>
      <c r="L315">
        <f t="shared" si="55"/>
        <v>3.2069999999999999</v>
      </c>
      <c r="M315" t="e">
        <f t="shared" si="56"/>
        <v>#N/A</v>
      </c>
      <c r="N315" t="e">
        <f t="shared" si="57"/>
        <v>#N/A</v>
      </c>
      <c r="O315">
        <f t="shared" si="58"/>
        <v>1.0003150000000001</v>
      </c>
      <c r="T315">
        <f>IF(connections!$A315="","",IFERROR(INDEX(games!$B$2:$B$834,MATCH(connections!$A315,games!$A$2:$A$834,0)),""))</f>
        <v>2016</v>
      </c>
      <c r="U315">
        <f>IF(connections!$A315="","",IFERROR(INDEX(games!$B$2:$B$834,MATCH(connections!$B315,games!$A$2:$A$834,0)),""))</f>
        <v>2024</v>
      </c>
      <c r="V315">
        <f t="shared" si="59"/>
        <v>8</v>
      </c>
    </row>
    <row r="316" spans="1:22" x14ac:dyDescent="0.25">
      <c r="A316" t="str">
        <f>IF(games!$A316="","",games!$A316)</f>
        <v>Gumballs &amp; Dungeons</v>
      </c>
      <c r="B316">
        <f>IF($A316="","",games!$B316)</f>
        <v>2017</v>
      </c>
      <c r="C316" t="str">
        <f>IF($A316="","",games!$C316)</f>
        <v>Strategy</v>
      </c>
      <c r="D316">
        <f>IF($A316="","",COUNTIF(connections!$A$2:$A$1188,$A316)+COUNTIF(connections!$B$2:$B$1188,$A316))</f>
        <v>0</v>
      </c>
      <c r="E316">
        <f t="shared" si="48"/>
        <v>2</v>
      </c>
      <c r="F316">
        <f t="shared" si="49"/>
        <v>10</v>
      </c>
      <c r="G316" t="e">
        <f t="shared" si="50"/>
        <v>#N/A</v>
      </c>
      <c r="H316" t="e">
        <f t="shared" si="51"/>
        <v>#N/A</v>
      </c>
      <c r="I316">
        <f t="shared" si="52"/>
        <v>2017</v>
      </c>
      <c r="J316">
        <f t="shared" si="53"/>
        <v>2.23</v>
      </c>
      <c r="K316" t="e">
        <f t="shared" si="54"/>
        <v>#N/A</v>
      </c>
      <c r="L316" t="e">
        <f t="shared" si="55"/>
        <v>#N/A</v>
      </c>
      <c r="M316" t="e">
        <f t="shared" si="56"/>
        <v>#N/A</v>
      </c>
      <c r="N316" t="e">
        <f t="shared" si="57"/>
        <v>#N/A</v>
      </c>
      <c r="O316">
        <f t="shared" si="58"/>
        <v>3.1599999999999998E-4</v>
      </c>
      <c r="T316">
        <f>IF(connections!$A316="","",IFERROR(INDEX(games!$B$2:$B$834,MATCH(connections!$A316,games!$A$2:$A$834,0)),""))</f>
        <v>2016</v>
      </c>
      <c r="U316">
        <f>IF(connections!$A316="","",IFERROR(INDEX(games!$B$2:$B$834,MATCH(connections!$B316,games!$A$2:$A$834,0)),""))</f>
        <v>2020</v>
      </c>
      <c r="V316">
        <f t="shared" si="59"/>
        <v>4</v>
      </c>
    </row>
    <row r="317" spans="1:22" x14ac:dyDescent="0.25">
      <c r="A317" t="str">
        <f>IF(games!$A317="","",games!$A317)</f>
        <v>Gunfire Reborn</v>
      </c>
      <c r="B317">
        <f>IF($A317="","",games!$B317)</f>
        <v>2020</v>
      </c>
      <c r="C317" t="str">
        <f>IF($A317="","",games!$C317)</f>
        <v>Action</v>
      </c>
      <c r="D317">
        <f>IF($A317="","",COUNTIF(connections!$A$2:$A$1188,$A317)+COUNTIF(connections!$B$2:$B$1188,$A317))</f>
        <v>5</v>
      </c>
      <c r="E317">
        <f t="shared" si="48"/>
        <v>1</v>
      </c>
      <c r="F317">
        <f t="shared" si="49"/>
        <v>11</v>
      </c>
      <c r="G317">
        <f t="shared" si="50"/>
        <v>2020</v>
      </c>
      <c r="H317">
        <f t="shared" si="51"/>
        <v>1.2530000000000001</v>
      </c>
      <c r="I317" t="e">
        <f t="shared" si="52"/>
        <v>#N/A</v>
      </c>
      <c r="J317" t="e">
        <f t="shared" si="53"/>
        <v>#N/A</v>
      </c>
      <c r="K317" t="e">
        <f t="shared" si="54"/>
        <v>#N/A</v>
      </c>
      <c r="L317" t="e">
        <f t="shared" si="55"/>
        <v>#N/A</v>
      </c>
      <c r="M317" t="e">
        <f t="shared" si="56"/>
        <v>#N/A</v>
      </c>
      <c r="N317" t="e">
        <f t="shared" si="57"/>
        <v>#N/A</v>
      </c>
      <c r="O317">
        <f t="shared" si="58"/>
        <v>5.0003169999999999</v>
      </c>
      <c r="T317">
        <f>IF(connections!$A317="","",IFERROR(INDEX(games!$B$2:$B$834,MATCH(connections!$A317,games!$A$2:$A$834,0)),""))</f>
        <v>2016</v>
      </c>
      <c r="U317">
        <f>IF(connections!$A317="","",IFERROR(INDEX(games!$B$2:$B$834,MATCH(connections!$B317,games!$A$2:$A$834,0)),""))</f>
        <v>2020</v>
      </c>
      <c r="V317">
        <f t="shared" si="59"/>
        <v>4</v>
      </c>
    </row>
    <row r="318" spans="1:22" x14ac:dyDescent="0.25">
      <c r="A318" t="str">
        <f>IF(games!$A318="","",games!$A318)</f>
        <v>Gunlocked</v>
      </c>
      <c r="B318">
        <f>IF($A318="","",games!$B318)</f>
        <v>2022</v>
      </c>
      <c r="C318" t="str">
        <f>IF($A318="","",games!$C318)</f>
        <v>Action</v>
      </c>
      <c r="D318">
        <f>IF($A318="","",COUNTIF(connections!$A$2:$A$1188,$A318)+COUNTIF(connections!$B$2:$B$1188,$A318))</f>
        <v>2</v>
      </c>
      <c r="E318">
        <f t="shared" si="48"/>
        <v>1</v>
      </c>
      <c r="F318">
        <f t="shared" si="49"/>
        <v>12</v>
      </c>
      <c r="G318">
        <f t="shared" si="50"/>
        <v>2022</v>
      </c>
      <c r="H318">
        <f t="shared" si="51"/>
        <v>1.276</v>
      </c>
      <c r="I318" t="e">
        <f t="shared" si="52"/>
        <v>#N/A</v>
      </c>
      <c r="J318" t="e">
        <f t="shared" si="53"/>
        <v>#N/A</v>
      </c>
      <c r="K318" t="e">
        <f t="shared" si="54"/>
        <v>#N/A</v>
      </c>
      <c r="L318" t="e">
        <f t="shared" si="55"/>
        <v>#N/A</v>
      </c>
      <c r="M318" t="e">
        <f t="shared" si="56"/>
        <v>#N/A</v>
      </c>
      <c r="N318" t="e">
        <f t="shared" si="57"/>
        <v>#N/A</v>
      </c>
      <c r="O318">
        <f t="shared" si="58"/>
        <v>2.000318</v>
      </c>
      <c r="T318">
        <f>IF(connections!$A318="","",IFERROR(INDEX(games!$B$2:$B$834,MATCH(connections!$A318,games!$A$2:$A$834,0)),""))</f>
        <v>2016</v>
      </c>
      <c r="U318">
        <f>IF(connections!$A318="","",IFERROR(INDEX(games!$B$2:$B$834,MATCH(connections!$B318,games!$A$2:$A$834,0)),""))</f>
        <v>2024</v>
      </c>
      <c r="V318">
        <f t="shared" si="59"/>
        <v>8</v>
      </c>
    </row>
    <row r="319" spans="1:22" x14ac:dyDescent="0.25">
      <c r="A319" t="str">
        <f>IF(games!$A319="","",games!$A319)</f>
        <v>Gunlocked 2</v>
      </c>
      <c r="B319">
        <f>IF($A319="","",games!$B319)</f>
        <v>2025</v>
      </c>
      <c r="C319" t="str">
        <f>IF($A319="","",games!$C319)</f>
        <v>Action</v>
      </c>
      <c r="D319">
        <f>IF($A319="","",COUNTIF(connections!$A$2:$A$1188,$A319)+COUNTIF(connections!$B$2:$B$1188,$A319))</f>
        <v>1</v>
      </c>
      <c r="E319">
        <f t="shared" si="48"/>
        <v>1</v>
      </c>
      <c r="F319">
        <f t="shared" si="49"/>
        <v>13</v>
      </c>
      <c r="G319">
        <f t="shared" si="50"/>
        <v>2025</v>
      </c>
      <c r="H319">
        <f t="shared" si="51"/>
        <v>1.2989999999999999</v>
      </c>
      <c r="I319" t="e">
        <f t="shared" si="52"/>
        <v>#N/A</v>
      </c>
      <c r="J319" t="e">
        <f t="shared" si="53"/>
        <v>#N/A</v>
      </c>
      <c r="K319" t="e">
        <f t="shared" si="54"/>
        <v>#N/A</v>
      </c>
      <c r="L319" t="e">
        <f t="shared" si="55"/>
        <v>#N/A</v>
      </c>
      <c r="M319" t="e">
        <f t="shared" si="56"/>
        <v>#N/A</v>
      </c>
      <c r="N319" t="e">
        <f t="shared" si="57"/>
        <v>#N/A</v>
      </c>
      <c r="O319">
        <f t="shared" si="58"/>
        <v>1.000319</v>
      </c>
      <c r="T319">
        <f>IF(connections!$A319="","",IFERROR(INDEX(games!$B$2:$B$834,MATCH(connections!$A319,games!$A$2:$A$834,0)),""))</f>
        <v>2016</v>
      </c>
      <c r="U319">
        <f>IF(connections!$A319="","",IFERROR(INDEX(games!$B$2:$B$834,MATCH(connections!$B319,games!$A$2:$A$834,0)),""))</f>
        <v>2022</v>
      </c>
      <c r="V319">
        <f t="shared" si="59"/>
        <v>6</v>
      </c>
    </row>
    <row r="320" spans="1:22" x14ac:dyDescent="0.25">
      <c r="A320" t="str">
        <f>IF(games!$A320="","",games!$A320)</f>
        <v>Hack</v>
      </c>
      <c r="B320">
        <f>IF($A320="","",games!$B320)</f>
        <v>1984</v>
      </c>
      <c r="C320" t="str">
        <f>IF($A320="","",games!$C320)</f>
        <v>Traditional</v>
      </c>
      <c r="D320">
        <f>IF($A320="","",COUNTIF(connections!$A$2:$A$1188,$A320)+COUNTIF(connections!$B$2:$B$1188,$A320))</f>
        <v>7</v>
      </c>
      <c r="E320">
        <f t="shared" si="48"/>
        <v>4</v>
      </c>
      <c r="F320">
        <f t="shared" si="49"/>
        <v>14</v>
      </c>
      <c r="G320" t="e">
        <f t="shared" si="50"/>
        <v>#N/A</v>
      </c>
      <c r="H320" t="e">
        <f t="shared" si="51"/>
        <v>#N/A</v>
      </c>
      <c r="I320" t="e">
        <f t="shared" si="52"/>
        <v>#N/A</v>
      </c>
      <c r="J320" t="e">
        <f t="shared" si="53"/>
        <v>#N/A</v>
      </c>
      <c r="K320" t="e">
        <f t="shared" si="54"/>
        <v>#N/A</v>
      </c>
      <c r="L320" t="e">
        <f t="shared" si="55"/>
        <v>#N/A</v>
      </c>
      <c r="M320">
        <f t="shared" si="56"/>
        <v>1984</v>
      </c>
      <c r="N320">
        <f t="shared" si="57"/>
        <v>4.3220000000000001</v>
      </c>
      <c r="O320">
        <f t="shared" si="58"/>
        <v>7.0003200000000003</v>
      </c>
      <c r="T320">
        <f>IF(connections!$A320="","",IFERROR(INDEX(games!$B$2:$B$834,MATCH(connections!$A320,games!$A$2:$A$834,0)),""))</f>
        <v>2016</v>
      </c>
      <c r="U320">
        <f>IF(connections!$A320="","",IFERROR(INDEX(games!$B$2:$B$834,MATCH(connections!$B320,games!$A$2:$A$834,0)),""))</f>
        <v>2025</v>
      </c>
      <c r="V320">
        <f t="shared" si="59"/>
        <v>9</v>
      </c>
    </row>
    <row r="321" spans="1:22" x14ac:dyDescent="0.25">
      <c r="A321" t="str">
        <f>IF(games!$A321="","",games!$A321)</f>
        <v>Hack'EM</v>
      </c>
      <c r="B321">
        <f>IF($A321="","",games!$B321)</f>
        <v>2022</v>
      </c>
      <c r="C321" t="str">
        <f>IF($A321="","",games!$C321)</f>
        <v>Traditional</v>
      </c>
      <c r="D321">
        <f>IF($A321="","",COUNTIF(connections!$A$2:$A$1188,$A321)+COUNTIF(connections!$B$2:$B$1188,$A321))</f>
        <v>2</v>
      </c>
      <c r="E321">
        <f t="shared" si="48"/>
        <v>4</v>
      </c>
      <c r="F321">
        <f t="shared" si="49"/>
        <v>15</v>
      </c>
      <c r="G321" t="e">
        <f t="shared" si="50"/>
        <v>#N/A</v>
      </c>
      <c r="H321" t="e">
        <f t="shared" si="51"/>
        <v>#N/A</v>
      </c>
      <c r="I321" t="e">
        <f t="shared" si="52"/>
        <v>#N/A</v>
      </c>
      <c r="J321" t="e">
        <f t="shared" si="53"/>
        <v>#N/A</v>
      </c>
      <c r="K321" t="e">
        <f t="shared" si="54"/>
        <v>#N/A</v>
      </c>
      <c r="L321" t="e">
        <f t="shared" si="55"/>
        <v>#N/A</v>
      </c>
      <c r="M321">
        <f t="shared" si="56"/>
        <v>2022</v>
      </c>
      <c r="N321">
        <f t="shared" si="57"/>
        <v>4.3449999999999998</v>
      </c>
      <c r="O321">
        <f t="shared" si="58"/>
        <v>2.000321</v>
      </c>
      <c r="T321">
        <f>IF(connections!$A321="","",IFERROR(INDEX(games!$B$2:$B$834,MATCH(connections!$A321,games!$A$2:$A$834,0)),""))</f>
        <v>2016</v>
      </c>
      <c r="U321">
        <f>IF(connections!$A321="","",IFERROR(INDEX(games!$B$2:$B$834,MATCH(connections!$B321,games!$A$2:$A$834,0)),""))</f>
        <v>2024</v>
      </c>
      <c r="V321">
        <f t="shared" si="59"/>
        <v>8</v>
      </c>
    </row>
    <row r="322" spans="1:22" x14ac:dyDescent="0.25">
      <c r="A322" t="str">
        <f>IF(games!$A322="","",games!$A322)</f>
        <v>Hadean Tactics</v>
      </c>
      <c r="B322">
        <f>IF($A322="","",games!$B322)</f>
        <v>2021</v>
      </c>
      <c r="C322" t="str">
        <f>IF($A322="","",games!$C322)</f>
        <v>Deckbuilder</v>
      </c>
      <c r="D322">
        <f>IF($A322="","",COUNTIF(connections!$A$2:$A$1188,$A322)+COUNTIF(connections!$B$2:$B$1188,$A322))</f>
        <v>1</v>
      </c>
      <c r="E322">
        <f t="shared" ref="E322:E385" si="60">IF($A322="","",IFERROR(MATCH($C322,$R$2:$R$5,0),0))</f>
        <v>3</v>
      </c>
      <c r="F322">
        <f t="shared" ref="F322:F385" si="61">IF($A322="","",MOD(ROW(),34))</f>
        <v>16</v>
      </c>
      <c r="G322" t="e">
        <f t="shared" ref="G322:G385" si="62">IF($A322="",NA(),IF($C322="Action",$B322,NA()))</f>
        <v>#N/A</v>
      </c>
      <c r="H322" t="e">
        <f t="shared" ref="H322:H385" si="63">IF($A322="",NA(),IF($C322="Action",1+$F322*0.023,NA()))</f>
        <v>#N/A</v>
      </c>
      <c r="I322" t="e">
        <f t="shared" ref="I322:I385" si="64">IF($A322="",NA(),IF($C322="Strategy",$B322,NA()))</f>
        <v>#N/A</v>
      </c>
      <c r="J322" t="e">
        <f t="shared" ref="J322:J385" si="65">IF($A322="",NA(),IF($C322="Strategy",2+$F322*0.023,NA()))</f>
        <v>#N/A</v>
      </c>
      <c r="K322">
        <f t="shared" ref="K322:K385" si="66">IF($A322="",NA(),IF($C322="Deckbuilder",$B322,NA()))</f>
        <v>2021</v>
      </c>
      <c r="L322">
        <f t="shared" ref="L322:L385" si="67">IF($A322="",NA(),IF($C322="Deckbuilder",3+$F322*0.023,NA()))</f>
        <v>3.3679999999999999</v>
      </c>
      <c r="M322" t="e">
        <f t="shared" ref="M322:M385" si="68">IF($A322="",NA(),IF($C322="Traditional",$B322,NA()))</f>
        <v>#N/A</v>
      </c>
      <c r="N322" t="e">
        <f t="shared" ref="N322:N385" si="69">IF($A322="",NA(),IF($C322="Traditional",4+$F322*0.023,NA()))</f>
        <v>#N/A</v>
      </c>
      <c r="O322">
        <f t="shared" ref="O322:O385" si="70">IF($A322="","",$D322+ROW()/1000000)</f>
        <v>1.0003219999999999</v>
      </c>
      <c r="T322">
        <f>IF(connections!$A322="","",IFERROR(INDEX(games!$B$2:$B$834,MATCH(connections!$A322,games!$A$2:$A$834,0)),""))</f>
        <v>2016</v>
      </c>
      <c r="U322">
        <f>IF(connections!$A322="","",IFERROR(INDEX(games!$B$2:$B$834,MATCH(connections!$B322,games!$A$2:$A$834,0)),""))</f>
        <v>2025</v>
      </c>
      <c r="V322">
        <f t="shared" ref="V322:V385" si="71">IF(OR($T322="",$U322=""),"",$U322-$T322)</f>
        <v>9</v>
      </c>
    </row>
    <row r="323" spans="1:22" x14ac:dyDescent="0.25">
      <c r="A323" t="str">
        <f>IF(games!$A323="","",games!$A323)</f>
        <v>Hades</v>
      </c>
      <c r="B323">
        <f>IF($A323="","",games!$B323)</f>
        <v>2019</v>
      </c>
      <c r="C323" t="str">
        <f>IF($A323="","",games!$C323)</f>
        <v>Action</v>
      </c>
      <c r="D323">
        <f>IF($A323="","",COUNTIF(connections!$A$2:$A$1188,$A323)+COUNTIF(connections!$B$2:$B$1188,$A323))</f>
        <v>46</v>
      </c>
      <c r="E323">
        <f t="shared" si="60"/>
        <v>1</v>
      </c>
      <c r="F323">
        <f t="shared" si="61"/>
        <v>17</v>
      </c>
      <c r="G323">
        <f t="shared" si="62"/>
        <v>2019</v>
      </c>
      <c r="H323">
        <f t="shared" si="63"/>
        <v>1.391</v>
      </c>
      <c r="I323" t="e">
        <f t="shared" si="64"/>
        <v>#N/A</v>
      </c>
      <c r="J323" t="e">
        <f t="shared" si="65"/>
        <v>#N/A</v>
      </c>
      <c r="K323" t="e">
        <f t="shared" si="66"/>
        <v>#N/A</v>
      </c>
      <c r="L323" t="e">
        <f t="shared" si="67"/>
        <v>#N/A</v>
      </c>
      <c r="M323" t="e">
        <f t="shared" si="68"/>
        <v>#N/A</v>
      </c>
      <c r="N323" t="e">
        <f t="shared" si="69"/>
        <v>#N/A</v>
      </c>
      <c r="O323">
        <f t="shared" si="70"/>
        <v>46.000323000000002</v>
      </c>
      <c r="T323">
        <f>IF(connections!$A323="","",IFERROR(INDEX(games!$B$2:$B$834,MATCH(connections!$A323,games!$A$2:$A$834,0)),""))</f>
        <v>2016</v>
      </c>
      <c r="U323">
        <f>IF(connections!$A323="","",IFERROR(INDEX(games!$B$2:$B$834,MATCH(connections!$B323,games!$A$2:$A$834,0)),""))</f>
        <v>2022</v>
      </c>
      <c r="V323">
        <f t="shared" si="71"/>
        <v>6</v>
      </c>
    </row>
    <row r="324" spans="1:22" x14ac:dyDescent="0.25">
      <c r="A324" t="str">
        <f>IF(games!$A324="","",games!$A324)</f>
        <v>Hades II</v>
      </c>
      <c r="B324">
        <f>IF($A324="","",games!$B324)</f>
        <v>2024</v>
      </c>
      <c r="C324" t="str">
        <f>IF($A324="","",games!$C324)</f>
        <v>Action</v>
      </c>
      <c r="D324">
        <f>IF($A324="","",COUNTIF(connections!$A$2:$A$1188,$A324)+COUNTIF(connections!$B$2:$B$1188,$A324))</f>
        <v>1</v>
      </c>
      <c r="E324">
        <f t="shared" si="60"/>
        <v>1</v>
      </c>
      <c r="F324">
        <f t="shared" si="61"/>
        <v>18</v>
      </c>
      <c r="G324">
        <f t="shared" si="62"/>
        <v>2024</v>
      </c>
      <c r="H324">
        <f t="shared" si="63"/>
        <v>1.4139999999999999</v>
      </c>
      <c r="I324" t="e">
        <f t="shared" si="64"/>
        <v>#N/A</v>
      </c>
      <c r="J324" t="e">
        <f t="shared" si="65"/>
        <v>#N/A</v>
      </c>
      <c r="K324" t="e">
        <f t="shared" si="66"/>
        <v>#N/A</v>
      </c>
      <c r="L324" t="e">
        <f t="shared" si="67"/>
        <v>#N/A</v>
      </c>
      <c r="M324" t="e">
        <f t="shared" si="68"/>
        <v>#N/A</v>
      </c>
      <c r="N324" t="e">
        <f t="shared" si="69"/>
        <v>#N/A</v>
      </c>
      <c r="O324">
        <f t="shared" si="70"/>
        <v>1.000324</v>
      </c>
      <c r="T324">
        <f>IF(connections!$A324="","",IFERROR(INDEX(games!$B$2:$B$834,MATCH(connections!$A324,games!$A$2:$A$834,0)),""))</f>
        <v>2016</v>
      </c>
      <c r="U324">
        <f>IF(connections!$A324="","",IFERROR(INDEX(games!$B$2:$B$834,MATCH(connections!$B324,games!$A$2:$A$834,0)),""))</f>
        <v>2022</v>
      </c>
      <c r="V324">
        <f t="shared" si="71"/>
        <v>6</v>
      </c>
    </row>
    <row r="325" spans="1:22" x14ac:dyDescent="0.25">
      <c r="A325" t="str">
        <f>IF(games!$A325="","",games!$A325)</f>
        <v>Halls of Torment</v>
      </c>
      <c r="B325">
        <f>IF($A325="","",games!$B325)</f>
        <v>2023</v>
      </c>
      <c r="C325" t="str">
        <f>IF($A325="","",games!$C325)</f>
        <v>Action</v>
      </c>
      <c r="D325">
        <f>IF($A325="","",COUNTIF(connections!$A$2:$A$1188,$A325)+COUNTIF(connections!$B$2:$B$1188,$A325))</f>
        <v>5</v>
      </c>
      <c r="E325">
        <f t="shared" si="60"/>
        <v>1</v>
      </c>
      <c r="F325">
        <f t="shared" si="61"/>
        <v>19</v>
      </c>
      <c r="G325">
        <f t="shared" si="62"/>
        <v>2023</v>
      </c>
      <c r="H325">
        <f t="shared" si="63"/>
        <v>1.4370000000000001</v>
      </c>
      <c r="I325" t="e">
        <f t="shared" si="64"/>
        <v>#N/A</v>
      </c>
      <c r="J325" t="e">
        <f t="shared" si="65"/>
        <v>#N/A</v>
      </c>
      <c r="K325" t="e">
        <f t="shared" si="66"/>
        <v>#N/A</v>
      </c>
      <c r="L325" t="e">
        <f t="shared" si="67"/>
        <v>#N/A</v>
      </c>
      <c r="M325" t="e">
        <f t="shared" si="68"/>
        <v>#N/A</v>
      </c>
      <c r="N325" t="e">
        <f t="shared" si="69"/>
        <v>#N/A</v>
      </c>
      <c r="O325">
        <f t="shared" si="70"/>
        <v>5.0003250000000001</v>
      </c>
      <c r="T325">
        <f>IF(connections!$A325="","",IFERROR(INDEX(games!$B$2:$B$834,MATCH(connections!$A325,games!$A$2:$A$834,0)),""))</f>
        <v>2016</v>
      </c>
      <c r="U325">
        <f>IF(connections!$A325="","",IFERROR(INDEX(games!$B$2:$B$834,MATCH(connections!$B325,games!$A$2:$A$834,0)),""))</f>
        <v>2022</v>
      </c>
      <c r="V325">
        <f t="shared" si="71"/>
        <v>6</v>
      </c>
    </row>
    <row r="326" spans="1:22" x14ac:dyDescent="0.25">
      <c r="A326" t="str">
        <f>IF(games!$A326="","",games!$A326)</f>
        <v>Hand of Fate</v>
      </c>
      <c r="B326">
        <f>IF($A326="","",games!$B326)</f>
        <v>2014</v>
      </c>
      <c r="C326" t="str">
        <f>IF($A326="","",games!$C326)</f>
        <v>Deckbuilder</v>
      </c>
      <c r="D326">
        <f>IF($A326="","",COUNTIF(connections!$A$2:$A$1188,$A326)+COUNTIF(connections!$B$2:$B$1188,$A326))</f>
        <v>3</v>
      </c>
      <c r="E326">
        <f t="shared" si="60"/>
        <v>3</v>
      </c>
      <c r="F326">
        <f t="shared" si="61"/>
        <v>20</v>
      </c>
      <c r="G326" t="e">
        <f t="shared" si="62"/>
        <v>#N/A</v>
      </c>
      <c r="H326" t="e">
        <f t="shared" si="63"/>
        <v>#N/A</v>
      </c>
      <c r="I326" t="e">
        <f t="shared" si="64"/>
        <v>#N/A</v>
      </c>
      <c r="J326" t="e">
        <f t="shared" si="65"/>
        <v>#N/A</v>
      </c>
      <c r="K326">
        <f t="shared" si="66"/>
        <v>2014</v>
      </c>
      <c r="L326">
        <f t="shared" si="67"/>
        <v>3.46</v>
      </c>
      <c r="M326" t="e">
        <f t="shared" si="68"/>
        <v>#N/A</v>
      </c>
      <c r="N326" t="e">
        <f t="shared" si="69"/>
        <v>#N/A</v>
      </c>
      <c r="O326">
        <f t="shared" si="70"/>
        <v>3.0003259999999998</v>
      </c>
      <c r="T326">
        <f>IF(connections!$A326="","",IFERROR(INDEX(games!$B$2:$B$834,MATCH(connections!$A326,games!$A$2:$A$834,0)),""))</f>
        <v>2015</v>
      </c>
      <c r="U326">
        <f>IF(connections!$A326="","",IFERROR(INDEX(games!$B$2:$B$834,MATCH(connections!$B326,games!$A$2:$A$834,0)),""))</f>
        <v>2017</v>
      </c>
      <c r="V326">
        <f t="shared" si="71"/>
        <v>2</v>
      </c>
    </row>
    <row r="327" spans="1:22" x14ac:dyDescent="0.25">
      <c r="A327" t="str">
        <f>IF(games!$A327="","",games!$A327)</f>
        <v>Hand of Fate 2</v>
      </c>
      <c r="B327">
        <f>IF($A327="","",games!$B327)</f>
        <v>2017</v>
      </c>
      <c r="C327" t="str">
        <f>IF($A327="","",games!$C327)</f>
        <v>Deckbuilder</v>
      </c>
      <c r="D327">
        <f>IF($A327="","",COUNTIF(connections!$A$2:$A$1188,$A327)+COUNTIF(connections!$B$2:$B$1188,$A327))</f>
        <v>1</v>
      </c>
      <c r="E327">
        <f t="shared" si="60"/>
        <v>3</v>
      </c>
      <c r="F327">
        <f t="shared" si="61"/>
        <v>21</v>
      </c>
      <c r="G327" t="e">
        <f t="shared" si="62"/>
        <v>#N/A</v>
      </c>
      <c r="H327" t="e">
        <f t="shared" si="63"/>
        <v>#N/A</v>
      </c>
      <c r="I327" t="e">
        <f t="shared" si="64"/>
        <v>#N/A</v>
      </c>
      <c r="J327" t="e">
        <f t="shared" si="65"/>
        <v>#N/A</v>
      </c>
      <c r="K327">
        <f t="shared" si="66"/>
        <v>2017</v>
      </c>
      <c r="L327">
        <f t="shared" si="67"/>
        <v>3.4830000000000001</v>
      </c>
      <c r="M327" t="e">
        <f t="shared" si="68"/>
        <v>#N/A</v>
      </c>
      <c r="N327" t="e">
        <f t="shared" si="69"/>
        <v>#N/A</v>
      </c>
      <c r="O327">
        <f t="shared" si="70"/>
        <v>1.000327</v>
      </c>
      <c r="T327">
        <f>IF(connections!$A327="","",IFERROR(INDEX(games!$B$2:$B$834,MATCH(connections!$A327,games!$A$2:$A$834,0)),""))</f>
        <v>2021</v>
      </c>
      <c r="U327">
        <f>IF(connections!$A327="","",IFERROR(INDEX(games!$B$2:$B$834,MATCH(connections!$B327,games!$A$2:$A$834,0)),""))</f>
        <v>2026</v>
      </c>
      <c r="V327">
        <f t="shared" si="71"/>
        <v>5</v>
      </c>
    </row>
    <row r="328" spans="1:22" x14ac:dyDescent="0.25">
      <c r="A328" t="str">
        <f>IF(games!$A328="","",games!$A328)</f>
        <v>Hand of Fate: Hordes</v>
      </c>
      <c r="B328">
        <f>IF($A328="","",games!$B328)</f>
        <v>2026</v>
      </c>
      <c r="C328" t="str">
        <f>IF($A328="","",games!$C328)</f>
        <v>Action</v>
      </c>
      <c r="D328">
        <f>IF($A328="","",COUNTIF(connections!$A$2:$A$1188,$A328)+COUNTIF(connections!$B$2:$B$1188,$A328))</f>
        <v>2</v>
      </c>
      <c r="E328">
        <f t="shared" si="60"/>
        <v>1</v>
      </c>
      <c r="F328">
        <f t="shared" si="61"/>
        <v>22</v>
      </c>
      <c r="G328">
        <f t="shared" si="62"/>
        <v>2026</v>
      </c>
      <c r="H328">
        <f t="shared" si="63"/>
        <v>1.506</v>
      </c>
      <c r="I328" t="e">
        <f t="shared" si="64"/>
        <v>#N/A</v>
      </c>
      <c r="J328" t="e">
        <f t="shared" si="65"/>
        <v>#N/A</v>
      </c>
      <c r="K328" t="e">
        <f t="shared" si="66"/>
        <v>#N/A</v>
      </c>
      <c r="L328" t="e">
        <f t="shared" si="67"/>
        <v>#N/A</v>
      </c>
      <c r="M328" t="e">
        <f t="shared" si="68"/>
        <v>#N/A</v>
      </c>
      <c r="N328" t="e">
        <f t="shared" si="69"/>
        <v>#N/A</v>
      </c>
      <c r="O328">
        <f t="shared" si="70"/>
        <v>2.0003280000000001</v>
      </c>
      <c r="T328">
        <f>IF(connections!$A328="","",IFERROR(INDEX(games!$B$2:$B$834,MATCH(connections!$A328,games!$A$2:$A$834,0)),""))</f>
        <v>2021</v>
      </c>
      <c r="U328">
        <f>IF(connections!$A328="","",IFERROR(INDEX(games!$B$2:$B$834,MATCH(connections!$B328,games!$A$2:$A$834,0)),""))</f>
        <v>2026</v>
      </c>
      <c r="V328">
        <f t="shared" si="71"/>
        <v>5</v>
      </c>
    </row>
    <row r="329" spans="1:22" x14ac:dyDescent="0.25">
      <c r="A329" t="str">
        <f>IF(games!$A329="","",games!$A329)</f>
        <v>Hangtime!</v>
      </c>
      <c r="B329">
        <f>IF($A329="","",games!$B329)</f>
        <v>2025</v>
      </c>
      <c r="C329" t="str">
        <f>IF($A329="","",games!$C329)</f>
        <v>Action</v>
      </c>
      <c r="D329">
        <f>IF($A329="","",COUNTIF(connections!$A$2:$A$1188,$A329)+COUNTIF(connections!$B$2:$B$1188,$A329))</f>
        <v>0</v>
      </c>
      <c r="E329">
        <f t="shared" si="60"/>
        <v>1</v>
      </c>
      <c r="F329">
        <f t="shared" si="61"/>
        <v>23</v>
      </c>
      <c r="G329">
        <f t="shared" si="62"/>
        <v>2025</v>
      </c>
      <c r="H329">
        <f t="shared" si="63"/>
        <v>1.5289999999999999</v>
      </c>
      <c r="I329" t="e">
        <f t="shared" si="64"/>
        <v>#N/A</v>
      </c>
      <c r="J329" t="e">
        <f t="shared" si="65"/>
        <v>#N/A</v>
      </c>
      <c r="K329" t="e">
        <f t="shared" si="66"/>
        <v>#N/A</v>
      </c>
      <c r="L329" t="e">
        <f t="shared" si="67"/>
        <v>#N/A</v>
      </c>
      <c r="M329" t="e">
        <f t="shared" si="68"/>
        <v>#N/A</v>
      </c>
      <c r="N329" t="e">
        <f t="shared" si="69"/>
        <v>#N/A</v>
      </c>
      <c r="O329">
        <f t="shared" si="70"/>
        <v>3.2899999999999997E-4</v>
      </c>
      <c r="T329">
        <f>IF(connections!$A329="","",IFERROR(INDEX(games!$B$2:$B$834,MATCH(connections!$A329,games!$A$2:$A$834,0)),""))</f>
        <v>2021</v>
      </c>
      <c r="U329">
        <f>IF(connections!$A329="","",IFERROR(INDEX(games!$B$2:$B$834,MATCH(connections!$B329,games!$A$2:$A$834,0)),""))</f>
        <v>2025</v>
      </c>
      <c r="V329">
        <f t="shared" si="71"/>
        <v>4</v>
      </c>
    </row>
    <row r="330" spans="1:22" x14ac:dyDescent="0.25">
      <c r="A330" t="str">
        <f>IF(games!$A330="","",games!$A330)</f>
        <v>Haque</v>
      </c>
      <c r="B330">
        <f>IF($A330="","",games!$B330)</f>
        <v>2017</v>
      </c>
      <c r="C330" t="str">
        <f>IF($A330="","",games!$C330)</f>
        <v>Traditional</v>
      </c>
      <c r="D330">
        <f>IF($A330="","",COUNTIF(connections!$A$2:$A$1188,$A330)+COUNTIF(connections!$B$2:$B$1188,$A330))</f>
        <v>4</v>
      </c>
      <c r="E330">
        <f t="shared" si="60"/>
        <v>4</v>
      </c>
      <c r="F330">
        <f t="shared" si="61"/>
        <v>24</v>
      </c>
      <c r="G330" t="e">
        <f t="shared" si="62"/>
        <v>#N/A</v>
      </c>
      <c r="H330" t="e">
        <f t="shared" si="63"/>
        <v>#N/A</v>
      </c>
      <c r="I330" t="e">
        <f t="shared" si="64"/>
        <v>#N/A</v>
      </c>
      <c r="J330" t="e">
        <f t="shared" si="65"/>
        <v>#N/A</v>
      </c>
      <c r="K330" t="e">
        <f t="shared" si="66"/>
        <v>#N/A</v>
      </c>
      <c r="L330" t="e">
        <f t="shared" si="67"/>
        <v>#N/A</v>
      </c>
      <c r="M330">
        <f t="shared" si="68"/>
        <v>2017</v>
      </c>
      <c r="N330">
        <f t="shared" si="69"/>
        <v>4.5519999999999996</v>
      </c>
      <c r="O330">
        <f t="shared" si="70"/>
        <v>4.0003299999999999</v>
      </c>
      <c r="T330">
        <f>IF(connections!$A330="","",IFERROR(INDEX(games!$B$2:$B$834,MATCH(connections!$A330,games!$A$2:$A$834,0)),""))</f>
        <v>2007</v>
      </c>
      <c r="U330">
        <f>IF(connections!$A330="","",IFERROR(INDEX(games!$B$2:$B$834,MATCH(connections!$B330,games!$A$2:$A$834,0)),""))</f>
        <v>2019</v>
      </c>
      <c r="V330">
        <f t="shared" si="71"/>
        <v>12</v>
      </c>
    </row>
    <row r="331" spans="1:22" x14ac:dyDescent="0.25">
      <c r="A331" t="str">
        <f>IF(games!$A331="","",games!$A331)</f>
        <v>Has-Been Heroes</v>
      </c>
      <c r="B331">
        <f>IF($A331="","",games!$B331)</f>
        <v>2017</v>
      </c>
      <c r="C331" t="str">
        <f>IF($A331="","",games!$C331)</f>
        <v>Action</v>
      </c>
      <c r="D331">
        <f>IF($A331="","",COUNTIF(connections!$A$2:$A$1188,$A331)+COUNTIF(connections!$B$2:$B$1188,$A331))</f>
        <v>2</v>
      </c>
      <c r="E331">
        <f t="shared" si="60"/>
        <v>1</v>
      </c>
      <c r="F331">
        <f t="shared" si="61"/>
        <v>25</v>
      </c>
      <c r="G331">
        <f t="shared" si="62"/>
        <v>2017</v>
      </c>
      <c r="H331">
        <f t="shared" si="63"/>
        <v>1.575</v>
      </c>
      <c r="I331" t="e">
        <f t="shared" si="64"/>
        <v>#N/A</v>
      </c>
      <c r="J331" t="e">
        <f t="shared" si="65"/>
        <v>#N/A</v>
      </c>
      <c r="K331" t="e">
        <f t="shared" si="66"/>
        <v>#N/A</v>
      </c>
      <c r="L331" t="e">
        <f t="shared" si="67"/>
        <v>#N/A</v>
      </c>
      <c r="M331" t="e">
        <f t="shared" si="68"/>
        <v>#N/A</v>
      </c>
      <c r="N331" t="e">
        <f t="shared" si="69"/>
        <v>#N/A</v>
      </c>
      <c r="O331">
        <f t="shared" si="70"/>
        <v>2.0003310000000001</v>
      </c>
      <c r="T331">
        <f>IF(connections!$A331="","",IFERROR(INDEX(games!$B$2:$B$834,MATCH(connections!$A331,games!$A$2:$A$834,0)),""))</f>
        <v>2022</v>
      </c>
      <c r="U331">
        <f>IF(connections!$A331="","",IFERROR(INDEX(games!$B$2:$B$834,MATCH(connections!$B331,games!$A$2:$A$834,0)),""))</f>
        <v>2023</v>
      </c>
      <c r="V331">
        <f t="shared" si="71"/>
        <v>1</v>
      </c>
    </row>
    <row r="332" spans="1:22" x14ac:dyDescent="0.25">
      <c r="A332" t="str">
        <f>IF(games!$A332="","",games!$A332)</f>
        <v>Haste</v>
      </c>
      <c r="B332">
        <f>IF($A332="","",games!$B332)</f>
        <v>2025</v>
      </c>
      <c r="C332" t="str">
        <f>IF($A332="","",games!$C332)</f>
        <v>Action</v>
      </c>
      <c r="D332">
        <f>IF($A332="","",COUNTIF(connections!$A$2:$A$1188,$A332)+COUNTIF(connections!$B$2:$B$1188,$A332))</f>
        <v>0</v>
      </c>
      <c r="E332">
        <f t="shared" si="60"/>
        <v>1</v>
      </c>
      <c r="F332">
        <f t="shared" si="61"/>
        <v>26</v>
      </c>
      <c r="G332">
        <f t="shared" si="62"/>
        <v>2025</v>
      </c>
      <c r="H332">
        <f t="shared" si="63"/>
        <v>1.5979999999999999</v>
      </c>
      <c r="I332" t="e">
        <f t="shared" si="64"/>
        <v>#N/A</v>
      </c>
      <c r="J332" t="e">
        <f t="shared" si="65"/>
        <v>#N/A</v>
      </c>
      <c r="K332" t="e">
        <f t="shared" si="66"/>
        <v>#N/A</v>
      </c>
      <c r="L332" t="e">
        <f t="shared" si="67"/>
        <v>#N/A</v>
      </c>
      <c r="M332" t="e">
        <f t="shared" si="68"/>
        <v>#N/A</v>
      </c>
      <c r="N332" t="e">
        <f t="shared" si="69"/>
        <v>#N/A</v>
      </c>
      <c r="O332">
        <f t="shared" si="70"/>
        <v>3.3199999999999999E-4</v>
      </c>
      <c r="T332">
        <f>IF(connections!$A332="","",IFERROR(INDEX(games!$B$2:$B$834,MATCH(connections!$A332,games!$A$2:$A$834,0)),""))</f>
        <v>2018</v>
      </c>
      <c r="U332">
        <f>IF(connections!$A332="","",IFERROR(INDEX(games!$B$2:$B$834,MATCH(connections!$B332,games!$A$2:$A$834,0)),""))</f>
        <v>2023</v>
      </c>
      <c r="V332">
        <f t="shared" si="71"/>
        <v>5</v>
      </c>
    </row>
    <row r="333" spans="1:22" x14ac:dyDescent="0.25">
      <c r="A333" t="str">
        <f>IF(games!$A333="","",games!$A333)</f>
        <v>Have a Nice Death</v>
      </c>
      <c r="B333">
        <f>IF($A333="","",games!$B333)</f>
        <v>2022</v>
      </c>
      <c r="C333" t="str">
        <f>IF($A333="","",games!$C333)</f>
        <v>Action</v>
      </c>
      <c r="D333">
        <f>IF($A333="","",COUNTIF(connections!$A$2:$A$1188,$A333)+COUNTIF(connections!$B$2:$B$1188,$A333))</f>
        <v>1</v>
      </c>
      <c r="E333">
        <f t="shared" si="60"/>
        <v>1</v>
      </c>
      <c r="F333">
        <f t="shared" si="61"/>
        <v>27</v>
      </c>
      <c r="G333">
        <f t="shared" si="62"/>
        <v>2022</v>
      </c>
      <c r="H333">
        <f t="shared" si="63"/>
        <v>1.621</v>
      </c>
      <c r="I333" t="e">
        <f t="shared" si="64"/>
        <v>#N/A</v>
      </c>
      <c r="J333" t="e">
        <f t="shared" si="65"/>
        <v>#N/A</v>
      </c>
      <c r="K333" t="e">
        <f t="shared" si="66"/>
        <v>#N/A</v>
      </c>
      <c r="L333" t="e">
        <f t="shared" si="67"/>
        <v>#N/A</v>
      </c>
      <c r="M333" t="e">
        <f t="shared" si="68"/>
        <v>#N/A</v>
      </c>
      <c r="N333" t="e">
        <f t="shared" si="69"/>
        <v>#N/A</v>
      </c>
      <c r="O333">
        <f t="shared" si="70"/>
        <v>1.0003329999999999</v>
      </c>
      <c r="T333">
        <f>IF(connections!$A333="","",IFERROR(INDEX(games!$B$2:$B$834,MATCH(connections!$A333,games!$A$2:$A$834,0)),""))</f>
        <v>2018</v>
      </c>
      <c r="U333">
        <f>IF(connections!$A333="","",IFERROR(INDEX(games!$B$2:$B$834,MATCH(connections!$B333,games!$A$2:$A$834,0)),""))</f>
        <v>2019</v>
      </c>
      <c r="V333">
        <f t="shared" si="71"/>
        <v>1</v>
      </c>
    </row>
    <row r="334" spans="1:22" x14ac:dyDescent="0.25">
      <c r="A334" t="str">
        <f>IF(games!$A334="","",games!$A334)</f>
        <v>He is Coming</v>
      </c>
      <c r="B334">
        <f>IF($A334="","",games!$B334)</f>
        <v>2025</v>
      </c>
      <c r="C334" t="str">
        <f>IF($A334="","",games!$C334)</f>
        <v>Deckbuilder</v>
      </c>
      <c r="D334">
        <f>IF($A334="","",COUNTIF(connections!$A$2:$A$1188,$A334)+COUNTIF(connections!$B$2:$B$1188,$A334))</f>
        <v>1</v>
      </c>
      <c r="E334">
        <f t="shared" si="60"/>
        <v>3</v>
      </c>
      <c r="F334">
        <f t="shared" si="61"/>
        <v>28</v>
      </c>
      <c r="G334" t="e">
        <f t="shared" si="62"/>
        <v>#N/A</v>
      </c>
      <c r="H334" t="e">
        <f t="shared" si="63"/>
        <v>#N/A</v>
      </c>
      <c r="I334" t="e">
        <f t="shared" si="64"/>
        <v>#N/A</v>
      </c>
      <c r="J334" t="e">
        <f t="shared" si="65"/>
        <v>#N/A</v>
      </c>
      <c r="K334">
        <f t="shared" si="66"/>
        <v>2025</v>
      </c>
      <c r="L334">
        <f t="shared" si="67"/>
        <v>3.6440000000000001</v>
      </c>
      <c r="M334" t="e">
        <f t="shared" si="68"/>
        <v>#N/A</v>
      </c>
      <c r="N334" t="e">
        <f t="shared" si="69"/>
        <v>#N/A</v>
      </c>
      <c r="O334">
        <f t="shared" si="70"/>
        <v>1.0003340000000001</v>
      </c>
      <c r="T334">
        <f>IF(connections!$A334="","",IFERROR(INDEX(games!$B$2:$B$834,MATCH(connections!$A334,games!$A$2:$A$834,0)),""))</f>
        <v>2020</v>
      </c>
      <c r="U334">
        <f>IF(connections!$A334="","",IFERROR(INDEX(games!$B$2:$B$834,MATCH(connections!$B334,games!$A$2:$A$834,0)),""))</f>
        <v>2024</v>
      </c>
      <c r="V334">
        <f t="shared" si="71"/>
        <v>4</v>
      </c>
    </row>
    <row r="335" spans="1:22" x14ac:dyDescent="0.25">
      <c r="A335" t="str">
        <f>IF(games!$A335="","",games!$A335)</f>
        <v>Heading Out</v>
      </c>
      <c r="B335">
        <f>IF($A335="","",games!$B335)</f>
        <v>2023</v>
      </c>
      <c r="C335" t="str">
        <f>IF($A335="","",games!$C335)</f>
        <v>Action</v>
      </c>
      <c r="D335">
        <f>IF($A335="","",COUNTIF(connections!$A$2:$A$1188,$A335)+COUNTIF(connections!$B$2:$B$1188,$A335))</f>
        <v>0</v>
      </c>
      <c r="E335">
        <f t="shared" si="60"/>
        <v>1</v>
      </c>
      <c r="F335">
        <f t="shared" si="61"/>
        <v>29</v>
      </c>
      <c r="G335">
        <f t="shared" si="62"/>
        <v>2023</v>
      </c>
      <c r="H335">
        <f t="shared" si="63"/>
        <v>1.667</v>
      </c>
      <c r="I335" t="e">
        <f t="shared" si="64"/>
        <v>#N/A</v>
      </c>
      <c r="J335" t="e">
        <f t="shared" si="65"/>
        <v>#N/A</v>
      </c>
      <c r="K335" t="e">
        <f t="shared" si="66"/>
        <v>#N/A</v>
      </c>
      <c r="L335" t="e">
        <f t="shared" si="67"/>
        <v>#N/A</v>
      </c>
      <c r="M335" t="e">
        <f t="shared" si="68"/>
        <v>#N/A</v>
      </c>
      <c r="N335" t="e">
        <f t="shared" si="69"/>
        <v>#N/A</v>
      </c>
      <c r="O335">
        <f t="shared" si="70"/>
        <v>3.3500000000000001E-4</v>
      </c>
      <c r="T335">
        <f>IF(connections!$A335="","",IFERROR(INDEX(games!$B$2:$B$834,MATCH(connections!$A335,games!$A$2:$A$834,0)),""))</f>
        <v>2022</v>
      </c>
      <c r="U335">
        <f>IF(connections!$A335="","",IFERROR(INDEX(games!$B$2:$B$834,MATCH(connections!$B335,games!$A$2:$A$834,0)),""))</f>
        <v>2024</v>
      </c>
      <c r="V335">
        <f t="shared" si="71"/>
        <v>2</v>
      </c>
    </row>
    <row r="336" spans="1:22" x14ac:dyDescent="0.25">
      <c r="A336" t="str">
        <f>IF(games!$A336="","",games!$A336)</f>
        <v>Heat Signature</v>
      </c>
      <c r="B336">
        <f>IF($A336="","",games!$B336)</f>
        <v>2017</v>
      </c>
      <c r="C336" t="str">
        <f>IF($A336="","",games!$C336)</f>
        <v>Action</v>
      </c>
      <c r="D336">
        <f>IF($A336="","",COUNTIF(connections!$A$2:$A$1188,$A336)+COUNTIF(connections!$B$2:$B$1188,$A336))</f>
        <v>0</v>
      </c>
      <c r="E336">
        <f t="shared" si="60"/>
        <v>1</v>
      </c>
      <c r="F336">
        <f t="shared" si="61"/>
        <v>30</v>
      </c>
      <c r="G336">
        <f t="shared" si="62"/>
        <v>2017</v>
      </c>
      <c r="H336">
        <f t="shared" si="63"/>
        <v>1.69</v>
      </c>
      <c r="I336" t="e">
        <f t="shared" si="64"/>
        <v>#N/A</v>
      </c>
      <c r="J336" t="e">
        <f t="shared" si="65"/>
        <v>#N/A</v>
      </c>
      <c r="K336" t="e">
        <f t="shared" si="66"/>
        <v>#N/A</v>
      </c>
      <c r="L336" t="e">
        <f t="shared" si="67"/>
        <v>#N/A</v>
      </c>
      <c r="M336" t="e">
        <f t="shared" si="68"/>
        <v>#N/A</v>
      </c>
      <c r="N336" t="e">
        <f t="shared" si="69"/>
        <v>#N/A</v>
      </c>
      <c r="O336">
        <f t="shared" si="70"/>
        <v>3.3599999999999998E-4</v>
      </c>
      <c r="T336">
        <f>IF(connections!$A336="","",IFERROR(INDEX(games!$B$2:$B$834,MATCH(connections!$A336,games!$A$2:$A$834,0)),""))</f>
        <v>2012</v>
      </c>
      <c r="U336">
        <f>IF(connections!$A336="","",IFERROR(INDEX(games!$B$2:$B$834,MATCH(connections!$B336,games!$A$2:$A$834,0)),""))</f>
        <v>2019</v>
      </c>
      <c r="V336">
        <f t="shared" si="71"/>
        <v>7</v>
      </c>
    </row>
    <row r="337" spans="1:22" x14ac:dyDescent="0.25">
      <c r="A337" t="str">
        <f>IF(games!$A337="","",games!$A337)</f>
        <v>Heavy Bullets</v>
      </c>
      <c r="B337">
        <f>IF($A337="","",games!$B337)</f>
        <v>2014</v>
      </c>
      <c r="C337" t="str">
        <f>IF($A337="","",games!$C337)</f>
        <v>Action</v>
      </c>
      <c r="D337">
        <f>IF($A337="","",COUNTIF(connections!$A$2:$A$1188,$A337)+COUNTIF(connections!$B$2:$B$1188,$A337))</f>
        <v>0</v>
      </c>
      <c r="E337">
        <f t="shared" si="60"/>
        <v>1</v>
      </c>
      <c r="F337">
        <f t="shared" si="61"/>
        <v>31</v>
      </c>
      <c r="G337">
        <f t="shared" si="62"/>
        <v>2014</v>
      </c>
      <c r="H337">
        <f t="shared" si="63"/>
        <v>1.7130000000000001</v>
      </c>
      <c r="I337" t="e">
        <f t="shared" si="64"/>
        <v>#N/A</v>
      </c>
      <c r="J337" t="e">
        <f t="shared" si="65"/>
        <v>#N/A</v>
      </c>
      <c r="K337" t="e">
        <f t="shared" si="66"/>
        <v>#N/A</v>
      </c>
      <c r="L337" t="e">
        <f t="shared" si="67"/>
        <v>#N/A</v>
      </c>
      <c r="M337" t="e">
        <f t="shared" si="68"/>
        <v>#N/A</v>
      </c>
      <c r="N337" t="e">
        <f t="shared" si="69"/>
        <v>#N/A</v>
      </c>
      <c r="O337">
        <f t="shared" si="70"/>
        <v>3.3700000000000001E-4</v>
      </c>
      <c r="T337">
        <f>IF(connections!$A337="","",IFERROR(INDEX(games!$B$2:$B$834,MATCH(connections!$A337,games!$A$2:$A$834,0)),""))</f>
        <v>2012</v>
      </c>
      <c r="U337">
        <f>IF(connections!$A337="","",IFERROR(INDEX(games!$B$2:$B$834,MATCH(connections!$B337,games!$A$2:$A$834,0)),""))</f>
        <v>2020</v>
      </c>
      <c r="V337">
        <f t="shared" si="71"/>
        <v>8</v>
      </c>
    </row>
    <row r="338" spans="1:22" x14ac:dyDescent="0.25">
      <c r="A338" t="str">
        <f>IF(games!$A338="","",games!$A338)</f>
        <v>Hell Clock</v>
      </c>
      <c r="B338">
        <f>IF($A338="","",games!$B338)</f>
        <v>2025</v>
      </c>
      <c r="C338" t="str">
        <f>IF($A338="","",games!$C338)</f>
        <v>Action</v>
      </c>
      <c r="D338">
        <f>IF($A338="","",COUNTIF(connections!$A$2:$A$1188,$A338)+COUNTIF(connections!$B$2:$B$1188,$A338))</f>
        <v>3</v>
      </c>
      <c r="E338">
        <f t="shared" si="60"/>
        <v>1</v>
      </c>
      <c r="F338">
        <f t="shared" si="61"/>
        <v>32</v>
      </c>
      <c r="G338">
        <f t="shared" si="62"/>
        <v>2025</v>
      </c>
      <c r="H338">
        <f t="shared" si="63"/>
        <v>1.736</v>
      </c>
      <c r="I338" t="e">
        <f t="shared" si="64"/>
        <v>#N/A</v>
      </c>
      <c r="J338" t="e">
        <f t="shared" si="65"/>
        <v>#N/A</v>
      </c>
      <c r="K338" t="e">
        <f t="shared" si="66"/>
        <v>#N/A</v>
      </c>
      <c r="L338" t="e">
        <f t="shared" si="67"/>
        <v>#N/A</v>
      </c>
      <c r="M338" t="e">
        <f t="shared" si="68"/>
        <v>#N/A</v>
      </c>
      <c r="N338" t="e">
        <f t="shared" si="69"/>
        <v>#N/A</v>
      </c>
      <c r="O338">
        <f t="shared" si="70"/>
        <v>3.0003380000000002</v>
      </c>
      <c r="T338">
        <f>IF(connections!$A338="","",IFERROR(INDEX(games!$B$2:$B$834,MATCH(connections!$A338,games!$A$2:$A$834,0)),""))</f>
        <v>2012</v>
      </c>
      <c r="U338">
        <f>IF(connections!$A338="","",IFERROR(INDEX(games!$B$2:$B$834,MATCH(connections!$B338,games!$A$2:$A$834,0)),""))</f>
        <v>2024</v>
      </c>
      <c r="V338">
        <f t="shared" si="71"/>
        <v>12</v>
      </c>
    </row>
    <row r="339" spans="1:22" x14ac:dyDescent="0.25">
      <c r="A339" t="str">
        <f>IF(games!$A339="","",games!$A339)</f>
        <v>Hell Maiden</v>
      </c>
      <c r="B339">
        <f>IF($A339="","",games!$B339)</f>
        <v>2026</v>
      </c>
      <c r="C339" t="str">
        <f>IF($A339="","",games!$C339)</f>
        <v>Action</v>
      </c>
      <c r="D339">
        <f>IF($A339="","",COUNTIF(connections!$A$2:$A$1188,$A339)+COUNTIF(connections!$B$2:$B$1188,$A339))</f>
        <v>4</v>
      </c>
      <c r="E339">
        <f t="shared" si="60"/>
        <v>1</v>
      </c>
      <c r="F339">
        <f t="shared" si="61"/>
        <v>33</v>
      </c>
      <c r="G339">
        <f t="shared" si="62"/>
        <v>2026</v>
      </c>
      <c r="H339">
        <f t="shared" si="63"/>
        <v>1.7589999999999999</v>
      </c>
      <c r="I339" t="e">
        <f t="shared" si="64"/>
        <v>#N/A</v>
      </c>
      <c r="J339" t="e">
        <f t="shared" si="65"/>
        <v>#N/A</v>
      </c>
      <c r="K339" t="e">
        <f t="shared" si="66"/>
        <v>#N/A</v>
      </c>
      <c r="L339" t="e">
        <f t="shared" si="67"/>
        <v>#N/A</v>
      </c>
      <c r="M339" t="e">
        <f t="shared" si="68"/>
        <v>#N/A</v>
      </c>
      <c r="N339" t="e">
        <f t="shared" si="69"/>
        <v>#N/A</v>
      </c>
      <c r="O339">
        <f t="shared" si="70"/>
        <v>4.0003390000000003</v>
      </c>
      <c r="T339">
        <f>IF(connections!$A339="","",IFERROR(INDEX(games!$B$2:$B$834,MATCH(connections!$A339,games!$A$2:$A$834,0)),""))</f>
        <v>2012</v>
      </c>
      <c r="U339">
        <f>IF(connections!$A339="","",IFERROR(INDEX(games!$B$2:$B$834,MATCH(connections!$B339,games!$A$2:$A$834,0)),""))</f>
        <v>2026</v>
      </c>
      <c r="V339">
        <f t="shared" si="71"/>
        <v>14</v>
      </c>
    </row>
    <row r="340" spans="1:22" x14ac:dyDescent="0.25">
      <c r="A340" t="str">
        <f>IF(games!$A340="","",games!$A340)</f>
        <v>Hellboy Web of Wyrd</v>
      </c>
      <c r="B340">
        <f>IF($A340="","",games!$B340)</f>
        <v>2023</v>
      </c>
      <c r="C340" t="str">
        <f>IF($A340="","",games!$C340)</f>
        <v>Action</v>
      </c>
      <c r="D340">
        <f>IF($A340="","",COUNTIF(connections!$A$2:$A$1188,$A340)+COUNTIF(connections!$B$2:$B$1188,$A340))</f>
        <v>1</v>
      </c>
      <c r="E340">
        <f t="shared" si="60"/>
        <v>1</v>
      </c>
      <c r="F340">
        <f t="shared" si="61"/>
        <v>0</v>
      </c>
      <c r="G340">
        <f t="shared" si="62"/>
        <v>2023</v>
      </c>
      <c r="H340">
        <f t="shared" si="63"/>
        <v>1</v>
      </c>
      <c r="I340" t="e">
        <f t="shared" si="64"/>
        <v>#N/A</v>
      </c>
      <c r="J340" t="e">
        <f t="shared" si="65"/>
        <v>#N/A</v>
      </c>
      <c r="K340" t="e">
        <f t="shared" si="66"/>
        <v>#N/A</v>
      </c>
      <c r="L340" t="e">
        <f t="shared" si="67"/>
        <v>#N/A</v>
      </c>
      <c r="M340" t="e">
        <f t="shared" si="68"/>
        <v>#N/A</v>
      </c>
      <c r="N340" t="e">
        <f t="shared" si="69"/>
        <v>#N/A</v>
      </c>
      <c r="O340">
        <f t="shared" si="70"/>
        <v>1.00034</v>
      </c>
      <c r="T340">
        <f>IF(connections!$A340="","",IFERROR(INDEX(games!$B$2:$B$834,MATCH(connections!$A340,games!$A$2:$A$834,0)),""))</f>
        <v>2012</v>
      </c>
      <c r="U340">
        <f>IF(connections!$A340="","",IFERROR(INDEX(games!$B$2:$B$834,MATCH(connections!$B340,games!$A$2:$A$834,0)),""))</f>
        <v>2015</v>
      </c>
      <c r="V340">
        <f t="shared" si="71"/>
        <v>3</v>
      </c>
    </row>
    <row r="341" spans="1:22" x14ac:dyDescent="0.25">
      <c r="A341" t="str">
        <f>IF(games!$A341="","",games!$A341)</f>
        <v>Hellcard</v>
      </c>
      <c r="B341">
        <f>IF($A341="","",games!$B341)</f>
        <v>2023</v>
      </c>
      <c r="C341" t="str">
        <f>IF($A341="","",games!$C341)</f>
        <v>Deckbuilder</v>
      </c>
      <c r="D341">
        <f>IF($A341="","",COUNTIF(connections!$A$2:$A$1188,$A341)+COUNTIF(connections!$B$2:$B$1188,$A341))</f>
        <v>2</v>
      </c>
      <c r="E341">
        <f t="shared" si="60"/>
        <v>3</v>
      </c>
      <c r="F341">
        <f t="shared" si="61"/>
        <v>1</v>
      </c>
      <c r="G341" t="e">
        <f t="shared" si="62"/>
        <v>#N/A</v>
      </c>
      <c r="H341" t="e">
        <f t="shared" si="63"/>
        <v>#N/A</v>
      </c>
      <c r="I341" t="e">
        <f t="shared" si="64"/>
        <v>#N/A</v>
      </c>
      <c r="J341" t="e">
        <f t="shared" si="65"/>
        <v>#N/A</v>
      </c>
      <c r="K341">
        <f t="shared" si="66"/>
        <v>2023</v>
      </c>
      <c r="L341">
        <f t="shared" si="67"/>
        <v>3.0230000000000001</v>
      </c>
      <c r="M341" t="e">
        <f t="shared" si="68"/>
        <v>#N/A</v>
      </c>
      <c r="N341" t="e">
        <f t="shared" si="69"/>
        <v>#N/A</v>
      </c>
      <c r="O341">
        <f t="shared" si="70"/>
        <v>2.0003410000000001</v>
      </c>
      <c r="T341">
        <f>IF(connections!$A341="","",IFERROR(INDEX(games!$B$2:$B$834,MATCH(connections!$A341,games!$A$2:$A$834,0)),""))</f>
        <v>2012</v>
      </c>
      <c r="U341">
        <f>IF(connections!$A341="","",IFERROR(INDEX(games!$B$2:$B$834,MATCH(connections!$B341,games!$A$2:$A$834,0)),""))</f>
        <v>2019</v>
      </c>
      <c r="V341">
        <f t="shared" si="71"/>
        <v>7</v>
      </c>
    </row>
    <row r="342" spans="1:22" x14ac:dyDescent="0.25">
      <c r="A342" t="str">
        <f>IF(games!$A342="","",games!$A342)</f>
        <v>Helskate</v>
      </c>
      <c r="B342">
        <f>IF($A342="","",games!$B342)</f>
        <v>2025</v>
      </c>
      <c r="C342" t="str">
        <f>IF($A342="","",games!$C342)</f>
        <v>Action</v>
      </c>
      <c r="D342">
        <f>IF($A342="","",COUNTIF(connections!$A$2:$A$1188,$A342)+COUNTIF(connections!$B$2:$B$1188,$A342))</f>
        <v>1</v>
      </c>
      <c r="E342">
        <f t="shared" si="60"/>
        <v>1</v>
      </c>
      <c r="F342">
        <f t="shared" si="61"/>
        <v>2</v>
      </c>
      <c r="G342">
        <f t="shared" si="62"/>
        <v>2025</v>
      </c>
      <c r="H342">
        <f t="shared" si="63"/>
        <v>1.046</v>
      </c>
      <c r="I342" t="e">
        <f t="shared" si="64"/>
        <v>#N/A</v>
      </c>
      <c r="J342" t="e">
        <f t="shared" si="65"/>
        <v>#N/A</v>
      </c>
      <c r="K342" t="e">
        <f t="shared" si="66"/>
        <v>#N/A</v>
      </c>
      <c r="L342" t="e">
        <f t="shared" si="67"/>
        <v>#N/A</v>
      </c>
      <c r="M342" t="e">
        <f t="shared" si="68"/>
        <v>#N/A</v>
      </c>
      <c r="N342" t="e">
        <f t="shared" si="69"/>
        <v>#N/A</v>
      </c>
      <c r="O342">
        <f t="shared" si="70"/>
        <v>1.0003420000000001</v>
      </c>
      <c r="T342">
        <f>IF(connections!$A342="","",IFERROR(INDEX(games!$B$2:$B$834,MATCH(connections!$A342,games!$A$2:$A$834,0)),""))</f>
        <v>2012</v>
      </c>
      <c r="U342">
        <f>IF(connections!$A342="","",IFERROR(INDEX(games!$B$2:$B$834,MATCH(connections!$B342,games!$A$2:$A$834,0)),""))</f>
        <v>2018</v>
      </c>
      <c r="V342">
        <f t="shared" si="71"/>
        <v>6</v>
      </c>
    </row>
    <row r="343" spans="1:22" x14ac:dyDescent="0.25">
      <c r="A343" t="str">
        <f>IF(games!$A343="","",games!$A343)</f>
        <v>Heretic's Fork</v>
      </c>
      <c r="B343">
        <f>IF($A343="","",games!$B343)</f>
        <v>2023</v>
      </c>
      <c r="C343" t="str">
        <f>IF($A343="","",games!$C343)</f>
        <v>Action</v>
      </c>
      <c r="D343">
        <f>IF($A343="","",COUNTIF(connections!$A$2:$A$1188,$A343)+COUNTIF(connections!$B$2:$B$1188,$A343))</f>
        <v>1</v>
      </c>
      <c r="E343">
        <f t="shared" si="60"/>
        <v>1</v>
      </c>
      <c r="F343">
        <f t="shared" si="61"/>
        <v>3</v>
      </c>
      <c r="G343">
        <f t="shared" si="62"/>
        <v>2023</v>
      </c>
      <c r="H343">
        <f t="shared" si="63"/>
        <v>1.069</v>
      </c>
      <c r="I343" t="e">
        <f t="shared" si="64"/>
        <v>#N/A</v>
      </c>
      <c r="J343" t="e">
        <f t="shared" si="65"/>
        <v>#N/A</v>
      </c>
      <c r="K343" t="e">
        <f t="shared" si="66"/>
        <v>#N/A</v>
      </c>
      <c r="L343" t="e">
        <f t="shared" si="67"/>
        <v>#N/A</v>
      </c>
      <c r="M343" t="e">
        <f t="shared" si="68"/>
        <v>#N/A</v>
      </c>
      <c r="N343" t="e">
        <f t="shared" si="69"/>
        <v>#N/A</v>
      </c>
      <c r="O343">
        <f t="shared" si="70"/>
        <v>1.000343</v>
      </c>
      <c r="T343">
        <f>IF(connections!$A343="","",IFERROR(INDEX(games!$B$2:$B$834,MATCH(connections!$A343,games!$A$2:$A$834,0)),""))</f>
        <v>2012</v>
      </c>
      <c r="U343">
        <f>IF(connections!$A343="","",IFERROR(INDEX(games!$B$2:$B$834,MATCH(connections!$B343,games!$A$2:$A$834,0)),""))</f>
        <v>2023</v>
      </c>
      <c r="V343">
        <f t="shared" si="71"/>
        <v>11</v>
      </c>
    </row>
    <row r="344" spans="1:22" x14ac:dyDescent="0.25">
      <c r="A344" t="str">
        <f>IF(games!$A344="","",games!$A344)</f>
        <v>Heroes of Hammerwatch</v>
      </c>
      <c r="B344">
        <f>IF($A344="","",games!$B344)</f>
        <v>2018</v>
      </c>
      <c r="C344" t="str">
        <f>IF($A344="","",games!$C344)</f>
        <v>Action</v>
      </c>
      <c r="D344">
        <f>IF($A344="","",COUNTIF(connections!$A$2:$A$1188,$A344)+COUNTIF(connections!$B$2:$B$1188,$A344))</f>
        <v>3</v>
      </c>
      <c r="E344">
        <f t="shared" si="60"/>
        <v>1</v>
      </c>
      <c r="F344">
        <f t="shared" si="61"/>
        <v>4</v>
      </c>
      <c r="G344">
        <f t="shared" si="62"/>
        <v>2018</v>
      </c>
      <c r="H344">
        <f t="shared" si="63"/>
        <v>1.0920000000000001</v>
      </c>
      <c r="I344" t="e">
        <f t="shared" si="64"/>
        <v>#N/A</v>
      </c>
      <c r="J344" t="e">
        <f t="shared" si="65"/>
        <v>#N/A</v>
      </c>
      <c r="K344" t="e">
        <f t="shared" si="66"/>
        <v>#N/A</v>
      </c>
      <c r="L344" t="e">
        <f t="shared" si="67"/>
        <v>#N/A</v>
      </c>
      <c r="M344" t="e">
        <f t="shared" si="68"/>
        <v>#N/A</v>
      </c>
      <c r="N344" t="e">
        <f t="shared" si="69"/>
        <v>#N/A</v>
      </c>
      <c r="O344">
        <f t="shared" si="70"/>
        <v>3.0003440000000001</v>
      </c>
      <c r="T344">
        <f>IF(connections!$A344="","",IFERROR(INDEX(games!$B$2:$B$834,MATCH(connections!$A344,games!$A$2:$A$834,0)),""))</f>
        <v>2012</v>
      </c>
      <c r="U344">
        <f>IF(connections!$A344="","",IFERROR(INDEX(games!$B$2:$B$834,MATCH(connections!$B344,games!$A$2:$A$834,0)),""))</f>
        <v>2014</v>
      </c>
      <c r="V344">
        <f t="shared" si="71"/>
        <v>2</v>
      </c>
    </row>
    <row r="345" spans="1:22" x14ac:dyDescent="0.25">
      <c r="A345" t="str">
        <f>IF(games!$A345="","",games!$A345)</f>
        <v>Heroes of Hammerwatch II</v>
      </c>
      <c r="B345">
        <f>IF($A345="","",games!$B345)</f>
        <v>2025</v>
      </c>
      <c r="C345" t="str">
        <f>IF($A345="","",games!$C345)</f>
        <v>Action</v>
      </c>
      <c r="D345">
        <f>IF($A345="","",COUNTIF(connections!$A$2:$A$1188,$A345)+COUNTIF(connections!$B$2:$B$1188,$A345))</f>
        <v>1</v>
      </c>
      <c r="E345">
        <f t="shared" si="60"/>
        <v>1</v>
      </c>
      <c r="F345">
        <f t="shared" si="61"/>
        <v>5</v>
      </c>
      <c r="G345">
        <f t="shared" si="62"/>
        <v>2025</v>
      </c>
      <c r="H345">
        <f t="shared" si="63"/>
        <v>1.115</v>
      </c>
      <c r="I345" t="e">
        <f t="shared" si="64"/>
        <v>#N/A</v>
      </c>
      <c r="J345" t="e">
        <f t="shared" si="65"/>
        <v>#N/A</v>
      </c>
      <c r="K345" t="e">
        <f t="shared" si="66"/>
        <v>#N/A</v>
      </c>
      <c r="L345" t="e">
        <f t="shared" si="67"/>
        <v>#N/A</v>
      </c>
      <c r="M345" t="e">
        <f t="shared" si="68"/>
        <v>#N/A</v>
      </c>
      <c r="N345" t="e">
        <f t="shared" si="69"/>
        <v>#N/A</v>
      </c>
      <c r="O345">
        <f t="shared" si="70"/>
        <v>1.000345</v>
      </c>
      <c r="T345">
        <f>IF(connections!$A345="","",IFERROR(INDEX(games!$B$2:$B$834,MATCH(connections!$A345,games!$A$2:$A$834,0)),""))</f>
        <v>2012</v>
      </c>
      <c r="U345">
        <f>IF(connections!$A345="","",IFERROR(INDEX(games!$B$2:$B$834,MATCH(connections!$B345,games!$A$2:$A$834,0)),""))</f>
        <v>2018</v>
      </c>
      <c r="V345">
        <f t="shared" si="71"/>
        <v>6</v>
      </c>
    </row>
    <row r="346" spans="1:22" x14ac:dyDescent="0.25">
      <c r="A346" t="str">
        <f>IF(games!$A346="","",games!$A346)</f>
        <v>Hexagod</v>
      </c>
      <c r="B346">
        <f>IF($A346="","",games!$B346)</f>
        <v>2025</v>
      </c>
      <c r="C346" t="str">
        <f>IF($A346="","",games!$C346)</f>
        <v>Strategy</v>
      </c>
      <c r="D346">
        <f>IF($A346="","",COUNTIF(connections!$A$2:$A$1188,$A346)+COUNTIF(connections!$B$2:$B$1188,$A346))</f>
        <v>1</v>
      </c>
      <c r="E346">
        <f t="shared" si="60"/>
        <v>2</v>
      </c>
      <c r="F346">
        <f t="shared" si="61"/>
        <v>6</v>
      </c>
      <c r="G346" t="e">
        <f t="shared" si="62"/>
        <v>#N/A</v>
      </c>
      <c r="H346" t="e">
        <f t="shared" si="63"/>
        <v>#N/A</v>
      </c>
      <c r="I346">
        <f t="shared" si="64"/>
        <v>2025</v>
      </c>
      <c r="J346">
        <f t="shared" si="65"/>
        <v>2.1379999999999999</v>
      </c>
      <c r="K346" t="e">
        <f t="shared" si="66"/>
        <v>#N/A</v>
      </c>
      <c r="L346" t="e">
        <f t="shared" si="67"/>
        <v>#N/A</v>
      </c>
      <c r="M346" t="e">
        <f t="shared" si="68"/>
        <v>#N/A</v>
      </c>
      <c r="N346" t="e">
        <f t="shared" si="69"/>
        <v>#N/A</v>
      </c>
      <c r="O346">
        <f t="shared" si="70"/>
        <v>1.000346</v>
      </c>
      <c r="T346">
        <f>IF(connections!$A346="","",IFERROR(INDEX(games!$B$2:$B$834,MATCH(connections!$A346,games!$A$2:$A$834,0)),""))</f>
        <v>2012</v>
      </c>
      <c r="U346">
        <f>IF(connections!$A346="","",IFERROR(INDEX(games!$B$2:$B$834,MATCH(connections!$B346,games!$A$2:$A$834,0)),""))</f>
        <v>2024</v>
      </c>
      <c r="V346">
        <f t="shared" si="71"/>
        <v>12</v>
      </c>
    </row>
    <row r="347" spans="1:22" x14ac:dyDescent="0.25">
      <c r="A347" t="str">
        <f>IF(games!$A347="","",games!$A347)</f>
        <v>Hive Blight</v>
      </c>
      <c r="B347">
        <f>IF($A347="","",games!$B347)</f>
        <v>2026</v>
      </c>
      <c r="C347" t="str">
        <f>IF($A347="","",games!$C347)</f>
        <v>Strategy</v>
      </c>
      <c r="D347">
        <f>IF($A347="","",COUNTIF(connections!$A$2:$A$1188,$A347)+COUNTIF(connections!$B$2:$B$1188,$A347))</f>
        <v>2</v>
      </c>
      <c r="E347">
        <f t="shared" si="60"/>
        <v>2</v>
      </c>
      <c r="F347">
        <f t="shared" si="61"/>
        <v>7</v>
      </c>
      <c r="G347" t="e">
        <f t="shared" si="62"/>
        <v>#N/A</v>
      </c>
      <c r="H347" t="e">
        <f t="shared" si="63"/>
        <v>#N/A</v>
      </c>
      <c r="I347">
        <f t="shared" si="64"/>
        <v>2026</v>
      </c>
      <c r="J347">
        <f t="shared" si="65"/>
        <v>2.161</v>
      </c>
      <c r="K347" t="e">
        <f t="shared" si="66"/>
        <v>#N/A</v>
      </c>
      <c r="L347" t="e">
        <f t="shared" si="67"/>
        <v>#N/A</v>
      </c>
      <c r="M347" t="e">
        <f t="shared" si="68"/>
        <v>#N/A</v>
      </c>
      <c r="N347" t="e">
        <f t="shared" si="69"/>
        <v>#N/A</v>
      </c>
      <c r="O347">
        <f t="shared" si="70"/>
        <v>2.0003470000000001</v>
      </c>
      <c r="T347">
        <f>IF(connections!$A347="","",IFERROR(INDEX(games!$B$2:$B$834,MATCH(connections!$A347,games!$A$2:$A$834,0)),""))</f>
        <v>2012</v>
      </c>
      <c r="U347">
        <f>IF(connections!$A347="","",IFERROR(INDEX(games!$B$2:$B$834,MATCH(connections!$B347,games!$A$2:$A$834,0)),""))</f>
        <v>2020</v>
      </c>
      <c r="V347">
        <f t="shared" si="71"/>
        <v>8</v>
      </c>
    </row>
    <row r="348" spans="1:22" x14ac:dyDescent="0.25">
      <c r="A348" t="str">
        <f>IF(games!$A348="","",games!$A348)</f>
        <v>HoloCure: Save the Fans!</v>
      </c>
      <c r="B348">
        <f>IF($A348="","",games!$B348)</f>
        <v>2023</v>
      </c>
      <c r="C348" t="str">
        <f>IF($A348="","",games!$C348)</f>
        <v>Action</v>
      </c>
      <c r="D348">
        <f>IF($A348="","",COUNTIF(connections!$A$2:$A$1188,$A348)+COUNTIF(connections!$B$2:$B$1188,$A348))</f>
        <v>1</v>
      </c>
      <c r="E348">
        <f t="shared" si="60"/>
        <v>1</v>
      </c>
      <c r="F348">
        <f t="shared" si="61"/>
        <v>8</v>
      </c>
      <c r="G348">
        <f t="shared" si="62"/>
        <v>2023</v>
      </c>
      <c r="H348">
        <f t="shared" si="63"/>
        <v>1.1839999999999999</v>
      </c>
      <c r="I348" t="e">
        <f t="shared" si="64"/>
        <v>#N/A</v>
      </c>
      <c r="J348" t="e">
        <f t="shared" si="65"/>
        <v>#N/A</v>
      </c>
      <c r="K348" t="e">
        <f t="shared" si="66"/>
        <v>#N/A</v>
      </c>
      <c r="L348" t="e">
        <f t="shared" si="67"/>
        <v>#N/A</v>
      </c>
      <c r="M348" t="e">
        <f t="shared" si="68"/>
        <v>#N/A</v>
      </c>
      <c r="N348" t="e">
        <f t="shared" si="69"/>
        <v>#N/A</v>
      </c>
      <c r="O348">
        <f t="shared" si="70"/>
        <v>1.000348</v>
      </c>
      <c r="T348">
        <f>IF(connections!$A348="","",IFERROR(INDEX(games!$B$2:$B$834,MATCH(connections!$A348,games!$A$2:$A$834,0)),""))</f>
        <v>2012</v>
      </c>
      <c r="U348">
        <f>IF(connections!$A348="","",IFERROR(INDEX(games!$B$2:$B$834,MATCH(connections!$B348,games!$A$2:$A$834,0)),""))</f>
        <v>2014</v>
      </c>
      <c r="V348">
        <f t="shared" si="71"/>
        <v>2</v>
      </c>
    </row>
    <row r="349" spans="1:22" x14ac:dyDescent="0.25">
      <c r="A349" t="str">
        <f>IF(games!$A349="","",games!$A349)</f>
        <v>HoloDungeon: Koyori vs HollowLive in Honsha Tower</v>
      </c>
      <c r="B349">
        <f>IF($A349="","",games!$B349)</f>
        <v>2026</v>
      </c>
      <c r="C349" t="str">
        <f>IF($A349="","",games!$C349)</f>
        <v>Traditional</v>
      </c>
      <c r="D349">
        <f>IF($A349="","",COUNTIF(connections!$A$2:$A$1188,$A349)+COUNTIF(connections!$B$2:$B$1188,$A349))</f>
        <v>1</v>
      </c>
      <c r="E349">
        <f t="shared" si="60"/>
        <v>4</v>
      </c>
      <c r="F349">
        <f t="shared" si="61"/>
        <v>9</v>
      </c>
      <c r="G349" t="e">
        <f t="shared" si="62"/>
        <v>#N/A</v>
      </c>
      <c r="H349" t="e">
        <f t="shared" si="63"/>
        <v>#N/A</v>
      </c>
      <c r="I349" t="e">
        <f t="shared" si="64"/>
        <v>#N/A</v>
      </c>
      <c r="J349" t="e">
        <f t="shared" si="65"/>
        <v>#N/A</v>
      </c>
      <c r="K349" t="e">
        <f t="shared" si="66"/>
        <v>#N/A</v>
      </c>
      <c r="L349" t="e">
        <f t="shared" si="67"/>
        <v>#N/A</v>
      </c>
      <c r="M349">
        <f t="shared" si="68"/>
        <v>2026</v>
      </c>
      <c r="N349">
        <f t="shared" si="69"/>
        <v>4.2069999999999999</v>
      </c>
      <c r="O349">
        <f t="shared" si="70"/>
        <v>1.0003489999999999</v>
      </c>
      <c r="T349">
        <f>IF(connections!$A349="","",IFERROR(INDEX(games!$B$2:$B$834,MATCH(connections!$A349,games!$A$2:$A$834,0)),""))</f>
        <v>2012</v>
      </c>
      <c r="U349">
        <f>IF(connections!$A349="","",IFERROR(INDEX(games!$B$2:$B$834,MATCH(connections!$B349,games!$A$2:$A$834,0)),""))</f>
        <v>2017</v>
      </c>
      <c r="V349">
        <f t="shared" si="71"/>
        <v>5</v>
      </c>
    </row>
    <row r="350" spans="1:22" x14ac:dyDescent="0.25">
      <c r="A350" t="str">
        <f>IF(games!$A350="","",games!$A350)</f>
        <v>Hoplite</v>
      </c>
      <c r="B350">
        <f>IF($A350="","",games!$B350)</f>
        <v>2013</v>
      </c>
      <c r="C350" t="str">
        <f>IF($A350="","",games!$C350)</f>
        <v>Traditional</v>
      </c>
      <c r="D350">
        <f>IF($A350="","",COUNTIF(connections!$A$2:$A$1188,$A350)+COUNTIF(connections!$B$2:$B$1188,$A350))</f>
        <v>2</v>
      </c>
      <c r="E350">
        <f t="shared" si="60"/>
        <v>4</v>
      </c>
      <c r="F350">
        <f t="shared" si="61"/>
        <v>10</v>
      </c>
      <c r="G350" t="e">
        <f t="shared" si="62"/>
        <v>#N/A</v>
      </c>
      <c r="H350" t="e">
        <f t="shared" si="63"/>
        <v>#N/A</v>
      </c>
      <c r="I350" t="e">
        <f t="shared" si="64"/>
        <v>#N/A</v>
      </c>
      <c r="J350" t="e">
        <f t="shared" si="65"/>
        <v>#N/A</v>
      </c>
      <c r="K350" t="e">
        <f t="shared" si="66"/>
        <v>#N/A</v>
      </c>
      <c r="L350" t="e">
        <f t="shared" si="67"/>
        <v>#N/A</v>
      </c>
      <c r="M350">
        <f t="shared" si="68"/>
        <v>2013</v>
      </c>
      <c r="N350">
        <f t="shared" si="69"/>
        <v>4.2300000000000004</v>
      </c>
      <c r="O350">
        <f t="shared" si="70"/>
        <v>2.0003500000000001</v>
      </c>
      <c r="T350">
        <f>IF(connections!$A350="","",IFERROR(INDEX(games!$B$2:$B$834,MATCH(connections!$A350,games!$A$2:$A$834,0)),""))</f>
        <v>2012</v>
      </c>
      <c r="U350">
        <f>IF(connections!$A350="","",IFERROR(INDEX(games!$B$2:$B$834,MATCH(connections!$B350,games!$A$2:$A$834,0)),""))</f>
        <v>2021</v>
      </c>
      <c r="V350">
        <f t="shared" si="71"/>
        <v>9</v>
      </c>
    </row>
    <row r="351" spans="1:22" x14ac:dyDescent="0.25">
      <c r="A351" t="str">
        <f>IF(games!$A351="","",games!$A351)</f>
        <v>House of Necrosis</v>
      </c>
      <c r="B351">
        <f>IF($A351="","",games!$B351)</f>
        <v>2025</v>
      </c>
      <c r="C351" t="str">
        <f>IF($A351="","",games!$C351)</f>
        <v>Traditional</v>
      </c>
      <c r="D351">
        <f>IF($A351="","",COUNTIF(connections!$A$2:$A$1188,$A351)+COUNTIF(connections!$B$2:$B$1188,$A351))</f>
        <v>2</v>
      </c>
      <c r="E351">
        <f t="shared" si="60"/>
        <v>4</v>
      </c>
      <c r="F351">
        <f t="shared" si="61"/>
        <v>11</v>
      </c>
      <c r="G351" t="e">
        <f t="shared" si="62"/>
        <v>#N/A</v>
      </c>
      <c r="H351" t="e">
        <f t="shared" si="63"/>
        <v>#N/A</v>
      </c>
      <c r="I351" t="e">
        <f t="shared" si="64"/>
        <v>#N/A</v>
      </c>
      <c r="J351" t="e">
        <f t="shared" si="65"/>
        <v>#N/A</v>
      </c>
      <c r="K351" t="e">
        <f t="shared" si="66"/>
        <v>#N/A</v>
      </c>
      <c r="L351" t="e">
        <f t="shared" si="67"/>
        <v>#N/A</v>
      </c>
      <c r="M351">
        <f t="shared" si="68"/>
        <v>2025</v>
      </c>
      <c r="N351">
        <f t="shared" si="69"/>
        <v>4.2530000000000001</v>
      </c>
      <c r="O351">
        <f t="shared" si="70"/>
        <v>2.0003510000000002</v>
      </c>
      <c r="T351">
        <f>IF(connections!$A351="","",IFERROR(INDEX(games!$B$2:$B$834,MATCH(connections!$A351,games!$A$2:$A$834,0)),""))</f>
        <v>2012</v>
      </c>
      <c r="U351">
        <f>IF(connections!$A351="","",IFERROR(INDEX(games!$B$2:$B$834,MATCH(connections!$B351,games!$A$2:$A$834,0)),""))</f>
        <v>2018</v>
      </c>
      <c r="V351">
        <f t="shared" si="71"/>
        <v>6</v>
      </c>
    </row>
    <row r="352" spans="1:22" x14ac:dyDescent="0.25">
      <c r="A352" t="str">
        <f>IF(games!$A352="","",games!$A352)</f>
        <v>How Many Dudes?</v>
      </c>
      <c r="B352">
        <f>IF($A352="","",games!$B352)</f>
        <v>2026</v>
      </c>
      <c r="C352" t="str">
        <f>IF($A352="","",games!$C352)</f>
        <v>Action</v>
      </c>
      <c r="D352">
        <f>IF($A352="","",COUNTIF(connections!$A$2:$A$1188,$A352)+COUNTIF(connections!$B$2:$B$1188,$A352))</f>
        <v>2</v>
      </c>
      <c r="E352">
        <f t="shared" si="60"/>
        <v>1</v>
      </c>
      <c r="F352">
        <f t="shared" si="61"/>
        <v>12</v>
      </c>
      <c r="G352">
        <f t="shared" si="62"/>
        <v>2026</v>
      </c>
      <c r="H352">
        <f t="shared" si="63"/>
        <v>1.276</v>
      </c>
      <c r="I352" t="e">
        <f t="shared" si="64"/>
        <v>#N/A</v>
      </c>
      <c r="J352" t="e">
        <f t="shared" si="65"/>
        <v>#N/A</v>
      </c>
      <c r="K352" t="e">
        <f t="shared" si="66"/>
        <v>#N/A</v>
      </c>
      <c r="L352" t="e">
        <f t="shared" si="67"/>
        <v>#N/A</v>
      </c>
      <c r="M352" t="e">
        <f t="shared" si="68"/>
        <v>#N/A</v>
      </c>
      <c r="N352" t="e">
        <f t="shared" si="69"/>
        <v>#N/A</v>
      </c>
      <c r="O352">
        <f t="shared" si="70"/>
        <v>2.0003519999999999</v>
      </c>
      <c r="T352">
        <f>IF(connections!$A352="","",IFERROR(INDEX(games!$B$2:$B$834,MATCH(connections!$A352,games!$A$2:$A$834,0)),""))</f>
        <v>2012</v>
      </c>
      <c r="U352">
        <f>IF(connections!$A352="","",IFERROR(INDEX(games!$B$2:$B$834,MATCH(connections!$B352,games!$A$2:$A$834,0)),""))</f>
        <v>2024</v>
      </c>
      <c r="V352">
        <f t="shared" si="71"/>
        <v>12</v>
      </c>
    </row>
    <row r="353" spans="1:22" x14ac:dyDescent="0.25">
      <c r="A353" t="str">
        <f>IF(games!$A353="","",games!$A353)</f>
        <v>Hungry Horrors</v>
      </c>
      <c r="B353">
        <f>IF($A353="","",games!$B353)</f>
        <v>2026</v>
      </c>
      <c r="C353" t="str">
        <f>IF($A353="","",games!$C353)</f>
        <v>Deckbuilder</v>
      </c>
      <c r="D353">
        <f>IF($A353="","",COUNTIF(connections!$A$2:$A$1188,$A353)+COUNTIF(connections!$B$2:$B$1188,$A353))</f>
        <v>4</v>
      </c>
      <c r="E353">
        <f t="shared" si="60"/>
        <v>3</v>
      </c>
      <c r="F353">
        <f t="shared" si="61"/>
        <v>13</v>
      </c>
      <c r="G353" t="e">
        <f t="shared" si="62"/>
        <v>#N/A</v>
      </c>
      <c r="H353" t="e">
        <f t="shared" si="63"/>
        <v>#N/A</v>
      </c>
      <c r="I353" t="e">
        <f t="shared" si="64"/>
        <v>#N/A</v>
      </c>
      <c r="J353" t="e">
        <f t="shared" si="65"/>
        <v>#N/A</v>
      </c>
      <c r="K353">
        <f t="shared" si="66"/>
        <v>2026</v>
      </c>
      <c r="L353">
        <f t="shared" si="67"/>
        <v>3.2989999999999999</v>
      </c>
      <c r="M353" t="e">
        <f t="shared" si="68"/>
        <v>#N/A</v>
      </c>
      <c r="N353" t="e">
        <f t="shared" si="69"/>
        <v>#N/A</v>
      </c>
      <c r="O353">
        <f t="shared" si="70"/>
        <v>4.0003529999999996</v>
      </c>
      <c r="T353">
        <f>IF(connections!$A353="","",IFERROR(INDEX(games!$B$2:$B$834,MATCH(connections!$A353,games!$A$2:$A$834,0)),""))</f>
        <v>2012</v>
      </c>
      <c r="U353">
        <f>IF(connections!$A353="","",IFERROR(INDEX(games!$B$2:$B$834,MATCH(connections!$B353,games!$A$2:$A$834,0)),""))</f>
        <v>2015</v>
      </c>
      <c r="V353">
        <f t="shared" si="71"/>
        <v>3</v>
      </c>
    </row>
    <row r="354" spans="1:22" x14ac:dyDescent="0.25">
      <c r="A354" t="str">
        <f>IF(games!$A354="","",games!$A354)</f>
        <v>Hunter X Hunter: Nen X Survivor</v>
      </c>
      <c r="B354">
        <f>IF($A354="","",games!$B354)</f>
        <v>2026</v>
      </c>
      <c r="C354" t="str">
        <f>IF($A354="","",games!$C354)</f>
        <v>Action</v>
      </c>
      <c r="D354">
        <f>IF($A354="","",COUNTIF(connections!$A$2:$A$1188,$A354)+COUNTIF(connections!$B$2:$B$1188,$A354))</f>
        <v>1</v>
      </c>
      <c r="E354">
        <f t="shared" si="60"/>
        <v>1</v>
      </c>
      <c r="F354">
        <f t="shared" si="61"/>
        <v>14</v>
      </c>
      <c r="G354">
        <f t="shared" si="62"/>
        <v>2026</v>
      </c>
      <c r="H354">
        <f t="shared" si="63"/>
        <v>1.3220000000000001</v>
      </c>
      <c r="I354" t="e">
        <f t="shared" si="64"/>
        <v>#N/A</v>
      </c>
      <c r="J354" t="e">
        <f t="shared" si="65"/>
        <v>#N/A</v>
      </c>
      <c r="K354" t="e">
        <f t="shared" si="66"/>
        <v>#N/A</v>
      </c>
      <c r="L354" t="e">
        <f t="shared" si="67"/>
        <v>#N/A</v>
      </c>
      <c r="M354" t="e">
        <f t="shared" si="68"/>
        <v>#N/A</v>
      </c>
      <c r="N354" t="e">
        <f t="shared" si="69"/>
        <v>#N/A</v>
      </c>
      <c r="O354">
        <f t="shared" si="70"/>
        <v>1.000354</v>
      </c>
      <c r="T354">
        <f>IF(connections!$A354="","",IFERROR(INDEX(games!$B$2:$B$834,MATCH(connections!$A354,games!$A$2:$A$834,0)),""))</f>
        <v>2012</v>
      </c>
      <c r="U354">
        <f>IF(connections!$A354="","",IFERROR(INDEX(games!$B$2:$B$834,MATCH(connections!$B354,games!$A$2:$A$834,0)),""))</f>
        <v>2019</v>
      </c>
      <c r="V354">
        <f t="shared" si="71"/>
        <v>7</v>
      </c>
    </row>
    <row r="355" spans="1:22" x14ac:dyDescent="0.25">
      <c r="A355" t="str">
        <f>IF(games!$A355="","",games!$A355)</f>
        <v>HyperRogue</v>
      </c>
      <c r="B355">
        <f>IF($A355="","",games!$B355)</f>
        <v>2012</v>
      </c>
      <c r="C355" t="str">
        <f>IF($A355="","",games!$C355)</f>
        <v>Traditional</v>
      </c>
      <c r="D355">
        <f>IF($A355="","",COUNTIF(connections!$A$2:$A$1188,$A355)+COUNTIF(connections!$B$2:$B$1188,$A355))</f>
        <v>6</v>
      </c>
      <c r="E355">
        <f t="shared" si="60"/>
        <v>4</v>
      </c>
      <c r="F355">
        <f t="shared" si="61"/>
        <v>15</v>
      </c>
      <c r="G355" t="e">
        <f t="shared" si="62"/>
        <v>#N/A</v>
      </c>
      <c r="H355" t="e">
        <f t="shared" si="63"/>
        <v>#N/A</v>
      </c>
      <c r="I355" t="e">
        <f t="shared" si="64"/>
        <v>#N/A</v>
      </c>
      <c r="J355" t="e">
        <f t="shared" si="65"/>
        <v>#N/A</v>
      </c>
      <c r="K355" t="e">
        <f t="shared" si="66"/>
        <v>#N/A</v>
      </c>
      <c r="L355" t="e">
        <f t="shared" si="67"/>
        <v>#N/A</v>
      </c>
      <c r="M355">
        <f t="shared" si="68"/>
        <v>2012</v>
      </c>
      <c r="N355">
        <f t="shared" si="69"/>
        <v>4.3449999999999998</v>
      </c>
      <c r="O355">
        <f t="shared" si="70"/>
        <v>6.0003549999999999</v>
      </c>
      <c r="T355">
        <f>IF(connections!$A355="","",IFERROR(INDEX(games!$B$2:$B$834,MATCH(connections!$A355,games!$A$2:$A$834,0)),""))</f>
        <v>2012</v>
      </c>
      <c r="U355">
        <f>IF(connections!$A355="","",IFERROR(INDEX(games!$B$2:$B$834,MATCH(connections!$B355,games!$A$2:$A$834,0)),""))</f>
        <v>2020</v>
      </c>
      <c r="V355">
        <f t="shared" si="71"/>
        <v>8</v>
      </c>
    </row>
    <row r="356" spans="1:22" x14ac:dyDescent="0.25">
      <c r="A356" t="str">
        <f>IF(games!$A356="","",games!$A356)</f>
        <v>I Am Legion: Stand Survivors</v>
      </c>
      <c r="B356">
        <f>IF($A356="","",games!$B356)</f>
        <v>2025</v>
      </c>
      <c r="C356" t="str">
        <f>IF($A356="","",games!$C356)</f>
        <v>Action</v>
      </c>
      <c r="D356">
        <f>IF($A356="","",COUNTIF(connections!$A$2:$A$1188,$A356)+COUNTIF(connections!$B$2:$B$1188,$A356))</f>
        <v>1</v>
      </c>
      <c r="E356">
        <f t="shared" si="60"/>
        <v>1</v>
      </c>
      <c r="F356">
        <f t="shared" si="61"/>
        <v>16</v>
      </c>
      <c r="G356">
        <f t="shared" si="62"/>
        <v>2025</v>
      </c>
      <c r="H356">
        <f t="shared" si="63"/>
        <v>1.3679999999999999</v>
      </c>
      <c r="I356" t="e">
        <f t="shared" si="64"/>
        <v>#N/A</v>
      </c>
      <c r="J356" t="e">
        <f t="shared" si="65"/>
        <v>#N/A</v>
      </c>
      <c r="K356" t="e">
        <f t="shared" si="66"/>
        <v>#N/A</v>
      </c>
      <c r="L356" t="e">
        <f t="shared" si="67"/>
        <v>#N/A</v>
      </c>
      <c r="M356" t="e">
        <f t="shared" si="68"/>
        <v>#N/A</v>
      </c>
      <c r="N356" t="e">
        <f t="shared" si="69"/>
        <v>#N/A</v>
      </c>
      <c r="O356">
        <f t="shared" si="70"/>
        <v>1.000356</v>
      </c>
      <c r="T356">
        <f>IF(connections!$A356="","",IFERROR(INDEX(games!$B$2:$B$834,MATCH(connections!$A356,games!$A$2:$A$834,0)),""))</f>
        <v>2012</v>
      </c>
      <c r="U356">
        <f>IF(connections!$A356="","",IFERROR(INDEX(games!$B$2:$B$834,MATCH(connections!$B356,games!$A$2:$A$834,0)),""))</f>
        <v>2014</v>
      </c>
      <c r="V356">
        <f t="shared" si="71"/>
        <v>2</v>
      </c>
    </row>
    <row r="357" spans="1:22" x14ac:dyDescent="0.25">
      <c r="A357" t="str">
        <f>IF(games!$A357="","",games!$A357)</f>
        <v>I Am Overburdened</v>
      </c>
      <c r="B357">
        <f>IF($A357="","",games!$B357)</f>
        <v>2017</v>
      </c>
      <c r="C357" t="str">
        <f>IF($A357="","",games!$C357)</f>
        <v>Traditional</v>
      </c>
      <c r="D357">
        <f>IF($A357="","",COUNTIF(connections!$A$2:$A$1188,$A357)+COUNTIF(connections!$B$2:$B$1188,$A357))</f>
        <v>2</v>
      </c>
      <c r="E357">
        <f t="shared" si="60"/>
        <v>4</v>
      </c>
      <c r="F357">
        <f t="shared" si="61"/>
        <v>17</v>
      </c>
      <c r="G357" t="e">
        <f t="shared" si="62"/>
        <v>#N/A</v>
      </c>
      <c r="H357" t="e">
        <f t="shared" si="63"/>
        <v>#N/A</v>
      </c>
      <c r="I357" t="e">
        <f t="shared" si="64"/>
        <v>#N/A</v>
      </c>
      <c r="J357" t="e">
        <f t="shared" si="65"/>
        <v>#N/A</v>
      </c>
      <c r="K357" t="e">
        <f t="shared" si="66"/>
        <v>#N/A</v>
      </c>
      <c r="L357" t="e">
        <f t="shared" si="67"/>
        <v>#N/A</v>
      </c>
      <c r="M357">
        <f t="shared" si="68"/>
        <v>2017</v>
      </c>
      <c r="N357">
        <f t="shared" si="69"/>
        <v>4.391</v>
      </c>
      <c r="O357">
        <f t="shared" si="70"/>
        <v>2.0003570000000002</v>
      </c>
      <c r="T357">
        <f>IF(connections!$A357="","",IFERROR(INDEX(games!$B$2:$B$834,MATCH(connections!$A357,games!$A$2:$A$834,0)),""))</f>
        <v>2012</v>
      </c>
      <c r="U357">
        <f>IF(connections!$A357="","",IFERROR(INDEX(games!$B$2:$B$834,MATCH(connections!$B357,games!$A$2:$A$834,0)),""))</f>
        <v>2014</v>
      </c>
      <c r="V357">
        <f t="shared" si="71"/>
        <v>2</v>
      </c>
    </row>
    <row r="358" spans="1:22" x14ac:dyDescent="0.25">
      <c r="A358" t="str">
        <f>IF(games!$A358="","",games!$A358)</f>
        <v>Icewall</v>
      </c>
      <c r="B358">
        <f>IF($A358="","",games!$B358)</f>
        <v>2022</v>
      </c>
      <c r="C358" t="str">
        <f>IF($A358="","",games!$C358)</f>
        <v>Action</v>
      </c>
      <c r="D358">
        <f>IF($A358="","",COUNTIF(connections!$A$2:$A$1188,$A358)+COUNTIF(connections!$B$2:$B$1188,$A358))</f>
        <v>1</v>
      </c>
      <c r="E358">
        <f t="shared" si="60"/>
        <v>1</v>
      </c>
      <c r="F358">
        <f t="shared" si="61"/>
        <v>18</v>
      </c>
      <c r="G358">
        <f t="shared" si="62"/>
        <v>2022</v>
      </c>
      <c r="H358">
        <f t="shared" si="63"/>
        <v>1.4139999999999999</v>
      </c>
      <c r="I358" t="e">
        <f t="shared" si="64"/>
        <v>#N/A</v>
      </c>
      <c r="J358" t="e">
        <f t="shared" si="65"/>
        <v>#N/A</v>
      </c>
      <c r="K358" t="e">
        <f t="shared" si="66"/>
        <v>#N/A</v>
      </c>
      <c r="L358" t="e">
        <f t="shared" si="67"/>
        <v>#N/A</v>
      </c>
      <c r="M358" t="e">
        <f t="shared" si="68"/>
        <v>#N/A</v>
      </c>
      <c r="N358" t="e">
        <f t="shared" si="69"/>
        <v>#N/A</v>
      </c>
      <c r="O358">
        <f t="shared" si="70"/>
        <v>1.0003580000000001</v>
      </c>
      <c r="T358">
        <f>IF(connections!$A358="","",IFERROR(INDEX(games!$B$2:$B$834,MATCH(connections!$A358,games!$A$2:$A$834,0)),""))</f>
        <v>2012</v>
      </c>
      <c r="U358">
        <f>IF(connections!$A358="","",IFERROR(INDEX(games!$B$2:$B$834,MATCH(connections!$B358,games!$A$2:$A$834,0)),""))</f>
        <v>2024</v>
      </c>
      <c r="V358">
        <f t="shared" si="71"/>
        <v>12</v>
      </c>
    </row>
    <row r="359" spans="1:22" x14ac:dyDescent="0.25">
      <c r="A359" t="str">
        <f>IF(games!$A359="","",games!$A359)</f>
        <v>Immortal Redneck</v>
      </c>
      <c r="B359">
        <f>IF($A359="","",games!$B359)</f>
        <v>2017</v>
      </c>
      <c r="C359" t="str">
        <f>IF($A359="","",games!$C359)</f>
        <v>Action</v>
      </c>
      <c r="D359">
        <f>IF($A359="","",COUNTIF(connections!$A$2:$A$1188,$A359)+COUNTIF(connections!$B$2:$B$1188,$A359))</f>
        <v>1</v>
      </c>
      <c r="E359">
        <f t="shared" si="60"/>
        <v>1</v>
      </c>
      <c r="F359">
        <f t="shared" si="61"/>
        <v>19</v>
      </c>
      <c r="G359">
        <f t="shared" si="62"/>
        <v>2017</v>
      </c>
      <c r="H359">
        <f t="shared" si="63"/>
        <v>1.4370000000000001</v>
      </c>
      <c r="I359" t="e">
        <f t="shared" si="64"/>
        <v>#N/A</v>
      </c>
      <c r="J359" t="e">
        <f t="shared" si="65"/>
        <v>#N/A</v>
      </c>
      <c r="K359" t="e">
        <f t="shared" si="66"/>
        <v>#N/A</v>
      </c>
      <c r="L359" t="e">
        <f t="shared" si="67"/>
        <v>#N/A</v>
      </c>
      <c r="M359" t="e">
        <f t="shared" si="68"/>
        <v>#N/A</v>
      </c>
      <c r="N359" t="e">
        <f t="shared" si="69"/>
        <v>#N/A</v>
      </c>
      <c r="O359">
        <f t="shared" si="70"/>
        <v>1.000359</v>
      </c>
      <c r="T359">
        <f>IF(connections!$A359="","",IFERROR(INDEX(games!$B$2:$B$834,MATCH(connections!$A359,games!$A$2:$A$834,0)),""))</f>
        <v>2012</v>
      </c>
      <c r="U359">
        <f>IF(connections!$A359="","",IFERROR(INDEX(games!$B$2:$B$834,MATCH(connections!$B359,games!$A$2:$A$834,0)),""))</f>
        <v>2025</v>
      </c>
      <c r="V359">
        <f t="shared" si="71"/>
        <v>13</v>
      </c>
    </row>
    <row r="360" spans="1:22" x14ac:dyDescent="0.25">
      <c r="A360" t="str">
        <f>IF(games!$A360="","",games!$A360)</f>
        <v>In Celebration of Violence</v>
      </c>
      <c r="B360">
        <f>IF($A360="","",games!$B360)</f>
        <v>2016</v>
      </c>
      <c r="C360" t="str">
        <f>IF($A360="","",games!$C360)</f>
        <v>Action</v>
      </c>
      <c r="D360">
        <f>IF($A360="","",COUNTIF(connections!$A$2:$A$1188,$A360)+COUNTIF(connections!$B$2:$B$1188,$A360))</f>
        <v>1</v>
      </c>
      <c r="E360">
        <f t="shared" si="60"/>
        <v>1</v>
      </c>
      <c r="F360">
        <f t="shared" si="61"/>
        <v>20</v>
      </c>
      <c r="G360">
        <f t="shared" si="62"/>
        <v>2016</v>
      </c>
      <c r="H360">
        <f t="shared" si="63"/>
        <v>1.46</v>
      </c>
      <c r="I360" t="e">
        <f t="shared" si="64"/>
        <v>#N/A</v>
      </c>
      <c r="J360" t="e">
        <f t="shared" si="65"/>
        <v>#N/A</v>
      </c>
      <c r="K360" t="e">
        <f t="shared" si="66"/>
        <v>#N/A</v>
      </c>
      <c r="L360" t="e">
        <f t="shared" si="67"/>
        <v>#N/A</v>
      </c>
      <c r="M360" t="e">
        <f t="shared" si="68"/>
        <v>#N/A</v>
      </c>
      <c r="N360" t="e">
        <f t="shared" si="69"/>
        <v>#N/A</v>
      </c>
      <c r="O360">
        <f t="shared" si="70"/>
        <v>1.0003599999999999</v>
      </c>
      <c r="T360">
        <f>IF(connections!$A360="","",IFERROR(INDEX(games!$B$2:$B$834,MATCH(connections!$A360,games!$A$2:$A$834,0)),""))</f>
        <v>2012</v>
      </c>
      <c r="U360">
        <f>IF(connections!$A360="","",IFERROR(INDEX(games!$B$2:$B$834,MATCH(connections!$B360,games!$A$2:$A$834,0)),""))</f>
        <v>2017</v>
      </c>
      <c r="V360">
        <f t="shared" si="71"/>
        <v>5</v>
      </c>
    </row>
    <row r="361" spans="1:22" x14ac:dyDescent="0.25">
      <c r="A361" t="str">
        <f>IF(games!$A361="","",games!$A361)</f>
        <v>Incursion</v>
      </c>
      <c r="B361">
        <f>IF($A361="","",games!$B361)</f>
        <v>2007</v>
      </c>
      <c r="C361" t="str">
        <f>IF($A361="","",games!$C361)</f>
        <v>Traditional</v>
      </c>
      <c r="D361">
        <f>IF($A361="","",COUNTIF(connections!$A$2:$A$1188,$A361)+COUNTIF(connections!$B$2:$B$1188,$A361))</f>
        <v>6</v>
      </c>
      <c r="E361">
        <f t="shared" si="60"/>
        <v>4</v>
      </c>
      <c r="F361">
        <f t="shared" si="61"/>
        <v>21</v>
      </c>
      <c r="G361" t="e">
        <f t="shared" si="62"/>
        <v>#N/A</v>
      </c>
      <c r="H361" t="e">
        <f t="shared" si="63"/>
        <v>#N/A</v>
      </c>
      <c r="I361" t="e">
        <f t="shared" si="64"/>
        <v>#N/A</v>
      </c>
      <c r="J361" t="e">
        <f t="shared" si="65"/>
        <v>#N/A</v>
      </c>
      <c r="K361" t="e">
        <f t="shared" si="66"/>
        <v>#N/A</v>
      </c>
      <c r="L361" t="e">
        <f t="shared" si="67"/>
        <v>#N/A</v>
      </c>
      <c r="M361">
        <f t="shared" si="68"/>
        <v>2007</v>
      </c>
      <c r="N361">
        <f t="shared" si="69"/>
        <v>4.4829999999999997</v>
      </c>
      <c r="O361">
        <f t="shared" si="70"/>
        <v>6.0003609999999998</v>
      </c>
      <c r="T361">
        <f>IF(connections!$A361="","",IFERROR(INDEX(games!$B$2:$B$834,MATCH(connections!$A361,games!$A$2:$A$834,0)),""))</f>
        <v>2012</v>
      </c>
      <c r="U361">
        <f>IF(connections!$A361="","",IFERROR(INDEX(games!$B$2:$B$834,MATCH(connections!$B361,games!$A$2:$A$834,0)),""))</f>
        <v>2018</v>
      </c>
      <c r="V361">
        <f t="shared" si="71"/>
        <v>6</v>
      </c>
    </row>
    <row r="362" spans="1:22" x14ac:dyDescent="0.25">
      <c r="A362" t="str">
        <f>IF(games!$A362="","",games!$A362)</f>
        <v>Infinite Space III: Sea of Stars</v>
      </c>
      <c r="B362">
        <f>IF($A362="","",games!$B362)</f>
        <v>2015</v>
      </c>
      <c r="C362" t="str">
        <f>IF($A362="","",games!$C362)</f>
        <v>Strategy</v>
      </c>
      <c r="D362">
        <f>IF($A362="","",COUNTIF(connections!$A$2:$A$1188,$A362)+COUNTIF(connections!$B$2:$B$1188,$A362))</f>
        <v>1</v>
      </c>
      <c r="E362">
        <f t="shared" si="60"/>
        <v>2</v>
      </c>
      <c r="F362">
        <f t="shared" si="61"/>
        <v>22</v>
      </c>
      <c r="G362" t="e">
        <f t="shared" si="62"/>
        <v>#N/A</v>
      </c>
      <c r="H362" t="e">
        <f t="shared" si="63"/>
        <v>#N/A</v>
      </c>
      <c r="I362">
        <f t="shared" si="64"/>
        <v>2015</v>
      </c>
      <c r="J362">
        <f t="shared" si="65"/>
        <v>2.5060000000000002</v>
      </c>
      <c r="K362" t="e">
        <f t="shared" si="66"/>
        <v>#N/A</v>
      </c>
      <c r="L362" t="e">
        <f t="shared" si="67"/>
        <v>#N/A</v>
      </c>
      <c r="M362" t="e">
        <f t="shared" si="68"/>
        <v>#N/A</v>
      </c>
      <c r="N362" t="e">
        <f t="shared" si="69"/>
        <v>#N/A</v>
      </c>
      <c r="O362">
        <f t="shared" si="70"/>
        <v>1.000362</v>
      </c>
      <c r="T362">
        <f>IF(connections!$A362="","",IFERROR(INDEX(games!$B$2:$B$834,MATCH(connections!$A362,games!$A$2:$A$834,0)),""))</f>
        <v>2012</v>
      </c>
      <c r="U362">
        <f>IF(connections!$A362="","",IFERROR(INDEX(games!$B$2:$B$834,MATCH(connections!$B362,games!$A$2:$A$834,0)),""))</f>
        <v>2016</v>
      </c>
      <c r="V362">
        <f t="shared" si="71"/>
        <v>4</v>
      </c>
    </row>
    <row r="363" spans="1:22" x14ac:dyDescent="0.25">
      <c r="A363" t="str">
        <f>IF(games!$A363="","",games!$A363)</f>
        <v>Infra Arcana</v>
      </c>
      <c r="B363">
        <f>IF($A363="","",games!$B363)</f>
        <v>2011</v>
      </c>
      <c r="C363" t="str">
        <f>IF($A363="","",games!$C363)</f>
        <v>Traditional</v>
      </c>
      <c r="D363">
        <f>IF($A363="","",COUNTIF(connections!$A$2:$A$1188,$A363)+COUNTIF(connections!$B$2:$B$1188,$A363))</f>
        <v>3</v>
      </c>
      <c r="E363">
        <f t="shared" si="60"/>
        <v>4</v>
      </c>
      <c r="F363">
        <f t="shared" si="61"/>
        <v>23</v>
      </c>
      <c r="G363" t="e">
        <f t="shared" si="62"/>
        <v>#N/A</v>
      </c>
      <c r="H363" t="e">
        <f t="shared" si="63"/>
        <v>#N/A</v>
      </c>
      <c r="I363" t="e">
        <f t="shared" si="64"/>
        <v>#N/A</v>
      </c>
      <c r="J363" t="e">
        <f t="shared" si="65"/>
        <v>#N/A</v>
      </c>
      <c r="K363" t="e">
        <f t="shared" si="66"/>
        <v>#N/A</v>
      </c>
      <c r="L363" t="e">
        <f t="shared" si="67"/>
        <v>#N/A</v>
      </c>
      <c r="M363">
        <f t="shared" si="68"/>
        <v>2011</v>
      </c>
      <c r="N363">
        <f t="shared" si="69"/>
        <v>4.5289999999999999</v>
      </c>
      <c r="O363">
        <f t="shared" si="70"/>
        <v>3.0003630000000001</v>
      </c>
      <c r="T363">
        <f>IF(connections!$A363="","",IFERROR(INDEX(games!$B$2:$B$834,MATCH(connections!$A363,games!$A$2:$A$834,0)),""))</f>
        <v>2012</v>
      </c>
      <c r="U363">
        <f>IF(connections!$A363="","",IFERROR(INDEX(games!$B$2:$B$834,MATCH(connections!$B363,games!$A$2:$A$834,0)),""))</f>
        <v>2015</v>
      </c>
      <c r="V363">
        <f t="shared" si="71"/>
        <v>3</v>
      </c>
    </row>
    <row r="364" spans="1:22" x14ac:dyDescent="0.25">
      <c r="A364" t="str">
        <f>IF(games!$A364="","",games!$A364)</f>
        <v>Inkbound</v>
      </c>
      <c r="B364">
        <f>IF($A364="","",games!$B364)</f>
        <v>2023</v>
      </c>
      <c r="C364" t="str">
        <f>IF($A364="","",games!$C364)</f>
        <v>Strategy</v>
      </c>
      <c r="D364">
        <f>IF($A364="","",COUNTIF(connections!$A$2:$A$1188,$A364)+COUNTIF(connections!$B$2:$B$1188,$A364))</f>
        <v>1</v>
      </c>
      <c r="E364">
        <f t="shared" si="60"/>
        <v>2</v>
      </c>
      <c r="F364">
        <f t="shared" si="61"/>
        <v>24</v>
      </c>
      <c r="G364" t="e">
        <f t="shared" si="62"/>
        <v>#N/A</v>
      </c>
      <c r="H364" t="e">
        <f t="shared" si="63"/>
        <v>#N/A</v>
      </c>
      <c r="I364">
        <f t="shared" si="64"/>
        <v>2023</v>
      </c>
      <c r="J364">
        <f t="shared" si="65"/>
        <v>2.552</v>
      </c>
      <c r="K364" t="e">
        <f t="shared" si="66"/>
        <v>#N/A</v>
      </c>
      <c r="L364" t="e">
        <f t="shared" si="67"/>
        <v>#N/A</v>
      </c>
      <c r="M364" t="e">
        <f t="shared" si="68"/>
        <v>#N/A</v>
      </c>
      <c r="N364" t="e">
        <f t="shared" si="69"/>
        <v>#N/A</v>
      </c>
      <c r="O364">
        <f t="shared" si="70"/>
        <v>1.000364</v>
      </c>
      <c r="T364">
        <f>IF(connections!$A364="","",IFERROR(INDEX(games!$B$2:$B$834,MATCH(connections!$A364,games!$A$2:$A$834,0)),""))</f>
        <v>2012</v>
      </c>
      <c r="U364">
        <f>IF(connections!$A364="","",IFERROR(INDEX(games!$B$2:$B$834,MATCH(connections!$B364,games!$A$2:$A$834,0)),""))</f>
        <v>2016</v>
      </c>
      <c r="V364">
        <f t="shared" si="71"/>
        <v>4</v>
      </c>
    </row>
    <row r="365" spans="1:22" x14ac:dyDescent="0.25">
      <c r="A365" t="str">
        <f>IF(games!$A365="","",games!$A365)</f>
        <v>Inscryption</v>
      </c>
      <c r="B365">
        <f>IF($A365="","",games!$B365)</f>
        <v>2021</v>
      </c>
      <c r="C365" t="str">
        <f>IF($A365="","",games!$C365)</f>
        <v>Deckbuilder</v>
      </c>
      <c r="D365">
        <f>IF($A365="","",COUNTIF(connections!$A$2:$A$1188,$A365)+COUNTIF(connections!$B$2:$B$1188,$A365))</f>
        <v>11</v>
      </c>
      <c r="E365">
        <f t="shared" si="60"/>
        <v>3</v>
      </c>
      <c r="F365">
        <f t="shared" si="61"/>
        <v>25</v>
      </c>
      <c r="G365" t="e">
        <f t="shared" si="62"/>
        <v>#N/A</v>
      </c>
      <c r="H365" t="e">
        <f t="shared" si="63"/>
        <v>#N/A</v>
      </c>
      <c r="I365" t="e">
        <f t="shared" si="64"/>
        <v>#N/A</v>
      </c>
      <c r="J365" t="e">
        <f t="shared" si="65"/>
        <v>#N/A</v>
      </c>
      <c r="K365">
        <f t="shared" si="66"/>
        <v>2021</v>
      </c>
      <c r="L365">
        <f t="shared" si="67"/>
        <v>3.5750000000000002</v>
      </c>
      <c r="M365" t="e">
        <f t="shared" si="68"/>
        <v>#N/A</v>
      </c>
      <c r="N365" t="e">
        <f t="shared" si="69"/>
        <v>#N/A</v>
      </c>
      <c r="O365">
        <f t="shared" si="70"/>
        <v>11.000365</v>
      </c>
      <c r="T365">
        <f>IF(connections!$A365="","",IFERROR(INDEX(games!$B$2:$B$834,MATCH(connections!$A365,games!$A$2:$A$834,0)),""))</f>
        <v>2012</v>
      </c>
      <c r="U365">
        <f>IF(connections!$A365="","",IFERROR(INDEX(games!$B$2:$B$834,MATCH(connections!$B365,games!$A$2:$A$834,0)),""))</f>
        <v>2022</v>
      </c>
      <c r="V365">
        <f t="shared" si="71"/>
        <v>10</v>
      </c>
    </row>
    <row r="366" spans="1:22" x14ac:dyDescent="0.25">
      <c r="A366" t="str">
        <f>IF(games!$A366="","",games!$A366)</f>
        <v>Insurmountable</v>
      </c>
      <c r="B366">
        <f>IF($A366="","",games!$B366)</f>
        <v>2021</v>
      </c>
      <c r="C366" t="str">
        <f>IF($A366="","",games!$C366)</f>
        <v>Strategy</v>
      </c>
      <c r="D366">
        <f>IF($A366="","",COUNTIF(connections!$A$2:$A$1188,$A366)+COUNTIF(connections!$B$2:$B$1188,$A366))</f>
        <v>2</v>
      </c>
      <c r="E366">
        <f t="shared" si="60"/>
        <v>2</v>
      </c>
      <c r="F366">
        <f t="shared" si="61"/>
        <v>26</v>
      </c>
      <c r="G366" t="e">
        <f t="shared" si="62"/>
        <v>#N/A</v>
      </c>
      <c r="H366" t="e">
        <f t="shared" si="63"/>
        <v>#N/A</v>
      </c>
      <c r="I366">
        <f t="shared" si="64"/>
        <v>2021</v>
      </c>
      <c r="J366">
        <f t="shared" si="65"/>
        <v>2.5979999999999999</v>
      </c>
      <c r="K366" t="e">
        <f t="shared" si="66"/>
        <v>#N/A</v>
      </c>
      <c r="L366" t="e">
        <f t="shared" si="67"/>
        <v>#N/A</v>
      </c>
      <c r="M366" t="e">
        <f t="shared" si="68"/>
        <v>#N/A</v>
      </c>
      <c r="N366" t="e">
        <f t="shared" si="69"/>
        <v>#N/A</v>
      </c>
      <c r="O366">
        <f t="shared" si="70"/>
        <v>2.0003660000000001</v>
      </c>
      <c r="T366">
        <f>IF(connections!$A366="","",IFERROR(INDEX(games!$B$2:$B$834,MATCH(connections!$A366,games!$A$2:$A$834,0)),""))</f>
        <v>2012</v>
      </c>
      <c r="U366">
        <f>IF(connections!$A366="","",IFERROR(INDEX(games!$B$2:$B$834,MATCH(connections!$B366,games!$A$2:$A$834,0)),""))</f>
        <v>2021</v>
      </c>
      <c r="V366">
        <f t="shared" si="71"/>
        <v>9</v>
      </c>
    </row>
    <row r="367" spans="1:22" x14ac:dyDescent="0.25">
      <c r="A367" t="str">
        <f>IF(games!$A367="","",games!$A367)</f>
        <v>Into the Breach</v>
      </c>
      <c r="B367">
        <f>IF($A367="","",games!$B367)</f>
        <v>2018</v>
      </c>
      <c r="C367" t="str">
        <f>IF($A367="","",games!$C367)</f>
        <v>Strategy</v>
      </c>
      <c r="D367">
        <f>IF($A367="","",COUNTIF(connections!$A$2:$A$1188,$A367)+COUNTIF(connections!$B$2:$B$1188,$A367))</f>
        <v>21</v>
      </c>
      <c r="E367">
        <f t="shared" si="60"/>
        <v>2</v>
      </c>
      <c r="F367">
        <f t="shared" si="61"/>
        <v>27</v>
      </c>
      <c r="G367" t="e">
        <f t="shared" si="62"/>
        <v>#N/A</v>
      </c>
      <c r="H367" t="e">
        <f t="shared" si="63"/>
        <v>#N/A</v>
      </c>
      <c r="I367">
        <f t="shared" si="64"/>
        <v>2018</v>
      </c>
      <c r="J367">
        <f t="shared" si="65"/>
        <v>2.621</v>
      </c>
      <c r="K367" t="e">
        <f t="shared" si="66"/>
        <v>#N/A</v>
      </c>
      <c r="L367" t="e">
        <f t="shared" si="67"/>
        <v>#N/A</v>
      </c>
      <c r="M367" t="e">
        <f t="shared" si="68"/>
        <v>#N/A</v>
      </c>
      <c r="N367" t="e">
        <f t="shared" si="69"/>
        <v>#N/A</v>
      </c>
      <c r="O367">
        <f t="shared" si="70"/>
        <v>21.000367000000001</v>
      </c>
      <c r="T367">
        <f>IF(connections!$A367="","",IFERROR(INDEX(games!$B$2:$B$834,MATCH(connections!$A367,games!$A$2:$A$834,0)),""))</f>
        <v>2012</v>
      </c>
      <c r="U367">
        <f>IF(connections!$A367="","",IFERROR(INDEX(games!$B$2:$B$834,MATCH(connections!$B367,games!$A$2:$A$834,0)),""))</f>
        <v>2019</v>
      </c>
      <c r="V367">
        <f t="shared" si="71"/>
        <v>7</v>
      </c>
    </row>
    <row r="368" spans="1:22" x14ac:dyDescent="0.25">
      <c r="A368" t="str">
        <f>IF(games!$A368="","",games!$A368)</f>
        <v>Into The Grid</v>
      </c>
      <c r="B368">
        <f>IF($A368="","",games!$B368)</f>
        <v>2025</v>
      </c>
      <c r="C368" t="str">
        <f>IF($A368="","",games!$C368)</f>
        <v>Deckbuilder</v>
      </c>
      <c r="D368">
        <f>IF($A368="","",COUNTIF(connections!$A$2:$A$1188,$A368)+COUNTIF(connections!$B$2:$B$1188,$A368))</f>
        <v>1</v>
      </c>
      <c r="E368">
        <f t="shared" si="60"/>
        <v>3</v>
      </c>
      <c r="F368">
        <f t="shared" si="61"/>
        <v>28</v>
      </c>
      <c r="G368" t="e">
        <f t="shared" si="62"/>
        <v>#N/A</v>
      </c>
      <c r="H368" t="e">
        <f t="shared" si="63"/>
        <v>#N/A</v>
      </c>
      <c r="I368" t="e">
        <f t="shared" si="64"/>
        <v>#N/A</v>
      </c>
      <c r="J368" t="e">
        <f t="shared" si="65"/>
        <v>#N/A</v>
      </c>
      <c r="K368">
        <f t="shared" si="66"/>
        <v>2025</v>
      </c>
      <c r="L368">
        <f t="shared" si="67"/>
        <v>3.6440000000000001</v>
      </c>
      <c r="M368" t="e">
        <f t="shared" si="68"/>
        <v>#N/A</v>
      </c>
      <c r="N368" t="e">
        <f t="shared" si="69"/>
        <v>#N/A</v>
      </c>
      <c r="O368">
        <f t="shared" si="70"/>
        <v>1.0003679999999999</v>
      </c>
      <c r="T368">
        <f>IF(connections!$A368="","",IFERROR(INDEX(games!$B$2:$B$834,MATCH(connections!$A368,games!$A$2:$A$834,0)),""))</f>
        <v>2012</v>
      </c>
      <c r="U368">
        <f>IF(connections!$A368="","",IFERROR(INDEX(games!$B$2:$B$834,MATCH(connections!$B368,games!$A$2:$A$834,0)),""))</f>
        <v>2019</v>
      </c>
      <c r="V368">
        <f t="shared" si="71"/>
        <v>7</v>
      </c>
    </row>
    <row r="369" spans="1:22" x14ac:dyDescent="0.25">
      <c r="A369" t="str">
        <f>IF(games!$A369="","",games!$A369)</f>
        <v>Iratus: Lord of the Dead</v>
      </c>
      <c r="B369">
        <f>IF($A369="","",games!$B369)</f>
        <v>2019</v>
      </c>
      <c r="C369" t="str">
        <f>IF($A369="","",games!$C369)</f>
        <v>Strategy</v>
      </c>
      <c r="D369">
        <f>IF($A369="","",COUNTIF(connections!$A$2:$A$1188,$A369)+COUNTIF(connections!$B$2:$B$1188,$A369))</f>
        <v>2</v>
      </c>
      <c r="E369">
        <f t="shared" si="60"/>
        <v>2</v>
      </c>
      <c r="F369">
        <f t="shared" si="61"/>
        <v>29</v>
      </c>
      <c r="G369" t="e">
        <f t="shared" si="62"/>
        <v>#N/A</v>
      </c>
      <c r="H369" t="e">
        <f t="shared" si="63"/>
        <v>#N/A</v>
      </c>
      <c r="I369">
        <f t="shared" si="64"/>
        <v>2019</v>
      </c>
      <c r="J369">
        <f t="shared" si="65"/>
        <v>2.6669999999999998</v>
      </c>
      <c r="K369" t="e">
        <f t="shared" si="66"/>
        <v>#N/A</v>
      </c>
      <c r="L369" t="e">
        <f t="shared" si="67"/>
        <v>#N/A</v>
      </c>
      <c r="M369" t="e">
        <f t="shared" si="68"/>
        <v>#N/A</v>
      </c>
      <c r="N369" t="e">
        <f t="shared" si="69"/>
        <v>#N/A</v>
      </c>
      <c r="O369">
        <f t="shared" si="70"/>
        <v>2.0003690000000001</v>
      </c>
      <c r="T369">
        <f>IF(connections!$A369="","",IFERROR(INDEX(games!$B$2:$B$834,MATCH(connections!$A369,games!$A$2:$A$834,0)),""))</f>
        <v>2012</v>
      </c>
      <c r="U369">
        <f>IF(connections!$A369="","",IFERROR(INDEX(games!$B$2:$B$834,MATCH(connections!$B369,games!$A$2:$A$834,0)),""))</f>
        <v>2024</v>
      </c>
      <c r="V369">
        <f t="shared" si="71"/>
        <v>12</v>
      </c>
    </row>
    <row r="370" spans="1:22" x14ac:dyDescent="0.25">
      <c r="A370" t="str">
        <f>IF(games!$A370="","",games!$A370)</f>
        <v>Iter Vehemens Ad Necem</v>
      </c>
      <c r="B370">
        <f>IF($A370="","",games!$B370)</f>
        <v>2001</v>
      </c>
      <c r="C370" t="str">
        <f>IF($A370="","",games!$C370)</f>
        <v>Traditional</v>
      </c>
      <c r="D370">
        <f>IF($A370="","",COUNTIF(connections!$A$2:$A$1188,$A370)+COUNTIF(connections!$B$2:$B$1188,$A370))</f>
        <v>2</v>
      </c>
      <c r="E370">
        <f t="shared" si="60"/>
        <v>4</v>
      </c>
      <c r="F370">
        <f t="shared" si="61"/>
        <v>30</v>
      </c>
      <c r="G370" t="e">
        <f t="shared" si="62"/>
        <v>#N/A</v>
      </c>
      <c r="H370" t="e">
        <f t="shared" si="63"/>
        <v>#N/A</v>
      </c>
      <c r="I370" t="e">
        <f t="shared" si="64"/>
        <v>#N/A</v>
      </c>
      <c r="J370" t="e">
        <f t="shared" si="65"/>
        <v>#N/A</v>
      </c>
      <c r="K370" t="e">
        <f t="shared" si="66"/>
        <v>#N/A</v>
      </c>
      <c r="L370" t="e">
        <f t="shared" si="67"/>
        <v>#N/A</v>
      </c>
      <c r="M370">
        <f t="shared" si="68"/>
        <v>2001</v>
      </c>
      <c r="N370">
        <f t="shared" si="69"/>
        <v>4.6899999999999995</v>
      </c>
      <c r="O370">
        <f t="shared" si="70"/>
        <v>2.0003700000000002</v>
      </c>
      <c r="T370">
        <f>IF(connections!$A370="","",IFERROR(INDEX(games!$B$2:$B$834,MATCH(connections!$A370,games!$A$2:$A$834,0)),""))</f>
        <v>2012</v>
      </c>
      <c r="U370">
        <f>IF(connections!$A370="","",IFERROR(INDEX(games!$B$2:$B$834,MATCH(connections!$B370,games!$A$2:$A$834,0)),""))</f>
        <v>2023</v>
      </c>
      <c r="V370">
        <f t="shared" si="71"/>
        <v>11</v>
      </c>
    </row>
    <row r="371" spans="1:22" x14ac:dyDescent="0.25">
      <c r="A371" t="str">
        <f>IF(games!$A371="","",games!$A371)</f>
        <v>Izuna 2: The Unemployed Ninja Returns</v>
      </c>
      <c r="B371">
        <f>IF($A371="","",games!$B371)</f>
        <v>2007</v>
      </c>
      <c r="C371" t="str">
        <f>IF($A371="","",games!$C371)</f>
        <v>Traditional</v>
      </c>
      <c r="D371">
        <f>IF($A371="","",COUNTIF(connections!$A$2:$A$1188,$A371)+COUNTIF(connections!$B$2:$B$1188,$A371))</f>
        <v>1</v>
      </c>
      <c r="E371">
        <f t="shared" si="60"/>
        <v>4</v>
      </c>
      <c r="F371">
        <f t="shared" si="61"/>
        <v>31</v>
      </c>
      <c r="G371" t="e">
        <f t="shared" si="62"/>
        <v>#N/A</v>
      </c>
      <c r="H371" t="e">
        <f t="shared" si="63"/>
        <v>#N/A</v>
      </c>
      <c r="I371" t="e">
        <f t="shared" si="64"/>
        <v>#N/A</v>
      </c>
      <c r="J371" t="e">
        <f t="shared" si="65"/>
        <v>#N/A</v>
      </c>
      <c r="K371" t="e">
        <f t="shared" si="66"/>
        <v>#N/A</v>
      </c>
      <c r="L371" t="e">
        <f t="shared" si="67"/>
        <v>#N/A</v>
      </c>
      <c r="M371">
        <f t="shared" si="68"/>
        <v>2007</v>
      </c>
      <c r="N371">
        <f t="shared" si="69"/>
        <v>4.7130000000000001</v>
      </c>
      <c r="O371">
        <f t="shared" si="70"/>
        <v>1.0003709999999999</v>
      </c>
      <c r="T371">
        <f>IF(connections!$A371="","",IFERROR(INDEX(games!$B$2:$B$834,MATCH(connections!$A371,games!$A$2:$A$834,0)),""))</f>
        <v>2010</v>
      </c>
      <c r="U371">
        <f>IF(connections!$A371="","",IFERROR(INDEX(games!$B$2:$B$834,MATCH(connections!$B371,games!$A$2:$A$834,0)),""))</f>
        <v>2010</v>
      </c>
      <c r="V371">
        <f t="shared" si="71"/>
        <v>0</v>
      </c>
    </row>
    <row r="372" spans="1:22" x14ac:dyDescent="0.25">
      <c r="A372" t="str">
        <f>IF(games!$A372="","",games!$A372)</f>
        <v>Izuna: Legend of the Unemployed Ninja</v>
      </c>
      <c r="B372">
        <f>IF($A372="","",games!$B372)</f>
        <v>2006</v>
      </c>
      <c r="C372" t="str">
        <f>IF($A372="","",games!$C372)</f>
        <v>Traditional</v>
      </c>
      <c r="D372">
        <f>IF($A372="","",COUNTIF(connections!$A$2:$A$1188,$A372)+COUNTIF(connections!$B$2:$B$1188,$A372))</f>
        <v>2</v>
      </c>
      <c r="E372">
        <f t="shared" si="60"/>
        <v>4</v>
      </c>
      <c r="F372">
        <f t="shared" si="61"/>
        <v>32</v>
      </c>
      <c r="G372" t="e">
        <f t="shared" si="62"/>
        <v>#N/A</v>
      </c>
      <c r="H372" t="e">
        <f t="shared" si="63"/>
        <v>#N/A</v>
      </c>
      <c r="I372" t="e">
        <f t="shared" si="64"/>
        <v>#N/A</v>
      </c>
      <c r="J372" t="e">
        <f t="shared" si="65"/>
        <v>#N/A</v>
      </c>
      <c r="K372" t="e">
        <f t="shared" si="66"/>
        <v>#N/A</v>
      </c>
      <c r="L372" t="e">
        <f t="shared" si="67"/>
        <v>#N/A</v>
      </c>
      <c r="M372">
        <f t="shared" si="68"/>
        <v>2006</v>
      </c>
      <c r="N372">
        <f t="shared" si="69"/>
        <v>4.7359999999999998</v>
      </c>
      <c r="O372">
        <f t="shared" si="70"/>
        <v>2.000372</v>
      </c>
      <c r="T372">
        <f>IF(connections!$A372="","",IFERROR(INDEX(games!$B$2:$B$834,MATCH(connections!$A372,games!$A$2:$A$834,0)),""))</f>
        <v>2010</v>
      </c>
      <c r="U372">
        <f>IF(connections!$A372="","",IFERROR(INDEX(games!$B$2:$B$834,MATCH(connections!$B372,games!$A$2:$A$834,0)),""))</f>
        <v>2011</v>
      </c>
      <c r="V372">
        <f t="shared" si="71"/>
        <v>1</v>
      </c>
    </row>
    <row r="373" spans="1:22" x14ac:dyDescent="0.25">
      <c r="A373" t="str">
        <f>IF(games!$A373="","",games!$A373)</f>
        <v>Jotunnslayer: Hordes of Hel</v>
      </c>
      <c r="B373">
        <f>IF($A373="","",games!$B373)</f>
        <v>2025</v>
      </c>
      <c r="C373" t="str">
        <f>IF($A373="","",games!$C373)</f>
        <v>Action</v>
      </c>
      <c r="D373">
        <f>IF($A373="","",COUNTIF(connections!$A$2:$A$1188,$A373)+COUNTIF(connections!$B$2:$B$1188,$A373))</f>
        <v>4</v>
      </c>
      <c r="E373">
        <f t="shared" si="60"/>
        <v>1</v>
      </c>
      <c r="F373">
        <f t="shared" si="61"/>
        <v>33</v>
      </c>
      <c r="G373">
        <f t="shared" si="62"/>
        <v>2025</v>
      </c>
      <c r="H373">
        <f t="shared" si="63"/>
        <v>1.7589999999999999</v>
      </c>
      <c r="I373" t="e">
        <f t="shared" si="64"/>
        <v>#N/A</v>
      </c>
      <c r="J373" t="e">
        <f t="shared" si="65"/>
        <v>#N/A</v>
      </c>
      <c r="K373" t="e">
        <f t="shared" si="66"/>
        <v>#N/A</v>
      </c>
      <c r="L373" t="e">
        <f t="shared" si="67"/>
        <v>#N/A</v>
      </c>
      <c r="M373" t="e">
        <f t="shared" si="68"/>
        <v>#N/A</v>
      </c>
      <c r="N373" t="e">
        <f t="shared" si="69"/>
        <v>#N/A</v>
      </c>
      <c r="O373">
        <f t="shared" si="70"/>
        <v>4.0003729999999997</v>
      </c>
      <c r="T373">
        <f>IF(connections!$A373="","",IFERROR(INDEX(games!$B$2:$B$834,MATCH(connections!$A373,games!$A$2:$A$834,0)),""))</f>
        <v>2010</v>
      </c>
      <c r="U373">
        <f>IF(connections!$A373="","",IFERROR(INDEX(games!$B$2:$B$834,MATCH(connections!$B373,games!$A$2:$A$834,0)),""))</f>
        <v>2011</v>
      </c>
      <c r="V373">
        <f t="shared" si="71"/>
        <v>1</v>
      </c>
    </row>
    <row r="374" spans="1:22" x14ac:dyDescent="0.25">
      <c r="A374" t="str">
        <f>IF(games!$A374="","",games!$A374)</f>
        <v>Juicy Realm</v>
      </c>
      <c r="B374">
        <f>IF($A374="","",games!$B374)</f>
        <v>2018</v>
      </c>
      <c r="C374" t="str">
        <f>IF($A374="","",games!$C374)</f>
        <v>Action</v>
      </c>
      <c r="D374">
        <f>IF($A374="","",COUNTIF(connections!$A$2:$A$1188,$A374)+COUNTIF(connections!$B$2:$B$1188,$A374))</f>
        <v>0</v>
      </c>
      <c r="E374">
        <f t="shared" si="60"/>
        <v>1</v>
      </c>
      <c r="F374">
        <f t="shared" si="61"/>
        <v>0</v>
      </c>
      <c r="G374">
        <f t="shared" si="62"/>
        <v>2018</v>
      </c>
      <c r="H374">
        <f t="shared" si="63"/>
        <v>1</v>
      </c>
      <c r="I374" t="e">
        <f t="shared" si="64"/>
        <v>#N/A</v>
      </c>
      <c r="J374" t="e">
        <f t="shared" si="65"/>
        <v>#N/A</v>
      </c>
      <c r="K374" t="e">
        <f t="shared" si="66"/>
        <v>#N/A</v>
      </c>
      <c r="L374" t="e">
        <f t="shared" si="67"/>
        <v>#N/A</v>
      </c>
      <c r="M374" t="e">
        <f t="shared" si="68"/>
        <v>#N/A</v>
      </c>
      <c r="N374" t="e">
        <f t="shared" si="69"/>
        <v>#N/A</v>
      </c>
      <c r="O374">
        <f t="shared" si="70"/>
        <v>3.7399999999999998E-4</v>
      </c>
      <c r="T374">
        <f>IF(connections!$A374="","",IFERROR(INDEX(games!$B$2:$B$834,MATCH(connections!$A374,games!$A$2:$A$834,0)),""))</f>
        <v>2010</v>
      </c>
      <c r="U374">
        <f>IF(connections!$A374="","",IFERROR(INDEX(games!$B$2:$B$834,MATCH(connections!$B374,games!$A$2:$A$834,0)),""))</f>
        <v>2010</v>
      </c>
      <c r="V374">
        <f t="shared" si="71"/>
        <v>0</v>
      </c>
    </row>
    <row r="375" spans="1:22" x14ac:dyDescent="0.25">
      <c r="A375" t="str">
        <f>IF(games!$A375="","",games!$A375)</f>
        <v>Jupiter Hell</v>
      </c>
      <c r="B375">
        <f>IF($A375="","",games!$B375)</f>
        <v>2019</v>
      </c>
      <c r="C375" t="str">
        <f>IF($A375="","",games!$C375)</f>
        <v>Traditional</v>
      </c>
      <c r="D375">
        <f>IF($A375="","",COUNTIF(connections!$A$2:$A$1188,$A375)+COUNTIF(connections!$B$2:$B$1188,$A375))</f>
        <v>1</v>
      </c>
      <c r="E375">
        <f t="shared" si="60"/>
        <v>4</v>
      </c>
      <c r="F375">
        <f t="shared" si="61"/>
        <v>1</v>
      </c>
      <c r="G375" t="e">
        <f t="shared" si="62"/>
        <v>#N/A</v>
      </c>
      <c r="H375" t="e">
        <f t="shared" si="63"/>
        <v>#N/A</v>
      </c>
      <c r="I375" t="e">
        <f t="shared" si="64"/>
        <v>#N/A</v>
      </c>
      <c r="J375" t="e">
        <f t="shared" si="65"/>
        <v>#N/A</v>
      </c>
      <c r="K375" t="e">
        <f t="shared" si="66"/>
        <v>#N/A</v>
      </c>
      <c r="L375" t="e">
        <f t="shared" si="67"/>
        <v>#N/A</v>
      </c>
      <c r="M375">
        <f t="shared" si="68"/>
        <v>2019</v>
      </c>
      <c r="N375">
        <f t="shared" si="69"/>
        <v>4.0229999999999997</v>
      </c>
      <c r="O375">
        <f t="shared" si="70"/>
        <v>1.000375</v>
      </c>
      <c r="T375">
        <f>IF(connections!$A375="","",IFERROR(INDEX(games!$B$2:$B$834,MATCH(connections!$A375,games!$A$2:$A$834,0)),""))</f>
        <v>2014</v>
      </c>
      <c r="U375">
        <f>IF(connections!$A375="","",IFERROR(INDEX(games!$B$2:$B$834,MATCH(connections!$B375,games!$A$2:$A$834,0)),""))</f>
        <v>2024</v>
      </c>
      <c r="V375">
        <f t="shared" si="71"/>
        <v>10</v>
      </c>
    </row>
    <row r="376" spans="1:22" x14ac:dyDescent="0.25">
      <c r="A376" t="str">
        <f>IF(games!$A376="","",games!$A376)</f>
        <v>Just King</v>
      </c>
      <c r="B376">
        <f>IF($A376="","",games!$B376)</f>
        <v>2023</v>
      </c>
      <c r="C376" t="str">
        <f>IF($A376="","",games!$C376)</f>
        <v>Action</v>
      </c>
      <c r="D376">
        <f>IF($A376="","",COUNTIF(connections!$A$2:$A$1188,$A376)+COUNTIF(connections!$B$2:$B$1188,$A376))</f>
        <v>1</v>
      </c>
      <c r="E376">
        <f t="shared" si="60"/>
        <v>1</v>
      </c>
      <c r="F376">
        <f t="shared" si="61"/>
        <v>2</v>
      </c>
      <c r="G376">
        <f t="shared" si="62"/>
        <v>2023</v>
      </c>
      <c r="H376">
        <f t="shared" si="63"/>
        <v>1.046</v>
      </c>
      <c r="I376" t="e">
        <f t="shared" si="64"/>
        <v>#N/A</v>
      </c>
      <c r="J376" t="e">
        <f t="shared" si="65"/>
        <v>#N/A</v>
      </c>
      <c r="K376" t="e">
        <f t="shared" si="66"/>
        <v>#N/A</v>
      </c>
      <c r="L376" t="e">
        <f t="shared" si="67"/>
        <v>#N/A</v>
      </c>
      <c r="M376" t="e">
        <f t="shared" si="68"/>
        <v>#N/A</v>
      </c>
      <c r="N376" t="e">
        <f t="shared" si="69"/>
        <v>#N/A</v>
      </c>
      <c r="O376">
        <f t="shared" si="70"/>
        <v>1.0003759999999999</v>
      </c>
      <c r="T376">
        <f>IF(connections!$A376="","",IFERROR(INDEX(games!$B$2:$B$834,MATCH(connections!$A376,games!$A$2:$A$834,0)),""))</f>
        <v>2002</v>
      </c>
      <c r="U376">
        <f>IF(connections!$A376="","",IFERROR(INDEX(games!$B$2:$B$834,MATCH(connections!$B376,games!$A$2:$A$834,0)),""))</f>
        <v>2007</v>
      </c>
      <c r="V376">
        <f t="shared" si="71"/>
        <v>5</v>
      </c>
    </row>
    <row r="377" spans="1:22" x14ac:dyDescent="0.25">
      <c r="A377" t="str">
        <f>IF(games!$A377="","",games!$A377)</f>
        <v>Kādomon: Hyper Auto Battlers</v>
      </c>
      <c r="B377">
        <f>IF($A377="","",games!$B377)</f>
        <v>2024</v>
      </c>
      <c r="C377" t="str">
        <f>IF($A377="","",games!$C377)</f>
        <v>Strategy</v>
      </c>
      <c r="D377">
        <f>IF($A377="","",COUNTIF(connections!$A$2:$A$1188,$A377)+COUNTIF(connections!$B$2:$B$1188,$A377))</f>
        <v>3</v>
      </c>
      <c r="E377">
        <f t="shared" si="60"/>
        <v>2</v>
      </c>
      <c r="F377">
        <f t="shared" si="61"/>
        <v>3</v>
      </c>
      <c r="G377" t="e">
        <f t="shared" si="62"/>
        <v>#N/A</v>
      </c>
      <c r="H377" t="e">
        <f t="shared" si="63"/>
        <v>#N/A</v>
      </c>
      <c r="I377">
        <f t="shared" si="64"/>
        <v>2024</v>
      </c>
      <c r="J377">
        <f t="shared" si="65"/>
        <v>2.069</v>
      </c>
      <c r="K377" t="e">
        <f t="shared" si="66"/>
        <v>#N/A</v>
      </c>
      <c r="L377" t="e">
        <f t="shared" si="67"/>
        <v>#N/A</v>
      </c>
      <c r="M377" t="e">
        <f t="shared" si="68"/>
        <v>#N/A</v>
      </c>
      <c r="N377" t="e">
        <f t="shared" si="69"/>
        <v>#N/A</v>
      </c>
      <c r="O377">
        <f t="shared" si="70"/>
        <v>3.0003769999999998</v>
      </c>
      <c r="T377">
        <f>IF(connections!$A377="","",IFERROR(INDEX(games!$B$2:$B$834,MATCH(connections!$A377,games!$A$2:$A$834,0)),""))</f>
        <v>2007</v>
      </c>
      <c r="U377">
        <f>IF(connections!$A377="","",IFERROR(INDEX(games!$B$2:$B$834,MATCH(connections!$B377,games!$A$2:$A$834,0)),""))</f>
        <v>2022</v>
      </c>
      <c r="V377">
        <f t="shared" si="71"/>
        <v>15</v>
      </c>
    </row>
    <row r="378" spans="1:22" x14ac:dyDescent="0.25">
      <c r="A378" t="str">
        <f>IF(games!$A378="","",games!$A378)</f>
        <v>Katanaut</v>
      </c>
      <c r="B378">
        <f>IF($A378="","",games!$B378)</f>
        <v>2025</v>
      </c>
      <c r="C378" t="str">
        <f>IF($A378="","",games!$C378)</f>
        <v>Action</v>
      </c>
      <c r="D378">
        <f>IF($A378="","",COUNTIF(connections!$A$2:$A$1188,$A378)+COUNTIF(connections!$B$2:$B$1188,$A378))</f>
        <v>1</v>
      </c>
      <c r="E378">
        <f t="shared" si="60"/>
        <v>1</v>
      </c>
      <c r="F378">
        <f t="shared" si="61"/>
        <v>4</v>
      </c>
      <c r="G378">
        <f t="shared" si="62"/>
        <v>2025</v>
      </c>
      <c r="H378">
        <f t="shared" si="63"/>
        <v>1.0920000000000001</v>
      </c>
      <c r="I378" t="e">
        <f t="shared" si="64"/>
        <v>#N/A</v>
      </c>
      <c r="J378" t="e">
        <f t="shared" si="65"/>
        <v>#N/A</v>
      </c>
      <c r="K378" t="e">
        <f t="shared" si="66"/>
        <v>#N/A</v>
      </c>
      <c r="L378" t="e">
        <f t="shared" si="67"/>
        <v>#N/A</v>
      </c>
      <c r="M378" t="e">
        <f t="shared" si="68"/>
        <v>#N/A</v>
      </c>
      <c r="N378" t="e">
        <f t="shared" si="69"/>
        <v>#N/A</v>
      </c>
      <c r="O378">
        <f t="shared" si="70"/>
        <v>1.000378</v>
      </c>
      <c r="T378">
        <f>IF(connections!$A378="","",IFERROR(INDEX(games!$B$2:$B$834,MATCH(connections!$A378,games!$A$2:$A$834,0)),""))</f>
        <v>2024</v>
      </c>
      <c r="U378">
        <f>IF(connections!$A378="","",IFERROR(INDEX(games!$B$2:$B$834,MATCH(connections!$B378,games!$A$2:$A$834,0)),""))</f>
        <v>2025</v>
      </c>
      <c r="V378">
        <f t="shared" si="71"/>
        <v>1</v>
      </c>
    </row>
    <row r="379" spans="1:22" x14ac:dyDescent="0.25">
      <c r="A379" t="str">
        <f>IF(games!$A379="","",games!$A379)</f>
        <v>KeeperRL</v>
      </c>
      <c r="B379">
        <f>IF($A379="","",games!$B379)</f>
        <v>2015</v>
      </c>
      <c r="C379" t="str">
        <f>IF($A379="","",games!$C379)</f>
        <v>Traditional</v>
      </c>
      <c r="D379">
        <f>IF($A379="","",COUNTIF(connections!$A$2:$A$1188,$A379)+COUNTIF(connections!$B$2:$B$1188,$A379))</f>
        <v>3</v>
      </c>
      <c r="E379">
        <f t="shared" si="60"/>
        <v>4</v>
      </c>
      <c r="F379">
        <f t="shared" si="61"/>
        <v>5</v>
      </c>
      <c r="G379" t="e">
        <f t="shared" si="62"/>
        <v>#N/A</v>
      </c>
      <c r="H379" t="e">
        <f t="shared" si="63"/>
        <v>#N/A</v>
      </c>
      <c r="I379" t="e">
        <f t="shared" si="64"/>
        <v>#N/A</v>
      </c>
      <c r="J379" t="e">
        <f t="shared" si="65"/>
        <v>#N/A</v>
      </c>
      <c r="K379" t="e">
        <f t="shared" si="66"/>
        <v>#N/A</v>
      </c>
      <c r="L379" t="e">
        <f t="shared" si="67"/>
        <v>#N/A</v>
      </c>
      <c r="M379">
        <f t="shared" si="68"/>
        <v>2015</v>
      </c>
      <c r="N379">
        <f t="shared" si="69"/>
        <v>4.1150000000000002</v>
      </c>
      <c r="O379">
        <f t="shared" si="70"/>
        <v>3.0003790000000001</v>
      </c>
      <c r="T379">
        <f>IF(connections!$A379="","",IFERROR(INDEX(games!$B$2:$B$834,MATCH(connections!$A379,games!$A$2:$A$834,0)),""))</f>
        <v>2020</v>
      </c>
      <c r="U379">
        <f>IF(connections!$A379="","",IFERROR(INDEX(games!$B$2:$B$834,MATCH(connections!$B379,games!$A$2:$A$834,0)),""))</f>
        <v>2023</v>
      </c>
      <c r="V379">
        <f t="shared" si="71"/>
        <v>3</v>
      </c>
    </row>
    <row r="380" spans="1:22" x14ac:dyDescent="0.25">
      <c r="A380" t="str">
        <f>IF(games!$A380="","",games!$A380)</f>
        <v>Keeper's Toll</v>
      </c>
      <c r="B380">
        <f>IF($A380="","",games!$B380)</f>
        <v>2023</v>
      </c>
      <c r="C380" t="str">
        <f>IF($A380="","",games!$C380)</f>
        <v>Action</v>
      </c>
      <c r="D380">
        <f>IF($A380="","",COUNTIF(connections!$A$2:$A$1188,$A380)+COUNTIF(connections!$B$2:$B$1188,$A380))</f>
        <v>1</v>
      </c>
      <c r="E380">
        <f t="shared" si="60"/>
        <v>1</v>
      </c>
      <c r="F380">
        <f t="shared" si="61"/>
        <v>6</v>
      </c>
      <c r="G380">
        <f t="shared" si="62"/>
        <v>2023</v>
      </c>
      <c r="H380">
        <f t="shared" si="63"/>
        <v>1.1379999999999999</v>
      </c>
      <c r="I380" t="e">
        <f t="shared" si="64"/>
        <v>#N/A</v>
      </c>
      <c r="J380" t="e">
        <f t="shared" si="65"/>
        <v>#N/A</v>
      </c>
      <c r="K380" t="e">
        <f t="shared" si="66"/>
        <v>#N/A</v>
      </c>
      <c r="L380" t="e">
        <f t="shared" si="67"/>
        <v>#N/A</v>
      </c>
      <c r="M380" t="e">
        <f t="shared" si="68"/>
        <v>#N/A</v>
      </c>
      <c r="N380" t="e">
        <f t="shared" si="69"/>
        <v>#N/A</v>
      </c>
      <c r="O380">
        <f t="shared" si="70"/>
        <v>1.00038</v>
      </c>
      <c r="T380">
        <f>IF(connections!$A380="","",IFERROR(INDEX(games!$B$2:$B$834,MATCH(connections!$A380,games!$A$2:$A$834,0)),""))</f>
        <v>2016</v>
      </c>
      <c r="U380">
        <f>IF(connections!$A380="","",IFERROR(INDEX(games!$B$2:$B$834,MATCH(connections!$B380,games!$A$2:$A$834,0)),""))</f>
        <v>2020</v>
      </c>
      <c r="V380">
        <f t="shared" si="71"/>
        <v>4</v>
      </c>
    </row>
    <row r="381" spans="1:22" x14ac:dyDescent="0.25">
      <c r="A381" t="str">
        <f>IF(games!$A381="","",games!$A381)</f>
        <v>Kill the Brickman</v>
      </c>
      <c r="B381">
        <f>IF($A381="","",games!$B381)</f>
        <v>2025</v>
      </c>
      <c r="C381" t="str">
        <f>IF($A381="","",games!$C381)</f>
        <v>Strategy</v>
      </c>
      <c r="D381">
        <f>IF($A381="","",COUNTIF(connections!$A$2:$A$1188,$A381)+COUNTIF(connections!$B$2:$B$1188,$A381))</f>
        <v>0</v>
      </c>
      <c r="E381">
        <f t="shared" si="60"/>
        <v>2</v>
      </c>
      <c r="F381">
        <f t="shared" si="61"/>
        <v>7</v>
      </c>
      <c r="G381" t="e">
        <f t="shared" si="62"/>
        <v>#N/A</v>
      </c>
      <c r="H381" t="e">
        <f t="shared" si="63"/>
        <v>#N/A</v>
      </c>
      <c r="I381">
        <f t="shared" si="64"/>
        <v>2025</v>
      </c>
      <c r="J381">
        <f t="shared" si="65"/>
        <v>2.161</v>
      </c>
      <c r="K381" t="e">
        <f t="shared" si="66"/>
        <v>#N/A</v>
      </c>
      <c r="L381" t="e">
        <f t="shared" si="67"/>
        <v>#N/A</v>
      </c>
      <c r="M381" t="e">
        <f t="shared" si="68"/>
        <v>#N/A</v>
      </c>
      <c r="N381" t="e">
        <f t="shared" si="69"/>
        <v>#N/A</v>
      </c>
      <c r="O381">
        <f t="shared" si="70"/>
        <v>3.8099999999999999E-4</v>
      </c>
      <c r="T381">
        <f>IF(connections!$A381="","",IFERROR(INDEX(games!$B$2:$B$834,MATCH(connections!$A381,games!$A$2:$A$834,0)),""))</f>
        <v>2020</v>
      </c>
      <c r="U381">
        <f>IF(connections!$A381="","",IFERROR(INDEX(games!$B$2:$B$834,MATCH(connections!$B381,games!$A$2:$A$834,0)),""))</f>
        <v>2023</v>
      </c>
      <c r="V381">
        <f t="shared" si="71"/>
        <v>3</v>
      </c>
    </row>
    <row r="382" spans="1:22" x14ac:dyDescent="0.25">
      <c r="A382" t="str">
        <f>IF(games!$A382="","",games!$A382)</f>
        <v>Kill The Music</v>
      </c>
      <c r="B382">
        <f>IF($A382="","",games!$B382)</f>
        <v>2025</v>
      </c>
      <c r="C382" t="str">
        <f>IF($A382="","",games!$C382)</f>
        <v>Action</v>
      </c>
      <c r="D382">
        <f>IF($A382="","",COUNTIF(connections!$A$2:$A$1188,$A382)+COUNTIF(connections!$B$2:$B$1188,$A382))</f>
        <v>4</v>
      </c>
      <c r="E382">
        <f t="shared" si="60"/>
        <v>1</v>
      </c>
      <c r="F382">
        <f t="shared" si="61"/>
        <v>8</v>
      </c>
      <c r="G382">
        <f t="shared" si="62"/>
        <v>2025</v>
      </c>
      <c r="H382">
        <f t="shared" si="63"/>
        <v>1.1839999999999999</v>
      </c>
      <c r="I382" t="e">
        <f t="shared" si="64"/>
        <v>#N/A</v>
      </c>
      <c r="J382" t="e">
        <f t="shared" si="65"/>
        <v>#N/A</v>
      </c>
      <c r="K382" t="e">
        <f t="shared" si="66"/>
        <v>#N/A</v>
      </c>
      <c r="L382" t="e">
        <f t="shared" si="67"/>
        <v>#N/A</v>
      </c>
      <c r="M382" t="e">
        <f t="shared" si="68"/>
        <v>#N/A</v>
      </c>
      <c r="N382" t="e">
        <f t="shared" si="69"/>
        <v>#N/A</v>
      </c>
      <c r="O382">
        <f t="shared" si="70"/>
        <v>4.0003820000000001</v>
      </c>
      <c r="T382">
        <f>IF(connections!$A382="","",IFERROR(INDEX(games!$B$2:$B$834,MATCH(connections!$A382,games!$A$2:$A$834,0)),""))</f>
        <v>2021</v>
      </c>
      <c r="U382">
        <f>IF(connections!$A382="","",IFERROR(INDEX(games!$B$2:$B$834,MATCH(connections!$B382,games!$A$2:$A$834,0)),""))</f>
        <v>2024</v>
      </c>
      <c r="V382">
        <f t="shared" si="71"/>
        <v>3</v>
      </c>
    </row>
    <row r="383" spans="1:22" x14ac:dyDescent="0.25">
      <c r="A383" t="str">
        <f>IF(games!$A383="","",games!$A383)</f>
        <v>Kingdom: New Lands</v>
      </c>
      <c r="B383">
        <f>IF($A383="","",games!$B383)</f>
        <v>2016</v>
      </c>
      <c r="C383" t="str">
        <f>IF($A383="","",games!$C383)</f>
        <v>Strategy</v>
      </c>
      <c r="D383">
        <f>IF($A383="","",COUNTIF(connections!$A$2:$A$1188,$A383)+COUNTIF(connections!$B$2:$B$1188,$A383))</f>
        <v>3</v>
      </c>
      <c r="E383">
        <f t="shared" si="60"/>
        <v>2</v>
      </c>
      <c r="F383">
        <f t="shared" si="61"/>
        <v>9</v>
      </c>
      <c r="G383" t="e">
        <f t="shared" si="62"/>
        <v>#N/A</v>
      </c>
      <c r="H383" t="e">
        <f t="shared" si="63"/>
        <v>#N/A</v>
      </c>
      <c r="I383">
        <f t="shared" si="64"/>
        <v>2016</v>
      </c>
      <c r="J383">
        <f t="shared" si="65"/>
        <v>2.2069999999999999</v>
      </c>
      <c r="K383" t="e">
        <f t="shared" si="66"/>
        <v>#N/A</v>
      </c>
      <c r="L383" t="e">
        <f t="shared" si="67"/>
        <v>#N/A</v>
      </c>
      <c r="M383" t="e">
        <f t="shared" si="68"/>
        <v>#N/A</v>
      </c>
      <c r="N383" t="e">
        <f t="shared" si="69"/>
        <v>#N/A</v>
      </c>
      <c r="O383">
        <f t="shared" si="70"/>
        <v>3.0003829999999998</v>
      </c>
      <c r="T383">
        <f>IF(connections!$A383="","",IFERROR(INDEX(games!$B$2:$B$834,MATCH(connections!$A383,games!$A$2:$A$834,0)),""))</f>
        <v>2015</v>
      </c>
      <c r="U383">
        <f>IF(connections!$A383="","",IFERROR(INDEX(games!$B$2:$B$834,MATCH(connections!$B383,games!$A$2:$A$834,0)),""))</f>
        <v>2019</v>
      </c>
      <c r="V383">
        <f t="shared" si="71"/>
        <v>4</v>
      </c>
    </row>
    <row r="384" spans="1:22" x14ac:dyDescent="0.25">
      <c r="A384" t="str">
        <f>IF(games!$A384="","",games!$A384)</f>
        <v>Kitty Survivors: Rogues of Catmere</v>
      </c>
      <c r="B384">
        <f>IF($A384="","",games!$B384)</f>
        <v>2023</v>
      </c>
      <c r="C384" t="str">
        <f>IF($A384="","",games!$C384)</f>
        <v>Action</v>
      </c>
      <c r="D384">
        <f>IF($A384="","",COUNTIF(connections!$A$2:$A$1188,$A384)+COUNTIF(connections!$B$2:$B$1188,$A384))</f>
        <v>1</v>
      </c>
      <c r="E384">
        <f t="shared" si="60"/>
        <v>1</v>
      </c>
      <c r="F384">
        <f t="shared" si="61"/>
        <v>10</v>
      </c>
      <c r="G384">
        <f t="shared" si="62"/>
        <v>2023</v>
      </c>
      <c r="H384">
        <f t="shared" si="63"/>
        <v>1.23</v>
      </c>
      <c r="I384" t="e">
        <f t="shared" si="64"/>
        <v>#N/A</v>
      </c>
      <c r="J384" t="e">
        <f t="shared" si="65"/>
        <v>#N/A</v>
      </c>
      <c r="K384" t="e">
        <f t="shared" si="66"/>
        <v>#N/A</v>
      </c>
      <c r="L384" t="e">
        <f t="shared" si="67"/>
        <v>#N/A</v>
      </c>
      <c r="M384" t="e">
        <f t="shared" si="68"/>
        <v>#N/A</v>
      </c>
      <c r="N384" t="e">
        <f t="shared" si="69"/>
        <v>#N/A</v>
      </c>
      <c r="O384">
        <f t="shared" si="70"/>
        <v>1.0003839999999999</v>
      </c>
      <c r="T384">
        <f>IF(connections!$A384="","",IFERROR(INDEX(games!$B$2:$B$834,MATCH(connections!$A384,games!$A$2:$A$834,0)),""))</f>
        <v>2020</v>
      </c>
      <c r="U384">
        <f>IF(connections!$A384="","",IFERROR(INDEX(games!$B$2:$B$834,MATCH(connections!$B384,games!$A$2:$A$834,0)),""))</f>
        <v>2025</v>
      </c>
      <c r="V384">
        <f t="shared" si="71"/>
        <v>5</v>
      </c>
    </row>
    <row r="385" spans="1:22" x14ac:dyDescent="0.25">
      <c r="A385" t="str">
        <f>IF(games!$A385="","",games!$A385)</f>
        <v>Knightica</v>
      </c>
      <c r="B385">
        <f>IF($A385="","",games!$B385)</f>
        <v>2025</v>
      </c>
      <c r="C385" t="str">
        <f>IF($A385="","",games!$C385)</f>
        <v>Strategy</v>
      </c>
      <c r="D385">
        <f>IF($A385="","",COUNTIF(connections!$A$2:$A$1188,$A385)+COUNTIF(connections!$B$2:$B$1188,$A385))</f>
        <v>3</v>
      </c>
      <c r="E385">
        <f t="shared" si="60"/>
        <v>2</v>
      </c>
      <c r="F385">
        <f t="shared" si="61"/>
        <v>11</v>
      </c>
      <c r="G385" t="e">
        <f t="shared" si="62"/>
        <v>#N/A</v>
      </c>
      <c r="H385" t="e">
        <f t="shared" si="63"/>
        <v>#N/A</v>
      </c>
      <c r="I385">
        <f t="shared" si="64"/>
        <v>2025</v>
      </c>
      <c r="J385">
        <f t="shared" si="65"/>
        <v>2.2530000000000001</v>
      </c>
      <c r="K385" t="e">
        <f t="shared" si="66"/>
        <v>#N/A</v>
      </c>
      <c r="L385" t="e">
        <f t="shared" si="67"/>
        <v>#N/A</v>
      </c>
      <c r="M385" t="e">
        <f t="shared" si="68"/>
        <v>#N/A</v>
      </c>
      <c r="N385" t="e">
        <f t="shared" si="69"/>
        <v>#N/A</v>
      </c>
      <c r="O385">
        <f t="shared" si="70"/>
        <v>3.0003850000000001</v>
      </c>
      <c r="T385">
        <f>IF(connections!$A385="","",IFERROR(INDEX(games!$B$2:$B$834,MATCH(connections!$A385,games!$A$2:$A$834,0)),""))</f>
        <v>2020</v>
      </c>
      <c r="U385">
        <f>IF(connections!$A385="","",IFERROR(INDEX(games!$B$2:$B$834,MATCH(connections!$B385,games!$A$2:$A$834,0)),""))</f>
        <v>2025</v>
      </c>
      <c r="V385">
        <f t="shared" si="71"/>
        <v>5</v>
      </c>
    </row>
    <row r="386" spans="1:22" x14ac:dyDescent="0.25">
      <c r="A386" t="str">
        <f>IF(games!$A386="","",games!$A386)</f>
        <v>Knights in Tight Spaces</v>
      </c>
      <c r="B386">
        <f>IF($A386="","",games!$B386)</f>
        <v>2025</v>
      </c>
      <c r="C386" t="str">
        <f>IF($A386="","",games!$C386)</f>
        <v>Deckbuilder</v>
      </c>
      <c r="D386">
        <f>IF($A386="","",COUNTIF(connections!$A$2:$A$1188,$A386)+COUNTIF(connections!$B$2:$B$1188,$A386))</f>
        <v>1</v>
      </c>
      <c r="E386">
        <f t="shared" ref="E386:E449" si="72">IF($A386="","",IFERROR(MATCH($C386,$R$2:$R$5,0),0))</f>
        <v>3</v>
      </c>
      <c r="F386">
        <f t="shared" ref="F386:F449" si="73">IF($A386="","",MOD(ROW(),34))</f>
        <v>12</v>
      </c>
      <c r="G386" t="e">
        <f t="shared" ref="G386:G449" si="74">IF($A386="",NA(),IF($C386="Action",$B386,NA()))</f>
        <v>#N/A</v>
      </c>
      <c r="H386" t="e">
        <f t="shared" ref="H386:H449" si="75">IF($A386="",NA(),IF($C386="Action",1+$F386*0.023,NA()))</f>
        <v>#N/A</v>
      </c>
      <c r="I386" t="e">
        <f t="shared" ref="I386:I449" si="76">IF($A386="",NA(),IF($C386="Strategy",$B386,NA()))</f>
        <v>#N/A</v>
      </c>
      <c r="J386" t="e">
        <f t="shared" ref="J386:J449" si="77">IF($A386="",NA(),IF($C386="Strategy",2+$F386*0.023,NA()))</f>
        <v>#N/A</v>
      </c>
      <c r="K386">
        <f t="shared" ref="K386:K449" si="78">IF($A386="",NA(),IF($C386="Deckbuilder",$B386,NA()))</f>
        <v>2025</v>
      </c>
      <c r="L386">
        <f t="shared" ref="L386:L449" si="79">IF($A386="",NA(),IF($C386="Deckbuilder",3+$F386*0.023,NA()))</f>
        <v>3.2759999999999998</v>
      </c>
      <c r="M386" t="e">
        <f t="shared" ref="M386:M449" si="80">IF($A386="",NA(),IF($C386="Traditional",$B386,NA()))</f>
        <v>#N/A</v>
      </c>
      <c r="N386" t="e">
        <f t="shared" ref="N386:N449" si="81">IF($A386="",NA(),IF($C386="Traditional",4+$F386*0.023,NA()))</f>
        <v>#N/A</v>
      </c>
      <c r="O386">
        <f t="shared" ref="O386:O449" si="82">IF($A386="","",$D386+ROW()/1000000)</f>
        <v>1.000386</v>
      </c>
      <c r="T386">
        <f>IF(connections!$A386="","",IFERROR(INDEX(games!$B$2:$B$834,MATCH(connections!$A386,games!$A$2:$A$834,0)),""))</f>
        <v>2020</v>
      </c>
      <c r="U386">
        <f>IF(connections!$A386="","",IFERROR(INDEX(games!$B$2:$B$834,MATCH(connections!$B386,games!$A$2:$A$834,0)),""))</f>
        <v>2020</v>
      </c>
      <c r="V386">
        <f t="shared" ref="V386:V449" si="83">IF(OR($T386="",$U386=""),"",$U386-$T386)</f>
        <v>0</v>
      </c>
    </row>
    <row r="387" spans="1:22" x14ac:dyDescent="0.25">
      <c r="A387" t="str">
        <f>IF(games!$A387="","",games!$A387)</f>
        <v>Knock on the Coffin Lid</v>
      </c>
      <c r="B387">
        <f>IF($A387="","",games!$B387)</f>
        <v>2020</v>
      </c>
      <c r="C387" t="str">
        <f>IF($A387="","",games!$C387)</f>
        <v>Deckbuilder</v>
      </c>
      <c r="D387">
        <f>IF($A387="","",COUNTIF(connections!$A$2:$A$1188,$A387)+COUNTIF(connections!$B$2:$B$1188,$A387))</f>
        <v>1</v>
      </c>
      <c r="E387">
        <f t="shared" si="72"/>
        <v>3</v>
      </c>
      <c r="F387">
        <f t="shared" si="73"/>
        <v>13</v>
      </c>
      <c r="G387" t="e">
        <f t="shared" si="74"/>
        <v>#N/A</v>
      </c>
      <c r="H387" t="e">
        <f t="shared" si="75"/>
        <v>#N/A</v>
      </c>
      <c r="I387" t="e">
        <f t="shared" si="76"/>
        <v>#N/A</v>
      </c>
      <c r="J387" t="e">
        <f t="shared" si="77"/>
        <v>#N/A</v>
      </c>
      <c r="K387">
        <f t="shared" si="78"/>
        <v>2020</v>
      </c>
      <c r="L387">
        <f t="shared" si="79"/>
        <v>3.2989999999999999</v>
      </c>
      <c r="M387" t="e">
        <f t="shared" si="80"/>
        <v>#N/A</v>
      </c>
      <c r="N387" t="e">
        <f t="shared" si="81"/>
        <v>#N/A</v>
      </c>
      <c r="O387">
        <f t="shared" si="82"/>
        <v>1.0003869999999999</v>
      </c>
      <c r="T387">
        <f>IF(connections!$A387="","",IFERROR(INDEX(games!$B$2:$B$834,MATCH(connections!$A387,games!$A$2:$A$834,0)),""))</f>
        <v>2020</v>
      </c>
      <c r="U387">
        <f>IF(connections!$A387="","",IFERROR(INDEX(games!$B$2:$B$834,MATCH(connections!$B387,games!$A$2:$A$834,0)),""))</f>
        <v>2024</v>
      </c>
      <c r="V387">
        <f t="shared" si="83"/>
        <v>4</v>
      </c>
    </row>
    <row r="388" spans="1:22" x14ac:dyDescent="0.25">
      <c r="A388" t="str">
        <f>IF(games!$A388="","",games!$A388)</f>
        <v>Labyrinth of Legendary Loot</v>
      </c>
      <c r="B388">
        <f>IF($A388="","",games!$B388)</f>
        <v>2020</v>
      </c>
      <c r="C388" t="str">
        <f>IF($A388="","",games!$C388)</f>
        <v>Traditional</v>
      </c>
      <c r="D388">
        <f>IF($A388="","",COUNTIF(connections!$A$2:$A$1188,$A388)+COUNTIF(connections!$B$2:$B$1188,$A388))</f>
        <v>3</v>
      </c>
      <c r="E388">
        <f t="shared" si="72"/>
        <v>4</v>
      </c>
      <c r="F388">
        <f t="shared" si="73"/>
        <v>14</v>
      </c>
      <c r="G388" t="e">
        <f t="shared" si="74"/>
        <v>#N/A</v>
      </c>
      <c r="H388" t="e">
        <f t="shared" si="75"/>
        <v>#N/A</v>
      </c>
      <c r="I388" t="e">
        <f t="shared" si="76"/>
        <v>#N/A</v>
      </c>
      <c r="J388" t="e">
        <f t="shared" si="77"/>
        <v>#N/A</v>
      </c>
      <c r="K388" t="e">
        <f t="shared" si="78"/>
        <v>#N/A</v>
      </c>
      <c r="L388" t="e">
        <f t="shared" si="79"/>
        <v>#N/A</v>
      </c>
      <c r="M388">
        <f t="shared" si="80"/>
        <v>2020</v>
      </c>
      <c r="N388">
        <f t="shared" si="81"/>
        <v>4.3220000000000001</v>
      </c>
      <c r="O388">
        <f t="shared" si="82"/>
        <v>3.0003880000000001</v>
      </c>
      <c r="T388">
        <f>IF(connections!$A388="","",IFERROR(INDEX(games!$B$2:$B$834,MATCH(connections!$A388,games!$A$2:$A$834,0)),""))</f>
        <v>2022</v>
      </c>
      <c r="U388">
        <f>IF(connections!$A388="","",IFERROR(INDEX(games!$B$2:$B$834,MATCH(connections!$B388,games!$A$2:$A$834,0)),""))</f>
        <v>2025</v>
      </c>
      <c r="V388">
        <f t="shared" si="83"/>
        <v>3</v>
      </c>
    </row>
    <row r="389" spans="1:22" x14ac:dyDescent="0.25">
      <c r="A389" t="str">
        <f>IF(games!$A389="","",games!$A389)</f>
        <v>Lake of Creatures</v>
      </c>
      <c r="B389">
        <f>IF($A389="","",games!$B389)</f>
        <v>2024</v>
      </c>
      <c r="C389" t="str">
        <f>IF($A389="","",games!$C389)</f>
        <v>Action</v>
      </c>
      <c r="D389">
        <f>IF($A389="","",COUNTIF(connections!$A$2:$A$1188,$A389)+COUNTIF(connections!$B$2:$B$1188,$A389))</f>
        <v>2</v>
      </c>
      <c r="E389">
        <f t="shared" si="72"/>
        <v>1</v>
      </c>
      <c r="F389">
        <f t="shared" si="73"/>
        <v>15</v>
      </c>
      <c r="G389">
        <f t="shared" si="74"/>
        <v>2024</v>
      </c>
      <c r="H389">
        <f t="shared" si="75"/>
        <v>1.345</v>
      </c>
      <c r="I389" t="e">
        <f t="shared" si="76"/>
        <v>#N/A</v>
      </c>
      <c r="J389" t="e">
        <f t="shared" si="77"/>
        <v>#N/A</v>
      </c>
      <c r="K389" t="e">
        <f t="shared" si="78"/>
        <v>#N/A</v>
      </c>
      <c r="L389" t="e">
        <f t="shared" si="79"/>
        <v>#N/A</v>
      </c>
      <c r="M389" t="e">
        <f t="shared" si="80"/>
        <v>#N/A</v>
      </c>
      <c r="N389" t="e">
        <f t="shared" si="81"/>
        <v>#N/A</v>
      </c>
      <c r="O389">
        <f t="shared" si="82"/>
        <v>2.0003890000000002</v>
      </c>
      <c r="T389">
        <f>IF(connections!$A389="","",IFERROR(INDEX(games!$B$2:$B$834,MATCH(connections!$A389,games!$A$2:$A$834,0)),""))</f>
        <v>1984</v>
      </c>
      <c r="U389">
        <f>IF(connections!$A389="","",IFERROR(INDEX(games!$B$2:$B$834,MATCH(connections!$B389,games!$A$2:$A$834,0)),""))</f>
        <v>1994</v>
      </c>
      <c r="V389">
        <f t="shared" si="83"/>
        <v>10</v>
      </c>
    </row>
    <row r="390" spans="1:22" x14ac:dyDescent="0.25">
      <c r="A390" t="str">
        <f>IF(games!$A390="","",games!$A390)</f>
        <v>LambdaRogue: The Book of Stars</v>
      </c>
      <c r="B390">
        <f>IF($A390="","",games!$B390)</f>
        <v>2006</v>
      </c>
      <c r="C390" t="str">
        <f>IF($A390="","",games!$C390)</f>
        <v>Traditional</v>
      </c>
      <c r="D390">
        <f>IF($A390="","",COUNTIF(connections!$A$2:$A$1188,$A390)+COUNTIF(connections!$B$2:$B$1188,$A390))</f>
        <v>4</v>
      </c>
      <c r="E390">
        <f t="shared" si="72"/>
        <v>4</v>
      </c>
      <c r="F390">
        <f t="shared" si="73"/>
        <v>16</v>
      </c>
      <c r="G390" t="e">
        <f t="shared" si="74"/>
        <v>#N/A</v>
      </c>
      <c r="H390" t="e">
        <f t="shared" si="75"/>
        <v>#N/A</v>
      </c>
      <c r="I390" t="e">
        <f t="shared" si="76"/>
        <v>#N/A</v>
      </c>
      <c r="J390" t="e">
        <f t="shared" si="77"/>
        <v>#N/A</v>
      </c>
      <c r="K390" t="e">
        <f t="shared" si="78"/>
        <v>#N/A</v>
      </c>
      <c r="L390" t="e">
        <f t="shared" si="79"/>
        <v>#N/A</v>
      </c>
      <c r="M390">
        <f t="shared" si="80"/>
        <v>2006</v>
      </c>
      <c r="N390">
        <f t="shared" si="81"/>
        <v>4.3680000000000003</v>
      </c>
      <c r="O390">
        <f t="shared" si="82"/>
        <v>4.0003900000000003</v>
      </c>
      <c r="T390">
        <f>IF(connections!$A390="","",IFERROR(INDEX(games!$B$2:$B$834,MATCH(connections!$A390,games!$A$2:$A$834,0)),""))</f>
        <v>1984</v>
      </c>
      <c r="U390">
        <f>IF(connections!$A390="","",IFERROR(INDEX(games!$B$2:$B$834,MATCH(connections!$B390,games!$A$2:$A$834,0)),""))</f>
        <v>2006</v>
      </c>
      <c r="V390">
        <f t="shared" si="83"/>
        <v>22</v>
      </c>
    </row>
    <row r="391" spans="1:22" x14ac:dyDescent="0.25">
      <c r="A391" t="str">
        <f>IF(games!$A391="","",games!$A391)</f>
        <v>Larn</v>
      </c>
      <c r="B391">
        <f>IF($A391="","",games!$B391)</f>
        <v>1986</v>
      </c>
      <c r="C391" t="str">
        <f>IF($A391="","",games!$C391)</f>
        <v>Traditional</v>
      </c>
      <c r="D391">
        <f>IF($A391="","",COUNTIF(connections!$A$2:$A$1188,$A391)+COUNTIF(connections!$B$2:$B$1188,$A391))</f>
        <v>1</v>
      </c>
      <c r="E391">
        <f t="shared" si="72"/>
        <v>4</v>
      </c>
      <c r="F391">
        <f t="shared" si="73"/>
        <v>17</v>
      </c>
      <c r="G391" t="e">
        <f t="shared" si="74"/>
        <v>#N/A</v>
      </c>
      <c r="H391" t="e">
        <f t="shared" si="75"/>
        <v>#N/A</v>
      </c>
      <c r="I391" t="e">
        <f t="shared" si="76"/>
        <v>#N/A</v>
      </c>
      <c r="J391" t="e">
        <f t="shared" si="77"/>
        <v>#N/A</v>
      </c>
      <c r="K391" t="e">
        <f t="shared" si="78"/>
        <v>#N/A</v>
      </c>
      <c r="L391" t="e">
        <f t="shared" si="79"/>
        <v>#N/A</v>
      </c>
      <c r="M391">
        <f t="shared" si="80"/>
        <v>1986</v>
      </c>
      <c r="N391">
        <f t="shared" si="81"/>
        <v>4.391</v>
      </c>
      <c r="O391">
        <f t="shared" si="82"/>
        <v>1.000391</v>
      </c>
      <c r="T391">
        <f>IF(connections!$A391="","",IFERROR(INDEX(games!$B$2:$B$834,MATCH(connections!$A391,games!$A$2:$A$834,0)),""))</f>
        <v>1984</v>
      </c>
      <c r="U391">
        <f>IF(connections!$A391="","",IFERROR(INDEX(games!$B$2:$B$834,MATCH(connections!$B391,games!$A$2:$A$834,0)),""))</f>
        <v>2002</v>
      </c>
      <c r="V391">
        <f t="shared" si="83"/>
        <v>18</v>
      </c>
    </row>
    <row r="392" spans="1:22" x14ac:dyDescent="0.25">
      <c r="A392" t="str">
        <f>IF(games!$A392="","",games!$A392)</f>
        <v>Legend of Keepers: Career of a Dungeon Manager</v>
      </c>
      <c r="B392">
        <f>IF($A392="","",games!$B392)</f>
        <v>2019</v>
      </c>
      <c r="C392" t="str">
        <f>IF($A392="","",games!$C392)</f>
        <v>Strategy</v>
      </c>
      <c r="D392">
        <f>IF($A392="","",COUNTIF(connections!$A$2:$A$1188,$A392)+COUNTIF(connections!$B$2:$B$1188,$A392))</f>
        <v>4</v>
      </c>
      <c r="E392">
        <f t="shared" si="72"/>
        <v>2</v>
      </c>
      <c r="F392">
        <f t="shared" si="73"/>
        <v>18</v>
      </c>
      <c r="G392" t="e">
        <f t="shared" si="74"/>
        <v>#N/A</v>
      </c>
      <c r="H392" t="e">
        <f t="shared" si="75"/>
        <v>#N/A</v>
      </c>
      <c r="I392">
        <f t="shared" si="76"/>
        <v>2019</v>
      </c>
      <c r="J392">
        <f t="shared" si="77"/>
        <v>2.4140000000000001</v>
      </c>
      <c r="K392" t="e">
        <f t="shared" si="78"/>
        <v>#N/A</v>
      </c>
      <c r="L392" t="e">
        <f t="shared" si="79"/>
        <v>#N/A</v>
      </c>
      <c r="M392" t="e">
        <f t="shared" si="80"/>
        <v>#N/A</v>
      </c>
      <c r="N392" t="e">
        <f t="shared" si="81"/>
        <v>#N/A</v>
      </c>
      <c r="O392">
        <f t="shared" si="82"/>
        <v>4.0003919999999997</v>
      </c>
      <c r="T392">
        <f>IF(connections!$A392="","",IFERROR(INDEX(games!$B$2:$B$834,MATCH(connections!$A392,games!$A$2:$A$834,0)),""))</f>
        <v>1984</v>
      </c>
      <c r="U392">
        <f>IF(connections!$A392="","",IFERROR(INDEX(games!$B$2:$B$834,MATCH(connections!$B392,games!$A$2:$A$834,0)),""))</f>
        <v>2022</v>
      </c>
      <c r="V392">
        <f t="shared" si="83"/>
        <v>38</v>
      </c>
    </row>
    <row r="393" spans="1:22" x14ac:dyDescent="0.25">
      <c r="A393" t="str">
        <f>IF(games!$A393="","",games!$A393)</f>
        <v>Let Him Cook</v>
      </c>
      <c r="B393">
        <f>IF($A393="","",games!$B393)</f>
        <v>2024</v>
      </c>
      <c r="C393" t="str">
        <f>IF($A393="","",games!$C393)</f>
        <v>Action</v>
      </c>
      <c r="D393">
        <f>IF($A393="","",COUNTIF(connections!$A$2:$A$1188,$A393)+COUNTIF(connections!$B$2:$B$1188,$A393))</f>
        <v>1</v>
      </c>
      <c r="E393">
        <f t="shared" si="72"/>
        <v>1</v>
      </c>
      <c r="F393">
        <f t="shared" si="73"/>
        <v>19</v>
      </c>
      <c r="G393">
        <f t="shared" si="74"/>
        <v>2024</v>
      </c>
      <c r="H393">
        <f t="shared" si="75"/>
        <v>1.4370000000000001</v>
      </c>
      <c r="I393" t="e">
        <f t="shared" si="76"/>
        <v>#N/A</v>
      </c>
      <c r="J393" t="e">
        <f t="shared" si="77"/>
        <v>#N/A</v>
      </c>
      <c r="K393" t="e">
        <f t="shared" si="78"/>
        <v>#N/A</v>
      </c>
      <c r="L393" t="e">
        <f t="shared" si="79"/>
        <v>#N/A</v>
      </c>
      <c r="M393" t="e">
        <f t="shared" si="80"/>
        <v>#N/A</v>
      </c>
      <c r="N393" t="e">
        <f t="shared" si="81"/>
        <v>#N/A</v>
      </c>
      <c r="O393">
        <f t="shared" si="82"/>
        <v>1.0003930000000001</v>
      </c>
      <c r="T393">
        <f>IF(connections!$A393="","",IFERROR(INDEX(games!$B$2:$B$834,MATCH(connections!$A393,games!$A$2:$A$834,0)),""))</f>
        <v>1984</v>
      </c>
      <c r="U393">
        <f>IF(connections!$A393="","",IFERROR(INDEX(games!$B$2:$B$834,MATCH(connections!$B393,games!$A$2:$A$834,0)),""))</f>
        <v>2001</v>
      </c>
      <c r="V393">
        <f t="shared" si="83"/>
        <v>17</v>
      </c>
    </row>
    <row r="394" spans="1:22" x14ac:dyDescent="0.25">
      <c r="A394" t="str">
        <f>IF(games!$A394="","",games!$A394)</f>
        <v>Lethal Dungeon</v>
      </c>
      <c r="B394">
        <f>IF($A394="","",games!$B394)</f>
        <v>2026</v>
      </c>
      <c r="C394" t="str">
        <f>IF($A394="","",games!$C394)</f>
        <v>Deckbuilder</v>
      </c>
      <c r="D394">
        <f>IF($A394="","",COUNTIF(connections!$A$2:$A$1188,$A394)+COUNTIF(connections!$B$2:$B$1188,$A394))</f>
        <v>1</v>
      </c>
      <c r="E394">
        <f t="shared" si="72"/>
        <v>3</v>
      </c>
      <c r="F394">
        <f t="shared" si="73"/>
        <v>20</v>
      </c>
      <c r="G394" t="e">
        <f t="shared" si="74"/>
        <v>#N/A</v>
      </c>
      <c r="H394" t="e">
        <f t="shared" si="75"/>
        <v>#N/A</v>
      </c>
      <c r="I394" t="e">
        <f t="shared" si="76"/>
        <v>#N/A</v>
      </c>
      <c r="J394" t="e">
        <f t="shared" si="77"/>
        <v>#N/A</v>
      </c>
      <c r="K394">
        <f t="shared" si="78"/>
        <v>2026</v>
      </c>
      <c r="L394">
        <f t="shared" si="79"/>
        <v>3.46</v>
      </c>
      <c r="M394" t="e">
        <f t="shared" si="80"/>
        <v>#N/A</v>
      </c>
      <c r="N394" t="e">
        <f t="shared" si="81"/>
        <v>#N/A</v>
      </c>
      <c r="O394">
        <f t="shared" si="82"/>
        <v>1.000394</v>
      </c>
      <c r="T394">
        <f>IF(connections!$A394="","",IFERROR(INDEX(games!$B$2:$B$834,MATCH(connections!$A394,games!$A$2:$A$834,0)),""))</f>
        <v>1984</v>
      </c>
      <c r="U394">
        <f>IF(connections!$A394="","",IFERROR(INDEX(games!$B$2:$B$834,MATCH(connections!$B394,games!$A$2:$A$834,0)),""))</f>
        <v>1987</v>
      </c>
      <c r="V394">
        <f t="shared" si="83"/>
        <v>3</v>
      </c>
    </row>
    <row r="395" spans="1:22" x14ac:dyDescent="0.25">
      <c r="A395" t="str">
        <f>IF(games!$A395="","",games!$A395)</f>
        <v>Let's! Revolution!</v>
      </c>
      <c r="B395">
        <f>IF($A395="","",games!$B395)</f>
        <v>2023</v>
      </c>
      <c r="C395" t="str">
        <f>IF($A395="","",games!$C395)</f>
        <v>Strategy</v>
      </c>
      <c r="D395">
        <f>IF($A395="","",COUNTIF(connections!$A$2:$A$1188,$A395)+COUNTIF(connections!$B$2:$B$1188,$A395))</f>
        <v>0</v>
      </c>
      <c r="E395">
        <f t="shared" si="72"/>
        <v>2</v>
      </c>
      <c r="F395">
        <f t="shared" si="73"/>
        <v>21</v>
      </c>
      <c r="G395" t="e">
        <f t="shared" si="74"/>
        <v>#N/A</v>
      </c>
      <c r="H395" t="e">
        <f t="shared" si="75"/>
        <v>#N/A</v>
      </c>
      <c r="I395">
        <f t="shared" si="76"/>
        <v>2023</v>
      </c>
      <c r="J395">
        <f t="shared" si="77"/>
        <v>2.4830000000000001</v>
      </c>
      <c r="K395" t="e">
        <f t="shared" si="78"/>
        <v>#N/A</v>
      </c>
      <c r="L395" t="e">
        <f t="shared" si="79"/>
        <v>#N/A</v>
      </c>
      <c r="M395" t="e">
        <f t="shared" si="80"/>
        <v>#N/A</v>
      </c>
      <c r="N395" t="e">
        <f t="shared" si="81"/>
        <v>#N/A</v>
      </c>
      <c r="O395">
        <f t="shared" si="82"/>
        <v>3.9500000000000001E-4</v>
      </c>
      <c r="T395">
        <f>IF(connections!$A395="","",IFERROR(INDEX(games!$B$2:$B$834,MATCH(connections!$A395,games!$A$2:$A$834,0)),""))</f>
        <v>2022</v>
      </c>
      <c r="U395">
        <f>IF(connections!$A395="","",IFERROR(INDEX(games!$B$2:$B$834,MATCH(connections!$B395,games!$A$2:$A$834,0)),""))</f>
        <v>2025</v>
      </c>
      <c r="V395">
        <f t="shared" si="83"/>
        <v>3</v>
      </c>
    </row>
    <row r="396" spans="1:22" x14ac:dyDescent="0.25">
      <c r="A396" t="str">
        <f>IF(games!$A396="","",games!$A396)</f>
        <v>Linley's Dungeon Crawl</v>
      </c>
      <c r="B396">
        <f>IF($A396="","",games!$B396)</f>
        <v>1995</v>
      </c>
      <c r="C396" t="str">
        <f>IF($A396="","",games!$C396)</f>
        <v>Traditional</v>
      </c>
      <c r="D396">
        <f>IF($A396="","",COUNTIF(connections!$A$2:$A$1188,$A396)+COUNTIF(connections!$B$2:$B$1188,$A396))</f>
        <v>5</v>
      </c>
      <c r="E396">
        <f t="shared" si="72"/>
        <v>4</v>
      </c>
      <c r="F396">
        <f t="shared" si="73"/>
        <v>22</v>
      </c>
      <c r="G396" t="e">
        <f t="shared" si="74"/>
        <v>#N/A</v>
      </c>
      <c r="H396" t="e">
        <f t="shared" si="75"/>
        <v>#N/A</v>
      </c>
      <c r="I396" t="e">
        <f t="shared" si="76"/>
        <v>#N/A</v>
      </c>
      <c r="J396" t="e">
        <f t="shared" si="77"/>
        <v>#N/A</v>
      </c>
      <c r="K396" t="e">
        <f t="shared" si="78"/>
        <v>#N/A</v>
      </c>
      <c r="L396" t="e">
        <f t="shared" si="79"/>
        <v>#N/A</v>
      </c>
      <c r="M396">
        <f t="shared" si="80"/>
        <v>1995</v>
      </c>
      <c r="N396">
        <f t="shared" si="81"/>
        <v>4.5060000000000002</v>
      </c>
      <c r="O396">
        <f t="shared" si="82"/>
        <v>5.0003960000000003</v>
      </c>
      <c r="T396">
        <f>IF(connections!$A396="","",IFERROR(INDEX(games!$B$2:$B$834,MATCH(connections!$A396,games!$A$2:$A$834,0)),""))</f>
        <v>2019</v>
      </c>
      <c r="U396">
        <f>IF(connections!$A396="","",IFERROR(INDEX(games!$B$2:$B$834,MATCH(connections!$B396,games!$A$2:$A$834,0)),""))</f>
        <v>2024</v>
      </c>
      <c r="V396">
        <f t="shared" si="83"/>
        <v>5</v>
      </c>
    </row>
    <row r="397" spans="1:22" x14ac:dyDescent="0.25">
      <c r="A397" t="str">
        <f>IF(games!$A397="","",games!$A397)</f>
        <v>Lone Ruin</v>
      </c>
      <c r="B397">
        <f>IF($A397="","",games!$B397)</f>
        <v>2023</v>
      </c>
      <c r="C397" t="str">
        <f>IF($A397="","",games!$C397)</f>
        <v>Action</v>
      </c>
      <c r="D397">
        <f>IF($A397="","",COUNTIF(connections!$A$2:$A$1188,$A397)+COUNTIF(connections!$B$2:$B$1188,$A397))</f>
        <v>3</v>
      </c>
      <c r="E397">
        <f t="shared" si="72"/>
        <v>1</v>
      </c>
      <c r="F397">
        <f t="shared" si="73"/>
        <v>23</v>
      </c>
      <c r="G397">
        <f t="shared" si="74"/>
        <v>2023</v>
      </c>
      <c r="H397">
        <f t="shared" si="75"/>
        <v>1.5289999999999999</v>
      </c>
      <c r="I397" t="e">
        <f t="shared" si="76"/>
        <v>#N/A</v>
      </c>
      <c r="J397" t="e">
        <f t="shared" si="77"/>
        <v>#N/A</v>
      </c>
      <c r="K397" t="e">
        <f t="shared" si="78"/>
        <v>#N/A</v>
      </c>
      <c r="L397" t="e">
        <f t="shared" si="79"/>
        <v>#N/A</v>
      </c>
      <c r="M397" t="e">
        <f t="shared" si="80"/>
        <v>#N/A</v>
      </c>
      <c r="N397" t="e">
        <f t="shared" si="81"/>
        <v>#N/A</v>
      </c>
      <c r="O397">
        <f t="shared" si="82"/>
        <v>3.000397</v>
      </c>
      <c r="T397">
        <f>IF(connections!$A397="","",IFERROR(INDEX(games!$B$2:$B$834,MATCH(connections!$A397,games!$A$2:$A$834,0)),""))</f>
        <v>2019</v>
      </c>
      <c r="U397">
        <f>IF(connections!$A397="","",IFERROR(INDEX(games!$B$2:$B$834,MATCH(connections!$B397,games!$A$2:$A$834,0)),""))</f>
        <v>2025</v>
      </c>
      <c r="V397">
        <f t="shared" si="83"/>
        <v>6</v>
      </c>
    </row>
    <row r="398" spans="1:22" x14ac:dyDescent="0.25">
      <c r="A398" t="str">
        <f>IF(games!$A398="","",games!$A398)</f>
        <v>LoneStar</v>
      </c>
      <c r="B398">
        <f>IF($A398="","",games!$B398)</f>
        <v>2024</v>
      </c>
      <c r="C398" t="str">
        <f>IF($A398="","",games!$C398)</f>
        <v>Strategy</v>
      </c>
      <c r="D398">
        <f>IF($A398="","",COUNTIF(connections!$A$2:$A$1188,$A398)+COUNTIF(connections!$B$2:$B$1188,$A398))</f>
        <v>1</v>
      </c>
      <c r="E398">
        <f t="shared" si="72"/>
        <v>2</v>
      </c>
      <c r="F398">
        <f t="shared" si="73"/>
        <v>24</v>
      </c>
      <c r="G398" t="e">
        <f t="shared" si="74"/>
        <v>#N/A</v>
      </c>
      <c r="H398" t="e">
        <f t="shared" si="75"/>
        <v>#N/A</v>
      </c>
      <c r="I398">
        <f t="shared" si="76"/>
        <v>2024</v>
      </c>
      <c r="J398">
        <f t="shared" si="77"/>
        <v>2.552</v>
      </c>
      <c r="K398" t="e">
        <f t="shared" si="78"/>
        <v>#N/A</v>
      </c>
      <c r="L398" t="e">
        <f t="shared" si="79"/>
        <v>#N/A</v>
      </c>
      <c r="M398" t="e">
        <f t="shared" si="80"/>
        <v>#N/A</v>
      </c>
      <c r="N398" t="e">
        <f t="shared" si="81"/>
        <v>#N/A</v>
      </c>
      <c r="O398">
        <f t="shared" si="82"/>
        <v>1.0003979999999999</v>
      </c>
      <c r="T398">
        <f>IF(connections!$A398="","",IFERROR(INDEX(games!$B$2:$B$834,MATCH(connections!$A398,games!$A$2:$A$834,0)),""))</f>
        <v>2019</v>
      </c>
      <c r="U398">
        <f>IF(connections!$A398="","",IFERROR(INDEX(games!$B$2:$B$834,MATCH(connections!$B398,games!$A$2:$A$834,0)),""))</f>
        <v>2022</v>
      </c>
      <c r="V398">
        <f t="shared" si="83"/>
        <v>3</v>
      </c>
    </row>
    <row r="399" spans="1:22" x14ac:dyDescent="0.25">
      <c r="A399" t="str">
        <f>IF(games!$A399="","",games!$A399)</f>
        <v>Loop Hero</v>
      </c>
      <c r="B399">
        <f>IF($A399="","",games!$B399)</f>
        <v>2021</v>
      </c>
      <c r="C399" t="str">
        <f>IF($A399="","",games!$C399)</f>
        <v>Strategy</v>
      </c>
      <c r="D399">
        <f>IF($A399="","",COUNTIF(connections!$A$2:$A$1188,$A399)+COUNTIF(connections!$B$2:$B$1188,$A399))</f>
        <v>3</v>
      </c>
      <c r="E399">
        <f t="shared" si="72"/>
        <v>2</v>
      </c>
      <c r="F399">
        <f t="shared" si="73"/>
        <v>25</v>
      </c>
      <c r="G399" t="e">
        <f t="shared" si="74"/>
        <v>#N/A</v>
      </c>
      <c r="H399" t="e">
        <f t="shared" si="75"/>
        <v>#N/A</v>
      </c>
      <c r="I399">
        <f t="shared" si="76"/>
        <v>2021</v>
      </c>
      <c r="J399">
        <f t="shared" si="77"/>
        <v>2.5750000000000002</v>
      </c>
      <c r="K399" t="e">
        <f t="shared" si="78"/>
        <v>#N/A</v>
      </c>
      <c r="L399" t="e">
        <f t="shared" si="79"/>
        <v>#N/A</v>
      </c>
      <c r="M399" t="e">
        <f t="shared" si="80"/>
        <v>#N/A</v>
      </c>
      <c r="N399" t="e">
        <f t="shared" si="81"/>
        <v>#N/A</v>
      </c>
      <c r="O399">
        <f t="shared" si="82"/>
        <v>3.0003989999999998</v>
      </c>
      <c r="T399">
        <f>IF(connections!$A399="","",IFERROR(INDEX(games!$B$2:$B$834,MATCH(connections!$A399,games!$A$2:$A$834,0)),""))</f>
        <v>2019</v>
      </c>
      <c r="U399">
        <f>IF(connections!$A399="","",IFERROR(INDEX(games!$B$2:$B$834,MATCH(connections!$B399,games!$A$2:$A$834,0)),""))</f>
        <v>2023</v>
      </c>
      <c r="V399">
        <f t="shared" si="83"/>
        <v>4</v>
      </c>
    </row>
    <row r="400" spans="1:22" x14ac:dyDescent="0.25">
      <c r="A400" t="str">
        <f>IF(games!$A400="","",games!$A400)</f>
        <v>Loot Rascals</v>
      </c>
      <c r="B400">
        <f>IF($A400="","",games!$B400)</f>
        <v>2017</v>
      </c>
      <c r="C400" t="str">
        <f>IF($A400="","",games!$C400)</f>
        <v>Strategy</v>
      </c>
      <c r="D400">
        <f>IF($A400="","",COUNTIF(connections!$A$2:$A$1188,$A400)+COUNTIF(connections!$B$2:$B$1188,$A400))</f>
        <v>2</v>
      </c>
      <c r="E400">
        <f t="shared" si="72"/>
        <v>2</v>
      </c>
      <c r="F400">
        <f t="shared" si="73"/>
        <v>26</v>
      </c>
      <c r="G400" t="e">
        <f t="shared" si="74"/>
        <v>#N/A</v>
      </c>
      <c r="H400" t="e">
        <f t="shared" si="75"/>
        <v>#N/A</v>
      </c>
      <c r="I400">
        <f t="shared" si="76"/>
        <v>2017</v>
      </c>
      <c r="J400">
        <f t="shared" si="77"/>
        <v>2.5979999999999999</v>
      </c>
      <c r="K400" t="e">
        <f t="shared" si="78"/>
        <v>#N/A</v>
      </c>
      <c r="L400" t="e">
        <f t="shared" si="79"/>
        <v>#N/A</v>
      </c>
      <c r="M400" t="e">
        <f t="shared" si="80"/>
        <v>#N/A</v>
      </c>
      <c r="N400" t="e">
        <f t="shared" si="81"/>
        <v>#N/A</v>
      </c>
      <c r="O400">
        <f t="shared" si="82"/>
        <v>2.0004</v>
      </c>
      <c r="T400">
        <f>IF(connections!$A400="","",IFERROR(INDEX(games!$B$2:$B$834,MATCH(connections!$A400,games!$A$2:$A$834,0)),""))</f>
        <v>2019</v>
      </c>
      <c r="U400">
        <f>IF(connections!$A400="","",IFERROR(INDEX(games!$B$2:$B$834,MATCH(connections!$B400,games!$A$2:$A$834,0)),""))</f>
        <v>2026</v>
      </c>
      <c r="V400">
        <f t="shared" si="83"/>
        <v>7</v>
      </c>
    </row>
    <row r="401" spans="1:22" x14ac:dyDescent="0.25">
      <c r="A401" t="str">
        <f>IF(games!$A401="","",games!$A401)</f>
        <v>Loot River</v>
      </c>
      <c r="B401">
        <f>IF($A401="","",games!$B401)</f>
        <v>2022</v>
      </c>
      <c r="C401" t="str">
        <f>IF($A401="","",games!$C401)</f>
        <v>Strategy</v>
      </c>
      <c r="D401">
        <f>IF($A401="","",COUNTIF(connections!$A$2:$A$1188,$A401)+COUNTIF(connections!$B$2:$B$1188,$A401))</f>
        <v>0</v>
      </c>
      <c r="E401">
        <f t="shared" si="72"/>
        <v>2</v>
      </c>
      <c r="F401">
        <f t="shared" si="73"/>
        <v>27</v>
      </c>
      <c r="G401" t="e">
        <f t="shared" si="74"/>
        <v>#N/A</v>
      </c>
      <c r="H401" t="e">
        <f t="shared" si="75"/>
        <v>#N/A</v>
      </c>
      <c r="I401">
        <f t="shared" si="76"/>
        <v>2022</v>
      </c>
      <c r="J401">
        <f t="shared" si="77"/>
        <v>2.621</v>
      </c>
      <c r="K401" t="e">
        <f t="shared" si="78"/>
        <v>#N/A</v>
      </c>
      <c r="L401" t="e">
        <f t="shared" si="79"/>
        <v>#N/A</v>
      </c>
      <c r="M401" t="e">
        <f t="shared" si="80"/>
        <v>#N/A</v>
      </c>
      <c r="N401" t="e">
        <f t="shared" si="81"/>
        <v>#N/A</v>
      </c>
      <c r="O401">
        <f t="shared" si="82"/>
        <v>4.0099999999999999E-4</v>
      </c>
      <c r="T401">
        <f>IF(connections!$A401="","",IFERROR(INDEX(games!$B$2:$B$834,MATCH(connections!$A401,games!$A$2:$A$834,0)),""))</f>
        <v>2019</v>
      </c>
      <c r="U401">
        <f>IF(connections!$A401="","",IFERROR(INDEX(games!$B$2:$B$834,MATCH(connections!$B401,games!$A$2:$A$834,0)),""))</f>
        <v>2023</v>
      </c>
      <c r="V401">
        <f t="shared" si="83"/>
        <v>4</v>
      </c>
    </row>
    <row r="402" spans="1:22" x14ac:dyDescent="0.25">
      <c r="A402" t="str">
        <f>IF(games!$A402="","",games!$A402)</f>
        <v>Lootplot</v>
      </c>
      <c r="B402">
        <f>IF($A402="","",games!$B402)</f>
        <v>2025</v>
      </c>
      <c r="C402" t="str">
        <f>IF($A402="","",games!$C402)</f>
        <v>Strategy</v>
      </c>
      <c r="D402">
        <f>IF($A402="","",COUNTIF(connections!$A$2:$A$1188,$A402)+COUNTIF(connections!$B$2:$B$1188,$A402))</f>
        <v>2</v>
      </c>
      <c r="E402">
        <f t="shared" si="72"/>
        <v>2</v>
      </c>
      <c r="F402">
        <f t="shared" si="73"/>
        <v>28</v>
      </c>
      <c r="G402" t="e">
        <f t="shared" si="74"/>
        <v>#N/A</v>
      </c>
      <c r="H402" t="e">
        <f t="shared" si="75"/>
        <v>#N/A</v>
      </c>
      <c r="I402">
        <f t="shared" si="76"/>
        <v>2025</v>
      </c>
      <c r="J402">
        <f t="shared" si="77"/>
        <v>2.6440000000000001</v>
      </c>
      <c r="K402" t="e">
        <f t="shared" si="78"/>
        <v>#N/A</v>
      </c>
      <c r="L402" t="e">
        <f t="shared" si="79"/>
        <v>#N/A</v>
      </c>
      <c r="M402" t="e">
        <f t="shared" si="80"/>
        <v>#N/A</v>
      </c>
      <c r="N402" t="e">
        <f t="shared" si="81"/>
        <v>#N/A</v>
      </c>
      <c r="O402">
        <f t="shared" si="82"/>
        <v>2.0004019999999998</v>
      </c>
      <c r="T402">
        <f>IF(connections!$A402="","",IFERROR(INDEX(games!$B$2:$B$834,MATCH(connections!$A402,games!$A$2:$A$834,0)),""))</f>
        <v>2019</v>
      </c>
      <c r="U402">
        <f>IF(connections!$A402="","",IFERROR(INDEX(games!$B$2:$B$834,MATCH(connections!$B402,games!$A$2:$A$834,0)),""))</f>
        <v>2025</v>
      </c>
      <c r="V402">
        <f t="shared" si="83"/>
        <v>6</v>
      </c>
    </row>
    <row r="403" spans="1:22" x14ac:dyDescent="0.25">
      <c r="A403" t="str">
        <f>IF(games!$A403="","",games!$A403)</f>
        <v>Lort</v>
      </c>
      <c r="B403">
        <f>IF($A403="","",games!$B403)</f>
        <v>2026</v>
      </c>
      <c r="C403" t="str">
        <f>IF($A403="","",games!$C403)</f>
        <v>Action</v>
      </c>
      <c r="D403">
        <f>IF($A403="","",COUNTIF(connections!$A$2:$A$1188,$A403)+COUNTIF(connections!$B$2:$B$1188,$A403))</f>
        <v>2</v>
      </c>
      <c r="E403">
        <f t="shared" si="72"/>
        <v>1</v>
      </c>
      <c r="F403">
        <f t="shared" si="73"/>
        <v>29</v>
      </c>
      <c r="G403">
        <f t="shared" si="74"/>
        <v>2026</v>
      </c>
      <c r="H403">
        <f t="shared" si="75"/>
        <v>1.667</v>
      </c>
      <c r="I403" t="e">
        <f t="shared" si="76"/>
        <v>#N/A</v>
      </c>
      <c r="J403" t="e">
        <f t="shared" si="77"/>
        <v>#N/A</v>
      </c>
      <c r="K403" t="e">
        <f t="shared" si="78"/>
        <v>#N/A</v>
      </c>
      <c r="L403" t="e">
        <f t="shared" si="79"/>
        <v>#N/A</v>
      </c>
      <c r="M403" t="e">
        <f t="shared" si="80"/>
        <v>#N/A</v>
      </c>
      <c r="N403" t="e">
        <f t="shared" si="81"/>
        <v>#N/A</v>
      </c>
      <c r="O403">
        <f t="shared" si="82"/>
        <v>2.0004029999999999</v>
      </c>
      <c r="T403">
        <f>IF(connections!$A403="","",IFERROR(INDEX(games!$B$2:$B$834,MATCH(connections!$A403,games!$A$2:$A$834,0)),""))</f>
        <v>2019</v>
      </c>
      <c r="U403">
        <f>IF(connections!$A403="","",IFERROR(INDEX(games!$B$2:$B$834,MATCH(connections!$B403,games!$A$2:$A$834,0)),""))</f>
        <v>2026</v>
      </c>
      <c r="V403">
        <f t="shared" si="83"/>
        <v>7</v>
      </c>
    </row>
    <row r="404" spans="1:22" x14ac:dyDescent="0.25">
      <c r="A404" t="str">
        <f>IF(games!$A404="","",games!$A404)</f>
        <v>Lost Flame</v>
      </c>
      <c r="B404">
        <f>IF($A404="","",games!$B404)</f>
        <v>2019</v>
      </c>
      <c r="C404" t="str">
        <f>IF($A404="","",games!$C404)</f>
        <v>Traditional</v>
      </c>
      <c r="D404">
        <f>IF($A404="","",COUNTIF(connections!$A$2:$A$1188,$A404)+COUNTIF(connections!$B$2:$B$1188,$A404))</f>
        <v>2</v>
      </c>
      <c r="E404">
        <f t="shared" si="72"/>
        <v>4</v>
      </c>
      <c r="F404">
        <f t="shared" si="73"/>
        <v>30</v>
      </c>
      <c r="G404" t="e">
        <f t="shared" si="74"/>
        <v>#N/A</v>
      </c>
      <c r="H404" t="e">
        <f t="shared" si="75"/>
        <v>#N/A</v>
      </c>
      <c r="I404" t="e">
        <f t="shared" si="76"/>
        <v>#N/A</v>
      </c>
      <c r="J404" t="e">
        <f t="shared" si="77"/>
        <v>#N/A</v>
      </c>
      <c r="K404" t="e">
        <f t="shared" si="78"/>
        <v>#N/A</v>
      </c>
      <c r="L404" t="e">
        <f t="shared" si="79"/>
        <v>#N/A</v>
      </c>
      <c r="M404">
        <f t="shared" si="80"/>
        <v>2019</v>
      </c>
      <c r="N404">
        <f t="shared" si="81"/>
        <v>4.6899999999999995</v>
      </c>
      <c r="O404">
        <f t="shared" si="82"/>
        <v>2.0004040000000001</v>
      </c>
      <c r="T404">
        <f>IF(connections!$A404="","",IFERROR(INDEX(games!$B$2:$B$834,MATCH(connections!$A404,games!$A$2:$A$834,0)),""))</f>
        <v>2019</v>
      </c>
      <c r="U404">
        <f>IF(connections!$A404="","",IFERROR(INDEX(games!$B$2:$B$834,MATCH(connections!$B404,games!$A$2:$A$834,0)),""))</f>
        <v>2022</v>
      </c>
      <c r="V404">
        <f t="shared" si="83"/>
        <v>3</v>
      </c>
    </row>
    <row r="405" spans="1:22" x14ac:dyDescent="0.25">
      <c r="A405" t="str">
        <f>IF(games!$A405="","",games!$A405)</f>
        <v>Lost For Swords</v>
      </c>
      <c r="B405">
        <f>IF($A405="","",games!$B405)</f>
        <v>2023</v>
      </c>
      <c r="C405" t="str">
        <f>IF($A405="","",games!$C405)</f>
        <v>Deckbuilder</v>
      </c>
      <c r="D405">
        <f>IF($A405="","",COUNTIF(connections!$A$2:$A$1188,$A405)+COUNTIF(connections!$B$2:$B$1188,$A405))</f>
        <v>4</v>
      </c>
      <c r="E405">
        <f t="shared" si="72"/>
        <v>3</v>
      </c>
      <c r="F405">
        <f t="shared" si="73"/>
        <v>31</v>
      </c>
      <c r="G405" t="e">
        <f t="shared" si="74"/>
        <v>#N/A</v>
      </c>
      <c r="H405" t="e">
        <f t="shared" si="75"/>
        <v>#N/A</v>
      </c>
      <c r="I405" t="e">
        <f t="shared" si="76"/>
        <v>#N/A</v>
      </c>
      <c r="J405" t="e">
        <f t="shared" si="77"/>
        <v>#N/A</v>
      </c>
      <c r="K405">
        <f t="shared" si="78"/>
        <v>2023</v>
      </c>
      <c r="L405">
        <f t="shared" si="79"/>
        <v>3.7130000000000001</v>
      </c>
      <c r="M405" t="e">
        <f t="shared" si="80"/>
        <v>#N/A</v>
      </c>
      <c r="N405" t="e">
        <f t="shared" si="81"/>
        <v>#N/A</v>
      </c>
      <c r="O405">
        <f t="shared" si="82"/>
        <v>4.0004049999999998</v>
      </c>
      <c r="T405">
        <f>IF(connections!$A405="","",IFERROR(INDEX(games!$B$2:$B$834,MATCH(connections!$A405,games!$A$2:$A$834,0)),""))</f>
        <v>2019</v>
      </c>
      <c r="U405">
        <f>IF(connections!$A405="","",IFERROR(INDEX(games!$B$2:$B$834,MATCH(connections!$B405,games!$A$2:$A$834,0)),""))</f>
        <v>2025</v>
      </c>
      <c r="V405">
        <f t="shared" si="83"/>
        <v>6</v>
      </c>
    </row>
    <row r="406" spans="1:22" x14ac:dyDescent="0.25">
      <c r="A406" t="str">
        <f>IF(games!$A406="","",games!$A406)</f>
        <v>Lost In Fantaland</v>
      </c>
      <c r="B406">
        <f>IF($A406="","",games!$B406)</f>
        <v>2022</v>
      </c>
      <c r="C406" t="str">
        <f>IF($A406="","",games!$C406)</f>
        <v>Deckbuilder</v>
      </c>
      <c r="D406">
        <f>IF($A406="","",COUNTIF(connections!$A$2:$A$1188,$A406)+COUNTIF(connections!$B$2:$B$1188,$A406))</f>
        <v>1</v>
      </c>
      <c r="E406">
        <f t="shared" si="72"/>
        <v>3</v>
      </c>
      <c r="F406">
        <f t="shared" si="73"/>
        <v>32</v>
      </c>
      <c r="G406" t="e">
        <f t="shared" si="74"/>
        <v>#N/A</v>
      </c>
      <c r="H406" t="e">
        <f t="shared" si="75"/>
        <v>#N/A</v>
      </c>
      <c r="I406" t="e">
        <f t="shared" si="76"/>
        <v>#N/A</v>
      </c>
      <c r="J406" t="e">
        <f t="shared" si="77"/>
        <v>#N/A</v>
      </c>
      <c r="K406">
        <f t="shared" si="78"/>
        <v>2022</v>
      </c>
      <c r="L406">
        <f t="shared" si="79"/>
        <v>3.7359999999999998</v>
      </c>
      <c r="M406" t="e">
        <f t="shared" si="80"/>
        <v>#N/A</v>
      </c>
      <c r="N406" t="e">
        <f t="shared" si="81"/>
        <v>#N/A</v>
      </c>
      <c r="O406">
        <f t="shared" si="82"/>
        <v>1.0004059999999999</v>
      </c>
      <c r="T406">
        <f>IF(connections!$A406="","",IFERROR(INDEX(games!$B$2:$B$834,MATCH(connections!$A406,games!$A$2:$A$834,0)),""))</f>
        <v>2019</v>
      </c>
      <c r="U406">
        <f>IF(connections!$A406="","",IFERROR(INDEX(games!$B$2:$B$834,MATCH(connections!$B406,games!$A$2:$A$834,0)),""))</f>
        <v>2023</v>
      </c>
      <c r="V406">
        <f t="shared" si="83"/>
        <v>4</v>
      </c>
    </row>
    <row r="407" spans="1:22" x14ac:dyDescent="0.25">
      <c r="A407" t="str">
        <f>IF(games!$A407="","",games!$A407)</f>
        <v>Lost in Random: The Eternal Die</v>
      </c>
      <c r="B407">
        <f>IF($A407="","",games!$B407)</f>
        <v>2025</v>
      </c>
      <c r="C407" t="str">
        <f>IF($A407="","",games!$C407)</f>
        <v>Action</v>
      </c>
      <c r="D407">
        <f>IF($A407="","",COUNTIF(connections!$A$2:$A$1188,$A407)+COUNTIF(connections!$B$2:$B$1188,$A407))</f>
        <v>1</v>
      </c>
      <c r="E407">
        <f t="shared" si="72"/>
        <v>1</v>
      </c>
      <c r="F407">
        <f t="shared" si="73"/>
        <v>33</v>
      </c>
      <c r="G407">
        <f t="shared" si="74"/>
        <v>2025</v>
      </c>
      <c r="H407">
        <f t="shared" si="75"/>
        <v>1.7589999999999999</v>
      </c>
      <c r="I407" t="e">
        <f t="shared" si="76"/>
        <v>#N/A</v>
      </c>
      <c r="J407" t="e">
        <f t="shared" si="77"/>
        <v>#N/A</v>
      </c>
      <c r="K407" t="e">
        <f t="shared" si="78"/>
        <v>#N/A</v>
      </c>
      <c r="L407" t="e">
        <f t="shared" si="79"/>
        <v>#N/A</v>
      </c>
      <c r="M407" t="e">
        <f t="shared" si="80"/>
        <v>#N/A</v>
      </c>
      <c r="N407" t="e">
        <f t="shared" si="81"/>
        <v>#N/A</v>
      </c>
      <c r="O407">
        <f t="shared" si="82"/>
        <v>1.000407</v>
      </c>
      <c r="T407">
        <f>IF(connections!$A407="","",IFERROR(INDEX(games!$B$2:$B$834,MATCH(connections!$A407,games!$A$2:$A$834,0)),""))</f>
        <v>2019</v>
      </c>
      <c r="U407">
        <f>IF(connections!$A407="","",IFERROR(INDEX(games!$B$2:$B$834,MATCH(connections!$B407,games!$A$2:$A$834,0)),""))</f>
        <v>2026</v>
      </c>
      <c r="V407">
        <f t="shared" si="83"/>
        <v>7</v>
      </c>
    </row>
    <row r="408" spans="1:22" x14ac:dyDescent="0.25">
      <c r="A408" t="str">
        <f>IF(games!$A408="","",games!$A408)</f>
        <v>Lost Labyrinth</v>
      </c>
      <c r="B408">
        <f>IF($A408="","",games!$B408)</f>
        <v>2001</v>
      </c>
      <c r="C408" t="str">
        <f>IF($A408="","",games!$C408)</f>
        <v>Traditional</v>
      </c>
      <c r="D408">
        <f>IF($A408="","",COUNTIF(connections!$A$2:$A$1188,$A408)+COUNTIF(connections!$B$2:$B$1188,$A408))</f>
        <v>2</v>
      </c>
      <c r="E408">
        <f t="shared" si="72"/>
        <v>4</v>
      </c>
      <c r="F408">
        <f t="shared" si="73"/>
        <v>0</v>
      </c>
      <c r="G408" t="e">
        <f t="shared" si="74"/>
        <v>#N/A</v>
      </c>
      <c r="H408" t="e">
        <f t="shared" si="75"/>
        <v>#N/A</v>
      </c>
      <c r="I408" t="e">
        <f t="shared" si="76"/>
        <v>#N/A</v>
      </c>
      <c r="J408" t="e">
        <f t="shared" si="77"/>
        <v>#N/A</v>
      </c>
      <c r="K408" t="e">
        <f t="shared" si="78"/>
        <v>#N/A</v>
      </c>
      <c r="L408" t="e">
        <f t="shared" si="79"/>
        <v>#N/A</v>
      </c>
      <c r="M408">
        <f t="shared" si="80"/>
        <v>2001</v>
      </c>
      <c r="N408">
        <f t="shared" si="81"/>
        <v>4</v>
      </c>
      <c r="O408">
        <f t="shared" si="82"/>
        <v>2.0004080000000002</v>
      </c>
      <c r="T408">
        <f>IF(connections!$A408="","",IFERROR(INDEX(games!$B$2:$B$834,MATCH(connections!$A408,games!$A$2:$A$834,0)),""))</f>
        <v>2019</v>
      </c>
      <c r="U408">
        <f>IF(connections!$A408="","",IFERROR(INDEX(games!$B$2:$B$834,MATCH(connections!$B408,games!$A$2:$A$834,0)),""))</f>
        <v>2020</v>
      </c>
      <c r="V408">
        <f t="shared" si="83"/>
        <v>1</v>
      </c>
    </row>
    <row r="409" spans="1:22" x14ac:dyDescent="0.25">
      <c r="A409" t="str">
        <f>IF(games!$A409="","",games!$A409)</f>
        <v>Luck &amp; Loot</v>
      </c>
      <c r="B409">
        <f>IF($A409="","",games!$B409)</f>
        <v>2024</v>
      </c>
      <c r="C409" t="str">
        <f>IF($A409="","",games!$C409)</f>
        <v>Deckbuilder</v>
      </c>
      <c r="D409">
        <f>IF($A409="","",COUNTIF(connections!$A$2:$A$1188,$A409)+COUNTIF(connections!$B$2:$B$1188,$A409))</f>
        <v>3</v>
      </c>
      <c r="E409">
        <f t="shared" si="72"/>
        <v>3</v>
      </c>
      <c r="F409">
        <f t="shared" si="73"/>
        <v>1</v>
      </c>
      <c r="G409" t="e">
        <f t="shared" si="74"/>
        <v>#N/A</v>
      </c>
      <c r="H409" t="e">
        <f t="shared" si="75"/>
        <v>#N/A</v>
      </c>
      <c r="I409" t="e">
        <f t="shared" si="76"/>
        <v>#N/A</v>
      </c>
      <c r="J409" t="e">
        <f t="shared" si="77"/>
        <v>#N/A</v>
      </c>
      <c r="K409">
        <f t="shared" si="78"/>
        <v>2024</v>
      </c>
      <c r="L409">
        <f t="shared" si="79"/>
        <v>3.0230000000000001</v>
      </c>
      <c r="M409" t="e">
        <f t="shared" si="80"/>
        <v>#N/A</v>
      </c>
      <c r="N409" t="e">
        <f t="shared" si="81"/>
        <v>#N/A</v>
      </c>
      <c r="O409">
        <f t="shared" si="82"/>
        <v>3.0004089999999999</v>
      </c>
      <c r="T409">
        <f>IF(connections!$A409="","",IFERROR(INDEX(games!$B$2:$B$834,MATCH(connections!$A409,games!$A$2:$A$834,0)),""))</f>
        <v>2019</v>
      </c>
      <c r="U409">
        <f>IF(connections!$A409="","",IFERROR(INDEX(games!$B$2:$B$834,MATCH(connections!$B409,games!$A$2:$A$834,0)),""))</f>
        <v>2025</v>
      </c>
      <c r="V409">
        <f t="shared" si="83"/>
        <v>6</v>
      </c>
    </row>
    <row r="410" spans="1:22" x14ac:dyDescent="0.25">
      <c r="A410" t="str">
        <f>IF(games!$A410="","",games!$A410)</f>
        <v>Luck be a Landlord</v>
      </c>
      <c r="B410">
        <f>IF($A410="","",games!$B410)</f>
        <v>2021</v>
      </c>
      <c r="C410" t="str">
        <f>IF($A410="","",games!$C410)</f>
        <v>Deckbuilder</v>
      </c>
      <c r="D410">
        <f>IF($A410="","",COUNTIF(connections!$A$2:$A$1188,$A410)+COUNTIF(connections!$B$2:$B$1188,$A410))</f>
        <v>22</v>
      </c>
      <c r="E410">
        <f t="shared" si="72"/>
        <v>3</v>
      </c>
      <c r="F410">
        <f t="shared" si="73"/>
        <v>2</v>
      </c>
      <c r="G410" t="e">
        <f t="shared" si="74"/>
        <v>#N/A</v>
      </c>
      <c r="H410" t="e">
        <f t="shared" si="75"/>
        <v>#N/A</v>
      </c>
      <c r="I410" t="e">
        <f t="shared" si="76"/>
        <v>#N/A</v>
      </c>
      <c r="J410" t="e">
        <f t="shared" si="77"/>
        <v>#N/A</v>
      </c>
      <c r="K410">
        <f t="shared" si="78"/>
        <v>2021</v>
      </c>
      <c r="L410">
        <f t="shared" si="79"/>
        <v>3.0459999999999998</v>
      </c>
      <c r="M410" t="e">
        <f t="shared" si="80"/>
        <v>#N/A</v>
      </c>
      <c r="N410" t="e">
        <f t="shared" si="81"/>
        <v>#N/A</v>
      </c>
      <c r="O410">
        <f t="shared" si="82"/>
        <v>22.000409999999999</v>
      </c>
      <c r="T410">
        <f>IF(connections!$A410="","",IFERROR(INDEX(games!$B$2:$B$834,MATCH(connections!$A410,games!$A$2:$A$834,0)),""))</f>
        <v>2019</v>
      </c>
      <c r="U410">
        <f>IF(connections!$A410="","",IFERROR(INDEX(games!$B$2:$B$834,MATCH(connections!$B410,games!$A$2:$A$834,0)),""))</f>
        <v>2022</v>
      </c>
      <c r="V410">
        <f t="shared" si="83"/>
        <v>3</v>
      </c>
    </row>
    <row r="411" spans="1:22" x14ac:dyDescent="0.25">
      <c r="A411" t="str">
        <f>IF(games!$A411="","",games!$A411)</f>
        <v>Lucky Hero</v>
      </c>
      <c r="B411">
        <f>IF($A411="","",games!$B411)</f>
        <v>2023</v>
      </c>
      <c r="C411" t="str">
        <f>IF($A411="","",games!$C411)</f>
        <v>Deckbuilder</v>
      </c>
      <c r="D411">
        <f>IF($A411="","",COUNTIF(connections!$A$2:$A$1188,$A411)+COUNTIF(connections!$B$2:$B$1188,$A411))</f>
        <v>1</v>
      </c>
      <c r="E411">
        <f t="shared" si="72"/>
        <v>3</v>
      </c>
      <c r="F411">
        <f t="shared" si="73"/>
        <v>3</v>
      </c>
      <c r="G411" t="e">
        <f t="shared" si="74"/>
        <v>#N/A</v>
      </c>
      <c r="H411" t="e">
        <f t="shared" si="75"/>
        <v>#N/A</v>
      </c>
      <c r="I411" t="e">
        <f t="shared" si="76"/>
        <v>#N/A</v>
      </c>
      <c r="J411" t="e">
        <f t="shared" si="77"/>
        <v>#N/A</v>
      </c>
      <c r="K411">
        <f t="shared" si="78"/>
        <v>2023</v>
      </c>
      <c r="L411">
        <f t="shared" si="79"/>
        <v>3.069</v>
      </c>
      <c r="M411" t="e">
        <f t="shared" si="80"/>
        <v>#N/A</v>
      </c>
      <c r="N411" t="e">
        <f t="shared" si="81"/>
        <v>#N/A</v>
      </c>
      <c r="O411">
        <f t="shared" si="82"/>
        <v>1.0004109999999999</v>
      </c>
      <c r="T411">
        <f>IF(connections!$A411="","",IFERROR(INDEX(games!$B$2:$B$834,MATCH(connections!$A411,games!$A$2:$A$834,0)),""))</f>
        <v>2019</v>
      </c>
      <c r="U411">
        <f>IF(connections!$A411="","",IFERROR(INDEX(games!$B$2:$B$834,MATCH(connections!$B411,games!$A$2:$A$834,0)),""))</f>
        <v>2022</v>
      </c>
      <c r="V411">
        <f t="shared" si="83"/>
        <v>3</v>
      </c>
    </row>
    <row r="412" spans="1:22" x14ac:dyDescent="0.25">
      <c r="A412" t="str">
        <f>IF(games!$A412="","",games!$A412)</f>
        <v>Lunchbreak Tactics</v>
      </c>
      <c r="B412">
        <f>IF($A412="","",games!$B412)</f>
        <v>2026</v>
      </c>
      <c r="C412" t="str">
        <f>IF($A412="","",games!$C412)</f>
        <v>Strategy</v>
      </c>
      <c r="D412">
        <f>IF($A412="","",COUNTIF(connections!$A$2:$A$1188,$A412)+COUNTIF(connections!$B$2:$B$1188,$A412))</f>
        <v>1</v>
      </c>
      <c r="E412">
        <f t="shared" si="72"/>
        <v>2</v>
      </c>
      <c r="F412">
        <f t="shared" si="73"/>
        <v>4</v>
      </c>
      <c r="G412" t="e">
        <f t="shared" si="74"/>
        <v>#N/A</v>
      </c>
      <c r="H412" t="e">
        <f t="shared" si="75"/>
        <v>#N/A</v>
      </c>
      <c r="I412">
        <f t="shared" si="76"/>
        <v>2026</v>
      </c>
      <c r="J412">
        <f t="shared" si="77"/>
        <v>2.0920000000000001</v>
      </c>
      <c r="K412" t="e">
        <f t="shared" si="78"/>
        <v>#N/A</v>
      </c>
      <c r="L412" t="e">
        <f t="shared" si="79"/>
        <v>#N/A</v>
      </c>
      <c r="M412" t="e">
        <f t="shared" si="80"/>
        <v>#N/A</v>
      </c>
      <c r="N412" t="e">
        <f t="shared" si="81"/>
        <v>#N/A</v>
      </c>
      <c r="O412">
        <f t="shared" si="82"/>
        <v>1.0004120000000001</v>
      </c>
      <c r="T412">
        <f>IF(connections!$A412="","",IFERROR(INDEX(games!$B$2:$B$834,MATCH(connections!$A412,games!$A$2:$A$834,0)),""))</f>
        <v>2019</v>
      </c>
      <c r="U412">
        <f>IF(connections!$A412="","",IFERROR(INDEX(games!$B$2:$B$834,MATCH(connections!$B412,games!$A$2:$A$834,0)),""))</f>
        <v>2025</v>
      </c>
      <c r="V412">
        <f t="shared" si="83"/>
        <v>6</v>
      </c>
    </row>
    <row r="413" spans="1:22" x14ac:dyDescent="0.25">
      <c r="A413" t="str">
        <f>IF(games!$A413="","",games!$A413)</f>
        <v>Mad King Redemption</v>
      </c>
      <c r="B413">
        <f>IF($A413="","",games!$B413)</f>
        <v>2026</v>
      </c>
      <c r="C413" t="str">
        <f>IF($A413="","",games!$C413)</f>
        <v>Action</v>
      </c>
      <c r="D413">
        <f>IF($A413="","",COUNTIF(connections!$A$2:$A$1188,$A413)+COUNTIF(connections!$B$2:$B$1188,$A413))</f>
        <v>0</v>
      </c>
      <c r="E413">
        <f t="shared" si="72"/>
        <v>1</v>
      </c>
      <c r="F413">
        <f t="shared" si="73"/>
        <v>5</v>
      </c>
      <c r="G413">
        <f t="shared" si="74"/>
        <v>2026</v>
      </c>
      <c r="H413">
        <f t="shared" si="75"/>
        <v>1.115</v>
      </c>
      <c r="I413" t="e">
        <f t="shared" si="76"/>
        <v>#N/A</v>
      </c>
      <c r="J413" t="e">
        <f t="shared" si="77"/>
        <v>#N/A</v>
      </c>
      <c r="K413" t="e">
        <f t="shared" si="78"/>
        <v>#N/A</v>
      </c>
      <c r="L413" t="e">
        <f t="shared" si="79"/>
        <v>#N/A</v>
      </c>
      <c r="M413" t="e">
        <f t="shared" si="80"/>
        <v>#N/A</v>
      </c>
      <c r="N413" t="e">
        <f t="shared" si="81"/>
        <v>#N/A</v>
      </c>
      <c r="O413">
        <f t="shared" si="82"/>
        <v>4.1300000000000001E-4</v>
      </c>
      <c r="T413">
        <f>IF(connections!$A413="","",IFERROR(INDEX(games!$B$2:$B$834,MATCH(connections!$A413,games!$A$2:$A$834,0)),""))</f>
        <v>2019</v>
      </c>
      <c r="U413">
        <f>IF(connections!$A413="","",IFERROR(INDEX(games!$B$2:$B$834,MATCH(connections!$B413,games!$A$2:$A$834,0)),""))</f>
        <v>2020</v>
      </c>
      <c r="V413">
        <f t="shared" si="83"/>
        <v>1</v>
      </c>
    </row>
    <row r="414" spans="1:22" x14ac:dyDescent="0.25">
      <c r="A414" t="str">
        <f>IF(games!$A414="","",games!$A414)</f>
        <v>Magic Survival</v>
      </c>
      <c r="B414">
        <f>IF($A414="","",games!$B414)</f>
        <v>2019</v>
      </c>
      <c r="C414" t="str">
        <f>IF($A414="","",games!$C414)</f>
        <v>Action</v>
      </c>
      <c r="D414">
        <f>IF($A414="","",COUNTIF(connections!$A$2:$A$1188,$A414)+COUNTIF(connections!$B$2:$B$1188,$A414))</f>
        <v>1</v>
      </c>
      <c r="E414">
        <f t="shared" si="72"/>
        <v>1</v>
      </c>
      <c r="F414">
        <f t="shared" si="73"/>
        <v>6</v>
      </c>
      <c r="G414">
        <f t="shared" si="74"/>
        <v>2019</v>
      </c>
      <c r="H414">
        <f t="shared" si="75"/>
        <v>1.1379999999999999</v>
      </c>
      <c r="I414" t="e">
        <f t="shared" si="76"/>
        <v>#N/A</v>
      </c>
      <c r="J414" t="e">
        <f t="shared" si="77"/>
        <v>#N/A</v>
      </c>
      <c r="K414" t="e">
        <f t="shared" si="78"/>
        <v>#N/A</v>
      </c>
      <c r="L414" t="e">
        <f t="shared" si="79"/>
        <v>#N/A</v>
      </c>
      <c r="M414" t="e">
        <f t="shared" si="80"/>
        <v>#N/A</v>
      </c>
      <c r="N414" t="e">
        <f t="shared" si="81"/>
        <v>#N/A</v>
      </c>
      <c r="O414">
        <f t="shared" si="82"/>
        <v>1.0004139999999999</v>
      </c>
      <c r="T414">
        <f>IF(connections!$A414="","",IFERROR(INDEX(games!$B$2:$B$834,MATCH(connections!$A414,games!$A$2:$A$834,0)),""))</f>
        <v>2019</v>
      </c>
      <c r="U414">
        <f>IF(connections!$A414="","",IFERROR(INDEX(games!$B$2:$B$834,MATCH(connections!$B414,games!$A$2:$A$834,0)),""))</f>
        <v>2024</v>
      </c>
      <c r="V414">
        <f t="shared" si="83"/>
        <v>5</v>
      </c>
    </row>
    <row r="415" spans="1:22" x14ac:dyDescent="0.25">
      <c r="A415" t="str">
        <f>IF(games!$A415="","",games!$A415)</f>
        <v>Magicraft</v>
      </c>
      <c r="B415">
        <f>IF($A415="","",games!$B415)</f>
        <v>2023</v>
      </c>
      <c r="C415" t="str">
        <f>IF($A415="","",games!$C415)</f>
        <v>Action</v>
      </c>
      <c r="D415">
        <f>IF($A415="","",COUNTIF(connections!$A$2:$A$1188,$A415)+COUNTIF(connections!$B$2:$B$1188,$A415))</f>
        <v>4</v>
      </c>
      <c r="E415">
        <f t="shared" si="72"/>
        <v>1</v>
      </c>
      <c r="F415">
        <f t="shared" si="73"/>
        <v>7</v>
      </c>
      <c r="G415">
        <f t="shared" si="74"/>
        <v>2023</v>
      </c>
      <c r="H415">
        <f t="shared" si="75"/>
        <v>1.161</v>
      </c>
      <c r="I415" t="e">
        <f t="shared" si="76"/>
        <v>#N/A</v>
      </c>
      <c r="J415" t="e">
        <f t="shared" si="77"/>
        <v>#N/A</v>
      </c>
      <c r="K415" t="e">
        <f t="shared" si="78"/>
        <v>#N/A</v>
      </c>
      <c r="L415" t="e">
        <f t="shared" si="79"/>
        <v>#N/A</v>
      </c>
      <c r="M415" t="e">
        <f t="shared" si="80"/>
        <v>#N/A</v>
      </c>
      <c r="N415" t="e">
        <f t="shared" si="81"/>
        <v>#N/A</v>
      </c>
      <c r="O415">
        <f t="shared" si="82"/>
        <v>4.0004150000000003</v>
      </c>
      <c r="T415">
        <f>IF(connections!$A415="","",IFERROR(INDEX(games!$B$2:$B$834,MATCH(connections!$A415,games!$A$2:$A$834,0)),""))</f>
        <v>2019</v>
      </c>
      <c r="U415">
        <f>IF(connections!$A415="","",IFERROR(INDEX(games!$B$2:$B$834,MATCH(connections!$B415,games!$A$2:$A$834,0)),""))</f>
        <v>2022</v>
      </c>
      <c r="V415">
        <f t="shared" si="83"/>
        <v>3</v>
      </c>
    </row>
    <row r="416" spans="1:22" x14ac:dyDescent="0.25">
      <c r="A416" t="str">
        <f>IF(games!$A416="","",games!$A416)</f>
        <v>Maid Survivors: Little Angels</v>
      </c>
      <c r="B416">
        <f>IF($A416="","",games!$B416)</f>
        <v>2025</v>
      </c>
      <c r="C416" t="str">
        <f>IF($A416="","",games!$C416)</f>
        <v>Action</v>
      </c>
      <c r="D416">
        <f>IF($A416="","",COUNTIF(connections!$A$2:$A$1188,$A416)+COUNTIF(connections!$B$2:$B$1188,$A416))</f>
        <v>1</v>
      </c>
      <c r="E416">
        <f t="shared" si="72"/>
        <v>1</v>
      </c>
      <c r="F416">
        <f t="shared" si="73"/>
        <v>8</v>
      </c>
      <c r="G416">
        <f t="shared" si="74"/>
        <v>2025</v>
      </c>
      <c r="H416">
        <f t="shared" si="75"/>
        <v>1.1839999999999999</v>
      </c>
      <c r="I416" t="e">
        <f t="shared" si="76"/>
        <v>#N/A</v>
      </c>
      <c r="J416" t="e">
        <f t="shared" si="77"/>
        <v>#N/A</v>
      </c>
      <c r="K416" t="e">
        <f t="shared" si="78"/>
        <v>#N/A</v>
      </c>
      <c r="L416" t="e">
        <f t="shared" si="79"/>
        <v>#N/A</v>
      </c>
      <c r="M416" t="e">
        <f t="shared" si="80"/>
        <v>#N/A</v>
      </c>
      <c r="N416" t="e">
        <f t="shared" si="81"/>
        <v>#N/A</v>
      </c>
      <c r="O416">
        <f t="shared" si="82"/>
        <v>1.000416</v>
      </c>
      <c r="T416">
        <f>IF(connections!$A416="","",IFERROR(INDEX(games!$B$2:$B$834,MATCH(connections!$A416,games!$A$2:$A$834,0)),""))</f>
        <v>2019</v>
      </c>
      <c r="U416">
        <f>IF(connections!$A416="","",IFERROR(INDEX(games!$B$2:$B$834,MATCH(connections!$B416,games!$A$2:$A$834,0)),""))</f>
        <v>2025</v>
      </c>
      <c r="V416">
        <f t="shared" si="83"/>
        <v>6</v>
      </c>
    </row>
    <row r="417" spans="1:22" x14ac:dyDescent="0.25">
      <c r="A417" t="str">
        <f>IF(games!$A417="","",games!$A417)</f>
        <v>Mainframe Defenders</v>
      </c>
      <c r="B417">
        <f>IF($A417="","",games!$B417)</f>
        <v>2020</v>
      </c>
      <c r="C417" t="str">
        <f>IF($A417="","",games!$C417)</f>
        <v>Traditional</v>
      </c>
      <c r="D417">
        <f>IF($A417="","",COUNTIF(connections!$A$2:$A$1188,$A417)+COUNTIF(connections!$B$2:$B$1188,$A417))</f>
        <v>1</v>
      </c>
      <c r="E417">
        <f t="shared" si="72"/>
        <v>4</v>
      </c>
      <c r="F417">
        <f t="shared" si="73"/>
        <v>9</v>
      </c>
      <c r="G417" t="e">
        <f t="shared" si="74"/>
        <v>#N/A</v>
      </c>
      <c r="H417" t="e">
        <f t="shared" si="75"/>
        <v>#N/A</v>
      </c>
      <c r="I417" t="e">
        <f t="shared" si="76"/>
        <v>#N/A</v>
      </c>
      <c r="J417" t="e">
        <f t="shared" si="77"/>
        <v>#N/A</v>
      </c>
      <c r="K417" t="e">
        <f t="shared" si="78"/>
        <v>#N/A</v>
      </c>
      <c r="L417" t="e">
        <f t="shared" si="79"/>
        <v>#N/A</v>
      </c>
      <c r="M417">
        <f t="shared" si="80"/>
        <v>2020</v>
      </c>
      <c r="N417">
        <f t="shared" si="81"/>
        <v>4.2069999999999999</v>
      </c>
      <c r="O417">
        <f t="shared" si="82"/>
        <v>1.0004169999999999</v>
      </c>
      <c r="T417">
        <f>IF(connections!$A417="","",IFERROR(INDEX(games!$B$2:$B$834,MATCH(connections!$A417,games!$A$2:$A$834,0)),""))</f>
        <v>2019</v>
      </c>
      <c r="U417">
        <f>IF(connections!$A417="","",IFERROR(INDEX(games!$B$2:$B$834,MATCH(connections!$B417,games!$A$2:$A$834,0)),""))</f>
        <v>2026</v>
      </c>
      <c r="V417">
        <f t="shared" si="83"/>
        <v>7</v>
      </c>
    </row>
    <row r="418" spans="1:22" x14ac:dyDescent="0.25">
      <c r="A418" t="str">
        <f>IF(games!$A418="","",games!$A418)</f>
        <v>Mana Spark</v>
      </c>
      <c r="B418">
        <f>IF($A418="","",games!$B418)</f>
        <v>2018</v>
      </c>
      <c r="C418" t="str">
        <f>IF($A418="","",games!$C418)</f>
        <v>Action</v>
      </c>
      <c r="D418">
        <f>IF($A418="","",COUNTIF(connections!$A$2:$A$1188,$A418)+COUNTIF(connections!$B$2:$B$1188,$A418))</f>
        <v>2</v>
      </c>
      <c r="E418">
        <f t="shared" si="72"/>
        <v>1</v>
      </c>
      <c r="F418">
        <f t="shared" si="73"/>
        <v>10</v>
      </c>
      <c r="G418">
        <f t="shared" si="74"/>
        <v>2018</v>
      </c>
      <c r="H418">
        <f t="shared" si="75"/>
        <v>1.23</v>
      </c>
      <c r="I418" t="e">
        <f t="shared" si="76"/>
        <v>#N/A</v>
      </c>
      <c r="J418" t="e">
        <f t="shared" si="77"/>
        <v>#N/A</v>
      </c>
      <c r="K418" t="e">
        <f t="shared" si="78"/>
        <v>#N/A</v>
      </c>
      <c r="L418" t="e">
        <f t="shared" si="79"/>
        <v>#N/A</v>
      </c>
      <c r="M418" t="e">
        <f t="shared" si="80"/>
        <v>#N/A</v>
      </c>
      <c r="N418" t="e">
        <f t="shared" si="81"/>
        <v>#N/A</v>
      </c>
      <c r="O418">
        <f t="shared" si="82"/>
        <v>2.0004179999999998</v>
      </c>
      <c r="T418">
        <f>IF(connections!$A418="","",IFERROR(INDEX(games!$B$2:$B$834,MATCH(connections!$A418,games!$A$2:$A$834,0)),""))</f>
        <v>2019</v>
      </c>
      <c r="U418">
        <f>IF(connections!$A418="","",IFERROR(INDEX(games!$B$2:$B$834,MATCH(connections!$B418,games!$A$2:$A$834,0)),""))</f>
        <v>2025</v>
      </c>
      <c r="V418">
        <f t="shared" si="83"/>
        <v>6</v>
      </c>
    </row>
    <row r="419" spans="1:22" x14ac:dyDescent="0.25">
      <c r="A419" t="str">
        <f>IF(games!$A419="","",games!$A419)</f>
        <v>Masks of the Void: Origins</v>
      </c>
      <c r="B419">
        <f>IF($A419="","",games!$B419)</f>
        <v>2025</v>
      </c>
      <c r="C419" t="str">
        <f>IF($A419="","",games!$C419)</f>
        <v>Action</v>
      </c>
      <c r="D419">
        <f>IF($A419="","",COUNTIF(connections!$A$2:$A$1188,$A419)+COUNTIF(connections!$B$2:$B$1188,$A419))</f>
        <v>3</v>
      </c>
      <c r="E419">
        <f t="shared" si="72"/>
        <v>1</v>
      </c>
      <c r="F419">
        <f t="shared" si="73"/>
        <v>11</v>
      </c>
      <c r="G419">
        <f t="shared" si="74"/>
        <v>2025</v>
      </c>
      <c r="H419">
        <f t="shared" si="75"/>
        <v>1.2530000000000001</v>
      </c>
      <c r="I419" t="e">
        <f t="shared" si="76"/>
        <v>#N/A</v>
      </c>
      <c r="J419" t="e">
        <f t="shared" si="77"/>
        <v>#N/A</v>
      </c>
      <c r="K419" t="e">
        <f t="shared" si="78"/>
        <v>#N/A</v>
      </c>
      <c r="L419" t="e">
        <f t="shared" si="79"/>
        <v>#N/A</v>
      </c>
      <c r="M419" t="e">
        <f t="shared" si="80"/>
        <v>#N/A</v>
      </c>
      <c r="N419" t="e">
        <f t="shared" si="81"/>
        <v>#N/A</v>
      </c>
      <c r="O419">
        <f t="shared" si="82"/>
        <v>3.0004189999999999</v>
      </c>
      <c r="T419">
        <f>IF(connections!$A419="","",IFERROR(INDEX(games!$B$2:$B$834,MATCH(connections!$A419,games!$A$2:$A$834,0)),""))</f>
        <v>2019</v>
      </c>
      <c r="U419">
        <f>IF(connections!$A419="","",IFERROR(INDEX(games!$B$2:$B$834,MATCH(connections!$B419,games!$A$2:$A$834,0)),""))</f>
        <v>2025</v>
      </c>
      <c r="V419">
        <f t="shared" si="83"/>
        <v>6</v>
      </c>
    </row>
    <row r="420" spans="1:22" x14ac:dyDescent="0.25">
      <c r="A420" t="str">
        <f>IF(games!$A420="","",games!$A420)</f>
        <v>Master of Piece</v>
      </c>
      <c r="B420">
        <f>IF($A420="","",games!$B420)</f>
        <v>2026</v>
      </c>
      <c r="C420" t="str">
        <f>IF($A420="","",games!$C420)</f>
        <v>Deckbuilder</v>
      </c>
      <c r="D420">
        <f>IF($A420="","",COUNTIF(connections!$A$2:$A$1188,$A420)+COUNTIF(connections!$B$2:$B$1188,$A420))</f>
        <v>4</v>
      </c>
      <c r="E420">
        <f t="shared" si="72"/>
        <v>3</v>
      </c>
      <c r="F420">
        <f t="shared" si="73"/>
        <v>12</v>
      </c>
      <c r="G420" t="e">
        <f t="shared" si="74"/>
        <v>#N/A</v>
      </c>
      <c r="H420" t="e">
        <f t="shared" si="75"/>
        <v>#N/A</v>
      </c>
      <c r="I420" t="e">
        <f t="shared" si="76"/>
        <v>#N/A</v>
      </c>
      <c r="J420" t="e">
        <f t="shared" si="77"/>
        <v>#N/A</v>
      </c>
      <c r="K420">
        <f t="shared" si="78"/>
        <v>2026</v>
      </c>
      <c r="L420">
        <f t="shared" si="79"/>
        <v>3.2759999999999998</v>
      </c>
      <c r="M420" t="e">
        <f t="shared" si="80"/>
        <v>#N/A</v>
      </c>
      <c r="N420" t="e">
        <f t="shared" si="81"/>
        <v>#N/A</v>
      </c>
      <c r="O420">
        <f t="shared" si="82"/>
        <v>4.0004200000000001</v>
      </c>
      <c r="T420">
        <f>IF(connections!$A420="","",IFERROR(INDEX(games!$B$2:$B$834,MATCH(connections!$A420,games!$A$2:$A$834,0)),""))</f>
        <v>2019</v>
      </c>
      <c r="U420">
        <f>IF(connections!$A420="","",IFERROR(INDEX(games!$B$2:$B$834,MATCH(connections!$B420,games!$A$2:$A$834,0)),""))</f>
        <v>2025</v>
      </c>
      <c r="V420">
        <f t="shared" si="83"/>
        <v>6</v>
      </c>
    </row>
    <row r="421" spans="1:22" x14ac:dyDescent="0.25">
      <c r="A421" t="str">
        <f>IF(games!$A421="","",games!$A421)</f>
        <v>Maze Mice</v>
      </c>
      <c r="B421">
        <f>IF($A421="","",games!$B421)</f>
        <v>2025</v>
      </c>
      <c r="C421" t="str">
        <f>IF($A421="","",games!$C421)</f>
        <v>Action</v>
      </c>
      <c r="D421">
        <f>IF($A421="","",COUNTIF(connections!$A$2:$A$1188,$A421)+COUNTIF(connections!$B$2:$B$1188,$A421))</f>
        <v>1</v>
      </c>
      <c r="E421">
        <f t="shared" si="72"/>
        <v>1</v>
      </c>
      <c r="F421">
        <f t="shared" si="73"/>
        <v>13</v>
      </c>
      <c r="G421">
        <f t="shared" si="74"/>
        <v>2025</v>
      </c>
      <c r="H421">
        <f t="shared" si="75"/>
        <v>1.2989999999999999</v>
      </c>
      <c r="I421" t="e">
        <f t="shared" si="76"/>
        <v>#N/A</v>
      </c>
      <c r="J421" t="e">
        <f t="shared" si="77"/>
        <v>#N/A</v>
      </c>
      <c r="K421" t="e">
        <f t="shared" si="78"/>
        <v>#N/A</v>
      </c>
      <c r="L421" t="e">
        <f t="shared" si="79"/>
        <v>#N/A</v>
      </c>
      <c r="M421" t="e">
        <f t="shared" si="80"/>
        <v>#N/A</v>
      </c>
      <c r="N421" t="e">
        <f t="shared" si="81"/>
        <v>#N/A</v>
      </c>
      <c r="O421">
        <f t="shared" si="82"/>
        <v>1.000421</v>
      </c>
      <c r="T421">
        <f>IF(connections!$A421="","",IFERROR(INDEX(games!$B$2:$B$834,MATCH(connections!$A421,games!$A$2:$A$834,0)),""))</f>
        <v>2019</v>
      </c>
      <c r="U421">
        <f>IF(connections!$A421="","",IFERROR(INDEX(games!$B$2:$B$834,MATCH(connections!$B421,games!$A$2:$A$834,0)),""))</f>
        <v>2021</v>
      </c>
      <c r="V421">
        <f t="shared" si="83"/>
        <v>2</v>
      </c>
    </row>
    <row r="422" spans="1:22" x14ac:dyDescent="0.25">
      <c r="A422" t="str">
        <f>IF(games!$A422="","",games!$A422)</f>
        <v>Mechanibot</v>
      </c>
      <c r="B422">
        <f>IF($A422="","",games!$B422)</f>
        <v>2022</v>
      </c>
      <c r="C422" t="str">
        <f>IF($A422="","",games!$C422)</f>
        <v>Strategy</v>
      </c>
      <c r="D422">
        <f>IF($A422="","",COUNTIF(connections!$A$2:$A$1188,$A422)+COUNTIF(connections!$B$2:$B$1188,$A422))</f>
        <v>0</v>
      </c>
      <c r="E422">
        <f t="shared" si="72"/>
        <v>2</v>
      </c>
      <c r="F422">
        <f t="shared" si="73"/>
        <v>14</v>
      </c>
      <c r="G422" t="e">
        <f t="shared" si="74"/>
        <v>#N/A</v>
      </c>
      <c r="H422" t="e">
        <f t="shared" si="75"/>
        <v>#N/A</v>
      </c>
      <c r="I422">
        <f t="shared" si="76"/>
        <v>2022</v>
      </c>
      <c r="J422">
        <f t="shared" si="77"/>
        <v>2.3220000000000001</v>
      </c>
      <c r="K422" t="e">
        <f t="shared" si="78"/>
        <v>#N/A</v>
      </c>
      <c r="L422" t="e">
        <f t="shared" si="79"/>
        <v>#N/A</v>
      </c>
      <c r="M422" t="e">
        <f t="shared" si="80"/>
        <v>#N/A</v>
      </c>
      <c r="N422" t="e">
        <f t="shared" si="81"/>
        <v>#N/A</v>
      </c>
      <c r="O422">
        <f t="shared" si="82"/>
        <v>4.2200000000000001E-4</v>
      </c>
      <c r="T422">
        <f>IF(connections!$A422="","",IFERROR(INDEX(games!$B$2:$B$834,MATCH(connections!$A422,games!$A$2:$A$834,0)),""))</f>
        <v>2019</v>
      </c>
      <c r="U422">
        <f>IF(connections!$A422="","",IFERROR(INDEX(games!$B$2:$B$834,MATCH(connections!$B422,games!$A$2:$A$834,0)),""))</f>
        <v>2025</v>
      </c>
      <c r="V422">
        <f t="shared" si="83"/>
        <v>6</v>
      </c>
    </row>
    <row r="423" spans="1:22" x14ac:dyDescent="0.25">
      <c r="A423" t="str">
        <f>IF(games!$A423="","",games!$A423)</f>
        <v>Megabonk</v>
      </c>
      <c r="B423">
        <f>IF($A423="","",games!$B423)</f>
        <v>2025</v>
      </c>
      <c r="C423" t="str">
        <f>IF($A423="","",games!$C423)</f>
        <v>Action</v>
      </c>
      <c r="D423">
        <f>IF($A423="","",COUNTIF(connections!$A$2:$A$1188,$A423)+COUNTIF(connections!$B$2:$B$1188,$A423))</f>
        <v>2</v>
      </c>
      <c r="E423">
        <f t="shared" si="72"/>
        <v>1</v>
      </c>
      <c r="F423">
        <f t="shared" si="73"/>
        <v>15</v>
      </c>
      <c r="G423">
        <f t="shared" si="74"/>
        <v>2025</v>
      </c>
      <c r="H423">
        <f t="shared" si="75"/>
        <v>1.345</v>
      </c>
      <c r="I423" t="e">
        <f t="shared" si="76"/>
        <v>#N/A</v>
      </c>
      <c r="J423" t="e">
        <f t="shared" si="77"/>
        <v>#N/A</v>
      </c>
      <c r="K423" t="e">
        <f t="shared" si="78"/>
        <v>#N/A</v>
      </c>
      <c r="L423" t="e">
        <f t="shared" si="79"/>
        <v>#N/A</v>
      </c>
      <c r="M423" t="e">
        <f t="shared" si="80"/>
        <v>#N/A</v>
      </c>
      <c r="N423" t="e">
        <f t="shared" si="81"/>
        <v>#N/A</v>
      </c>
      <c r="O423">
        <f t="shared" si="82"/>
        <v>2.0004230000000001</v>
      </c>
      <c r="T423">
        <f>IF(connections!$A423="","",IFERROR(INDEX(games!$B$2:$B$834,MATCH(connections!$A423,games!$A$2:$A$834,0)),""))</f>
        <v>2019</v>
      </c>
      <c r="U423">
        <f>IF(connections!$A423="","",IFERROR(INDEX(games!$B$2:$B$834,MATCH(connections!$B423,games!$A$2:$A$834,0)),""))</f>
        <v>2022</v>
      </c>
      <c r="V423">
        <f t="shared" si="83"/>
        <v>3</v>
      </c>
    </row>
    <row r="424" spans="1:22" x14ac:dyDescent="0.25">
      <c r="A424" t="str">
        <f>IF(games!$A424="","",games!$A424)</f>
        <v>Meme Mayhem</v>
      </c>
      <c r="B424">
        <f>IF($A424="","",games!$B424)</f>
        <v>2024</v>
      </c>
      <c r="C424" t="str">
        <f>IF($A424="","",games!$C424)</f>
        <v>Deckbuilder</v>
      </c>
      <c r="D424">
        <f>IF($A424="","",COUNTIF(connections!$A$2:$A$1188,$A424)+COUNTIF(connections!$B$2:$B$1188,$A424))</f>
        <v>1</v>
      </c>
      <c r="E424">
        <f t="shared" si="72"/>
        <v>3</v>
      </c>
      <c r="F424">
        <f t="shared" si="73"/>
        <v>16</v>
      </c>
      <c r="G424" t="e">
        <f t="shared" si="74"/>
        <v>#N/A</v>
      </c>
      <c r="H424" t="e">
        <f t="shared" si="75"/>
        <v>#N/A</v>
      </c>
      <c r="I424" t="e">
        <f t="shared" si="76"/>
        <v>#N/A</v>
      </c>
      <c r="J424" t="e">
        <f t="shared" si="77"/>
        <v>#N/A</v>
      </c>
      <c r="K424">
        <f t="shared" si="78"/>
        <v>2024</v>
      </c>
      <c r="L424">
        <f t="shared" si="79"/>
        <v>3.3679999999999999</v>
      </c>
      <c r="M424" t="e">
        <f t="shared" si="80"/>
        <v>#N/A</v>
      </c>
      <c r="N424" t="e">
        <f t="shared" si="81"/>
        <v>#N/A</v>
      </c>
      <c r="O424">
        <f t="shared" si="82"/>
        <v>1.000424</v>
      </c>
      <c r="T424">
        <f>IF(connections!$A424="","",IFERROR(INDEX(games!$B$2:$B$834,MATCH(connections!$A424,games!$A$2:$A$834,0)),""))</f>
        <v>2019</v>
      </c>
      <c r="U424">
        <f>IF(connections!$A424="","",IFERROR(INDEX(games!$B$2:$B$834,MATCH(connections!$B424,games!$A$2:$A$834,0)),""))</f>
        <v>2025</v>
      </c>
      <c r="V424">
        <f t="shared" si="83"/>
        <v>6</v>
      </c>
    </row>
    <row r="425" spans="1:22" x14ac:dyDescent="0.25">
      <c r="A425" t="str">
        <f>IF(games!$A425="","",games!$A425)</f>
        <v>Menace from the Deep</v>
      </c>
      <c r="B425">
        <f>IF($A425="","",games!$B425)</f>
        <v>2024</v>
      </c>
      <c r="C425" t="str">
        <f>IF($A425="","",games!$C425)</f>
        <v>Deckbuilder</v>
      </c>
      <c r="D425">
        <f>IF($A425="","",COUNTIF(connections!$A$2:$A$1188,$A425)+COUNTIF(connections!$B$2:$B$1188,$A425))</f>
        <v>1</v>
      </c>
      <c r="E425">
        <f t="shared" si="72"/>
        <v>3</v>
      </c>
      <c r="F425">
        <f t="shared" si="73"/>
        <v>17</v>
      </c>
      <c r="G425" t="e">
        <f t="shared" si="74"/>
        <v>#N/A</v>
      </c>
      <c r="H425" t="e">
        <f t="shared" si="75"/>
        <v>#N/A</v>
      </c>
      <c r="I425" t="e">
        <f t="shared" si="76"/>
        <v>#N/A</v>
      </c>
      <c r="J425" t="e">
        <f t="shared" si="77"/>
        <v>#N/A</v>
      </c>
      <c r="K425">
        <f t="shared" si="78"/>
        <v>2024</v>
      </c>
      <c r="L425">
        <f t="shared" si="79"/>
        <v>3.391</v>
      </c>
      <c r="M425" t="e">
        <f t="shared" si="80"/>
        <v>#N/A</v>
      </c>
      <c r="N425" t="e">
        <f t="shared" si="81"/>
        <v>#N/A</v>
      </c>
      <c r="O425">
        <f t="shared" si="82"/>
        <v>1.0004249999999999</v>
      </c>
      <c r="T425">
        <f>IF(connections!$A425="","",IFERROR(INDEX(games!$B$2:$B$834,MATCH(connections!$A425,games!$A$2:$A$834,0)),""))</f>
        <v>2019</v>
      </c>
      <c r="U425">
        <f>IF(connections!$A425="","",IFERROR(INDEX(games!$B$2:$B$834,MATCH(connections!$B425,games!$A$2:$A$834,0)),""))</f>
        <v>2024</v>
      </c>
      <c r="V425">
        <f t="shared" si="83"/>
        <v>5</v>
      </c>
    </row>
    <row r="426" spans="1:22" x14ac:dyDescent="0.25">
      <c r="A426" t="str">
        <f>IF(games!$A426="","",games!$A426)</f>
        <v>Menherarium</v>
      </c>
      <c r="B426">
        <f>IF($A426="","",games!$B426)</f>
        <v>2026</v>
      </c>
      <c r="C426" t="str">
        <f>IF($A426="","",games!$C426)</f>
        <v>Deckbuilder</v>
      </c>
      <c r="D426">
        <f>IF($A426="","",COUNTIF(connections!$A$2:$A$1188,$A426)+COUNTIF(connections!$B$2:$B$1188,$A426))</f>
        <v>2</v>
      </c>
      <c r="E426">
        <f t="shared" si="72"/>
        <v>3</v>
      </c>
      <c r="F426">
        <f t="shared" si="73"/>
        <v>18</v>
      </c>
      <c r="G426" t="e">
        <f t="shared" si="74"/>
        <v>#N/A</v>
      </c>
      <c r="H426" t="e">
        <f t="shared" si="75"/>
        <v>#N/A</v>
      </c>
      <c r="I426" t="e">
        <f t="shared" si="76"/>
        <v>#N/A</v>
      </c>
      <c r="J426" t="e">
        <f t="shared" si="77"/>
        <v>#N/A</v>
      </c>
      <c r="K426">
        <f t="shared" si="78"/>
        <v>2026</v>
      </c>
      <c r="L426">
        <f t="shared" si="79"/>
        <v>3.4140000000000001</v>
      </c>
      <c r="M426" t="e">
        <f t="shared" si="80"/>
        <v>#N/A</v>
      </c>
      <c r="N426" t="e">
        <f t="shared" si="81"/>
        <v>#N/A</v>
      </c>
      <c r="O426">
        <f t="shared" si="82"/>
        <v>2.000426</v>
      </c>
      <c r="T426">
        <f>IF(connections!$A426="","",IFERROR(INDEX(games!$B$2:$B$834,MATCH(connections!$A426,games!$A$2:$A$834,0)),""))</f>
        <v>2019</v>
      </c>
      <c r="U426">
        <f>IF(connections!$A426="","",IFERROR(INDEX(games!$B$2:$B$834,MATCH(connections!$B426,games!$A$2:$A$834,0)),""))</f>
        <v>2026</v>
      </c>
      <c r="V426">
        <f t="shared" si="83"/>
        <v>7</v>
      </c>
    </row>
    <row r="427" spans="1:22" x14ac:dyDescent="0.25">
      <c r="A427" t="str">
        <f>IF(games!$A427="","",games!$A427)</f>
        <v>Merge Maestro</v>
      </c>
      <c r="B427">
        <f>IF($A427="","",games!$B427)</f>
        <v>2025</v>
      </c>
      <c r="C427" t="str">
        <f>IF($A427="","",games!$C427)</f>
        <v>Deckbuilder</v>
      </c>
      <c r="D427">
        <f>IF($A427="","",COUNTIF(connections!$A$2:$A$1188,$A427)+COUNTIF(connections!$B$2:$B$1188,$A427))</f>
        <v>1</v>
      </c>
      <c r="E427">
        <f t="shared" si="72"/>
        <v>3</v>
      </c>
      <c r="F427">
        <f t="shared" si="73"/>
        <v>19</v>
      </c>
      <c r="G427" t="e">
        <f t="shared" si="74"/>
        <v>#N/A</v>
      </c>
      <c r="H427" t="e">
        <f t="shared" si="75"/>
        <v>#N/A</v>
      </c>
      <c r="I427" t="e">
        <f t="shared" si="76"/>
        <v>#N/A</v>
      </c>
      <c r="J427" t="e">
        <f t="shared" si="77"/>
        <v>#N/A</v>
      </c>
      <c r="K427">
        <f t="shared" si="78"/>
        <v>2025</v>
      </c>
      <c r="L427">
        <f t="shared" si="79"/>
        <v>3.4369999999999998</v>
      </c>
      <c r="M427" t="e">
        <f t="shared" si="80"/>
        <v>#N/A</v>
      </c>
      <c r="N427" t="e">
        <f t="shared" si="81"/>
        <v>#N/A</v>
      </c>
      <c r="O427">
        <f t="shared" si="82"/>
        <v>1.000427</v>
      </c>
      <c r="T427">
        <f>IF(connections!$A427="","",IFERROR(INDEX(games!$B$2:$B$834,MATCH(connections!$A427,games!$A$2:$A$834,0)),""))</f>
        <v>2019</v>
      </c>
      <c r="U427">
        <f>IF(connections!$A427="","",IFERROR(INDEX(games!$B$2:$B$834,MATCH(connections!$B427,games!$A$2:$A$834,0)),""))</f>
        <v>2022</v>
      </c>
      <c r="V427">
        <f t="shared" si="83"/>
        <v>3</v>
      </c>
    </row>
    <row r="428" spans="1:22" x14ac:dyDescent="0.25">
      <c r="A428" t="str">
        <f>IF(games!$A428="","",games!$A428)</f>
        <v>Metal Slug Tactics</v>
      </c>
      <c r="B428">
        <f>IF($A428="","",games!$B428)</f>
        <v>2024</v>
      </c>
      <c r="C428" t="str">
        <f>IF($A428="","",games!$C428)</f>
        <v>Strategy</v>
      </c>
      <c r="D428">
        <f>IF($A428="","",COUNTIF(connections!$A$2:$A$1188,$A428)+COUNTIF(connections!$B$2:$B$1188,$A428))</f>
        <v>1</v>
      </c>
      <c r="E428">
        <f t="shared" si="72"/>
        <v>2</v>
      </c>
      <c r="F428">
        <f t="shared" si="73"/>
        <v>20</v>
      </c>
      <c r="G428" t="e">
        <f t="shared" si="74"/>
        <v>#N/A</v>
      </c>
      <c r="H428" t="e">
        <f t="shared" si="75"/>
        <v>#N/A</v>
      </c>
      <c r="I428">
        <f t="shared" si="76"/>
        <v>2024</v>
      </c>
      <c r="J428">
        <f t="shared" si="77"/>
        <v>2.46</v>
      </c>
      <c r="K428" t="e">
        <f t="shared" si="78"/>
        <v>#N/A</v>
      </c>
      <c r="L428" t="e">
        <f t="shared" si="79"/>
        <v>#N/A</v>
      </c>
      <c r="M428" t="e">
        <f t="shared" si="80"/>
        <v>#N/A</v>
      </c>
      <c r="N428" t="e">
        <f t="shared" si="81"/>
        <v>#N/A</v>
      </c>
      <c r="O428">
        <f t="shared" si="82"/>
        <v>1.0004280000000001</v>
      </c>
      <c r="T428">
        <f>IF(connections!$A428="","",IFERROR(INDEX(games!$B$2:$B$834,MATCH(connections!$A428,games!$A$2:$A$834,0)),""))</f>
        <v>2019</v>
      </c>
      <c r="U428">
        <f>IF(connections!$A428="","",IFERROR(INDEX(games!$B$2:$B$834,MATCH(connections!$B428,games!$A$2:$A$834,0)),""))</f>
        <v>2022</v>
      </c>
      <c r="V428">
        <f t="shared" si="83"/>
        <v>3</v>
      </c>
    </row>
    <row r="429" spans="1:22" x14ac:dyDescent="0.25">
      <c r="A429" t="str">
        <f>IF(games!$A429="","",games!$A429)</f>
        <v>Metal Unit</v>
      </c>
      <c r="B429">
        <f>IF($A429="","",games!$B429)</f>
        <v>2020</v>
      </c>
      <c r="C429" t="str">
        <f>IF($A429="","",games!$C429)</f>
        <v>Action</v>
      </c>
      <c r="D429">
        <f>IF($A429="","",COUNTIF(connections!$A$2:$A$1188,$A429)+COUNTIF(connections!$B$2:$B$1188,$A429))</f>
        <v>1</v>
      </c>
      <c r="E429">
        <f t="shared" si="72"/>
        <v>1</v>
      </c>
      <c r="F429">
        <f t="shared" si="73"/>
        <v>21</v>
      </c>
      <c r="G429">
        <f t="shared" si="74"/>
        <v>2020</v>
      </c>
      <c r="H429">
        <f t="shared" si="75"/>
        <v>1.4830000000000001</v>
      </c>
      <c r="I429" t="e">
        <f t="shared" si="76"/>
        <v>#N/A</v>
      </c>
      <c r="J429" t="e">
        <f t="shared" si="77"/>
        <v>#N/A</v>
      </c>
      <c r="K429" t="e">
        <f t="shared" si="78"/>
        <v>#N/A</v>
      </c>
      <c r="L429" t="e">
        <f t="shared" si="79"/>
        <v>#N/A</v>
      </c>
      <c r="M429" t="e">
        <f t="shared" si="80"/>
        <v>#N/A</v>
      </c>
      <c r="N429" t="e">
        <f t="shared" si="81"/>
        <v>#N/A</v>
      </c>
      <c r="O429">
        <f t="shared" si="82"/>
        <v>1.000429</v>
      </c>
      <c r="T429">
        <f>IF(connections!$A429="","",IFERROR(INDEX(games!$B$2:$B$834,MATCH(connections!$A429,games!$A$2:$A$834,0)),""))</f>
        <v>2019</v>
      </c>
      <c r="U429">
        <f>IF(connections!$A429="","",IFERROR(INDEX(games!$B$2:$B$834,MATCH(connections!$B429,games!$A$2:$A$834,0)),""))</f>
        <v>2023</v>
      </c>
      <c r="V429">
        <f t="shared" si="83"/>
        <v>4</v>
      </c>
    </row>
    <row r="430" spans="1:22" x14ac:dyDescent="0.25">
      <c r="A430" t="str">
        <f>IF(games!$A430="","",games!$A430)</f>
        <v>Metallic Child</v>
      </c>
      <c r="B430">
        <f>IF($A430="","",games!$B430)</f>
        <v>2021</v>
      </c>
      <c r="C430" t="str">
        <f>IF($A430="","",games!$C430)</f>
        <v>Action</v>
      </c>
      <c r="D430">
        <f>IF($A430="","",COUNTIF(connections!$A$2:$A$1188,$A430)+COUNTIF(connections!$B$2:$B$1188,$A430))</f>
        <v>0</v>
      </c>
      <c r="E430">
        <f t="shared" si="72"/>
        <v>1</v>
      </c>
      <c r="F430">
        <f t="shared" si="73"/>
        <v>22</v>
      </c>
      <c r="G430">
        <f t="shared" si="74"/>
        <v>2021</v>
      </c>
      <c r="H430">
        <f t="shared" si="75"/>
        <v>1.506</v>
      </c>
      <c r="I430" t="e">
        <f t="shared" si="76"/>
        <v>#N/A</v>
      </c>
      <c r="J430" t="e">
        <f t="shared" si="77"/>
        <v>#N/A</v>
      </c>
      <c r="K430" t="e">
        <f t="shared" si="78"/>
        <v>#N/A</v>
      </c>
      <c r="L430" t="e">
        <f t="shared" si="79"/>
        <v>#N/A</v>
      </c>
      <c r="M430" t="e">
        <f t="shared" si="80"/>
        <v>#N/A</v>
      </c>
      <c r="N430" t="e">
        <f t="shared" si="81"/>
        <v>#N/A</v>
      </c>
      <c r="O430">
        <f t="shared" si="82"/>
        <v>4.2999999999999999E-4</v>
      </c>
      <c r="T430">
        <f>IF(connections!$A430="","",IFERROR(INDEX(games!$B$2:$B$834,MATCH(connections!$A430,games!$A$2:$A$834,0)),""))</f>
        <v>2019</v>
      </c>
      <c r="U430">
        <f>IF(connections!$A430="","",IFERROR(INDEX(games!$B$2:$B$834,MATCH(connections!$B430,games!$A$2:$A$834,0)),""))</f>
        <v>2025</v>
      </c>
      <c r="V430">
        <f t="shared" si="83"/>
        <v>6</v>
      </c>
    </row>
    <row r="431" spans="1:22" x14ac:dyDescent="0.25">
      <c r="A431" t="str">
        <f>IF(games!$A431="","",games!$A431)</f>
        <v>Mewgenics</v>
      </c>
      <c r="B431">
        <f>IF($A431="","",games!$B431)</f>
        <v>2026</v>
      </c>
      <c r="C431" t="str">
        <f>IF($A431="","",games!$C431)</f>
        <v>Strategy</v>
      </c>
      <c r="D431">
        <f>IF($A431="","",COUNTIF(connections!$A$2:$A$1188,$A431)+COUNTIF(connections!$B$2:$B$1188,$A431))</f>
        <v>2</v>
      </c>
      <c r="E431">
        <f t="shared" si="72"/>
        <v>2</v>
      </c>
      <c r="F431">
        <f t="shared" si="73"/>
        <v>23</v>
      </c>
      <c r="G431" t="e">
        <f t="shared" si="74"/>
        <v>#N/A</v>
      </c>
      <c r="H431" t="e">
        <f t="shared" si="75"/>
        <v>#N/A</v>
      </c>
      <c r="I431">
        <f t="shared" si="76"/>
        <v>2026</v>
      </c>
      <c r="J431">
        <f t="shared" si="77"/>
        <v>2.5289999999999999</v>
      </c>
      <c r="K431" t="e">
        <f t="shared" si="78"/>
        <v>#N/A</v>
      </c>
      <c r="L431" t="e">
        <f t="shared" si="79"/>
        <v>#N/A</v>
      </c>
      <c r="M431" t="e">
        <f t="shared" si="80"/>
        <v>#N/A</v>
      </c>
      <c r="N431" t="e">
        <f t="shared" si="81"/>
        <v>#N/A</v>
      </c>
      <c r="O431">
        <f t="shared" si="82"/>
        <v>2.0004309999999998</v>
      </c>
      <c r="T431">
        <f>IF(connections!$A431="","",IFERROR(INDEX(games!$B$2:$B$834,MATCH(connections!$A431,games!$A$2:$A$834,0)),""))</f>
        <v>2019</v>
      </c>
      <c r="U431">
        <f>IF(connections!$A431="","",IFERROR(INDEX(games!$B$2:$B$834,MATCH(connections!$B431,games!$A$2:$A$834,0)),""))</f>
        <v>2025</v>
      </c>
      <c r="V431">
        <f t="shared" si="83"/>
        <v>6</v>
      </c>
    </row>
    <row r="432" spans="1:22" x14ac:dyDescent="0.25">
      <c r="A432" t="str">
        <f>IF(games!$A432="","",games!$A432)</f>
        <v>Million Depth</v>
      </c>
      <c r="B432">
        <f>IF($A432="","",games!$B432)</f>
        <v>2025</v>
      </c>
      <c r="C432" t="str">
        <f>IF($A432="","",games!$C432)</f>
        <v>Action</v>
      </c>
      <c r="D432">
        <f>IF($A432="","",COUNTIF(connections!$A$2:$A$1188,$A432)+COUNTIF(connections!$B$2:$B$1188,$A432))</f>
        <v>0</v>
      </c>
      <c r="E432">
        <f t="shared" si="72"/>
        <v>1</v>
      </c>
      <c r="F432">
        <f t="shared" si="73"/>
        <v>24</v>
      </c>
      <c r="G432">
        <f t="shared" si="74"/>
        <v>2025</v>
      </c>
      <c r="H432">
        <f t="shared" si="75"/>
        <v>1.552</v>
      </c>
      <c r="I432" t="e">
        <f t="shared" si="76"/>
        <v>#N/A</v>
      </c>
      <c r="J432" t="e">
        <f t="shared" si="77"/>
        <v>#N/A</v>
      </c>
      <c r="K432" t="e">
        <f t="shared" si="78"/>
        <v>#N/A</v>
      </c>
      <c r="L432" t="e">
        <f t="shared" si="79"/>
        <v>#N/A</v>
      </c>
      <c r="M432" t="e">
        <f t="shared" si="80"/>
        <v>#N/A</v>
      </c>
      <c r="N432" t="e">
        <f t="shared" si="81"/>
        <v>#N/A</v>
      </c>
      <c r="O432">
        <f t="shared" si="82"/>
        <v>4.3199999999999998E-4</v>
      </c>
      <c r="T432">
        <f>IF(connections!$A432="","",IFERROR(INDEX(games!$B$2:$B$834,MATCH(connections!$A432,games!$A$2:$A$834,0)),""))</f>
        <v>2019</v>
      </c>
      <c r="U432">
        <f>IF(connections!$A432="","",IFERROR(INDEX(games!$B$2:$B$834,MATCH(connections!$B432,games!$A$2:$A$834,0)),""))</f>
        <v>2025</v>
      </c>
      <c r="V432">
        <f t="shared" si="83"/>
        <v>6</v>
      </c>
    </row>
    <row r="433" spans="1:22" x14ac:dyDescent="0.25">
      <c r="A433" t="str">
        <f>IF(games!$A433="","",games!$A433)</f>
        <v>Mimic Logic</v>
      </c>
      <c r="B433">
        <f>IF($A433="","",games!$B433)</f>
        <v>2024</v>
      </c>
      <c r="C433" t="str">
        <f>IF($A433="","",games!$C433)</f>
        <v>Strategy</v>
      </c>
      <c r="D433">
        <f>IF($A433="","",COUNTIF(connections!$A$2:$A$1188,$A433)+COUNTIF(connections!$B$2:$B$1188,$A433))</f>
        <v>1</v>
      </c>
      <c r="E433">
        <f t="shared" si="72"/>
        <v>2</v>
      </c>
      <c r="F433">
        <f t="shared" si="73"/>
        <v>25</v>
      </c>
      <c r="G433" t="e">
        <f t="shared" si="74"/>
        <v>#N/A</v>
      </c>
      <c r="H433" t="e">
        <f t="shared" si="75"/>
        <v>#N/A</v>
      </c>
      <c r="I433">
        <f t="shared" si="76"/>
        <v>2024</v>
      </c>
      <c r="J433">
        <f t="shared" si="77"/>
        <v>2.5750000000000002</v>
      </c>
      <c r="K433" t="e">
        <f t="shared" si="78"/>
        <v>#N/A</v>
      </c>
      <c r="L433" t="e">
        <f t="shared" si="79"/>
        <v>#N/A</v>
      </c>
      <c r="M433" t="e">
        <f t="shared" si="80"/>
        <v>#N/A</v>
      </c>
      <c r="N433" t="e">
        <f t="shared" si="81"/>
        <v>#N/A</v>
      </c>
      <c r="O433">
        <f t="shared" si="82"/>
        <v>1.0004329999999999</v>
      </c>
      <c r="T433">
        <f>IF(connections!$A433="","",IFERROR(INDEX(games!$B$2:$B$834,MATCH(connections!$A433,games!$A$2:$A$834,0)),""))</f>
        <v>2019</v>
      </c>
      <c r="U433">
        <f>IF(connections!$A433="","",IFERROR(INDEX(games!$B$2:$B$834,MATCH(connections!$B433,games!$A$2:$A$834,0)),""))</f>
        <v>2023</v>
      </c>
      <c r="V433">
        <f t="shared" si="83"/>
        <v>4</v>
      </c>
    </row>
    <row r="434" spans="1:22" x14ac:dyDescent="0.25">
      <c r="A434" t="str">
        <f>IF(games!$A434="","",games!$A434)</f>
        <v>Miracle Chou Party: Sanae to Tenshi no Gensou Labyrinth</v>
      </c>
      <c r="B434">
        <f>IF($A434="","",games!$B434)</f>
        <v>2012</v>
      </c>
      <c r="C434" t="str">
        <f>IF($A434="","",games!$C434)</f>
        <v>Traditional</v>
      </c>
      <c r="D434">
        <f>IF($A434="","",COUNTIF(connections!$A$2:$A$1188,$A434)+COUNTIF(connections!$B$2:$B$1188,$A434))</f>
        <v>2</v>
      </c>
      <c r="E434">
        <f t="shared" si="72"/>
        <v>4</v>
      </c>
      <c r="F434">
        <f t="shared" si="73"/>
        <v>26</v>
      </c>
      <c r="G434" t="e">
        <f t="shared" si="74"/>
        <v>#N/A</v>
      </c>
      <c r="H434" t="e">
        <f t="shared" si="75"/>
        <v>#N/A</v>
      </c>
      <c r="I434" t="e">
        <f t="shared" si="76"/>
        <v>#N/A</v>
      </c>
      <c r="J434" t="e">
        <f t="shared" si="77"/>
        <v>#N/A</v>
      </c>
      <c r="K434" t="e">
        <f t="shared" si="78"/>
        <v>#N/A</v>
      </c>
      <c r="L434" t="e">
        <f t="shared" si="79"/>
        <v>#N/A</v>
      </c>
      <c r="M434">
        <f t="shared" si="80"/>
        <v>2012</v>
      </c>
      <c r="N434">
        <f t="shared" si="81"/>
        <v>4.5979999999999999</v>
      </c>
      <c r="O434">
        <f t="shared" si="82"/>
        <v>2.0004339999999998</v>
      </c>
      <c r="T434">
        <f>IF(connections!$A434="","",IFERROR(INDEX(games!$B$2:$B$834,MATCH(connections!$A434,games!$A$2:$A$834,0)),""))</f>
        <v>2019</v>
      </c>
      <c r="U434">
        <f>IF(connections!$A434="","",IFERROR(INDEX(games!$B$2:$B$834,MATCH(connections!$B434,games!$A$2:$A$834,0)),""))</f>
        <v>2024</v>
      </c>
      <c r="V434">
        <f t="shared" si="83"/>
        <v>5</v>
      </c>
    </row>
    <row r="435" spans="1:22" x14ac:dyDescent="0.25">
      <c r="A435" t="str">
        <f>IF(games!$A435="","",games!$A435)</f>
        <v>Miracle Party: Fushigi no Gensoukyou 2</v>
      </c>
      <c r="B435">
        <f>IF($A435="","",games!$B435)</f>
        <v>2011</v>
      </c>
      <c r="C435" t="str">
        <f>IF($A435="","",games!$C435)</f>
        <v>Traditional</v>
      </c>
      <c r="D435">
        <f>IF($A435="","",COUNTIF(connections!$A$2:$A$1188,$A435)+COUNTIF(connections!$B$2:$B$1188,$A435))</f>
        <v>3</v>
      </c>
      <c r="E435">
        <f t="shared" si="72"/>
        <v>4</v>
      </c>
      <c r="F435">
        <f t="shared" si="73"/>
        <v>27</v>
      </c>
      <c r="G435" t="e">
        <f t="shared" si="74"/>
        <v>#N/A</v>
      </c>
      <c r="H435" t="e">
        <f t="shared" si="75"/>
        <v>#N/A</v>
      </c>
      <c r="I435" t="e">
        <f t="shared" si="76"/>
        <v>#N/A</v>
      </c>
      <c r="J435" t="e">
        <f t="shared" si="77"/>
        <v>#N/A</v>
      </c>
      <c r="K435" t="e">
        <f t="shared" si="78"/>
        <v>#N/A</v>
      </c>
      <c r="L435" t="e">
        <f t="shared" si="79"/>
        <v>#N/A</v>
      </c>
      <c r="M435">
        <f t="shared" si="80"/>
        <v>2011</v>
      </c>
      <c r="N435">
        <f t="shared" si="81"/>
        <v>4.6210000000000004</v>
      </c>
      <c r="O435">
        <f t="shared" si="82"/>
        <v>3.000435</v>
      </c>
      <c r="T435">
        <f>IF(connections!$A435="","",IFERROR(INDEX(games!$B$2:$B$834,MATCH(connections!$A435,games!$A$2:$A$834,0)),""))</f>
        <v>2019</v>
      </c>
      <c r="U435">
        <f>IF(connections!$A435="","",IFERROR(INDEX(games!$B$2:$B$834,MATCH(connections!$B435,games!$A$2:$A$834,0)),""))</f>
        <v>2022</v>
      </c>
      <c r="V435">
        <f t="shared" si="83"/>
        <v>3</v>
      </c>
    </row>
    <row r="436" spans="1:22" x14ac:dyDescent="0.25">
      <c r="A436" t="str">
        <f>IF(games!$A436="","",games!$A436)</f>
        <v>Mission: Thunderbolt</v>
      </c>
      <c r="B436">
        <f>IF($A436="","",games!$B436)</f>
        <v>1987</v>
      </c>
      <c r="C436" t="str">
        <f>IF($A436="","",games!$C436)</f>
        <v>Traditional</v>
      </c>
      <c r="D436">
        <f>IF($A436="","",COUNTIF(connections!$A$2:$A$1188,$A436)+COUNTIF(connections!$B$2:$B$1188,$A436))</f>
        <v>1</v>
      </c>
      <c r="E436">
        <f t="shared" si="72"/>
        <v>4</v>
      </c>
      <c r="F436">
        <f t="shared" si="73"/>
        <v>28</v>
      </c>
      <c r="G436" t="e">
        <f t="shared" si="74"/>
        <v>#N/A</v>
      </c>
      <c r="H436" t="e">
        <f t="shared" si="75"/>
        <v>#N/A</v>
      </c>
      <c r="I436" t="e">
        <f t="shared" si="76"/>
        <v>#N/A</v>
      </c>
      <c r="J436" t="e">
        <f t="shared" si="77"/>
        <v>#N/A</v>
      </c>
      <c r="K436" t="e">
        <f t="shared" si="78"/>
        <v>#N/A</v>
      </c>
      <c r="L436" t="e">
        <f t="shared" si="79"/>
        <v>#N/A</v>
      </c>
      <c r="M436">
        <f t="shared" si="80"/>
        <v>1987</v>
      </c>
      <c r="N436">
        <f t="shared" si="81"/>
        <v>4.6440000000000001</v>
      </c>
      <c r="O436">
        <f t="shared" si="82"/>
        <v>1.0004360000000001</v>
      </c>
      <c r="T436">
        <f>IF(connections!$A436="","",IFERROR(INDEX(games!$B$2:$B$834,MATCH(connections!$A436,games!$A$2:$A$834,0)),""))</f>
        <v>2019</v>
      </c>
      <c r="U436">
        <f>IF(connections!$A436="","",IFERROR(INDEX(games!$B$2:$B$834,MATCH(connections!$B436,games!$A$2:$A$834,0)),""))</f>
        <v>2022</v>
      </c>
      <c r="V436">
        <f t="shared" si="83"/>
        <v>3</v>
      </c>
    </row>
    <row r="437" spans="1:22" x14ac:dyDescent="0.25">
      <c r="A437" t="str">
        <f>IF(games!$A437="","",games!$A437)</f>
        <v>Mistrogue: Mist and the Living Dungeons</v>
      </c>
      <c r="B437">
        <f>IF($A437="","",games!$B437)</f>
        <v>2023</v>
      </c>
      <c r="C437" t="str">
        <f>IF($A437="","",games!$C437)</f>
        <v>Action</v>
      </c>
      <c r="D437">
        <f>IF($A437="","",COUNTIF(connections!$A$2:$A$1188,$A437)+COUNTIF(connections!$B$2:$B$1188,$A437))</f>
        <v>1</v>
      </c>
      <c r="E437">
        <f t="shared" si="72"/>
        <v>1</v>
      </c>
      <c r="F437">
        <f t="shared" si="73"/>
        <v>29</v>
      </c>
      <c r="G437">
        <f t="shared" si="74"/>
        <v>2023</v>
      </c>
      <c r="H437">
        <f t="shared" si="75"/>
        <v>1.667</v>
      </c>
      <c r="I437" t="e">
        <f t="shared" si="76"/>
        <v>#N/A</v>
      </c>
      <c r="J437" t="e">
        <f t="shared" si="77"/>
        <v>#N/A</v>
      </c>
      <c r="K437" t="e">
        <f t="shared" si="78"/>
        <v>#N/A</v>
      </c>
      <c r="L437" t="e">
        <f t="shared" si="79"/>
        <v>#N/A</v>
      </c>
      <c r="M437" t="e">
        <f t="shared" si="80"/>
        <v>#N/A</v>
      </c>
      <c r="N437" t="e">
        <f t="shared" si="81"/>
        <v>#N/A</v>
      </c>
      <c r="O437">
        <f t="shared" si="82"/>
        <v>1.000437</v>
      </c>
      <c r="T437">
        <f>IF(connections!$A437="","",IFERROR(INDEX(games!$B$2:$B$834,MATCH(connections!$A437,games!$A$2:$A$834,0)),""))</f>
        <v>2019</v>
      </c>
      <c r="U437">
        <f>IF(connections!$A437="","",IFERROR(INDEX(games!$B$2:$B$834,MATCH(connections!$B437,games!$A$2:$A$834,0)),""))</f>
        <v>2024</v>
      </c>
      <c r="V437">
        <f t="shared" si="83"/>
        <v>5</v>
      </c>
    </row>
    <row r="438" spans="1:22" x14ac:dyDescent="0.25">
      <c r="A438" t="str">
        <f>IF(games!$A438="","",games!$A438)</f>
        <v>Mobmania</v>
      </c>
      <c r="B438">
        <f>IF($A438="","",games!$B438)</f>
        <v>2022</v>
      </c>
      <c r="C438" t="str">
        <f>IF($A438="","",games!$C438)</f>
        <v>Action</v>
      </c>
      <c r="D438">
        <f>IF($A438="","",COUNTIF(connections!$A$2:$A$1188,$A438)+COUNTIF(connections!$B$2:$B$1188,$A438))</f>
        <v>1</v>
      </c>
      <c r="E438">
        <f t="shared" si="72"/>
        <v>1</v>
      </c>
      <c r="F438">
        <f t="shared" si="73"/>
        <v>30</v>
      </c>
      <c r="G438">
        <f t="shared" si="74"/>
        <v>2022</v>
      </c>
      <c r="H438">
        <f t="shared" si="75"/>
        <v>1.69</v>
      </c>
      <c r="I438" t="e">
        <f t="shared" si="76"/>
        <v>#N/A</v>
      </c>
      <c r="J438" t="e">
        <f t="shared" si="77"/>
        <v>#N/A</v>
      </c>
      <c r="K438" t="e">
        <f t="shared" si="78"/>
        <v>#N/A</v>
      </c>
      <c r="L438" t="e">
        <f t="shared" si="79"/>
        <v>#N/A</v>
      </c>
      <c r="M438" t="e">
        <f t="shared" si="80"/>
        <v>#N/A</v>
      </c>
      <c r="N438" t="e">
        <f t="shared" si="81"/>
        <v>#N/A</v>
      </c>
      <c r="O438">
        <f t="shared" si="82"/>
        <v>1.0004379999999999</v>
      </c>
      <c r="T438">
        <f>IF(connections!$A438="","",IFERROR(INDEX(games!$B$2:$B$834,MATCH(connections!$A438,games!$A$2:$A$834,0)),""))</f>
        <v>2019</v>
      </c>
      <c r="U438">
        <f>IF(connections!$A438="","",IFERROR(INDEX(games!$B$2:$B$834,MATCH(connections!$B438,games!$A$2:$A$834,0)),""))</f>
        <v>2025</v>
      </c>
      <c r="V438">
        <f t="shared" si="83"/>
        <v>6</v>
      </c>
    </row>
    <row r="439" spans="1:22" x14ac:dyDescent="0.25">
      <c r="A439" t="str">
        <f>IF(games!$A439="","",games!$A439)</f>
        <v>Monmusu Gladiator</v>
      </c>
      <c r="B439">
        <f>IF($A439="","",games!$B439)</f>
        <v>2021</v>
      </c>
      <c r="C439" t="str">
        <f>IF($A439="","",games!$C439)</f>
        <v>Deckbuilder</v>
      </c>
      <c r="D439">
        <f>IF($A439="","",COUNTIF(connections!$A$2:$A$1188,$A439)+COUNTIF(connections!$B$2:$B$1188,$A439))</f>
        <v>1</v>
      </c>
      <c r="E439">
        <f t="shared" si="72"/>
        <v>3</v>
      </c>
      <c r="F439">
        <f t="shared" si="73"/>
        <v>31</v>
      </c>
      <c r="G439" t="e">
        <f t="shared" si="74"/>
        <v>#N/A</v>
      </c>
      <c r="H439" t="e">
        <f t="shared" si="75"/>
        <v>#N/A</v>
      </c>
      <c r="I439" t="e">
        <f t="shared" si="76"/>
        <v>#N/A</v>
      </c>
      <c r="J439" t="e">
        <f t="shared" si="77"/>
        <v>#N/A</v>
      </c>
      <c r="K439">
        <f t="shared" si="78"/>
        <v>2021</v>
      </c>
      <c r="L439">
        <f t="shared" si="79"/>
        <v>3.7130000000000001</v>
      </c>
      <c r="M439" t="e">
        <f t="shared" si="80"/>
        <v>#N/A</v>
      </c>
      <c r="N439" t="e">
        <f t="shared" si="81"/>
        <v>#N/A</v>
      </c>
      <c r="O439">
        <f t="shared" si="82"/>
        <v>1.0004390000000001</v>
      </c>
      <c r="T439">
        <f>IF(connections!$A439="","",IFERROR(INDEX(games!$B$2:$B$834,MATCH(connections!$A439,games!$A$2:$A$834,0)),""))</f>
        <v>2019</v>
      </c>
      <c r="U439">
        <f>IF(connections!$A439="","",IFERROR(INDEX(games!$B$2:$B$834,MATCH(connections!$B439,games!$A$2:$A$834,0)),""))</f>
        <v>2024</v>
      </c>
      <c r="V439">
        <f t="shared" si="83"/>
        <v>5</v>
      </c>
    </row>
    <row r="440" spans="1:22" x14ac:dyDescent="0.25">
      <c r="A440" t="str">
        <f>IF(games!$A440="","",games!$A440)</f>
        <v>Monster Gate</v>
      </c>
      <c r="B440">
        <f>IF($A440="","",games!$B440)</f>
        <v>2002</v>
      </c>
      <c r="C440" t="str">
        <f>IF($A440="","",games!$C440)</f>
        <v>Traditional</v>
      </c>
      <c r="D440">
        <f>IF($A440="","",COUNTIF(connections!$A$2:$A$1188,$A440)+COUNTIF(connections!$B$2:$B$1188,$A440))</f>
        <v>3</v>
      </c>
      <c r="E440">
        <f t="shared" si="72"/>
        <v>4</v>
      </c>
      <c r="F440">
        <f t="shared" si="73"/>
        <v>32</v>
      </c>
      <c r="G440" t="e">
        <f t="shared" si="74"/>
        <v>#N/A</v>
      </c>
      <c r="H440" t="e">
        <f t="shared" si="75"/>
        <v>#N/A</v>
      </c>
      <c r="I440" t="e">
        <f t="shared" si="76"/>
        <v>#N/A</v>
      </c>
      <c r="J440" t="e">
        <f t="shared" si="77"/>
        <v>#N/A</v>
      </c>
      <c r="K440" t="e">
        <f t="shared" si="78"/>
        <v>#N/A</v>
      </c>
      <c r="L440" t="e">
        <f t="shared" si="79"/>
        <v>#N/A</v>
      </c>
      <c r="M440">
        <f t="shared" si="80"/>
        <v>2002</v>
      </c>
      <c r="N440">
        <f t="shared" si="81"/>
        <v>4.7359999999999998</v>
      </c>
      <c r="O440">
        <f t="shared" si="82"/>
        <v>3.0004400000000002</v>
      </c>
      <c r="T440">
        <f>IF(connections!$A440="","",IFERROR(INDEX(games!$B$2:$B$834,MATCH(connections!$A440,games!$A$2:$A$834,0)),""))</f>
        <v>2023</v>
      </c>
      <c r="U440">
        <f>IF(connections!$A440="","",IFERROR(INDEX(games!$B$2:$B$834,MATCH(connections!$B440,games!$A$2:$A$834,0)),""))</f>
        <v>2024</v>
      </c>
      <c r="V440">
        <f t="shared" si="83"/>
        <v>1</v>
      </c>
    </row>
    <row r="441" spans="1:22" x14ac:dyDescent="0.25">
      <c r="A441" t="str">
        <f>IF(games!$A441="","",games!$A441)</f>
        <v>Monster Gate: Ooinaru Dungeon - Fuuin no Orb</v>
      </c>
      <c r="B441">
        <f>IF($A441="","",games!$B441)</f>
        <v>2003</v>
      </c>
      <c r="C441" t="str">
        <f>IF($A441="","",games!$C441)</f>
        <v>Traditional</v>
      </c>
      <c r="D441">
        <f>IF($A441="","",COUNTIF(connections!$A$2:$A$1188,$A441)+COUNTIF(connections!$B$2:$B$1188,$A441))</f>
        <v>1</v>
      </c>
      <c r="E441">
        <f t="shared" si="72"/>
        <v>4</v>
      </c>
      <c r="F441">
        <f t="shared" si="73"/>
        <v>33</v>
      </c>
      <c r="G441" t="e">
        <f t="shared" si="74"/>
        <v>#N/A</v>
      </c>
      <c r="H441" t="e">
        <f t="shared" si="75"/>
        <v>#N/A</v>
      </c>
      <c r="I441" t="e">
        <f t="shared" si="76"/>
        <v>#N/A</v>
      </c>
      <c r="J441" t="e">
        <f t="shared" si="77"/>
        <v>#N/A</v>
      </c>
      <c r="K441" t="e">
        <f t="shared" si="78"/>
        <v>#N/A</v>
      </c>
      <c r="L441" t="e">
        <f t="shared" si="79"/>
        <v>#N/A</v>
      </c>
      <c r="M441">
        <f t="shared" si="80"/>
        <v>2003</v>
      </c>
      <c r="N441">
        <f t="shared" si="81"/>
        <v>4.7590000000000003</v>
      </c>
      <c r="O441">
        <f t="shared" si="82"/>
        <v>1.0004409999999999</v>
      </c>
      <c r="T441">
        <f>IF(connections!$A441="","",IFERROR(INDEX(games!$B$2:$B$834,MATCH(connections!$A441,games!$A$2:$A$834,0)),""))</f>
        <v>2023</v>
      </c>
      <c r="U441">
        <f>IF(connections!$A441="","",IFERROR(INDEX(games!$B$2:$B$834,MATCH(connections!$B441,games!$A$2:$A$834,0)),""))</f>
        <v>2026</v>
      </c>
      <c r="V441">
        <f t="shared" si="83"/>
        <v>3</v>
      </c>
    </row>
    <row r="442" spans="1:22" x14ac:dyDescent="0.25">
      <c r="A442" t="str">
        <f>IF(games!$A442="","",games!$A442)</f>
        <v>Monster Girls and the Mysterious Adventure</v>
      </c>
      <c r="B442">
        <f>IF($A442="","",games!$B442)</f>
        <v>2020</v>
      </c>
      <c r="C442" t="str">
        <f>IF($A442="","",games!$C442)</f>
        <v>Traditional</v>
      </c>
      <c r="D442">
        <f>IF($A442="","",COUNTIF(connections!$A$2:$A$1188,$A442)+COUNTIF(connections!$B$2:$B$1188,$A442))</f>
        <v>2</v>
      </c>
      <c r="E442">
        <f t="shared" si="72"/>
        <v>4</v>
      </c>
      <c r="F442">
        <f t="shared" si="73"/>
        <v>0</v>
      </c>
      <c r="G442" t="e">
        <f t="shared" si="74"/>
        <v>#N/A</v>
      </c>
      <c r="H442" t="e">
        <f t="shared" si="75"/>
        <v>#N/A</v>
      </c>
      <c r="I442" t="e">
        <f t="shared" si="76"/>
        <v>#N/A</v>
      </c>
      <c r="J442" t="e">
        <f t="shared" si="77"/>
        <v>#N/A</v>
      </c>
      <c r="K442" t="e">
        <f t="shared" si="78"/>
        <v>#N/A</v>
      </c>
      <c r="L442" t="e">
        <f t="shared" si="79"/>
        <v>#N/A</v>
      </c>
      <c r="M442">
        <f t="shared" si="80"/>
        <v>2020</v>
      </c>
      <c r="N442">
        <f t="shared" si="81"/>
        <v>4</v>
      </c>
      <c r="O442">
        <f t="shared" si="82"/>
        <v>2.0004420000000001</v>
      </c>
      <c r="T442">
        <f>IF(connections!$A442="","",IFERROR(INDEX(games!$B$2:$B$834,MATCH(connections!$A442,games!$A$2:$A$834,0)),""))</f>
        <v>2023</v>
      </c>
      <c r="U442">
        <f>IF(connections!$A442="","",IFERROR(INDEX(games!$B$2:$B$834,MATCH(connections!$B442,games!$A$2:$A$834,0)),""))</f>
        <v>2025</v>
      </c>
      <c r="V442">
        <f t="shared" si="83"/>
        <v>2</v>
      </c>
    </row>
    <row r="443" spans="1:22" x14ac:dyDescent="0.25">
      <c r="A443" t="str">
        <f>IF(games!$A443="","",games!$A443)</f>
        <v>Monster Girls and the Mysterious Adventure 2</v>
      </c>
      <c r="B443">
        <f>IF($A443="","",games!$B443)</f>
        <v>2022</v>
      </c>
      <c r="C443" t="str">
        <f>IF($A443="","",games!$C443)</f>
        <v>Traditional</v>
      </c>
      <c r="D443">
        <f>IF($A443="","",COUNTIF(connections!$A$2:$A$1188,$A443)+COUNTIF(connections!$B$2:$B$1188,$A443))</f>
        <v>1</v>
      </c>
      <c r="E443">
        <f t="shared" si="72"/>
        <v>4</v>
      </c>
      <c r="F443">
        <f t="shared" si="73"/>
        <v>1</v>
      </c>
      <c r="G443" t="e">
        <f t="shared" si="74"/>
        <v>#N/A</v>
      </c>
      <c r="H443" t="e">
        <f t="shared" si="75"/>
        <v>#N/A</v>
      </c>
      <c r="I443" t="e">
        <f t="shared" si="76"/>
        <v>#N/A</v>
      </c>
      <c r="J443" t="e">
        <f t="shared" si="77"/>
        <v>#N/A</v>
      </c>
      <c r="K443" t="e">
        <f t="shared" si="78"/>
        <v>#N/A</v>
      </c>
      <c r="L443" t="e">
        <f t="shared" si="79"/>
        <v>#N/A</v>
      </c>
      <c r="M443">
        <f t="shared" si="80"/>
        <v>2022</v>
      </c>
      <c r="N443">
        <f t="shared" si="81"/>
        <v>4.0229999999999997</v>
      </c>
      <c r="O443">
        <f t="shared" si="82"/>
        <v>1.000443</v>
      </c>
      <c r="T443">
        <f>IF(connections!$A443="","",IFERROR(INDEX(games!$B$2:$B$834,MATCH(connections!$A443,games!$A$2:$A$834,0)),""))</f>
        <v>2014</v>
      </c>
      <c r="U443">
        <f>IF(connections!$A443="","",IFERROR(INDEX(games!$B$2:$B$834,MATCH(connections!$B443,games!$A$2:$A$834,0)),""))</f>
        <v>2017</v>
      </c>
      <c r="V443">
        <f t="shared" si="83"/>
        <v>3</v>
      </c>
    </row>
    <row r="444" spans="1:22" x14ac:dyDescent="0.25">
      <c r="A444" t="str">
        <f>IF(games!$A444="","",games!$A444)</f>
        <v>Monster Slayers</v>
      </c>
      <c r="B444">
        <f>IF($A444="","",games!$B444)</f>
        <v>2017</v>
      </c>
      <c r="C444" t="str">
        <f>IF($A444="","",games!$C444)</f>
        <v>Deckbuilder</v>
      </c>
      <c r="D444">
        <f>IF($A444="","",COUNTIF(connections!$A$2:$A$1188,$A444)+COUNTIF(connections!$B$2:$B$1188,$A444))</f>
        <v>2</v>
      </c>
      <c r="E444">
        <f t="shared" si="72"/>
        <v>3</v>
      </c>
      <c r="F444">
        <f t="shared" si="73"/>
        <v>2</v>
      </c>
      <c r="G444" t="e">
        <f t="shared" si="74"/>
        <v>#N/A</v>
      </c>
      <c r="H444" t="e">
        <f t="shared" si="75"/>
        <v>#N/A</v>
      </c>
      <c r="I444" t="e">
        <f t="shared" si="76"/>
        <v>#N/A</v>
      </c>
      <c r="J444" t="e">
        <f t="shared" si="77"/>
        <v>#N/A</v>
      </c>
      <c r="K444">
        <f t="shared" si="78"/>
        <v>2017</v>
      </c>
      <c r="L444">
        <f t="shared" si="79"/>
        <v>3.0459999999999998</v>
      </c>
      <c r="M444" t="e">
        <f t="shared" si="80"/>
        <v>#N/A</v>
      </c>
      <c r="N444" t="e">
        <f t="shared" si="81"/>
        <v>#N/A</v>
      </c>
      <c r="O444">
        <f t="shared" si="82"/>
        <v>2.0004439999999999</v>
      </c>
      <c r="T444">
        <f>IF(connections!$A444="","",IFERROR(INDEX(games!$B$2:$B$834,MATCH(connections!$A444,games!$A$2:$A$834,0)),""))</f>
        <v>2014</v>
      </c>
      <c r="U444">
        <f>IF(connections!$A444="","",IFERROR(INDEX(games!$B$2:$B$834,MATCH(connections!$B444,games!$A$2:$A$834,0)),""))</f>
        <v>2026</v>
      </c>
      <c r="V444">
        <f t="shared" si="83"/>
        <v>12</v>
      </c>
    </row>
    <row r="445" spans="1:22" x14ac:dyDescent="0.25">
      <c r="A445" t="str">
        <f>IF(games!$A445="","",games!$A445)</f>
        <v>Monster Train</v>
      </c>
      <c r="B445">
        <f>IF($A445="","",games!$B445)</f>
        <v>2020</v>
      </c>
      <c r="C445" t="str">
        <f>IF($A445="","",games!$C445)</f>
        <v>Deckbuilder</v>
      </c>
      <c r="D445">
        <f>IF($A445="","",COUNTIF(connections!$A$2:$A$1188,$A445)+COUNTIF(connections!$B$2:$B$1188,$A445))</f>
        <v>12</v>
      </c>
      <c r="E445">
        <f t="shared" si="72"/>
        <v>3</v>
      </c>
      <c r="F445">
        <f t="shared" si="73"/>
        <v>3</v>
      </c>
      <c r="G445" t="e">
        <f t="shared" si="74"/>
        <v>#N/A</v>
      </c>
      <c r="H445" t="e">
        <f t="shared" si="75"/>
        <v>#N/A</v>
      </c>
      <c r="I445" t="e">
        <f t="shared" si="76"/>
        <v>#N/A</v>
      </c>
      <c r="J445" t="e">
        <f t="shared" si="77"/>
        <v>#N/A</v>
      </c>
      <c r="K445">
        <f t="shared" si="78"/>
        <v>2020</v>
      </c>
      <c r="L445">
        <f t="shared" si="79"/>
        <v>3.069</v>
      </c>
      <c r="M445" t="e">
        <f t="shared" si="80"/>
        <v>#N/A</v>
      </c>
      <c r="N445" t="e">
        <f t="shared" si="81"/>
        <v>#N/A</v>
      </c>
      <c r="O445">
        <f t="shared" si="82"/>
        <v>12.000444999999999</v>
      </c>
      <c r="T445">
        <f>IF(connections!$A445="","",IFERROR(INDEX(games!$B$2:$B$834,MATCH(connections!$A445,games!$A$2:$A$834,0)),""))</f>
        <v>2018</v>
      </c>
      <c r="U445">
        <f>IF(connections!$A445="","",IFERROR(INDEX(games!$B$2:$B$834,MATCH(connections!$B445,games!$A$2:$A$834,0)),""))</f>
        <v>2025</v>
      </c>
      <c r="V445">
        <f t="shared" si="83"/>
        <v>7</v>
      </c>
    </row>
    <row r="446" spans="1:22" x14ac:dyDescent="0.25">
      <c r="A446" t="str">
        <f>IF(games!$A446="","",games!$A446)</f>
        <v>Monster Train 2</v>
      </c>
      <c r="B446">
        <f>IF($A446="","",games!$B446)</f>
        <v>2025</v>
      </c>
      <c r="C446" t="str">
        <f>IF($A446="","",games!$C446)</f>
        <v>Deckbuilder</v>
      </c>
      <c r="D446">
        <f>IF($A446="","",COUNTIF(connections!$A$2:$A$1188,$A446)+COUNTIF(connections!$B$2:$B$1188,$A446))</f>
        <v>1</v>
      </c>
      <c r="E446">
        <f t="shared" si="72"/>
        <v>3</v>
      </c>
      <c r="F446">
        <f t="shared" si="73"/>
        <v>4</v>
      </c>
      <c r="G446" t="e">
        <f t="shared" si="74"/>
        <v>#N/A</v>
      </c>
      <c r="H446" t="e">
        <f t="shared" si="75"/>
        <v>#N/A</v>
      </c>
      <c r="I446" t="e">
        <f t="shared" si="76"/>
        <v>#N/A</v>
      </c>
      <c r="J446" t="e">
        <f t="shared" si="77"/>
        <v>#N/A</v>
      </c>
      <c r="K446">
        <f t="shared" si="78"/>
        <v>2025</v>
      </c>
      <c r="L446">
        <f t="shared" si="79"/>
        <v>3.0920000000000001</v>
      </c>
      <c r="M446" t="e">
        <f t="shared" si="80"/>
        <v>#N/A</v>
      </c>
      <c r="N446" t="e">
        <f t="shared" si="81"/>
        <v>#N/A</v>
      </c>
      <c r="O446">
        <f t="shared" si="82"/>
        <v>1.0004459999999999</v>
      </c>
      <c r="T446">
        <f>IF(connections!$A446="","",IFERROR(INDEX(games!$B$2:$B$834,MATCH(connections!$A446,games!$A$2:$A$834,0)),""))</f>
        <v>2018</v>
      </c>
      <c r="U446">
        <f>IF(connections!$A446="","",IFERROR(INDEX(games!$B$2:$B$834,MATCH(connections!$B446,games!$A$2:$A$834,0)),""))</f>
        <v>2025</v>
      </c>
      <c r="V446">
        <f t="shared" si="83"/>
        <v>7</v>
      </c>
    </row>
    <row r="447" spans="1:22" x14ac:dyDescent="0.25">
      <c r="A447" t="str">
        <f>IF(games!$A447="","",games!$A447)</f>
        <v>Monsters are Coming!</v>
      </c>
      <c r="B447">
        <f>IF($A447="","",games!$B447)</f>
        <v>2025</v>
      </c>
      <c r="C447" t="str">
        <f>IF($A447="","",games!$C447)</f>
        <v>Action</v>
      </c>
      <c r="D447">
        <f>IF($A447="","",COUNTIF(connections!$A$2:$A$1188,$A447)+COUNTIF(connections!$B$2:$B$1188,$A447))</f>
        <v>2</v>
      </c>
      <c r="E447">
        <f t="shared" si="72"/>
        <v>1</v>
      </c>
      <c r="F447">
        <f t="shared" si="73"/>
        <v>5</v>
      </c>
      <c r="G447">
        <f t="shared" si="74"/>
        <v>2025</v>
      </c>
      <c r="H447">
        <f t="shared" si="75"/>
        <v>1.115</v>
      </c>
      <c r="I447" t="e">
        <f t="shared" si="76"/>
        <v>#N/A</v>
      </c>
      <c r="J447" t="e">
        <f t="shared" si="77"/>
        <v>#N/A</v>
      </c>
      <c r="K447" t="e">
        <f t="shared" si="78"/>
        <v>#N/A</v>
      </c>
      <c r="L447" t="e">
        <f t="shared" si="79"/>
        <v>#N/A</v>
      </c>
      <c r="M447" t="e">
        <f t="shared" si="80"/>
        <v>#N/A</v>
      </c>
      <c r="N447" t="e">
        <f t="shared" si="81"/>
        <v>#N/A</v>
      </c>
      <c r="O447">
        <f t="shared" si="82"/>
        <v>2.0004469999999999</v>
      </c>
      <c r="T447">
        <f>IF(connections!$A447="","",IFERROR(INDEX(games!$B$2:$B$834,MATCH(connections!$A447,games!$A$2:$A$834,0)),""))</f>
        <v>2018</v>
      </c>
      <c r="U447">
        <f>IF(connections!$A447="","",IFERROR(INDEX(games!$B$2:$B$834,MATCH(connections!$B447,games!$A$2:$A$834,0)),""))</f>
        <v>2024</v>
      </c>
      <c r="V447">
        <f t="shared" si="83"/>
        <v>6</v>
      </c>
    </row>
    <row r="448" spans="1:22" x14ac:dyDescent="0.25">
      <c r="A448" t="str">
        <f>IF(games!$A448="","",games!$A448)</f>
        <v>Monstrum</v>
      </c>
      <c r="B448">
        <f>IF($A448="","",games!$B448)</f>
        <v>2015</v>
      </c>
      <c r="C448" t="str">
        <f>IF($A448="","",games!$C448)</f>
        <v>Action</v>
      </c>
      <c r="D448">
        <f>IF($A448="","",COUNTIF(connections!$A$2:$A$1188,$A448)+COUNTIF(connections!$B$2:$B$1188,$A448))</f>
        <v>3</v>
      </c>
      <c r="E448">
        <f t="shared" si="72"/>
        <v>1</v>
      </c>
      <c r="F448">
        <f t="shared" si="73"/>
        <v>6</v>
      </c>
      <c r="G448">
        <f t="shared" si="74"/>
        <v>2015</v>
      </c>
      <c r="H448">
        <f t="shared" si="75"/>
        <v>1.1379999999999999</v>
      </c>
      <c r="I448" t="e">
        <f t="shared" si="76"/>
        <v>#N/A</v>
      </c>
      <c r="J448" t="e">
        <f t="shared" si="77"/>
        <v>#N/A</v>
      </c>
      <c r="K448" t="e">
        <f t="shared" si="78"/>
        <v>#N/A</v>
      </c>
      <c r="L448" t="e">
        <f t="shared" si="79"/>
        <v>#N/A</v>
      </c>
      <c r="M448" t="e">
        <f t="shared" si="80"/>
        <v>#N/A</v>
      </c>
      <c r="N448" t="e">
        <f t="shared" si="81"/>
        <v>#N/A</v>
      </c>
      <c r="O448">
        <f t="shared" si="82"/>
        <v>3.000448</v>
      </c>
      <c r="T448">
        <f>IF(connections!$A448="","",IFERROR(INDEX(games!$B$2:$B$834,MATCH(connections!$A448,games!$A$2:$A$834,0)),""))</f>
        <v>2013</v>
      </c>
      <c r="U448">
        <f>IF(connections!$A448="","",IFERROR(INDEX(games!$B$2:$B$834,MATCH(connections!$B448,games!$A$2:$A$834,0)),""))</f>
        <v>2012</v>
      </c>
      <c r="V448">
        <f t="shared" si="83"/>
        <v>-1</v>
      </c>
    </row>
    <row r="449" spans="1:22" x14ac:dyDescent="0.25">
      <c r="A449" t="str">
        <f>IF(games!$A449="","",games!$A449)</f>
        <v>Moon Hunters</v>
      </c>
      <c r="B449">
        <f>IF($A449="","",games!$B449)</f>
        <v>2016</v>
      </c>
      <c r="C449" t="str">
        <f>IF($A449="","",games!$C449)</f>
        <v>Action</v>
      </c>
      <c r="D449">
        <f>IF($A449="","",COUNTIF(connections!$A$2:$A$1188,$A449)+COUNTIF(connections!$B$2:$B$1188,$A449))</f>
        <v>1</v>
      </c>
      <c r="E449">
        <f t="shared" si="72"/>
        <v>1</v>
      </c>
      <c r="F449">
        <f t="shared" si="73"/>
        <v>7</v>
      </c>
      <c r="G449">
        <f t="shared" si="74"/>
        <v>2016</v>
      </c>
      <c r="H449">
        <f t="shared" si="75"/>
        <v>1.161</v>
      </c>
      <c r="I449" t="e">
        <f t="shared" si="76"/>
        <v>#N/A</v>
      </c>
      <c r="J449" t="e">
        <f t="shared" si="77"/>
        <v>#N/A</v>
      </c>
      <c r="K449" t="e">
        <f t="shared" si="78"/>
        <v>#N/A</v>
      </c>
      <c r="L449" t="e">
        <f t="shared" si="79"/>
        <v>#N/A</v>
      </c>
      <c r="M449" t="e">
        <f t="shared" si="80"/>
        <v>#N/A</v>
      </c>
      <c r="N449" t="e">
        <f t="shared" si="81"/>
        <v>#N/A</v>
      </c>
      <c r="O449">
        <f t="shared" si="82"/>
        <v>1.0004489999999999</v>
      </c>
      <c r="T449">
        <f>IF(connections!$A449="","",IFERROR(INDEX(games!$B$2:$B$834,MATCH(connections!$A449,games!$A$2:$A$834,0)),""))</f>
        <v>2013</v>
      </c>
      <c r="U449">
        <f>IF(connections!$A449="","",IFERROR(INDEX(games!$B$2:$B$834,MATCH(connections!$B449,games!$A$2:$A$834,0)),""))</f>
        <v>2018</v>
      </c>
      <c r="V449">
        <f t="shared" si="83"/>
        <v>5</v>
      </c>
    </row>
    <row r="450" spans="1:22" x14ac:dyDescent="0.25">
      <c r="A450" t="str">
        <f>IF(games!$A450="","",games!$A450)</f>
        <v>Moon Watch</v>
      </c>
      <c r="B450">
        <f>IF($A450="","",games!$B450)</f>
        <v>2024</v>
      </c>
      <c r="C450" t="str">
        <f>IF($A450="","",games!$C450)</f>
        <v>Action</v>
      </c>
      <c r="D450">
        <f>IF($A450="","",COUNTIF(connections!$A$2:$A$1188,$A450)+COUNTIF(connections!$B$2:$B$1188,$A450))</f>
        <v>1</v>
      </c>
      <c r="E450">
        <f t="shared" ref="E450:E513" si="84">IF($A450="","",IFERROR(MATCH($C450,$R$2:$R$5,0),0))</f>
        <v>1</v>
      </c>
      <c r="F450">
        <f t="shared" ref="F450:F513" si="85">IF($A450="","",MOD(ROW(),34))</f>
        <v>8</v>
      </c>
      <c r="G450">
        <f t="shared" ref="G450:G513" si="86">IF($A450="",NA(),IF($C450="Action",$B450,NA()))</f>
        <v>2024</v>
      </c>
      <c r="H450">
        <f t="shared" ref="H450:H513" si="87">IF($A450="",NA(),IF($C450="Action",1+$F450*0.023,NA()))</f>
        <v>1.1839999999999999</v>
      </c>
      <c r="I450" t="e">
        <f t="shared" ref="I450:I513" si="88">IF($A450="",NA(),IF($C450="Strategy",$B450,NA()))</f>
        <v>#N/A</v>
      </c>
      <c r="J450" t="e">
        <f t="shared" ref="J450:J513" si="89">IF($A450="",NA(),IF($C450="Strategy",2+$F450*0.023,NA()))</f>
        <v>#N/A</v>
      </c>
      <c r="K450" t="e">
        <f t="shared" ref="K450:K513" si="90">IF($A450="",NA(),IF($C450="Deckbuilder",$B450,NA()))</f>
        <v>#N/A</v>
      </c>
      <c r="L450" t="e">
        <f t="shared" ref="L450:L513" si="91">IF($A450="",NA(),IF($C450="Deckbuilder",3+$F450*0.023,NA()))</f>
        <v>#N/A</v>
      </c>
      <c r="M450" t="e">
        <f t="shared" ref="M450:M513" si="92">IF($A450="",NA(),IF($C450="Traditional",$B450,NA()))</f>
        <v>#N/A</v>
      </c>
      <c r="N450" t="e">
        <f t="shared" ref="N450:N513" si="93">IF($A450="",NA(),IF($C450="Traditional",4+$F450*0.023,NA()))</f>
        <v>#N/A</v>
      </c>
      <c r="O450">
        <f t="shared" ref="O450:O513" si="94">IF($A450="","",$D450+ROW()/1000000)</f>
        <v>1.0004500000000001</v>
      </c>
      <c r="T450">
        <f>IF(connections!$A450="","",IFERROR(INDEX(games!$B$2:$B$834,MATCH(connections!$A450,games!$A$2:$A$834,0)),""))</f>
        <v>2007</v>
      </c>
      <c r="U450">
        <f>IF(connections!$A450="","",IFERROR(INDEX(games!$B$2:$B$834,MATCH(connections!$B450,games!$A$2:$A$834,0)),""))</f>
        <v>2014</v>
      </c>
      <c r="V450">
        <f t="shared" ref="V450:V513" si="95">IF(OR($T450="",$U450=""),"",$U450-$T450)</f>
        <v>7</v>
      </c>
    </row>
    <row r="451" spans="1:22" x14ac:dyDescent="0.25">
      <c r="A451" t="str">
        <f>IF(games!$A451="","",games!$A451)</f>
        <v>Moonlighter</v>
      </c>
      <c r="B451">
        <f>IF($A451="","",games!$B451)</f>
        <v>2018</v>
      </c>
      <c r="C451" t="str">
        <f>IF($A451="","",games!$C451)</f>
        <v>Action</v>
      </c>
      <c r="D451">
        <f>IF($A451="","",COUNTIF(connections!$A$2:$A$1188,$A451)+COUNTIF(connections!$B$2:$B$1188,$A451))</f>
        <v>4</v>
      </c>
      <c r="E451">
        <f t="shared" si="84"/>
        <v>1</v>
      </c>
      <c r="F451">
        <f t="shared" si="85"/>
        <v>9</v>
      </c>
      <c r="G451">
        <f t="shared" si="86"/>
        <v>2018</v>
      </c>
      <c r="H451">
        <f t="shared" si="87"/>
        <v>1.2070000000000001</v>
      </c>
      <c r="I451" t="e">
        <f t="shared" si="88"/>
        <v>#N/A</v>
      </c>
      <c r="J451" t="e">
        <f t="shared" si="89"/>
        <v>#N/A</v>
      </c>
      <c r="K451" t="e">
        <f t="shared" si="90"/>
        <v>#N/A</v>
      </c>
      <c r="L451" t="e">
        <f t="shared" si="91"/>
        <v>#N/A</v>
      </c>
      <c r="M451" t="e">
        <f t="shared" si="92"/>
        <v>#N/A</v>
      </c>
      <c r="N451" t="e">
        <f t="shared" si="93"/>
        <v>#N/A</v>
      </c>
      <c r="O451">
        <f t="shared" si="94"/>
        <v>4.000451</v>
      </c>
      <c r="T451">
        <f>IF(connections!$A451="","",IFERROR(INDEX(games!$B$2:$B$834,MATCH(connections!$A451,games!$A$2:$A$834,0)),""))</f>
        <v>2021</v>
      </c>
      <c r="U451">
        <f>IF(connections!$A451="","",IFERROR(INDEX(games!$B$2:$B$834,MATCH(connections!$B451,games!$A$2:$A$834,0)),""))</f>
        <v>2022</v>
      </c>
      <c r="V451">
        <f t="shared" si="95"/>
        <v>1</v>
      </c>
    </row>
    <row r="452" spans="1:22" x14ac:dyDescent="0.25">
      <c r="A452" t="str">
        <f>IF(games!$A452="","",games!$A452)</f>
        <v>Moonlighter 2: The Endless Vault</v>
      </c>
      <c r="B452">
        <f>IF($A452="","",games!$B452)</f>
        <v>2025</v>
      </c>
      <c r="C452" t="str">
        <f>IF($A452="","",games!$C452)</f>
        <v>Action</v>
      </c>
      <c r="D452">
        <f>IF($A452="","",COUNTIF(connections!$A$2:$A$1188,$A452)+COUNTIF(connections!$B$2:$B$1188,$A452))</f>
        <v>1</v>
      </c>
      <c r="E452">
        <f t="shared" si="84"/>
        <v>1</v>
      </c>
      <c r="F452">
        <f t="shared" si="85"/>
        <v>10</v>
      </c>
      <c r="G452">
        <f t="shared" si="86"/>
        <v>2025</v>
      </c>
      <c r="H452">
        <f t="shared" si="87"/>
        <v>1.23</v>
      </c>
      <c r="I452" t="e">
        <f t="shared" si="88"/>
        <v>#N/A</v>
      </c>
      <c r="J452" t="e">
        <f t="shared" si="89"/>
        <v>#N/A</v>
      </c>
      <c r="K452" t="e">
        <f t="shared" si="90"/>
        <v>#N/A</v>
      </c>
      <c r="L452" t="e">
        <f t="shared" si="91"/>
        <v>#N/A</v>
      </c>
      <c r="M452" t="e">
        <f t="shared" si="92"/>
        <v>#N/A</v>
      </c>
      <c r="N452" t="e">
        <f t="shared" si="93"/>
        <v>#N/A</v>
      </c>
      <c r="O452">
        <f t="shared" si="94"/>
        <v>1.0004519999999999</v>
      </c>
      <c r="T452">
        <f>IF(connections!$A452="","",IFERROR(INDEX(games!$B$2:$B$834,MATCH(connections!$A452,games!$A$2:$A$834,0)),""))</f>
        <v>2021</v>
      </c>
      <c r="U452">
        <f>IF(connections!$A452="","",IFERROR(INDEX(games!$B$2:$B$834,MATCH(connections!$B452,games!$A$2:$A$834,0)),""))</f>
        <v>2026</v>
      </c>
      <c r="V452">
        <f t="shared" si="95"/>
        <v>5</v>
      </c>
    </row>
    <row r="453" spans="1:22" x14ac:dyDescent="0.25">
      <c r="A453" t="str">
        <f>IF(games!$A453="","",games!$A453)</f>
        <v>Moonring</v>
      </c>
      <c r="B453">
        <f>IF($A453="","",games!$B453)</f>
        <v>2023</v>
      </c>
      <c r="C453" t="str">
        <f>IF($A453="","",games!$C453)</f>
        <v>Traditional</v>
      </c>
      <c r="D453">
        <f>IF($A453="","",COUNTIF(connections!$A$2:$A$1188,$A453)+COUNTIF(connections!$B$2:$B$1188,$A453))</f>
        <v>4</v>
      </c>
      <c r="E453">
        <f t="shared" si="84"/>
        <v>4</v>
      </c>
      <c r="F453">
        <f t="shared" si="85"/>
        <v>11</v>
      </c>
      <c r="G453" t="e">
        <f t="shared" si="86"/>
        <v>#N/A</v>
      </c>
      <c r="H453" t="e">
        <f t="shared" si="87"/>
        <v>#N/A</v>
      </c>
      <c r="I453" t="e">
        <f t="shared" si="88"/>
        <v>#N/A</v>
      </c>
      <c r="J453" t="e">
        <f t="shared" si="89"/>
        <v>#N/A</v>
      </c>
      <c r="K453" t="e">
        <f t="shared" si="90"/>
        <v>#N/A</v>
      </c>
      <c r="L453" t="e">
        <f t="shared" si="91"/>
        <v>#N/A</v>
      </c>
      <c r="M453">
        <f t="shared" si="92"/>
        <v>2023</v>
      </c>
      <c r="N453">
        <f t="shared" si="93"/>
        <v>4.2530000000000001</v>
      </c>
      <c r="O453">
        <f t="shared" si="94"/>
        <v>4.0004530000000003</v>
      </c>
      <c r="T453">
        <f>IF(connections!$A453="","",IFERROR(INDEX(games!$B$2:$B$834,MATCH(connections!$A453,games!$A$2:$A$834,0)),""))</f>
        <v>2021</v>
      </c>
      <c r="U453">
        <f>IF(connections!$A453="","",IFERROR(INDEX(games!$B$2:$B$834,MATCH(connections!$B453,games!$A$2:$A$834,0)),""))</f>
        <v>2023</v>
      </c>
      <c r="V453">
        <f t="shared" si="95"/>
        <v>2</v>
      </c>
    </row>
    <row r="454" spans="1:22" x14ac:dyDescent="0.25">
      <c r="A454" t="str">
        <f>IF(games!$A454="","",games!$A454)</f>
        <v>Morbid Metal</v>
      </c>
      <c r="B454">
        <f>IF($A454="","",games!$B454)</f>
        <v>2026</v>
      </c>
      <c r="C454" t="str">
        <f>IF($A454="","",games!$C454)</f>
        <v>Action</v>
      </c>
      <c r="D454">
        <f>IF($A454="","",COUNTIF(connections!$A$2:$A$1188,$A454)+COUNTIF(connections!$B$2:$B$1188,$A454))</f>
        <v>1</v>
      </c>
      <c r="E454">
        <f t="shared" si="84"/>
        <v>1</v>
      </c>
      <c r="F454">
        <f t="shared" si="85"/>
        <v>12</v>
      </c>
      <c r="G454">
        <f t="shared" si="86"/>
        <v>2026</v>
      </c>
      <c r="H454">
        <f t="shared" si="87"/>
        <v>1.276</v>
      </c>
      <c r="I454" t="e">
        <f t="shared" si="88"/>
        <v>#N/A</v>
      </c>
      <c r="J454" t="e">
        <f t="shared" si="89"/>
        <v>#N/A</v>
      </c>
      <c r="K454" t="e">
        <f t="shared" si="90"/>
        <v>#N/A</v>
      </c>
      <c r="L454" t="e">
        <f t="shared" si="91"/>
        <v>#N/A</v>
      </c>
      <c r="M454" t="e">
        <f t="shared" si="92"/>
        <v>#N/A</v>
      </c>
      <c r="N454" t="e">
        <f t="shared" si="93"/>
        <v>#N/A</v>
      </c>
      <c r="O454">
        <f t="shared" si="94"/>
        <v>1.000454</v>
      </c>
      <c r="T454">
        <f>IF(connections!$A454="","",IFERROR(INDEX(games!$B$2:$B$834,MATCH(connections!$A454,games!$A$2:$A$834,0)),""))</f>
        <v>2021</v>
      </c>
      <c r="U454">
        <f>IF(connections!$A454="","",IFERROR(INDEX(games!$B$2:$B$834,MATCH(connections!$B454,games!$A$2:$A$834,0)),""))</f>
        <v>2026</v>
      </c>
      <c r="V454">
        <f t="shared" si="95"/>
        <v>5</v>
      </c>
    </row>
    <row r="455" spans="1:22" x14ac:dyDescent="0.25">
      <c r="A455" t="str">
        <f>IF(games!$A455="","",games!$A455)</f>
        <v>Moria</v>
      </c>
      <c r="B455">
        <f>IF($A455="","",games!$B455)</f>
        <v>1983</v>
      </c>
      <c r="C455" t="str">
        <f>IF($A455="","",games!$C455)</f>
        <v>Traditional</v>
      </c>
      <c r="D455">
        <f>IF($A455="","",COUNTIF(connections!$A$2:$A$1188,$A455)+COUNTIF(connections!$B$2:$B$1188,$A455))</f>
        <v>4</v>
      </c>
      <c r="E455">
        <f t="shared" si="84"/>
        <v>4</v>
      </c>
      <c r="F455">
        <f t="shared" si="85"/>
        <v>13</v>
      </c>
      <c r="G455" t="e">
        <f t="shared" si="86"/>
        <v>#N/A</v>
      </c>
      <c r="H455" t="e">
        <f t="shared" si="87"/>
        <v>#N/A</v>
      </c>
      <c r="I455" t="e">
        <f t="shared" si="88"/>
        <v>#N/A</v>
      </c>
      <c r="J455" t="e">
        <f t="shared" si="89"/>
        <v>#N/A</v>
      </c>
      <c r="K455" t="e">
        <f t="shared" si="90"/>
        <v>#N/A</v>
      </c>
      <c r="L455" t="e">
        <f t="shared" si="91"/>
        <v>#N/A</v>
      </c>
      <c r="M455">
        <f t="shared" si="92"/>
        <v>1983</v>
      </c>
      <c r="N455">
        <f t="shared" si="93"/>
        <v>4.2990000000000004</v>
      </c>
      <c r="O455">
        <f t="shared" si="94"/>
        <v>4.0004549999999997</v>
      </c>
      <c r="T455">
        <f>IF(connections!$A455="","",IFERROR(INDEX(games!$B$2:$B$834,MATCH(connections!$A455,games!$A$2:$A$834,0)),""))</f>
        <v>2021</v>
      </c>
      <c r="U455">
        <f>IF(connections!$A455="","",IFERROR(INDEX(games!$B$2:$B$834,MATCH(connections!$B455,games!$A$2:$A$834,0)),""))</f>
        <v>2025</v>
      </c>
      <c r="V455">
        <f t="shared" si="95"/>
        <v>4</v>
      </c>
    </row>
    <row r="456" spans="1:22" x14ac:dyDescent="0.25">
      <c r="A456" t="str">
        <f>IF(games!$A456="","",games!$A456)</f>
        <v>Morimens</v>
      </c>
      <c r="B456">
        <f>IF($A456="","",games!$B456)</f>
        <v>2024</v>
      </c>
      <c r="C456" t="str">
        <f>IF($A456="","",games!$C456)</f>
        <v>Deckbuilder</v>
      </c>
      <c r="D456">
        <f>IF($A456="","",COUNTIF(connections!$A$2:$A$1188,$A456)+COUNTIF(connections!$B$2:$B$1188,$A456))</f>
        <v>1</v>
      </c>
      <c r="E456">
        <f t="shared" si="84"/>
        <v>3</v>
      </c>
      <c r="F456">
        <f t="shared" si="85"/>
        <v>14</v>
      </c>
      <c r="G456" t="e">
        <f t="shared" si="86"/>
        <v>#N/A</v>
      </c>
      <c r="H456" t="e">
        <f t="shared" si="87"/>
        <v>#N/A</v>
      </c>
      <c r="I456" t="e">
        <f t="shared" si="88"/>
        <v>#N/A</v>
      </c>
      <c r="J456" t="e">
        <f t="shared" si="89"/>
        <v>#N/A</v>
      </c>
      <c r="K456">
        <f t="shared" si="90"/>
        <v>2024</v>
      </c>
      <c r="L456">
        <f t="shared" si="91"/>
        <v>3.3220000000000001</v>
      </c>
      <c r="M456" t="e">
        <f t="shared" si="92"/>
        <v>#N/A</v>
      </c>
      <c r="N456" t="e">
        <f t="shared" si="93"/>
        <v>#N/A</v>
      </c>
      <c r="O456">
        <f t="shared" si="94"/>
        <v>1.000456</v>
      </c>
      <c r="T456">
        <f>IF(connections!$A456="","",IFERROR(INDEX(games!$B$2:$B$834,MATCH(connections!$A456,games!$A$2:$A$834,0)),""))</f>
        <v>2021</v>
      </c>
      <c r="U456">
        <f>IF(connections!$A456="","",IFERROR(INDEX(games!$B$2:$B$834,MATCH(connections!$B456,games!$A$2:$A$834,0)),""))</f>
        <v>2025</v>
      </c>
      <c r="V456">
        <f t="shared" si="95"/>
        <v>4</v>
      </c>
    </row>
    <row r="457" spans="1:22" x14ac:dyDescent="0.25">
      <c r="A457" t="str">
        <f>IF(games!$A457="","",games!$A457)</f>
        <v>Morsels</v>
      </c>
      <c r="B457">
        <f>IF($A457="","",games!$B457)</f>
        <v>2025</v>
      </c>
      <c r="C457" t="str">
        <f>IF($A457="","",games!$C457)</f>
        <v>Action</v>
      </c>
      <c r="D457">
        <f>IF($A457="","",COUNTIF(connections!$A$2:$A$1188,$A457)+COUNTIF(connections!$B$2:$B$1188,$A457))</f>
        <v>0</v>
      </c>
      <c r="E457">
        <f t="shared" si="84"/>
        <v>1</v>
      </c>
      <c r="F457">
        <f t="shared" si="85"/>
        <v>15</v>
      </c>
      <c r="G457">
        <f t="shared" si="86"/>
        <v>2025</v>
      </c>
      <c r="H457">
        <f t="shared" si="87"/>
        <v>1.345</v>
      </c>
      <c r="I457" t="e">
        <f t="shared" si="88"/>
        <v>#N/A</v>
      </c>
      <c r="J457" t="e">
        <f t="shared" si="89"/>
        <v>#N/A</v>
      </c>
      <c r="K457" t="e">
        <f t="shared" si="90"/>
        <v>#N/A</v>
      </c>
      <c r="L457" t="e">
        <f t="shared" si="91"/>
        <v>#N/A</v>
      </c>
      <c r="M457" t="e">
        <f t="shared" si="92"/>
        <v>#N/A</v>
      </c>
      <c r="N457" t="e">
        <f t="shared" si="93"/>
        <v>#N/A</v>
      </c>
      <c r="O457">
        <f t="shared" si="94"/>
        <v>4.57E-4</v>
      </c>
      <c r="T457">
        <f>IF(connections!$A457="","",IFERROR(INDEX(games!$B$2:$B$834,MATCH(connections!$A457,games!$A$2:$A$834,0)),""))</f>
        <v>2021</v>
      </c>
      <c r="U457">
        <f>IF(connections!$A457="","",IFERROR(INDEX(games!$B$2:$B$834,MATCH(connections!$B457,games!$A$2:$A$834,0)),""))</f>
        <v>2025</v>
      </c>
      <c r="V457">
        <f t="shared" si="95"/>
        <v>4</v>
      </c>
    </row>
    <row r="458" spans="1:22" x14ac:dyDescent="0.25">
      <c r="A458" t="str">
        <f>IF(games!$A458="","",games!$A458)</f>
        <v>Mortal Sin</v>
      </c>
      <c r="B458">
        <f>IF($A458="","",games!$B458)</f>
        <v>2023</v>
      </c>
      <c r="C458" t="str">
        <f>IF($A458="","",games!$C458)</f>
        <v>Action</v>
      </c>
      <c r="D458">
        <f>IF($A458="","",COUNTIF(connections!$A$2:$A$1188,$A458)+COUNTIF(connections!$B$2:$B$1188,$A458))</f>
        <v>2</v>
      </c>
      <c r="E458">
        <f t="shared" si="84"/>
        <v>1</v>
      </c>
      <c r="F458">
        <f t="shared" si="85"/>
        <v>16</v>
      </c>
      <c r="G458">
        <f t="shared" si="86"/>
        <v>2023</v>
      </c>
      <c r="H458">
        <f t="shared" si="87"/>
        <v>1.3679999999999999</v>
      </c>
      <c r="I458" t="e">
        <f t="shared" si="88"/>
        <v>#N/A</v>
      </c>
      <c r="J458" t="e">
        <f t="shared" si="89"/>
        <v>#N/A</v>
      </c>
      <c r="K458" t="e">
        <f t="shared" si="90"/>
        <v>#N/A</v>
      </c>
      <c r="L458" t="e">
        <f t="shared" si="91"/>
        <v>#N/A</v>
      </c>
      <c r="M458" t="e">
        <f t="shared" si="92"/>
        <v>#N/A</v>
      </c>
      <c r="N458" t="e">
        <f t="shared" si="93"/>
        <v>#N/A</v>
      </c>
      <c r="O458">
        <f t="shared" si="94"/>
        <v>2.0004580000000001</v>
      </c>
      <c r="T458">
        <f>IF(connections!$A458="","",IFERROR(INDEX(games!$B$2:$B$834,MATCH(connections!$A458,games!$A$2:$A$834,0)),""))</f>
        <v>2021</v>
      </c>
      <c r="U458">
        <f>IF(connections!$A458="","",IFERROR(INDEX(games!$B$2:$B$834,MATCH(connections!$B458,games!$A$2:$A$834,0)),""))</f>
        <v>2022</v>
      </c>
      <c r="V458">
        <f t="shared" si="95"/>
        <v>1</v>
      </c>
    </row>
    <row r="459" spans="1:22" x14ac:dyDescent="0.25">
      <c r="A459" t="str">
        <f>IF(games!$A459="","",games!$A459)</f>
        <v>Mothergunship</v>
      </c>
      <c r="B459">
        <f>IF($A459="","",games!$B459)</f>
        <v>2018</v>
      </c>
      <c r="C459" t="str">
        <f>IF($A459="","",games!$C459)</f>
        <v>Action</v>
      </c>
      <c r="D459">
        <f>IF($A459="","",COUNTIF(connections!$A$2:$A$1188,$A459)+COUNTIF(connections!$B$2:$B$1188,$A459))</f>
        <v>2</v>
      </c>
      <c r="E459">
        <f t="shared" si="84"/>
        <v>1</v>
      </c>
      <c r="F459">
        <f t="shared" si="85"/>
        <v>17</v>
      </c>
      <c r="G459">
        <f t="shared" si="86"/>
        <v>2018</v>
      </c>
      <c r="H459">
        <f t="shared" si="87"/>
        <v>1.391</v>
      </c>
      <c r="I459" t="e">
        <f t="shared" si="88"/>
        <v>#N/A</v>
      </c>
      <c r="J459" t="e">
        <f t="shared" si="89"/>
        <v>#N/A</v>
      </c>
      <c r="K459" t="e">
        <f t="shared" si="90"/>
        <v>#N/A</v>
      </c>
      <c r="L459" t="e">
        <f t="shared" si="91"/>
        <v>#N/A</v>
      </c>
      <c r="M459" t="e">
        <f t="shared" si="92"/>
        <v>#N/A</v>
      </c>
      <c r="N459" t="e">
        <f t="shared" si="93"/>
        <v>#N/A</v>
      </c>
      <c r="O459">
        <f t="shared" si="94"/>
        <v>2.0004590000000002</v>
      </c>
      <c r="T459">
        <f>IF(connections!$A459="","",IFERROR(INDEX(games!$B$2:$B$834,MATCH(connections!$A459,games!$A$2:$A$834,0)),""))</f>
        <v>2021</v>
      </c>
      <c r="U459">
        <f>IF(connections!$A459="","",IFERROR(INDEX(games!$B$2:$B$834,MATCH(connections!$B459,games!$A$2:$A$834,0)),""))</f>
        <v>2025</v>
      </c>
      <c r="V459">
        <f t="shared" si="95"/>
        <v>4</v>
      </c>
    </row>
    <row r="460" spans="1:22" x14ac:dyDescent="0.25">
      <c r="A460" t="str">
        <f>IF(games!$A460="","",games!$A460)</f>
        <v>Mothergunship: Forge</v>
      </c>
      <c r="B460">
        <f>IF($A460="","",games!$B460)</f>
        <v>2022</v>
      </c>
      <c r="C460" t="str">
        <f>IF($A460="","",games!$C460)</f>
        <v>Action</v>
      </c>
      <c r="D460">
        <f>IF($A460="","",COUNTIF(connections!$A$2:$A$1188,$A460)+COUNTIF(connections!$B$2:$B$1188,$A460))</f>
        <v>1</v>
      </c>
      <c r="E460">
        <f t="shared" si="84"/>
        <v>1</v>
      </c>
      <c r="F460">
        <f t="shared" si="85"/>
        <v>18</v>
      </c>
      <c r="G460">
        <f t="shared" si="86"/>
        <v>2022</v>
      </c>
      <c r="H460">
        <f t="shared" si="87"/>
        <v>1.4139999999999999</v>
      </c>
      <c r="I460" t="e">
        <f t="shared" si="88"/>
        <v>#N/A</v>
      </c>
      <c r="J460" t="e">
        <f t="shared" si="89"/>
        <v>#N/A</v>
      </c>
      <c r="K460" t="e">
        <f t="shared" si="90"/>
        <v>#N/A</v>
      </c>
      <c r="L460" t="e">
        <f t="shared" si="91"/>
        <v>#N/A</v>
      </c>
      <c r="M460" t="e">
        <f t="shared" si="92"/>
        <v>#N/A</v>
      </c>
      <c r="N460" t="e">
        <f t="shared" si="93"/>
        <v>#N/A</v>
      </c>
      <c r="O460">
        <f t="shared" si="94"/>
        <v>1.0004599999999999</v>
      </c>
      <c r="T460">
        <f>IF(connections!$A460="","",IFERROR(INDEX(games!$B$2:$B$834,MATCH(connections!$A460,games!$A$2:$A$834,0)),""))</f>
        <v>2021</v>
      </c>
      <c r="U460">
        <f>IF(connections!$A460="","",IFERROR(INDEX(games!$B$2:$B$834,MATCH(connections!$B460,games!$A$2:$A$834,0)),""))</f>
        <v>2025</v>
      </c>
      <c r="V460">
        <f t="shared" si="95"/>
        <v>4</v>
      </c>
    </row>
    <row r="461" spans="1:22" x14ac:dyDescent="0.25">
      <c r="A461" t="str">
        <f>IF(games!$A461="","",games!$A461)</f>
        <v>Motto!? Fushigi no Gensoukyou: Under the Moonlight</v>
      </c>
      <c r="B461">
        <f>IF($A461="","",games!$B461)</f>
        <v>2011</v>
      </c>
      <c r="C461" t="str">
        <f>IF($A461="","",games!$C461)</f>
        <v>Traditional</v>
      </c>
      <c r="D461">
        <f>IF($A461="","",COUNTIF(connections!$A$2:$A$1188,$A461)+COUNTIF(connections!$B$2:$B$1188,$A461))</f>
        <v>2</v>
      </c>
      <c r="E461">
        <f t="shared" si="84"/>
        <v>4</v>
      </c>
      <c r="F461">
        <f t="shared" si="85"/>
        <v>19</v>
      </c>
      <c r="G461" t="e">
        <f t="shared" si="86"/>
        <v>#N/A</v>
      </c>
      <c r="H461" t="e">
        <f t="shared" si="87"/>
        <v>#N/A</v>
      </c>
      <c r="I461" t="e">
        <f t="shared" si="88"/>
        <v>#N/A</v>
      </c>
      <c r="J461" t="e">
        <f t="shared" si="89"/>
        <v>#N/A</v>
      </c>
      <c r="K461" t="e">
        <f t="shared" si="90"/>
        <v>#N/A</v>
      </c>
      <c r="L461" t="e">
        <f t="shared" si="91"/>
        <v>#N/A</v>
      </c>
      <c r="M461">
        <f t="shared" si="92"/>
        <v>2011</v>
      </c>
      <c r="N461">
        <f t="shared" si="93"/>
        <v>4.4370000000000003</v>
      </c>
      <c r="O461">
        <f t="shared" si="94"/>
        <v>2.000461</v>
      </c>
      <c r="T461">
        <f>IF(connections!$A461="","",IFERROR(INDEX(games!$B$2:$B$834,MATCH(connections!$A461,games!$A$2:$A$834,0)),""))</f>
        <v>2018</v>
      </c>
      <c r="U461">
        <f>IF(connections!$A461="","",IFERROR(INDEX(games!$B$2:$B$834,MATCH(connections!$B461,games!$A$2:$A$834,0)),""))</f>
        <v>2022</v>
      </c>
      <c r="V461">
        <f t="shared" si="95"/>
        <v>4</v>
      </c>
    </row>
    <row r="462" spans="1:22" x14ac:dyDescent="0.25">
      <c r="A462" t="str">
        <f>IF(games!$A462="","",games!$A462)</f>
        <v>Mr. Sun's Hatbox</v>
      </c>
      <c r="B462">
        <f>IF($A462="","",games!$B462)</f>
        <v>2023</v>
      </c>
      <c r="C462" t="str">
        <f>IF($A462="","",games!$C462)</f>
        <v>Action</v>
      </c>
      <c r="D462">
        <f>IF($A462="","",COUNTIF(connections!$A$2:$A$1188,$A462)+COUNTIF(connections!$B$2:$B$1188,$A462))</f>
        <v>1</v>
      </c>
      <c r="E462">
        <f t="shared" si="84"/>
        <v>1</v>
      </c>
      <c r="F462">
        <f t="shared" si="85"/>
        <v>20</v>
      </c>
      <c r="G462">
        <f t="shared" si="86"/>
        <v>2023</v>
      </c>
      <c r="H462">
        <f t="shared" si="87"/>
        <v>1.46</v>
      </c>
      <c r="I462" t="e">
        <f t="shared" si="88"/>
        <v>#N/A</v>
      </c>
      <c r="J462" t="e">
        <f t="shared" si="89"/>
        <v>#N/A</v>
      </c>
      <c r="K462" t="e">
        <f t="shared" si="90"/>
        <v>#N/A</v>
      </c>
      <c r="L462" t="e">
        <f t="shared" si="91"/>
        <v>#N/A</v>
      </c>
      <c r="M462" t="e">
        <f t="shared" si="92"/>
        <v>#N/A</v>
      </c>
      <c r="N462" t="e">
        <f t="shared" si="93"/>
        <v>#N/A</v>
      </c>
      <c r="O462">
        <f t="shared" si="94"/>
        <v>1.000462</v>
      </c>
      <c r="T462">
        <f>IF(connections!$A462="","",IFERROR(INDEX(games!$B$2:$B$834,MATCH(connections!$A462,games!$A$2:$A$834,0)),""))</f>
        <v>2018</v>
      </c>
      <c r="U462">
        <f>IF(connections!$A462="","",IFERROR(INDEX(games!$B$2:$B$834,MATCH(connections!$B462,games!$A$2:$A$834,0)),""))</f>
        <v>2024</v>
      </c>
      <c r="V462">
        <f t="shared" si="95"/>
        <v>6</v>
      </c>
    </row>
    <row r="463" spans="1:22" x14ac:dyDescent="0.25">
      <c r="A463" t="str">
        <f>IF(games!$A463="","",games!$A463)</f>
        <v>Muck</v>
      </c>
      <c r="B463">
        <f>IF($A463="","",games!$B463)</f>
        <v>2021</v>
      </c>
      <c r="C463" t="str">
        <f>IF($A463="","",games!$C463)</f>
        <v>Action</v>
      </c>
      <c r="D463">
        <f>IF($A463="","",COUNTIF(connections!$A$2:$A$1188,$A463)+COUNTIF(connections!$B$2:$B$1188,$A463))</f>
        <v>2</v>
      </c>
      <c r="E463">
        <f t="shared" si="84"/>
        <v>1</v>
      </c>
      <c r="F463">
        <f t="shared" si="85"/>
        <v>21</v>
      </c>
      <c r="G463">
        <f t="shared" si="86"/>
        <v>2021</v>
      </c>
      <c r="H463">
        <f t="shared" si="87"/>
        <v>1.4830000000000001</v>
      </c>
      <c r="I463" t="e">
        <f t="shared" si="88"/>
        <v>#N/A</v>
      </c>
      <c r="J463" t="e">
        <f t="shared" si="89"/>
        <v>#N/A</v>
      </c>
      <c r="K463" t="e">
        <f t="shared" si="90"/>
        <v>#N/A</v>
      </c>
      <c r="L463" t="e">
        <f t="shared" si="91"/>
        <v>#N/A</v>
      </c>
      <c r="M463" t="e">
        <f t="shared" si="92"/>
        <v>#N/A</v>
      </c>
      <c r="N463" t="e">
        <f t="shared" si="93"/>
        <v>#N/A</v>
      </c>
      <c r="O463">
        <f t="shared" si="94"/>
        <v>2.0004629999999999</v>
      </c>
      <c r="T463">
        <f>IF(connections!$A463="","",IFERROR(INDEX(games!$B$2:$B$834,MATCH(connections!$A463,games!$A$2:$A$834,0)),""))</f>
        <v>2018</v>
      </c>
      <c r="U463">
        <f>IF(connections!$A463="","",IFERROR(INDEX(games!$B$2:$B$834,MATCH(connections!$B463,games!$A$2:$A$834,0)),""))</f>
        <v>2022</v>
      </c>
      <c r="V463">
        <f t="shared" si="95"/>
        <v>4</v>
      </c>
    </row>
    <row r="464" spans="1:22" x14ac:dyDescent="0.25">
      <c r="A464" t="str">
        <f>IF(games!$A464="","",games!$A464)</f>
        <v>My Card Is Better Than Your Card!</v>
      </c>
      <c r="B464">
        <f>IF($A464="","",games!$B464)</f>
        <v>2025</v>
      </c>
      <c r="C464" t="str">
        <f>IF($A464="","",games!$C464)</f>
        <v>Deckbuilder</v>
      </c>
      <c r="D464">
        <f>IF($A464="","",COUNTIF(connections!$A$2:$A$1188,$A464)+COUNTIF(connections!$B$2:$B$1188,$A464))</f>
        <v>1</v>
      </c>
      <c r="E464">
        <f t="shared" si="84"/>
        <v>3</v>
      </c>
      <c r="F464">
        <f t="shared" si="85"/>
        <v>22</v>
      </c>
      <c r="G464" t="e">
        <f t="shared" si="86"/>
        <v>#N/A</v>
      </c>
      <c r="H464" t="e">
        <f t="shared" si="87"/>
        <v>#N/A</v>
      </c>
      <c r="I464" t="e">
        <f t="shared" si="88"/>
        <v>#N/A</v>
      </c>
      <c r="J464" t="e">
        <f t="shared" si="89"/>
        <v>#N/A</v>
      </c>
      <c r="K464">
        <f t="shared" si="90"/>
        <v>2025</v>
      </c>
      <c r="L464">
        <f t="shared" si="91"/>
        <v>3.5060000000000002</v>
      </c>
      <c r="M464" t="e">
        <f t="shared" si="92"/>
        <v>#N/A</v>
      </c>
      <c r="N464" t="e">
        <f t="shared" si="93"/>
        <v>#N/A</v>
      </c>
      <c r="O464">
        <f t="shared" si="94"/>
        <v>1.000464</v>
      </c>
      <c r="T464">
        <f>IF(connections!$A464="","",IFERROR(INDEX(games!$B$2:$B$834,MATCH(connections!$A464,games!$A$2:$A$834,0)),""))</f>
        <v>2018</v>
      </c>
      <c r="U464">
        <f>IF(connections!$A464="","",IFERROR(INDEX(games!$B$2:$B$834,MATCH(connections!$B464,games!$A$2:$A$834,0)),""))</f>
        <v>2026</v>
      </c>
      <c r="V464">
        <f t="shared" si="95"/>
        <v>8</v>
      </c>
    </row>
    <row r="465" spans="1:22" x14ac:dyDescent="0.25">
      <c r="A465" t="str">
        <f>IF(games!$A465="","",games!$A465)</f>
        <v>Mystery Chronicle: One Way Heroics</v>
      </c>
      <c r="B465">
        <f>IF($A465="","",games!$B465)</f>
        <v>2016</v>
      </c>
      <c r="C465" t="str">
        <f>IF($A465="","",games!$C465)</f>
        <v>Traditional</v>
      </c>
      <c r="D465">
        <f>IF($A465="","",COUNTIF(connections!$A$2:$A$1188,$A465)+COUNTIF(connections!$B$2:$B$1188,$A465))</f>
        <v>1</v>
      </c>
      <c r="E465">
        <f t="shared" si="84"/>
        <v>4</v>
      </c>
      <c r="F465">
        <f t="shared" si="85"/>
        <v>23</v>
      </c>
      <c r="G465" t="e">
        <f t="shared" si="86"/>
        <v>#N/A</v>
      </c>
      <c r="H465" t="e">
        <f t="shared" si="87"/>
        <v>#N/A</v>
      </c>
      <c r="I465" t="e">
        <f t="shared" si="88"/>
        <v>#N/A</v>
      </c>
      <c r="J465" t="e">
        <f t="shared" si="89"/>
        <v>#N/A</v>
      </c>
      <c r="K465" t="e">
        <f t="shared" si="90"/>
        <v>#N/A</v>
      </c>
      <c r="L465" t="e">
        <f t="shared" si="91"/>
        <v>#N/A</v>
      </c>
      <c r="M465">
        <f t="shared" si="92"/>
        <v>2016</v>
      </c>
      <c r="N465">
        <f t="shared" si="93"/>
        <v>4.5289999999999999</v>
      </c>
      <c r="O465">
        <f t="shared" si="94"/>
        <v>1.0004649999999999</v>
      </c>
      <c r="T465">
        <f>IF(connections!$A465="","",IFERROR(INDEX(games!$B$2:$B$834,MATCH(connections!$A465,games!$A$2:$A$834,0)),""))</f>
        <v>2018</v>
      </c>
      <c r="U465">
        <f>IF(connections!$A465="","",IFERROR(INDEX(games!$B$2:$B$834,MATCH(connections!$B465,games!$A$2:$A$834,0)),""))</f>
        <v>2026</v>
      </c>
      <c r="V465">
        <f t="shared" si="95"/>
        <v>8</v>
      </c>
    </row>
    <row r="466" spans="1:22" x14ac:dyDescent="0.25">
      <c r="A466" t="str">
        <f>IF(games!$A466="","",games!$A466)</f>
        <v>Mystery Dungeon 2: Shiren the Wanderer</v>
      </c>
      <c r="B466">
        <f>IF($A466="","",games!$B466)</f>
        <v>1995</v>
      </c>
      <c r="C466" t="str">
        <f>IF($A466="","",games!$C466)</f>
        <v>Traditional</v>
      </c>
      <c r="D466">
        <f>IF($A466="","",COUNTIF(connections!$A$2:$A$1188,$A466)+COUNTIF(connections!$B$2:$B$1188,$A466))</f>
        <v>9</v>
      </c>
      <c r="E466">
        <f t="shared" si="84"/>
        <v>4</v>
      </c>
      <c r="F466">
        <f t="shared" si="85"/>
        <v>24</v>
      </c>
      <c r="G466" t="e">
        <f t="shared" si="86"/>
        <v>#N/A</v>
      </c>
      <c r="H466" t="e">
        <f t="shared" si="87"/>
        <v>#N/A</v>
      </c>
      <c r="I466" t="e">
        <f t="shared" si="88"/>
        <v>#N/A</v>
      </c>
      <c r="J466" t="e">
        <f t="shared" si="89"/>
        <v>#N/A</v>
      </c>
      <c r="K466" t="e">
        <f t="shared" si="90"/>
        <v>#N/A</v>
      </c>
      <c r="L466" t="e">
        <f t="shared" si="91"/>
        <v>#N/A</v>
      </c>
      <c r="M466">
        <f t="shared" si="92"/>
        <v>1995</v>
      </c>
      <c r="N466">
        <f t="shared" si="93"/>
        <v>4.5519999999999996</v>
      </c>
      <c r="O466">
        <f t="shared" si="94"/>
        <v>9.0004659999999994</v>
      </c>
      <c r="T466">
        <f>IF(connections!$A466="","",IFERROR(INDEX(games!$B$2:$B$834,MATCH(connections!$A466,games!$A$2:$A$834,0)),""))</f>
        <v>2018</v>
      </c>
      <c r="U466">
        <f>IF(connections!$A466="","",IFERROR(INDEX(games!$B$2:$B$834,MATCH(connections!$B466,games!$A$2:$A$834,0)),""))</f>
        <v>2023</v>
      </c>
      <c r="V466">
        <f t="shared" si="95"/>
        <v>5</v>
      </c>
    </row>
    <row r="467" spans="1:22" x14ac:dyDescent="0.25">
      <c r="A467" t="str">
        <f>IF(games!$A467="","",games!$A467)</f>
        <v>Mythical Concept Starnaut</v>
      </c>
      <c r="B467">
        <f>IF($A467="","",games!$B467)</f>
        <v>2024</v>
      </c>
      <c r="C467" t="str">
        <f>IF($A467="","",games!$C467)</f>
        <v>Action</v>
      </c>
      <c r="D467">
        <f>IF($A467="","",COUNTIF(connections!$A$2:$A$1188,$A467)+COUNTIF(connections!$B$2:$B$1188,$A467))</f>
        <v>1</v>
      </c>
      <c r="E467">
        <f t="shared" si="84"/>
        <v>1</v>
      </c>
      <c r="F467">
        <f t="shared" si="85"/>
        <v>25</v>
      </c>
      <c r="G467">
        <f t="shared" si="86"/>
        <v>2024</v>
      </c>
      <c r="H467">
        <f t="shared" si="87"/>
        <v>1.575</v>
      </c>
      <c r="I467" t="e">
        <f t="shared" si="88"/>
        <v>#N/A</v>
      </c>
      <c r="J467" t="e">
        <f t="shared" si="89"/>
        <v>#N/A</v>
      </c>
      <c r="K467" t="e">
        <f t="shared" si="90"/>
        <v>#N/A</v>
      </c>
      <c r="L467" t="e">
        <f t="shared" si="91"/>
        <v>#N/A</v>
      </c>
      <c r="M467" t="e">
        <f t="shared" si="92"/>
        <v>#N/A</v>
      </c>
      <c r="N467" t="e">
        <f t="shared" si="93"/>
        <v>#N/A</v>
      </c>
      <c r="O467">
        <f t="shared" si="94"/>
        <v>1.000467</v>
      </c>
      <c r="T467">
        <f>IF(connections!$A467="","",IFERROR(INDEX(games!$B$2:$B$834,MATCH(connections!$A467,games!$A$2:$A$834,0)),""))</f>
        <v>2018</v>
      </c>
      <c r="U467">
        <f>IF(connections!$A467="","",IFERROR(INDEX(games!$B$2:$B$834,MATCH(connections!$B467,games!$A$2:$A$834,0)),""))</f>
        <v>2024</v>
      </c>
      <c r="V467">
        <f t="shared" si="95"/>
        <v>6</v>
      </c>
    </row>
    <row r="468" spans="1:22" x14ac:dyDescent="0.25">
      <c r="A468" t="str">
        <f>IF(games!$A468="","",games!$A468)</f>
        <v>Nadir</v>
      </c>
      <c r="B468">
        <f>IF($A468="","",games!$B468)</f>
        <v>2022</v>
      </c>
      <c r="C468" t="str">
        <f>IF($A468="","",games!$C468)</f>
        <v>Deckbuilder</v>
      </c>
      <c r="D468">
        <f>IF($A468="","",COUNTIF(connections!$A$2:$A$1188,$A468)+COUNTIF(connections!$B$2:$B$1188,$A468))</f>
        <v>2</v>
      </c>
      <c r="E468">
        <f t="shared" si="84"/>
        <v>3</v>
      </c>
      <c r="F468">
        <f t="shared" si="85"/>
        <v>26</v>
      </c>
      <c r="G468" t="e">
        <f t="shared" si="86"/>
        <v>#N/A</v>
      </c>
      <c r="H468" t="e">
        <f t="shared" si="87"/>
        <v>#N/A</v>
      </c>
      <c r="I468" t="e">
        <f t="shared" si="88"/>
        <v>#N/A</v>
      </c>
      <c r="J468" t="e">
        <f t="shared" si="89"/>
        <v>#N/A</v>
      </c>
      <c r="K468">
        <f t="shared" si="90"/>
        <v>2022</v>
      </c>
      <c r="L468">
        <f t="shared" si="91"/>
        <v>3.5979999999999999</v>
      </c>
      <c r="M468" t="e">
        <f t="shared" si="92"/>
        <v>#N/A</v>
      </c>
      <c r="N468" t="e">
        <f t="shared" si="93"/>
        <v>#N/A</v>
      </c>
      <c r="O468">
        <f t="shared" si="94"/>
        <v>2.0004680000000001</v>
      </c>
      <c r="T468">
        <f>IF(connections!$A468="","",IFERROR(INDEX(games!$B$2:$B$834,MATCH(connections!$A468,games!$A$2:$A$834,0)),""))</f>
        <v>2018</v>
      </c>
      <c r="U468">
        <f>IF(connections!$A468="","",IFERROR(INDEX(games!$B$2:$B$834,MATCH(connections!$B468,games!$A$2:$A$834,0)),""))</f>
        <v>2023</v>
      </c>
      <c r="V468">
        <f t="shared" si="95"/>
        <v>5</v>
      </c>
    </row>
    <row r="469" spans="1:22" x14ac:dyDescent="0.25">
      <c r="A469" t="str">
        <f>IF(games!$A469="","",games!$A469)</f>
        <v>NecroBouncer</v>
      </c>
      <c r="B469">
        <f>IF($A469="","",games!$B469)</f>
        <v>2022</v>
      </c>
      <c r="C469" t="str">
        <f>IF($A469="","",games!$C469)</f>
        <v>Action</v>
      </c>
      <c r="D469">
        <f>IF($A469="","",COUNTIF(connections!$A$2:$A$1188,$A469)+COUNTIF(connections!$B$2:$B$1188,$A469))</f>
        <v>2</v>
      </c>
      <c r="E469">
        <f t="shared" si="84"/>
        <v>1</v>
      </c>
      <c r="F469">
        <f t="shared" si="85"/>
        <v>27</v>
      </c>
      <c r="G469">
        <f t="shared" si="86"/>
        <v>2022</v>
      </c>
      <c r="H469">
        <f t="shared" si="87"/>
        <v>1.621</v>
      </c>
      <c r="I469" t="e">
        <f t="shared" si="88"/>
        <v>#N/A</v>
      </c>
      <c r="J469" t="e">
        <f t="shared" si="89"/>
        <v>#N/A</v>
      </c>
      <c r="K469" t="e">
        <f t="shared" si="90"/>
        <v>#N/A</v>
      </c>
      <c r="L469" t="e">
        <f t="shared" si="91"/>
        <v>#N/A</v>
      </c>
      <c r="M469" t="e">
        <f t="shared" si="92"/>
        <v>#N/A</v>
      </c>
      <c r="N469" t="e">
        <f t="shared" si="93"/>
        <v>#N/A</v>
      </c>
      <c r="O469">
        <f t="shared" si="94"/>
        <v>2.0004689999999998</v>
      </c>
      <c r="T469">
        <f>IF(connections!$A469="","",IFERROR(INDEX(games!$B$2:$B$834,MATCH(connections!$A469,games!$A$2:$A$834,0)),""))</f>
        <v>2018</v>
      </c>
      <c r="U469">
        <f>IF(connections!$A469="","",IFERROR(INDEX(games!$B$2:$B$834,MATCH(connections!$B469,games!$A$2:$A$834,0)),""))</f>
        <v>2021</v>
      </c>
      <c r="V469">
        <f t="shared" si="95"/>
        <v>3</v>
      </c>
    </row>
    <row r="470" spans="1:22" x14ac:dyDescent="0.25">
      <c r="A470" t="str">
        <f>IF(games!$A470="","",games!$A470)</f>
        <v>Necroking</v>
      </c>
      <c r="B470">
        <f>IF($A470="","",games!$B470)</f>
        <v>2024</v>
      </c>
      <c r="C470" t="str">
        <f>IF($A470="","",games!$C470)</f>
        <v>Strategy</v>
      </c>
      <c r="D470">
        <f>IF($A470="","",COUNTIF(connections!$A$2:$A$1188,$A470)+COUNTIF(connections!$B$2:$B$1188,$A470))</f>
        <v>0</v>
      </c>
      <c r="E470">
        <f t="shared" si="84"/>
        <v>2</v>
      </c>
      <c r="F470">
        <f t="shared" si="85"/>
        <v>28</v>
      </c>
      <c r="G470" t="e">
        <f t="shared" si="86"/>
        <v>#N/A</v>
      </c>
      <c r="H470" t="e">
        <f t="shared" si="87"/>
        <v>#N/A</v>
      </c>
      <c r="I470">
        <f t="shared" si="88"/>
        <v>2024</v>
      </c>
      <c r="J470">
        <f t="shared" si="89"/>
        <v>2.6440000000000001</v>
      </c>
      <c r="K470" t="e">
        <f t="shared" si="90"/>
        <v>#N/A</v>
      </c>
      <c r="L470" t="e">
        <f t="shared" si="91"/>
        <v>#N/A</v>
      </c>
      <c r="M470" t="e">
        <f t="shared" si="92"/>
        <v>#N/A</v>
      </c>
      <c r="N470" t="e">
        <f t="shared" si="93"/>
        <v>#N/A</v>
      </c>
      <c r="O470">
        <f t="shared" si="94"/>
        <v>4.6999999999999999E-4</v>
      </c>
      <c r="T470">
        <f>IF(connections!$A470="","",IFERROR(INDEX(games!$B$2:$B$834,MATCH(connections!$A470,games!$A$2:$A$834,0)),""))</f>
        <v>2018</v>
      </c>
      <c r="U470">
        <f>IF(connections!$A470="","",IFERROR(INDEX(games!$B$2:$B$834,MATCH(connections!$B470,games!$A$2:$A$834,0)),""))</f>
        <v>2026</v>
      </c>
      <c r="V470">
        <f t="shared" si="95"/>
        <v>8</v>
      </c>
    </row>
    <row r="471" spans="1:22" x14ac:dyDescent="0.25">
      <c r="A471" t="str">
        <f>IF(games!$A471="","",games!$A471)</f>
        <v>Necrosmith</v>
      </c>
      <c r="B471">
        <f>IF($A471="","",games!$B471)</f>
        <v>2022</v>
      </c>
      <c r="C471" t="str">
        <f>IF($A471="","",games!$C471)</f>
        <v>Action</v>
      </c>
      <c r="D471">
        <f>IF($A471="","",COUNTIF(connections!$A$2:$A$1188,$A471)+COUNTIF(connections!$B$2:$B$1188,$A471))</f>
        <v>2</v>
      </c>
      <c r="E471">
        <f t="shared" si="84"/>
        <v>1</v>
      </c>
      <c r="F471">
        <f t="shared" si="85"/>
        <v>29</v>
      </c>
      <c r="G471">
        <f t="shared" si="86"/>
        <v>2022</v>
      </c>
      <c r="H471">
        <f t="shared" si="87"/>
        <v>1.667</v>
      </c>
      <c r="I471" t="e">
        <f t="shared" si="88"/>
        <v>#N/A</v>
      </c>
      <c r="J471" t="e">
        <f t="shared" si="89"/>
        <v>#N/A</v>
      </c>
      <c r="K471" t="e">
        <f t="shared" si="90"/>
        <v>#N/A</v>
      </c>
      <c r="L471" t="e">
        <f t="shared" si="91"/>
        <v>#N/A</v>
      </c>
      <c r="M471" t="e">
        <f t="shared" si="92"/>
        <v>#N/A</v>
      </c>
      <c r="N471" t="e">
        <f t="shared" si="93"/>
        <v>#N/A</v>
      </c>
      <c r="O471">
        <f t="shared" si="94"/>
        <v>2.0004710000000001</v>
      </c>
      <c r="T471">
        <f>IF(connections!$A471="","",IFERROR(INDEX(games!$B$2:$B$834,MATCH(connections!$A471,games!$A$2:$A$834,0)),""))</f>
        <v>2018</v>
      </c>
      <c r="U471">
        <f>IF(connections!$A471="","",IFERROR(INDEX(games!$B$2:$B$834,MATCH(connections!$B471,games!$A$2:$A$834,0)),""))</f>
        <v>2024</v>
      </c>
      <c r="V471">
        <f t="shared" si="95"/>
        <v>6</v>
      </c>
    </row>
    <row r="472" spans="1:22" x14ac:dyDescent="0.25">
      <c r="A472" t="str">
        <f>IF(games!$A472="","",games!$A472)</f>
        <v>Necrosmith 2</v>
      </c>
      <c r="B472">
        <f>IF($A472="","",games!$B472)</f>
        <v>2024</v>
      </c>
      <c r="C472" t="str">
        <f>IF($A472="","",games!$C472)</f>
        <v>Action</v>
      </c>
      <c r="D472">
        <f>IF($A472="","",COUNTIF(connections!$A$2:$A$1188,$A472)+COUNTIF(connections!$B$2:$B$1188,$A472))</f>
        <v>1</v>
      </c>
      <c r="E472">
        <f t="shared" si="84"/>
        <v>1</v>
      </c>
      <c r="F472">
        <f t="shared" si="85"/>
        <v>30</v>
      </c>
      <c r="G472">
        <f t="shared" si="86"/>
        <v>2024</v>
      </c>
      <c r="H472">
        <f t="shared" si="87"/>
        <v>1.69</v>
      </c>
      <c r="I472" t="e">
        <f t="shared" si="88"/>
        <v>#N/A</v>
      </c>
      <c r="J472" t="e">
        <f t="shared" si="89"/>
        <v>#N/A</v>
      </c>
      <c r="K472" t="e">
        <f t="shared" si="90"/>
        <v>#N/A</v>
      </c>
      <c r="L472" t="e">
        <f t="shared" si="91"/>
        <v>#N/A</v>
      </c>
      <c r="M472" t="e">
        <f t="shared" si="92"/>
        <v>#N/A</v>
      </c>
      <c r="N472" t="e">
        <f t="shared" si="93"/>
        <v>#N/A</v>
      </c>
      <c r="O472">
        <f t="shared" si="94"/>
        <v>1.000472</v>
      </c>
      <c r="T472">
        <f>IF(connections!$A472="","",IFERROR(INDEX(games!$B$2:$B$834,MATCH(connections!$A472,games!$A$2:$A$834,0)),""))</f>
        <v>2018</v>
      </c>
      <c r="U472">
        <f>IF(connections!$A472="","",IFERROR(INDEX(games!$B$2:$B$834,MATCH(connections!$B472,games!$A$2:$A$834,0)),""))</f>
        <v>2021</v>
      </c>
      <c r="V472">
        <f t="shared" si="95"/>
        <v>3</v>
      </c>
    </row>
    <row r="473" spans="1:22" x14ac:dyDescent="0.25">
      <c r="A473" t="str">
        <f>IF(games!$A473="","",games!$A473)</f>
        <v>Neon Abyss</v>
      </c>
      <c r="B473">
        <f>IF($A473="","",games!$B473)</f>
        <v>2019</v>
      </c>
      <c r="C473" t="str">
        <f>IF($A473="","",games!$C473)</f>
        <v>Action</v>
      </c>
      <c r="D473">
        <f>IF($A473="","",COUNTIF(connections!$A$2:$A$1188,$A473)+COUNTIF(connections!$B$2:$B$1188,$A473))</f>
        <v>2</v>
      </c>
      <c r="E473">
        <f t="shared" si="84"/>
        <v>1</v>
      </c>
      <c r="F473">
        <f t="shared" si="85"/>
        <v>31</v>
      </c>
      <c r="G473">
        <f t="shared" si="86"/>
        <v>2019</v>
      </c>
      <c r="H473">
        <f t="shared" si="87"/>
        <v>1.7130000000000001</v>
      </c>
      <c r="I473" t="e">
        <f t="shared" si="88"/>
        <v>#N/A</v>
      </c>
      <c r="J473" t="e">
        <f t="shared" si="89"/>
        <v>#N/A</v>
      </c>
      <c r="K473" t="e">
        <f t="shared" si="90"/>
        <v>#N/A</v>
      </c>
      <c r="L473" t="e">
        <f t="shared" si="91"/>
        <v>#N/A</v>
      </c>
      <c r="M473" t="e">
        <f t="shared" si="92"/>
        <v>#N/A</v>
      </c>
      <c r="N473" t="e">
        <f t="shared" si="93"/>
        <v>#N/A</v>
      </c>
      <c r="O473">
        <f t="shared" si="94"/>
        <v>2.0004729999999999</v>
      </c>
      <c r="T473">
        <f>IF(connections!$A473="","",IFERROR(INDEX(games!$B$2:$B$834,MATCH(connections!$A473,games!$A$2:$A$834,0)),""))</f>
        <v>2018</v>
      </c>
      <c r="U473">
        <f>IF(connections!$A473="","",IFERROR(INDEX(games!$B$2:$B$834,MATCH(connections!$B473,games!$A$2:$A$834,0)),""))</f>
        <v>2024</v>
      </c>
      <c r="V473">
        <f t="shared" si="95"/>
        <v>6</v>
      </c>
    </row>
    <row r="474" spans="1:22" x14ac:dyDescent="0.25">
      <c r="A474" t="str">
        <f>IF(games!$A474="","",games!$A474)</f>
        <v>Neon Abyss 2</v>
      </c>
      <c r="B474">
        <f>IF($A474="","",games!$B474)</f>
        <v>2025</v>
      </c>
      <c r="C474" t="str">
        <f>IF($A474="","",games!$C474)</f>
        <v>Action</v>
      </c>
      <c r="D474">
        <f>IF($A474="","",COUNTIF(connections!$A$2:$A$1188,$A474)+COUNTIF(connections!$B$2:$B$1188,$A474))</f>
        <v>1</v>
      </c>
      <c r="E474">
        <f t="shared" si="84"/>
        <v>1</v>
      </c>
      <c r="F474">
        <f t="shared" si="85"/>
        <v>32</v>
      </c>
      <c r="G474">
        <f t="shared" si="86"/>
        <v>2025</v>
      </c>
      <c r="H474">
        <f t="shared" si="87"/>
        <v>1.736</v>
      </c>
      <c r="I474" t="e">
        <f t="shared" si="88"/>
        <v>#N/A</v>
      </c>
      <c r="J474" t="e">
        <f t="shared" si="89"/>
        <v>#N/A</v>
      </c>
      <c r="K474" t="e">
        <f t="shared" si="90"/>
        <v>#N/A</v>
      </c>
      <c r="L474" t="e">
        <f t="shared" si="91"/>
        <v>#N/A</v>
      </c>
      <c r="M474" t="e">
        <f t="shared" si="92"/>
        <v>#N/A</v>
      </c>
      <c r="N474" t="e">
        <f t="shared" si="93"/>
        <v>#N/A</v>
      </c>
      <c r="O474">
        <f t="shared" si="94"/>
        <v>1.0004740000000001</v>
      </c>
      <c r="T474">
        <f>IF(connections!$A474="","",IFERROR(INDEX(games!$B$2:$B$834,MATCH(connections!$A474,games!$A$2:$A$834,0)),""))</f>
        <v>2018</v>
      </c>
      <c r="U474">
        <f>IF(connections!$A474="","",IFERROR(INDEX(games!$B$2:$B$834,MATCH(connections!$B474,games!$A$2:$A$834,0)),""))</f>
        <v>2023</v>
      </c>
      <c r="V474">
        <f t="shared" si="95"/>
        <v>5</v>
      </c>
    </row>
    <row r="475" spans="1:22" x14ac:dyDescent="0.25">
      <c r="A475" t="str">
        <f>IF(games!$A475="","",games!$A475)</f>
        <v>Neophyte</v>
      </c>
      <c r="B475">
        <f>IF($A475="","",games!$B475)</f>
        <v>2022</v>
      </c>
      <c r="C475" t="str">
        <f>IF($A475="","",games!$C475)</f>
        <v>Action</v>
      </c>
      <c r="D475">
        <f>IF($A475="","",COUNTIF(connections!$A$2:$A$1188,$A475)+COUNTIF(connections!$B$2:$B$1188,$A475))</f>
        <v>1</v>
      </c>
      <c r="E475">
        <f t="shared" si="84"/>
        <v>1</v>
      </c>
      <c r="F475">
        <f t="shared" si="85"/>
        <v>33</v>
      </c>
      <c r="G475">
        <f t="shared" si="86"/>
        <v>2022</v>
      </c>
      <c r="H475">
        <f t="shared" si="87"/>
        <v>1.7589999999999999</v>
      </c>
      <c r="I475" t="e">
        <f t="shared" si="88"/>
        <v>#N/A</v>
      </c>
      <c r="J475" t="e">
        <f t="shared" si="89"/>
        <v>#N/A</v>
      </c>
      <c r="K475" t="e">
        <f t="shared" si="90"/>
        <v>#N/A</v>
      </c>
      <c r="L475" t="e">
        <f t="shared" si="91"/>
        <v>#N/A</v>
      </c>
      <c r="M475" t="e">
        <f t="shared" si="92"/>
        <v>#N/A</v>
      </c>
      <c r="N475" t="e">
        <f t="shared" si="93"/>
        <v>#N/A</v>
      </c>
      <c r="O475">
        <f t="shared" si="94"/>
        <v>1.000475</v>
      </c>
      <c r="T475">
        <f>IF(connections!$A475="","",IFERROR(INDEX(games!$B$2:$B$834,MATCH(connections!$A475,games!$A$2:$A$834,0)),""))</f>
        <v>2018</v>
      </c>
      <c r="U475">
        <f>IF(connections!$A475="","",IFERROR(INDEX(games!$B$2:$B$834,MATCH(connections!$B475,games!$A$2:$A$834,0)),""))</f>
        <v>2023</v>
      </c>
      <c r="V475">
        <f t="shared" si="95"/>
        <v>5</v>
      </c>
    </row>
    <row r="476" spans="1:22" x14ac:dyDescent="0.25">
      <c r="A476" t="str">
        <f>IF(games!$A476="","",games!$A476)</f>
        <v>NetHack</v>
      </c>
      <c r="B476">
        <f>IF($A476="","",games!$B476)</f>
        <v>1987</v>
      </c>
      <c r="C476" t="str">
        <f>IF($A476="","",games!$C476)</f>
        <v>Traditional</v>
      </c>
      <c r="D476">
        <f>IF($A476="","",COUNTIF(connections!$A$2:$A$1188,$A476)+COUNTIF(connections!$B$2:$B$1188,$A476))</f>
        <v>29</v>
      </c>
      <c r="E476">
        <f t="shared" si="84"/>
        <v>4</v>
      </c>
      <c r="F476">
        <f t="shared" si="85"/>
        <v>0</v>
      </c>
      <c r="G476" t="e">
        <f t="shared" si="86"/>
        <v>#N/A</v>
      </c>
      <c r="H476" t="e">
        <f t="shared" si="87"/>
        <v>#N/A</v>
      </c>
      <c r="I476" t="e">
        <f t="shared" si="88"/>
        <v>#N/A</v>
      </c>
      <c r="J476" t="e">
        <f t="shared" si="89"/>
        <v>#N/A</v>
      </c>
      <c r="K476" t="e">
        <f t="shared" si="90"/>
        <v>#N/A</v>
      </c>
      <c r="L476" t="e">
        <f t="shared" si="91"/>
        <v>#N/A</v>
      </c>
      <c r="M476">
        <f t="shared" si="92"/>
        <v>1987</v>
      </c>
      <c r="N476">
        <f t="shared" si="93"/>
        <v>4</v>
      </c>
      <c r="O476">
        <f t="shared" si="94"/>
        <v>29.000475999999999</v>
      </c>
      <c r="T476">
        <f>IF(connections!$A476="","",IFERROR(INDEX(games!$B$2:$B$834,MATCH(connections!$A476,games!$A$2:$A$834,0)),""))</f>
        <v>2018</v>
      </c>
      <c r="U476">
        <f>IF(connections!$A476="","",IFERROR(INDEX(games!$B$2:$B$834,MATCH(connections!$B476,games!$A$2:$A$834,0)),""))</f>
        <v>2022</v>
      </c>
      <c r="V476">
        <f t="shared" si="95"/>
        <v>4</v>
      </c>
    </row>
    <row r="477" spans="1:22" x14ac:dyDescent="0.25">
      <c r="A477" t="str">
        <f>IF(games!$A477="","",games!$A477)</f>
        <v>Nigate Tale</v>
      </c>
      <c r="B477">
        <f>IF($A477="","",games!$B477)</f>
        <v>2021</v>
      </c>
      <c r="C477" t="str">
        <f>IF($A477="","",games!$C477)</f>
        <v>Action</v>
      </c>
      <c r="D477">
        <f>IF($A477="","",COUNTIF(connections!$A$2:$A$1188,$A477)+COUNTIF(connections!$B$2:$B$1188,$A477))</f>
        <v>1</v>
      </c>
      <c r="E477">
        <f t="shared" si="84"/>
        <v>1</v>
      </c>
      <c r="F477">
        <f t="shared" si="85"/>
        <v>1</v>
      </c>
      <c r="G477">
        <f t="shared" si="86"/>
        <v>2021</v>
      </c>
      <c r="H477">
        <f t="shared" si="87"/>
        <v>1.0229999999999999</v>
      </c>
      <c r="I477" t="e">
        <f t="shared" si="88"/>
        <v>#N/A</v>
      </c>
      <c r="J477" t="e">
        <f t="shared" si="89"/>
        <v>#N/A</v>
      </c>
      <c r="K477" t="e">
        <f t="shared" si="90"/>
        <v>#N/A</v>
      </c>
      <c r="L477" t="e">
        <f t="shared" si="91"/>
        <v>#N/A</v>
      </c>
      <c r="M477" t="e">
        <f t="shared" si="92"/>
        <v>#N/A</v>
      </c>
      <c r="N477" t="e">
        <f t="shared" si="93"/>
        <v>#N/A</v>
      </c>
      <c r="O477">
        <f t="shared" si="94"/>
        <v>1.0004770000000001</v>
      </c>
      <c r="T477">
        <f>IF(connections!$A477="","",IFERROR(INDEX(games!$B$2:$B$834,MATCH(connections!$A477,games!$A$2:$A$834,0)),""))</f>
        <v>2018</v>
      </c>
      <c r="U477">
        <f>IF(connections!$A477="","",IFERROR(INDEX(games!$B$2:$B$834,MATCH(connections!$B477,games!$A$2:$A$834,0)),""))</f>
        <v>2021</v>
      </c>
      <c r="V477">
        <f t="shared" si="95"/>
        <v>3</v>
      </c>
    </row>
    <row r="478" spans="1:22" x14ac:dyDescent="0.25">
      <c r="A478" t="str">
        <f>IF(games!$A478="","",games!$A478)</f>
        <v>Night Swarm</v>
      </c>
      <c r="B478">
        <f>IF($A478="","",games!$B478)</f>
        <v>2025</v>
      </c>
      <c r="C478" t="str">
        <f>IF($A478="","",games!$C478)</f>
        <v>Action</v>
      </c>
      <c r="D478">
        <f>IF($A478="","",COUNTIF(connections!$A$2:$A$1188,$A478)+COUNTIF(connections!$B$2:$B$1188,$A478))</f>
        <v>1</v>
      </c>
      <c r="E478">
        <f t="shared" si="84"/>
        <v>1</v>
      </c>
      <c r="F478">
        <f t="shared" si="85"/>
        <v>2</v>
      </c>
      <c r="G478">
        <f t="shared" si="86"/>
        <v>2025</v>
      </c>
      <c r="H478">
        <f t="shared" si="87"/>
        <v>1.046</v>
      </c>
      <c r="I478" t="e">
        <f t="shared" si="88"/>
        <v>#N/A</v>
      </c>
      <c r="J478" t="e">
        <f t="shared" si="89"/>
        <v>#N/A</v>
      </c>
      <c r="K478" t="e">
        <f t="shared" si="90"/>
        <v>#N/A</v>
      </c>
      <c r="L478" t="e">
        <f t="shared" si="91"/>
        <v>#N/A</v>
      </c>
      <c r="M478" t="e">
        <f t="shared" si="92"/>
        <v>#N/A</v>
      </c>
      <c r="N478" t="e">
        <f t="shared" si="93"/>
        <v>#N/A</v>
      </c>
      <c r="O478">
        <f t="shared" si="94"/>
        <v>1.000478</v>
      </c>
      <c r="T478">
        <f>IF(connections!$A478="","",IFERROR(INDEX(games!$B$2:$B$834,MATCH(connections!$A478,games!$A$2:$A$834,0)),""))</f>
        <v>2018</v>
      </c>
      <c r="U478">
        <f>IF(connections!$A478="","",IFERROR(INDEX(games!$B$2:$B$834,MATCH(connections!$B478,games!$A$2:$A$834,0)),""))</f>
        <v>2023</v>
      </c>
      <c r="V478">
        <f t="shared" si="95"/>
        <v>5</v>
      </c>
    </row>
    <row r="479" spans="1:22" x14ac:dyDescent="0.25">
      <c r="A479" t="str">
        <f>IF(games!$A479="","",games!$A479)</f>
        <v>Nimrods</v>
      </c>
      <c r="B479">
        <f>IF($A479="","",games!$B479)</f>
        <v>2024</v>
      </c>
      <c r="C479" t="str">
        <f>IF($A479="","",games!$C479)</f>
        <v>Action</v>
      </c>
      <c r="D479">
        <f>IF($A479="","",COUNTIF(connections!$A$2:$A$1188,$A479)+COUNTIF(connections!$B$2:$B$1188,$A479))</f>
        <v>1</v>
      </c>
      <c r="E479">
        <f t="shared" si="84"/>
        <v>1</v>
      </c>
      <c r="F479">
        <f t="shared" si="85"/>
        <v>3</v>
      </c>
      <c r="G479">
        <f t="shared" si="86"/>
        <v>2024</v>
      </c>
      <c r="H479">
        <f t="shared" si="87"/>
        <v>1.069</v>
      </c>
      <c r="I479" t="e">
        <f t="shared" si="88"/>
        <v>#N/A</v>
      </c>
      <c r="J479" t="e">
        <f t="shared" si="89"/>
        <v>#N/A</v>
      </c>
      <c r="K479" t="e">
        <f t="shared" si="90"/>
        <v>#N/A</v>
      </c>
      <c r="L479" t="e">
        <f t="shared" si="91"/>
        <v>#N/A</v>
      </c>
      <c r="M479" t="e">
        <f t="shared" si="92"/>
        <v>#N/A</v>
      </c>
      <c r="N479" t="e">
        <f t="shared" si="93"/>
        <v>#N/A</v>
      </c>
      <c r="O479">
        <f t="shared" si="94"/>
        <v>1.0004789999999999</v>
      </c>
      <c r="T479">
        <f>IF(connections!$A479="","",IFERROR(INDEX(games!$B$2:$B$834,MATCH(connections!$A479,games!$A$2:$A$834,0)),""))</f>
        <v>2001</v>
      </c>
      <c r="U479">
        <f>IF(connections!$A479="","",IFERROR(INDEX(games!$B$2:$B$834,MATCH(connections!$B479,games!$A$2:$A$834,0)),""))</f>
        <v>2015</v>
      </c>
      <c r="V479">
        <f t="shared" si="95"/>
        <v>14</v>
      </c>
    </row>
    <row r="480" spans="1:22" x14ac:dyDescent="0.25">
      <c r="A480" t="str">
        <f>IF(games!$A480="","",games!$A480)</f>
        <v>Node Crown</v>
      </c>
      <c r="B480">
        <f>IF($A480="","",games!$B480)</f>
        <v>2026</v>
      </c>
      <c r="C480" t="str">
        <f>IF($A480="","",games!$C480)</f>
        <v>Deckbuilder</v>
      </c>
      <c r="D480">
        <f>IF($A480="","",COUNTIF(connections!$A$2:$A$1188,$A480)+COUNTIF(connections!$B$2:$B$1188,$A480))</f>
        <v>5</v>
      </c>
      <c r="E480">
        <f t="shared" si="84"/>
        <v>3</v>
      </c>
      <c r="F480">
        <f t="shared" si="85"/>
        <v>4</v>
      </c>
      <c r="G480" t="e">
        <f t="shared" si="86"/>
        <v>#N/A</v>
      </c>
      <c r="H480" t="e">
        <f t="shared" si="87"/>
        <v>#N/A</v>
      </c>
      <c r="I480" t="e">
        <f t="shared" si="88"/>
        <v>#N/A</v>
      </c>
      <c r="J480" t="e">
        <f t="shared" si="89"/>
        <v>#N/A</v>
      </c>
      <c r="K480">
        <f t="shared" si="90"/>
        <v>2026</v>
      </c>
      <c r="L480">
        <f t="shared" si="91"/>
        <v>3.0920000000000001</v>
      </c>
      <c r="M480" t="e">
        <f t="shared" si="92"/>
        <v>#N/A</v>
      </c>
      <c r="N480" t="e">
        <f t="shared" si="93"/>
        <v>#N/A</v>
      </c>
      <c r="O480">
        <f t="shared" si="94"/>
        <v>5.0004799999999996</v>
      </c>
      <c r="T480">
        <f>IF(connections!$A480="","",IFERROR(INDEX(games!$B$2:$B$834,MATCH(connections!$A480,games!$A$2:$A$834,0)),""))</f>
        <v>2006</v>
      </c>
      <c r="U480">
        <f>IF(connections!$A480="","",IFERROR(INDEX(games!$B$2:$B$834,MATCH(connections!$B480,games!$A$2:$A$834,0)),""))</f>
        <v>2007</v>
      </c>
      <c r="V480">
        <f t="shared" si="95"/>
        <v>1</v>
      </c>
    </row>
    <row r="481" spans="1:22" x14ac:dyDescent="0.25">
      <c r="A481" t="str">
        <f>IF(games!$A481="","",games!$A481)</f>
        <v>Node Farm</v>
      </c>
      <c r="B481">
        <f>IF($A481="","",games!$B481)</f>
        <v>2024</v>
      </c>
      <c r="C481" t="str">
        <f>IF($A481="","",games!$C481)</f>
        <v>Strategy</v>
      </c>
      <c r="D481">
        <f>IF($A481="","",COUNTIF(connections!$A$2:$A$1188,$A481)+COUNTIF(connections!$B$2:$B$1188,$A481))</f>
        <v>1</v>
      </c>
      <c r="E481">
        <f t="shared" si="84"/>
        <v>2</v>
      </c>
      <c r="F481">
        <f t="shared" si="85"/>
        <v>5</v>
      </c>
      <c r="G481" t="e">
        <f t="shared" si="86"/>
        <v>#N/A</v>
      </c>
      <c r="H481" t="e">
        <f t="shared" si="87"/>
        <v>#N/A</v>
      </c>
      <c r="I481">
        <f t="shared" si="88"/>
        <v>2024</v>
      </c>
      <c r="J481">
        <f t="shared" si="89"/>
        <v>2.1150000000000002</v>
      </c>
      <c r="K481" t="e">
        <f t="shared" si="90"/>
        <v>#N/A</v>
      </c>
      <c r="L481" t="e">
        <f t="shared" si="91"/>
        <v>#N/A</v>
      </c>
      <c r="M481" t="e">
        <f t="shared" si="92"/>
        <v>#N/A</v>
      </c>
      <c r="N481" t="e">
        <f t="shared" si="93"/>
        <v>#N/A</v>
      </c>
      <c r="O481">
        <f t="shared" si="94"/>
        <v>1.000481</v>
      </c>
      <c r="T481">
        <f>IF(connections!$A481="","",IFERROR(INDEX(games!$B$2:$B$834,MATCH(connections!$A481,games!$A$2:$A$834,0)),""))</f>
        <v>2016</v>
      </c>
      <c r="U481">
        <f>IF(connections!$A481="","",IFERROR(INDEX(games!$B$2:$B$834,MATCH(connections!$B481,games!$A$2:$A$834,0)),""))</f>
        <v>2022</v>
      </c>
      <c r="V481">
        <f t="shared" si="95"/>
        <v>6</v>
      </c>
    </row>
    <row r="482" spans="1:22" x14ac:dyDescent="0.25">
      <c r="A482" t="str">
        <f>IF(games!$A482="","",games!$A482)</f>
        <v>Noita</v>
      </c>
      <c r="B482">
        <f>IF($A482="","",games!$B482)</f>
        <v>2019</v>
      </c>
      <c r="C482" t="str">
        <f>IF($A482="","",games!$C482)</f>
        <v>Action</v>
      </c>
      <c r="D482">
        <f>IF($A482="","",COUNTIF(connections!$A$2:$A$1188,$A482)+COUNTIF(connections!$B$2:$B$1188,$A482))</f>
        <v>6</v>
      </c>
      <c r="E482">
        <f t="shared" si="84"/>
        <v>1</v>
      </c>
      <c r="F482">
        <f t="shared" si="85"/>
        <v>6</v>
      </c>
      <c r="G482">
        <f t="shared" si="86"/>
        <v>2019</v>
      </c>
      <c r="H482">
        <f t="shared" si="87"/>
        <v>1.1379999999999999</v>
      </c>
      <c r="I482" t="e">
        <f t="shared" si="88"/>
        <v>#N/A</v>
      </c>
      <c r="J482" t="e">
        <f t="shared" si="89"/>
        <v>#N/A</v>
      </c>
      <c r="K482" t="e">
        <f t="shared" si="90"/>
        <v>#N/A</v>
      </c>
      <c r="L482" t="e">
        <f t="shared" si="91"/>
        <v>#N/A</v>
      </c>
      <c r="M482" t="e">
        <f t="shared" si="92"/>
        <v>#N/A</v>
      </c>
      <c r="N482" t="e">
        <f t="shared" si="93"/>
        <v>#N/A</v>
      </c>
      <c r="O482">
        <f t="shared" si="94"/>
        <v>6.0004819999999999</v>
      </c>
      <c r="T482">
        <f>IF(connections!$A482="","",IFERROR(INDEX(games!$B$2:$B$834,MATCH(connections!$A482,games!$A$2:$A$834,0)),""))</f>
        <v>2016</v>
      </c>
      <c r="U482">
        <f>IF(connections!$A482="","",IFERROR(INDEX(games!$B$2:$B$834,MATCH(connections!$B482,games!$A$2:$A$834,0)),""))</f>
        <v>2024</v>
      </c>
      <c r="V482">
        <f t="shared" si="95"/>
        <v>8</v>
      </c>
    </row>
    <row r="483" spans="1:22" x14ac:dyDescent="0.25">
      <c r="A483" t="str">
        <f>IF(games!$A483="","",games!$A483)</f>
        <v>Nomad Survival</v>
      </c>
      <c r="B483">
        <f>IF($A483="","",games!$B483)</f>
        <v>2022</v>
      </c>
      <c r="C483" t="str">
        <f>IF($A483="","",games!$C483)</f>
        <v>Action</v>
      </c>
      <c r="D483">
        <f>IF($A483="","",COUNTIF(connections!$A$2:$A$1188,$A483)+COUNTIF(connections!$B$2:$B$1188,$A483))</f>
        <v>1</v>
      </c>
      <c r="E483">
        <f t="shared" si="84"/>
        <v>1</v>
      </c>
      <c r="F483">
        <f t="shared" si="85"/>
        <v>7</v>
      </c>
      <c r="G483">
        <f t="shared" si="86"/>
        <v>2022</v>
      </c>
      <c r="H483">
        <f t="shared" si="87"/>
        <v>1.161</v>
      </c>
      <c r="I483" t="e">
        <f t="shared" si="88"/>
        <v>#N/A</v>
      </c>
      <c r="J483" t="e">
        <f t="shared" si="89"/>
        <v>#N/A</v>
      </c>
      <c r="K483" t="e">
        <f t="shared" si="90"/>
        <v>#N/A</v>
      </c>
      <c r="L483" t="e">
        <f t="shared" si="91"/>
        <v>#N/A</v>
      </c>
      <c r="M483" t="e">
        <f t="shared" si="92"/>
        <v>#N/A</v>
      </c>
      <c r="N483" t="e">
        <f t="shared" si="93"/>
        <v>#N/A</v>
      </c>
      <c r="O483">
        <f t="shared" si="94"/>
        <v>1.000483</v>
      </c>
      <c r="T483">
        <f>IF(connections!$A483="","",IFERROR(INDEX(games!$B$2:$B$834,MATCH(connections!$A483,games!$A$2:$A$834,0)),""))</f>
        <v>2016</v>
      </c>
      <c r="U483">
        <f>IF(connections!$A483="","",IFERROR(INDEX(games!$B$2:$B$834,MATCH(connections!$B483,games!$A$2:$A$834,0)),""))</f>
        <v>2019</v>
      </c>
      <c r="V483">
        <f t="shared" si="95"/>
        <v>3</v>
      </c>
    </row>
    <row r="484" spans="1:22" x14ac:dyDescent="0.25">
      <c r="A484" t="str">
        <f>IF(games!$A484="","",games!$A484)</f>
        <v>Noobs Are Coming</v>
      </c>
      <c r="B484">
        <f>IF($A484="","",games!$B484)</f>
        <v>2025</v>
      </c>
      <c r="C484" t="str">
        <f>IF($A484="","",games!$C484)</f>
        <v>Action</v>
      </c>
      <c r="D484">
        <f>IF($A484="","",COUNTIF(connections!$A$2:$A$1188,$A484)+COUNTIF(connections!$B$2:$B$1188,$A484))</f>
        <v>2</v>
      </c>
      <c r="E484">
        <f t="shared" si="84"/>
        <v>1</v>
      </c>
      <c r="F484">
        <f t="shared" si="85"/>
        <v>8</v>
      </c>
      <c r="G484">
        <f t="shared" si="86"/>
        <v>2025</v>
      </c>
      <c r="H484">
        <f t="shared" si="87"/>
        <v>1.1839999999999999</v>
      </c>
      <c r="I484" t="e">
        <f t="shared" si="88"/>
        <v>#N/A</v>
      </c>
      <c r="J484" t="e">
        <f t="shared" si="89"/>
        <v>#N/A</v>
      </c>
      <c r="K484" t="e">
        <f t="shared" si="90"/>
        <v>#N/A</v>
      </c>
      <c r="L484" t="e">
        <f t="shared" si="91"/>
        <v>#N/A</v>
      </c>
      <c r="M484" t="e">
        <f t="shared" si="92"/>
        <v>#N/A</v>
      </c>
      <c r="N484" t="e">
        <f t="shared" si="93"/>
        <v>#N/A</v>
      </c>
      <c r="O484">
        <f t="shared" si="94"/>
        <v>2.0004840000000002</v>
      </c>
      <c r="T484">
        <f>IF(connections!$A484="","",IFERROR(INDEX(games!$B$2:$B$834,MATCH(connections!$A484,games!$A$2:$A$834,0)),""))</f>
        <v>1995</v>
      </c>
      <c r="U484">
        <f>IF(connections!$A484="","",IFERROR(INDEX(games!$B$2:$B$834,MATCH(connections!$B484,games!$A$2:$A$834,0)),""))</f>
        <v>2006</v>
      </c>
      <c r="V484">
        <f t="shared" si="95"/>
        <v>11</v>
      </c>
    </row>
    <row r="485" spans="1:22" x14ac:dyDescent="0.25">
      <c r="A485" t="str">
        <f>IF(games!$A485="","",games!$A485)</f>
        <v>Noobs Want to Live</v>
      </c>
      <c r="B485">
        <f>IF($A485="","",games!$B485)</f>
        <v>2023</v>
      </c>
      <c r="C485" t="str">
        <f>IF($A485="","",games!$C485)</f>
        <v>Action</v>
      </c>
      <c r="D485">
        <f>IF($A485="","",COUNTIF(connections!$A$2:$A$1188,$A485)+COUNTIF(connections!$B$2:$B$1188,$A485))</f>
        <v>1</v>
      </c>
      <c r="E485">
        <f t="shared" si="84"/>
        <v>1</v>
      </c>
      <c r="F485">
        <f t="shared" si="85"/>
        <v>9</v>
      </c>
      <c r="G485">
        <f t="shared" si="86"/>
        <v>2023</v>
      </c>
      <c r="H485">
        <f t="shared" si="87"/>
        <v>1.2070000000000001</v>
      </c>
      <c r="I485" t="e">
        <f t="shared" si="88"/>
        <v>#N/A</v>
      </c>
      <c r="J485" t="e">
        <f t="shared" si="89"/>
        <v>#N/A</v>
      </c>
      <c r="K485" t="e">
        <f t="shared" si="90"/>
        <v>#N/A</v>
      </c>
      <c r="L485" t="e">
        <f t="shared" si="91"/>
        <v>#N/A</v>
      </c>
      <c r="M485" t="e">
        <f t="shared" si="92"/>
        <v>#N/A</v>
      </c>
      <c r="N485" t="e">
        <f t="shared" si="93"/>
        <v>#N/A</v>
      </c>
      <c r="O485">
        <f t="shared" si="94"/>
        <v>1.0004850000000001</v>
      </c>
      <c r="T485">
        <f>IF(connections!$A485="","",IFERROR(INDEX(games!$B$2:$B$834,MATCH(connections!$A485,games!$A$2:$A$834,0)),""))</f>
        <v>1995</v>
      </c>
      <c r="U485">
        <f>IF(connections!$A485="","",IFERROR(INDEX(games!$B$2:$B$834,MATCH(connections!$B485,games!$A$2:$A$834,0)),""))</f>
        <v>2006</v>
      </c>
      <c r="V485">
        <f t="shared" si="95"/>
        <v>11</v>
      </c>
    </row>
    <row r="486" spans="1:22" x14ac:dyDescent="0.25">
      <c r="A486" t="str">
        <f>IF(games!$A486="","",games!$A486)</f>
        <v>Nordhold</v>
      </c>
      <c r="B486">
        <f>IF($A486="","",games!$B486)</f>
        <v>2025</v>
      </c>
      <c r="C486" t="str">
        <f>IF($A486="","",games!$C486)</f>
        <v>Strategy</v>
      </c>
      <c r="D486">
        <f>IF($A486="","",COUNTIF(connections!$A$2:$A$1188,$A486)+COUNTIF(connections!$B$2:$B$1188,$A486))</f>
        <v>2</v>
      </c>
      <c r="E486">
        <f t="shared" si="84"/>
        <v>2</v>
      </c>
      <c r="F486">
        <f t="shared" si="85"/>
        <v>10</v>
      </c>
      <c r="G486" t="e">
        <f t="shared" si="86"/>
        <v>#N/A</v>
      </c>
      <c r="H486" t="e">
        <f t="shared" si="87"/>
        <v>#N/A</v>
      </c>
      <c r="I486">
        <f t="shared" si="88"/>
        <v>2025</v>
      </c>
      <c r="J486">
        <f t="shared" si="89"/>
        <v>2.23</v>
      </c>
      <c r="K486" t="e">
        <f t="shared" si="90"/>
        <v>#N/A</v>
      </c>
      <c r="L486" t="e">
        <f t="shared" si="91"/>
        <v>#N/A</v>
      </c>
      <c r="M486" t="e">
        <f t="shared" si="92"/>
        <v>#N/A</v>
      </c>
      <c r="N486" t="e">
        <f t="shared" si="93"/>
        <v>#N/A</v>
      </c>
      <c r="O486">
        <f t="shared" si="94"/>
        <v>2.000486</v>
      </c>
      <c r="T486">
        <f>IF(connections!$A486="","",IFERROR(INDEX(games!$B$2:$B$834,MATCH(connections!$A486,games!$A$2:$A$834,0)),""))</f>
        <v>1995</v>
      </c>
      <c r="U486">
        <f>IF(connections!$A486="","",IFERROR(INDEX(games!$B$2:$B$834,MATCH(connections!$B486,games!$A$2:$A$834,0)),""))</f>
        <v>2003</v>
      </c>
      <c r="V486">
        <f t="shared" si="95"/>
        <v>8</v>
      </c>
    </row>
    <row r="487" spans="1:22" x14ac:dyDescent="0.25">
      <c r="A487" t="str">
        <f>IF(games!$A487="","",games!$A487)</f>
        <v>Nordic Ashes: Survivors of Ragnarok</v>
      </c>
      <c r="B487">
        <f>IF($A487="","",games!$B487)</f>
        <v>2022</v>
      </c>
      <c r="C487" t="str">
        <f>IF($A487="","",games!$C487)</f>
        <v>Action</v>
      </c>
      <c r="D487">
        <f>IF($A487="","",COUNTIF(connections!$A$2:$A$1188,$A487)+COUNTIF(connections!$B$2:$B$1188,$A487))</f>
        <v>1</v>
      </c>
      <c r="E487">
        <f t="shared" si="84"/>
        <v>1</v>
      </c>
      <c r="F487">
        <f t="shared" si="85"/>
        <v>11</v>
      </c>
      <c r="G487">
        <f t="shared" si="86"/>
        <v>2022</v>
      </c>
      <c r="H487">
        <f t="shared" si="87"/>
        <v>1.2530000000000001</v>
      </c>
      <c r="I487" t="e">
        <f t="shared" si="88"/>
        <v>#N/A</v>
      </c>
      <c r="J487" t="e">
        <f t="shared" si="89"/>
        <v>#N/A</v>
      </c>
      <c r="K487" t="e">
        <f t="shared" si="90"/>
        <v>#N/A</v>
      </c>
      <c r="L487" t="e">
        <f t="shared" si="91"/>
        <v>#N/A</v>
      </c>
      <c r="M487" t="e">
        <f t="shared" si="92"/>
        <v>#N/A</v>
      </c>
      <c r="N487" t="e">
        <f t="shared" si="93"/>
        <v>#N/A</v>
      </c>
      <c r="O487">
        <f t="shared" si="94"/>
        <v>1.0004869999999999</v>
      </c>
      <c r="T487">
        <f>IF(connections!$A487="","",IFERROR(INDEX(games!$B$2:$B$834,MATCH(connections!$A487,games!$A$2:$A$834,0)),""))</f>
        <v>1995</v>
      </c>
      <c r="U487">
        <f>IF(connections!$A487="","",IFERROR(INDEX(games!$B$2:$B$834,MATCH(connections!$B487,games!$A$2:$A$834,0)),""))</f>
        <v>2002</v>
      </c>
      <c r="V487">
        <f t="shared" si="95"/>
        <v>7</v>
      </c>
    </row>
    <row r="488" spans="1:22" x14ac:dyDescent="0.25">
      <c r="A488" t="str">
        <f>IF(games!$A488="","",games!$A488)</f>
        <v>No-Skin</v>
      </c>
      <c r="B488">
        <f>IF($A488="","",games!$B488)</f>
        <v>2025</v>
      </c>
      <c r="C488" t="str">
        <f>IF($A488="","",games!$C488)</f>
        <v>Strategy</v>
      </c>
      <c r="D488">
        <f>IF($A488="","",COUNTIF(connections!$A$2:$A$1188,$A488)+COUNTIF(connections!$B$2:$B$1188,$A488))</f>
        <v>0</v>
      </c>
      <c r="E488">
        <f t="shared" si="84"/>
        <v>2</v>
      </c>
      <c r="F488">
        <f t="shared" si="85"/>
        <v>12</v>
      </c>
      <c r="G488" t="e">
        <f t="shared" si="86"/>
        <v>#N/A</v>
      </c>
      <c r="H488" t="e">
        <f t="shared" si="87"/>
        <v>#N/A</v>
      </c>
      <c r="I488">
        <f t="shared" si="88"/>
        <v>2025</v>
      </c>
      <c r="J488">
        <f t="shared" si="89"/>
        <v>2.2759999999999998</v>
      </c>
      <c r="K488" t="e">
        <f t="shared" si="90"/>
        <v>#N/A</v>
      </c>
      <c r="L488" t="e">
        <f t="shared" si="91"/>
        <v>#N/A</v>
      </c>
      <c r="M488" t="e">
        <f t="shared" si="92"/>
        <v>#N/A</v>
      </c>
      <c r="N488" t="e">
        <f t="shared" si="93"/>
        <v>#N/A</v>
      </c>
      <c r="O488">
        <f t="shared" si="94"/>
        <v>4.8799999999999999E-4</v>
      </c>
      <c r="T488">
        <f>IF(connections!$A488="","",IFERROR(INDEX(games!$B$2:$B$834,MATCH(connections!$A488,games!$A$2:$A$834,0)),""))</f>
        <v>2021</v>
      </c>
      <c r="U488">
        <f>IF(connections!$A488="","",IFERROR(INDEX(games!$B$2:$B$834,MATCH(connections!$B488,games!$A$2:$A$834,0)),""))</f>
        <v>2023</v>
      </c>
      <c r="V488">
        <f t="shared" si="95"/>
        <v>2</v>
      </c>
    </row>
    <row r="489" spans="1:22" x14ac:dyDescent="0.25">
      <c r="A489" t="str">
        <f>IF(games!$A489="","",games!$A489)</f>
        <v>Nova Drift</v>
      </c>
      <c r="B489">
        <f>IF($A489="","",games!$B489)</f>
        <v>2019</v>
      </c>
      <c r="C489" t="str">
        <f>IF($A489="","",games!$C489)</f>
        <v>Action</v>
      </c>
      <c r="D489">
        <f>IF($A489="","",COUNTIF(connections!$A$2:$A$1188,$A489)+COUNTIF(connections!$B$2:$B$1188,$A489))</f>
        <v>1</v>
      </c>
      <c r="E489">
        <f t="shared" si="84"/>
        <v>1</v>
      </c>
      <c r="F489">
        <f t="shared" si="85"/>
        <v>13</v>
      </c>
      <c r="G489">
        <f t="shared" si="86"/>
        <v>2019</v>
      </c>
      <c r="H489">
        <f t="shared" si="87"/>
        <v>1.2989999999999999</v>
      </c>
      <c r="I489" t="e">
        <f t="shared" si="88"/>
        <v>#N/A</v>
      </c>
      <c r="J489" t="e">
        <f t="shared" si="89"/>
        <v>#N/A</v>
      </c>
      <c r="K489" t="e">
        <f t="shared" si="90"/>
        <v>#N/A</v>
      </c>
      <c r="L489" t="e">
        <f t="shared" si="91"/>
        <v>#N/A</v>
      </c>
      <c r="M489" t="e">
        <f t="shared" si="92"/>
        <v>#N/A</v>
      </c>
      <c r="N489" t="e">
        <f t="shared" si="93"/>
        <v>#N/A</v>
      </c>
      <c r="O489">
        <f t="shared" si="94"/>
        <v>1.000489</v>
      </c>
      <c r="T489">
        <f>IF(connections!$A489="","",IFERROR(INDEX(games!$B$2:$B$834,MATCH(connections!$A489,games!$A$2:$A$834,0)),""))</f>
        <v>2021</v>
      </c>
      <c r="U489">
        <f>IF(connections!$A489="","",IFERROR(INDEX(games!$B$2:$B$834,MATCH(connections!$B489,games!$A$2:$A$834,0)),""))</f>
        <v>2025</v>
      </c>
      <c r="V489">
        <f t="shared" si="95"/>
        <v>4</v>
      </c>
    </row>
    <row r="490" spans="1:22" x14ac:dyDescent="0.25">
      <c r="A490" t="str">
        <f>IF(games!$A490="","",games!$A490)</f>
        <v>Nowhere Prophet</v>
      </c>
      <c r="B490">
        <f>IF($A490="","",games!$B490)</f>
        <v>2019</v>
      </c>
      <c r="C490" t="str">
        <f>IF($A490="","",games!$C490)</f>
        <v>Deckbuilder</v>
      </c>
      <c r="D490">
        <f>IF($A490="","",COUNTIF(connections!$A$2:$A$1188,$A490)+COUNTIF(connections!$B$2:$B$1188,$A490))</f>
        <v>2</v>
      </c>
      <c r="E490">
        <f t="shared" si="84"/>
        <v>3</v>
      </c>
      <c r="F490">
        <f t="shared" si="85"/>
        <v>14</v>
      </c>
      <c r="G490" t="e">
        <f t="shared" si="86"/>
        <v>#N/A</v>
      </c>
      <c r="H490" t="e">
        <f t="shared" si="87"/>
        <v>#N/A</v>
      </c>
      <c r="I490" t="e">
        <f t="shared" si="88"/>
        <v>#N/A</v>
      </c>
      <c r="J490" t="e">
        <f t="shared" si="89"/>
        <v>#N/A</v>
      </c>
      <c r="K490">
        <f t="shared" si="90"/>
        <v>2019</v>
      </c>
      <c r="L490">
        <f t="shared" si="91"/>
        <v>3.3220000000000001</v>
      </c>
      <c r="M490" t="e">
        <f t="shared" si="92"/>
        <v>#N/A</v>
      </c>
      <c r="N490" t="e">
        <f t="shared" si="93"/>
        <v>#N/A</v>
      </c>
      <c r="O490">
        <f t="shared" si="94"/>
        <v>2.0004900000000001</v>
      </c>
      <c r="T490">
        <f>IF(connections!$A490="","",IFERROR(INDEX(games!$B$2:$B$834,MATCH(connections!$A490,games!$A$2:$A$834,0)),""))</f>
        <v>2021</v>
      </c>
      <c r="U490">
        <f>IF(connections!$A490="","",IFERROR(INDEX(games!$B$2:$B$834,MATCH(connections!$B490,games!$A$2:$A$834,0)),""))</f>
        <v>2026</v>
      </c>
      <c r="V490">
        <f t="shared" si="95"/>
        <v>5</v>
      </c>
    </row>
    <row r="491" spans="1:22" x14ac:dyDescent="0.25">
      <c r="A491" t="str">
        <f>IF(games!$A491="","",games!$A491)</f>
        <v>Nubby's Number Factory</v>
      </c>
      <c r="B491">
        <f>IF($A491="","",games!$B491)</f>
        <v>2024</v>
      </c>
      <c r="C491" t="str">
        <f>IF($A491="","",games!$C491)</f>
        <v>Strategy</v>
      </c>
      <c r="D491">
        <f>IF($A491="","",COUNTIF(connections!$A$2:$A$1188,$A491)+COUNTIF(connections!$B$2:$B$1188,$A491))</f>
        <v>4</v>
      </c>
      <c r="E491">
        <f t="shared" si="84"/>
        <v>2</v>
      </c>
      <c r="F491">
        <f t="shared" si="85"/>
        <v>15</v>
      </c>
      <c r="G491" t="e">
        <f t="shared" si="86"/>
        <v>#N/A</v>
      </c>
      <c r="H491" t="e">
        <f t="shared" si="87"/>
        <v>#N/A</v>
      </c>
      <c r="I491">
        <f t="shared" si="88"/>
        <v>2024</v>
      </c>
      <c r="J491">
        <f t="shared" si="89"/>
        <v>2.3449999999999998</v>
      </c>
      <c r="K491" t="e">
        <f t="shared" si="90"/>
        <v>#N/A</v>
      </c>
      <c r="L491" t="e">
        <f t="shared" si="91"/>
        <v>#N/A</v>
      </c>
      <c r="M491" t="e">
        <f t="shared" si="92"/>
        <v>#N/A</v>
      </c>
      <c r="N491" t="e">
        <f t="shared" si="93"/>
        <v>#N/A</v>
      </c>
      <c r="O491">
        <f t="shared" si="94"/>
        <v>4.0004910000000002</v>
      </c>
      <c r="T491">
        <f>IF(connections!$A491="","",IFERROR(INDEX(games!$B$2:$B$834,MATCH(connections!$A491,games!$A$2:$A$834,0)),""))</f>
        <v>2001</v>
      </c>
      <c r="U491">
        <f>IF(connections!$A491="","",IFERROR(INDEX(games!$B$2:$B$834,MATCH(connections!$B491,games!$A$2:$A$834,0)),""))</f>
        <v>2017</v>
      </c>
      <c r="V491">
        <f t="shared" si="95"/>
        <v>16</v>
      </c>
    </row>
    <row r="492" spans="1:22" x14ac:dyDescent="0.25">
      <c r="A492" t="str">
        <f>IF(games!$A492="","",games!$A492)</f>
        <v>Nuclear Throne</v>
      </c>
      <c r="B492">
        <f>IF($A492="","",games!$B492)</f>
        <v>2015</v>
      </c>
      <c r="C492" t="str">
        <f>IF($A492="","",games!$C492)</f>
        <v>Action</v>
      </c>
      <c r="D492">
        <f>IF($A492="","",COUNTIF(connections!$A$2:$A$1188,$A492)+COUNTIF(connections!$B$2:$B$1188,$A492))</f>
        <v>21</v>
      </c>
      <c r="E492">
        <f t="shared" si="84"/>
        <v>1</v>
      </c>
      <c r="F492">
        <f t="shared" si="85"/>
        <v>16</v>
      </c>
      <c r="G492">
        <f t="shared" si="86"/>
        <v>2015</v>
      </c>
      <c r="H492">
        <f t="shared" si="87"/>
        <v>1.3679999999999999</v>
      </c>
      <c r="I492" t="e">
        <f t="shared" si="88"/>
        <v>#N/A</v>
      </c>
      <c r="J492" t="e">
        <f t="shared" si="89"/>
        <v>#N/A</v>
      </c>
      <c r="K492" t="e">
        <f t="shared" si="90"/>
        <v>#N/A</v>
      </c>
      <c r="L492" t="e">
        <f t="shared" si="91"/>
        <v>#N/A</v>
      </c>
      <c r="M492" t="e">
        <f t="shared" si="92"/>
        <v>#N/A</v>
      </c>
      <c r="N492" t="e">
        <f t="shared" si="93"/>
        <v>#N/A</v>
      </c>
      <c r="O492">
        <f t="shared" si="94"/>
        <v>21.000492000000001</v>
      </c>
      <c r="T492">
        <f>IF(connections!$A492="","",IFERROR(INDEX(games!$B$2:$B$834,MATCH(connections!$A492,games!$A$2:$A$834,0)),""))</f>
        <v>2021</v>
      </c>
      <c r="U492">
        <f>IF(connections!$A492="","",IFERROR(INDEX(games!$B$2:$B$834,MATCH(connections!$B492,games!$A$2:$A$834,0)),""))</f>
        <v>2022</v>
      </c>
      <c r="V492">
        <f t="shared" si="95"/>
        <v>1</v>
      </c>
    </row>
    <row r="493" spans="1:22" x14ac:dyDescent="0.25">
      <c r="A493" t="str">
        <f>IF(games!$A493="","",games!$A493)</f>
        <v>Nunholy</v>
      </c>
      <c r="B493">
        <f>IF($A493="","",games!$B493)</f>
        <v>2025</v>
      </c>
      <c r="C493" t="str">
        <f>IF($A493="","",games!$C493)</f>
        <v>Action</v>
      </c>
      <c r="D493">
        <f>IF($A493="","",COUNTIF(connections!$A$2:$A$1188,$A493)+COUNTIF(connections!$B$2:$B$1188,$A493))</f>
        <v>1</v>
      </c>
      <c r="E493">
        <f t="shared" si="84"/>
        <v>1</v>
      </c>
      <c r="F493">
        <f t="shared" si="85"/>
        <v>17</v>
      </c>
      <c r="G493">
        <f t="shared" si="86"/>
        <v>2025</v>
      </c>
      <c r="H493">
        <f t="shared" si="87"/>
        <v>1.391</v>
      </c>
      <c r="I493" t="e">
        <f t="shared" si="88"/>
        <v>#N/A</v>
      </c>
      <c r="J493" t="e">
        <f t="shared" si="89"/>
        <v>#N/A</v>
      </c>
      <c r="K493" t="e">
        <f t="shared" si="90"/>
        <v>#N/A</v>
      </c>
      <c r="L493" t="e">
        <f t="shared" si="91"/>
        <v>#N/A</v>
      </c>
      <c r="M493" t="e">
        <f t="shared" si="92"/>
        <v>#N/A</v>
      </c>
      <c r="N493" t="e">
        <f t="shared" si="93"/>
        <v>#N/A</v>
      </c>
      <c r="O493">
        <f t="shared" si="94"/>
        <v>1.0004930000000001</v>
      </c>
      <c r="T493">
        <f>IF(connections!$A493="","",IFERROR(INDEX(games!$B$2:$B$834,MATCH(connections!$A493,games!$A$2:$A$834,0)),""))</f>
        <v>2021</v>
      </c>
      <c r="U493">
        <f>IF(connections!$A493="","",IFERROR(INDEX(games!$B$2:$B$834,MATCH(connections!$B493,games!$A$2:$A$834,0)),""))</f>
        <v>2023</v>
      </c>
      <c r="V493">
        <f t="shared" si="95"/>
        <v>2</v>
      </c>
    </row>
    <row r="494" spans="1:22" x14ac:dyDescent="0.25">
      <c r="A494" t="str">
        <f>IF(games!$A494="","",games!$A494)</f>
        <v>Oaken Tower</v>
      </c>
      <c r="B494">
        <f>IF($A494="","",games!$B494)</f>
        <v>2026</v>
      </c>
      <c r="C494" t="str">
        <f>IF($A494="","",games!$C494)</f>
        <v>Strategy</v>
      </c>
      <c r="D494">
        <f>IF($A494="","",COUNTIF(connections!$A$2:$A$1188,$A494)+COUNTIF(connections!$B$2:$B$1188,$A494))</f>
        <v>3</v>
      </c>
      <c r="E494">
        <f t="shared" si="84"/>
        <v>2</v>
      </c>
      <c r="F494">
        <f t="shared" si="85"/>
        <v>18</v>
      </c>
      <c r="G494" t="e">
        <f t="shared" si="86"/>
        <v>#N/A</v>
      </c>
      <c r="H494" t="e">
        <f t="shared" si="87"/>
        <v>#N/A</v>
      </c>
      <c r="I494">
        <f t="shared" si="88"/>
        <v>2026</v>
      </c>
      <c r="J494">
        <f t="shared" si="89"/>
        <v>2.4140000000000001</v>
      </c>
      <c r="K494" t="e">
        <f t="shared" si="90"/>
        <v>#N/A</v>
      </c>
      <c r="L494" t="e">
        <f t="shared" si="91"/>
        <v>#N/A</v>
      </c>
      <c r="M494" t="e">
        <f t="shared" si="92"/>
        <v>#N/A</v>
      </c>
      <c r="N494" t="e">
        <f t="shared" si="93"/>
        <v>#N/A</v>
      </c>
      <c r="O494">
        <f t="shared" si="94"/>
        <v>3.0004940000000002</v>
      </c>
      <c r="T494">
        <f>IF(connections!$A494="","",IFERROR(INDEX(games!$B$2:$B$834,MATCH(connections!$A494,games!$A$2:$A$834,0)),""))</f>
        <v>2021</v>
      </c>
      <c r="U494">
        <f>IF(connections!$A494="","",IFERROR(INDEX(games!$B$2:$B$834,MATCH(connections!$B494,games!$A$2:$A$834,0)),""))</f>
        <v>2024</v>
      </c>
      <c r="V494">
        <f t="shared" si="95"/>
        <v>3</v>
      </c>
    </row>
    <row r="495" spans="1:22" x14ac:dyDescent="0.25">
      <c r="A495" t="str">
        <f>IF(games!$A495="","",games!$A495)</f>
        <v>Oblivion Override</v>
      </c>
      <c r="B495">
        <f>IF($A495="","",games!$B495)</f>
        <v>2023</v>
      </c>
      <c r="C495" t="str">
        <f>IF($A495="","",games!$C495)</f>
        <v>Action</v>
      </c>
      <c r="D495">
        <f>IF($A495="","",COUNTIF(connections!$A$2:$A$1188,$A495)+COUNTIF(connections!$B$2:$B$1188,$A495))</f>
        <v>1</v>
      </c>
      <c r="E495">
        <f t="shared" si="84"/>
        <v>1</v>
      </c>
      <c r="F495">
        <f t="shared" si="85"/>
        <v>19</v>
      </c>
      <c r="G495">
        <f t="shared" si="86"/>
        <v>2023</v>
      </c>
      <c r="H495">
        <f t="shared" si="87"/>
        <v>1.4370000000000001</v>
      </c>
      <c r="I495" t="e">
        <f t="shared" si="88"/>
        <v>#N/A</v>
      </c>
      <c r="J495" t="e">
        <f t="shared" si="89"/>
        <v>#N/A</v>
      </c>
      <c r="K495" t="e">
        <f t="shared" si="90"/>
        <v>#N/A</v>
      </c>
      <c r="L495" t="e">
        <f t="shared" si="91"/>
        <v>#N/A</v>
      </c>
      <c r="M495" t="e">
        <f t="shared" si="92"/>
        <v>#N/A</v>
      </c>
      <c r="N495" t="e">
        <f t="shared" si="93"/>
        <v>#N/A</v>
      </c>
      <c r="O495">
        <f t="shared" si="94"/>
        <v>1.0004949999999999</v>
      </c>
      <c r="T495">
        <f>IF(connections!$A495="","",IFERROR(INDEX(games!$B$2:$B$834,MATCH(connections!$A495,games!$A$2:$A$834,0)),""))</f>
        <v>2021</v>
      </c>
      <c r="U495">
        <f>IF(connections!$A495="","",IFERROR(INDEX(games!$B$2:$B$834,MATCH(connections!$B495,games!$A$2:$A$834,0)),""))</f>
        <v>2024</v>
      </c>
      <c r="V495">
        <f t="shared" si="95"/>
        <v>3</v>
      </c>
    </row>
    <row r="496" spans="1:22" x14ac:dyDescent="0.25">
      <c r="A496" t="str">
        <f>IF(games!$A496="","",games!$A496)</f>
        <v>Obsidian Prince</v>
      </c>
      <c r="B496">
        <f>IF($A496="","",games!$B496)</f>
        <v>2021</v>
      </c>
      <c r="C496" t="str">
        <f>IF($A496="","",games!$C496)</f>
        <v>Deckbuilder</v>
      </c>
      <c r="D496">
        <f>IF($A496="","",COUNTIF(connections!$A$2:$A$1188,$A496)+COUNTIF(connections!$B$2:$B$1188,$A496))</f>
        <v>2</v>
      </c>
      <c r="E496">
        <f t="shared" si="84"/>
        <v>3</v>
      </c>
      <c r="F496">
        <f t="shared" si="85"/>
        <v>20</v>
      </c>
      <c r="G496" t="e">
        <f t="shared" si="86"/>
        <v>#N/A</v>
      </c>
      <c r="H496" t="e">
        <f t="shared" si="87"/>
        <v>#N/A</v>
      </c>
      <c r="I496" t="e">
        <f t="shared" si="88"/>
        <v>#N/A</v>
      </c>
      <c r="J496" t="e">
        <f t="shared" si="89"/>
        <v>#N/A</v>
      </c>
      <c r="K496">
        <f t="shared" si="90"/>
        <v>2021</v>
      </c>
      <c r="L496">
        <f t="shared" si="91"/>
        <v>3.46</v>
      </c>
      <c r="M496" t="e">
        <f t="shared" si="92"/>
        <v>#N/A</v>
      </c>
      <c r="N496" t="e">
        <f t="shared" si="93"/>
        <v>#N/A</v>
      </c>
      <c r="O496">
        <f t="shared" si="94"/>
        <v>2.0004960000000001</v>
      </c>
      <c r="T496">
        <f>IF(connections!$A496="","",IFERROR(INDEX(games!$B$2:$B$834,MATCH(connections!$A496,games!$A$2:$A$834,0)),""))</f>
        <v>2021</v>
      </c>
      <c r="U496">
        <f>IF(connections!$A496="","",IFERROR(INDEX(games!$B$2:$B$834,MATCH(connections!$B496,games!$A$2:$A$834,0)),""))</f>
        <v>2026</v>
      </c>
      <c r="V496">
        <f t="shared" si="95"/>
        <v>5</v>
      </c>
    </row>
    <row r="497" spans="1:22" x14ac:dyDescent="0.25">
      <c r="A497" t="str">
        <f>IF(games!$A497="","",games!$A497)</f>
        <v>Octogeddon</v>
      </c>
      <c r="B497">
        <f>IF($A497="","",games!$B497)</f>
        <v>2018</v>
      </c>
      <c r="C497" t="str">
        <f>IF($A497="","",games!$C497)</f>
        <v>Action</v>
      </c>
      <c r="D497">
        <f>IF($A497="","",COUNTIF(connections!$A$2:$A$1188,$A497)+COUNTIF(connections!$B$2:$B$1188,$A497))</f>
        <v>0</v>
      </c>
      <c r="E497">
        <f t="shared" si="84"/>
        <v>1</v>
      </c>
      <c r="F497">
        <f t="shared" si="85"/>
        <v>21</v>
      </c>
      <c r="G497">
        <f t="shared" si="86"/>
        <v>2018</v>
      </c>
      <c r="H497">
        <f t="shared" si="87"/>
        <v>1.4830000000000001</v>
      </c>
      <c r="I497" t="e">
        <f t="shared" si="88"/>
        <v>#N/A</v>
      </c>
      <c r="J497" t="e">
        <f t="shared" si="89"/>
        <v>#N/A</v>
      </c>
      <c r="K497" t="e">
        <f t="shared" si="90"/>
        <v>#N/A</v>
      </c>
      <c r="L497" t="e">
        <f t="shared" si="91"/>
        <v>#N/A</v>
      </c>
      <c r="M497" t="e">
        <f t="shared" si="92"/>
        <v>#N/A</v>
      </c>
      <c r="N497" t="e">
        <f t="shared" si="93"/>
        <v>#N/A</v>
      </c>
      <c r="O497">
        <f t="shared" si="94"/>
        <v>4.9700000000000005E-4</v>
      </c>
      <c r="T497">
        <f>IF(connections!$A497="","",IFERROR(INDEX(games!$B$2:$B$834,MATCH(connections!$A497,games!$A$2:$A$834,0)),""))</f>
        <v>2021</v>
      </c>
      <c r="U497">
        <f>IF(connections!$A497="","",IFERROR(INDEX(games!$B$2:$B$834,MATCH(connections!$B497,games!$A$2:$A$834,0)),""))</f>
        <v>2024</v>
      </c>
      <c r="V497">
        <f t="shared" si="95"/>
        <v>3</v>
      </c>
    </row>
    <row r="498" spans="1:22" x14ac:dyDescent="0.25">
      <c r="A498" t="str">
        <f>IF(games!$A498="","",games!$A498)</f>
        <v>Oddcore</v>
      </c>
      <c r="B498">
        <f>IF($A498="","",games!$B498)</f>
        <v>2026</v>
      </c>
      <c r="C498" t="str">
        <f>IF($A498="","",games!$C498)</f>
        <v>Action</v>
      </c>
      <c r="D498">
        <f>IF($A498="","",COUNTIF(connections!$A$2:$A$1188,$A498)+COUNTIF(connections!$B$2:$B$1188,$A498))</f>
        <v>1</v>
      </c>
      <c r="E498">
        <f t="shared" si="84"/>
        <v>1</v>
      </c>
      <c r="F498">
        <f t="shared" si="85"/>
        <v>22</v>
      </c>
      <c r="G498">
        <f t="shared" si="86"/>
        <v>2026</v>
      </c>
      <c r="H498">
        <f t="shared" si="87"/>
        <v>1.506</v>
      </c>
      <c r="I498" t="e">
        <f t="shared" si="88"/>
        <v>#N/A</v>
      </c>
      <c r="J498" t="e">
        <f t="shared" si="89"/>
        <v>#N/A</v>
      </c>
      <c r="K498" t="e">
        <f t="shared" si="90"/>
        <v>#N/A</v>
      </c>
      <c r="L498" t="e">
        <f t="shared" si="91"/>
        <v>#N/A</v>
      </c>
      <c r="M498" t="e">
        <f t="shared" si="92"/>
        <v>#N/A</v>
      </c>
      <c r="N498" t="e">
        <f t="shared" si="93"/>
        <v>#N/A</v>
      </c>
      <c r="O498">
        <f t="shared" si="94"/>
        <v>1.0004980000000001</v>
      </c>
      <c r="T498">
        <f>IF(connections!$A498="","",IFERROR(INDEX(games!$B$2:$B$834,MATCH(connections!$A498,games!$A$2:$A$834,0)),""))</f>
        <v>2021</v>
      </c>
      <c r="U498">
        <f>IF(connections!$A498="","",IFERROR(INDEX(games!$B$2:$B$834,MATCH(connections!$B498,games!$A$2:$A$834,0)),""))</f>
        <v>2023</v>
      </c>
      <c r="V498">
        <f t="shared" si="95"/>
        <v>2</v>
      </c>
    </row>
    <row r="499" spans="1:22" x14ac:dyDescent="0.25">
      <c r="A499" t="str">
        <f>IF(games!$A499="","",games!$A499)</f>
        <v>Odinfall</v>
      </c>
      <c r="B499">
        <f>IF($A499="","",games!$B499)</f>
        <v>2025</v>
      </c>
      <c r="C499" t="str">
        <f>IF($A499="","",games!$C499)</f>
        <v>Action</v>
      </c>
      <c r="D499">
        <f>IF($A499="","",COUNTIF(connections!$A$2:$A$1188,$A499)+COUNTIF(connections!$B$2:$B$1188,$A499))</f>
        <v>2</v>
      </c>
      <c r="E499">
        <f t="shared" si="84"/>
        <v>1</v>
      </c>
      <c r="F499">
        <f t="shared" si="85"/>
        <v>23</v>
      </c>
      <c r="G499">
        <f t="shared" si="86"/>
        <v>2025</v>
      </c>
      <c r="H499">
        <f t="shared" si="87"/>
        <v>1.5289999999999999</v>
      </c>
      <c r="I499" t="e">
        <f t="shared" si="88"/>
        <v>#N/A</v>
      </c>
      <c r="J499" t="e">
        <f t="shared" si="89"/>
        <v>#N/A</v>
      </c>
      <c r="K499" t="e">
        <f t="shared" si="90"/>
        <v>#N/A</v>
      </c>
      <c r="L499" t="e">
        <f t="shared" si="91"/>
        <v>#N/A</v>
      </c>
      <c r="M499" t="e">
        <f t="shared" si="92"/>
        <v>#N/A</v>
      </c>
      <c r="N499" t="e">
        <f t="shared" si="93"/>
        <v>#N/A</v>
      </c>
      <c r="O499">
        <f t="shared" si="94"/>
        <v>2.000499</v>
      </c>
      <c r="T499">
        <f>IF(connections!$A499="","",IFERROR(INDEX(games!$B$2:$B$834,MATCH(connections!$A499,games!$A$2:$A$834,0)),""))</f>
        <v>2021</v>
      </c>
      <c r="U499">
        <f>IF(connections!$A499="","",IFERROR(INDEX(games!$B$2:$B$834,MATCH(connections!$B499,games!$A$2:$A$834,0)),""))</f>
        <v>2024</v>
      </c>
      <c r="V499">
        <f t="shared" si="95"/>
        <v>3</v>
      </c>
    </row>
    <row r="500" spans="1:22" x14ac:dyDescent="0.25">
      <c r="A500" t="str">
        <f>IF(games!$A500="","",games!$A500)</f>
        <v>Omega</v>
      </c>
      <c r="B500">
        <f>IF($A500="","",games!$B500)</f>
        <v>1987</v>
      </c>
      <c r="C500" t="str">
        <f>IF($A500="","",games!$C500)</f>
        <v>Traditional</v>
      </c>
      <c r="D500">
        <f>IF($A500="","",COUNTIF(connections!$A$2:$A$1188,$A500)+COUNTIF(connections!$B$2:$B$1188,$A500))</f>
        <v>3</v>
      </c>
      <c r="E500">
        <f t="shared" si="84"/>
        <v>4</v>
      </c>
      <c r="F500">
        <f t="shared" si="85"/>
        <v>24</v>
      </c>
      <c r="G500" t="e">
        <f t="shared" si="86"/>
        <v>#N/A</v>
      </c>
      <c r="H500" t="e">
        <f t="shared" si="87"/>
        <v>#N/A</v>
      </c>
      <c r="I500" t="e">
        <f t="shared" si="88"/>
        <v>#N/A</v>
      </c>
      <c r="J500" t="e">
        <f t="shared" si="89"/>
        <v>#N/A</v>
      </c>
      <c r="K500" t="e">
        <f t="shared" si="90"/>
        <v>#N/A</v>
      </c>
      <c r="L500" t="e">
        <f t="shared" si="91"/>
        <v>#N/A</v>
      </c>
      <c r="M500">
        <f t="shared" si="92"/>
        <v>1987</v>
      </c>
      <c r="N500">
        <f t="shared" si="93"/>
        <v>4.5519999999999996</v>
      </c>
      <c r="O500">
        <f t="shared" si="94"/>
        <v>3.0005000000000002</v>
      </c>
      <c r="T500">
        <f>IF(connections!$A500="","",IFERROR(INDEX(games!$B$2:$B$834,MATCH(connections!$A500,games!$A$2:$A$834,0)),""))</f>
        <v>2021</v>
      </c>
      <c r="U500">
        <f>IF(connections!$A500="","",IFERROR(INDEX(games!$B$2:$B$834,MATCH(connections!$B500,games!$A$2:$A$834,0)),""))</f>
        <v>2024</v>
      </c>
      <c r="V500">
        <f t="shared" si="95"/>
        <v>3</v>
      </c>
    </row>
    <row r="501" spans="1:22" x14ac:dyDescent="0.25">
      <c r="A501" t="str">
        <f>IF(games!$A501="","",games!$A501)</f>
        <v>Omega Labyrinth</v>
      </c>
      <c r="B501">
        <f>IF($A501="","",games!$B501)</f>
        <v>2015</v>
      </c>
      <c r="C501" t="str">
        <f>IF($A501="","",games!$C501)</f>
        <v>Traditional</v>
      </c>
      <c r="D501">
        <f>IF($A501="","",COUNTIF(connections!$A$2:$A$1188,$A501)+COUNTIF(connections!$B$2:$B$1188,$A501))</f>
        <v>2</v>
      </c>
      <c r="E501">
        <f t="shared" si="84"/>
        <v>4</v>
      </c>
      <c r="F501">
        <f t="shared" si="85"/>
        <v>25</v>
      </c>
      <c r="G501" t="e">
        <f t="shared" si="86"/>
        <v>#N/A</v>
      </c>
      <c r="H501" t="e">
        <f t="shared" si="87"/>
        <v>#N/A</v>
      </c>
      <c r="I501" t="e">
        <f t="shared" si="88"/>
        <v>#N/A</v>
      </c>
      <c r="J501" t="e">
        <f t="shared" si="89"/>
        <v>#N/A</v>
      </c>
      <c r="K501" t="e">
        <f t="shared" si="90"/>
        <v>#N/A</v>
      </c>
      <c r="L501" t="e">
        <f t="shared" si="91"/>
        <v>#N/A</v>
      </c>
      <c r="M501">
        <f t="shared" si="92"/>
        <v>2015</v>
      </c>
      <c r="N501">
        <f t="shared" si="93"/>
        <v>4.5750000000000002</v>
      </c>
      <c r="O501">
        <f t="shared" si="94"/>
        <v>2.0005009999999999</v>
      </c>
      <c r="T501">
        <f>IF(connections!$A501="","",IFERROR(INDEX(games!$B$2:$B$834,MATCH(connections!$A501,games!$A$2:$A$834,0)),""))</f>
        <v>2021</v>
      </c>
      <c r="U501">
        <f>IF(connections!$A501="","",IFERROR(INDEX(games!$B$2:$B$834,MATCH(connections!$B501,games!$A$2:$A$834,0)),""))</f>
        <v>2024</v>
      </c>
      <c r="V501">
        <f t="shared" si="95"/>
        <v>3</v>
      </c>
    </row>
    <row r="502" spans="1:22" x14ac:dyDescent="0.25">
      <c r="A502" t="str">
        <f>IF(games!$A502="","",games!$A502)</f>
        <v>Omega Labyrinth Life</v>
      </c>
      <c r="B502">
        <f>IF($A502="","",games!$B502)</f>
        <v>2019</v>
      </c>
      <c r="C502" t="str">
        <f>IF($A502="","",games!$C502)</f>
        <v>Traditional</v>
      </c>
      <c r="D502">
        <f>IF($A502="","",COUNTIF(connections!$A$2:$A$1188,$A502)+COUNTIF(connections!$B$2:$B$1188,$A502))</f>
        <v>1</v>
      </c>
      <c r="E502">
        <f t="shared" si="84"/>
        <v>4</v>
      </c>
      <c r="F502">
        <f t="shared" si="85"/>
        <v>26</v>
      </c>
      <c r="G502" t="e">
        <f t="shared" si="86"/>
        <v>#N/A</v>
      </c>
      <c r="H502" t="e">
        <f t="shared" si="87"/>
        <v>#N/A</v>
      </c>
      <c r="I502" t="e">
        <f t="shared" si="88"/>
        <v>#N/A</v>
      </c>
      <c r="J502" t="e">
        <f t="shared" si="89"/>
        <v>#N/A</v>
      </c>
      <c r="K502" t="e">
        <f t="shared" si="90"/>
        <v>#N/A</v>
      </c>
      <c r="L502" t="e">
        <f t="shared" si="91"/>
        <v>#N/A</v>
      </c>
      <c r="M502">
        <f t="shared" si="92"/>
        <v>2019</v>
      </c>
      <c r="N502">
        <f t="shared" si="93"/>
        <v>4.5979999999999999</v>
      </c>
      <c r="O502">
        <f t="shared" si="94"/>
        <v>1.000502</v>
      </c>
      <c r="T502">
        <f>IF(connections!$A502="","",IFERROR(INDEX(games!$B$2:$B$834,MATCH(connections!$A502,games!$A$2:$A$834,0)),""))</f>
        <v>2021</v>
      </c>
      <c r="U502">
        <f>IF(connections!$A502="","",IFERROR(INDEX(games!$B$2:$B$834,MATCH(connections!$B502,games!$A$2:$A$834,0)),""))</f>
        <v>2023</v>
      </c>
      <c r="V502">
        <f t="shared" si="95"/>
        <v>2</v>
      </c>
    </row>
    <row r="503" spans="1:22" x14ac:dyDescent="0.25">
      <c r="A503" t="str">
        <f>IF(games!$A503="","",games!$A503)</f>
        <v>Omega Labyrinth Z</v>
      </c>
      <c r="B503">
        <f>IF($A503="","",games!$B503)</f>
        <v>2017</v>
      </c>
      <c r="C503" t="str">
        <f>IF($A503="","",games!$C503)</f>
        <v>Traditional</v>
      </c>
      <c r="D503">
        <f>IF($A503="","",COUNTIF(connections!$A$2:$A$1188,$A503)+COUNTIF(connections!$B$2:$B$1188,$A503))</f>
        <v>2</v>
      </c>
      <c r="E503">
        <f t="shared" si="84"/>
        <v>4</v>
      </c>
      <c r="F503">
        <f t="shared" si="85"/>
        <v>27</v>
      </c>
      <c r="G503" t="e">
        <f t="shared" si="86"/>
        <v>#N/A</v>
      </c>
      <c r="H503" t="e">
        <f t="shared" si="87"/>
        <v>#N/A</v>
      </c>
      <c r="I503" t="e">
        <f t="shared" si="88"/>
        <v>#N/A</v>
      </c>
      <c r="J503" t="e">
        <f t="shared" si="89"/>
        <v>#N/A</v>
      </c>
      <c r="K503" t="e">
        <f t="shared" si="90"/>
        <v>#N/A</v>
      </c>
      <c r="L503" t="e">
        <f t="shared" si="91"/>
        <v>#N/A</v>
      </c>
      <c r="M503">
        <f t="shared" si="92"/>
        <v>2017</v>
      </c>
      <c r="N503">
        <f t="shared" si="93"/>
        <v>4.6210000000000004</v>
      </c>
      <c r="O503">
        <f t="shared" si="94"/>
        <v>2.0005030000000001</v>
      </c>
      <c r="T503">
        <f>IF(connections!$A503="","",IFERROR(INDEX(games!$B$2:$B$834,MATCH(connections!$A503,games!$A$2:$A$834,0)),""))</f>
        <v>2021</v>
      </c>
      <c r="U503">
        <f>IF(connections!$A503="","",IFERROR(INDEX(games!$B$2:$B$834,MATCH(connections!$B503,games!$A$2:$A$834,0)),""))</f>
        <v>2023</v>
      </c>
      <c r="V503">
        <f t="shared" si="95"/>
        <v>2</v>
      </c>
    </row>
    <row r="504" spans="1:22" x14ac:dyDescent="0.25">
      <c r="A504" t="str">
        <f>IF(games!$A504="","",games!$A504)</f>
        <v>Omelet You Cook</v>
      </c>
      <c r="B504">
        <f>IF($A504="","",games!$B504)</f>
        <v>2025</v>
      </c>
      <c r="C504" t="str">
        <f>IF($A504="","",games!$C504)</f>
        <v>Deckbuilder</v>
      </c>
      <c r="D504">
        <f>IF($A504="","",COUNTIF(connections!$A$2:$A$1188,$A504)+COUNTIF(connections!$B$2:$B$1188,$A504))</f>
        <v>3</v>
      </c>
      <c r="E504">
        <f t="shared" si="84"/>
        <v>3</v>
      </c>
      <c r="F504">
        <f t="shared" si="85"/>
        <v>28</v>
      </c>
      <c r="G504" t="e">
        <f t="shared" si="86"/>
        <v>#N/A</v>
      </c>
      <c r="H504" t="e">
        <f t="shared" si="87"/>
        <v>#N/A</v>
      </c>
      <c r="I504" t="e">
        <f t="shared" si="88"/>
        <v>#N/A</v>
      </c>
      <c r="J504" t="e">
        <f t="shared" si="89"/>
        <v>#N/A</v>
      </c>
      <c r="K504">
        <f t="shared" si="90"/>
        <v>2025</v>
      </c>
      <c r="L504">
        <f t="shared" si="91"/>
        <v>3.6440000000000001</v>
      </c>
      <c r="M504" t="e">
        <f t="shared" si="92"/>
        <v>#N/A</v>
      </c>
      <c r="N504" t="e">
        <f t="shared" si="93"/>
        <v>#N/A</v>
      </c>
      <c r="O504">
        <f t="shared" si="94"/>
        <v>3.0005039999999998</v>
      </c>
      <c r="T504">
        <f>IF(connections!$A504="","",IFERROR(INDEX(games!$B$2:$B$834,MATCH(connections!$A504,games!$A$2:$A$834,0)),""))</f>
        <v>2021</v>
      </c>
      <c r="U504">
        <f>IF(connections!$A504="","",IFERROR(INDEX(games!$B$2:$B$834,MATCH(connections!$B504,games!$A$2:$A$834,0)),""))</f>
        <v>2026</v>
      </c>
      <c r="V504">
        <f t="shared" si="95"/>
        <v>5</v>
      </c>
    </row>
    <row r="505" spans="1:22" x14ac:dyDescent="0.25">
      <c r="A505" t="str">
        <f>IF(games!$A505="","",games!$A505)</f>
        <v>One Step From Eden</v>
      </c>
      <c r="B505">
        <f>IF($A505="","",games!$B505)</f>
        <v>2020</v>
      </c>
      <c r="C505" t="str">
        <f>IF($A505="","",games!$C505)</f>
        <v>Action</v>
      </c>
      <c r="D505">
        <f>IF($A505="","",COUNTIF(connections!$A$2:$A$1188,$A505)+COUNTIF(connections!$B$2:$B$1188,$A505))</f>
        <v>3</v>
      </c>
      <c r="E505">
        <f t="shared" si="84"/>
        <v>1</v>
      </c>
      <c r="F505">
        <f t="shared" si="85"/>
        <v>29</v>
      </c>
      <c r="G505">
        <f t="shared" si="86"/>
        <v>2020</v>
      </c>
      <c r="H505">
        <f t="shared" si="87"/>
        <v>1.667</v>
      </c>
      <c r="I505" t="e">
        <f t="shared" si="88"/>
        <v>#N/A</v>
      </c>
      <c r="J505" t="e">
        <f t="shared" si="89"/>
        <v>#N/A</v>
      </c>
      <c r="K505" t="e">
        <f t="shared" si="90"/>
        <v>#N/A</v>
      </c>
      <c r="L505" t="e">
        <f t="shared" si="91"/>
        <v>#N/A</v>
      </c>
      <c r="M505" t="e">
        <f t="shared" si="92"/>
        <v>#N/A</v>
      </c>
      <c r="N505" t="e">
        <f t="shared" si="93"/>
        <v>#N/A</v>
      </c>
      <c r="O505">
        <f t="shared" si="94"/>
        <v>3.000505</v>
      </c>
      <c r="T505">
        <f>IF(connections!$A505="","",IFERROR(INDEX(games!$B$2:$B$834,MATCH(connections!$A505,games!$A$2:$A$834,0)),""))</f>
        <v>2021</v>
      </c>
      <c r="U505">
        <f>IF(connections!$A505="","",IFERROR(INDEX(games!$B$2:$B$834,MATCH(connections!$B505,games!$A$2:$A$834,0)),""))</f>
        <v>2025</v>
      </c>
      <c r="V505">
        <f t="shared" si="95"/>
        <v>4</v>
      </c>
    </row>
    <row r="506" spans="1:22" x14ac:dyDescent="0.25">
      <c r="A506" t="str">
        <f>IF(games!$A506="","",games!$A506)</f>
        <v>One Way Heroics</v>
      </c>
      <c r="B506">
        <f>IF($A506="","",games!$B506)</f>
        <v>2014</v>
      </c>
      <c r="C506" t="str">
        <f>IF($A506="","",games!$C506)</f>
        <v>Traditional</v>
      </c>
      <c r="D506">
        <f>IF($A506="","",COUNTIF(connections!$A$2:$A$1188,$A506)+COUNTIF(connections!$B$2:$B$1188,$A506))</f>
        <v>3</v>
      </c>
      <c r="E506">
        <f t="shared" si="84"/>
        <v>4</v>
      </c>
      <c r="F506">
        <f t="shared" si="85"/>
        <v>30</v>
      </c>
      <c r="G506" t="e">
        <f t="shared" si="86"/>
        <v>#N/A</v>
      </c>
      <c r="H506" t="e">
        <f t="shared" si="87"/>
        <v>#N/A</v>
      </c>
      <c r="I506" t="e">
        <f t="shared" si="88"/>
        <v>#N/A</v>
      </c>
      <c r="J506" t="e">
        <f t="shared" si="89"/>
        <v>#N/A</v>
      </c>
      <c r="K506" t="e">
        <f t="shared" si="90"/>
        <v>#N/A</v>
      </c>
      <c r="L506" t="e">
        <f t="shared" si="91"/>
        <v>#N/A</v>
      </c>
      <c r="M506">
        <f t="shared" si="92"/>
        <v>2014</v>
      </c>
      <c r="N506">
        <f t="shared" si="93"/>
        <v>4.6899999999999995</v>
      </c>
      <c r="O506">
        <f t="shared" si="94"/>
        <v>3.0005060000000001</v>
      </c>
      <c r="T506">
        <f>IF(connections!$A506="","",IFERROR(INDEX(games!$B$2:$B$834,MATCH(connections!$A506,games!$A$2:$A$834,0)),""))</f>
        <v>2021</v>
      </c>
      <c r="U506">
        <f>IF(connections!$A506="","",IFERROR(INDEX(games!$B$2:$B$834,MATCH(connections!$B506,games!$A$2:$A$834,0)),""))</f>
        <v>2021</v>
      </c>
      <c r="V506">
        <f t="shared" si="95"/>
        <v>0</v>
      </c>
    </row>
    <row r="507" spans="1:22" x14ac:dyDescent="0.25">
      <c r="A507" t="str">
        <f>IF(games!$A507="","",games!$A507)</f>
        <v>OneBit Adventure</v>
      </c>
      <c r="B507">
        <f>IF($A507="","",games!$B507)</f>
        <v>2019</v>
      </c>
      <c r="C507" t="str">
        <f>IF($A507="","",games!$C507)</f>
        <v>Traditional</v>
      </c>
      <c r="D507">
        <f>IF($A507="","",COUNTIF(connections!$A$2:$A$1188,$A507)+COUNTIF(connections!$B$2:$B$1188,$A507))</f>
        <v>1</v>
      </c>
      <c r="E507">
        <f t="shared" si="84"/>
        <v>4</v>
      </c>
      <c r="F507">
        <f t="shared" si="85"/>
        <v>31</v>
      </c>
      <c r="G507" t="e">
        <f t="shared" si="86"/>
        <v>#N/A</v>
      </c>
      <c r="H507" t="e">
        <f t="shared" si="87"/>
        <v>#N/A</v>
      </c>
      <c r="I507" t="e">
        <f t="shared" si="88"/>
        <v>#N/A</v>
      </c>
      <c r="J507" t="e">
        <f t="shared" si="89"/>
        <v>#N/A</v>
      </c>
      <c r="K507" t="e">
        <f t="shared" si="90"/>
        <v>#N/A</v>
      </c>
      <c r="L507" t="e">
        <f t="shared" si="91"/>
        <v>#N/A</v>
      </c>
      <c r="M507">
        <f t="shared" si="92"/>
        <v>2019</v>
      </c>
      <c r="N507">
        <f t="shared" si="93"/>
        <v>4.7130000000000001</v>
      </c>
      <c r="O507">
        <f t="shared" si="94"/>
        <v>1.000507</v>
      </c>
      <c r="T507">
        <f>IF(connections!$A507="","",IFERROR(INDEX(games!$B$2:$B$834,MATCH(connections!$A507,games!$A$2:$A$834,0)),""))</f>
        <v>2021</v>
      </c>
      <c r="U507">
        <f>IF(connections!$A507="","",IFERROR(INDEX(games!$B$2:$B$834,MATCH(connections!$B507,games!$A$2:$A$834,0)),""))</f>
        <v>2025</v>
      </c>
      <c r="V507">
        <f t="shared" si="95"/>
        <v>4</v>
      </c>
    </row>
    <row r="508" spans="1:22" x14ac:dyDescent="0.25">
      <c r="A508" t="str">
        <f>IF(games!$A508="","",games!$A508)</f>
        <v>OTXO</v>
      </c>
      <c r="B508">
        <f>IF($A508="","",games!$B508)</f>
        <v>2023</v>
      </c>
      <c r="C508" t="str">
        <f>IF($A508="","",games!$C508)</f>
        <v>Action</v>
      </c>
      <c r="D508">
        <f>IF($A508="","",COUNTIF(connections!$A$2:$A$1188,$A508)+COUNTIF(connections!$B$2:$B$1188,$A508))</f>
        <v>0</v>
      </c>
      <c r="E508">
        <f t="shared" si="84"/>
        <v>1</v>
      </c>
      <c r="F508">
        <f t="shared" si="85"/>
        <v>32</v>
      </c>
      <c r="G508">
        <f t="shared" si="86"/>
        <v>2023</v>
      </c>
      <c r="H508">
        <f t="shared" si="87"/>
        <v>1.736</v>
      </c>
      <c r="I508" t="e">
        <f t="shared" si="88"/>
        <v>#N/A</v>
      </c>
      <c r="J508" t="e">
        <f t="shared" si="89"/>
        <v>#N/A</v>
      </c>
      <c r="K508" t="e">
        <f t="shared" si="90"/>
        <v>#N/A</v>
      </c>
      <c r="L508" t="e">
        <f t="shared" si="91"/>
        <v>#N/A</v>
      </c>
      <c r="M508" t="e">
        <f t="shared" si="92"/>
        <v>#N/A</v>
      </c>
      <c r="N508" t="e">
        <f t="shared" si="93"/>
        <v>#N/A</v>
      </c>
      <c r="O508">
        <f t="shared" si="94"/>
        <v>5.0799999999999999E-4</v>
      </c>
      <c r="T508">
        <f>IF(connections!$A508="","",IFERROR(INDEX(games!$B$2:$B$834,MATCH(connections!$A508,games!$A$2:$A$834,0)),""))</f>
        <v>2021</v>
      </c>
      <c r="U508">
        <f>IF(connections!$A508="","",IFERROR(INDEX(games!$B$2:$B$834,MATCH(connections!$B508,games!$A$2:$A$834,0)),""))</f>
        <v>2024</v>
      </c>
      <c r="V508">
        <f t="shared" si="95"/>
        <v>3</v>
      </c>
    </row>
    <row r="509" spans="1:22" x14ac:dyDescent="0.25">
      <c r="A509" t="str">
        <f>IF(games!$A509="","",games!$A509)</f>
        <v>Our Darker Purpose</v>
      </c>
      <c r="B509">
        <f>IF($A509="","",games!$B509)</f>
        <v>2014</v>
      </c>
      <c r="C509" t="str">
        <f>IF($A509="","",games!$C509)</f>
        <v>Action</v>
      </c>
      <c r="D509">
        <f>IF($A509="","",COUNTIF(connections!$A$2:$A$1188,$A509)+COUNTIF(connections!$B$2:$B$1188,$A509))</f>
        <v>2</v>
      </c>
      <c r="E509">
        <f t="shared" si="84"/>
        <v>1</v>
      </c>
      <c r="F509">
        <f t="shared" si="85"/>
        <v>33</v>
      </c>
      <c r="G509">
        <f t="shared" si="86"/>
        <v>2014</v>
      </c>
      <c r="H509">
        <f t="shared" si="87"/>
        <v>1.7589999999999999</v>
      </c>
      <c r="I509" t="e">
        <f t="shared" si="88"/>
        <v>#N/A</v>
      </c>
      <c r="J509" t="e">
        <f t="shared" si="89"/>
        <v>#N/A</v>
      </c>
      <c r="K509" t="e">
        <f t="shared" si="90"/>
        <v>#N/A</v>
      </c>
      <c r="L509" t="e">
        <f t="shared" si="91"/>
        <v>#N/A</v>
      </c>
      <c r="M509" t="e">
        <f t="shared" si="92"/>
        <v>#N/A</v>
      </c>
      <c r="N509" t="e">
        <f t="shared" si="93"/>
        <v>#N/A</v>
      </c>
      <c r="O509">
        <f t="shared" si="94"/>
        <v>2.0005090000000001</v>
      </c>
      <c r="T509">
        <f>IF(connections!$A509="","",IFERROR(INDEX(games!$B$2:$B$834,MATCH(connections!$A509,games!$A$2:$A$834,0)),""))</f>
        <v>2021</v>
      </c>
      <c r="U509">
        <f>IF(connections!$A509="","",IFERROR(INDEX(games!$B$2:$B$834,MATCH(connections!$B509,games!$A$2:$A$834,0)),""))</f>
        <v>2025</v>
      </c>
      <c r="V509">
        <f t="shared" si="95"/>
        <v>4</v>
      </c>
    </row>
    <row r="510" spans="1:22" x14ac:dyDescent="0.25">
      <c r="A510" t="str">
        <f>IF(games!$A510="","",games!$A510)</f>
        <v>Overlooting</v>
      </c>
      <c r="B510">
        <f>IF($A510="","",games!$B510)</f>
        <v>2025</v>
      </c>
      <c r="C510" t="str">
        <f>IF($A510="","",games!$C510)</f>
        <v>Strategy</v>
      </c>
      <c r="D510">
        <f>IF($A510="","",COUNTIF(connections!$A$2:$A$1188,$A510)+COUNTIF(connections!$B$2:$B$1188,$A510))</f>
        <v>0</v>
      </c>
      <c r="E510">
        <f t="shared" si="84"/>
        <v>2</v>
      </c>
      <c r="F510">
        <f t="shared" si="85"/>
        <v>0</v>
      </c>
      <c r="G510" t="e">
        <f t="shared" si="86"/>
        <v>#N/A</v>
      </c>
      <c r="H510" t="e">
        <f t="shared" si="87"/>
        <v>#N/A</v>
      </c>
      <c r="I510">
        <f t="shared" si="88"/>
        <v>2025</v>
      </c>
      <c r="J510">
        <f t="shared" si="89"/>
        <v>2</v>
      </c>
      <c r="K510" t="e">
        <f t="shared" si="90"/>
        <v>#N/A</v>
      </c>
      <c r="L510" t="e">
        <f t="shared" si="91"/>
        <v>#N/A</v>
      </c>
      <c r="M510" t="e">
        <f t="shared" si="92"/>
        <v>#N/A</v>
      </c>
      <c r="N510" t="e">
        <f t="shared" si="93"/>
        <v>#N/A</v>
      </c>
      <c r="O510">
        <f t="shared" si="94"/>
        <v>5.1000000000000004E-4</v>
      </c>
      <c r="T510">
        <f>IF(connections!$A510="","",IFERROR(INDEX(games!$B$2:$B$834,MATCH(connections!$A510,games!$A$2:$A$834,0)),""))</f>
        <v>2021</v>
      </c>
      <c r="U510">
        <f>IF(connections!$A510="","",IFERROR(INDEX(games!$B$2:$B$834,MATCH(connections!$B510,games!$A$2:$A$834,0)),""))</f>
        <v>2025</v>
      </c>
      <c r="V510">
        <f t="shared" si="95"/>
        <v>4</v>
      </c>
    </row>
    <row r="511" spans="1:22" x14ac:dyDescent="0.25">
      <c r="A511" t="str">
        <f>IF(games!$A511="","",games!$A511)</f>
        <v>Pairs &amp; Perils</v>
      </c>
      <c r="B511">
        <f>IF($A511="","",games!$B511)</f>
        <v>2025</v>
      </c>
      <c r="C511" t="str">
        <f>IF($A511="","",games!$C511)</f>
        <v>Deckbuilder</v>
      </c>
      <c r="D511">
        <f>IF($A511="","",COUNTIF(connections!$A$2:$A$1188,$A511)+COUNTIF(connections!$B$2:$B$1188,$A511))</f>
        <v>1</v>
      </c>
      <c r="E511">
        <f t="shared" si="84"/>
        <v>3</v>
      </c>
      <c r="F511">
        <f t="shared" si="85"/>
        <v>1</v>
      </c>
      <c r="G511" t="e">
        <f t="shared" si="86"/>
        <v>#N/A</v>
      </c>
      <c r="H511" t="e">
        <f t="shared" si="87"/>
        <v>#N/A</v>
      </c>
      <c r="I511" t="e">
        <f t="shared" si="88"/>
        <v>#N/A</v>
      </c>
      <c r="J511" t="e">
        <f t="shared" si="89"/>
        <v>#N/A</v>
      </c>
      <c r="K511">
        <f t="shared" si="90"/>
        <v>2025</v>
      </c>
      <c r="L511">
        <f t="shared" si="91"/>
        <v>3.0230000000000001</v>
      </c>
      <c r="M511" t="e">
        <f t="shared" si="92"/>
        <v>#N/A</v>
      </c>
      <c r="N511" t="e">
        <f t="shared" si="93"/>
        <v>#N/A</v>
      </c>
      <c r="O511">
        <f t="shared" si="94"/>
        <v>1.0005109999999999</v>
      </c>
      <c r="T511">
        <f>IF(connections!$A511="","",IFERROR(INDEX(games!$B$2:$B$834,MATCH(connections!$A511,games!$A$2:$A$834,0)),""))</f>
        <v>2019</v>
      </c>
      <c r="U511">
        <f>IF(connections!$A511="","",IFERROR(INDEX(games!$B$2:$B$834,MATCH(connections!$B511,games!$A$2:$A$834,0)),""))</f>
        <v>2021</v>
      </c>
      <c r="V511">
        <f t="shared" si="95"/>
        <v>2</v>
      </c>
    </row>
    <row r="512" spans="1:22" x14ac:dyDescent="0.25">
      <c r="A512" t="str">
        <f>IF(games!$A512="","",games!$A512)</f>
        <v>Paper Animal Adventure</v>
      </c>
      <c r="B512">
        <f>IF($A512="","",games!$B512)</f>
        <v>2025</v>
      </c>
      <c r="C512" t="str">
        <f>IF($A512="","",games!$C512)</f>
        <v>Traditional</v>
      </c>
      <c r="D512">
        <f>IF($A512="","",COUNTIF(connections!$A$2:$A$1188,$A512)+COUNTIF(connections!$B$2:$B$1188,$A512))</f>
        <v>1</v>
      </c>
      <c r="E512">
        <f t="shared" si="84"/>
        <v>4</v>
      </c>
      <c r="F512">
        <f t="shared" si="85"/>
        <v>2</v>
      </c>
      <c r="G512" t="e">
        <f t="shared" si="86"/>
        <v>#N/A</v>
      </c>
      <c r="H512" t="e">
        <f t="shared" si="87"/>
        <v>#N/A</v>
      </c>
      <c r="I512" t="e">
        <f t="shared" si="88"/>
        <v>#N/A</v>
      </c>
      <c r="J512" t="e">
        <f t="shared" si="89"/>
        <v>#N/A</v>
      </c>
      <c r="K512" t="e">
        <f t="shared" si="90"/>
        <v>#N/A</v>
      </c>
      <c r="L512" t="e">
        <f t="shared" si="91"/>
        <v>#N/A</v>
      </c>
      <c r="M512">
        <f t="shared" si="92"/>
        <v>2025</v>
      </c>
      <c r="N512">
        <f t="shared" si="93"/>
        <v>4.0460000000000003</v>
      </c>
      <c r="O512">
        <f t="shared" si="94"/>
        <v>1.0005120000000001</v>
      </c>
      <c r="T512">
        <f>IF(connections!$A512="","",IFERROR(INDEX(games!$B$2:$B$834,MATCH(connections!$A512,games!$A$2:$A$834,0)),""))</f>
        <v>2023</v>
      </c>
      <c r="U512">
        <f>IF(connections!$A512="","",IFERROR(INDEX(games!$B$2:$B$834,MATCH(connections!$B512,games!$A$2:$A$834,0)),""))</f>
        <v>2025</v>
      </c>
      <c r="V512">
        <f t="shared" si="95"/>
        <v>2</v>
      </c>
    </row>
    <row r="513" spans="1:22" x14ac:dyDescent="0.25">
      <c r="A513" t="str">
        <f>IF(games!$A513="","",games!$A513)</f>
        <v>Paper Planet</v>
      </c>
      <c r="B513">
        <f>IF($A513="","",games!$B513)</f>
        <v>2023</v>
      </c>
      <c r="C513" t="str">
        <f>IF($A513="","",games!$C513)</f>
        <v>Action</v>
      </c>
      <c r="D513">
        <f>IF($A513="","",COUNTIF(connections!$A$2:$A$1188,$A513)+COUNTIF(connections!$B$2:$B$1188,$A513))</f>
        <v>1</v>
      </c>
      <c r="E513">
        <f t="shared" si="84"/>
        <v>1</v>
      </c>
      <c r="F513">
        <f t="shared" si="85"/>
        <v>3</v>
      </c>
      <c r="G513">
        <f t="shared" si="86"/>
        <v>2023</v>
      </c>
      <c r="H513">
        <f t="shared" si="87"/>
        <v>1.069</v>
      </c>
      <c r="I513" t="e">
        <f t="shared" si="88"/>
        <v>#N/A</v>
      </c>
      <c r="J513" t="e">
        <f t="shared" si="89"/>
        <v>#N/A</v>
      </c>
      <c r="K513" t="e">
        <f t="shared" si="90"/>
        <v>#N/A</v>
      </c>
      <c r="L513" t="e">
        <f t="shared" si="91"/>
        <v>#N/A</v>
      </c>
      <c r="M513" t="e">
        <f t="shared" si="92"/>
        <v>#N/A</v>
      </c>
      <c r="N513" t="e">
        <f t="shared" si="93"/>
        <v>#N/A</v>
      </c>
      <c r="O513">
        <f t="shared" si="94"/>
        <v>1.000513</v>
      </c>
      <c r="T513">
        <f>IF(connections!$A513="","",IFERROR(INDEX(games!$B$2:$B$834,MATCH(connections!$A513,games!$A$2:$A$834,0)),""))</f>
        <v>2024</v>
      </c>
      <c r="U513">
        <f>IF(connections!$A513="","",IFERROR(INDEX(games!$B$2:$B$834,MATCH(connections!$B513,games!$A$2:$A$834,0)),""))</f>
        <v>2026</v>
      </c>
      <c r="V513">
        <f t="shared" si="95"/>
        <v>2</v>
      </c>
    </row>
    <row r="514" spans="1:22" x14ac:dyDescent="0.25">
      <c r="A514" t="str">
        <f>IF(games!$A514="","",games!$A514)</f>
        <v>Passant: A Chess Roguelike</v>
      </c>
      <c r="B514">
        <f>IF($A514="","",games!$B514)</f>
        <v>2025</v>
      </c>
      <c r="C514" t="str">
        <f>IF($A514="","",games!$C514)</f>
        <v>Strategy</v>
      </c>
      <c r="D514">
        <f>IF($A514="","",COUNTIF(connections!$A$2:$A$1188,$A514)+COUNTIF(connections!$B$2:$B$1188,$A514))</f>
        <v>1</v>
      </c>
      <c r="E514">
        <f t="shared" ref="E514:E577" si="96">IF($A514="","",IFERROR(MATCH($C514,$R$2:$R$5,0),0))</f>
        <v>2</v>
      </c>
      <c r="F514">
        <f t="shared" ref="F514:F577" si="97">IF($A514="","",MOD(ROW(),34))</f>
        <v>4</v>
      </c>
      <c r="G514" t="e">
        <f t="shared" ref="G514:G577" si="98">IF($A514="",NA(),IF($C514="Action",$B514,NA()))</f>
        <v>#N/A</v>
      </c>
      <c r="H514" t="e">
        <f t="shared" ref="H514:H577" si="99">IF($A514="",NA(),IF($C514="Action",1+$F514*0.023,NA()))</f>
        <v>#N/A</v>
      </c>
      <c r="I514">
        <f t="shared" ref="I514:I577" si="100">IF($A514="",NA(),IF($C514="Strategy",$B514,NA()))</f>
        <v>2025</v>
      </c>
      <c r="J514">
        <f t="shared" ref="J514:J577" si="101">IF($A514="",NA(),IF($C514="Strategy",2+$F514*0.023,NA()))</f>
        <v>2.0920000000000001</v>
      </c>
      <c r="K514" t="e">
        <f t="shared" ref="K514:K577" si="102">IF($A514="",NA(),IF($C514="Deckbuilder",$B514,NA()))</f>
        <v>#N/A</v>
      </c>
      <c r="L514" t="e">
        <f t="shared" ref="L514:L577" si="103">IF($A514="",NA(),IF($C514="Deckbuilder",3+$F514*0.023,NA()))</f>
        <v>#N/A</v>
      </c>
      <c r="M514" t="e">
        <f t="shared" ref="M514:M577" si="104">IF($A514="",NA(),IF($C514="Traditional",$B514,NA()))</f>
        <v>#N/A</v>
      </c>
      <c r="N514" t="e">
        <f t="shared" ref="N514:N577" si="105">IF($A514="",NA(),IF($C514="Traditional",4+$F514*0.023,NA()))</f>
        <v>#N/A</v>
      </c>
      <c r="O514">
        <f t="shared" ref="O514:O577" si="106">IF($A514="","",$D514+ROW()/1000000)</f>
        <v>1.0005139999999999</v>
      </c>
      <c r="T514">
        <f>IF(connections!$A514="","",IFERROR(INDEX(games!$B$2:$B$834,MATCH(connections!$A514,games!$A$2:$A$834,0)),""))</f>
        <v>2012</v>
      </c>
      <c r="U514">
        <f>IF(connections!$A514="","",IFERROR(INDEX(games!$B$2:$B$834,MATCH(connections!$B514,games!$A$2:$A$834,0)),""))</f>
        <v>2021</v>
      </c>
      <c r="V514">
        <f t="shared" ref="V514:V577" si="107">IF(OR($T514="",$U514=""),"",$U514-$T514)</f>
        <v>9</v>
      </c>
    </row>
    <row r="515" spans="1:22" x14ac:dyDescent="0.25">
      <c r="A515" t="str">
        <f>IF(games!$A515="","",games!$A515)</f>
        <v>Patch Quest</v>
      </c>
      <c r="B515">
        <f>IF($A515="","",games!$B515)</f>
        <v>2021</v>
      </c>
      <c r="C515" t="str">
        <f>IF($A515="","",games!$C515)</f>
        <v>Action</v>
      </c>
      <c r="D515">
        <f>IF($A515="","",COUNTIF(connections!$A$2:$A$1188,$A515)+COUNTIF(connections!$B$2:$B$1188,$A515))</f>
        <v>2</v>
      </c>
      <c r="E515">
        <f t="shared" si="96"/>
        <v>1</v>
      </c>
      <c r="F515">
        <f t="shared" si="97"/>
        <v>5</v>
      </c>
      <c r="G515">
        <f t="shared" si="98"/>
        <v>2021</v>
      </c>
      <c r="H515">
        <f t="shared" si="99"/>
        <v>1.115</v>
      </c>
      <c r="I515" t="e">
        <f t="shared" si="100"/>
        <v>#N/A</v>
      </c>
      <c r="J515" t="e">
        <f t="shared" si="101"/>
        <v>#N/A</v>
      </c>
      <c r="K515" t="e">
        <f t="shared" si="102"/>
        <v>#N/A</v>
      </c>
      <c r="L515" t="e">
        <f t="shared" si="103"/>
        <v>#N/A</v>
      </c>
      <c r="M515" t="e">
        <f t="shared" si="104"/>
        <v>#N/A</v>
      </c>
      <c r="N515" t="e">
        <f t="shared" si="105"/>
        <v>#N/A</v>
      </c>
      <c r="O515">
        <f t="shared" si="106"/>
        <v>2.000515</v>
      </c>
      <c r="T515">
        <f>IF(connections!$A515="","",IFERROR(INDEX(games!$B$2:$B$834,MATCH(connections!$A515,games!$A$2:$A$834,0)),""))</f>
        <v>2011</v>
      </c>
      <c r="U515">
        <f>IF(connections!$A515="","",IFERROR(INDEX(games!$B$2:$B$834,MATCH(connections!$B515,games!$A$2:$A$834,0)),""))</f>
        <v>2014</v>
      </c>
      <c r="V515">
        <f t="shared" si="107"/>
        <v>3</v>
      </c>
    </row>
    <row r="516" spans="1:22" x14ac:dyDescent="0.25">
      <c r="A516" t="str">
        <f>IF(games!$A516="","",games!$A516)</f>
        <v>Path of Achra</v>
      </c>
      <c r="B516">
        <f>IF($A516="","",games!$B516)</f>
        <v>2023</v>
      </c>
      <c r="C516" t="str">
        <f>IF($A516="","",games!$C516)</f>
        <v>Traditional</v>
      </c>
      <c r="D516">
        <f>IF($A516="","",COUNTIF(connections!$A$2:$A$1188,$A516)+COUNTIF(connections!$B$2:$B$1188,$A516))</f>
        <v>3</v>
      </c>
      <c r="E516">
        <f t="shared" si="96"/>
        <v>4</v>
      </c>
      <c r="F516">
        <f t="shared" si="97"/>
        <v>6</v>
      </c>
      <c r="G516" t="e">
        <f t="shared" si="98"/>
        <v>#N/A</v>
      </c>
      <c r="H516" t="e">
        <f t="shared" si="99"/>
        <v>#N/A</v>
      </c>
      <c r="I516" t="e">
        <f t="shared" si="100"/>
        <v>#N/A</v>
      </c>
      <c r="J516" t="e">
        <f t="shared" si="101"/>
        <v>#N/A</v>
      </c>
      <c r="K516" t="e">
        <f t="shared" si="102"/>
        <v>#N/A</v>
      </c>
      <c r="L516" t="e">
        <f t="shared" si="103"/>
        <v>#N/A</v>
      </c>
      <c r="M516">
        <f t="shared" si="104"/>
        <v>2023</v>
      </c>
      <c r="N516">
        <f t="shared" si="105"/>
        <v>4.1379999999999999</v>
      </c>
      <c r="O516">
        <f t="shared" si="106"/>
        <v>3.0005160000000002</v>
      </c>
      <c r="T516">
        <f>IF(connections!$A516="","",IFERROR(INDEX(games!$B$2:$B$834,MATCH(connections!$A516,games!$A$2:$A$834,0)),""))</f>
        <v>2011</v>
      </c>
      <c r="U516">
        <f>IF(connections!$A516="","",IFERROR(INDEX(games!$B$2:$B$834,MATCH(connections!$B516,games!$A$2:$A$834,0)),""))</f>
        <v>2012</v>
      </c>
      <c r="V516">
        <f t="shared" si="107"/>
        <v>1</v>
      </c>
    </row>
    <row r="517" spans="1:22" x14ac:dyDescent="0.25">
      <c r="A517" t="str">
        <f>IF(games!$A517="","",games!$A517)</f>
        <v>Pathogenic</v>
      </c>
      <c r="B517">
        <f>IF($A517="","",games!$B517)</f>
        <v>2026</v>
      </c>
      <c r="C517" t="str">
        <f>IF($A517="","",games!$C517)</f>
        <v>Action</v>
      </c>
      <c r="D517">
        <f>IF($A517="","",COUNTIF(connections!$A$2:$A$1188,$A517)+COUNTIF(connections!$B$2:$B$1188,$A517))</f>
        <v>3</v>
      </c>
      <c r="E517">
        <f t="shared" si="96"/>
        <v>1</v>
      </c>
      <c r="F517">
        <f t="shared" si="97"/>
        <v>7</v>
      </c>
      <c r="G517">
        <f t="shared" si="98"/>
        <v>2026</v>
      </c>
      <c r="H517">
        <f t="shared" si="99"/>
        <v>1.161</v>
      </c>
      <c r="I517" t="e">
        <f t="shared" si="100"/>
        <v>#N/A</v>
      </c>
      <c r="J517" t="e">
        <f t="shared" si="101"/>
        <v>#N/A</v>
      </c>
      <c r="K517" t="e">
        <f t="shared" si="102"/>
        <v>#N/A</v>
      </c>
      <c r="L517" t="e">
        <f t="shared" si="103"/>
        <v>#N/A</v>
      </c>
      <c r="M517" t="e">
        <f t="shared" si="104"/>
        <v>#N/A</v>
      </c>
      <c r="N517" t="e">
        <f t="shared" si="105"/>
        <v>#N/A</v>
      </c>
      <c r="O517">
        <f t="shared" si="106"/>
        <v>3.0005169999999999</v>
      </c>
      <c r="T517">
        <f>IF(connections!$A517="","",IFERROR(INDEX(games!$B$2:$B$834,MATCH(connections!$A517,games!$A$2:$A$834,0)),""))</f>
        <v>2002</v>
      </c>
      <c r="U517">
        <f>IF(connections!$A517="","",IFERROR(INDEX(games!$B$2:$B$834,MATCH(connections!$B517,games!$A$2:$A$834,0)),""))</f>
        <v>2023</v>
      </c>
      <c r="V517">
        <f t="shared" si="107"/>
        <v>21</v>
      </c>
    </row>
    <row r="518" spans="1:22" x14ac:dyDescent="0.25">
      <c r="A518" t="str">
        <f>IF(games!$A518="","",games!$A518)</f>
        <v>Pathos: Nethack Codex</v>
      </c>
      <c r="B518">
        <f>IF($A518="","",games!$B518)</f>
        <v>2015</v>
      </c>
      <c r="C518" t="str">
        <f>IF($A518="","",games!$C518)</f>
        <v>Traditional</v>
      </c>
      <c r="D518">
        <f>IF($A518="","",COUNTIF(connections!$A$2:$A$1188,$A518)+COUNTIF(connections!$B$2:$B$1188,$A518))</f>
        <v>1</v>
      </c>
      <c r="E518">
        <f t="shared" si="96"/>
        <v>4</v>
      </c>
      <c r="F518">
        <f t="shared" si="97"/>
        <v>8</v>
      </c>
      <c r="G518" t="e">
        <f t="shared" si="98"/>
        <v>#N/A</v>
      </c>
      <c r="H518" t="e">
        <f t="shared" si="99"/>
        <v>#N/A</v>
      </c>
      <c r="I518" t="e">
        <f t="shared" si="100"/>
        <v>#N/A</v>
      </c>
      <c r="J518" t="e">
        <f t="shared" si="101"/>
        <v>#N/A</v>
      </c>
      <c r="K518" t="e">
        <f t="shared" si="102"/>
        <v>#N/A</v>
      </c>
      <c r="L518" t="e">
        <f t="shared" si="103"/>
        <v>#N/A</v>
      </c>
      <c r="M518">
        <f t="shared" si="104"/>
        <v>2015</v>
      </c>
      <c r="N518">
        <f t="shared" si="105"/>
        <v>4.1840000000000002</v>
      </c>
      <c r="O518">
        <f t="shared" si="106"/>
        <v>1.000518</v>
      </c>
      <c r="T518">
        <f>IF(connections!$A518="","",IFERROR(INDEX(games!$B$2:$B$834,MATCH(connections!$A518,games!$A$2:$A$834,0)),""))</f>
        <v>2002</v>
      </c>
      <c r="U518">
        <f>IF(connections!$A518="","",IFERROR(INDEX(games!$B$2:$B$834,MATCH(connections!$B518,games!$A$2:$A$834,0)),""))</f>
        <v>2003</v>
      </c>
      <c r="V518">
        <f t="shared" si="107"/>
        <v>1</v>
      </c>
    </row>
    <row r="519" spans="1:22" x14ac:dyDescent="0.25">
      <c r="A519" t="str">
        <f>IF(games!$A519="","",games!$A519)</f>
        <v>Pawnbarian</v>
      </c>
      <c r="B519">
        <f>IF($A519="","",games!$B519)</f>
        <v>2021</v>
      </c>
      <c r="C519" t="str">
        <f>IF($A519="","",games!$C519)</f>
        <v>Strategy</v>
      </c>
      <c r="D519">
        <f>IF($A519="","",COUNTIF(connections!$A$2:$A$1188,$A519)+COUNTIF(connections!$B$2:$B$1188,$A519))</f>
        <v>3</v>
      </c>
      <c r="E519">
        <f t="shared" si="96"/>
        <v>2</v>
      </c>
      <c r="F519">
        <f t="shared" si="97"/>
        <v>9</v>
      </c>
      <c r="G519" t="e">
        <f t="shared" si="98"/>
        <v>#N/A</v>
      </c>
      <c r="H519" t="e">
        <f t="shared" si="99"/>
        <v>#N/A</v>
      </c>
      <c r="I519">
        <f t="shared" si="100"/>
        <v>2021</v>
      </c>
      <c r="J519">
        <f t="shared" si="101"/>
        <v>2.2069999999999999</v>
      </c>
      <c r="K519" t="e">
        <f t="shared" si="102"/>
        <v>#N/A</v>
      </c>
      <c r="L519" t="e">
        <f t="shared" si="103"/>
        <v>#N/A</v>
      </c>
      <c r="M519" t="e">
        <f t="shared" si="104"/>
        <v>#N/A</v>
      </c>
      <c r="N519" t="e">
        <f t="shared" si="105"/>
        <v>#N/A</v>
      </c>
      <c r="O519">
        <f t="shared" si="106"/>
        <v>3.0005190000000002</v>
      </c>
      <c r="T519">
        <f>IF(connections!$A519="","",IFERROR(INDEX(games!$B$2:$B$834,MATCH(connections!$A519,games!$A$2:$A$834,0)),""))</f>
        <v>2020</v>
      </c>
      <c r="U519">
        <f>IF(connections!$A519="","",IFERROR(INDEX(games!$B$2:$B$834,MATCH(connections!$B519,games!$A$2:$A$834,0)),""))</f>
        <v>2022</v>
      </c>
      <c r="V519">
        <f t="shared" si="107"/>
        <v>2</v>
      </c>
    </row>
    <row r="520" spans="1:22" x14ac:dyDescent="0.25">
      <c r="A520" t="str">
        <f>IF(games!$A520="","",games!$A520)</f>
        <v>Peglin</v>
      </c>
      <c r="B520">
        <f>IF($A520="","",games!$B520)</f>
        <v>2022</v>
      </c>
      <c r="C520" t="str">
        <f>IF($A520="","",games!$C520)</f>
        <v>Deckbuilder</v>
      </c>
      <c r="D520">
        <f>IF($A520="","",COUNTIF(connections!$A$2:$A$1188,$A520)+COUNTIF(connections!$B$2:$B$1188,$A520))</f>
        <v>5</v>
      </c>
      <c r="E520">
        <f t="shared" si="96"/>
        <v>3</v>
      </c>
      <c r="F520">
        <f t="shared" si="97"/>
        <v>10</v>
      </c>
      <c r="G520" t="e">
        <f t="shared" si="98"/>
        <v>#N/A</v>
      </c>
      <c r="H520" t="e">
        <f t="shared" si="99"/>
        <v>#N/A</v>
      </c>
      <c r="I520" t="e">
        <f t="shared" si="100"/>
        <v>#N/A</v>
      </c>
      <c r="J520" t="e">
        <f t="shared" si="101"/>
        <v>#N/A</v>
      </c>
      <c r="K520">
        <f t="shared" si="102"/>
        <v>2022</v>
      </c>
      <c r="L520">
        <f t="shared" si="103"/>
        <v>3.23</v>
      </c>
      <c r="M520" t="e">
        <f t="shared" si="104"/>
        <v>#N/A</v>
      </c>
      <c r="N520" t="e">
        <f t="shared" si="105"/>
        <v>#N/A</v>
      </c>
      <c r="O520">
        <f t="shared" si="106"/>
        <v>5.0005199999999999</v>
      </c>
      <c r="T520">
        <f>IF(connections!$A520="","",IFERROR(INDEX(games!$B$2:$B$834,MATCH(connections!$A520,games!$A$2:$A$834,0)),""))</f>
        <v>2017</v>
      </c>
      <c r="U520">
        <f>IF(connections!$A520="","",IFERROR(INDEX(games!$B$2:$B$834,MATCH(connections!$B520,games!$A$2:$A$834,0)),""))</f>
        <v>2019</v>
      </c>
      <c r="V520">
        <f t="shared" si="107"/>
        <v>2</v>
      </c>
    </row>
    <row r="521" spans="1:22" x14ac:dyDescent="0.25">
      <c r="A521" t="str">
        <f>IF(games!$A521="","",games!$A521)</f>
        <v>Pesticide Not Required</v>
      </c>
      <c r="B521">
        <f>IF($A521="","",games!$B521)</f>
        <v>2024</v>
      </c>
      <c r="C521" t="str">
        <f>IF($A521="","",games!$C521)</f>
        <v>Action</v>
      </c>
      <c r="D521">
        <f>IF($A521="","",COUNTIF(connections!$A$2:$A$1188,$A521)+COUNTIF(connections!$B$2:$B$1188,$A521))</f>
        <v>3</v>
      </c>
      <c r="E521">
        <f t="shared" si="96"/>
        <v>1</v>
      </c>
      <c r="F521">
        <f t="shared" si="97"/>
        <v>11</v>
      </c>
      <c r="G521">
        <f t="shared" si="98"/>
        <v>2024</v>
      </c>
      <c r="H521">
        <f t="shared" si="99"/>
        <v>1.2530000000000001</v>
      </c>
      <c r="I521" t="e">
        <f t="shared" si="100"/>
        <v>#N/A</v>
      </c>
      <c r="J521" t="e">
        <f t="shared" si="101"/>
        <v>#N/A</v>
      </c>
      <c r="K521" t="e">
        <f t="shared" si="102"/>
        <v>#N/A</v>
      </c>
      <c r="L521" t="e">
        <f t="shared" si="103"/>
        <v>#N/A</v>
      </c>
      <c r="M521" t="e">
        <f t="shared" si="104"/>
        <v>#N/A</v>
      </c>
      <c r="N521" t="e">
        <f t="shared" si="105"/>
        <v>#N/A</v>
      </c>
      <c r="O521">
        <f t="shared" si="106"/>
        <v>3.000521</v>
      </c>
      <c r="T521">
        <f>IF(connections!$A521="","",IFERROR(INDEX(games!$B$2:$B$834,MATCH(connections!$A521,games!$A$2:$A$834,0)),""))</f>
        <v>2020</v>
      </c>
      <c r="U521">
        <f>IF(connections!$A521="","",IFERROR(INDEX(games!$B$2:$B$834,MATCH(connections!$B521,games!$A$2:$A$834,0)),""))</f>
        <v>2023</v>
      </c>
      <c r="V521">
        <f t="shared" si="107"/>
        <v>3</v>
      </c>
    </row>
    <row r="522" spans="1:22" x14ac:dyDescent="0.25">
      <c r="A522" t="str">
        <f>IF(games!$A522="","",games!$A522)</f>
        <v>Picayune Dreams</v>
      </c>
      <c r="B522">
        <f>IF($A522="","",games!$B522)</f>
        <v>2023</v>
      </c>
      <c r="C522" t="str">
        <f>IF($A522="","",games!$C522)</f>
        <v>Action</v>
      </c>
      <c r="D522">
        <f>IF($A522="","",COUNTIF(connections!$A$2:$A$1188,$A522)+COUNTIF(connections!$B$2:$B$1188,$A522))</f>
        <v>1</v>
      </c>
      <c r="E522">
        <f t="shared" si="96"/>
        <v>1</v>
      </c>
      <c r="F522">
        <f t="shared" si="97"/>
        <v>12</v>
      </c>
      <c r="G522">
        <f t="shared" si="98"/>
        <v>2023</v>
      </c>
      <c r="H522">
        <f t="shared" si="99"/>
        <v>1.276</v>
      </c>
      <c r="I522" t="e">
        <f t="shared" si="100"/>
        <v>#N/A</v>
      </c>
      <c r="J522" t="e">
        <f t="shared" si="101"/>
        <v>#N/A</v>
      </c>
      <c r="K522" t="e">
        <f t="shared" si="102"/>
        <v>#N/A</v>
      </c>
      <c r="L522" t="e">
        <f t="shared" si="103"/>
        <v>#N/A</v>
      </c>
      <c r="M522" t="e">
        <f t="shared" si="104"/>
        <v>#N/A</v>
      </c>
      <c r="N522" t="e">
        <f t="shared" si="105"/>
        <v>#N/A</v>
      </c>
      <c r="O522">
        <f t="shared" si="106"/>
        <v>1.0005219999999999</v>
      </c>
      <c r="T522">
        <f>IF(connections!$A522="","",IFERROR(INDEX(games!$B$2:$B$834,MATCH(connections!$A522,games!$A$2:$A$834,0)),""))</f>
        <v>2020</v>
      </c>
      <c r="U522">
        <f>IF(connections!$A522="","",IFERROR(INDEX(games!$B$2:$B$834,MATCH(connections!$B522,games!$A$2:$A$834,0)),""))</f>
        <v>2025</v>
      </c>
      <c r="V522">
        <f t="shared" si="107"/>
        <v>5</v>
      </c>
    </row>
    <row r="523" spans="1:22" x14ac:dyDescent="0.25">
      <c r="A523" t="str">
        <f>IF(games!$A523="","",games!$A523)</f>
        <v>Pip My Dice</v>
      </c>
      <c r="B523">
        <f>IF($A523="","",games!$B523)</f>
        <v>2025</v>
      </c>
      <c r="C523" t="str">
        <f>IF($A523="","",games!$C523)</f>
        <v>Deckbuilder</v>
      </c>
      <c r="D523">
        <f>IF($A523="","",COUNTIF(connections!$A$2:$A$1188,$A523)+COUNTIF(connections!$B$2:$B$1188,$A523))</f>
        <v>1</v>
      </c>
      <c r="E523">
        <f t="shared" si="96"/>
        <v>3</v>
      </c>
      <c r="F523">
        <f t="shared" si="97"/>
        <v>13</v>
      </c>
      <c r="G523" t="e">
        <f t="shared" si="98"/>
        <v>#N/A</v>
      </c>
      <c r="H523" t="e">
        <f t="shared" si="99"/>
        <v>#N/A</v>
      </c>
      <c r="I523" t="e">
        <f t="shared" si="100"/>
        <v>#N/A</v>
      </c>
      <c r="J523" t="e">
        <f t="shared" si="101"/>
        <v>#N/A</v>
      </c>
      <c r="K523">
        <f t="shared" si="102"/>
        <v>2025</v>
      </c>
      <c r="L523">
        <f t="shared" si="103"/>
        <v>3.2989999999999999</v>
      </c>
      <c r="M523" t="e">
        <f t="shared" si="104"/>
        <v>#N/A</v>
      </c>
      <c r="N523" t="e">
        <f t="shared" si="105"/>
        <v>#N/A</v>
      </c>
      <c r="O523">
        <f t="shared" si="106"/>
        <v>1.0005230000000001</v>
      </c>
      <c r="T523">
        <f>IF(connections!$A523="","",IFERROR(INDEX(games!$B$2:$B$834,MATCH(connections!$A523,games!$A$2:$A$834,0)),""))</f>
        <v>2020</v>
      </c>
      <c r="U523">
        <f>IF(connections!$A523="","",IFERROR(INDEX(games!$B$2:$B$834,MATCH(connections!$B523,games!$A$2:$A$834,0)),""))</f>
        <v>2024</v>
      </c>
      <c r="V523">
        <f t="shared" si="107"/>
        <v>4</v>
      </c>
    </row>
    <row r="524" spans="1:22" x14ac:dyDescent="0.25">
      <c r="A524" t="str">
        <f>IF(games!$A524="","",games!$A524)</f>
        <v>Pixel Dungeon</v>
      </c>
      <c r="B524">
        <f>IF($A524="","",games!$B524)</f>
        <v>2012</v>
      </c>
      <c r="C524" t="str">
        <f>IF($A524="","",games!$C524)</f>
        <v>Traditional</v>
      </c>
      <c r="D524">
        <f>IF($A524="","",COUNTIF(connections!$A$2:$A$1188,$A524)+COUNTIF(connections!$B$2:$B$1188,$A524))</f>
        <v>3</v>
      </c>
      <c r="E524">
        <f t="shared" si="96"/>
        <v>4</v>
      </c>
      <c r="F524">
        <f t="shared" si="97"/>
        <v>14</v>
      </c>
      <c r="G524" t="e">
        <f t="shared" si="98"/>
        <v>#N/A</v>
      </c>
      <c r="H524" t="e">
        <f t="shared" si="99"/>
        <v>#N/A</v>
      </c>
      <c r="I524" t="e">
        <f t="shared" si="100"/>
        <v>#N/A</v>
      </c>
      <c r="J524" t="e">
        <f t="shared" si="101"/>
        <v>#N/A</v>
      </c>
      <c r="K524" t="e">
        <f t="shared" si="102"/>
        <v>#N/A</v>
      </c>
      <c r="L524" t="e">
        <f t="shared" si="103"/>
        <v>#N/A</v>
      </c>
      <c r="M524">
        <f t="shared" si="104"/>
        <v>2012</v>
      </c>
      <c r="N524">
        <f t="shared" si="105"/>
        <v>4.3220000000000001</v>
      </c>
      <c r="O524">
        <f t="shared" si="106"/>
        <v>3.000524</v>
      </c>
      <c r="T524">
        <f>IF(connections!$A524="","",IFERROR(INDEX(games!$B$2:$B$834,MATCH(connections!$A524,games!$A$2:$A$834,0)),""))</f>
        <v>2020</v>
      </c>
      <c r="U524">
        <f>IF(connections!$A524="","",IFERROR(INDEX(games!$B$2:$B$834,MATCH(connections!$B524,games!$A$2:$A$834,0)),""))</f>
        <v>2023</v>
      </c>
      <c r="V524">
        <f t="shared" si="107"/>
        <v>3</v>
      </c>
    </row>
    <row r="525" spans="1:22" x14ac:dyDescent="0.25">
      <c r="A525" t="str">
        <f>IF(games!$A525="","",games!$A525)</f>
        <v>PlateUp!</v>
      </c>
      <c r="B525">
        <f>IF($A525="","",games!$B525)</f>
        <v>2022</v>
      </c>
      <c r="C525" t="str">
        <f>IF($A525="","",games!$C525)</f>
        <v>Strategy</v>
      </c>
      <c r="D525">
        <f>IF($A525="","",COUNTIF(connections!$A$2:$A$1188,$A525)+COUNTIF(connections!$B$2:$B$1188,$A525))</f>
        <v>0</v>
      </c>
      <c r="E525">
        <f t="shared" si="96"/>
        <v>2</v>
      </c>
      <c r="F525">
        <f t="shared" si="97"/>
        <v>15</v>
      </c>
      <c r="G525" t="e">
        <f t="shared" si="98"/>
        <v>#N/A</v>
      </c>
      <c r="H525" t="e">
        <f t="shared" si="99"/>
        <v>#N/A</v>
      </c>
      <c r="I525">
        <f t="shared" si="100"/>
        <v>2022</v>
      </c>
      <c r="J525">
        <f t="shared" si="101"/>
        <v>2.3449999999999998</v>
      </c>
      <c r="K525" t="e">
        <f t="shared" si="102"/>
        <v>#N/A</v>
      </c>
      <c r="L525" t="e">
        <f t="shared" si="103"/>
        <v>#N/A</v>
      </c>
      <c r="M525" t="e">
        <f t="shared" si="104"/>
        <v>#N/A</v>
      </c>
      <c r="N525" t="e">
        <f t="shared" si="105"/>
        <v>#N/A</v>
      </c>
      <c r="O525">
        <f t="shared" si="106"/>
        <v>5.2499999999999997E-4</v>
      </c>
      <c r="T525">
        <f>IF(connections!$A525="","",IFERROR(INDEX(games!$B$2:$B$834,MATCH(connections!$A525,games!$A$2:$A$834,0)),""))</f>
        <v>2020</v>
      </c>
      <c r="U525">
        <f>IF(connections!$A525="","",IFERROR(INDEX(games!$B$2:$B$834,MATCH(connections!$B525,games!$A$2:$A$834,0)),""))</f>
        <v>2025</v>
      </c>
      <c r="V525">
        <f t="shared" si="107"/>
        <v>5</v>
      </c>
    </row>
    <row r="526" spans="1:22" x14ac:dyDescent="0.25">
      <c r="A526" t="str">
        <f>IF(games!$A526="","",games!$A526)</f>
        <v>Plinbo</v>
      </c>
      <c r="B526">
        <f>IF($A526="","",games!$B526)</f>
        <v>2026</v>
      </c>
      <c r="C526" t="str">
        <f>IF($A526="","",games!$C526)</f>
        <v>Deckbuilder</v>
      </c>
      <c r="D526">
        <f>IF($A526="","",COUNTIF(connections!$A$2:$A$1188,$A526)+COUNTIF(connections!$B$2:$B$1188,$A526))</f>
        <v>1</v>
      </c>
      <c r="E526">
        <f t="shared" si="96"/>
        <v>3</v>
      </c>
      <c r="F526">
        <f t="shared" si="97"/>
        <v>16</v>
      </c>
      <c r="G526" t="e">
        <f t="shared" si="98"/>
        <v>#N/A</v>
      </c>
      <c r="H526" t="e">
        <f t="shared" si="99"/>
        <v>#N/A</v>
      </c>
      <c r="I526" t="e">
        <f t="shared" si="100"/>
        <v>#N/A</v>
      </c>
      <c r="J526" t="e">
        <f t="shared" si="101"/>
        <v>#N/A</v>
      </c>
      <c r="K526">
        <f t="shared" si="102"/>
        <v>2026</v>
      </c>
      <c r="L526">
        <f t="shared" si="103"/>
        <v>3.3679999999999999</v>
      </c>
      <c r="M526" t="e">
        <f t="shared" si="104"/>
        <v>#N/A</v>
      </c>
      <c r="N526" t="e">
        <f t="shared" si="105"/>
        <v>#N/A</v>
      </c>
      <c r="O526">
        <f t="shared" si="106"/>
        <v>1.000526</v>
      </c>
      <c r="T526">
        <f>IF(connections!$A526="","",IFERROR(INDEX(games!$B$2:$B$834,MATCH(connections!$A526,games!$A$2:$A$834,0)),""))</f>
        <v>2020</v>
      </c>
      <c r="U526">
        <f>IF(connections!$A526="","",IFERROR(INDEX(games!$B$2:$B$834,MATCH(connections!$B526,games!$A$2:$A$834,0)),""))</f>
        <v>2024</v>
      </c>
      <c r="V526">
        <f t="shared" si="107"/>
        <v>4</v>
      </c>
    </row>
    <row r="527" spans="1:22" x14ac:dyDescent="0.25">
      <c r="A527" t="str">
        <f>IF(games!$A527="","",games!$A527)</f>
        <v>Plinko Panic!</v>
      </c>
      <c r="B527">
        <f>IF($A527="","",games!$B527)</f>
        <v>2021</v>
      </c>
      <c r="C527" t="str">
        <f>IF($A527="","",games!$C527)</f>
        <v>Deckbuilder</v>
      </c>
      <c r="D527">
        <f>IF($A527="","",COUNTIF(connections!$A$2:$A$1188,$A527)+COUNTIF(connections!$B$2:$B$1188,$A527))</f>
        <v>1</v>
      </c>
      <c r="E527">
        <f t="shared" si="96"/>
        <v>3</v>
      </c>
      <c r="F527">
        <f t="shared" si="97"/>
        <v>17</v>
      </c>
      <c r="G527" t="e">
        <f t="shared" si="98"/>
        <v>#N/A</v>
      </c>
      <c r="H527" t="e">
        <f t="shared" si="99"/>
        <v>#N/A</v>
      </c>
      <c r="I527" t="e">
        <f t="shared" si="100"/>
        <v>#N/A</v>
      </c>
      <c r="J527" t="e">
        <f t="shared" si="101"/>
        <v>#N/A</v>
      </c>
      <c r="K527">
        <f t="shared" si="102"/>
        <v>2021</v>
      </c>
      <c r="L527">
        <f t="shared" si="103"/>
        <v>3.391</v>
      </c>
      <c r="M527" t="e">
        <f t="shared" si="104"/>
        <v>#N/A</v>
      </c>
      <c r="N527" t="e">
        <f t="shared" si="105"/>
        <v>#N/A</v>
      </c>
      <c r="O527">
        <f t="shared" si="106"/>
        <v>1.0005269999999999</v>
      </c>
      <c r="T527">
        <f>IF(connections!$A527="","",IFERROR(INDEX(games!$B$2:$B$834,MATCH(connections!$A527,games!$A$2:$A$834,0)),""))</f>
        <v>2020</v>
      </c>
      <c r="U527">
        <f>IF(connections!$A527="","",IFERROR(INDEX(games!$B$2:$B$834,MATCH(connections!$B527,games!$A$2:$A$834,0)),""))</f>
        <v>2022</v>
      </c>
      <c r="V527">
        <f t="shared" si="107"/>
        <v>2</v>
      </c>
    </row>
    <row r="528" spans="1:22" x14ac:dyDescent="0.25">
      <c r="A528" t="str">
        <f>IF(games!$A528="","",games!$A528)</f>
        <v>Pluto</v>
      </c>
      <c r="B528">
        <f>IF($A528="","",games!$B528)</f>
        <v>2026</v>
      </c>
      <c r="C528" t="str">
        <f>IF($A528="","",games!$C528)</f>
        <v>Deckbuilder</v>
      </c>
      <c r="D528">
        <f>IF($A528="","",COUNTIF(connections!$A$2:$A$1188,$A528)+COUNTIF(connections!$B$2:$B$1188,$A528))</f>
        <v>1</v>
      </c>
      <c r="E528">
        <f t="shared" si="96"/>
        <v>3</v>
      </c>
      <c r="F528">
        <f t="shared" si="97"/>
        <v>18</v>
      </c>
      <c r="G528" t="e">
        <f t="shared" si="98"/>
        <v>#N/A</v>
      </c>
      <c r="H528" t="e">
        <f t="shared" si="99"/>
        <v>#N/A</v>
      </c>
      <c r="I528" t="e">
        <f t="shared" si="100"/>
        <v>#N/A</v>
      </c>
      <c r="J528" t="e">
        <f t="shared" si="101"/>
        <v>#N/A</v>
      </c>
      <c r="K528">
        <f t="shared" si="102"/>
        <v>2026</v>
      </c>
      <c r="L528">
        <f t="shared" si="103"/>
        <v>3.4140000000000001</v>
      </c>
      <c r="M528" t="e">
        <f t="shared" si="104"/>
        <v>#N/A</v>
      </c>
      <c r="N528" t="e">
        <f t="shared" si="105"/>
        <v>#N/A</v>
      </c>
      <c r="O528">
        <f t="shared" si="106"/>
        <v>1.0005280000000001</v>
      </c>
      <c r="T528">
        <f>IF(connections!$A528="","",IFERROR(INDEX(games!$B$2:$B$834,MATCH(connections!$A528,games!$A$2:$A$834,0)),""))</f>
        <v>2020</v>
      </c>
      <c r="U528">
        <f>IF(connections!$A528="","",IFERROR(INDEX(games!$B$2:$B$834,MATCH(connections!$B528,games!$A$2:$A$834,0)),""))</f>
        <v>2025</v>
      </c>
      <c r="V528">
        <f t="shared" si="107"/>
        <v>5</v>
      </c>
    </row>
    <row r="529" spans="1:22" x14ac:dyDescent="0.25">
      <c r="A529" t="str">
        <f>IF(games!$A529="","",games!$A529)</f>
        <v>Pocket Crystal League</v>
      </c>
      <c r="B529">
        <f>IF($A529="","",games!$B529)</f>
        <v>2022</v>
      </c>
      <c r="C529" t="str">
        <f>IF($A529="","",games!$C529)</f>
        <v>Deckbuilder</v>
      </c>
      <c r="D529">
        <f>IF($A529="","",COUNTIF(connections!$A$2:$A$1188,$A529)+COUNTIF(connections!$B$2:$B$1188,$A529))</f>
        <v>1</v>
      </c>
      <c r="E529">
        <f t="shared" si="96"/>
        <v>3</v>
      </c>
      <c r="F529">
        <f t="shared" si="97"/>
        <v>19</v>
      </c>
      <c r="G529" t="e">
        <f t="shared" si="98"/>
        <v>#N/A</v>
      </c>
      <c r="H529" t="e">
        <f t="shared" si="99"/>
        <v>#N/A</v>
      </c>
      <c r="I529" t="e">
        <f t="shared" si="100"/>
        <v>#N/A</v>
      </c>
      <c r="J529" t="e">
        <f t="shared" si="101"/>
        <v>#N/A</v>
      </c>
      <c r="K529">
        <f t="shared" si="102"/>
        <v>2022</v>
      </c>
      <c r="L529">
        <f t="shared" si="103"/>
        <v>3.4369999999999998</v>
      </c>
      <c r="M529" t="e">
        <f t="shared" si="104"/>
        <v>#N/A</v>
      </c>
      <c r="N529" t="e">
        <f t="shared" si="105"/>
        <v>#N/A</v>
      </c>
      <c r="O529">
        <f t="shared" si="106"/>
        <v>1.000529</v>
      </c>
      <c r="T529">
        <f>IF(connections!$A529="","",IFERROR(INDEX(games!$B$2:$B$834,MATCH(connections!$A529,games!$A$2:$A$834,0)),""))</f>
        <v>2020</v>
      </c>
      <c r="U529">
        <f>IF(connections!$A529="","",IFERROR(INDEX(games!$B$2:$B$834,MATCH(connections!$B529,games!$A$2:$A$834,0)),""))</f>
        <v>2023</v>
      </c>
      <c r="V529">
        <f t="shared" si="107"/>
        <v>3</v>
      </c>
    </row>
    <row r="530" spans="1:22" x14ac:dyDescent="0.25">
      <c r="A530" t="str">
        <f>IF(games!$A530="","",games!$A530)</f>
        <v>Pogo Rogue</v>
      </c>
      <c r="B530">
        <f>IF($A530="","",games!$B530)</f>
        <v>2024</v>
      </c>
      <c r="C530" t="str">
        <f>IF($A530="","",games!$C530)</f>
        <v>Action</v>
      </c>
      <c r="D530">
        <f>IF($A530="","",COUNTIF(connections!$A$2:$A$1188,$A530)+COUNTIF(connections!$B$2:$B$1188,$A530))</f>
        <v>0</v>
      </c>
      <c r="E530">
        <f t="shared" si="96"/>
        <v>1</v>
      </c>
      <c r="F530">
        <f t="shared" si="97"/>
        <v>20</v>
      </c>
      <c r="G530">
        <f t="shared" si="98"/>
        <v>2024</v>
      </c>
      <c r="H530">
        <f t="shared" si="99"/>
        <v>1.46</v>
      </c>
      <c r="I530" t="e">
        <f t="shared" si="100"/>
        <v>#N/A</v>
      </c>
      <c r="J530" t="e">
        <f t="shared" si="101"/>
        <v>#N/A</v>
      </c>
      <c r="K530" t="e">
        <f t="shared" si="102"/>
        <v>#N/A</v>
      </c>
      <c r="L530" t="e">
        <f t="shared" si="103"/>
        <v>#N/A</v>
      </c>
      <c r="M530" t="e">
        <f t="shared" si="104"/>
        <v>#N/A</v>
      </c>
      <c r="N530" t="e">
        <f t="shared" si="105"/>
        <v>#N/A</v>
      </c>
      <c r="O530">
        <f t="shared" si="106"/>
        <v>5.2999999999999998E-4</v>
      </c>
      <c r="T530">
        <f>IF(connections!$A530="","",IFERROR(INDEX(games!$B$2:$B$834,MATCH(connections!$A530,games!$A$2:$A$834,0)),""))</f>
        <v>2020</v>
      </c>
      <c r="U530">
        <f>IF(connections!$A530="","",IFERROR(INDEX(games!$B$2:$B$834,MATCH(connections!$B530,games!$A$2:$A$834,0)),""))</f>
        <v>2023</v>
      </c>
      <c r="V530">
        <f t="shared" si="107"/>
        <v>3</v>
      </c>
    </row>
    <row r="531" spans="1:22" x14ac:dyDescent="0.25">
      <c r="A531" t="str">
        <f>IF(games!$A531="","",games!$A531)</f>
        <v>Pokelike</v>
      </c>
      <c r="B531">
        <f>IF($A531="","",games!$B531)</f>
        <v>2026</v>
      </c>
      <c r="C531" t="str">
        <f>IF($A531="","",games!$C531)</f>
        <v>Strategy</v>
      </c>
      <c r="D531">
        <f>IF($A531="","",COUNTIF(connections!$A$2:$A$1188,$A531)+COUNTIF(connections!$B$2:$B$1188,$A531))</f>
        <v>1</v>
      </c>
      <c r="E531">
        <f t="shared" si="96"/>
        <v>2</v>
      </c>
      <c r="F531">
        <f t="shared" si="97"/>
        <v>21</v>
      </c>
      <c r="G531" t="e">
        <f t="shared" si="98"/>
        <v>#N/A</v>
      </c>
      <c r="H531" t="e">
        <f t="shared" si="99"/>
        <v>#N/A</v>
      </c>
      <c r="I531">
        <f t="shared" si="100"/>
        <v>2026</v>
      </c>
      <c r="J531">
        <f t="shared" si="101"/>
        <v>2.4830000000000001</v>
      </c>
      <c r="K531" t="e">
        <f t="shared" si="102"/>
        <v>#N/A</v>
      </c>
      <c r="L531" t="e">
        <f t="shared" si="103"/>
        <v>#N/A</v>
      </c>
      <c r="M531" t="e">
        <f t="shared" si="104"/>
        <v>#N/A</v>
      </c>
      <c r="N531" t="e">
        <f t="shared" si="105"/>
        <v>#N/A</v>
      </c>
      <c r="O531">
        <f t="shared" si="106"/>
        <v>1.0005310000000001</v>
      </c>
      <c r="T531">
        <f>IF(connections!$A531="","",IFERROR(INDEX(games!$B$2:$B$834,MATCH(connections!$A531,games!$A$2:$A$834,0)),""))</f>
        <v>2016</v>
      </c>
      <c r="U531">
        <f>IF(connections!$A531="","",IFERROR(INDEX(games!$B$2:$B$834,MATCH(connections!$B531,games!$A$2:$A$834,0)),""))</f>
        <v>2021</v>
      </c>
      <c r="V531">
        <f t="shared" si="107"/>
        <v>5</v>
      </c>
    </row>
    <row r="532" spans="1:22" x14ac:dyDescent="0.25">
      <c r="A532" t="str">
        <f>IF(games!$A532="","",games!$A532)</f>
        <v>Pokémon Auto Chess</v>
      </c>
      <c r="B532">
        <f>IF($A532="","",games!$B532)</f>
        <v>2021</v>
      </c>
      <c r="C532" t="str">
        <f>IF($A532="","",games!$C532)</f>
        <v>Strategy</v>
      </c>
      <c r="D532">
        <f>IF($A532="","",COUNTIF(connections!$A$2:$A$1188,$A532)+COUNTIF(connections!$B$2:$B$1188,$A532))</f>
        <v>2</v>
      </c>
      <c r="E532">
        <f t="shared" si="96"/>
        <v>2</v>
      </c>
      <c r="F532">
        <f t="shared" si="97"/>
        <v>22</v>
      </c>
      <c r="G532" t="e">
        <f t="shared" si="98"/>
        <v>#N/A</v>
      </c>
      <c r="H532" t="e">
        <f t="shared" si="99"/>
        <v>#N/A</v>
      </c>
      <c r="I532">
        <f t="shared" si="100"/>
        <v>2021</v>
      </c>
      <c r="J532">
        <f t="shared" si="101"/>
        <v>2.5060000000000002</v>
      </c>
      <c r="K532" t="e">
        <f t="shared" si="102"/>
        <v>#N/A</v>
      </c>
      <c r="L532" t="e">
        <f t="shared" si="103"/>
        <v>#N/A</v>
      </c>
      <c r="M532" t="e">
        <f t="shared" si="104"/>
        <v>#N/A</v>
      </c>
      <c r="N532" t="e">
        <f t="shared" si="105"/>
        <v>#N/A</v>
      </c>
      <c r="O532">
        <f t="shared" si="106"/>
        <v>2.0005320000000002</v>
      </c>
      <c r="T532">
        <f>IF(connections!$A532="","",IFERROR(INDEX(games!$B$2:$B$834,MATCH(connections!$A532,games!$A$2:$A$834,0)),""))</f>
        <v>2018</v>
      </c>
      <c r="U532">
        <f>IF(connections!$A532="","",IFERROR(INDEX(games!$B$2:$B$834,MATCH(connections!$B532,games!$A$2:$A$834,0)),""))</f>
        <v>2025</v>
      </c>
      <c r="V532">
        <f t="shared" si="107"/>
        <v>7</v>
      </c>
    </row>
    <row r="533" spans="1:22" x14ac:dyDescent="0.25">
      <c r="A533" t="str">
        <f>IF(games!$A533="","",games!$A533)</f>
        <v>Pokémon Auto Spire</v>
      </c>
      <c r="B533">
        <f>IF($A533="","",games!$B533)</f>
        <v>2026</v>
      </c>
      <c r="C533" t="str">
        <f>IF($A533="","",games!$C533)</f>
        <v>Strategy</v>
      </c>
      <c r="D533">
        <f>IF($A533="","",COUNTIF(connections!$A$2:$A$1188,$A533)+COUNTIF(connections!$B$2:$B$1188,$A533))</f>
        <v>2</v>
      </c>
      <c r="E533">
        <f t="shared" si="96"/>
        <v>2</v>
      </c>
      <c r="F533">
        <f t="shared" si="97"/>
        <v>23</v>
      </c>
      <c r="G533" t="e">
        <f t="shared" si="98"/>
        <v>#N/A</v>
      </c>
      <c r="H533" t="e">
        <f t="shared" si="99"/>
        <v>#N/A</v>
      </c>
      <c r="I533">
        <f t="shared" si="100"/>
        <v>2026</v>
      </c>
      <c r="J533">
        <f t="shared" si="101"/>
        <v>2.5289999999999999</v>
      </c>
      <c r="K533" t="e">
        <f t="shared" si="102"/>
        <v>#N/A</v>
      </c>
      <c r="L533" t="e">
        <f t="shared" si="103"/>
        <v>#N/A</v>
      </c>
      <c r="M533" t="e">
        <f t="shared" si="104"/>
        <v>#N/A</v>
      </c>
      <c r="N533" t="e">
        <f t="shared" si="105"/>
        <v>#N/A</v>
      </c>
      <c r="O533">
        <f t="shared" si="106"/>
        <v>2.0005329999999999</v>
      </c>
      <c r="T533">
        <f>IF(connections!$A533="","",IFERROR(INDEX(games!$B$2:$B$834,MATCH(connections!$A533,games!$A$2:$A$834,0)),""))</f>
        <v>1983</v>
      </c>
      <c r="U533">
        <f>IF(connections!$A533="","",IFERROR(INDEX(games!$B$2:$B$834,MATCH(connections!$B533,games!$A$2:$A$834,0)),""))</f>
        <v>1990</v>
      </c>
      <c r="V533">
        <f t="shared" si="107"/>
        <v>7</v>
      </c>
    </row>
    <row r="534" spans="1:22" x14ac:dyDescent="0.25">
      <c r="A534" t="str">
        <f>IF(games!$A534="","",games!$A534)</f>
        <v>Pokémon Mystery Dungeon: Explorers of Sky</v>
      </c>
      <c r="B534">
        <f>IF($A534="","",games!$B534)</f>
        <v>2009</v>
      </c>
      <c r="C534" t="str">
        <f>IF($A534="","",games!$C534)</f>
        <v>Traditional</v>
      </c>
      <c r="D534">
        <f>IF($A534="","",COUNTIF(connections!$A$2:$A$1188,$A534)+COUNTIF(connections!$B$2:$B$1188,$A534))</f>
        <v>1</v>
      </c>
      <c r="E534">
        <f t="shared" si="96"/>
        <v>4</v>
      </c>
      <c r="F534">
        <f t="shared" si="97"/>
        <v>24</v>
      </c>
      <c r="G534" t="e">
        <f t="shared" si="98"/>
        <v>#N/A</v>
      </c>
      <c r="H534" t="e">
        <f t="shared" si="99"/>
        <v>#N/A</v>
      </c>
      <c r="I534" t="e">
        <f t="shared" si="100"/>
        <v>#N/A</v>
      </c>
      <c r="J534" t="e">
        <f t="shared" si="101"/>
        <v>#N/A</v>
      </c>
      <c r="K534" t="e">
        <f t="shared" si="102"/>
        <v>#N/A</v>
      </c>
      <c r="L534" t="e">
        <f t="shared" si="103"/>
        <v>#N/A</v>
      </c>
      <c r="M534">
        <f t="shared" si="104"/>
        <v>2009</v>
      </c>
      <c r="N534">
        <f t="shared" si="105"/>
        <v>4.5519999999999996</v>
      </c>
      <c r="O534">
        <f t="shared" si="106"/>
        <v>1.000534</v>
      </c>
      <c r="T534">
        <f>IF(connections!$A534="","",IFERROR(INDEX(games!$B$2:$B$834,MATCH(connections!$A534,games!$A$2:$A$834,0)),""))</f>
        <v>1983</v>
      </c>
      <c r="U534">
        <f>IF(connections!$A534="","",IFERROR(INDEX(games!$B$2:$B$834,MATCH(connections!$B534,games!$A$2:$A$834,0)),""))</f>
        <v>1996</v>
      </c>
      <c r="V534">
        <f t="shared" si="107"/>
        <v>13</v>
      </c>
    </row>
    <row r="535" spans="1:22" x14ac:dyDescent="0.25">
      <c r="A535" t="str">
        <f>IF(games!$A535="","",games!$A535)</f>
        <v>Pokémon Mystery Dungeon: Explorers of Time and Explorers of Darkness</v>
      </c>
      <c r="B535">
        <f>IF($A535="","",games!$B535)</f>
        <v>2007</v>
      </c>
      <c r="C535" t="str">
        <f>IF($A535="","",games!$C535)</f>
        <v>Traditional</v>
      </c>
      <c r="D535">
        <f>IF($A535="","",COUNTIF(connections!$A$2:$A$1188,$A535)+COUNTIF(connections!$B$2:$B$1188,$A535))</f>
        <v>2</v>
      </c>
      <c r="E535">
        <f t="shared" si="96"/>
        <v>4</v>
      </c>
      <c r="F535">
        <f t="shared" si="97"/>
        <v>25</v>
      </c>
      <c r="G535" t="e">
        <f t="shared" si="98"/>
        <v>#N/A</v>
      </c>
      <c r="H535" t="e">
        <f t="shared" si="99"/>
        <v>#N/A</v>
      </c>
      <c r="I535" t="e">
        <f t="shared" si="100"/>
        <v>#N/A</v>
      </c>
      <c r="J535" t="e">
        <f t="shared" si="101"/>
        <v>#N/A</v>
      </c>
      <c r="K535" t="e">
        <f t="shared" si="102"/>
        <v>#N/A</v>
      </c>
      <c r="L535" t="e">
        <f t="shared" si="103"/>
        <v>#N/A</v>
      </c>
      <c r="M535">
        <f t="shared" si="104"/>
        <v>2007</v>
      </c>
      <c r="N535">
        <f t="shared" si="105"/>
        <v>4.5750000000000002</v>
      </c>
      <c r="O535">
        <f t="shared" si="106"/>
        <v>2.0005350000000002</v>
      </c>
      <c r="T535">
        <f>IF(connections!$A535="","",IFERROR(INDEX(games!$B$2:$B$834,MATCH(connections!$A535,games!$A$2:$A$834,0)),""))</f>
        <v>1983</v>
      </c>
      <c r="U535">
        <f>IF(connections!$A535="","",IFERROR(INDEX(games!$B$2:$B$834,MATCH(connections!$B535,games!$A$2:$A$834,0)),""))</f>
        <v>2003</v>
      </c>
      <c r="V535">
        <f t="shared" si="107"/>
        <v>20</v>
      </c>
    </row>
    <row r="536" spans="1:22" x14ac:dyDescent="0.25">
      <c r="A536" t="str">
        <f>IF(games!$A536="","",games!$A536)</f>
        <v>Pokémon Mystery Dungeon: Gates to Infinity</v>
      </c>
      <c r="B536">
        <f>IF($A536="","",games!$B536)</f>
        <v>2012</v>
      </c>
      <c r="C536" t="str">
        <f>IF($A536="","",games!$C536)</f>
        <v>Traditional</v>
      </c>
      <c r="D536">
        <f>IF($A536="","",COUNTIF(connections!$A$2:$A$1188,$A536)+COUNTIF(connections!$B$2:$B$1188,$A536))</f>
        <v>1</v>
      </c>
      <c r="E536">
        <f t="shared" si="96"/>
        <v>4</v>
      </c>
      <c r="F536">
        <f t="shared" si="97"/>
        <v>26</v>
      </c>
      <c r="G536" t="e">
        <f t="shared" si="98"/>
        <v>#N/A</v>
      </c>
      <c r="H536" t="e">
        <f t="shared" si="99"/>
        <v>#N/A</v>
      </c>
      <c r="I536" t="e">
        <f t="shared" si="100"/>
        <v>#N/A</v>
      </c>
      <c r="J536" t="e">
        <f t="shared" si="101"/>
        <v>#N/A</v>
      </c>
      <c r="K536" t="e">
        <f t="shared" si="102"/>
        <v>#N/A</v>
      </c>
      <c r="L536" t="e">
        <f t="shared" si="103"/>
        <v>#N/A</v>
      </c>
      <c r="M536">
        <f t="shared" si="104"/>
        <v>2012</v>
      </c>
      <c r="N536">
        <f t="shared" si="105"/>
        <v>4.5979999999999999</v>
      </c>
      <c r="O536">
        <f t="shared" si="106"/>
        <v>1.0005360000000001</v>
      </c>
      <c r="T536">
        <f>IF(connections!$A536="","",IFERROR(INDEX(games!$B$2:$B$834,MATCH(connections!$A536,games!$A$2:$A$834,0)),""))</f>
        <v>2018</v>
      </c>
      <c r="U536">
        <f>IF(connections!$A536="","",IFERROR(INDEX(games!$B$2:$B$834,MATCH(connections!$B536,games!$A$2:$A$834,0)),""))</f>
        <v>2022</v>
      </c>
      <c r="V536">
        <f t="shared" si="107"/>
        <v>4</v>
      </c>
    </row>
    <row r="537" spans="1:22" x14ac:dyDescent="0.25">
      <c r="A537" t="str">
        <f>IF(games!$A537="","",games!$A537)</f>
        <v>Pokémon Mystery Dungeon: Red and Blue Rescue Team</v>
      </c>
      <c r="B537">
        <f>IF($A537="","",games!$B537)</f>
        <v>2005</v>
      </c>
      <c r="C537" t="str">
        <f>IF($A537="","",games!$C537)</f>
        <v>Traditional</v>
      </c>
      <c r="D537">
        <f>IF($A537="","",COUNTIF(connections!$A$2:$A$1188,$A537)+COUNTIF(connections!$B$2:$B$1188,$A537))</f>
        <v>6</v>
      </c>
      <c r="E537">
        <f t="shared" si="96"/>
        <v>4</v>
      </c>
      <c r="F537">
        <f t="shared" si="97"/>
        <v>27</v>
      </c>
      <c r="G537" t="e">
        <f t="shared" si="98"/>
        <v>#N/A</v>
      </c>
      <c r="H537" t="e">
        <f t="shared" si="99"/>
        <v>#N/A</v>
      </c>
      <c r="I537" t="e">
        <f t="shared" si="100"/>
        <v>#N/A</v>
      </c>
      <c r="J537" t="e">
        <f t="shared" si="101"/>
        <v>#N/A</v>
      </c>
      <c r="K537" t="e">
        <f t="shared" si="102"/>
        <v>#N/A</v>
      </c>
      <c r="L537" t="e">
        <f t="shared" si="103"/>
        <v>#N/A</v>
      </c>
      <c r="M537">
        <f t="shared" si="104"/>
        <v>2005</v>
      </c>
      <c r="N537">
        <f t="shared" si="105"/>
        <v>4.6210000000000004</v>
      </c>
      <c r="O537">
        <f t="shared" si="106"/>
        <v>6.0005369999999996</v>
      </c>
      <c r="T537">
        <f>IF(connections!$A537="","",IFERROR(INDEX(games!$B$2:$B$834,MATCH(connections!$A537,games!$A$2:$A$834,0)),""))</f>
        <v>2011</v>
      </c>
      <c r="U537">
        <f>IF(connections!$A537="","",IFERROR(INDEX(games!$B$2:$B$834,MATCH(connections!$B537,games!$A$2:$A$834,0)),""))</f>
        <v>2014</v>
      </c>
      <c r="V537">
        <f t="shared" si="107"/>
        <v>3</v>
      </c>
    </row>
    <row r="538" spans="1:22" x14ac:dyDescent="0.25">
      <c r="A538" t="str">
        <f>IF(games!$A538="","",games!$A538)</f>
        <v>Pokémon Mystery Dungeon: Rescue Team DX</v>
      </c>
      <c r="B538">
        <f>IF($A538="","",games!$B538)</f>
        <v>2020</v>
      </c>
      <c r="C538" t="str">
        <f>IF($A538="","",games!$C538)</f>
        <v>Traditional</v>
      </c>
      <c r="D538">
        <f>IF($A538="","",COUNTIF(connections!$A$2:$A$1188,$A538)+COUNTIF(connections!$B$2:$B$1188,$A538))</f>
        <v>1</v>
      </c>
      <c r="E538">
        <f t="shared" si="96"/>
        <v>4</v>
      </c>
      <c r="F538">
        <f t="shared" si="97"/>
        <v>28</v>
      </c>
      <c r="G538" t="e">
        <f t="shared" si="98"/>
        <v>#N/A</v>
      </c>
      <c r="H538" t="e">
        <f t="shared" si="99"/>
        <v>#N/A</v>
      </c>
      <c r="I538" t="e">
        <f t="shared" si="100"/>
        <v>#N/A</v>
      </c>
      <c r="J538" t="e">
        <f t="shared" si="101"/>
        <v>#N/A</v>
      </c>
      <c r="K538" t="e">
        <f t="shared" si="102"/>
        <v>#N/A</v>
      </c>
      <c r="L538" t="e">
        <f t="shared" si="103"/>
        <v>#N/A</v>
      </c>
      <c r="M538">
        <f t="shared" si="104"/>
        <v>2020</v>
      </c>
      <c r="N538">
        <f t="shared" si="105"/>
        <v>4.6440000000000001</v>
      </c>
      <c r="O538">
        <f t="shared" si="106"/>
        <v>1.0005379999999999</v>
      </c>
      <c r="T538">
        <f>IF(connections!$A538="","",IFERROR(INDEX(games!$B$2:$B$834,MATCH(connections!$A538,games!$A$2:$A$834,0)),""))</f>
        <v>2021</v>
      </c>
      <c r="U538">
        <f>IF(connections!$A538="","",IFERROR(INDEX(games!$B$2:$B$834,MATCH(connections!$B538,games!$A$2:$A$834,0)),""))</f>
        <v>2026</v>
      </c>
      <c r="V538">
        <f t="shared" si="107"/>
        <v>5</v>
      </c>
    </row>
    <row r="539" spans="1:22" x14ac:dyDescent="0.25">
      <c r="A539" t="str">
        <f>IF(games!$A539="","",games!$A539)</f>
        <v>Pokémon Super Mystery Dungeon</v>
      </c>
      <c r="B539">
        <f>IF($A539="","",games!$B539)</f>
        <v>2015</v>
      </c>
      <c r="C539" t="str">
        <f>IF($A539="","",games!$C539)</f>
        <v>Traditional</v>
      </c>
      <c r="D539">
        <f>IF($A539="","",COUNTIF(connections!$A$2:$A$1188,$A539)+COUNTIF(connections!$B$2:$B$1188,$A539))</f>
        <v>1</v>
      </c>
      <c r="E539">
        <f t="shared" si="96"/>
        <v>4</v>
      </c>
      <c r="F539">
        <f t="shared" si="97"/>
        <v>29</v>
      </c>
      <c r="G539" t="e">
        <f t="shared" si="98"/>
        <v>#N/A</v>
      </c>
      <c r="H539" t="e">
        <f t="shared" si="99"/>
        <v>#N/A</v>
      </c>
      <c r="I539" t="e">
        <f t="shared" si="100"/>
        <v>#N/A</v>
      </c>
      <c r="J539" t="e">
        <f t="shared" si="101"/>
        <v>#N/A</v>
      </c>
      <c r="K539" t="e">
        <f t="shared" si="102"/>
        <v>#N/A</v>
      </c>
      <c r="L539" t="e">
        <f t="shared" si="103"/>
        <v>#N/A</v>
      </c>
      <c r="M539">
        <f t="shared" si="104"/>
        <v>2015</v>
      </c>
      <c r="N539">
        <f t="shared" si="105"/>
        <v>4.6669999999999998</v>
      </c>
      <c r="O539">
        <f t="shared" si="106"/>
        <v>1.0005390000000001</v>
      </c>
      <c r="T539">
        <f>IF(connections!$A539="","",IFERROR(INDEX(games!$B$2:$B$834,MATCH(connections!$A539,games!$A$2:$A$834,0)),""))</f>
        <v>1995</v>
      </c>
      <c r="U539">
        <f>IF(connections!$A539="","",IFERROR(INDEX(games!$B$2:$B$834,MATCH(connections!$B539,games!$A$2:$A$834,0)),""))</f>
        <v>2010</v>
      </c>
      <c r="V539">
        <f t="shared" si="107"/>
        <v>15</v>
      </c>
    </row>
    <row r="540" spans="1:22" x14ac:dyDescent="0.25">
      <c r="A540" t="str">
        <f>IF(games!$A540="","",games!$A540)</f>
        <v>PokéRogue</v>
      </c>
      <c r="B540">
        <f>IF($A540="","",games!$B540)</f>
        <v>2024</v>
      </c>
      <c r="C540" t="str">
        <f>IF($A540="","",games!$C540)</f>
        <v>Strategy</v>
      </c>
      <c r="D540">
        <f>IF($A540="","",COUNTIF(connections!$A$2:$A$1188,$A540)+COUNTIF(connections!$B$2:$B$1188,$A540))</f>
        <v>2</v>
      </c>
      <c r="E540">
        <f t="shared" si="96"/>
        <v>2</v>
      </c>
      <c r="F540">
        <f t="shared" si="97"/>
        <v>30</v>
      </c>
      <c r="G540" t="e">
        <f t="shared" si="98"/>
        <v>#N/A</v>
      </c>
      <c r="H540" t="e">
        <f t="shared" si="99"/>
        <v>#N/A</v>
      </c>
      <c r="I540">
        <f t="shared" si="100"/>
        <v>2024</v>
      </c>
      <c r="J540">
        <f t="shared" si="101"/>
        <v>2.69</v>
      </c>
      <c r="K540" t="e">
        <f t="shared" si="102"/>
        <v>#N/A</v>
      </c>
      <c r="L540" t="e">
        <f t="shared" si="103"/>
        <v>#N/A</v>
      </c>
      <c r="M540" t="e">
        <f t="shared" si="104"/>
        <v>#N/A</v>
      </c>
      <c r="N540" t="e">
        <f t="shared" si="105"/>
        <v>#N/A</v>
      </c>
      <c r="O540">
        <f t="shared" si="106"/>
        <v>2.00054</v>
      </c>
      <c r="T540">
        <f>IF(connections!$A540="","",IFERROR(INDEX(games!$B$2:$B$834,MATCH(connections!$A540,games!$A$2:$A$834,0)),""))</f>
        <v>1995</v>
      </c>
      <c r="U540">
        <f>IF(connections!$A540="","",IFERROR(INDEX(games!$B$2:$B$834,MATCH(connections!$B540,games!$A$2:$A$834,0)),""))</f>
        <v>2023</v>
      </c>
      <c r="V540">
        <f t="shared" si="107"/>
        <v>28</v>
      </c>
    </row>
    <row r="541" spans="1:22" x14ac:dyDescent="0.25">
      <c r="A541" t="str">
        <f>IF(games!$A541="","",games!$A541)</f>
        <v>PokeVoid</v>
      </c>
      <c r="B541">
        <f>IF($A541="","",games!$B541)</f>
        <v>2025</v>
      </c>
      <c r="C541" t="str">
        <f>IF($A541="","",games!$C541)</f>
        <v>Strategy</v>
      </c>
      <c r="D541">
        <f>IF($A541="","",COUNTIF(connections!$A$2:$A$1188,$A541)+COUNTIF(connections!$B$2:$B$1188,$A541))</f>
        <v>3</v>
      </c>
      <c r="E541">
        <f t="shared" si="96"/>
        <v>2</v>
      </c>
      <c r="F541">
        <f t="shared" si="97"/>
        <v>31</v>
      </c>
      <c r="G541" t="e">
        <f t="shared" si="98"/>
        <v>#N/A</v>
      </c>
      <c r="H541" t="e">
        <f t="shared" si="99"/>
        <v>#N/A</v>
      </c>
      <c r="I541">
        <f t="shared" si="100"/>
        <v>2025</v>
      </c>
      <c r="J541">
        <f t="shared" si="101"/>
        <v>2.7130000000000001</v>
      </c>
      <c r="K541" t="e">
        <f t="shared" si="102"/>
        <v>#N/A</v>
      </c>
      <c r="L541" t="e">
        <f t="shared" si="103"/>
        <v>#N/A</v>
      </c>
      <c r="M541" t="e">
        <f t="shared" si="104"/>
        <v>#N/A</v>
      </c>
      <c r="N541" t="e">
        <f t="shared" si="105"/>
        <v>#N/A</v>
      </c>
      <c r="O541">
        <f t="shared" si="106"/>
        <v>3.0005410000000001</v>
      </c>
      <c r="T541">
        <f>IF(connections!$A541="","",IFERROR(INDEX(games!$B$2:$B$834,MATCH(connections!$A541,games!$A$2:$A$834,0)),""))</f>
        <v>1995</v>
      </c>
      <c r="U541">
        <f>IF(connections!$A541="","",IFERROR(INDEX(games!$B$2:$B$834,MATCH(connections!$B541,games!$A$2:$A$834,0)),""))</f>
        <v>2025</v>
      </c>
      <c r="V541">
        <f t="shared" si="107"/>
        <v>30</v>
      </c>
    </row>
    <row r="542" spans="1:22" x14ac:dyDescent="0.25">
      <c r="A542" t="str">
        <f>IF(games!$A542="","",games!$A542)</f>
        <v>Popup Dungeon</v>
      </c>
      <c r="B542">
        <f>IF($A542="","",games!$B542)</f>
        <v>2020</v>
      </c>
      <c r="C542" t="str">
        <f>IF($A542="","",games!$C542)</f>
        <v>Strategy</v>
      </c>
      <c r="D542">
        <f>IF($A542="","",COUNTIF(connections!$A$2:$A$1188,$A542)+COUNTIF(connections!$B$2:$B$1188,$A542))</f>
        <v>1</v>
      </c>
      <c r="E542">
        <f t="shared" si="96"/>
        <v>2</v>
      </c>
      <c r="F542">
        <f t="shared" si="97"/>
        <v>32</v>
      </c>
      <c r="G542" t="e">
        <f t="shared" si="98"/>
        <v>#N/A</v>
      </c>
      <c r="H542" t="e">
        <f t="shared" si="99"/>
        <v>#N/A</v>
      </c>
      <c r="I542">
        <f t="shared" si="100"/>
        <v>2020</v>
      </c>
      <c r="J542">
        <f t="shared" si="101"/>
        <v>2.7359999999999998</v>
      </c>
      <c r="K542" t="e">
        <f t="shared" si="102"/>
        <v>#N/A</v>
      </c>
      <c r="L542" t="e">
        <f t="shared" si="103"/>
        <v>#N/A</v>
      </c>
      <c r="M542" t="e">
        <f t="shared" si="104"/>
        <v>#N/A</v>
      </c>
      <c r="N542" t="e">
        <f t="shared" si="105"/>
        <v>#N/A</v>
      </c>
      <c r="O542">
        <f t="shared" si="106"/>
        <v>1.000542</v>
      </c>
      <c r="T542">
        <f>IF(connections!$A542="","",IFERROR(INDEX(games!$B$2:$B$834,MATCH(connections!$A542,games!$A$2:$A$834,0)),""))</f>
        <v>1995</v>
      </c>
      <c r="U542">
        <f>IF(connections!$A542="","",IFERROR(INDEX(games!$B$2:$B$834,MATCH(connections!$B542,games!$A$2:$A$834,0)),""))</f>
        <v>2014</v>
      </c>
      <c r="V542">
        <f t="shared" si="107"/>
        <v>19</v>
      </c>
    </row>
    <row r="543" spans="1:22" x14ac:dyDescent="0.25">
      <c r="A543" t="str">
        <f>IF(games!$A543="","",games!$A543)</f>
        <v>Powder</v>
      </c>
      <c r="B543">
        <f>IF($A543="","",games!$B543)</f>
        <v>2003</v>
      </c>
      <c r="C543" t="str">
        <f>IF($A543="","",games!$C543)</f>
        <v>Traditional</v>
      </c>
      <c r="D543">
        <f>IF($A543="","",COUNTIF(connections!$A$2:$A$1188,$A543)+COUNTIF(connections!$B$2:$B$1188,$A543))</f>
        <v>11</v>
      </c>
      <c r="E543">
        <f t="shared" si="96"/>
        <v>4</v>
      </c>
      <c r="F543">
        <f t="shared" si="97"/>
        <v>33</v>
      </c>
      <c r="G543" t="e">
        <f t="shared" si="98"/>
        <v>#N/A</v>
      </c>
      <c r="H543" t="e">
        <f t="shared" si="99"/>
        <v>#N/A</v>
      </c>
      <c r="I543" t="e">
        <f t="shared" si="100"/>
        <v>#N/A</v>
      </c>
      <c r="J543" t="e">
        <f t="shared" si="101"/>
        <v>#N/A</v>
      </c>
      <c r="K543" t="e">
        <f t="shared" si="102"/>
        <v>#N/A</v>
      </c>
      <c r="L543" t="e">
        <f t="shared" si="103"/>
        <v>#N/A</v>
      </c>
      <c r="M543">
        <f t="shared" si="104"/>
        <v>2003</v>
      </c>
      <c r="N543">
        <f t="shared" si="105"/>
        <v>4.7590000000000003</v>
      </c>
      <c r="O543">
        <f t="shared" si="106"/>
        <v>11.000543</v>
      </c>
      <c r="T543">
        <f>IF(connections!$A543="","",IFERROR(INDEX(games!$B$2:$B$834,MATCH(connections!$A543,games!$A$2:$A$834,0)),""))</f>
        <v>1995</v>
      </c>
      <c r="U543">
        <f>IF(connections!$A543="","",IFERROR(INDEX(games!$B$2:$B$834,MATCH(connections!$B543,games!$A$2:$A$834,0)),""))</f>
        <v>2000</v>
      </c>
      <c r="V543">
        <f t="shared" si="107"/>
        <v>5</v>
      </c>
    </row>
    <row r="544" spans="1:22" x14ac:dyDescent="0.25">
      <c r="A544" t="str">
        <f>IF(games!$A544="","",games!$A544)</f>
        <v>Primordialis</v>
      </c>
      <c r="B544">
        <f>IF($A544="","",games!$B544)</f>
        <v>2024</v>
      </c>
      <c r="C544" t="str">
        <f>IF($A544="","",games!$C544)</f>
        <v>Action</v>
      </c>
      <c r="D544">
        <f>IF($A544="","",COUNTIF(connections!$A$2:$A$1188,$A544)+COUNTIF(connections!$B$2:$B$1188,$A544))</f>
        <v>1</v>
      </c>
      <c r="E544">
        <f t="shared" si="96"/>
        <v>1</v>
      </c>
      <c r="F544">
        <f t="shared" si="97"/>
        <v>0</v>
      </c>
      <c r="G544">
        <f t="shared" si="98"/>
        <v>2024</v>
      </c>
      <c r="H544">
        <f t="shared" si="99"/>
        <v>1</v>
      </c>
      <c r="I544" t="e">
        <f t="shared" si="100"/>
        <v>#N/A</v>
      </c>
      <c r="J544" t="e">
        <f t="shared" si="101"/>
        <v>#N/A</v>
      </c>
      <c r="K544" t="e">
        <f t="shared" si="102"/>
        <v>#N/A</v>
      </c>
      <c r="L544" t="e">
        <f t="shared" si="103"/>
        <v>#N/A</v>
      </c>
      <c r="M544" t="e">
        <f t="shared" si="104"/>
        <v>#N/A</v>
      </c>
      <c r="N544" t="e">
        <f t="shared" si="105"/>
        <v>#N/A</v>
      </c>
      <c r="O544">
        <f t="shared" si="106"/>
        <v>1.0005440000000001</v>
      </c>
      <c r="T544">
        <f>IF(connections!$A544="","",IFERROR(INDEX(games!$B$2:$B$834,MATCH(connections!$A544,games!$A$2:$A$834,0)),""))</f>
        <v>1995</v>
      </c>
      <c r="U544">
        <f>IF(connections!$A544="","",IFERROR(INDEX(games!$B$2:$B$834,MATCH(connections!$B544,games!$A$2:$A$834,0)),""))</f>
        <v>1996</v>
      </c>
      <c r="V544">
        <f t="shared" si="107"/>
        <v>1</v>
      </c>
    </row>
    <row r="545" spans="1:22" x14ac:dyDescent="0.25">
      <c r="A545" t="str">
        <f>IF(games!$A545="","",games!$A545)</f>
        <v>Pronoun Palace</v>
      </c>
      <c r="B545">
        <f>IF($A545="","",games!$B545)</f>
        <v>2026</v>
      </c>
      <c r="C545" t="str">
        <f>IF($A545="","",games!$C545)</f>
        <v>Strategy</v>
      </c>
      <c r="D545">
        <f>IF($A545="","",COUNTIF(connections!$A$2:$A$1188,$A545)+COUNTIF(connections!$B$2:$B$1188,$A545))</f>
        <v>2</v>
      </c>
      <c r="E545">
        <f t="shared" si="96"/>
        <v>2</v>
      </c>
      <c r="F545">
        <f t="shared" si="97"/>
        <v>1</v>
      </c>
      <c r="G545" t="e">
        <f t="shared" si="98"/>
        <v>#N/A</v>
      </c>
      <c r="H545" t="e">
        <f t="shared" si="99"/>
        <v>#N/A</v>
      </c>
      <c r="I545">
        <f t="shared" si="100"/>
        <v>2026</v>
      </c>
      <c r="J545">
        <f t="shared" si="101"/>
        <v>2.0230000000000001</v>
      </c>
      <c r="K545" t="e">
        <f t="shared" si="102"/>
        <v>#N/A</v>
      </c>
      <c r="L545" t="e">
        <f t="shared" si="103"/>
        <v>#N/A</v>
      </c>
      <c r="M545" t="e">
        <f t="shared" si="104"/>
        <v>#N/A</v>
      </c>
      <c r="N545" t="e">
        <f t="shared" si="105"/>
        <v>#N/A</v>
      </c>
      <c r="O545">
        <f t="shared" si="106"/>
        <v>2.0005449999999998</v>
      </c>
      <c r="T545">
        <f>IF(connections!$A545="","",IFERROR(INDEX(games!$B$2:$B$834,MATCH(connections!$A545,games!$A$2:$A$834,0)),""))</f>
        <v>1995</v>
      </c>
      <c r="U545">
        <f>IF(connections!$A545="","",IFERROR(INDEX(games!$B$2:$B$834,MATCH(connections!$B545,games!$A$2:$A$834,0)),""))</f>
        <v>2017</v>
      </c>
      <c r="V545">
        <f t="shared" si="107"/>
        <v>22</v>
      </c>
    </row>
    <row r="546" spans="1:22" x14ac:dyDescent="0.25">
      <c r="A546" t="str">
        <f>IF(games!$A546="","",games!$A546)</f>
        <v>Putrid Shot Ultra</v>
      </c>
      <c r="B546">
        <f>IF($A546="","",games!$B546)</f>
        <v>2022</v>
      </c>
      <c r="C546" t="str">
        <f>IF($A546="","",games!$C546)</f>
        <v>Action</v>
      </c>
      <c r="D546">
        <f>IF($A546="","",COUNTIF(connections!$A$2:$A$1188,$A546)+COUNTIF(connections!$B$2:$B$1188,$A546))</f>
        <v>3</v>
      </c>
      <c r="E546">
        <f t="shared" si="96"/>
        <v>1</v>
      </c>
      <c r="F546">
        <f t="shared" si="97"/>
        <v>2</v>
      </c>
      <c r="G546">
        <f t="shared" si="98"/>
        <v>2022</v>
      </c>
      <c r="H546">
        <f t="shared" si="99"/>
        <v>1.046</v>
      </c>
      <c r="I546" t="e">
        <f t="shared" si="100"/>
        <v>#N/A</v>
      </c>
      <c r="J546" t="e">
        <f t="shared" si="101"/>
        <v>#N/A</v>
      </c>
      <c r="K546" t="e">
        <f t="shared" si="102"/>
        <v>#N/A</v>
      </c>
      <c r="L546" t="e">
        <f t="shared" si="103"/>
        <v>#N/A</v>
      </c>
      <c r="M546" t="e">
        <f t="shared" si="104"/>
        <v>#N/A</v>
      </c>
      <c r="N546" t="e">
        <f t="shared" si="105"/>
        <v>#N/A</v>
      </c>
      <c r="O546">
        <f t="shared" si="106"/>
        <v>3.0005459999999999</v>
      </c>
      <c r="T546">
        <f>IF(connections!$A546="","",IFERROR(INDEX(games!$B$2:$B$834,MATCH(connections!$A546,games!$A$2:$A$834,0)),""))</f>
        <v>2022</v>
      </c>
      <c r="U546">
        <f>IF(connections!$A546="","",IFERROR(INDEX(games!$B$2:$B$834,MATCH(connections!$B546,games!$A$2:$A$834,0)),""))</f>
        <v>2024</v>
      </c>
      <c r="V546">
        <f t="shared" si="107"/>
        <v>2</v>
      </c>
    </row>
    <row r="547" spans="1:22" x14ac:dyDescent="0.25">
      <c r="A547" t="str">
        <f>IF(games!$A547="","",games!$A547)</f>
        <v>Quasimorph</v>
      </c>
      <c r="B547">
        <f>IF($A547="","",games!$B547)</f>
        <v>2023</v>
      </c>
      <c r="C547" t="str">
        <f>IF($A547="","",games!$C547)</f>
        <v>Traditional</v>
      </c>
      <c r="D547">
        <f>IF($A547="","",COUNTIF(connections!$A$2:$A$1188,$A547)+COUNTIF(connections!$B$2:$B$1188,$A547))</f>
        <v>2</v>
      </c>
      <c r="E547">
        <f t="shared" si="96"/>
        <v>4</v>
      </c>
      <c r="F547">
        <f t="shared" si="97"/>
        <v>3</v>
      </c>
      <c r="G547" t="e">
        <f t="shared" si="98"/>
        <v>#N/A</v>
      </c>
      <c r="H547" t="e">
        <f t="shared" si="99"/>
        <v>#N/A</v>
      </c>
      <c r="I547" t="e">
        <f t="shared" si="100"/>
        <v>#N/A</v>
      </c>
      <c r="J547" t="e">
        <f t="shared" si="101"/>
        <v>#N/A</v>
      </c>
      <c r="K547" t="e">
        <f t="shared" si="102"/>
        <v>#N/A</v>
      </c>
      <c r="L547" t="e">
        <f t="shared" si="103"/>
        <v>#N/A</v>
      </c>
      <c r="M547">
        <f t="shared" si="104"/>
        <v>2023</v>
      </c>
      <c r="N547">
        <f t="shared" si="105"/>
        <v>4.069</v>
      </c>
      <c r="O547">
        <f t="shared" si="106"/>
        <v>2.0005470000000001</v>
      </c>
      <c r="T547">
        <f>IF(connections!$A547="","",IFERROR(INDEX(games!$B$2:$B$834,MATCH(connections!$A547,games!$A$2:$A$834,0)),""))</f>
        <v>2022</v>
      </c>
      <c r="U547">
        <f>IF(connections!$A547="","",IFERROR(INDEX(games!$B$2:$B$834,MATCH(connections!$B547,games!$A$2:$A$834,0)),""))</f>
        <v>2024</v>
      </c>
      <c r="V547">
        <f t="shared" si="107"/>
        <v>2</v>
      </c>
    </row>
    <row r="548" spans="1:22" x14ac:dyDescent="0.25">
      <c r="A548" t="str">
        <f>IF(games!$A548="","",games!$A548)</f>
        <v>Quest of Dungeons</v>
      </c>
      <c r="B548">
        <f>IF($A548="","",games!$B548)</f>
        <v>2014</v>
      </c>
      <c r="C548" t="str">
        <f>IF($A548="","",games!$C548)</f>
        <v>Traditional</v>
      </c>
      <c r="D548">
        <f>IF($A548="","",COUNTIF(connections!$A$2:$A$1188,$A548)+COUNTIF(connections!$B$2:$B$1188,$A548))</f>
        <v>2</v>
      </c>
      <c r="E548">
        <f t="shared" si="96"/>
        <v>4</v>
      </c>
      <c r="F548">
        <f t="shared" si="97"/>
        <v>4</v>
      </c>
      <c r="G548" t="e">
        <f t="shared" si="98"/>
        <v>#N/A</v>
      </c>
      <c r="H548" t="e">
        <f t="shared" si="99"/>
        <v>#N/A</v>
      </c>
      <c r="I548" t="e">
        <f t="shared" si="100"/>
        <v>#N/A</v>
      </c>
      <c r="J548" t="e">
        <f t="shared" si="101"/>
        <v>#N/A</v>
      </c>
      <c r="K548" t="e">
        <f t="shared" si="102"/>
        <v>#N/A</v>
      </c>
      <c r="L548" t="e">
        <f t="shared" si="103"/>
        <v>#N/A</v>
      </c>
      <c r="M548">
        <f t="shared" si="104"/>
        <v>2014</v>
      </c>
      <c r="N548">
        <f t="shared" si="105"/>
        <v>4.0919999999999996</v>
      </c>
      <c r="O548">
        <f t="shared" si="106"/>
        <v>2.0005480000000002</v>
      </c>
      <c r="T548">
        <f>IF(connections!$A548="","",IFERROR(INDEX(games!$B$2:$B$834,MATCH(connections!$A548,games!$A$2:$A$834,0)),""))</f>
        <v>2019</v>
      </c>
      <c r="U548">
        <f>IF(connections!$A548="","",IFERROR(INDEX(games!$B$2:$B$834,MATCH(connections!$B548,games!$A$2:$A$834,0)),""))</f>
        <v>2025</v>
      </c>
      <c r="V548">
        <f t="shared" si="107"/>
        <v>6</v>
      </c>
    </row>
    <row r="549" spans="1:22" x14ac:dyDescent="0.25">
      <c r="A549" t="str">
        <f>IF(games!$A549="","",games!$A549)</f>
        <v>Rabbit and Steel</v>
      </c>
      <c r="B549">
        <f>IF($A549="","",games!$B549)</f>
        <v>2024</v>
      </c>
      <c r="C549" t="str">
        <f>IF($A549="","",games!$C549)</f>
        <v>Action</v>
      </c>
      <c r="D549">
        <f>IF($A549="","",COUNTIF(connections!$A$2:$A$1188,$A549)+COUNTIF(connections!$B$2:$B$1188,$A549))</f>
        <v>0</v>
      </c>
      <c r="E549">
        <f t="shared" si="96"/>
        <v>1</v>
      </c>
      <c r="F549">
        <f t="shared" si="97"/>
        <v>5</v>
      </c>
      <c r="G549">
        <f t="shared" si="98"/>
        <v>2024</v>
      </c>
      <c r="H549">
        <f t="shared" si="99"/>
        <v>1.115</v>
      </c>
      <c r="I549" t="e">
        <f t="shared" si="100"/>
        <v>#N/A</v>
      </c>
      <c r="J549" t="e">
        <f t="shared" si="101"/>
        <v>#N/A</v>
      </c>
      <c r="K549" t="e">
        <f t="shared" si="102"/>
        <v>#N/A</v>
      </c>
      <c r="L549" t="e">
        <f t="shared" si="103"/>
        <v>#N/A</v>
      </c>
      <c r="M549" t="e">
        <f t="shared" si="104"/>
        <v>#N/A</v>
      </c>
      <c r="N549" t="e">
        <f t="shared" si="105"/>
        <v>#N/A</v>
      </c>
      <c r="O549">
        <f t="shared" si="106"/>
        <v>5.4900000000000001E-4</v>
      </c>
      <c r="T549">
        <f>IF(connections!$A549="","",IFERROR(INDEX(games!$B$2:$B$834,MATCH(connections!$A549,games!$A$2:$A$834,0)),""))</f>
        <v>1987</v>
      </c>
      <c r="U549">
        <f>IF(connections!$A549="","",IFERROR(INDEX(games!$B$2:$B$834,MATCH(connections!$B549,games!$A$2:$A$834,0)),""))</f>
        <v>2015</v>
      </c>
      <c r="V549">
        <f t="shared" si="107"/>
        <v>28</v>
      </c>
    </row>
    <row r="550" spans="1:22" x14ac:dyDescent="0.25">
      <c r="A550" t="str">
        <f>IF(games!$A550="","",games!$A550)</f>
        <v>Raccoin: Coin Pusher Roguelike</v>
      </c>
      <c r="B550">
        <f>IF($A550="","",games!$B550)</f>
        <v>2026</v>
      </c>
      <c r="C550" t="str">
        <f>IF($A550="","",games!$C550)</f>
        <v>Deckbuilder</v>
      </c>
      <c r="D550">
        <f>IF($A550="","",COUNTIF(connections!$A$2:$A$1188,$A550)+COUNTIF(connections!$B$2:$B$1188,$A550))</f>
        <v>2</v>
      </c>
      <c r="E550">
        <f t="shared" si="96"/>
        <v>3</v>
      </c>
      <c r="F550">
        <f t="shared" si="97"/>
        <v>6</v>
      </c>
      <c r="G550" t="e">
        <f t="shared" si="98"/>
        <v>#N/A</v>
      </c>
      <c r="H550" t="e">
        <f t="shared" si="99"/>
        <v>#N/A</v>
      </c>
      <c r="I550" t="e">
        <f t="shared" si="100"/>
        <v>#N/A</v>
      </c>
      <c r="J550" t="e">
        <f t="shared" si="101"/>
        <v>#N/A</v>
      </c>
      <c r="K550">
        <f t="shared" si="102"/>
        <v>2026</v>
      </c>
      <c r="L550">
        <f t="shared" si="103"/>
        <v>3.1379999999999999</v>
      </c>
      <c r="M550" t="e">
        <f t="shared" si="104"/>
        <v>#N/A</v>
      </c>
      <c r="N550" t="e">
        <f t="shared" si="105"/>
        <v>#N/A</v>
      </c>
      <c r="O550">
        <f t="shared" si="106"/>
        <v>2.0005500000000001</v>
      </c>
      <c r="T550">
        <f>IF(connections!$A550="","",IFERROR(INDEX(games!$B$2:$B$834,MATCH(connections!$A550,games!$A$2:$A$834,0)),""))</f>
        <v>1987</v>
      </c>
      <c r="U550">
        <f>IF(connections!$A550="","",IFERROR(INDEX(games!$B$2:$B$834,MATCH(connections!$B550,games!$A$2:$A$834,0)),""))</f>
        <v>2014</v>
      </c>
      <c r="V550">
        <f t="shared" si="107"/>
        <v>27</v>
      </c>
    </row>
    <row r="551" spans="1:22" x14ac:dyDescent="0.25">
      <c r="A551" t="str">
        <f>IF(games!$A551="","",games!$A551)</f>
        <v>Rack and Slay</v>
      </c>
      <c r="B551">
        <f>IF($A551="","",games!$B551)</f>
        <v>2024</v>
      </c>
      <c r="C551" t="str">
        <f>IF($A551="","",games!$C551)</f>
        <v>Strategy</v>
      </c>
      <c r="D551">
        <f>IF($A551="","",COUNTIF(connections!$A$2:$A$1188,$A551)+COUNTIF(connections!$B$2:$B$1188,$A551))</f>
        <v>2</v>
      </c>
      <c r="E551">
        <f t="shared" si="96"/>
        <v>2</v>
      </c>
      <c r="F551">
        <f t="shared" si="97"/>
        <v>7</v>
      </c>
      <c r="G551" t="e">
        <f t="shared" si="98"/>
        <v>#N/A</v>
      </c>
      <c r="H551" t="e">
        <f t="shared" si="99"/>
        <v>#N/A</v>
      </c>
      <c r="I551">
        <f t="shared" si="100"/>
        <v>2024</v>
      </c>
      <c r="J551">
        <f t="shared" si="101"/>
        <v>2.161</v>
      </c>
      <c r="K551" t="e">
        <f t="shared" si="102"/>
        <v>#N/A</v>
      </c>
      <c r="L551" t="e">
        <f t="shared" si="103"/>
        <v>#N/A</v>
      </c>
      <c r="M551" t="e">
        <f t="shared" si="104"/>
        <v>#N/A</v>
      </c>
      <c r="N551" t="e">
        <f t="shared" si="105"/>
        <v>#N/A</v>
      </c>
      <c r="O551">
        <f t="shared" si="106"/>
        <v>2.0005510000000002</v>
      </c>
      <c r="T551">
        <f>IF(connections!$A551="","",IFERROR(INDEX(games!$B$2:$B$834,MATCH(connections!$A551,games!$A$2:$A$834,0)),""))</f>
        <v>1987</v>
      </c>
      <c r="U551">
        <f>IF(connections!$A551="","",IFERROR(INDEX(games!$B$2:$B$834,MATCH(connections!$B551,games!$A$2:$A$834,0)),""))</f>
        <v>1996</v>
      </c>
      <c r="V551">
        <f t="shared" si="107"/>
        <v>9</v>
      </c>
    </row>
    <row r="552" spans="1:22" x14ac:dyDescent="0.25">
      <c r="A552" t="str">
        <f>IF(games!$A552="","",games!$A552)</f>
        <v>Ragnarok</v>
      </c>
      <c r="B552">
        <f>IF($A552="","",games!$B552)</f>
        <v>1992</v>
      </c>
      <c r="C552" t="str">
        <f>IF($A552="","",games!$C552)</f>
        <v>Traditional</v>
      </c>
      <c r="D552">
        <f>IF($A552="","",COUNTIF(connections!$A$2:$A$1188,$A552)+COUNTIF(connections!$B$2:$B$1188,$A552))</f>
        <v>3</v>
      </c>
      <c r="E552">
        <f t="shared" si="96"/>
        <v>4</v>
      </c>
      <c r="F552">
        <f t="shared" si="97"/>
        <v>8</v>
      </c>
      <c r="G552" t="e">
        <f t="shared" si="98"/>
        <v>#N/A</v>
      </c>
      <c r="H552" t="e">
        <f t="shared" si="99"/>
        <v>#N/A</v>
      </c>
      <c r="I552" t="e">
        <f t="shared" si="100"/>
        <v>#N/A</v>
      </c>
      <c r="J552" t="e">
        <f t="shared" si="101"/>
        <v>#N/A</v>
      </c>
      <c r="K552" t="e">
        <f t="shared" si="102"/>
        <v>#N/A</v>
      </c>
      <c r="L552" t="e">
        <f t="shared" si="103"/>
        <v>#N/A</v>
      </c>
      <c r="M552">
        <f t="shared" si="104"/>
        <v>1992</v>
      </c>
      <c r="N552">
        <f t="shared" si="105"/>
        <v>4.1840000000000002</v>
      </c>
      <c r="O552">
        <f t="shared" si="106"/>
        <v>3.0005519999999999</v>
      </c>
      <c r="T552">
        <f>IF(connections!$A552="","",IFERROR(INDEX(games!$B$2:$B$834,MATCH(connections!$A552,games!$A$2:$A$834,0)),""))</f>
        <v>1987</v>
      </c>
      <c r="U552">
        <f>IF(connections!$A552="","",IFERROR(INDEX(games!$B$2:$B$834,MATCH(connections!$B552,games!$A$2:$A$834,0)),""))</f>
        <v>2003</v>
      </c>
      <c r="V552">
        <f t="shared" si="107"/>
        <v>16</v>
      </c>
    </row>
    <row r="553" spans="1:22" x14ac:dyDescent="0.25">
      <c r="A553" t="str">
        <f>IF(games!$A553="","",games!$A553)</f>
        <v>RAM: Random Access Mayhem</v>
      </c>
      <c r="B553">
        <f>IF($A553="","",games!$B553)</f>
        <v>2024</v>
      </c>
      <c r="C553" t="str">
        <f>IF($A553="","",games!$C553)</f>
        <v>Action</v>
      </c>
      <c r="D553">
        <f>IF($A553="","",COUNTIF(connections!$A$2:$A$1188,$A553)+COUNTIF(connections!$B$2:$B$1188,$A553))</f>
        <v>2</v>
      </c>
      <c r="E553">
        <f t="shared" si="96"/>
        <v>1</v>
      </c>
      <c r="F553">
        <f t="shared" si="97"/>
        <v>9</v>
      </c>
      <c r="G553">
        <f t="shared" si="98"/>
        <v>2024</v>
      </c>
      <c r="H553">
        <f t="shared" si="99"/>
        <v>1.2070000000000001</v>
      </c>
      <c r="I553" t="e">
        <f t="shared" si="100"/>
        <v>#N/A</v>
      </c>
      <c r="J553" t="e">
        <f t="shared" si="101"/>
        <v>#N/A</v>
      </c>
      <c r="K553" t="e">
        <f t="shared" si="102"/>
        <v>#N/A</v>
      </c>
      <c r="L553" t="e">
        <f t="shared" si="103"/>
        <v>#N/A</v>
      </c>
      <c r="M553" t="e">
        <f t="shared" si="104"/>
        <v>#N/A</v>
      </c>
      <c r="N553" t="e">
        <f t="shared" si="105"/>
        <v>#N/A</v>
      </c>
      <c r="O553">
        <f t="shared" si="106"/>
        <v>2.000553</v>
      </c>
      <c r="T553">
        <f>IF(connections!$A553="","",IFERROR(INDEX(games!$B$2:$B$834,MATCH(connections!$A553,games!$A$2:$A$834,0)),""))</f>
        <v>1987</v>
      </c>
      <c r="U553">
        <f>IF(connections!$A553="","",IFERROR(INDEX(games!$B$2:$B$834,MATCH(connections!$B553,games!$A$2:$A$834,0)),""))</f>
        <v>2011</v>
      </c>
      <c r="V553">
        <f t="shared" si="107"/>
        <v>24</v>
      </c>
    </row>
    <row r="554" spans="1:22" x14ac:dyDescent="0.25">
      <c r="A554" t="str">
        <f>IF(games!$A554="","",games!$A554)</f>
        <v>Rampage Knights</v>
      </c>
      <c r="B554">
        <f>IF($A554="","",games!$B554)</f>
        <v>2015</v>
      </c>
      <c r="C554" t="str">
        <f>IF($A554="","",games!$C554)</f>
        <v>Action</v>
      </c>
      <c r="D554">
        <f>IF($A554="","",COUNTIF(connections!$A$2:$A$1188,$A554)+COUNTIF(connections!$B$2:$B$1188,$A554))</f>
        <v>1</v>
      </c>
      <c r="E554">
        <f t="shared" si="96"/>
        <v>1</v>
      </c>
      <c r="F554">
        <f t="shared" si="97"/>
        <v>10</v>
      </c>
      <c r="G554">
        <f t="shared" si="98"/>
        <v>2015</v>
      </c>
      <c r="H554">
        <f t="shared" si="99"/>
        <v>1.23</v>
      </c>
      <c r="I554" t="e">
        <f t="shared" si="100"/>
        <v>#N/A</v>
      </c>
      <c r="J554" t="e">
        <f t="shared" si="101"/>
        <v>#N/A</v>
      </c>
      <c r="K554" t="e">
        <f t="shared" si="102"/>
        <v>#N/A</v>
      </c>
      <c r="L554" t="e">
        <f t="shared" si="103"/>
        <v>#N/A</v>
      </c>
      <c r="M554" t="e">
        <f t="shared" si="104"/>
        <v>#N/A</v>
      </c>
      <c r="N554" t="e">
        <f t="shared" si="105"/>
        <v>#N/A</v>
      </c>
      <c r="O554">
        <f t="shared" si="106"/>
        <v>1.0005539999999999</v>
      </c>
      <c r="T554">
        <f>IF(connections!$A554="","",IFERROR(INDEX(games!$B$2:$B$834,MATCH(connections!$A554,games!$A$2:$A$834,0)),""))</f>
        <v>1987</v>
      </c>
      <c r="U554">
        <f>IF(connections!$A554="","",IFERROR(INDEX(games!$B$2:$B$834,MATCH(connections!$B554,games!$A$2:$A$834,0)),""))</f>
        <v>2008</v>
      </c>
      <c r="V554">
        <f t="shared" si="107"/>
        <v>21</v>
      </c>
    </row>
    <row r="555" spans="1:22" x14ac:dyDescent="0.25">
      <c r="A555" t="str">
        <f>IF(games!$A555="","",games!$A555)</f>
        <v>Ratropolis</v>
      </c>
      <c r="B555">
        <f>IF($A555="","",games!$B555)</f>
        <v>2019</v>
      </c>
      <c r="C555" t="str">
        <f>IF($A555="","",games!$C555)</f>
        <v>Deckbuilder</v>
      </c>
      <c r="D555">
        <f>IF($A555="","",COUNTIF(connections!$A$2:$A$1188,$A555)+COUNTIF(connections!$B$2:$B$1188,$A555))</f>
        <v>2</v>
      </c>
      <c r="E555">
        <f t="shared" si="96"/>
        <v>3</v>
      </c>
      <c r="F555">
        <f t="shared" si="97"/>
        <v>11</v>
      </c>
      <c r="G555" t="e">
        <f t="shared" si="98"/>
        <v>#N/A</v>
      </c>
      <c r="H555" t="e">
        <f t="shared" si="99"/>
        <v>#N/A</v>
      </c>
      <c r="I555" t="e">
        <f t="shared" si="100"/>
        <v>#N/A</v>
      </c>
      <c r="J555" t="e">
        <f t="shared" si="101"/>
        <v>#N/A</v>
      </c>
      <c r="K555">
        <f t="shared" si="102"/>
        <v>2019</v>
      </c>
      <c r="L555">
        <f t="shared" si="103"/>
        <v>3.2530000000000001</v>
      </c>
      <c r="M555" t="e">
        <f t="shared" si="104"/>
        <v>#N/A</v>
      </c>
      <c r="N555" t="e">
        <f t="shared" si="105"/>
        <v>#N/A</v>
      </c>
      <c r="O555">
        <f t="shared" si="106"/>
        <v>2.0005549999999999</v>
      </c>
      <c r="T555">
        <f>IF(connections!$A555="","",IFERROR(INDEX(games!$B$2:$B$834,MATCH(connections!$A555,games!$A$2:$A$834,0)),""))</f>
        <v>1987</v>
      </c>
      <c r="U555">
        <f>IF(connections!$A555="","",IFERROR(INDEX(games!$B$2:$B$834,MATCH(connections!$B555,games!$A$2:$A$834,0)),""))</f>
        <v>2018</v>
      </c>
      <c r="V555">
        <f t="shared" si="107"/>
        <v>31</v>
      </c>
    </row>
    <row r="556" spans="1:22" x14ac:dyDescent="0.25">
      <c r="A556" t="str">
        <f>IF(games!$A556="","",games!$A556)</f>
        <v>Ravenswatch</v>
      </c>
      <c r="B556">
        <f>IF($A556="","",games!$B556)</f>
        <v>2023</v>
      </c>
      <c r="C556" t="str">
        <f>IF($A556="","",games!$C556)</f>
        <v>Action</v>
      </c>
      <c r="D556">
        <f>IF($A556="","",COUNTIF(connections!$A$2:$A$1188,$A556)+COUNTIF(connections!$B$2:$B$1188,$A556))</f>
        <v>2</v>
      </c>
      <c r="E556">
        <f t="shared" si="96"/>
        <v>1</v>
      </c>
      <c r="F556">
        <f t="shared" si="97"/>
        <v>12</v>
      </c>
      <c r="G556">
        <f t="shared" si="98"/>
        <v>2023</v>
      </c>
      <c r="H556">
        <f t="shared" si="99"/>
        <v>1.276</v>
      </c>
      <c r="I556" t="e">
        <f t="shared" si="100"/>
        <v>#N/A</v>
      </c>
      <c r="J556" t="e">
        <f t="shared" si="101"/>
        <v>#N/A</v>
      </c>
      <c r="K556" t="e">
        <f t="shared" si="102"/>
        <v>#N/A</v>
      </c>
      <c r="L556" t="e">
        <f t="shared" si="103"/>
        <v>#N/A</v>
      </c>
      <c r="M556" t="e">
        <f t="shared" si="104"/>
        <v>#N/A</v>
      </c>
      <c r="N556" t="e">
        <f t="shared" si="105"/>
        <v>#N/A</v>
      </c>
      <c r="O556">
        <f t="shared" si="106"/>
        <v>2.000556</v>
      </c>
      <c r="T556">
        <f>IF(connections!$A556="","",IFERROR(INDEX(games!$B$2:$B$834,MATCH(connections!$A556,games!$A$2:$A$834,0)),""))</f>
        <v>1987</v>
      </c>
      <c r="U556">
        <f>IF(connections!$A556="","",IFERROR(INDEX(games!$B$2:$B$834,MATCH(connections!$B556,games!$A$2:$A$834,0)),""))</f>
        <v>2006</v>
      </c>
      <c r="V556">
        <f t="shared" si="107"/>
        <v>19</v>
      </c>
    </row>
    <row r="557" spans="1:22" x14ac:dyDescent="0.25">
      <c r="A557" t="str">
        <f>IF(games!$A557="","",games!$A557)</f>
        <v>Reality Break</v>
      </c>
      <c r="B557">
        <f>IF($A557="","",games!$B557)</f>
        <v>2025</v>
      </c>
      <c r="C557" t="str">
        <f>IF($A557="","",games!$C557)</f>
        <v>Action</v>
      </c>
      <c r="D557">
        <f>IF($A557="","",COUNTIF(connections!$A$2:$A$1188,$A557)+COUNTIF(connections!$B$2:$B$1188,$A557))</f>
        <v>2</v>
      </c>
      <c r="E557">
        <f t="shared" si="96"/>
        <v>1</v>
      </c>
      <c r="F557">
        <f t="shared" si="97"/>
        <v>13</v>
      </c>
      <c r="G557">
        <f t="shared" si="98"/>
        <v>2025</v>
      </c>
      <c r="H557">
        <f t="shared" si="99"/>
        <v>1.2989999999999999</v>
      </c>
      <c r="I557" t="e">
        <f t="shared" si="100"/>
        <v>#N/A</v>
      </c>
      <c r="J557" t="e">
        <f t="shared" si="101"/>
        <v>#N/A</v>
      </c>
      <c r="K557" t="e">
        <f t="shared" si="102"/>
        <v>#N/A</v>
      </c>
      <c r="L557" t="e">
        <f t="shared" si="103"/>
        <v>#N/A</v>
      </c>
      <c r="M557" t="e">
        <f t="shared" si="104"/>
        <v>#N/A</v>
      </c>
      <c r="N557" t="e">
        <f t="shared" si="105"/>
        <v>#N/A</v>
      </c>
      <c r="O557">
        <f t="shared" si="106"/>
        <v>2.0005570000000001</v>
      </c>
      <c r="T557">
        <f>IF(connections!$A557="","",IFERROR(INDEX(games!$B$2:$B$834,MATCH(connections!$A557,games!$A$2:$A$834,0)),""))</f>
        <v>1987</v>
      </c>
      <c r="U557">
        <f>IF(connections!$A557="","",IFERROR(INDEX(games!$B$2:$B$834,MATCH(connections!$B557,games!$A$2:$A$834,0)),""))</f>
        <v>2020</v>
      </c>
      <c r="V557">
        <f t="shared" si="107"/>
        <v>33</v>
      </c>
    </row>
    <row r="558" spans="1:22" x14ac:dyDescent="0.25">
      <c r="A558" t="str">
        <f>IF(games!$A558="","",games!$A558)</f>
        <v>Realm of Ink</v>
      </c>
      <c r="B558">
        <f>IF($A558="","",games!$B558)</f>
        <v>2024</v>
      </c>
      <c r="C558" t="str">
        <f>IF($A558="","",games!$C558)</f>
        <v>Action</v>
      </c>
      <c r="D558">
        <f>IF($A558="","",COUNTIF(connections!$A$2:$A$1188,$A558)+COUNTIF(connections!$B$2:$B$1188,$A558))</f>
        <v>2</v>
      </c>
      <c r="E558">
        <f t="shared" si="96"/>
        <v>1</v>
      </c>
      <c r="F558">
        <f t="shared" si="97"/>
        <v>14</v>
      </c>
      <c r="G558">
        <f t="shared" si="98"/>
        <v>2024</v>
      </c>
      <c r="H558">
        <f t="shared" si="99"/>
        <v>1.3220000000000001</v>
      </c>
      <c r="I558" t="e">
        <f t="shared" si="100"/>
        <v>#N/A</v>
      </c>
      <c r="J558" t="e">
        <f t="shared" si="101"/>
        <v>#N/A</v>
      </c>
      <c r="K558" t="e">
        <f t="shared" si="102"/>
        <v>#N/A</v>
      </c>
      <c r="L558" t="e">
        <f t="shared" si="103"/>
        <v>#N/A</v>
      </c>
      <c r="M558" t="e">
        <f t="shared" si="104"/>
        <v>#N/A</v>
      </c>
      <c r="N558" t="e">
        <f t="shared" si="105"/>
        <v>#N/A</v>
      </c>
      <c r="O558">
        <f t="shared" si="106"/>
        <v>2.0005579999999998</v>
      </c>
      <c r="T558">
        <f>IF(connections!$A558="","",IFERROR(INDEX(games!$B$2:$B$834,MATCH(connections!$A558,games!$A$2:$A$834,0)),""))</f>
        <v>1987</v>
      </c>
      <c r="U558">
        <f>IF(connections!$A558="","",IFERROR(INDEX(games!$B$2:$B$834,MATCH(connections!$B558,games!$A$2:$A$834,0)),""))</f>
        <v>2017</v>
      </c>
      <c r="V558">
        <f t="shared" si="107"/>
        <v>30</v>
      </c>
    </row>
    <row r="559" spans="1:22" x14ac:dyDescent="0.25">
      <c r="A559" t="str">
        <f>IF(games!$A559="","",games!$A559)</f>
        <v>Realm of the Mad God</v>
      </c>
      <c r="B559">
        <f>IF($A559="","",games!$B559)</f>
        <v>2010</v>
      </c>
      <c r="C559" t="str">
        <f>IF($A559="","",games!$C559)</f>
        <v>Action</v>
      </c>
      <c r="D559">
        <f>IF($A559="","",COUNTIF(connections!$A$2:$A$1188,$A559)+COUNTIF(connections!$B$2:$B$1188,$A559))</f>
        <v>2</v>
      </c>
      <c r="E559">
        <f t="shared" si="96"/>
        <v>1</v>
      </c>
      <c r="F559">
        <f t="shared" si="97"/>
        <v>15</v>
      </c>
      <c r="G559">
        <f t="shared" si="98"/>
        <v>2010</v>
      </c>
      <c r="H559">
        <f t="shared" si="99"/>
        <v>1.345</v>
      </c>
      <c r="I559" t="e">
        <f t="shared" si="100"/>
        <v>#N/A</v>
      </c>
      <c r="J559" t="e">
        <f t="shared" si="101"/>
        <v>#N/A</v>
      </c>
      <c r="K559" t="e">
        <f t="shared" si="102"/>
        <v>#N/A</v>
      </c>
      <c r="L559" t="e">
        <f t="shared" si="103"/>
        <v>#N/A</v>
      </c>
      <c r="M559" t="e">
        <f t="shared" si="104"/>
        <v>#N/A</v>
      </c>
      <c r="N559" t="e">
        <f t="shared" si="105"/>
        <v>#N/A</v>
      </c>
      <c r="O559">
        <f t="shared" si="106"/>
        <v>2.000559</v>
      </c>
      <c r="T559">
        <f>IF(connections!$A559="","",IFERROR(INDEX(games!$B$2:$B$834,MATCH(connections!$A559,games!$A$2:$A$834,0)),""))</f>
        <v>1987</v>
      </c>
      <c r="U559">
        <f>IF(connections!$A559="","",IFERROR(INDEX(games!$B$2:$B$834,MATCH(connections!$B559,games!$A$2:$A$834,0)),""))</f>
        <v>2012</v>
      </c>
      <c r="V559">
        <f t="shared" si="107"/>
        <v>25</v>
      </c>
    </row>
    <row r="560" spans="1:22" x14ac:dyDescent="0.25">
      <c r="A560" t="str">
        <f>IF(games!$A560="","",games!$A560)</f>
        <v>Red Rogue</v>
      </c>
      <c r="B560">
        <f>IF($A560="","",games!$B560)</f>
        <v>2012</v>
      </c>
      <c r="C560" t="str">
        <f>IF($A560="","",games!$C560)</f>
        <v>Action</v>
      </c>
      <c r="D560">
        <f>IF($A560="","",COUNTIF(connections!$A$2:$A$1188,$A560)+COUNTIF(connections!$B$2:$B$1188,$A560))</f>
        <v>3</v>
      </c>
      <c r="E560">
        <f t="shared" si="96"/>
        <v>1</v>
      </c>
      <c r="F560">
        <f t="shared" si="97"/>
        <v>16</v>
      </c>
      <c r="G560">
        <f t="shared" si="98"/>
        <v>2012</v>
      </c>
      <c r="H560">
        <f t="shared" si="99"/>
        <v>1.3679999999999999</v>
      </c>
      <c r="I560" t="e">
        <f t="shared" si="100"/>
        <v>#N/A</v>
      </c>
      <c r="J560" t="e">
        <f t="shared" si="101"/>
        <v>#N/A</v>
      </c>
      <c r="K560" t="e">
        <f t="shared" si="102"/>
        <v>#N/A</v>
      </c>
      <c r="L560" t="e">
        <f t="shared" si="103"/>
        <v>#N/A</v>
      </c>
      <c r="M560" t="e">
        <f t="shared" si="104"/>
        <v>#N/A</v>
      </c>
      <c r="N560" t="e">
        <f t="shared" si="105"/>
        <v>#N/A</v>
      </c>
      <c r="O560">
        <f t="shared" si="106"/>
        <v>3.0005600000000001</v>
      </c>
      <c r="T560">
        <f>IF(connections!$A560="","",IFERROR(INDEX(games!$B$2:$B$834,MATCH(connections!$A560,games!$A$2:$A$834,0)),""))</f>
        <v>1987</v>
      </c>
      <c r="U560">
        <f>IF(connections!$A560="","",IFERROR(INDEX(games!$B$2:$B$834,MATCH(connections!$B560,games!$A$2:$A$834,0)),""))</f>
        <v>2007</v>
      </c>
      <c r="V560">
        <f t="shared" si="107"/>
        <v>20</v>
      </c>
    </row>
    <row r="561" spans="1:22" x14ac:dyDescent="0.25">
      <c r="A561" t="str">
        <f>IF(games!$A561="","",games!$A561)</f>
        <v>Repetendium</v>
      </c>
      <c r="B561">
        <f>IF($A561="","",games!$B561)</f>
        <v>2022</v>
      </c>
      <c r="C561" t="str">
        <f>IF($A561="","",games!$C561)</f>
        <v>Action</v>
      </c>
      <c r="D561">
        <f>IF($A561="","",COUNTIF(connections!$A$2:$A$1188,$A561)+COUNTIF(connections!$B$2:$B$1188,$A561))</f>
        <v>1</v>
      </c>
      <c r="E561">
        <f t="shared" si="96"/>
        <v>1</v>
      </c>
      <c r="F561">
        <f t="shared" si="97"/>
        <v>17</v>
      </c>
      <c r="G561">
        <f t="shared" si="98"/>
        <v>2022</v>
      </c>
      <c r="H561">
        <f t="shared" si="99"/>
        <v>1.391</v>
      </c>
      <c r="I561" t="e">
        <f t="shared" si="100"/>
        <v>#N/A</v>
      </c>
      <c r="J561" t="e">
        <f t="shared" si="101"/>
        <v>#N/A</v>
      </c>
      <c r="K561" t="e">
        <f t="shared" si="102"/>
        <v>#N/A</v>
      </c>
      <c r="L561" t="e">
        <f t="shared" si="103"/>
        <v>#N/A</v>
      </c>
      <c r="M561" t="e">
        <f t="shared" si="104"/>
        <v>#N/A</v>
      </c>
      <c r="N561" t="e">
        <f t="shared" si="105"/>
        <v>#N/A</v>
      </c>
      <c r="O561">
        <f t="shared" si="106"/>
        <v>1.000561</v>
      </c>
      <c r="T561">
        <f>IF(connections!$A561="","",IFERROR(INDEX(games!$B$2:$B$834,MATCH(connections!$A561,games!$A$2:$A$834,0)),""))</f>
        <v>1987</v>
      </c>
      <c r="U561">
        <f>IF(connections!$A561="","",IFERROR(INDEX(games!$B$2:$B$834,MATCH(connections!$B561,games!$A$2:$A$834,0)),""))</f>
        <v>2001</v>
      </c>
      <c r="V561">
        <f t="shared" si="107"/>
        <v>14</v>
      </c>
    </row>
    <row r="562" spans="1:22" x14ac:dyDescent="0.25">
      <c r="A562" t="str">
        <f>IF(games!$A562="","",games!$A562)</f>
        <v>Replicat</v>
      </c>
      <c r="B562">
        <f>IF($A562="","",games!$B562)</f>
        <v>2025</v>
      </c>
      <c r="C562" t="str">
        <f>IF($A562="","",games!$C562)</f>
        <v>Deckbuilder</v>
      </c>
      <c r="D562">
        <f>IF($A562="","",COUNTIF(connections!$A$2:$A$1188,$A562)+COUNTIF(connections!$B$2:$B$1188,$A562))</f>
        <v>2</v>
      </c>
      <c r="E562">
        <f t="shared" si="96"/>
        <v>3</v>
      </c>
      <c r="F562">
        <f t="shared" si="97"/>
        <v>18</v>
      </c>
      <c r="G562" t="e">
        <f t="shared" si="98"/>
        <v>#N/A</v>
      </c>
      <c r="H562" t="e">
        <f t="shared" si="99"/>
        <v>#N/A</v>
      </c>
      <c r="I562" t="e">
        <f t="shared" si="100"/>
        <v>#N/A</v>
      </c>
      <c r="J562" t="e">
        <f t="shared" si="101"/>
        <v>#N/A</v>
      </c>
      <c r="K562">
        <f t="shared" si="102"/>
        <v>2025</v>
      </c>
      <c r="L562">
        <f t="shared" si="103"/>
        <v>3.4140000000000001</v>
      </c>
      <c r="M562" t="e">
        <f t="shared" si="104"/>
        <v>#N/A</v>
      </c>
      <c r="N562" t="e">
        <f t="shared" si="105"/>
        <v>#N/A</v>
      </c>
      <c r="O562">
        <f t="shared" si="106"/>
        <v>2.000562</v>
      </c>
      <c r="T562">
        <f>IF(connections!$A562="","",IFERROR(INDEX(games!$B$2:$B$834,MATCH(connections!$A562,games!$A$2:$A$834,0)),""))</f>
        <v>1987</v>
      </c>
      <c r="U562">
        <f>IF(connections!$A562="","",IFERROR(INDEX(games!$B$2:$B$834,MATCH(connections!$B562,games!$A$2:$A$834,0)),""))</f>
        <v>2015</v>
      </c>
      <c r="V562">
        <f t="shared" si="107"/>
        <v>28</v>
      </c>
    </row>
    <row r="563" spans="1:22" x14ac:dyDescent="0.25">
      <c r="A563" t="str">
        <f>IF(games!$A563="","",games!$A563)</f>
        <v>Return to Abyss</v>
      </c>
      <c r="B563">
        <f>IF($A563="","",games!$B563)</f>
        <v>2023</v>
      </c>
      <c r="C563" t="str">
        <f>IF($A563="","",games!$C563)</f>
        <v>Action</v>
      </c>
      <c r="D563">
        <f>IF($A563="","",COUNTIF(connections!$A$2:$A$1188,$A563)+COUNTIF(connections!$B$2:$B$1188,$A563))</f>
        <v>1</v>
      </c>
      <c r="E563">
        <f t="shared" si="96"/>
        <v>1</v>
      </c>
      <c r="F563">
        <f t="shared" si="97"/>
        <v>19</v>
      </c>
      <c r="G563">
        <f t="shared" si="98"/>
        <v>2023</v>
      </c>
      <c r="H563">
        <f t="shared" si="99"/>
        <v>1.4370000000000001</v>
      </c>
      <c r="I563" t="e">
        <f t="shared" si="100"/>
        <v>#N/A</v>
      </c>
      <c r="J563" t="e">
        <f t="shared" si="101"/>
        <v>#N/A</v>
      </c>
      <c r="K563" t="e">
        <f t="shared" si="102"/>
        <v>#N/A</v>
      </c>
      <c r="L563" t="e">
        <f t="shared" si="103"/>
        <v>#N/A</v>
      </c>
      <c r="M563" t="e">
        <f t="shared" si="104"/>
        <v>#N/A</v>
      </c>
      <c r="N563" t="e">
        <f t="shared" si="105"/>
        <v>#N/A</v>
      </c>
      <c r="O563">
        <f t="shared" si="106"/>
        <v>1.0005630000000001</v>
      </c>
      <c r="T563">
        <f>IF(connections!$A563="","",IFERROR(INDEX(games!$B$2:$B$834,MATCH(connections!$A563,games!$A$2:$A$834,0)),""))</f>
        <v>1987</v>
      </c>
      <c r="U563">
        <f>IF(connections!$A563="","",IFERROR(INDEX(games!$B$2:$B$834,MATCH(connections!$B563,games!$A$2:$A$834,0)),""))</f>
        <v>2006</v>
      </c>
      <c r="V563">
        <f t="shared" si="107"/>
        <v>19</v>
      </c>
    </row>
    <row r="564" spans="1:22" x14ac:dyDescent="0.25">
      <c r="A564" t="str">
        <f>IF(games!$A564="","",games!$A564)</f>
        <v>Returnal</v>
      </c>
      <c r="B564">
        <f>IF($A564="","",games!$B564)</f>
        <v>2023</v>
      </c>
      <c r="C564" t="str">
        <f>IF($A564="","",games!$C564)</f>
        <v>Action</v>
      </c>
      <c r="D564">
        <f>IF($A564="","",COUNTIF(connections!$A$2:$A$1188,$A564)+COUNTIF(connections!$B$2:$B$1188,$A564))</f>
        <v>2</v>
      </c>
      <c r="E564">
        <f t="shared" si="96"/>
        <v>1</v>
      </c>
      <c r="F564">
        <f t="shared" si="97"/>
        <v>20</v>
      </c>
      <c r="G564">
        <f t="shared" si="98"/>
        <v>2023</v>
      </c>
      <c r="H564">
        <f t="shared" si="99"/>
        <v>1.46</v>
      </c>
      <c r="I564" t="e">
        <f t="shared" si="100"/>
        <v>#N/A</v>
      </c>
      <c r="J564" t="e">
        <f t="shared" si="101"/>
        <v>#N/A</v>
      </c>
      <c r="K564" t="e">
        <f t="shared" si="102"/>
        <v>#N/A</v>
      </c>
      <c r="L564" t="e">
        <f t="shared" si="103"/>
        <v>#N/A</v>
      </c>
      <c r="M564" t="e">
        <f t="shared" si="104"/>
        <v>#N/A</v>
      </c>
      <c r="N564" t="e">
        <f t="shared" si="105"/>
        <v>#N/A</v>
      </c>
      <c r="O564">
        <f t="shared" si="106"/>
        <v>2.0005639999999998</v>
      </c>
      <c r="T564">
        <f>IF(connections!$A564="","",IFERROR(INDEX(games!$B$2:$B$834,MATCH(connections!$A564,games!$A$2:$A$834,0)),""))</f>
        <v>1987</v>
      </c>
      <c r="U564">
        <f>IF(connections!$A564="","",IFERROR(INDEX(games!$B$2:$B$834,MATCH(connections!$B564,games!$A$2:$A$834,0)),""))</f>
        <v>1995</v>
      </c>
      <c r="V564">
        <f t="shared" si="107"/>
        <v>8</v>
      </c>
    </row>
    <row r="565" spans="1:22" x14ac:dyDescent="0.25">
      <c r="A565" t="str">
        <f>IF(games!$A565="","",games!$A565)</f>
        <v>Revita</v>
      </c>
      <c r="B565">
        <f>IF($A565="","",games!$B565)</f>
        <v>2021</v>
      </c>
      <c r="C565" t="str">
        <f>IF($A565="","",games!$C565)</f>
        <v>Action</v>
      </c>
      <c r="D565">
        <f>IF($A565="","",COUNTIF(connections!$A$2:$A$1188,$A565)+COUNTIF(connections!$B$2:$B$1188,$A565))</f>
        <v>1</v>
      </c>
      <c r="E565">
        <f t="shared" si="96"/>
        <v>1</v>
      </c>
      <c r="F565">
        <f t="shared" si="97"/>
        <v>21</v>
      </c>
      <c r="G565">
        <f t="shared" si="98"/>
        <v>2021</v>
      </c>
      <c r="H565">
        <f t="shared" si="99"/>
        <v>1.4830000000000001</v>
      </c>
      <c r="I565" t="e">
        <f t="shared" si="100"/>
        <v>#N/A</v>
      </c>
      <c r="J565" t="e">
        <f t="shared" si="101"/>
        <v>#N/A</v>
      </c>
      <c r="K565" t="e">
        <f t="shared" si="102"/>
        <v>#N/A</v>
      </c>
      <c r="L565" t="e">
        <f t="shared" si="103"/>
        <v>#N/A</v>
      </c>
      <c r="M565" t="e">
        <f t="shared" si="104"/>
        <v>#N/A</v>
      </c>
      <c r="N565" t="e">
        <f t="shared" si="105"/>
        <v>#N/A</v>
      </c>
      <c r="O565">
        <f t="shared" si="106"/>
        <v>1.0005649999999999</v>
      </c>
      <c r="T565">
        <f>IF(connections!$A565="","",IFERROR(INDEX(games!$B$2:$B$834,MATCH(connections!$A565,games!$A$2:$A$834,0)),""))</f>
        <v>1987</v>
      </c>
      <c r="U565">
        <f>IF(connections!$A565="","",IFERROR(INDEX(games!$B$2:$B$834,MATCH(connections!$B565,games!$A$2:$A$834,0)),""))</f>
        <v>2019</v>
      </c>
      <c r="V565">
        <f t="shared" si="107"/>
        <v>32</v>
      </c>
    </row>
    <row r="566" spans="1:22" x14ac:dyDescent="0.25">
      <c r="A566" t="str">
        <f>IF(games!$A566="","",games!$A566)</f>
        <v>Rhythm Witch: Beat Death</v>
      </c>
      <c r="B566">
        <f>IF($A566="","",games!$B566)</f>
        <v>2025</v>
      </c>
      <c r="C566" t="str">
        <f>IF($A566="","",games!$C566)</f>
        <v>Action</v>
      </c>
      <c r="D566">
        <f>IF($A566="","",COUNTIF(connections!$A$2:$A$1188,$A566)+COUNTIF(connections!$B$2:$B$1188,$A566))</f>
        <v>2</v>
      </c>
      <c r="E566">
        <f t="shared" si="96"/>
        <v>1</v>
      </c>
      <c r="F566">
        <f t="shared" si="97"/>
        <v>22</v>
      </c>
      <c r="G566">
        <f t="shared" si="98"/>
        <v>2025</v>
      </c>
      <c r="H566">
        <f t="shared" si="99"/>
        <v>1.506</v>
      </c>
      <c r="I566" t="e">
        <f t="shared" si="100"/>
        <v>#N/A</v>
      </c>
      <c r="J566" t="e">
        <f t="shared" si="101"/>
        <v>#N/A</v>
      </c>
      <c r="K566" t="e">
        <f t="shared" si="102"/>
        <v>#N/A</v>
      </c>
      <c r="L566" t="e">
        <f t="shared" si="103"/>
        <v>#N/A</v>
      </c>
      <c r="M566" t="e">
        <f t="shared" si="104"/>
        <v>#N/A</v>
      </c>
      <c r="N566" t="e">
        <f t="shared" si="105"/>
        <v>#N/A</v>
      </c>
      <c r="O566">
        <f t="shared" si="106"/>
        <v>2.0005660000000001</v>
      </c>
      <c r="T566">
        <f>IF(connections!$A566="","",IFERROR(INDEX(games!$B$2:$B$834,MATCH(connections!$A566,games!$A$2:$A$834,0)),""))</f>
        <v>1987</v>
      </c>
      <c r="U566">
        <f>IF(connections!$A566="","",IFERROR(INDEX(games!$B$2:$B$834,MATCH(connections!$B566,games!$A$2:$A$834,0)),""))</f>
        <v>2023</v>
      </c>
      <c r="V566">
        <f t="shared" si="107"/>
        <v>36</v>
      </c>
    </row>
    <row r="567" spans="1:22" x14ac:dyDescent="0.25">
      <c r="A567" t="str">
        <f>IF(games!$A567="","",games!$A567)</f>
        <v>Rift Wizard</v>
      </c>
      <c r="B567">
        <f>IF($A567="","",games!$B567)</f>
        <v>2020</v>
      </c>
      <c r="C567" t="str">
        <f>IF($A567="","",games!$C567)</f>
        <v>Traditional</v>
      </c>
      <c r="D567">
        <f>IF($A567="","",COUNTIF(connections!$A$2:$A$1188,$A567)+COUNTIF(connections!$B$2:$B$1188,$A567))</f>
        <v>6</v>
      </c>
      <c r="E567">
        <f t="shared" si="96"/>
        <v>4</v>
      </c>
      <c r="F567">
        <f t="shared" si="97"/>
        <v>23</v>
      </c>
      <c r="G567" t="e">
        <f t="shared" si="98"/>
        <v>#N/A</v>
      </c>
      <c r="H567" t="e">
        <f t="shared" si="99"/>
        <v>#N/A</v>
      </c>
      <c r="I567" t="e">
        <f t="shared" si="100"/>
        <v>#N/A</v>
      </c>
      <c r="J567" t="e">
        <f t="shared" si="101"/>
        <v>#N/A</v>
      </c>
      <c r="K567" t="e">
        <f t="shared" si="102"/>
        <v>#N/A</v>
      </c>
      <c r="L567" t="e">
        <f t="shared" si="103"/>
        <v>#N/A</v>
      </c>
      <c r="M567">
        <f t="shared" si="104"/>
        <v>2020</v>
      </c>
      <c r="N567">
        <f t="shared" si="105"/>
        <v>4.5289999999999999</v>
      </c>
      <c r="O567">
        <f t="shared" si="106"/>
        <v>6.0005670000000002</v>
      </c>
      <c r="T567">
        <f>IF(connections!$A567="","",IFERROR(INDEX(games!$B$2:$B$834,MATCH(connections!$A567,games!$A$2:$A$834,0)),""))</f>
        <v>1987</v>
      </c>
      <c r="U567">
        <f>IF(connections!$A567="","",IFERROR(INDEX(games!$B$2:$B$834,MATCH(connections!$B567,games!$A$2:$A$834,0)),""))</f>
        <v>2015</v>
      </c>
      <c r="V567">
        <f t="shared" si="107"/>
        <v>28</v>
      </c>
    </row>
    <row r="568" spans="1:22" x14ac:dyDescent="0.25">
      <c r="A568" t="str">
        <f>IF(games!$A568="","",games!$A568)</f>
        <v>Rift Wizard 2</v>
      </c>
      <c r="B568">
        <f>IF($A568="","",games!$B568)</f>
        <v>2024</v>
      </c>
      <c r="C568" t="str">
        <f>IF($A568="","",games!$C568)</f>
        <v>Traditional</v>
      </c>
      <c r="D568">
        <f>IF($A568="","",COUNTIF(connections!$A$2:$A$1188,$A568)+COUNTIF(connections!$B$2:$B$1188,$A568))</f>
        <v>2</v>
      </c>
      <c r="E568">
        <f t="shared" si="96"/>
        <v>4</v>
      </c>
      <c r="F568">
        <f t="shared" si="97"/>
        <v>24</v>
      </c>
      <c r="G568" t="e">
        <f t="shared" si="98"/>
        <v>#N/A</v>
      </c>
      <c r="H568" t="e">
        <f t="shared" si="99"/>
        <v>#N/A</v>
      </c>
      <c r="I568" t="e">
        <f t="shared" si="100"/>
        <v>#N/A</v>
      </c>
      <c r="J568" t="e">
        <f t="shared" si="101"/>
        <v>#N/A</v>
      </c>
      <c r="K568" t="e">
        <f t="shared" si="102"/>
        <v>#N/A</v>
      </c>
      <c r="L568" t="e">
        <f t="shared" si="103"/>
        <v>#N/A</v>
      </c>
      <c r="M568">
        <f t="shared" si="104"/>
        <v>2024</v>
      </c>
      <c r="N568">
        <f t="shared" si="105"/>
        <v>4.5519999999999996</v>
      </c>
      <c r="O568">
        <f t="shared" si="106"/>
        <v>2.0005679999999999</v>
      </c>
      <c r="T568">
        <f>IF(connections!$A568="","",IFERROR(INDEX(games!$B$2:$B$834,MATCH(connections!$A568,games!$A$2:$A$834,0)),""))</f>
        <v>1987</v>
      </c>
      <c r="U568">
        <f>IF(connections!$A568="","",IFERROR(INDEX(games!$B$2:$B$834,MATCH(connections!$B568,games!$A$2:$A$834,0)),""))</f>
        <v>2003</v>
      </c>
      <c r="V568">
        <f t="shared" si="107"/>
        <v>16</v>
      </c>
    </row>
    <row r="569" spans="1:22" x14ac:dyDescent="0.25">
      <c r="A569" t="str">
        <f>IF(games!$A569="","",games!$A569)</f>
        <v>Rift Wizard 3</v>
      </c>
      <c r="B569">
        <f>IF($A569="","",games!$B569)</f>
        <v>2026</v>
      </c>
      <c r="C569" t="str">
        <f>IF($A569="","",games!$C569)</f>
        <v>Traditional</v>
      </c>
      <c r="D569">
        <f>IF($A569="","",COUNTIF(connections!$A$2:$A$1188,$A569)+COUNTIF(connections!$B$2:$B$1188,$A569))</f>
        <v>1</v>
      </c>
      <c r="E569">
        <f t="shared" si="96"/>
        <v>4</v>
      </c>
      <c r="F569">
        <f t="shared" si="97"/>
        <v>25</v>
      </c>
      <c r="G569" t="e">
        <f t="shared" si="98"/>
        <v>#N/A</v>
      </c>
      <c r="H569" t="e">
        <f t="shared" si="99"/>
        <v>#N/A</v>
      </c>
      <c r="I569" t="e">
        <f t="shared" si="100"/>
        <v>#N/A</v>
      </c>
      <c r="J569" t="e">
        <f t="shared" si="101"/>
        <v>#N/A</v>
      </c>
      <c r="K569" t="e">
        <f t="shared" si="102"/>
        <v>#N/A</v>
      </c>
      <c r="L569" t="e">
        <f t="shared" si="103"/>
        <v>#N/A</v>
      </c>
      <c r="M569">
        <f t="shared" si="104"/>
        <v>2026</v>
      </c>
      <c r="N569">
        <f t="shared" si="105"/>
        <v>4.5750000000000002</v>
      </c>
      <c r="O569">
        <f t="shared" si="106"/>
        <v>1.000569</v>
      </c>
      <c r="T569">
        <f>IF(connections!$A569="","",IFERROR(INDEX(games!$B$2:$B$834,MATCH(connections!$A569,games!$A$2:$A$834,0)),""))</f>
        <v>1987</v>
      </c>
      <c r="U569">
        <f>IF(connections!$A569="","",IFERROR(INDEX(games!$B$2:$B$834,MATCH(connections!$B569,games!$A$2:$A$834,0)),""))</f>
        <v>1992</v>
      </c>
      <c r="V569">
        <f t="shared" si="107"/>
        <v>5</v>
      </c>
    </row>
    <row r="570" spans="1:22" x14ac:dyDescent="0.25">
      <c r="A570" t="str">
        <f>IF(games!$A570="","",games!$A570)</f>
        <v>Right and Down</v>
      </c>
      <c r="B570">
        <f>IF($A570="","",games!$B570)</f>
        <v>2022</v>
      </c>
      <c r="C570" t="str">
        <f>IF($A570="","",games!$C570)</f>
        <v>Deckbuilder</v>
      </c>
      <c r="D570">
        <f>IF($A570="","",COUNTIF(connections!$A$2:$A$1188,$A570)+COUNTIF(connections!$B$2:$B$1188,$A570))</f>
        <v>1</v>
      </c>
      <c r="E570">
        <f t="shared" si="96"/>
        <v>3</v>
      </c>
      <c r="F570">
        <f t="shared" si="97"/>
        <v>26</v>
      </c>
      <c r="G570" t="e">
        <f t="shared" si="98"/>
        <v>#N/A</v>
      </c>
      <c r="H570" t="e">
        <f t="shared" si="99"/>
        <v>#N/A</v>
      </c>
      <c r="I570" t="e">
        <f t="shared" si="100"/>
        <v>#N/A</v>
      </c>
      <c r="J570" t="e">
        <f t="shared" si="101"/>
        <v>#N/A</v>
      </c>
      <c r="K570">
        <f t="shared" si="102"/>
        <v>2022</v>
      </c>
      <c r="L570">
        <f t="shared" si="103"/>
        <v>3.5979999999999999</v>
      </c>
      <c r="M570" t="e">
        <f t="shared" si="104"/>
        <v>#N/A</v>
      </c>
      <c r="N570" t="e">
        <f t="shared" si="105"/>
        <v>#N/A</v>
      </c>
      <c r="O570">
        <f t="shared" si="106"/>
        <v>1.00057</v>
      </c>
      <c r="T570">
        <f>IF(connections!$A570="","",IFERROR(INDEX(games!$B$2:$B$834,MATCH(connections!$A570,games!$A$2:$A$834,0)),""))</f>
        <v>1987</v>
      </c>
      <c r="U570">
        <f>IF(connections!$A570="","",IFERROR(INDEX(games!$B$2:$B$834,MATCH(connections!$B570,games!$A$2:$A$834,0)),""))</f>
        <v>2020</v>
      </c>
      <c r="V570">
        <f t="shared" si="107"/>
        <v>33</v>
      </c>
    </row>
    <row r="571" spans="1:22" x14ac:dyDescent="0.25">
      <c r="A571" t="str">
        <f>IF(games!$A571="","",games!$A571)</f>
        <v>Ring of Pain</v>
      </c>
      <c r="B571">
        <f>IF($A571="","",games!$B571)</f>
        <v>2020</v>
      </c>
      <c r="C571" t="str">
        <f>IF($A571="","",games!$C571)</f>
        <v>Strategy</v>
      </c>
      <c r="D571">
        <f>IF($A571="","",COUNTIF(connections!$A$2:$A$1188,$A571)+COUNTIF(connections!$B$2:$B$1188,$A571))</f>
        <v>2</v>
      </c>
      <c r="E571">
        <f t="shared" si="96"/>
        <v>2</v>
      </c>
      <c r="F571">
        <f t="shared" si="97"/>
        <v>27</v>
      </c>
      <c r="G571" t="e">
        <f t="shared" si="98"/>
        <v>#N/A</v>
      </c>
      <c r="H571" t="e">
        <f t="shared" si="99"/>
        <v>#N/A</v>
      </c>
      <c r="I571">
        <f t="shared" si="100"/>
        <v>2020</v>
      </c>
      <c r="J571">
        <f t="shared" si="101"/>
        <v>2.621</v>
      </c>
      <c r="K571" t="e">
        <f t="shared" si="102"/>
        <v>#N/A</v>
      </c>
      <c r="L571" t="e">
        <f t="shared" si="103"/>
        <v>#N/A</v>
      </c>
      <c r="M571" t="e">
        <f t="shared" si="104"/>
        <v>#N/A</v>
      </c>
      <c r="N571" t="e">
        <f t="shared" si="105"/>
        <v>#N/A</v>
      </c>
      <c r="O571">
        <f t="shared" si="106"/>
        <v>2.0005709999999999</v>
      </c>
      <c r="T571">
        <f>IF(connections!$A571="","",IFERROR(INDEX(games!$B$2:$B$834,MATCH(connections!$A571,games!$A$2:$A$834,0)),""))</f>
        <v>1987</v>
      </c>
      <c r="U571">
        <f>IF(connections!$A571="","",IFERROR(INDEX(games!$B$2:$B$834,MATCH(connections!$B571,games!$A$2:$A$834,0)),""))</f>
        <v>2006</v>
      </c>
      <c r="V571">
        <f t="shared" si="107"/>
        <v>19</v>
      </c>
    </row>
    <row r="572" spans="1:22" x14ac:dyDescent="0.25">
      <c r="A572" t="str">
        <f>IF(games!$A572="","",games!$A572)</f>
        <v>Ringer</v>
      </c>
      <c r="B572">
        <f>IF($A572="","",games!$B572)</f>
        <v>2025</v>
      </c>
      <c r="C572" t="str">
        <f>IF($A572="","",games!$C572)</f>
        <v>Deckbuilder</v>
      </c>
      <c r="D572">
        <f>IF($A572="","",COUNTIF(connections!$A$2:$A$1188,$A572)+COUNTIF(connections!$B$2:$B$1188,$A572))</f>
        <v>0</v>
      </c>
      <c r="E572">
        <f t="shared" si="96"/>
        <v>3</v>
      </c>
      <c r="F572">
        <f t="shared" si="97"/>
        <v>28</v>
      </c>
      <c r="G572" t="e">
        <f t="shared" si="98"/>
        <v>#N/A</v>
      </c>
      <c r="H572" t="e">
        <f t="shared" si="99"/>
        <v>#N/A</v>
      </c>
      <c r="I572" t="e">
        <f t="shared" si="100"/>
        <v>#N/A</v>
      </c>
      <c r="J572" t="e">
        <f t="shared" si="101"/>
        <v>#N/A</v>
      </c>
      <c r="K572">
        <f t="shared" si="102"/>
        <v>2025</v>
      </c>
      <c r="L572">
        <f t="shared" si="103"/>
        <v>3.6440000000000001</v>
      </c>
      <c r="M572" t="e">
        <f t="shared" si="104"/>
        <v>#N/A</v>
      </c>
      <c r="N572" t="e">
        <f t="shared" si="105"/>
        <v>#N/A</v>
      </c>
      <c r="O572">
        <f t="shared" si="106"/>
        <v>5.7200000000000003E-4</v>
      </c>
      <c r="T572">
        <f>IF(connections!$A572="","",IFERROR(INDEX(games!$B$2:$B$834,MATCH(connections!$A572,games!$A$2:$A$834,0)),""))</f>
        <v>1987</v>
      </c>
      <c r="U572">
        <f>IF(connections!$A572="","",IFERROR(INDEX(games!$B$2:$B$834,MATCH(connections!$B572,games!$A$2:$A$834,0)),""))</f>
        <v>2008</v>
      </c>
      <c r="V572">
        <f t="shared" si="107"/>
        <v>21</v>
      </c>
    </row>
    <row r="573" spans="1:22" x14ac:dyDescent="0.25">
      <c r="A573" t="str">
        <f>IF(games!$A573="","",games!$A573)</f>
        <v>Riptale</v>
      </c>
      <c r="B573">
        <f>IF($A573="","",games!$B573)</f>
        <v>2017</v>
      </c>
      <c r="C573" t="str">
        <f>IF($A573="","",games!$C573)</f>
        <v>Action</v>
      </c>
      <c r="D573">
        <f>IF($A573="","",COUNTIF(connections!$A$2:$A$1188,$A573)+COUNTIF(connections!$B$2:$B$1188,$A573))</f>
        <v>2</v>
      </c>
      <c r="E573">
        <f t="shared" si="96"/>
        <v>1</v>
      </c>
      <c r="F573">
        <f t="shared" si="97"/>
        <v>29</v>
      </c>
      <c r="G573">
        <f t="shared" si="98"/>
        <v>2017</v>
      </c>
      <c r="H573">
        <f t="shared" si="99"/>
        <v>1.667</v>
      </c>
      <c r="I573" t="e">
        <f t="shared" si="100"/>
        <v>#N/A</v>
      </c>
      <c r="J573" t="e">
        <f t="shared" si="101"/>
        <v>#N/A</v>
      </c>
      <c r="K573" t="e">
        <f t="shared" si="102"/>
        <v>#N/A</v>
      </c>
      <c r="L573" t="e">
        <f t="shared" si="103"/>
        <v>#N/A</v>
      </c>
      <c r="M573" t="e">
        <f t="shared" si="104"/>
        <v>#N/A</v>
      </c>
      <c r="N573" t="e">
        <f t="shared" si="105"/>
        <v>#N/A</v>
      </c>
      <c r="O573">
        <f t="shared" si="106"/>
        <v>2.0005730000000002</v>
      </c>
      <c r="T573">
        <f>IF(connections!$A573="","",IFERROR(INDEX(games!$B$2:$B$834,MATCH(connections!$A573,games!$A$2:$A$834,0)),""))</f>
        <v>1987</v>
      </c>
      <c r="U573">
        <f>IF(connections!$A573="","",IFERROR(INDEX(games!$B$2:$B$834,MATCH(connections!$B573,games!$A$2:$A$834,0)),""))</f>
        <v>2002</v>
      </c>
      <c r="V573">
        <f t="shared" si="107"/>
        <v>15</v>
      </c>
    </row>
    <row r="574" spans="1:22" x14ac:dyDescent="0.25">
      <c r="A574" t="str">
        <f>IF(games!$A574="","",games!$A574)</f>
        <v>Risk of Rain</v>
      </c>
      <c r="B574">
        <f>IF($A574="","",games!$B574)</f>
        <v>2013</v>
      </c>
      <c r="C574" t="str">
        <f>IF($A574="","",games!$C574)</f>
        <v>Action</v>
      </c>
      <c r="D574">
        <f>IF($A574="","",COUNTIF(connections!$A$2:$A$1188,$A574)+COUNTIF(connections!$B$2:$B$1188,$A574))</f>
        <v>8</v>
      </c>
      <c r="E574">
        <f t="shared" si="96"/>
        <v>1</v>
      </c>
      <c r="F574">
        <f t="shared" si="97"/>
        <v>30</v>
      </c>
      <c r="G574">
        <f t="shared" si="98"/>
        <v>2013</v>
      </c>
      <c r="H574">
        <f t="shared" si="99"/>
        <v>1.69</v>
      </c>
      <c r="I574" t="e">
        <f t="shared" si="100"/>
        <v>#N/A</v>
      </c>
      <c r="J574" t="e">
        <f t="shared" si="101"/>
        <v>#N/A</v>
      </c>
      <c r="K574" t="e">
        <f t="shared" si="102"/>
        <v>#N/A</v>
      </c>
      <c r="L574" t="e">
        <f t="shared" si="103"/>
        <v>#N/A</v>
      </c>
      <c r="M574" t="e">
        <f t="shared" si="104"/>
        <v>#N/A</v>
      </c>
      <c r="N574" t="e">
        <f t="shared" si="105"/>
        <v>#N/A</v>
      </c>
      <c r="O574">
        <f t="shared" si="106"/>
        <v>8.0005740000000003</v>
      </c>
      <c r="T574">
        <f>IF(connections!$A574="","",IFERROR(INDEX(games!$B$2:$B$834,MATCH(connections!$A574,games!$A$2:$A$834,0)),""))</f>
        <v>1987</v>
      </c>
      <c r="U574">
        <f>IF(connections!$A574="","",IFERROR(INDEX(games!$B$2:$B$834,MATCH(connections!$B574,games!$A$2:$A$834,0)),""))</f>
        <v>2013</v>
      </c>
      <c r="V574">
        <f t="shared" si="107"/>
        <v>26</v>
      </c>
    </row>
    <row r="575" spans="1:22" x14ac:dyDescent="0.25">
      <c r="A575" t="str">
        <f>IF(games!$A575="","",games!$A575)</f>
        <v>Risk of Rain 2</v>
      </c>
      <c r="B575">
        <f>IF($A575="","",games!$B575)</f>
        <v>2020</v>
      </c>
      <c r="C575" t="str">
        <f>IF($A575="","",games!$C575)</f>
        <v>Action</v>
      </c>
      <c r="D575">
        <f>IF($A575="","",COUNTIF(connections!$A$2:$A$1188,$A575)+COUNTIF(connections!$B$2:$B$1188,$A575))</f>
        <v>16</v>
      </c>
      <c r="E575">
        <f t="shared" si="96"/>
        <v>1</v>
      </c>
      <c r="F575">
        <f t="shared" si="97"/>
        <v>31</v>
      </c>
      <c r="G575">
        <f t="shared" si="98"/>
        <v>2020</v>
      </c>
      <c r="H575">
        <f t="shared" si="99"/>
        <v>1.7130000000000001</v>
      </c>
      <c r="I575" t="e">
        <f t="shared" si="100"/>
        <v>#N/A</v>
      </c>
      <c r="J575" t="e">
        <f t="shared" si="101"/>
        <v>#N/A</v>
      </c>
      <c r="K575" t="e">
        <f t="shared" si="102"/>
        <v>#N/A</v>
      </c>
      <c r="L575" t="e">
        <f t="shared" si="103"/>
        <v>#N/A</v>
      </c>
      <c r="M575" t="e">
        <f t="shared" si="104"/>
        <v>#N/A</v>
      </c>
      <c r="N575" t="e">
        <f t="shared" si="105"/>
        <v>#N/A</v>
      </c>
      <c r="O575">
        <f t="shared" si="106"/>
        <v>16.000575000000001</v>
      </c>
      <c r="T575">
        <f>IF(connections!$A575="","",IFERROR(INDEX(games!$B$2:$B$834,MATCH(connections!$A575,games!$A$2:$A$834,0)),""))</f>
        <v>1987</v>
      </c>
      <c r="U575">
        <f>IF(connections!$A575="","",IFERROR(INDEX(games!$B$2:$B$834,MATCH(connections!$B575,games!$A$2:$A$834,0)),""))</f>
        <v>1992</v>
      </c>
      <c r="V575">
        <f t="shared" si="107"/>
        <v>5</v>
      </c>
    </row>
    <row r="576" spans="1:22" x14ac:dyDescent="0.25">
      <c r="A576" t="str">
        <f>IF(games!$A576="","",games!$A576)</f>
        <v>Risk of Rain Returns</v>
      </c>
      <c r="B576">
        <f>IF($A576="","",games!$B576)</f>
        <v>2023</v>
      </c>
      <c r="C576" t="str">
        <f>IF($A576="","",games!$C576)</f>
        <v>Action</v>
      </c>
      <c r="D576">
        <f>IF($A576="","",COUNTIF(connections!$A$2:$A$1188,$A576)+COUNTIF(connections!$B$2:$B$1188,$A576))</f>
        <v>1</v>
      </c>
      <c r="E576">
        <f t="shared" si="96"/>
        <v>1</v>
      </c>
      <c r="F576">
        <f t="shared" si="97"/>
        <v>32</v>
      </c>
      <c r="G576">
        <f t="shared" si="98"/>
        <v>2023</v>
      </c>
      <c r="H576">
        <f t="shared" si="99"/>
        <v>1.736</v>
      </c>
      <c r="I576" t="e">
        <f t="shared" si="100"/>
        <v>#N/A</v>
      </c>
      <c r="J576" t="e">
        <f t="shared" si="101"/>
        <v>#N/A</v>
      </c>
      <c r="K576" t="e">
        <f t="shared" si="102"/>
        <v>#N/A</v>
      </c>
      <c r="L576" t="e">
        <f t="shared" si="103"/>
        <v>#N/A</v>
      </c>
      <c r="M576" t="e">
        <f t="shared" si="104"/>
        <v>#N/A</v>
      </c>
      <c r="N576" t="e">
        <f t="shared" si="105"/>
        <v>#N/A</v>
      </c>
      <c r="O576">
        <f t="shared" si="106"/>
        <v>1.0005759999999999</v>
      </c>
      <c r="T576">
        <f>IF(connections!$A576="","",IFERROR(INDEX(games!$B$2:$B$834,MATCH(connections!$A576,games!$A$2:$A$834,0)),""))</f>
        <v>1987</v>
      </c>
      <c r="U576">
        <f>IF(connections!$A576="","",IFERROR(INDEX(games!$B$2:$B$834,MATCH(connections!$B576,games!$A$2:$A$834,0)),""))</f>
        <v>2012</v>
      </c>
      <c r="V576">
        <f t="shared" si="107"/>
        <v>25</v>
      </c>
    </row>
    <row r="577" spans="1:22" x14ac:dyDescent="0.25">
      <c r="A577" t="str">
        <f>IF(games!$A577="","",games!$A577)</f>
        <v>Road Not Taken</v>
      </c>
      <c r="B577">
        <f>IF($A577="","",games!$B577)</f>
        <v>2014</v>
      </c>
      <c r="C577" t="str">
        <f>IF($A577="","",games!$C577)</f>
        <v>Strategy</v>
      </c>
      <c r="D577">
        <f>IF($A577="","",COUNTIF(connections!$A$2:$A$1188,$A577)+COUNTIF(connections!$B$2:$B$1188,$A577))</f>
        <v>2</v>
      </c>
      <c r="E577">
        <f t="shared" si="96"/>
        <v>2</v>
      </c>
      <c r="F577">
        <f t="shared" si="97"/>
        <v>33</v>
      </c>
      <c r="G577" t="e">
        <f t="shared" si="98"/>
        <v>#N/A</v>
      </c>
      <c r="H577" t="e">
        <f t="shared" si="99"/>
        <v>#N/A</v>
      </c>
      <c r="I577">
        <f t="shared" si="100"/>
        <v>2014</v>
      </c>
      <c r="J577">
        <f t="shared" si="101"/>
        <v>2.7589999999999999</v>
      </c>
      <c r="K577" t="e">
        <f t="shared" si="102"/>
        <v>#N/A</v>
      </c>
      <c r="L577" t="e">
        <f t="shared" si="103"/>
        <v>#N/A</v>
      </c>
      <c r="M577" t="e">
        <f t="shared" si="104"/>
        <v>#N/A</v>
      </c>
      <c r="N577" t="e">
        <f t="shared" si="105"/>
        <v>#N/A</v>
      </c>
      <c r="O577">
        <f t="shared" si="106"/>
        <v>2.0005769999999998</v>
      </c>
      <c r="T577">
        <f>IF(connections!$A577="","",IFERROR(INDEX(games!$B$2:$B$834,MATCH(connections!$A577,games!$A$2:$A$834,0)),""))</f>
        <v>2024</v>
      </c>
      <c r="U577">
        <f>IF(connections!$A577="","",IFERROR(INDEX(games!$B$2:$B$834,MATCH(connections!$B577,games!$A$2:$A$834,0)),""))</f>
        <v>2026</v>
      </c>
      <c r="V577">
        <f t="shared" si="107"/>
        <v>2</v>
      </c>
    </row>
    <row r="578" spans="1:22" x14ac:dyDescent="0.25">
      <c r="A578" t="str">
        <f>IF(games!$A578="","",games!$A578)</f>
        <v>Roboquest</v>
      </c>
      <c r="B578">
        <f>IF($A578="","",games!$B578)</f>
        <v>2020</v>
      </c>
      <c r="C578" t="str">
        <f>IF($A578="","",games!$C578)</f>
        <v>Action</v>
      </c>
      <c r="D578">
        <f>IF($A578="","",COUNTIF(connections!$A$2:$A$1188,$A578)+COUNTIF(connections!$B$2:$B$1188,$A578))</f>
        <v>5</v>
      </c>
      <c r="E578">
        <f t="shared" ref="E578:E641" si="108">IF($A578="","",IFERROR(MATCH($C578,$R$2:$R$5,0),0))</f>
        <v>1</v>
      </c>
      <c r="F578">
        <f t="shared" ref="F578:F641" si="109">IF($A578="","",MOD(ROW(),34))</f>
        <v>0</v>
      </c>
      <c r="G578">
        <f t="shared" ref="G578:G641" si="110">IF($A578="",NA(),IF($C578="Action",$B578,NA()))</f>
        <v>2020</v>
      </c>
      <c r="H578">
        <f t="shared" ref="H578:H641" si="111">IF($A578="",NA(),IF($C578="Action",1+$F578*0.023,NA()))</f>
        <v>1</v>
      </c>
      <c r="I578" t="e">
        <f t="shared" ref="I578:I641" si="112">IF($A578="",NA(),IF($C578="Strategy",$B578,NA()))</f>
        <v>#N/A</v>
      </c>
      <c r="J578" t="e">
        <f t="shared" ref="J578:J641" si="113">IF($A578="",NA(),IF($C578="Strategy",2+$F578*0.023,NA()))</f>
        <v>#N/A</v>
      </c>
      <c r="K578" t="e">
        <f t="shared" ref="K578:K641" si="114">IF($A578="",NA(),IF($C578="Deckbuilder",$B578,NA()))</f>
        <v>#N/A</v>
      </c>
      <c r="L578" t="e">
        <f t="shared" ref="L578:L641" si="115">IF($A578="",NA(),IF($C578="Deckbuilder",3+$F578*0.023,NA()))</f>
        <v>#N/A</v>
      </c>
      <c r="M578" t="e">
        <f t="shared" ref="M578:M641" si="116">IF($A578="",NA(),IF($C578="Traditional",$B578,NA()))</f>
        <v>#N/A</v>
      </c>
      <c r="N578" t="e">
        <f t="shared" ref="N578:N641" si="117">IF($A578="",NA(),IF($C578="Traditional",4+$F578*0.023,NA()))</f>
        <v>#N/A</v>
      </c>
      <c r="O578">
        <f t="shared" ref="O578:O641" si="118">IF($A578="","",$D578+ROW()/1000000)</f>
        <v>5.000578</v>
      </c>
      <c r="T578">
        <f>IF(connections!$A578="","",IFERROR(INDEX(games!$B$2:$B$834,MATCH(connections!$A578,games!$A$2:$A$834,0)),""))</f>
        <v>2019</v>
      </c>
      <c r="U578">
        <f>IF(connections!$A578="","",IFERROR(INDEX(games!$B$2:$B$834,MATCH(connections!$B578,games!$A$2:$A$834,0)),""))</f>
        <v>2025</v>
      </c>
      <c r="V578">
        <f t="shared" ref="V578:V641" si="119">IF(OR($T578="",$U578=""),"",$U578-$T578)</f>
        <v>6</v>
      </c>
    </row>
    <row r="579" spans="1:22" x14ac:dyDescent="0.25">
      <c r="A579" t="str">
        <f>IF(games!$A579="","",games!$A579)</f>
        <v>Rocket Rats</v>
      </c>
      <c r="B579">
        <f>IF($A579="","",games!$B579)</f>
        <v>2024</v>
      </c>
      <c r="C579" t="str">
        <f>IF($A579="","",games!$C579)</f>
        <v>Action</v>
      </c>
      <c r="D579">
        <f>IF($A579="","",COUNTIF(connections!$A$2:$A$1188,$A579)+COUNTIF(connections!$B$2:$B$1188,$A579))</f>
        <v>1</v>
      </c>
      <c r="E579">
        <f t="shared" si="108"/>
        <v>1</v>
      </c>
      <c r="F579">
        <f t="shared" si="109"/>
        <v>1</v>
      </c>
      <c r="G579">
        <f t="shared" si="110"/>
        <v>2024</v>
      </c>
      <c r="H579">
        <f t="shared" si="111"/>
        <v>1.0229999999999999</v>
      </c>
      <c r="I579" t="e">
        <f t="shared" si="112"/>
        <v>#N/A</v>
      </c>
      <c r="J579" t="e">
        <f t="shared" si="113"/>
        <v>#N/A</v>
      </c>
      <c r="K579" t="e">
        <f t="shared" si="114"/>
        <v>#N/A</v>
      </c>
      <c r="L579" t="e">
        <f t="shared" si="115"/>
        <v>#N/A</v>
      </c>
      <c r="M579" t="e">
        <f t="shared" si="116"/>
        <v>#N/A</v>
      </c>
      <c r="N579" t="e">
        <f t="shared" si="117"/>
        <v>#N/A</v>
      </c>
      <c r="O579">
        <f t="shared" si="118"/>
        <v>1.0005790000000001</v>
      </c>
      <c r="T579">
        <f>IF(connections!$A579="","",IFERROR(INDEX(games!$B$2:$B$834,MATCH(connections!$A579,games!$A$2:$A$834,0)),""))</f>
        <v>2019</v>
      </c>
      <c r="U579">
        <f>IF(connections!$A579="","",IFERROR(INDEX(games!$B$2:$B$834,MATCH(connections!$B579,games!$A$2:$A$834,0)),""))</f>
        <v>2023</v>
      </c>
      <c r="V579">
        <f t="shared" si="119"/>
        <v>4</v>
      </c>
    </row>
    <row r="580" spans="1:22" x14ac:dyDescent="0.25">
      <c r="A580" t="str">
        <f>IF(games!$A580="","",games!$A580)</f>
        <v>Rogue</v>
      </c>
      <c r="B580">
        <f>IF($A580="","",games!$B580)</f>
        <v>1980</v>
      </c>
      <c r="C580" t="str">
        <f>IF($A580="","",games!$C580)</f>
        <v>Traditional</v>
      </c>
      <c r="D580">
        <f>IF($A580="","",COUNTIF(connections!$A$2:$A$1188,$A580)+COUNTIF(connections!$B$2:$B$1188,$A580))</f>
        <v>21</v>
      </c>
      <c r="E580">
        <f t="shared" si="108"/>
        <v>4</v>
      </c>
      <c r="F580">
        <f t="shared" si="109"/>
        <v>2</v>
      </c>
      <c r="G580" t="e">
        <f t="shared" si="110"/>
        <v>#N/A</v>
      </c>
      <c r="H580" t="e">
        <f t="shared" si="111"/>
        <v>#N/A</v>
      </c>
      <c r="I580" t="e">
        <f t="shared" si="112"/>
        <v>#N/A</v>
      </c>
      <c r="J580" t="e">
        <f t="shared" si="113"/>
        <v>#N/A</v>
      </c>
      <c r="K580" t="e">
        <f t="shared" si="114"/>
        <v>#N/A</v>
      </c>
      <c r="L580" t="e">
        <f t="shared" si="115"/>
        <v>#N/A</v>
      </c>
      <c r="M580">
        <f t="shared" si="116"/>
        <v>1980</v>
      </c>
      <c r="N580">
        <f t="shared" si="117"/>
        <v>4.0460000000000003</v>
      </c>
      <c r="O580">
        <f t="shared" si="118"/>
        <v>21.000579999999999</v>
      </c>
      <c r="T580">
        <f>IF(connections!$A580="","",IFERROR(INDEX(games!$B$2:$B$834,MATCH(connections!$A580,games!$A$2:$A$834,0)),""))</f>
        <v>2019</v>
      </c>
      <c r="U580">
        <f>IF(connections!$A580="","",IFERROR(INDEX(games!$B$2:$B$834,MATCH(connections!$B580,games!$A$2:$A$834,0)),""))</f>
        <v>2026</v>
      </c>
      <c r="V580">
        <f t="shared" si="119"/>
        <v>7</v>
      </c>
    </row>
    <row r="581" spans="1:22" x14ac:dyDescent="0.25">
      <c r="A581" t="str">
        <f>IF(games!$A581="","",games!$A581)</f>
        <v>Rogue Command</v>
      </c>
      <c r="B581">
        <f>IF($A581="","",games!$B581)</f>
        <v>2024</v>
      </c>
      <c r="C581" t="str">
        <f>IF($A581="","",games!$C581)</f>
        <v>Strategy</v>
      </c>
      <c r="D581">
        <f>IF($A581="","",COUNTIF(connections!$A$2:$A$1188,$A581)+COUNTIF(connections!$B$2:$B$1188,$A581))</f>
        <v>3</v>
      </c>
      <c r="E581">
        <f t="shared" si="108"/>
        <v>2</v>
      </c>
      <c r="F581">
        <f t="shared" si="109"/>
        <v>3</v>
      </c>
      <c r="G581" t="e">
        <f t="shared" si="110"/>
        <v>#N/A</v>
      </c>
      <c r="H581" t="e">
        <f t="shared" si="111"/>
        <v>#N/A</v>
      </c>
      <c r="I581">
        <f t="shared" si="112"/>
        <v>2024</v>
      </c>
      <c r="J581">
        <f t="shared" si="113"/>
        <v>2.069</v>
      </c>
      <c r="K581" t="e">
        <f t="shared" si="114"/>
        <v>#N/A</v>
      </c>
      <c r="L581" t="e">
        <f t="shared" si="115"/>
        <v>#N/A</v>
      </c>
      <c r="M581" t="e">
        <f t="shared" si="116"/>
        <v>#N/A</v>
      </c>
      <c r="N581" t="e">
        <f t="shared" si="117"/>
        <v>#N/A</v>
      </c>
      <c r="O581">
        <f t="shared" si="118"/>
        <v>3.0005809999999999</v>
      </c>
      <c r="T581">
        <f>IF(connections!$A581="","",IFERROR(INDEX(games!$B$2:$B$834,MATCH(connections!$A581,games!$A$2:$A$834,0)),""))</f>
        <v>2019</v>
      </c>
      <c r="U581">
        <f>IF(connections!$A581="","",IFERROR(INDEX(games!$B$2:$B$834,MATCH(connections!$B581,games!$A$2:$A$834,0)),""))</f>
        <v>2024</v>
      </c>
      <c r="V581">
        <f t="shared" si="119"/>
        <v>5</v>
      </c>
    </row>
    <row r="582" spans="1:22" x14ac:dyDescent="0.25">
      <c r="A582" t="str">
        <f>IF(games!$A582="","",games!$A582)</f>
        <v>Rogue Empire</v>
      </c>
      <c r="B582">
        <f>IF($A582="","",games!$B582)</f>
        <v>2019</v>
      </c>
      <c r="C582" t="str">
        <f>IF($A582="","",games!$C582)</f>
        <v>Traditional</v>
      </c>
      <c r="D582">
        <f>IF($A582="","",COUNTIF(connections!$A$2:$A$1188,$A582)+COUNTIF(connections!$B$2:$B$1188,$A582))</f>
        <v>2</v>
      </c>
      <c r="E582">
        <f t="shared" si="108"/>
        <v>4</v>
      </c>
      <c r="F582">
        <f t="shared" si="109"/>
        <v>4</v>
      </c>
      <c r="G582" t="e">
        <f t="shared" si="110"/>
        <v>#N/A</v>
      </c>
      <c r="H582" t="e">
        <f t="shared" si="111"/>
        <v>#N/A</v>
      </c>
      <c r="I582" t="e">
        <f t="shared" si="112"/>
        <v>#N/A</v>
      </c>
      <c r="J582" t="e">
        <f t="shared" si="113"/>
        <v>#N/A</v>
      </c>
      <c r="K582" t="e">
        <f t="shared" si="114"/>
        <v>#N/A</v>
      </c>
      <c r="L582" t="e">
        <f t="shared" si="115"/>
        <v>#N/A</v>
      </c>
      <c r="M582">
        <f t="shared" si="116"/>
        <v>2019</v>
      </c>
      <c r="N582">
        <f t="shared" si="117"/>
        <v>4.0919999999999996</v>
      </c>
      <c r="O582">
        <f t="shared" si="118"/>
        <v>2.0005820000000001</v>
      </c>
      <c r="T582">
        <f>IF(connections!$A582="","",IFERROR(INDEX(games!$B$2:$B$834,MATCH(connections!$A582,games!$A$2:$A$834,0)),""))</f>
        <v>2019</v>
      </c>
      <c r="U582">
        <f>IF(connections!$A582="","",IFERROR(INDEX(games!$B$2:$B$834,MATCH(connections!$B582,games!$A$2:$A$834,0)),""))</f>
        <v>2024</v>
      </c>
      <c r="V582">
        <f t="shared" si="119"/>
        <v>5</v>
      </c>
    </row>
    <row r="583" spans="1:22" x14ac:dyDescent="0.25">
      <c r="A583" t="str">
        <f>IF(games!$A583="","",games!$A583)</f>
        <v>Rogue Factory</v>
      </c>
      <c r="B583">
        <f>IF($A583="","",games!$B583)</f>
        <v>2026</v>
      </c>
      <c r="C583" t="str">
        <f>IF($A583="","",games!$C583)</f>
        <v>Action</v>
      </c>
      <c r="D583">
        <f>IF($A583="","",COUNTIF(connections!$A$2:$A$1188,$A583)+COUNTIF(connections!$B$2:$B$1188,$A583))</f>
        <v>2</v>
      </c>
      <c r="E583">
        <f t="shared" si="108"/>
        <v>1</v>
      </c>
      <c r="F583">
        <f t="shared" si="109"/>
        <v>5</v>
      </c>
      <c r="G583">
        <f t="shared" si="110"/>
        <v>2026</v>
      </c>
      <c r="H583">
        <f t="shared" si="111"/>
        <v>1.115</v>
      </c>
      <c r="I583" t="e">
        <f t="shared" si="112"/>
        <v>#N/A</v>
      </c>
      <c r="J583" t="e">
        <f t="shared" si="113"/>
        <v>#N/A</v>
      </c>
      <c r="K583" t="e">
        <f t="shared" si="114"/>
        <v>#N/A</v>
      </c>
      <c r="L583" t="e">
        <f t="shared" si="115"/>
        <v>#N/A</v>
      </c>
      <c r="M583" t="e">
        <f t="shared" si="116"/>
        <v>#N/A</v>
      </c>
      <c r="N583" t="e">
        <f t="shared" si="117"/>
        <v>#N/A</v>
      </c>
      <c r="O583">
        <f t="shared" si="118"/>
        <v>2.0005829999999998</v>
      </c>
      <c r="T583">
        <f>IF(connections!$A583="","",IFERROR(INDEX(games!$B$2:$B$834,MATCH(connections!$A583,games!$A$2:$A$834,0)),""))</f>
        <v>2024</v>
      </c>
      <c r="U583">
        <f>IF(connections!$A583="","",IFERROR(INDEX(games!$B$2:$B$834,MATCH(connections!$B583,games!$A$2:$A$834,0)),""))</f>
        <v>2026</v>
      </c>
      <c r="V583">
        <f t="shared" si="119"/>
        <v>2</v>
      </c>
    </row>
    <row r="584" spans="1:22" x14ac:dyDescent="0.25">
      <c r="A584" t="str">
        <f>IF(games!$A584="","",games!$A584)</f>
        <v>Rogue Flight</v>
      </c>
      <c r="B584">
        <f>IF($A584="","",games!$B584)</f>
        <v>2024</v>
      </c>
      <c r="C584" t="str">
        <f>IF($A584="","",games!$C584)</f>
        <v>Action</v>
      </c>
      <c r="D584">
        <f>IF($A584="","",COUNTIF(connections!$A$2:$A$1188,$A584)+COUNTIF(connections!$B$2:$B$1188,$A584))</f>
        <v>0</v>
      </c>
      <c r="E584">
        <f t="shared" si="108"/>
        <v>1</v>
      </c>
      <c r="F584">
        <f t="shared" si="109"/>
        <v>6</v>
      </c>
      <c r="G584">
        <f t="shared" si="110"/>
        <v>2024</v>
      </c>
      <c r="H584">
        <f t="shared" si="111"/>
        <v>1.1379999999999999</v>
      </c>
      <c r="I584" t="e">
        <f t="shared" si="112"/>
        <v>#N/A</v>
      </c>
      <c r="J584" t="e">
        <f t="shared" si="113"/>
        <v>#N/A</v>
      </c>
      <c r="K584" t="e">
        <f t="shared" si="114"/>
        <v>#N/A</v>
      </c>
      <c r="L584" t="e">
        <f t="shared" si="115"/>
        <v>#N/A</v>
      </c>
      <c r="M584" t="e">
        <f t="shared" si="116"/>
        <v>#N/A</v>
      </c>
      <c r="N584" t="e">
        <f t="shared" si="117"/>
        <v>#N/A</v>
      </c>
      <c r="O584">
        <f t="shared" si="118"/>
        <v>5.8399999999999999E-4</v>
      </c>
      <c r="T584">
        <f>IF(connections!$A584="","",IFERROR(INDEX(games!$B$2:$B$834,MATCH(connections!$A584,games!$A$2:$A$834,0)),""))</f>
        <v>2015</v>
      </c>
      <c r="U584">
        <f>IF(connections!$A584="","",IFERROR(INDEX(games!$B$2:$B$834,MATCH(connections!$B584,games!$A$2:$A$834,0)),""))</f>
        <v>2023</v>
      </c>
      <c r="V584">
        <f t="shared" si="119"/>
        <v>8</v>
      </c>
    </row>
    <row r="585" spans="1:22" x14ac:dyDescent="0.25">
      <c r="A585" t="str">
        <f>IF(games!$A585="","",games!$A585)</f>
        <v>Rogue Heroes: Ruins of Tasos</v>
      </c>
      <c r="B585">
        <f>IF($A585="","",games!$B585)</f>
        <v>2021</v>
      </c>
      <c r="C585" t="str">
        <f>IF($A585="","",games!$C585)</f>
        <v>Action</v>
      </c>
      <c r="D585">
        <f>IF($A585="","",COUNTIF(connections!$A$2:$A$1188,$A585)+COUNTIF(connections!$B$2:$B$1188,$A585))</f>
        <v>1</v>
      </c>
      <c r="E585">
        <f t="shared" si="108"/>
        <v>1</v>
      </c>
      <c r="F585">
        <f t="shared" si="109"/>
        <v>7</v>
      </c>
      <c r="G585">
        <f t="shared" si="110"/>
        <v>2021</v>
      </c>
      <c r="H585">
        <f t="shared" si="111"/>
        <v>1.161</v>
      </c>
      <c r="I585" t="e">
        <f t="shared" si="112"/>
        <v>#N/A</v>
      </c>
      <c r="J585" t="e">
        <f t="shared" si="113"/>
        <v>#N/A</v>
      </c>
      <c r="K585" t="e">
        <f t="shared" si="114"/>
        <v>#N/A</v>
      </c>
      <c r="L585" t="e">
        <f t="shared" si="115"/>
        <v>#N/A</v>
      </c>
      <c r="M585" t="e">
        <f t="shared" si="116"/>
        <v>#N/A</v>
      </c>
      <c r="N585" t="e">
        <f t="shared" si="117"/>
        <v>#N/A</v>
      </c>
      <c r="O585">
        <f t="shared" si="118"/>
        <v>1.0005850000000001</v>
      </c>
      <c r="T585">
        <f>IF(connections!$A585="","",IFERROR(INDEX(games!$B$2:$B$834,MATCH(connections!$A585,games!$A$2:$A$834,0)),""))</f>
        <v>2015</v>
      </c>
      <c r="U585">
        <f>IF(connections!$A585="","",IFERROR(INDEX(games!$B$2:$B$834,MATCH(connections!$B585,games!$A$2:$A$834,0)),""))</f>
        <v>2025</v>
      </c>
      <c r="V585">
        <f t="shared" si="119"/>
        <v>10</v>
      </c>
    </row>
    <row r="586" spans="1:22" x14ac:dyDescent="0.25">
      <c r="A586" t="str">
        <f>IF(games!$A586="","",games!$A586)</f>
        <v>Rogue Legacy</v>
      </c>
      <c r="B586">
        <f>IF($A586="","",games!$B586)</f>
        <v>2013</v>
      </c>
      <c r="C586" t="str">
        <f>IF($A586="","",games!$C586)</f>
        <v>Action</v>
      </c>
      <c r="D586">
        <f>IF($A586="","",COUNTIF(connections!$A$2:$A$1188,$A586)+COUNTIF(connections!$B$2:$B$1188,$A586))</f>
        <v>14</v>
      </c>
      <c r="E586">
        <f t="shared" si="108"/>
        <v>1</v>
      </c>
      <c r="F586">
        <f t="shared" si="109"/>
        <v>8</v>
      </c>
      <c r="G586">
        <f t="shared" si="110"/>
        <v>2013</v>
      </c>
      <c r="H586">
        <f t="shared" si="111"/>
        <v>1.1839999999999999</v>
      </c>
      <c r="I586" t="e">
        <f t="shared" si="112"/>
        <v>#N/A</v>
      </c>
      <c r="J586" t="e">
        <f t="shared" si="113"/>
        <v>#N/A</v>
      </c>
      <c r="K586" t="e">
        <f t="shared" si="114"/>
        <v>#N/A</v>
      </c>
      <c r="L586" t="e">
        <f t="shared" si="115"/>
        <v>#N/A</v>
      </c>
      <c r="M586" t="e">
        <f t="shared" si="116"/>
        <v>#N/A</v>
      </c>
      <c r="N586" t="e">
        <f t="shared" si="117"/>
        <v>#N/A</v>
      </c>
      <c r="O586">
        <f t="shared" si="118"/>
        <v>14.000586</v>
      </c>
      <c r="T586">
        <f>IF(connections!$A586="","",IFERROR(INDEX(games!$B$2:$B$834,MATCH(connections!$A586,games!$A$2:$A$834,0)),""))</f>
        <v>2015</v>
      </c>
      <c r="U586">
        <f>IF(connections!$A586="","",IFERROR(INDEX(games!$B$2:$B$834,MATCH(connections!$B586,games!$A$2:$A$834,0)),""))</f>
        <v>2020</v>
      </c>
      <c r="V586">
        <f t="shared" si="119"/>
        <v>5</v>
      </c>
    </row>
    <row r="587" spans="1:22" x14ac:dyDescent="0.25">
      <c r="A587" t="str">
        <f>IF(games!$A587="","",games!$A587)</f>
        <v>Rogue Legacy 2</v>
      </c>
      <c r="B587">
        <f>IF($A587="","",games!$B587)</f>
        <v>2020</v>
      </c>
      <c r="C587" t="str">
        <f>IF($A587="","",games!$C587)</f>
        <v>Action</v>
      </c>
      <c r="D587">
        <f>IF($A587="","",COUNTIF(connections!$A$2:$A$1188,$A587)+COUNTIF(connections!$B$2:$B$1188,$A587))</f>
        <v>1</v>
      </c>
      <c r="E587">
        <f t="shared" si="108"/>
        <v>1</v>
      </c>
      <c r="F587">
        <f t="shared" si="109"/>
        <v>9</v>
      </c>
      <c r="G587">
        <f t="shared" si="110"/>
        <v>2020</v>
      </c>
      <c r="H587">
        <f t="shared" si="111"/>
        <v>1.2070000000000001</v>
      </c>
      <c r="I587" t="e">
        <f t="shared" si="112"/>
        <v>#N/A</v>
      </c>
      <c r="J587" t="e">
        <f t="shared" si="113"/>
        <v>#N/A</v>
      </c>
      <c r="K587" t="e">
        <f t="shared" si="114"/>
        <v>#N/A</v>
      </c>
      <c r="L587" t="e">
        <f t="shared" si="115"/>
        <v>#N/A</v>
      </c>
      <c r="M587" t="e">
        <f t="shared" si="116"/>
        <v>#N/A</v>
      </c>
      <c r="N587" t="e">
        <f t="shared" si="117"/>
        <v>#N/A</v>
      </c>
      <c r="O587">
        <f t="shared" si="118"/>
        <v>1.0005869999999999</v>
      </c>
      <c r="T587">
        <f>IF(connections!$A587="","",IFERROR(INDEX(games!$B$2:$B$834,MATCH(connections!$A587,games!$A$2:$A$834,0)),""))</f>
        <v>2015</v>
      </c>
      <c r="U587">
        <f>IF(connections!$A587="","",IFERROR(INDEX(games!$B$2:$B$834,MATCH(connections!$B587,games!$A$2:$A$834,0)),""))</f>
        <v>2019</v>
      </c>
      <c r="V587">
        <f t="shared" si="119"/>
        <v>4</v>
      </c>
    </row>
    <row r="588" spans="1:22" x14ac:dyDescent="0.25">
      <c r="A588" t="str">
        <f>IF(games!$A588="","",games!$A588)</f>
        <v>Rogue Lords</v>
      </c>
      <c r="B588">
        <f>IF($A588="","",games!$B588)</f>
        <v>2021</v>
      </c>
      <c r="C588" t="str">
        <f>IF($A588="","",games!$C588)</f>
        <v>Strategy</v>
      </c>
      <c r="D588">
        <f>IF($A588="","",COUNTIF(connections!$A$2:$A$1188,$A588)+COUNTIF(connections!$B$2:$B$1188,$A588))</f>
        <v>1</v>
      </c>
      <c r="E588">
        <f t="shared" si="108"/>
        <v>2</v>
      </c>
      <c r="F588">
        <f t="shared" si="109"/>
        <v>10</v>
      </c>
      <c r="G588" t="e">
        <f t="shared" si="110"/>
        <v>#N/A</v>
      </c>
      <c r="H588" t="e">
        <f t="shared" si="111"/>
        <v>#N/A</v>
      </c>
      <c r="I588">
        <f t="shared" si="112"/>
        <v>2021</v>
      </c>
      <c r="J588">
        <f t="shared" si="113"/>
        <v>2.23</v>
      </c>
      <c r="K588" t="e">
        <f t="shared" si="114"/>
        <v>#N/A</v>
      </c>
      <c r="L588" t="e">
        <f t="shared" si="115"/>
        <v>#N/A</v>
      </c>
      <c r="M588" t="e">
        <f t="shared" si="116"/>
        <v>#N/A</v>
      </c>
      <c r="N588" t="e">
        <f t="shared" si="117"/>
        <v>#N/A</v>
      </c>
      <c r="O588">
        <f t="shared" si="118"/>
        <v>1.000588</v>
      </c>
      <c r="T588">
        <f>IF(connections!$A588="","",IFERROR(INDEX(games!$B$2:$B$834,MATCH(connections!$A588,games!$A$2:$A$834,0)),""))</f>
        <v>2015</v>
      </c>
      <c r="U588">
        <f>IF(connections!$A588="","",IFERROR(INDEX(games!$B$2:$B$834,MATCH(connections!$B588,games!$A$2:$A$834,0)),""))</f>
        <v>2020</v>
      </c>
      <c r="V588">
        <f t="shared" si="119"/>
        <v>5</v>
      </c>
    </row>
    <row r="589" spans="1:22" x14ac:dyDescent="0.25">
      <c r="A589" t="str">
        <f>IF(games!$A589="","",games!$A589)</f>
        <v>Rogue Tower</v>
      </c>
      <c r="B589">
        <f>IF($A589="","",games!$B589)</f>
        <v>2022</v>
      </c>
      <c r="C589" t="str">
        <f>IF($A589="","",games!$C589)</f>
        <v>Strategy</v>
      </c>
      <c r="D589">
        <f>IF($A589="","",COUNTIF(connections!$A$2:$A$1188,$A589)+COUNTIF(connections!$B$2:$B$1188,$A589))</f>
        <v>2</v>
      </c>
      <c r="E589">
        <f t="shared" si="108"/>
        <v>2</v>
      </c>
      <c r="F589">
        <f t="shared" si="109"/>
        <v>11</v>
      </c>
      <c r="G589" t="e">
        <f t="shared" si="110"/>
        <v>#N/A</v>
      </c>
      <c r="H589" t="e">
        <f t="shared" si="111"/>
        <v>#N/A</v>
      </c>
      <c r="I589">
        <f t="shared" si="112"/>
        <v>2022</v>
      </c>
      <c r="J589">
        <f t="shared" si="113"/>
        <v>2.2530000000000001</v>
      </c>
      <c r="K589" t="e">
        <f t="shared" si="114"/>
        <v>#N/A</v>
      </c>
      <c r="L589" t="e">
        <f t="shared" si="115"/>
        <v>#N/A</v>
      </c>
      <c r="M589" t="e">
        <f t="shared" si="116"/>
        <v>#N/A</v>
      </c>
      <c r="N589" t="e">
        <f t="shared" si="117"/>
        <v>#N/A</v>
      </c>
      <c r="O589">
        <f t="shared" si="118"/>
        <v>2.0005890000000002</v>
      </c>
      <c r="T589">
        <f>IF(connections!$A589="","",IFERROR(INDEX(games!$B$2:$B$834,MATCH(connections!$A589,games!$A$2:$A$834,0)),""))</f>
        <v>2015</v>
      </c>
      <c r="U589">
        <f>IF(connections!$A589="","",IFERROR(INDEX(games!$B$2:$B$834,MATCH(connections!$B589,games!$A$2:$A$834,0)),""))</f>
        <v>2020</v>
      </c>
      <c r="V589">
        <f t="shared" si="119"/>
        <v>5</v>
      </c>
    </row>
    <row r="590" spans="1:22" x14ac:dyDescent="0.25">
      <c r="A590" t="str">
        <f>IF(games!$A590="","",games!$A590)</f>
        <v>Rogue Voltage</v>
      </c>
      <c r="B590">
        <f>IF($A590="","",games!$B590)</f>
        <v>2024</v>
      </c>
      <c r="C590" t="str">
        <f>IF($A590="","",games!$C590)</f>
        <v>Deckbuilder</v>
      </c>
      <c r="D590">
        <f>IF($A590="","",COUNTIF(connections!$A$2:$A$1188,$A590)+COUNTIF(connections!$B$2:$B$1188,$A590))</f>
        <v>4</v>
      </c>
      <c r="E590">
        <f t="shared" si="108"/>
        <v>3</v>
      </c>
      <c r="F590">
        <f t="shared" si="109"/>
        <v>12</v>
      </c>
      <c r="G590" t="e">
        <f t="shared" si="110"/>
        <v>#N/A</v>
      </c>
      <c r="H590" t="e">
        <f t="shared" si="111"/>
        <v>#N/A</v>
      </c>
      <c r="I590" t="e">
        <f t="shared" si="112"/>
        <v>#N/A</v>
      </c>
      <c r="J590" t="e">
        <f t="shared" si="113"/>
        <v>#N/A</v>
      </c>
      <c r="K590">
        <f t="shared" si="114"/>
        <v>2024</v>
      </c>
      <c r="L590">
        <f t="shared" si="115"/>
        <v>3.2759999999999998</v>
      </c>
      <c r="M590" t="e">
        <f t="shared" si="116"/>
        <v>#N/A</v>
      </c>
      <c r="N590" t="e">
        <f t="shared" si="117"/>
        <v>#N/A</v>
      </c>
      <c r="O590">
        <f t="shared" si="118"/>
        <v>4.0005899999999999</v>
      </c>
      <c r="T590">
        <f>IF(connections!$A590="","",IFERROR(INDEX(games!$B$2:$B$834,MATCH(connections!$A590,games!$A$2:$A$834,0)),""))</f>
        <v>2015</v>
      </c>
      <c r="U590">
        <f>IF(connections!$A590="","",IFERROR(INDEX(games!$B$2:$B$834,MATCH(connections!$B590,games!$A$2:$A$834,0)),""))</f>
        <v>2016</v>
      </c>
      <c r="V590">
        <f t="shared" si="119"/>
        <v>1</v>
      </c>
    </row>
    <row r="591" spans="1:22" x14ac:dyDescent="0.25">
      <c r="A591" t="str">
        <f>IF(games!$A591="","",games!$A591)</f>
        <v>Rogue Wizards</v>
      </c>
      <c r="B591">
        <f>IF($A591="","",games!$B591)</f>
        <v>2016</v>
      </c>
      <c r="C591" t="str">
        <f>IF($A591="","",games!$C591)</f>
        <v>Strategy</v>
      </c>
      <c r="D591">
        <f>IF($A591="","",COUNTIF(connections!$A$2:$A$1188,$A591)+COUNTIF(connections!$B$2:$B$1188,$A591))</f>
        <v>2</v>
      </c>
      <c r="E591">
        <f t="shared" si="108"/>
        <v>2</v>
      </c>
      <c r="F591">
        <f t="shared" si="109"/>
        <v>13</v>
      </c>
      <c r="G591" t="e">
        <f t="shared" si="110"/>
        <v>#N/A</v>
      </c>
      <c r="H591" t="e">
        <f t="shared" si="111"/>
        <v>#N/A</v>
      </c>
      <c r="I591">
        <f t="shared" si="112"/>
        <v>2016</v>
      </c>
      <c r="J591">
        <f t="shared" si="113"/>
        <v>2.2989999999999999</v>
      </c>
      <c r="K591" t="e">
        <f t="shared" si="114"/>
        <v>#N/A</v>
      </c>
      <c r="L591" t="e">
        <f t="shared" si="115"/>
        <v>#N/A</v>
      </c>
      <c r="M591" t="e">
        <f t="shared" si="116"/>
        <v>#N/A</v>
      </c>
      <c r="N591" t="e">
        <f t="shared" si="117"/>
        <v>#N/A</v>
      </c>
      <c r="O591">
        <f t="shared" si="118"/>
        <v>2.000591</v>
      </c>
      <c r="T591">
        <f>IF(connections!$A591="","",IFERROR(INDEX(games!$B$2:$B$834,MATCH(connections!$A591,games!$A$2:$A$834,0)),""))</f>
        <v>2015</v>
      </c>
      <c r="U591">
        <f>IF(connections!$A591="","",IFERROR(INDEX(games!$B$2:$B$834,MATCH(connections!$B591,games!$A$2:$A$834,0)),""))</f>
        <v>2016</v>
      </c>
      <c r="V591">
        <f t="shared" si="119"/>
        <v>1</v>
      </c>
    </row>
    <row r="592" spans="1:22" x14ac:dyDescent="0.25">
      <c r="A592" t="str">
        <f>IF(games!$A592="","",games!$A592)</f>
        <v>Rogue: Genesia</v>
      </c>
      <c r="B592">
        <f>IF($A592="","",games!$B592)</f>
        <v>2022</v>
      </c>
      <c r="C592" t="str">
        <f>IF($A592="","",games!$C592)</f>
        <v>Action</v>
      </c>
      <c r="D592">
        <f>IF($A592="","",COUNTIF(connections!$A$2:$A$1188,$A592)+COUNTIF(connections!$B$2:$B$1188,$A592))</f>
        <v>1</v>
      </c>
      <c r="E592">
        <f t="shared" si="108"/>
        <v>1</v>
      </c>
      <c r="F592">
        <f t="shared" si="109"/>
        <v>14</v>
      </c>
      <c r="G592">
        <f t="shared" si="110"/>
        <v>2022</v>
      </c>
      <c r="H592">
        <f t="shared" si="111"/>
        <v>1.3220000000000001</v>
      </c>
      <c r="I592" t="e">
        <f t="shared" si="112"/>
        <v>#N/A</v>
      </c>
      <c r="J592" t="e">
        <f t="shared" si="113"/>
        <v>#N/A</v>
      </c>
      <c r="K592" t="e">
        <f t="shared" si="114"/>
        <v>#N/A</v>
      </c>
      <c r="L592" t="e">
        <f t="shared" si="115"/>
        <v>#N/A</v>
      </c>
      <c r="M592" t="e">
        <f t="shared" si="116"/>
        <v>#N/A</v>
      </c>
      <c r="N592" t="e">
        <f t="shared" si="117"/>
        <v>#N/A</v>
      </c>
      <c r="O592">
        <f t="shared" si="118"/>
        <v>1.0005919999999999</v>
      </c>
      <c r="T592">
        <f>IF(connections!$A592="","",IFERROR(INDEX(games!$B$2:$B$834,MATCH(connections!$A592,games!$A$2:$A$834,0)),""))</f>
        <v>2015</v>
      </c>
      <c r="U592">
        <f>IF(connections!$A592="","",IFERROR(INDEX(games!$B$2:$B$834,MATCH(connections!$B592,games!$A$2:$A$834,0)),""))</f>
        <v>2017</v>
      </c>
      <c r="V592">
        <f t="shared" si="119"/>
        <v>2</v>
      </c>
    </row>
    <row r="593" spans="1:22" x14ac:dyDescent="0.25">
      <c r="A593" t="str">
        <f>IF(games!$A593="","",games!$A593)</f>
        <v>Roguebook</v>
      </c>
      <c r="B593">
        <f>IF($A593="","",games!$B593)</f>
        <v>2021</v>
      </c>
      <c r="C593" t="str">
        <f>IF($A593="","",games!$C593)</f>
        <v>Deckbuilder</v>
      </c>
      <c r="D593">
        <f>IF($A593="","",COUNTIF(connections!$A$2:$A$1188,$A593)+COUNTIF(connections!$B$2:$B$1188,$A593))</f>
        <v>3</v>
      </c>
      <c r="E593">
        <f t="shared" si="108"/>
        <v>3</v>
      </c>
      <c r="F593">
        <f t="shared" si="109"/>
        <v>15</v>
      </c>
      <c r="G593" t="e">
        <f t="shared" si="110"/>
        <v>#N/A</v>
      </c>
      <c r="H593" t="e">
        <f t="shared" si="111"/>
        <v>#N/A</v>
      </c>
      <c r="I593" t="e">
        <f t="shared" si="112"/>
        <v>#N/A</v>
      </c>
      <c r="J593" t="e">
        <f t="shared" si="113"/>
        <v>#N/A</v>
      </c>
      <c r="K593">
        <f t="shared" si="114"/>
        <v>2021</v>
      </c>
      <c r="L593">
        <f t="shared" si="115"/>
        <v>3.3449999999999998</v>
      </c>
      <c r="M593" t="e">
        <f t="shared" si="116"/>
        <v>#N/A</v>
      </c>
      <c r="N593" t="e">
        <f t="shared" si="117"/>
        <v>#N/A</v>
      </c>
      <c r="O593">
        <f t="shared" si="118"/>
        <v>3.0005929999999998</v>
      </c>
      <c r="T593">
        <f>IF(connections!$A593="","",IFERROR(INDEX(games!$B$2:$B$834,MATCH(connections!$A593,games!$A$2:$A$834,0)),""))</f>
        <v>2015</v>
      </c>
      <c r="U593">
        <f>IF(connections!$A593="","",IFERROR(INDEX(games!$B$2:$B$834,MATCH(connections!$B593,games!$A$2:$A$834,0)),""))</f>
        <v>2023</v>
      </c>
      <c r="V593">
        <f t="shared" si="119"/>
        <v>8</v>
      </c>
    </row>
    <row r="594" spans="1:22" x14ac:dyDescent="0.25">
      <c r="A594" t="str">
        <f>IF(games!$A594="","",games!$A594)</f>
        <v>Rogue-Fp</v>
      </c>
      <c r="B594">
        <f>IF($A594="","",games!$B594)</f>
        <v>2023</v>
      </c>
      <c r="C594" t="str">
        <f>IF($A594="","",games!$C594)</f>
        <v>Traditional</v>
      </c>
      <c r="D594">
        <f>IF($A594="","",COUNTIF(connections!$A$2:$A$1188,$A594)+COUNTIF(connections!$B$2:$B$1188,$A594))</f>
        <v>2</v>
      </c>
      <c r="E594">
        <f t="shared" si="108"/>
        <v>4</v>
      </c>
      <c r="F594">
        <f t="shared" si="109"/>
        <v>16</v>
      </c>
      <c r="G594" t="e">
        <f t="shared" si="110"/>
        <v>#N/A</v>
      </c>
      <c r="H594" t="e">
        <f t="shared" si="111"/>
        <v>#N/A</v>
      </c>
      <c r="I594" t="e">
        <f t="shared" si="112"/>
        <v>#N/A</v>
      </c>
      <c r="J594" t="e">
        <f t="shared" si="113"/>
        <v>#N/A</v>
      </c>
      <c r="K594" t="e">
        <f t="shared" si="114"/>
        <v>#N/A</v>
      </c>
      <c r="L594" t="e">
        <f t="shared" si="115"/>
        <v>#N/A</v>
      </c>
      <c r="M594">
        <f t="shared" si="116"/>
        <v>2023</v>
      </c>
      <c r="N594">
        <f t="shared" si="117"/>
        <v>4.3680000000000003</v>
      </c>
      <c r="O594">
        <f t="shared" si="118"/>
        <v>2.000594</v>
      </c>
      <c r="T594">
        <f>IF(connections!$A594="","",IFERROR(INDEX(games!$B$2:$B$834,MATCH(connections!$A594,games!$A$2:$A$834,0)),""))</f>
        <v>2015</v>
      </c>
      <c r="U594">
        <f>IF(connections!$A594="","",IFERROR(INDEX(games!$B$2:$B$834,MATCH(connections!$B594,games!$A$2:$A$834,0)),""))</f>
        <v>2022</v>
      </c>
      <c r="V594">
        <f t="shared" si="119"/>
        <v>7</v>
      </c>
    </row>
    <row r="595" spans="1:22" x14ac:dyDescent="0.25">
      <c r="A595" t="str">
        <f>IF(games!$A595="","",games!$A595)</f>
        <v>RogueJack21</v>
      </c>
      <c r="B595">
        <f>IF($A595="","",games!$B595)</f>
        <v>2026</v>
      </c>
      <c r="C595" t="str">
        <f>IF($A595="","",games!$C595)</f>
        <v>Deckbuilder</v>
      </c>
      <c r="D595">
        <f>IF($A595="","",COUNTIF(connections!$A$2:$A$1188,$A595)+COUNTIF(connections!$B$2:$B$1188,$A595))</f>
        <v>2</v>
      </c>
      <c r="E595">
        <f t="shared" si="108"/>
        <v>3</v>
      </c>
      <c r="F595">
        <f t="shared" si="109"/>
        <v>17</v>
      </c>
      <c r="G595" t="e">
        <f t="shared" si="110"/>
        <v>#N/A</v>
      </c>
      <c r="H595" t="e">
        <f t="shared" si="111"/>
        <v>#N/A</v>
      </c>
      <c r="I595" t="e">
        <f t="shared" si="112"/>
        <v>#N/A</v>
      </c>
      <c r="J595" t="e">
        <f t="shared" si="113"/>
        <v>#N/A</v>
      </c>
      <c r="K595">
        <f t="shared" si="114"/>
        <v>2026</v>
      </c>
      <c r="L595">
        <f t="shared" si="115"/>
        <v>3.391</v>
      </c>
      <c r="M595" t="e">
        <f t="shared" si="116"/>
        <v>#N/A</v>
      </c>
      <c r="N595" t="e">
        <f t="shared" si="117"/>
        <v>#N/A</v>
      </c>
      <c r="O595">
        <f t="shared" si="118"/>
        <v>2.0005950000000001</v>
      </c>
      <c r="T595">
        <f>IF(connections!$A595="","",IFERROR(INDEX(games!$B$2:$B$834,MATCH(connections!$A595,games!$A$2:$A$834,0)),""))</f>
        <v>2015</v>
      </c>
      <c r="U595">
        <f>IF(connections!$A595="","",IFERROR(INDEX(games!$B$2:$B$834,MATCH(connections!$B595,games!$A$2:$A$834,0)),""))</f>
        <v>2025</v>
      </c>
      <c r="V595">
        <f t="shared" si="119"/>
        <v>10</v>
      </c>
    </row>
    <row r="596" spans="1:22" x14ac:dyDescent="0.25">
      <c r="A596" t="str">
        <f>IF(games!$A596="","",games!$A596)</f>
        <v>Rogue's Tale</v>
      </c>
      <c r="B596">
        <f>IF($A596="","",games!$B596)</f>
        <v>2014</v>
      </c>
      <c r="C596" t="str">
        <f>IF($A596="","",games!$C596)</f>
        <v>Traditional</v>
      </c>
      <c r="D596">
        <f>IF($A596="","",COUNTIF(connections!$A$2:$A$1188,$A596)+COUNTIF(connections!$B$2:$B$1188,$A596))</f>
        <v>1</v>
      </c>
      <c r="E596">
        <f t="shared" si="108"/>
        <v>4</v>
      </c>
      <c r="F596">
        <f t="shared" si="109"/>
        <v>18</v>
      </c>
      <c r="G596" t="e">
        <f t="shared" si="110"/>
        <v>#N/A</v>
      </c>
      <c r="H596" t="e">
        <f t="shared" si="111"/>
        <v>#N/A</v>
      </c>
      <c r="I596" t="e">
        <f t="shared" si="112"/>
        <v>#N/A</v>
      </c>
      <c r="J596" t="e">
        <f t="shared" si="113"/>
        <v>#N/A</v>
      </c>
      <c r="K596" t="e">
        <f t="shared" si="114"/>
        <v>#N/A</v>
      </c>
      <c r="L596" t="e">
        <f t="shared" si="115"/>
        <v>#N/A</v>
      </c>
      <c r="M596">
        <f t="shared" si="116"/>
        <v>2014</v>
      </c>
      <c r="N596">
        <f t="shared" si="117"/>
        <v>4.4139999999999997</v>
      </c>
      <c r="O596">
        <f t="shared" si="118"/>
        <v>1.000596</v>
      </c>
      <c r="T596">
        <f>IF(connections!$A596="","",IFERROR(INDEX(games!$B$2:$B$834,MATCH(connections!$A596,games!$A$2:$A$834,0)),""))</f>
        <v>2015</v>
      </c>
      <c r="U596">
        <f>IF(connections!$A596="","",IFERROR(INDEX(games!$B$2:$B$834,MATCH(connections!$B596,games!$A$2:$A$834,0)),""))</f>
        <v>2020</v>
      </c>
      <c r="V596">
        <f t="shared" si="119"/>
        <v>5</v>
      </c>
    </row>
    <row r="597" spans="1:22" x14ac:dyDescent="0.25">
      <c r="A597" t="str">
        <f>IF(games!$A597="","",games!$A597)</f>
        <v>RogueSlide</v>
      </c>
      <c r="B597">
        <f>IF($A597="","",games!$B597)</f>
        <v>2022</v>
      </c>
      <c r="C597" t="str">
        <f>IF($A597="","",games!$C597)</f>
        <v>Strategy</v>
      </c>
      <c r="D597">
        <f>IF($A597="","",COUNTIF(connections!$A$2:$A$1188,$A597)+COUNTIF(connections!$B$2:$B$1188,$A597))</f>
        <v>0</v>
      </c>
      <c r="E597">
        <f t="shared" si="108"/>
        <v>2</v>
      </c>
      <c r="F597">
        <f t="shared" si="109"/>
        <v>19</v>
      </c>
      <c r="G597" t="e">
        <f t="shared" si="110"/>
        <v>#N/A</v>
      </c>
      <c r="H597" t="e">
        <f t="shared" si="111"/>
        <v>#N/A</v>
      </c>
      <c r="I597">
        <f t="shared" si="112"/>
        <v>2022</v>
      </c>
      <c r="J597">
        <f t="shared" si="113"/>
        <v>2.4369999999999998</v>
      </c>
      <c r="K597" t="e">
        <f t="shared" si="114"/>
        <v>#N/A</v>
      </c>
      <c r="L597" t="e">
        <f t="shared" si="115"/>
        <v>#N/A</v>
      </c>
      <c r="M597" t="e">
        <f t="shared" si="116"/>
        <v>#N/A</v>
      </c>
      <c r="N597" t="e">
        <f t="shared" si="117"/>
        <v>#N/A</v>
      </c>
      <c r="O597">
        <f t="shared" si="118"/>
        <v>5.9699999999999998E-4</v>
      </c>
      <c r="T597">
        <f>IF(connections!$A597="","",IFERROR(INDEX(games!$B$2:$B$834,MATCH(connections!$A597,games!$A$2:$A$834,0)),""))</f>
        <v>2015</v>
      </c>
      <c r="U597">
        <f>IF(connections!$A597="","",IFERROR(INDEX(games!$B$2:$B$834,MATCH(connections!$B597,games!$A$2:$A$834,0)),""))</f>
        <v>2024</v>
      </c>
      <c r="V597">
        <f t="shared" si="119"/>
        <v>9</v>
      </c>
    </row>
    <row r="598" spans="1:22" x14ac:dyDescent="0.25">
      <c r="A598" t="str">
        <f>IF(games!$A598="","",games!$A598)</f>
        <v>Roll</v>
      </c>
      <c r="B598">
        <f>IF($A598="","",games!$B598)</f>
        <v>2021</v>
      </c>
      <c r="C598" t="str">
        <f>IF($A598="","",games!$C598)</f>
        <v>Strategy</v>
      </c>
      <c r="D598">
        <f>IF($A598="","",COUNTIF(connections!$A$2:$A$1188,$A598)+COUNTIF(connections!$B$2:$B$1188,$A598))</f>
        <v>1</v>
      </c>
      <c r="E598">
        <f t="shared" si="108"/>
        <v>2</v>
      </c>
      <c r="F598">
        <f t="shared" si="109"/>
        <v>20</v>
      </c>
      <c r="G598" t="e">
        <f t="shared" si="110"/>
        <v>#N/A</v>
      </c>
      <c r="H598" t="e">
        <f t="shared" si="111"/>
        <v>#N/A</v>
      </c>
      <c r="I598">
        <f t="shared" si="112"/>
        <v>2021</v>
      </c>
      <c r="J598">
        <f t="shared" si="113"/>
        <v>2.46</v>
      </c>
      <c r="K598" t="e">
        <f t="shared" si="114"/>
        <v>#N/A</v>
      </c>
      <c r="L598" t="e">
        <f t="shared" si="115"/>
        <v>#N/A</v>
      </c>
      <c r="M598" t="e">
        <f t="shared" si="116"/>
        <v>#N/A</v>
      </c>
      <c r="N598" t="e">
        <f t="shared" si="117"/>
        <v>#N/A</v>
      </c>
      <c r="O598">
        <f t="shared" si="118"/>
        <v>1.0005980000000001</v>
      </c>
      <c r="T598">
        <f>IF(connections!$A598="","",IFERROR(INDEX(games!$B$2:$B$834,MATCH(connections!$A598,games!$A$2:$A$834,0)),""))</f>
        <v>2015</v>
      </c>
      <c r="U598">
        <f>IF(connections!$A598="","",IFERROR(INDEX(games!$B$2:$B$834,MATCH(connections!$B598,games!$A$2:$A$834,0)),""))</f>
        <v>2022</v>
      </c>
      <c r="V598">
        <f t="shared" si="119"/>
        <v>7</v>
      </c>
    </row>
    <row r="599" spans="1:22" x14ac:dyDescent="0.25">
      <c r="A599" t="str">
        <f>IF(games!$A599="","",games!$A599)</f>
        <v>RollScape</v>
      </c>
      <c r="B599">
        <f>IF($A599="","",games!$B599)</f>
        <v>2024</v>
      </c>
      <c r="C599" t="str">
        <f>IF($A599="","",games!$C599)</f>
        <v>Strategy</v>
      </c>
      <c r="D599">
        <f>IF($A599="","",COUNTIF(connections!$A$2:$A$1188,$A599)+COUNTIF(connections!$B$2:$B$1188,$A599))</f>
        <v>2</v>
      </c>
      <c r="E599">
        <f t="shared" si="108"/>
        <v>2</v>
      </c>
      <c r="F599">
        <f t="shared" si="109"/>
        <v>21</v>
      </c>
      <c r="G599" t="e">
        <f t="shared" si="110"/>
        <v>#N/A</v>
      </c>
      <c r="H599" t="e">
        <f t="shared" si="111"/>
        <v>#N/A</v>
      </c>
      <c r="I599">
        <f t="shared" si="112"/>
        <v>2024</v>
      </c>
      <c r="J599">
        <f t="shared" si="113"/>
        <v>2.4830000000000001</v>
      </c>
      <c r="K599" t="e">
        <f t="shared" si="114"/>
        <v>#N/A</v>
      </c>
      <c r="L599" t="e">
        <f t="shared" si="115"/>
        <v>#N/A</v>
      </c>
      <c r="M599" t="e">
        <f t="shared" si="116"/>
        <v>#N/A</v>
      </c>
      <c r="N599" t="e">
        <f t="shared" si="117"/>
        <v>#N/A</v>
      </c>
      <c r="O599">
        <f t="shared" si="118"/>
        <v>2.0005989999999998</v>
      </c>
      <c r="T599">
        <f>IF(connections!$A599="","",IFERROR(INDEX(games!$B$2:$B$834,MATCH(connections!$A599,games!$A$2:$A$834,0)),""))</f>
        <v>2015</v>
      </c>
      <c r="U599">
        <f>IF(connections!$A599="","",IFERROR(INDEX(games!$B$2:$B$834,MATCH(connections!$B599,games!$A$2:$A$834,0)),""))</f>
        <v>2020</v>
      </c>
      <c r="V599">
        <f t="shared" si="119"/>
        <v>5</v>
      </c>
    </row>
    <row r="600" spans="1:22" x14ac:dyDescent="0.25">
      <c r="A600" t="str">
        <f>IF(games!$A600="","",games!$A600)</f>
        <v>Roulette Dungeon</v>
      </c>
      <c r="B600">
        <f>IF($A600="","",games!$B600)</f>
        <v>2026</v>
      </c>
      <c r="C600" t="str">
        <f>IF($A600="","",games!$C600)</f>
        <v>Deckbuilder</v>
      </c>
      <c r="D600">
        <f>IF($A600="","",COUNTIF(connections!$A$2:$A$1188,$A600)+COUNTIF(connections!$B$2:$B$1188,$A600))</f>
        <v>1</v>
      </c>
      <c r="E600">
        <f t="shared" si="108"/>
        <v>3</v>
      </c>
      <c r="F600">
        <f t="shared" si="109"/>
        <v>22</v>
      </c>
      <c r="G600" t="e">
        <f t="shared" si="110"/>
        <v>#N/A</v>
      </c>
      <c r="H600" t="e">
        <f t="shared" si="111"/>
        <v>#N/A</v>
      </c>
      <c r="I600" t="e">
        <f t="shared" si="112"/>
        <v>#N/A</v>
      </c>
      <c r="J600" t="e">
        <f t="shared" si="113"/>
        <v>#N/A</v>
      </c>
      <c r="K600">
        <f t="shared" si="114"/>
        <v>2026</v>
      </c>
      <c r="L600">
        <f t="shared" si="115"/>
        <v>3.5060000000000002</v>
      </c>
      <c r="M600" t="e">
        <f t="shared" si="116"/>
        <v>#N/A</v>
      </c>
      <c r="N600" t="e">
        <f t="shared" si="117"/>
        <v>#N/A</v>
      </c>
      <c r="O600">
        <f t="shared" si="118"/>
        <v>1.0005999999999999</v>
      </c>
      <c r="T600">
        <f>IF(connections!$A600="","",IFERROR(INDEX(games!$B$2:$B$834,MATCH(connections!$A600,games!$A$2:$A$834,0)),""))</f>
        <v>2015</v>
      </c>
      <c r="U600">
        <f>IF(connections!$A600="","",IFERROR(INDEX(games!$B$2:$B$834,MATCH(connections!$B600,games!$A$2:$A$834,0)),""))</f>
        <v>2024</v>
      </c>
      <c r="V600">
        <f t="shared" si="119"/>
        <v>9</v>
      </c>
    </row>
    <row r="601" spans="1:22" x14ac:dyDescent="0.25">
      <c r="A601" t="str">
        <f>IF(games!$A601="","",games!$A601)</f>
        <v>Roulette Hero</v>
      </c>
      <c r="B601">
        <f>IF($A601="","",games!$B601)</f>
        <v>2025</v>
      </c>
      <c r="C601" t="str">
        <f>IF($A601="","",games!$C601)</f>
        <v>Deckbuilder</v>
      </c>
      <c r="D601">
        <f>IF($A601="","",COUNTIF(connections!$A$2:$A$1188,$A601)+COUNTIF(connections!$B$2:$B$1188,$A601))</f>
        <v>4</v>
      </c>
      <c r="E601">
        <f t="shared" si="108"/>
        <v>3</v>
      </c>
      <c r="F601">
        <f t="shared" si="109"/>
        <v>23</v>
      </c>
      <c r="G601" t="e">
        <f t="shared" si="110"/>
        <v>#N/A</v>
      </c>
      <c r="H601" t="e">
        <f t="shared" si="111"/>
        <v>#N/A</v>
      </c>
      <c r="I601" t="e">
        <f t="shared" si="112"/>
        <v>#N/A</v>
      </c>
      <c r="J601" t="e">
        <f t="shared" si="113"/>
        <v>#N/A</v>
      </c>
      <c r="K601">
        <f t="shared" si="114"/>
        <v>2025</v>
      </c>
      <c r="L601">
        <f t="shared" si="115"/>
        <v>3.5289999999999999</v>
      </c>
      <c r="M601" t="e">
        <f t="shared" si="116"/>
        <v>#N/A</v>
      </c>
      <c r="N601" t="e">
        <f t="shared" si="117"/>
        <v>#N/A</v>
      </c>
      <c r="O601">
        <f t="shared" si="118"/>
        <v>4.0006009999999996</v>
      </c>
      <c r="T601">
        <f>IF(connections!$A601="","",IFERROR(INDEX(games!$B$2:$B$834,MATCH(connections!$A601,games!$A$2:$A$834,0)),""))</f>
        <v>2015</v>
      </c>
      <c r="U601">
        <f>IF(connections!$A601="","",IFERROR(INDEX(games!$B$2:$B$834,MATCH(connections!$B601,games!$A$2:$A$834,0)),""))</f>
        <v>2019</v>
      </c>
      <c r="V601">
        <f t="shared" si="119"/>
        <v>4</v>
      </c>
    </row>
    <row r="602" spans="1:22" x14ac:dyDescent="0.25">
      <c r="A602" t="str">
        <f>IF(games!$A602="","",games!$A602)</f>
        <v>Rounds</v>
      </c>
      <c r="B602">
        <f>IF($A602="","",games!$B602)</f>
        <v>2021</v>
      </c>
      <c r="C602" t="str">
        <f>IF($A602="","",games!$C602)</f>
        <v>Action</v>
      </c>
      <c r="D602">
        <f>IF($A602="","",COUNTIF(connections!$A$2:$A$1188,$A602)+COUNTIF(connections!$B$2:$B$1188,$A602))</f>
        <v>0</v>
      </c>
      <c r="E602">
        <f t="shared" si="108"/>
        <v>1</v>
      </c>
      <c r="F602">
        <f t="shared" si="109"/>
        <v>24</v>
      </c>
      <c r="G602">
        <f t="shared" si="110"/>
        <v>2021</v>
      </c>
      <c r="H602">
        <f t="shared" si="111"/>
        <v>1.552</v>
      </c>
      <c r="I602" t="e">
        <f t="shared" si="112"/>
        <v>#N/A</v>
      </c>
      <c r="J602" t="e">
        <f t="shared" si="113"/>
        <v>#N/A</v>
      </c>
      <c r="K602" t="e">
        <f t="shared" si="114"/>
        <v>#N/A</v>
      </c>
      <c r="L602" t="e">
        <f t="shared" si="115"/>
        <v>#N/A</v>
      </c>
      <c r="M602" t="e">
        <f t="shared" si="116"/>
        <v>#N/A</v>
      </c>
      <c r="N602" t="e">
        <f t="shared" si="117"/>
        <v>#N/A</v>
      </c>
      <c r="O602">
        <f t="shared" si="118"/>
        <v>6.02E-4</v>
      </c>
      <c r="T602">
        <f>IF(connections!$A602="","",IFERROR(INDEX(games!$B$2:$B$834,MATCH(connections!$A602,games!$A$2:$A$834,0)),""))</f>
        <v>2015</v>
      </c>
      <c r="U602">
        <f>IF(connections!$A602="","",IFERROR(INDEX(games!$B$2:$B$834,MATCH(connections!$B602,games!$A$2:$A$834,0)),""))</f>
        <v>2022</v>
      </c>
      <c r="V602">
        <f t="shared" si="119"/>
        <v>7</v>
      </c>
    </row>
    <row r="603" spans="1:22" x14ac:dyDescent="0.25">
      <c r="A603" t="str">
        <f>IF(games!$A603="","",games!$A603)</f>
        <v>Rune Dice</v>
      </c>
      <c r="B603">
        <f>IF($A603="","",games!$B603)</f>
        <v>2026</v>
      </c>
      <c r="C603" t="str">
        <f>IF($A603="","",games!$C603)</f>
        <v>Deckbuilder</v>
      </c>
      <c r="D603">
        <f>IF($A603="","",COUNTIF(connections!$A$2:$A$1188,$A603)+COUNTIF(connections!$B$2:$B$1188,$A603))</f>
        <v>1</v>
      </c>
      <c r="E603">
        <f t="shared" si="108"/>
        <v>3</v>
      </c>
      <c r="F603">
        <f t="shared" si="109"/>
        <v>25</v>
      </c>
      <c r="G603" t="e">
        <f t="shared" si="110"/>
        <v>#N/A</v>
      </c>
      <c r="H603" t="e">
        <f t="shared" si="111"/>
        <v>#N/A</v>
      </c>
      <c r="I603" t="e">
        <f t="shared" si="112"/>
        <v>#N/A</v>
      </c>
      <c r="J603" t="e">
        <f t="shared" si="113"/>
        <v>#N/A</v>
      </c>
      <c r="K603">
        <f t="shared" si="114"/>
        <v>2026</v>
      </c>
      <c r="L603">
        <f t="shared" si="115"/>
        <v>3.5750000000000002</v>
      </c>
      <c r="M603" t="e">
        <f t="shared" si="116"/>
        <v>#N/A</v>
      </c>
      <c r="N603" t="e">
        <f t="shared" si="117"/>
        <v>#N/A</v>
      </c>
      <c r="O603">
        <f t="shared" si="118"/>
        <v>1.0006029999999999</v>
      </c>
      <c r="T603">
        <f>IF(connections!$A603="","",IFERROR(INDEX(games!$B$2:$B$834,MATCH(connections!$A603,games!$A$2:$A$834,0)),""))</f>
        <v>2015</v>
      </c>
      <c r="U603">
        <f>IF(connections!$A603="","",IFERROR(INDEX(games!$B$2:$B$834,MATCH(connections!$B603,games!$A$2:$A$834,0)),""))</f>
        <v>2023</v>
      </c>
      <c r="V603">
        <f t="shared" si="119"/>
        <v>8</v>
      </c>
    </row>
    <row r="604" spans="1:22" x14ac:dyDescent="0.25">
      <c r="A604" t="str">
        <f>IF(games!$A604="","",games!$A604)</f>
        <v>Runeborn</v>
      </c>
      <c r="B604">
        <f>IF($A604="","",games!$B604)</f>
        <v>2025</v>
      </c>
      <c r="C604" t="str">
        <f>IF($A604="","",games!$C604)</f>
        <v>Deckbuilder</v>
      </c>
      <c r="D604">
        <f>IF($A604="","",COUNTIF(connections!$A$2:$A$1188,$A604)+COUNTIF(connections!$B$2:$B$1188,$A604))</f>
        <v>2</v>
      </c>
      <c r="E604">
        <f t="shared" si="108"/>
        <v>3</v>
      </c>
      <c r="F604">
        <f t="shared" si="109"/>
        <v>26</v>
      </c>
      <c r="G604" t="e">
        <f t="shared" si="110"/>
        <v>#N/A</v>
      </c>
      <c r="H604" t="e">
        <f t="shared" si="111"/>
        <v>#N/A</v>
      </c>
      <c r="I604" t="e">
        <f t="shared" si="112"/>
        <v>#N/A</v>
      </c>
      <c r="J604" t="e">
        <f t="shared" si="113"/>
        <v>#N/A</v>
      </c>
      <c r="K604">
        <f t="shared" si="114"/>
        <v>2025</v>
      </c>
      <c r="L604">
        <f t="shared" si="115"/>
        <v>3.5979999999999999</v>
      </c>
      <c r="M604" t="e">
        <f t="shared" si="116"/>
        <v>#N/A</v>
      </c>
      <c r="N604" t="e">
        <f t="shared" si="117"/>
        <v>#N/A</v>
      </c>
      <c r="O604">
        <f t="shared" si="118"/>
        <v>2.000604</v>
      </c>
      <c r="T604">
        <f>IF(connections!$A604="","",IFERROR(INDEX(games!$B$2:$B$834,MATCH(connections!$A604,games!$A$2:$A$834,0)),""))</f>
        <v>1987</v>
      </c>
      <c r="U604">
        <f>IF(connections!$A604="","",IFERROR(INDEX(games!$B$2:$B$834,MATCH(connections!$B604,games!$A$2:$A$834,0)),""))</f>
        <v>2007</v>
      </c>
      <c r="V604">
        <f t="shared" si="119"/>
        <v>20</v>
      </c>
    </row>
    <row r="605" spans="1:22" x14ac:dyDescent="0.25">
      <c r="A605" t="str">
        <f>IF(games!$A605="","",games!$A605)</f>
        <v>Runeveil</v>
      </c>
      <c r="B605">
        <f>IF($A605="","",games!$B605)</f>
        <v>2026</v>
      </c>
      <c r="C605" t="str">
        <f>IF($A605="","",games!$C605)</f>
        <v>Deckbuilder</v>
      </c>
      <c r="D605">
        <f>IF($A605="","",COUNTIF(connections!$A$2:$A$1188,$A605)+COUNTIF(connections!$B$2:$B$1188,$A605))</f>
        <v>2</v>
      </c>
      <c r="E605">
        <f t="shared" si="108"/>
        <v>3</v>
      </c>
      <c r="F605">
        <f t="shared" si="109"/>
        <v>27</v>
      </c>
      <c r="G605" t="e">
        <f t="shared" si="110"/>
        <v>#N/A</v>
      </c>
      <c r="H605" t="e">
        <f t="shared" si="111"/>
        <v>#N/A</v>
      </c>
      <c r="I605" t="e">
        <f t="shared" si="112"/>
        <v>#N/A</v>
      </c>
      <c r="J605" t="e">
        <f t="shared" si="113"/>
        <v>#N/A</v>
      </c>
      <c r="K605">
        <f t="shared" si="114"/>
        <v>2026</v>
      </c>
      <c r="L605">
        <f t="shared" si="115"/>
        <v>3.621</v>
      </c>
      <c r="M605" t="e">
        <f t="shared" si="116"/>
        <v>#N/A</v>
      </c>
      <c r="N605" t="e">
        <f t="shared" si="117"/>
        <v>#N/A</v>
      </c>
      <c r="O605">
        <f t="shared" si="118"/>
        <v>2.0006050000000002</v>
      </c>
      <c r="T605">
        <f>IF(connections!$A605="","",IFERROR(INDEX(games!$B$2:$B$834,MATCH(connections!$A605,games!$A$2:$A$834,0)),""))</f>
        <v>1987</v>
      </c>
      <c r="U605">
        <f>IF(connections!$A605="","",IFERROR(INDEX(games!$B$2:$B$834,MATCH(connections!$B605,games!$A$2:$A$834,0)),""))</f>
        <v>2015</v>
      </c>
      <c r="V605">
        <f t="shared" si="119"/>
        <v>28</v>
      </c>
    </row>
    <row r="606" spans="1:22" x14ac:dyDescent="0.25">
      <c r="A606" t="str">
        <f>IF(games!$A606="","",games!$A606)</f>
        <v>Rungore</v>
      </c>
      <c r="B606">
        <f>IF($A606="","",games!$B606)</f>
        <v>2023</v>
      </c>
      <c r="C606" t="str">
        <f>IF($A606="","",games!$C606)</f>
        <v>Deckbuilder</v>
      </c>
      <c r="D606">
        <f>IF($A606="","",COUNTIF(connections!$A$2:$A$1188,$A606)+COUNTIF(connections!$B$2:$B$1188,$A606))</f>
        <v>2</v>
      </c>
      <c r="E606">
        <f t="shared" si="108"/>
        <v>3</v>
      </c>
      <c r="F606">
        <f t="shared" si="109"/>
        <v>28</v>
      </c>
      <c r="G606" t="e">
        <f t="shared" si="110"/>
        <v>#N/A</v>
      </c>
      <c r="H606" t="e">
        <f t="shared" si="111"/>
        <v>#N/A</v>
      </c>
      <c r="I606" t="e">
        <f t="shared" si="112"/>
        <v>#N/A</v>
      </c>
      <c r="J606" t="e">
        <f t="shared" si="113"/>
        <v>#N/A</v>
      </c>
      <c r="K606">
        <f t="shared" si="114"/>
        <v>2023</v>
      </c>
      <c r="L606">
        <f t="shared" si="115"/>
        <v>3.6440000000000001</v>
      </c>
      <c r="M606" t="e">
        <f t="shared" si="116"/>
        <v>#N/A</v>
      </c>
      <c r="N606" t="e">
        <f t="shared" si="117"/>
        <v>#N/A</v>
      </c>
      <c r="O606">
        <f t="shared" si="118"/>
        <v>2.0006059999999999</v>
      </c>
      <c r="T606">
        <f>IF(connections!$A606="","",IFERROR(INDEX(games!$B$2:$B$834,MATCH(connections!$A606,games!$A$2:$A$834,0)),""))</f>
        <v>1987</v>
      </c>
      <c r="U606">
        <f>IF(connections!$A606="","",IFERROR(INDEX(games!$B$2:$B$834,MATCH(connections!$B606,games!$A$2:$A$834,0)),""))</f>
        <v>1992</v>
      </c>
      <c r="V606">
        <f t="shared" si="119"/>
        <v>5</v>
      </c>
    </row>
    <row r="607" spans="1:22" x14ac:dyDescent="0.25">
      <c r="A607" t="str">
        <f>IF(games!$A607="","",games!$A607)</f>
        <v>Sanae no Chou Tokkyuu: The Express Trial</v>
      </c>
      <c r="B607">
        <f>IF($A607="","",games!$B607)</f>
        <v>2010</v>
      </c>
      <c r="C607" t="str">
        <f>IF($A607="","",games!$C607)</f>
        <v>Traditional</v>
      </c>
      <c r="D607">
        <f>IF($A607="","",COUNTIF(connections!$A$2:$A$1188,$A607)+COUNTIF(connections!$B$2:$B$1188,$A607))</f>
        <v>1</v>
      </c>
      <c r="E607">
        <f t="shared" si="108"/>
        <v>4</v>
      </c>
      <c r="F607">
        <f t="shared" si="109"/>
        <v>29</v>
      </c>
      <c r="G607" t="e">
        <f t="shared" si="110"/>
        <v>#N/A</v>
      </c>
      <c r="H607" t="e">
        <f t="shared" si="111"/>
        <v>#N/A</v>
      </c>
      <c r="I607" t="e">
        <f t="shared" si="112"/>
        <v>#N/A</v>
      </c>
      <c r="J607" t="e">
        <f t="shared" si="113"/>
        <v>#N/A</v>
      </c>
      <c r="K607" t="e">
        <f t="shared" si="114"/>
        <v>#N/A</v>
      </c>
      <c r="L607" t="e">
        <f t="shared" si="115"/>
        <v>#N/A</v>
      </c>
      <c r="M607">
        <f t="shared" si="116"/>
        <v>2010</v>
      </c>
      <c r="N607">
        <f t="shared" si="117"/>
        <v>4.6669999999999998</v>
      </c>
      <c r="O607">
        <f t="shared" si="118"/>
        <v>1.000607</v>
      </c>
      <c r="T607">
        <f>IF(connections!$A607="","",IFERROR(INDEX(games!$B$2:$B$834,MATCH(connections!$A607,games!$A$2:$A$834,0)),""))</f>
        <v>2015</v>
      </c>
      <c r="U607">
        <f>IF(connections!$A607="","",IFERROR(INDEX(games!$B$2:$B$834,MATCH(connections!$B607,games!$A$2:$A$834,0)),""))</f>
        <v>2017</v>
      </c>
      <c r="V607">
        <f t="shared" si="119"/>
        <v>2</v>
      </c>
    </row>
    <row r="608" spans="1:22" x14ac:dyDescent="0.25">
      <c r="A608" t="str">
        <f>IF(games!$A608="","",games!$A608)</f>
        <v>Sandwalkers</v>
      </c>
      <c r="B608">
        <f>IF($A608="","",games!$B608)</f>
        <v>2024</v>
      </c>
      <c r="C608" t="str">
        <f>IF($A608="","",games!$C608)</f>
        <v>Action</v>
      </c>
      <c r="D608">
        <f>IF($A608="","",COUNTIF(connections!$A$2:$A$1188,$A608)+COUNTIF(connections!$B$2:$B$1188,$A608))</f>
        <v>3</v>
      </c>
      <c r="E608">
        <f t="shared" si="108"/>
        <v>1</v>
      </c>
      <c r="F608">
        <f t="shared" si="109"/>
        <v>30</v>
      </c>
      <c r="G608">
        <f t="shared" si="110"/>
        <v>2024</v>
      </c>
      <c r="H608">
        <f t="shared" si="111"/>
        <v>1.69</v>
      </c>
      <c r="I608" t="e">
        <f t="shared" si="112"/>
        <v>#N/A</v>
      </c>
      <c r="J608" t="e">
        <f t="shared" si="113"/>
        <v>#N/A</v>
      </c>
      <c r="K608" t="e">
        <f t="shared" si="114"/>
        <v>#N/A</v>
      </c>
      <c r="L608" t="e">
        <f t="shared" si="115"/>
        <v>#N/A</v>
      </c>
      <c r="M608" t="e">
        <f t="shared" si="116"/>
        <v>#N/A</v>
      </c>
      <c r="N608" t="e">
        <f t="shared" si="117"/>
        <v>#N/A</v>
      </c>
      <c r="O608">
        <f t="shared" si="118"/>
        <v>3.0006080000000002</v>
      </c>
      <c r="T608">
        <f>IF(connections!$A608="","",IFERROR(INDEX(games!$B$2:$B$834,MATCH(connections!$A608,games!$A$2:$A$834,0)),""))</f>
        <v>2017</v>
      </c>
      <c r="U608">
        <f>IF(connections!$A608="","",IFERROR(INDEX(games!$B$2:$B$834,MATCH(connections!$B608,games!$A$2:$A$834,0)),""))</f>
        <v>2019</v>
      </c>
      <c r="V608">
        <f t="shared" si="119"/>
        <v>2</v>
      </c>
    </row>
    <row r="609" spans="1:22" x14ac:dyDescent="0.25">
      <c r="A609" t="str">
        <f>IF(games!$A609="","",games!$A609)</f>
        <v>Scarlet Tower</v>
      </c>
      <c r="B609">
        <f>IF($A609="","",games!$B609)</f>
        <v>2022</v>
      </c>
      <c r="C609" t="str">
        <f>IF($A609="","",games!$C609)</f>
        <v>Action</v>
      </c>
      <c r="D609">
        <f>IF($A609="","",COUNTIF(connections!$A$2:$A$1188,$A609)+COUNTIF(connections!$B$2:$B$1188,$A609))</f>
        <v>1</v>
      </c>
      <c r="E609">
        <f t="shared" si="108"/>
        <v>1</v>
      </c>
      <c r="F609">
        <f t="shared" si="109"/>
        <v>31</v>
      </c>
      <c r="G609">
        <f t="shared" si="110"/>
        <v>2022</v>
      </c>
      <c r="H609">
        <f t="shared" si="111"/>
        <v>1.7130000000000001</v>
      </c>
      <c r="I609" t="e">
        <f t="shared" si="112"/>
        <v>#N/A</v>
      </c>
      <c r="J609" t="e">
        <f t="shared" si="113"/>
        <v>#N/A</v>
      </c>
      <c r="K609" t="e">
        <f t="shared" si="114"/>
        <v>#N/A</v>
      </c>
      <c r="L609" t="e">
        <f t="shared" si="115"/>
        <v>#N/A</v>
      </c>
      <c r="M609" t="e">
        <f t="shared" si="116"/>
        <v>#N/A</v>
      </c>
      <c r="N609" t="e">
        <f t="shared" si="117"/>
        <v>#N/A</v>
      </c>
      <c r="O609">
        <f t="shared" si="118"/>
        <v>1.0006090000000001</v>
      </c>
      <c r="T609">
        <f>IF(connections!$A609="","",IFERROR(INDEX(games!$B$2:$B$834,MATCH(connections!$A609,games!$A$2:$A$834,0)),""))</f>
        <v>2014</v>
      </c>
      <c r="U609">
        <f>IF(connections!$A609="","",IFERROR(INDEX(games!$B$2:$B$834,MATCH(connections!$B609,games!$A$2:$A$834,0)),""))</f>
        <v>2016</v>
      </c>
      <c r="V609">
        <f t="shared" si="119"/>
        <v>2</v>
      </c>
    </row>
    <row r="610" spans="1:22" x14ac:dyDescent="0.25">
      <c r="A610" t="str">
        <f>IF(games!$A610="","",games!$A610)</f>
        <v>Schism</v>
      </c>
      <c r="B610">
        <f>IF($A610="","",games!$B610)</f>
        <v>2023</v>
      </c>
      <c r="C610" t="str">
        <f>IF($A610="","",games!$C610)</f>
        <v>Action</v>
      </c>
      <c r="D610">
        <f>IF($A610="","",COUNTIF(connections!$A$2:$A$1188,$A610)+COUNTIF(connections!$B$2:$B$1188,$A610))</f>
        <v>2</v>
      </c>
      <c r="E610">
        <f t="shared" si="108"/>
        <v>1</v>
      </c>
      <c r="F610">
        <f t="shared" si="109"/>
        <v>32</v>
      </c>
      <c r="G610">
        <f t="shared" si="110"/>
        <v>2023</v>
      </c>
      <c r="H610">
        <f t="shared" si="111"/>
        <v>1.736</v>
      </c>
      <c r="I610" t="e">
        <f t="shared" si="112"/>
        <v>#N/A</v>
      </c>
      <c r="J610" t="e">
        <f t="shared" si="113"/>
        <v>#N/A</v>
      </c>
      <c r="K610" t="e">
        <f t="shared" si="114"/>
        <v>#N/A</v>
      </c>
      <c r="L610" t="e">
        <f t="shared" si="115"/>
        <v>#N/A</v>
      </c>
      <c r="M610" t="e">
        <f t="shared" si="116"/>
        <v>#N/A</v>
      </c>
      <c r="N610" t="e">
        <f t="shared" si="117"/>
        <v>#N/A</v>
      </c>
      <c r="O610">
        <f t="shared" si="118"/>
        <v>2.00061</v>
      </c>
      <c r="T610">
        <f>IF(connections!$A610="","",IFERROR(INDEX(games!$B$2:$B$834,MATCH(connections!$A610,games!$A$2:$A$834,0)),""))</f>
        <v>2021</v>
      </c>
      <c r="U610">
        <f>IF(connections!$A610="","",IFERROR(INDEX(games!$B$2:$B$834,MATCH(connections!$B610,games!$A$2:$A$834,0)),""))</f>
        <v>2024</v>
      </c>
      <c r="V610">
        <f t="shared" si="119"/>
        <v>3</v>
      </c>
    </row>
    <row r="611" spans="1:22" x14ac:dyDescent="0.25">
      <c r="A611" t="str">
        <f>IF(games!$A611="","",games!$A611)</f>
        <v>Scourgebringer</v>
      </c>
      <c r="B611">
        <f>IF($A611="","",games!$B611)</f>
        <v>2020</v>
      </c>
      <c r="C611" t="str">
        <f>IF($A611="","",games!$C611)</f>
        <v>Action</v>
      </c>
      <c r="D611">
        <f>IF($A611="","",COUNTIF(connections!$A$2:$A$1188,$A611)+COUNTIF(connections!$B$2:$B$1188,$A611))</f>
        <v>6</v>
      </c>
      <c r="E611">
        <f t="shared" si="108"/>
        <v>1</v>
      </c>
      <c r="F611">
        <f t="shared" si="109"/>
        <v>33</v>
      </c>
      <c r="G611">
        <f t="shared" si="110"/>
        <v>2020</v>
      </c>
      <c r="H611">
        <f t="shared" si="111"/>
        <v>1.7589999999999999</v>
      </c>
      <c r="I611" t="e">
        <f t="shared" si="112"/>
        <v>#N/A</v>
      </c>
      <c r="J611" t="e">
        <f t="shared" si="113"/>
        <v>#N/A</v>
      </c>
      <c r="K611" t="e">
        <f t="shared" si="114"/>
        <v>#N/A</v>
      </c>
      <c r="L611" t="e">
        <f t="shared" si="115"/>
        <v>#N/A</v>
      </c>
      <c r="M611" t="e">
        <f t="shared" si="116"/>
        <v>#N/A</v>
      </c>
      <c r="N611" t="e">
        <f t="shared" si="117"/>
        <v>#N/A</v>
      </c>
      <c r="O611">
        <f t="shared" si="118"/>
        <v>6.0006110000000001</v>
      </c>
      <c r="T611">
        <f>IF(connections!$A611="","",IFERROR(INDEX(games!$B$2:$B$834,MATCH(connections!$A611,games!$A$2:$A$834,0)),""))</f>
        <v>2021</v>
      </c>
      <c r="U611">
        <f>IF(connections!$A611="","",IFERROR(INDEX(games!$B$2:$B$834,MATCH(connections!$B611,games!$A$2:$A$834,0)),""))</f>
        <v>2023</v>
      </c>
      <c r="V611">
        <f t="shared" si="119"/>
        <v>2</v>
      </c>
    </row>
    <row r="612" spans="1:22" x14ac:dyDescent="0.25">
      <c r="A612" t="str">
        <f>IF(games!$A612="","",games!$A612)</f>
        <v>Sea of Survivors</v>
      </c>
      <c r="B612">
        <f>IF($A612="","",games!$B612)</f>
        <v>2023</v>
      </c>
      <c r="C612" t="str">
        <f>IF($A612="","",games!$C612)</f>
        <v>Action</v>
      </c>
      <c r="D612">
        <f>IF($A612="","",COUNTIF(connections!$A$2:$A$1188,$A612)+COUNTIF(connections!$B$2:$B$1188,$A612))</f>
        <v>1</v>
      </c>
      <c r="E612">
        <f t="shared" si="108"/>
        <v>1</v>
      </c>
      <c r="F612">
        <f t="shared" si="109"/>
        <v>0</v>
      </c>
      <c r="G612">
        <f t="shared" si="110"/>
        <v>2023</v>
      </c>
      <c r="H612">
        <f t="shared" si="111"/>
        <v>1</v>
      </c>
      <c r="I612" t="e">
        <f t="shared" si="112"/>
        <v>#N/A</v>
      </c>
      <c r="J612" t="e">
        <f t="shared" si="113"/>
        <v>#N/A</v>
      </c>
      <c r="K612" t="e">
        <f t="shared" si="114"/>
        <v>#N/A</v>
      </c>
      <c r="L612" t="e">
        <f t="shared" si="115"/>
        <v>#N/A</v>
      </c>
      <c r="M612" t="e">
        <f t="shared" si="116"/>
        <v>#N/A</v>
      </c>
      <c r="N612" t="e">
        <f t="shared" si="117"/>
        <v>#N/A</v>
      </c>
      <c r="O612">
        <f t="shared" si="118"/>
        <v>1.0006120000000001</v>
      </c>
      <c r="T612">
        <f>IF(connections!$A612="","",IFERROR(INDEX(games!$B$2:$B$834,MATCH(connections!$A612,games!$A$2:$A$834,0)),""))</f>
        <v>2022</v>
      </c>
      <c r="U612">
        <f>IF(connections!$A612="","",IFERROR(INDEX(games!$B$2:$B$834,MATCH(connections!$B612,games!$A$2:$A$834,0)),""))</f>
        <v>2025</v>
      </c>
      <c r="V612">
        <f t="shared" si="119"/>
        <v>3</v>
      </c>
    </row>
    <row r="613" spans="1:22" x14ac:dyDescent="0.25">
      <c r="A613" t="str">
        <f>IF(games!$A613="","",games!$A613)</f>
        <v>Section 13</v>
      </c>
      <c r="B613">
        <f>IF($A613="","",games!$B613)</f>
        <v>2023</v>
      </c>
      <c r="C613" t="str">
        <f>IF($A613="","",games!$C613)</f>
        <v>Action</v>
      </c>
      <c r="D613">
        <f>IF($A613="","",COUNTIF(connections!$A$2:$A$1188,$A613)+COUNTIF(connections!$B$2:$B$1188,$A613))</f>
        <v>0</v>
      </c>
      <c r="E613">
        <f t="shared" si="108"/>
        <v>1</v>
      </c>
      <c r="F613">
        <f t="shared" si="109"/>
        <v>1</v>
      </c>
      <c r="G613">
        <f t="shared" si="110"/>
        <v>2023</v>
      </c>
      <c r="H613">
        <f t="shared" si="111"/>
        <v>1.0229999999999999</v>
      </c>
      <c r="I613" t="e">
        <f t="shared" si="112"/>
        <v>#N/A</v>
      </c>
      <c r="J613" t="e">
        <f t="shared" si="113"/>
        <v>#N/A</v>
      </c>
      <c r="K613" t="e">
        <f t="shared" si="114"/>
        <v>#N/A</v>
      </c>
      <c r="L613" t="e">
        <f t="shared" si="115"/>
        <v>#N/A</v>
      </c>
      <c r="M613" t="e">
        <f t="shared" si="116"/>
        <v>#N/A</v>
      </c>
      <c r="N613" t="e">
        <f t="shared" si="117"/>
        <v>#N/A</v>
      </c>
      <c r="O613">
        <f t="shared" si="118"/>
        <v>6.1300000000000005E-4</v>
      </c>
      <c r="T613">
        <f>IF(connections!$A613="","",IFERROR(INDEX(games!$B$2:$B$834,MATCH(connections!$A613,games!$A$2:$A$834,0)),""))</f>
        <v>2022</v>
      </c>
      <c r="U613">
        <f>IF(connections!$A613="","",IFERROR(INDEX(games!$B$2:$B$834,MATCH(connections!$B613,games!$A$2:$A$834,0)),""))</f>
        <v>2024</v>
      </c>
      <c r="V613">
        <f t="shared" si="119"/>
        <v>2</v>
      </c>
    </row>
    <row r="614" spans="1:22" x14ac:dyDescent="0.25">
      <c r="A614" t="str">
        <f>IF(games!$A614="","",games!$A614)</f>
        <v>Seedborne Soldiers</v>
      </c>
      <c r="B614">
        <f>IF($A614="","",games!$B614)</f>
        <v>2025</v>
      </c>
      <c r="C614" t="str">
        <f>IF($A614="","",games!$C614)</f>
        <v>Strategy</v>
      </c>
      <c r="D614">
        <f>IF($A614="","",COUNTIF(connections!$A$2:$A$1188,$A614)+COUNTIF(connections!$B$2:$B$1188,$A614))</f>
        <v>2</v>
      </c>
      <c r="E614">
        <f t="shared" si="108"/>
        <v>2</v>
      </c>
      <c r="F614">
        <f t="shared" si="109"/>
        <v>2</v>
      </c>
      <c r="G614" t="e">
        <f t="shared" si="110"/>
        <v>#N/A</v>
      </c>
      <c r="H614" t="e">
        <f t="shared" si="111"/>
        <v>#N/A</v>
      </c>
      <c r="I614">
        <f t="shared" si="112"/>
        <v>2025</v>
      </c>
      <c r="J614">
        <f t="shared" si="113"/>
        <v>2.0459999999999998</v>
      </c>
      <c r="K614" t="e">
        <f t="shared" si="114"/>
        <v>#N/A</v>
      </c>
      <c r="L614" t="e">
        <f t="shared" si="115"/>
        <v>#N/A</v>
      </c>
      <c r="M614" t="e">
        <f t="shared" si="116"/>
        <v>#N/A</v>
      </c>
      <c r="N614" t="e">
        <f t="shared" si="117"/>
        <v>#N/A</v>
      </c>
      <c r="O614">
        <f t="shared" si="118"/>
        <v>2.0006140000000001</v>
      </c>
      <c r="T614">
        <f>IF(connections!$A614="","",IFERROR(INDEX(games!$B$2:$B$834,MATCH(connections!$A614,games!$A$2:$A$834,0)),""))</f>
        <v>2022</v>
      </c>
      <c r="U614">
        <f>IF(connections!$A614="","",IFERROR(INDEX(games!$B$2:$B$834,MATCH(connections!$B614,games!$A$2:$A$834,0)),""))</f>
        <v>2026</v>
      </c>
      <c r="V614">
        <f t="shared" si="119"/>
        <v>4</v>
      </c>
    </row>
    <row r="615" spans="1:22" x14ac:dyDescent="0.25">
      <c r="A615" t="str">
        <f>IF(games!$A615="","",games!$A615)</f>
        <v>Sephiria</v>
      </c>
      <c r="B615">
        <f>IF($A615="","",games!$B615)</f>
        <v>2025</v>
      </c>
      <c r="C615" t="str">
        <f>IF($A615="","",games!$C615)</f>
        <v>Action</v>
      </c>
      <c r="D615">
        <f>IF($A615="","",COUNTIF(connections!$A$2:$A$1188,$A615)+COUNTIF(connections!$B$2:$B$1188,$A615))</f>
        <v>2</v>
      </c>
      <c r="E615">
        <f t="shared" si="108"/>
        <v>1</v>
      </c>
      <c r="F615">
        <f t="shared" si="109"/>
        <v>3</v>
      </c>
      <c r="G615">
        <f t="shared" si="110"/>
        <v>2025</v>
      </c>
      <c r="H615">
        <f t="shared" si="111"/>
        <v>1.069</v>
      </c>
      <c r="I615" t="e">
        <f t="shared" si="112"/>
        <v>#N/A</v>
      </c>
      <c r="J615" t="e">
        <f t="shared" si="113"/>
        <v>#N/A</v>
      </c>
      <c r="K615" t="e">
        <f t="shared" si="114"/>
        <v>#N/A</v>
      </c>
      <c r="L615" t="e">
        <f t="shared" si="115"/>
        <v>#N/A</v>
      </c>
      <c r="M615" t="e">
        <f t="shared" si="116"/>
        <v>#N/A</v>
      </c>
      <c r="N615" t="e">
        <f t="shared" si="117"/>
        <v>#N/A</v>
      </c>
      <c r="O615">
        <f t="shared" si="118"/>
        <v>2.0006149999999998</v>
      </c>
      <c r="T615">
        <f>IF(connections!$A615="","",IFERROR(INDEX(games!$B$2:$B$834,MATCH(connections!$A615,games!$A$2:$A$834,0)),""))</f>
        <v>2022</v>
      </c>
      <c r="U615">
        <f>IF(connections!$A615="","",IFERROR(INDEX(games!$B$2:$B$834,MATCH(connections!$B615,games!$A$2:$A$834,0)),""))</f>
        <v>2025</v>
      </c>
      <c r="V615">
        <f t="shared" si="119"/>
        <v>3</v>
      </c>
    </row>
    <row r="616" spans="1:22" x14ac:dyDescent="0.25">
      <c r="A616" t="str">
        <f>IF(games!$A616="","",games!$A616)</f>
        <v>Seraph's Last Stand</v>
      </c>
      <c r="B616">
        <f>IF($A616="","",games!$B616)</f>
        <v>2022</v>
      </c>
      <c r="C616" t="str">
        <f>IF($A616="","",games!$C616)</f>
        <v>Action</v>
      </c>
      <c r="D616">
        <f>IF($A616="","",COUNTIF(connections!$A$2:$A$1188,$A616)+COUNTIF(connections!$B$2:$B$1188,$A616))</f>
        <v>1</v>
      </c>
      <c r="E616">
        <f t="shared" si="108"/>
        <v>1</v>
      </c>
      <c r="F616">
        <f t="shared" si="109"/>
        <v>4</v>
      </c>
      <c r="G616">
        <f t="shared" si="110"/>
        <v>2022</v>
      </c>
      <c r="H616">
        <f t="shared" si="111"/>
        <v>1.0920000000000001</v>
      </c>
      <c r="I616" t="e">
        <f t="shared" si="112"/>
        <v>#N/A</v>
      </c>
      <c r="J616" t="e">
        <f t="shared" si="113"/>
        <v>#N/A</v>
      </c>
      <c r="K616" t="e">
        <f t="shared" si="114"/>
        <v>#N/A</v>
      </c>
      <c r="L616" t="e">
        <f t="shared" si="115"/>
        <v>#N/A</v>
      </c>
      <c r="M616" t="e">
        <f t="shared" si="116"/>
        <v>#N/A</v>
      </c>
      <c r="N616" t="e">
        <f t="shared" si="117"/>
        <v>#N/A</v>
      </c>
      <c r="O616">
        <f t="shared" si="118"/>
        <v>1.0006159999999999</v>
      </c>
      <c r="T616">
        <f>IF(connections!$A616="","",IFERROR(INDEX(games!$B$2:$B$834,MATCH(connections!$A616,games!$A$2:$A$834,0)),""))</f>
        <v>2012</v>
      </c>
      <c r="U616">
        <f>IF(connections!$A616="","",IFERROR(INDEX(games!$B$2:$B$834,MATCH(connections!$B616,games!$A$2:$A$834,0)),""))</f>
        <v>2019</v>
      </c>
      <c r="V616">
        <f t="shared" si="119"/>
        <v>7</v>
      </c>
    </row>
    <row r="617" spans="1:22" x14ac:dyDescent="0.25">
      <c r="A617" t="str">
        <f>IF(games!$A617="","",games!$A617)</f>
        <v>Serpent's Gaze</v>
      </c>
      <c r="B617">
        <f>IF($A617="","",games!$B617)</f>
        <v>2026</v>
      </c>
      <c r="C617" t="str">
        <f>IF($A617="","",games!$C617)</f>
        <v>Action</v>
      </c>
      <c r="D617">
        <f>IF($A617="","",COUNTIF(connections!$A$2:$A$1188,$A617)+COUNTIF(connections!$B$2:$B$1188,$A617))</f>
        <v>3</v>
      </c>
      <c r="E617">
        <f t="shared" si="108"/>
        <v>1</v>
      </c>
      <c r="F617">
        <f t="shared" si="109"/>
        <v>5</v>
      </c>
      <c r="G617">
        <f t="shared" si="110"/>
        <v>2026</v>
      </c>
      <c r="H617">
        <f t="shared" si="111"/>
        <v>1.115</v>
      </c>
      <c r="I617" t="e">
        <f t="shared" si="112"/>
        <v>#N/A</v>
      </c>
      <c r="J617" t="e">
        <f t="shared" si="113"/>
        <v>#N/A</v>
      </c>
      <c r="K617" t="e">
        <f t="shared" si="114"/>
        <v>#N/A</v>
      </c>
      <c r="L617" t="e">
        <f t="shared" si="115"/>
        <v>#N/A</v>
      </c>
      <c r="M617" t="e">
        <f t="shared" si="116"/>
        <v>#N/A</v>
      </c>
      <c r="N617" t="e">
        <f t="shared" si="117"/>
        <v>#N/A</v>
      </c>
      <c r="O617">
        <f t="shared" si="118"/>
        <v>3.0006170000000001</v>
      </c>
      <c r="T617">
        <f>IF(connections!$A617="","",IFERROR(INDEX(games!$B$2:$B$834,MATCH(connections!$A617,games!$A$2:$A$834,0)),""))</f>
        <v>2012</v>
      </c>
      <c r="U617">
        <f>IF(connections!$A617="","",IFERROR(INDEX(games!$B$2:$B$834,MATCH(connections!$B617,games!$A$2:$A$834,0)),""))</f>
        <v>2014</v>
      </c>
      <c r="V617">
        <f t="shared" si="119"/>
        <v>2</v>
      </c>
    </row>
    <row r="618" spans="1:22" x14ac:dyDescent="0.25">
      <c r="A618" t="str">
        <f>IF(games!$A618="","",games!$A618)</f>
        <v>Shadow of the Wyrm</v>
      </c>
      <c r="B618">
        <f>IF($A618="","",games!$B618)</f>
        <v>2015</v>
      </c>
      <c r="C618" t="str">
        <f>IF($A618="","",games!$C618)</f>
        <v>Traditional</v>
      </c>
      <c r="D618">
        <f>IF($A618="","",COUNTIF(connections!$A$2:$A$1188,$A618)+COUNTIF(connections!$B$2:$B$1188,$A618))</f>
        <v>2</v>
      </c>
      <c r="E618">
        <f t="shared" si="108"/>
        <v>4</v>
      </c>
      <c r="F618">
        <f t="shared" si="109"/>
        <v>6</v>
      </c>
      <c r="G618" t="e">
        <f t="shared" si="110"/>
        <v>#N/A</v>
      </c>
      <c r="H618" t="e">
        <f t="shared" si="111"/>
        <v>#N/A</v>
      </c>
      <c r="I618" t="e">
        <f t="shared" si="112"/>
        <v>#N/A</v>
      </c>
      <c r="J618" t="e">
        <f t="shared" si="113"/>
        <v>#N/A</v>
      </c>
      <c r="K618" t="e">
        <f t="shared" si="114"/>
        <v>#N/A</v>
      </c>
      <c r="L618" t="e">
        <f t="shared" si="115"/>
        <v>#N/A</v>
      </c>
      <c r="M618">
        <f t="shared" si="116"/>
        <v>2015</v>
      </c>
      <c r="N618">
        <f t="shared" si="117"/>
        <v>4.1379999999999999</v>
      </c>
      <c r="O618">
        <f t="shared" si="118"/>
        <v>2.0006179999999998</v>
      </c>
      <c r="T618">
        <f>IF(connections!$A618="","",IFERROR(INDEX(games!$B$2:$B$834,MATCH(connections!$A618,games!$A$2:$A$834,0)),""))</f>
        <v>2021</v>
      </c>
      <c r="U618">
        <f>IF(connections!$A618="","",IFERROR(INDEX(games!$B$2:$B$834,MATCH(connections!$B618,games!$A$2:$A$834,0)),""))</f>
        <v>2026</v>
      </c>
      <c r="V618">
        <f t="shared" si="119"/>
        <v>5</v>
      </c>
    </row>
    <row r="619" spans="1:22" x14ac:dyDescent="0.25">
      <c r="A619" t="str">
        <f>IF(games!$A619="","",games!$A619)</f>
        <v>Shadowveil: Legend of The Five Rings</v>
      </c>
      <c r="B619">
        <f>IF($A619="","",games!$B619)</f>
        <v>2025</v>
      </c>
      <c r="C619" t="str">
        <f>IF($A619="","",games!$C619)</f>
        <v>Strategy</v>
      </c>
      <c r="D619">
        <f>IF($A619="","",COUNTIF(connections!$A$2:$A$1188,$A619)+COUNTIF(connections!$B$2:$B$1188,$A619))</f>
        <v>2</v>
      </c>
      <c r="E619">
        <f t="shared" si="108"/>
        <v>2</v>
      </c>
      <c r="F619">
        <f t="shared" si="109"/>
        <v>7</v>
      </c>
      <c r="G619" t="e">
        <f t="shared" si="110"/>
        <v>#N/A</v>
      </c>
      <c r="H619" t="e">
        <f t="shared" si="111"/>
        <v>#N/A</v>
      </c>
      <c r="I619">
        <f t="shared" si="112"/>
        <v>2025</v>
      </c>
      <c r="J619">
        <f t="shared" si="113"/>
        <v>2.161</v>
      </c>
      <c r="K619" t="e">
        <f t="shared" si="114"/>
        <v>#N/A</v>
      </c>
      <c r="L619" t="e">
        <f t="shared" si="115"/>
        <v>#N/A</v>
      </c>
      <c r="M619" t="e">
        <f t="shared" si="116"/>
        <v>#N/A</v>
      </c>
      <c r="N619" t="e">
        <f t="shared" si="117"/>
        <v>#N/A</v>
      </c>
      <c r="O619">
        <f t="shared" si="118"/>
        <v>2.0006189999999999</v>
      </c>
      <c r="T619">
        <f>IF(connections!$A619="","",IFERROR(INDEX(games!$B$2:$B$834,MATCH(connections!$A619,games!$A$2:$A$834,0)),""))</f>
        <v>2007</v>
      </c>
      <c r="U619">
        <f>IF(connections!$A619="","",IFERROR(INDEX(games!$B$2:$B$834,MATCH(connections!$B619,games!$A$2:$A$834,0)),""))</f>
        <v>2009</v>
      </c>
      <c r="V619">
        <f t="shared" si="119"/>
        <v>2</v>
      </c>
    </row>
    <row r="620" spans="1:22" x14ac:dyDescent="0.25">
      <c r="A620" t="str">
        <f>IF(games!$A620="","",games!$A620)</f>
        <v>Shape of Dreams</v>
      </c>
      <c r="B620">
        <f>IF($A620="","",games!$B620)</f>
        <v>2025</v>
      </c>
      <c r="C620" t="str">
        <f>IF($A620="","",games!$C620)</f>
        <v>Action</v>
      </c>
      <c r="D620">
        <f>IF($A620="","",COUNTIF(connections!$A$2:$A$1188,$A620)+COUNTIF(connections!$B$2:$B$1188,$A620))</f>
        <v>3</v>
      </c>
      <c r="E620">
        <f t="shared" si="108"/>
        <v>1</v>
      </c>
      <c r="F620">
        <f t="shared" si="109"/>
        <v>8</v>
      </c>
      <c r="G620">
        <f t="shared" si="110"/>
        <v>2025</v>
      </c>
      <c r="H620">
        <f t="shared" si="111"/>
        <v>1.1839999999999999</v>
      </c>
      <c r="I620" t="e">
        <f t="shared" si="112"/>
        <v>#N/A</v>
      </c>
      <c r="J620" t="e">
        <f t="shared" si="113"/>
        <v>#N/A</v>
      </c>
      <c r="K620" t="e">
        <f t="shared" si="114"/>
        <v>#N/A</v>
      </c>
      <c r="L620" t="e">
        <f t="shared" si="115"/>
        <v>#N/A</v>
      </c>
      <c r="M620" t="e">
        <f t="shared" si="116"/>
        <v>#N/A</v>
      </c>
      <c r="N620" t="e">
        <f t="shared" si="117"/>
        <v>#N/A</v>
      </c>
      <c r="O620">
        <f t="shared" si="118"/>
        <v>3.0006200000000001</v>
      </c>
      <c r="T620">
        <f>IF(connections!$A620="","",IFERROR(INDEX(games!$B$2:$B$834,MATCH(connections!$A620,games!$A$2:$A$834,0)),""))</f>
        <v>2005</v>
      </c>
      <c r="U620">
        <f>IF(connections!$A620="","",IFERROR(INDEX(games!$B$2:$B$834,MATCH(connections!$B620,games!$A$2:$A$834,0)),""))</f>
        <v>2025</v>
      </c>
      <c r="V620">
        <f t="shared" si="119"/>
        <v>20</v>
      </c>
    </row>
    <row r="621" spans="1:22" x14ac:dyDescent="0.25">
      <c r="A621" t="str">
        <f>IF(games!$A621="","",games!$A621)</f>
        <v>Shape Shifter: Formations</v>
      </c>
      <c r="B621">
        <f>IF($A621="","",games!$B621)</f>
        <v>2023</v>
      </c>
      <c r="C621" t="str">
        <f>IF($A621="","",games!$C621)</f>
        <v>Action</v>
      </c>
      <c r="D621">
        <f>IF($A621="","",COUNTIF(connections!$A$2:$A$1188,$A621)+COUNTIF(connections!$B$2:$B$1188,$A621))</f>
        <v>2</v>
      </c>
      <c r="E621">
        <f t="shared" si="108"/>
        <v>1</v>
      </c>
      <c r="F621">
        <f t="shared" si="109"/>
        <v>9</v>
      </c>
      <c r="G621">
        <f t="shared" si="110"/>
        <v>2023</v>
      </c>
      <c r="H621">
        <f t="shared" si="111"/>
        <v>1.2070000000000001</v>
      </c>
      <c r="I621" t="e">
        <f t="shared" si="112"/>
        <v>#N/A</v>
      </c>
      <c r="J621" t="e">
        <f t="shared" si="113"/>
        <v>#N/A</v>
      </c>
      <c r="K621" t="e">
        <f t="shared" si="114"/>
        <v>#N/A</v>
      </c>
      <c r="L621" t="e">
        <f t="shared" si="115"/>
        <v>#N/A</v>
      </c>
      <c r="M621" t="e">
        <f t="shared" si="116"/>
        <v>#N/A</v>
      </c>
      <c r="N621" t="e">
        <f t="shared" si="117"/>
        <v>#N/A</v>
      </c>
      <c r="O621">
        <f t="shared" si="118"/>
        <v>2.0006210000000002</v>
      </c>
      <c r="T621">
        <f>IF(connections!$A621="","",IFERROR(INDEX(games!$B$2:$B$834,MATCH(connections!$A621,games!$A$2:$A$834,0)),""))</f>
        <v>2005</v>
      </c>
      <c r="U621">
        <f>IF(connections!$A621="","",IFERROR(INDEX(games!$B$2:$B$834,MATCH(connections!$B621,games!$A$2:$A$834,0)),""))</f>
        <v>2007</v>
      </c>
      <c r="V621">
        <f t="shared" si="119"/>
        <v>2</v>
      </c>
    </row>
    <row r="622" spans="1:22" x14ac:dyDescent="0.25">
      <c r="A622" t="str">
        <f>IF(games!$A622="","",games!$A622)</f>
        <v>Shattered Pixel Dungeon</v>
      </c>
      <c r="B622">
        <f>IF($A622="","",games!$B622)</f>
        <v>2014</v>
      </c>
      <c r="C622" t="str">
        <f>IF($A622="","",games!$C622)</f>
        <v>Traditional</v>
      </c>
      <c r="D622">
        <f>IF($A622="","",COUNTIF(connections!$A$2:$A$1188,$A622)+COUNTIF(connections!$B$2:$B$1188,$A622))</f>
        <v>2</v>
      </c>
      <c r="E622">
        <f t="shared" si="108"/>
        <v>4</v>
      </c>
      <c r="F622">
        <f t="shared" si="109"/>
        <v>10</v>
      </c>
      <c r="G622" t="e">
        <f t="shared" si="110"/>
        <v>#N/A</v>
      </c>
      <c r="H622" t="e">
        <f t="shared" si="111"/>
        <v>#N/A</v>
      </c>
      <c r="I622" t="e">
        <f t="shared" si="112"/>
        <v>#N/A</v>
      </c>
      <c r="J622" t="e">
        <f t="shared" si="113"/>
        <v>#N/A</v>
      </c>
      <c r="K622" t="e">
        <f t="shared" si="114"/>
        <v>#N/A</v>
      </c>
      <c r="L622" t="e">
        <f t="shared" si="115"/>
        <v>#N/A</v>
      </c>
      <c r="M622">
        <f t="shared" si="116"/>
        <v>2014</v>
      </c>
      <c r="N622">
        <f t="shared" si="117"/>
        <v>4.2300000000000004</v>
      </c>
      <c r="O622">
        <f t="shared" si="118"/>
        <v>2.0006219999999999</v>
      </c>
      <c r="T622">
        <f>IF(connections!$A622="","",IFERROR(INDEX(games!$B$2:$B$834,MATCH(connections!$A622,games!$A$2:$A$834,0)),""))</f>
        <v>2005</v>
      </c>
      <c r="U622">
        <f>IF(connections!$A622="","",IFERROR(INDEX(games!$B$2:$B$834,MATCH(connections!$B622,games!$A$2:$A$834,0)),""))</f>
        <v>2012</v>
      </c>
      <c r="V622">
        <f t="shared" si="119"/>
        <v>7</v>
      </c>
    </row>
    <row r="623" spans="1:22" x14ac:dyDescent="0.25">
      <c r="A623" t="str">
        <f>IF(games!$A623="","",games!$A623)</f>
        <v>Ship of Fools</v>
      </c>
      <c r="B623">
        <f>IF($A623="","",games!$B623)</f>
        <v>2022</v>
      </c>
      <c r="C623" t="str">
        <f>IF($A623="","",games!$C623)</f>
        <v>Action</v>
      </c>
      <c r="D623">
        <f>IF($A623="","",COUNTIF(connections!$A$2:$A$1188,$A623)+COUNTIF(connections!$B$2:$B$1188,$A623))</f>
        <v>3</v>
      </c>
      <c r="E623">
        <f t="shared" si="108"/>
        <v>1</v>
      </c>
      <c r="F623">
        <f t="shared" si="109"/>
        <v>11</v>
      </c>
      <c r="G623">
        <f t="shared" si="110"/>
        <v>2022</v>
      </c>
      <c r="H623">
        <f t="shared" si="111"/>
        <v>1.2530000000000001</v>
      </c>
      <c r="I623" t="e">
        <f t="shared" si="112"/>
        <v>#N/A</v>
      </c>
      <c r="J623" t="e">
        <f t="shared" si="113"/>
        <v>#N/A</v>
      </c>
      <c r="K623" t="e">
        <f t="shared" si="114"/>
        <v>#N/A</v>
      </c>
      <c r="L623" t="e">
        <f t="shared" si="115"/>
        <v>#N/A</v>
      </c>
      <c r="M623" t="e">
        <f t="shared" si="116"/>
        <v>#N/A</v>
      </c>
      <c r="N623" t="e">
        <f t="shared" si="117"/>
        <v>#N/A</v>
      </c>
      <c r="O623">
        <f t="shared" si="118"/>
        <v>3.000623</v>
      </c>
      <c r="T623">
        <f>IF(connections!$A623="","",IFERROR(INDEX(games!$B$2:$B$834,MATCH(connections!$A623,games!$A$2:$A$834,0)),""))</f>
        <v>2005</v>
      </c>
      <c r="U623">
        <f>IF(connections!$A623="","",IFERROR(INDEX(games!$B$2:$B$834,MATCH(connections!$B623,games!$A$2:$A$834,0)),""))</f>
        <v>2020</v>
      </c>
      <c r="V623">
        <f t="shared" si="119"/>
        <v>15</v>
      </c>
    </row>
    <row r="624" spans="1:22" x14ac:dyDescent="0.25">
      <c r="A624" t="str">
        <f>IF(games!$A624="","",games!$A624)</f>
        <v>Shiren the Wanderer (2008)</v>
      </c>
      <c r="B624">
        <f>IF($A624="","",games!$B624)</f>
        <v>2008</v>
      </c>
      <c r="C624" t="str">
        <f>IF($A624="","",games!$C624)</f>
        <v>Traditional</v>
      </c>
      <c r="D624">
        <f>IF($A624="","",COUNTIF(connections!$A$2:$A$1188,$A624)+COUNTIF(connections!$B$2:$B$1188,$A624))</f>
        <v>2</v>
      </c>
      <c r="E624">
        <f t="shared" si="108"/>
        <v>4</v>
      </c>
      <c r="F624">
        <f t="shared" si="109"/>
        <v>12</v>
      </c>
      <c r="G624" t="e">
        <f t="shared" si="110"/>
        <v>#N/A</v>
      </c>
      <c r="H624" t="e">
        <f t="shared" si="111"/>
        <v>#N/A</v>
      </c>
      <c r="I624" t="e">
        <f t="shared" si="112"/>
        <v>#N/A</v>
      </c>
      <c r="J624" t="e">
        <f t="shared" si="113"/>
        <v>#N/A</v>
      </c>
      <c r="K624" t="e">
        <f t="shared" si="114"/>
        <v>#N/A</v>
      </c>
      <c r="L624" t="e">
        <f t="shared" si="115"/>
        <v>#N/A</v>
      </c>
      <c r="M624">
        <f t="shared" si="116"/>
        <v>2008</v>
      </c>
      <c r="N624">
        <f t="shared" si="117"/>
        <v>4.2759999999999998</v>
      </c>
      <c r="O624">
        <f t="shared" si="118"/>
        <v>2.0006240000000002</v>
      </c>
      <c r="T624">
        <f>IF(connections!$A624="","",IFERROR(INDEX(games!$B$2:$B$834,MATCH(connections!$A624,games!$A$2:$A$834,0)),""))</f>
        <v>2005</v>
      </c>
      <c r="U624">
        <f>IF(connections!$A624="","",IFERROR(INDEX(games!$B$2:$B$834,MATCH(connections!$B624,games!$A$2:$A$834,0)),""))</f>
        <v>2015</v>
      </c>
      <c r="V624">
        <f t="shared" si="119"/>
        <v>10</v>
      </c>
    </row>
    <row r="625" spans="1:22" x14ac:dyDescent="0.25">
      <c r="A625" t="str">
        <f>IF(games!$A625="","",games!$A625)</f>
        <v>Shiren the Wanderer 2: Shiren's Castle and the Oni Invasion</v>
      </c>
      <c r="B625">
        <f>IF($A625="","",games!$B625)</f>
        <v>2000</v>
      </c>
      <c r="C625" t="str">
        <f>IF($A625="","",games!$C625)</f>
        <v>Traditional</v>
      </c>
      <c r="D625">
        <f>IF($A625="","",COUNTIF(connections!$A$2:$A$1188,$A625)+COUNTIF(connections!$B$2:$B$1188,$A625))</f>
        <v>3</v>
      </c>
      <c r="E625">
        <f t="shared" si="108"/>
        <v>4</v>
      </c>
      <c r="F625">
        <f t="shared" si="109"/>
        <v>13</v>
      </c>
      <c r="G625" t="e">
        <f t="shared" si="110"/>
        <v>#N/A</v>
      </c>
      <c r="H625" t="e">
        <f t="shared" si="111"/>
        <v>#N/A</v>
      </c>
      <c r="I625" t="e">
        <f t="shared" si="112"/>
        <v>#N/A</v>
      </c>
      <c r="J625" t="e">
        <f t="shared" si="113"/>
        <v>#N/A</v>
      </c>
      <c r="K625" t="e">
        <f t="shared" si="114"/>
        <v>#N/A</v>
      </c>
      <c r="L625" t="e">
        <f t="shared" si="115"/>
        <v>#N/A</v>
      </c>
      <c r="M625">
        <f t="shared" si="116"/>
        <v>2000</v>
      </c>
      <c r="N625">
        <f t="shared" si="117"/>
        <v>4.2990000000000004</v>
      </c>
      <c r="O625">
        <f t="shared" si="118"/>
        <v>3.0006249999999999</v>
      </c>
      <c r="T625">
        <f>IF(connections!$A625="","",IFERROR(INDEX(games!$B$2:$B$834,MATCH(connections!$A625,games!$A$2:$A$834,0)),""))</f>
        <v>2024</v>
      </c>
      <c r="U625">
        <f>IF(connections!$A625="","",IFERROR(INDEX(games!$B$2:$B$834,MATCH(connections!$B625,games!$A$2:$A$834,0)),""))</f>
        <v>2025</v>
      </c>
      <c r="V625">
        <f t="shared" si="119"/>
        <v>1</v>
      </c>
    </row>
    <row r="626" spans="1:22" x14ac:dyDescent="0.25">
      <c r="A626" t="str">
        <f>IF(games!$A626="","",games!$A626)</f>
        <v>Shiren the Wanderer 4: The Eye of God and the Devil's Navel</v>
      </c>
      <c r="B626">
        <f>IF($A626="","",games!$B626)</f>
        <v>2010</v>
      </c>
      <c r="C626" t="str">
        <f>IF($A626="","",games!$C626)</f>
        <v>Traditional</v>
      </c>
      <c r="D626">
        <f>IF($A626="","",COUNTIF(connections!$A$2:$A$1188,$A626)+COUNTIF(connections!$B$2:$B$1188,$A626))</f>
        <v>2</v>
      </c>
      <c r="E626">
        <f t="shared" si="108"/>
        <v>4</v>
      </c>
      <c r="F626">
        <f t="shared" si="109"/>
        <v>14</v>
      </c>
      <c r="G626" t="e">
        <f t="shared" si="110"/>
        <v>#N/A</v>
      </c>
      <c r="H626" t="e">
        <f t="shared" si="111"/>
        <v>#N/A</v>
      </c>
      <c r="I626" t="e">
        <f t="shared" si="112"/>
        <v>#N/A</v>
      </c>
      <c r="J626" t="e">
        <f t="shared" si="113"/>
        <v>#N/A</v>
      </c>
      <c r="K626" t="e">
        <f t="shared" si="114"/>
        <v>#N/A</v>
      </c>
      <c r="L626" t="e">
        <f t="shared" si="115"/>
        <v>#N/A</v>
      </c>
      <c r="M626">
        <f t="shared" si="116"/>
        <v>2010</v>
      </c>
      <c r="N626">
        <f t="shared" si="117"/>
        <v>4.3220000000000001</v>
      </c>
      <c r="O626">
        <f t="shared" si="118"/>
        <v>2.000626</v>
      </c>
      <c r="T626">
        <f>IF(connections!$A626="","",IFERROR(INDEX(games!$B$2:$B$834,MATCH(connections!$A626,games!$A$2:$A$834,0)),""))</f>
        <v>2020</v>
      </c>
      <c r="U626">
        <f>IF(connections!$A626="","",IFERROR(INDEX(games!$B$2:$B$834,MATCH(connections!$B626,games!$A$2:$A$834,0)),""))</f>
        <v>2023</v>
      </c>
      <c r="V626">
        <f t="shared" si="119"/>
        <v>3</v>
      </c>
    </row>
    <row r="627" spans="1:22" x14ac:dyDescent="0.25">
      <c r="A627" t="str">
        <f>IF(games!$A627="","",games!$A627)</f>
        <v>Shiren the Wanderer Gaiden: Asuka the Swordswoman</v>
      </c>
      <c r="B627">
        <f>IF($A627="","",games!$B627)</f>
        <v>2002</v>
      </c>
      <c r="C627" t="str">
        <f>IF($A627="","",games!$C627)</f>
        <v>Traditional</v>
      </c>
      <c r="D627">
        <f>IF($A627="","",COUNTIF(connections!$A$2:$A$1188,$A627)+COUNTIF(connections!$B$2:$B$1188,$A627))</f>
        <v>1</v>
      </c>
      <c r="E627">
        <f t="shared" si="108"/>
        <v>4</v>
      </c>
      <c r="F627">
        <f t="shared" si="109"/>
        <v>15</v>
      </c>
      <c r="G627" t="e">
        <f t="shared" si="110"/>
        <v>#N/A</v>
      </c>
      <c r="H627" t="e">
        <f t="shared" si="111"/>
        <v>#N/A</v>
      </c>
      <c r="I627" t="e">
        <f t="shared" si="112"/>
        <v>#N/A</v>
      </c>
      <c r="J627" t="e">
        <f t="shared" si="113"/>
        <v>#N/A</v>
      </c>
      <c r="K627" t="e">
        <f t="shared" si="114"/>
        <v>#N/A</v>
      </c>
      <c r="L627" t="e">
        <f t="shared" si="115"/>
        <v>#N/A</v>
      </c>
      <c r="M627">
        <f t="shared" si="116"/>
        <v>2002</v>
      </c>
      <c r="N627">
        <f t="shared" si="117"/>
        <v>4.3449999999999998</v>
      </c>
      <c r="O627">
        <f t="shared" si="118"/>
        <v>1.0006269999999999</v>
      </c>
      <c r="T627">
        <f>IF(connections!$A627="","",IFERROR(INDEX(games!$B$2:$B$834,MATCH(connections!$A627,games!$A$2:$A$834,0)),""))</f>
        <v>2003</v>
      </c>
      <c r="U627">
        <f>IF(connections!$A627="","",IFERROR(INDEX(games!$B$2:$B$834,MATCH(connections!$B627,games!$A$2:$A$834,0)),""))</f>
        <v>2010</v>
      </c>
      <c r="V627">
        <f t="shared" si="119"/>
        <v>7</v>
      </c>
    </row>
    <row r="628" spans="1:22" x14ac:dyDescent="0.25">
      <c r="A628" t="str">
        <f>IF(games!$A628="","",games!$A628)</f>
        <v>Shiren the Wanderer GB: Monster of Moonlight Village</v>
      </c>
      <c r="B628">
        <f>IF($A628="","",games!$B628)</f>
        <v>1996</v>
      </c>
      <c r="C628" t="str">
        <f>IF($A628="","",games!$C628)</f>
        <v>Traditional</v>
      </c>
      <c r="D628">
        <f>IF($A628="","",COUNTIF(connections!$A$2:$A$1188,$A628)+COUNTIF(connections!$B$2:$B$1188,$A628))</f>
        <v>2</v>
      </c>
      <c r="E628">
        <f t="shared" si="108"/>
        <v>4</v>
      </c>
      <c r="F628">
        <f t="shared" si="109"/>
        <v>16</v>
      </c>
      <c r="G628" t="e">
        <f t="shared" si="110"/>
        <v>#N/A</v>
      </c>
      <c r="H628" t="e">
        <f t="shared" si="111"/>
        <v>#N/A</v>
      </c>
      <c r="I628" t="e">
        <f t="shared" si="112"/>
        <v>#N/A</v>
      </c>
      <c r="J628" t="e">
        <f t="shared" si="113"/>
        <v>#N/A</v>
      </c>
      <c r="K628" t="e">
        <f t="shared" si="114"/>
        <v>#N/A</v>
      </c>
      <c r="L628" t="e">
        <f t="shared" si="115"/>
        <v>#N/A</v>
      </c>
      <c r="M628">
        <f t="shared" si="116"/>
        <v>1996</v>
      </c>
      <c r="N628">
        <f t="shared" si="117"/>
        <v>4.3680000000000003</v>
      </c>
      <c r="O628">
        <f t="shared" si="118"/>
        <v>2.0006279999999999</v>
      </c>
      <c r="T628">
        <f>IF(connections!$A628="","",IFERROR(INDEX(games!$B$2:$B$834,MATCH(connections!$A628,games!$A$2:$A$834,0)),""))</f>
        <v>2003</v>
      </c>
      <c r="U628">
        <f>IF(connections!$A628="","",IFERROR(INDEX(games!$B$2:$B$834,MATCH(connections!$B628,games!$A$2:$A$834,0)),""))</f>
        <v>2015</v>
      </c>
      <c r="V628">
        <f t="shared" si="119"/>
        <v>12</v>
      </c>
    </row>
    <row r="629" spans="1:22" x14ac:dyDescent="0.25">
      <c r="A629" t="str">
        <f>IF(games!$A629="","",games!$A629)</f>
        <v>Shiren the Wanderer GB2: Magic Castle of the Desert</v>
      </c>
      <c r="B629">
        <f>IF($A629="","",games!$B629)</f>
        <v>2001</v>
      </c>
      <c r="C629" t="str">
        <f>IF($A629="","",games!$C629)</f>
        <v>Traditional</v>
      </c>
      <c r="D629">
        <f>IF($A629="","",COUNTIF(connections!$A$2:$A$1188,$A629)+COUNTIF(connections!$B$2:$B$1188,$A629))</f>
        <v>1</v>
      </c>
      <c r="E629">
        <f t="shared" si="108"/>
        <v>4</v>
      </c>
      <c r="F629">
        <f t="shared" si="109"/>
        <v>17</v>
      </c>
      <c r="G629" t="e">
        <f t="shared" si="110"/>
        <v>#N/A</v>
      </c>
      <c r="H629" t="e">
        <f t="shared" si="111"/>
        <v>#N/A</v>
      </c>
      <c r="I629" t="e">
        <f t="shared" si="112"/>
        <v>#N/A</v>
      </c>
      <c r="J629" t="e">
        <f t="shared" si="113"/>
        <v>#N/A</v>
      </c>
      <c r="K629" t="e">
        <f t="shared" si="114"/>
        <v>#N/A</v>
      </c>
      <c r="L629" t="e">
        <f t="shared" si="115"/>
        <v>#N/A</v>
      </c>
      <c r="M629">
        <f t="shared" si="116"/>
        <v>2001</v>
      </c>
      <c r="N629">
        <f t="shared" si="117"/>
        <v>4.391</v>
      </c>
      <c r="O629">
        <f t="shared" si="118"/>
        <v>1.000629</v>
      </c>
      <c r="T629">
        <f>IF(connections!$A629="","",IFERROR(INDEX(games!$B$2:$B$834,MATCH(connections!$A629,games!$A$2:$A$834,0)),""))</f>
        <v>2003</v>
      </c>
      <c r="U629">
        <f>IF(connections!$A629="","",IFERROR(INDEX(games!$B$2:$B$834,MATCH(connections!$B629,games!$A$2:$A$834,0)),""))</f>
        <v>2017</v>
      </c>
      <c r="V629">
        <f t="shared" si="119"/>
        <v>14</v>
      </c>
    </row>
    <row r="630" spans="1:22" x14ac:dyDescent="0.25">
      <c r="A630" t="str">
        <f>IF(games!$A630="","",games!$A630)</f>
        <v>Shiren the Wanderer: The Mystery Dungeon of Serpentcoil Island</v>
      </c>
      <c r="B630">
        <f>IF($A630="","",games!$B630)</f>
        <v>2024</v>
      </c>
      <c r="C630" t="str">
        <f>IF($A630="","",games!$C630)</f>
        <v>Traditional</v>
      </c>
      <c r="D630">
        <f>IF($A630="","",COUNTIF(connections!$A$2:$A$1188,$A630)+COUNTIF(connections!$B$2:$B$1188,$A630))</f>
        <v>1</v>
      </c>
      <c r="E630">
        <f t="shared" si="108"/>
        <v>4</v>
      </c>
      <c r="F630">
        <f t="shared" si="109"/>
        <v>18</v>
      </c>
      <c r="G630" t="e">
        <f t="shared" si="110"/>
        <v>#N/A</v>
      </c>
      <c r="H630" t="e">
        <f t="shared" si="111"/>
        <v>#N/A</v>
      </c>
      <c r="I630" t="e">
        <f t="shared" si="112"/>
        <v>#N/A</v>
      </c>
      <c r="J630" t="e">
        <f t="shared" si="113"/>
        <v>#N/A</v>
      </c>
      <c r="K630" t="e">
        <f t="shared" si="114"/>
        <v>#N/A</v>
      </c>
      <c r="L630" t="e">
        <f t="shared" si="115"/>
        <v>#N/A</v>
      </c>
      <c r="M630">
        <f t="shared" si="116"/>
        <v>2024</v>
      </c>
      <c r="N630">
        <f t="shared" si="117"/>
        <v>4.4139999999999997</v>
      </c>
      <c r="O630">
        <f t="shared" si="118"/>
        <v>1.0006299999999999</v>
      </c>
      <c r="T630">
        <f>IF(connections!$A630="","",IFERROR(INDEX(games!$B$2:$B$834,MATCH(connections!$A630,games!$A$2:$A$834,0)),""))</f>
        <v>2003</v>
      </c>
      <c r="U630">
        <f>IF(connections!$A630="","",IFERROR(INDEX(games!$B$2:$B$834,MATCH(connections!$B630,games!$A$2:$A$834,0)),""))</f>
        <v>2014</v>
      </c>
      <c r="V630">
        <f t="shared" si="119"/>
        <v>11</v>
      </c>
    </row>
    <row r="631" spans="1:22" x14ac:dyDescent="0.25">
      <c r="A631" t="str">
        <f>IF(games!$A631="","",games!$A631)</f>
        <v>Shiren the Wanderer: The Tower of Fortune and the Dice of Fate</v>
      </c>
      <c r="B631">
        <f>IF($A631="","",games!$B631)</f>
        <v>2010</v>
      </c>
      <c r="C631" t="str">
        <f>IF($A631="","",games!$C631)</f>
        <v>Traditional</v>
      </c>
      <c r="D631">
        <f>IF($A631="","",COUNTIF(connections!$A$2:$A$1188,$A631)+COUNTIF(connections!$B$2:$B$1188,$A631))</f>
        <v>2</v>
      </c>
      <c r="E631">
        <f t="shared" si="108"/>
        <v>4</v>
      </c>
      <c r="F631">
        <f t="shared" si="109"/>
        <v>19</v>
      </c>
      <c r="G631" t="e">
        <f t="shared" si="110"/>
        <v>#N/A</v>
      </c>
      <c r="H631" t="e">
        <f t="shared" si="111"/>
        <v>#N/A</v>
      </c>
      <c r="I631" t="e">
        <f t="shared" si="112"/>
        <v>#N/A</v>
      </c>
      <c r="J631" t="e">
        <f t="shared" si="113"/>
        <v>#N/A</v>
      </c>
      <c r="K631" t="e">
        <f t="shared" si="114"/>
        <v>#N/A</v>
      </c>
      <c r="L631" t="e">
        <f t="shared" si="115"/>
        <v>#N/A</v>
      </c>
      <c r="M631">
        <f t="shared" si="116"/>
        <v>2010</v>
      </c>
      <c r="N631">
        <f t="shared" si="117"/>
        <v>4.4370000000000003</v>
      </c>
      <c r="O631">
        <f t="shared" si="118"/>
        <v>2.0006309999999998</v>
      </c>
      <c r="T631">
        <f>IF(connections!$A631="","",IFERROR(INDEX(games!$B$2:$B$834,MATCH(connections!$A631,games!$A$2:$A$834,0)),""))</f>
        <v>2003</v>
      </c>
      <c r="U631">
        <f>IF(connections!$A631="","",IFERROR(INDEX(games!$B$2:$B$834,MATCH(connections!$B631,games!$A$2:$A$834,0)),""))</f>
        <v>2011</v>
      </c>
      <c r="V631">
        <f t="shared" si="119"/>
        <v>8</v>
      </c>
    </row>
    <row r="632" spans="1:22" x14ac:dyDescent="0.25">
      <c r="A632" t="str">
        <f>IF(games!$A632="","",games!$A632)</f>
        <v>Shogun Showdown</v>
      </c>
      <c r="B632">
        <f>IF($A632="","",games!$B632)</f>
        <v>2023</v>
      </c>
      <c r="C632" t="str">
        <f>IF($A632="","",games!$C632)</f>
        <v>Strategy</v>
      </c>
      <c r="D632">
        <f>IF($A632="","",COUNTIF(connections!$A$2:$A$1188,$A632)+COUNTIF(connections!$B$2:$B$1188,$A632))</f>
        <v>5</v>
      </c>
      <c r="E632">
        <f t="shared" si="108"/>
        <v>2</v>
      </c>
      <c r="F632">
        <f t="shared" si="109"/>
        <v>20</v>
      </c>
      <c r="G632" t="e">
        <f t="shared" si="110"/>
        <v>#N/A</v>
      </c>
      <c r="H632" t="e">
        <f t="shared" si="111"/>
        <v>#N/A</v>
      </c>
      <c r="I632">
        <f t="shared" si="112"/>
        <v>2023</v>
      </c>
      <c r="J632">
        <f t="shared" si="113"/>
        <v>2.46</v>
      </c>
      <c r="K632" t="e">
        <f t="shared" si="114"/>
        <v>#N/A</v>
      </c>
      <c r="L632" t="e">
        <f t="shared" si="115"/>
        <v>#N/A</v>
      </c>
      <c r="M632" t="e">
        <f t="shared" si="116"/>
        <v>#N/A</v>
      </c>
      <c r="N632" t="e">
        <f t="shared" si="117"/>
        <v>#N/A</v>
      </c>
      <c r="O632">
        <f t="shared" si="118"/>
        <v>5.0006320000000004</v>
      </c>
      <c r="T632">
        <f>IF(connections!$A632="","",IFERROR(INDEX(games!$B$2:$B$834,MATCH(connections!$A632,games!$A$2:$A$834,0)),""))</f>
        <v>1992</v>
      </c>
      <c r="U632">
        <f>IF(connections!$A632="","",IFERROR(INDEX(games!$B$2:$B$834,MATCH(connections!$B632,games!$A$2:$A$834,0)),""))</f>
        <v>2012</v>
      </c>
      <c r="V632">
        <f t="shared" si="119"/>
        <v>20</v>
      </c>
    </row>
    <row r="633" spans="1:22" x14ac:dyDescent="0.25">
      <c r="A633" t="str">
        <f>IF(games!$A633="","",games!$A633)</f>
        <v>Shoot First</v>
      </c>
      <c r="B633">
        <f>IF($A633="","",games!$B633)</f>
        <v>2010</v>
      </c>
      <c r="C633" t="str">
        <f>IF($A633="","",games!$C633)</f>
        <v>Action</v>
      </c>
      <c r="D633">
        <f>IF($A633="","",COUNTIF(connections!$A$2:$A$1188,$A633)+COUNTIF(connections!$B$2:$B$1188,$A633))</f>
        <v>1</v>
      </c>
      <c r="E633">
        <f t="shared" si="108"/>
        <v>1</v>
      </c>
      <c r="F633">
        <f t="shared" si="109"/>
        <v>21</v>
      </c>
      <c r="G633">
        <f t="shared" si="110"/>
        <v>2010</v>
      </c>
      <c r="H633">
        <f t="shared" si="111"/>
        <v>1.4830000000000001</v>
      </c>
      <c r="I633" t="e">
        <f t="shared" si="112"/>
        <v>#N/A</v>
      </c>
      <c r="J633" t="e">
        <f t="shared" si="113"/>
        <v>#N/A</v>
      </c>
      <c r="K633" t="e">
        <f t="shared" si="114"/>
        <v>#N/A</v>
      </c>
      <c r="L633" t="e">
        <f t="shared" si="115"/>
        <v>#N/A</v>
      </c>
      <c r="M633" t="e">
        <f t="shared" si="116"/>
        <v>#N/A</v>
      </c>
      <c r="N633" t="e">
        <f t="shared" si="117"/>
        <v>#N/A</v>
      </c>
      <c r="O633">
        <f t="shared" si="118"/>
        <v>1.0006330000000001</v>
      </c>
      <c r="T633">
        <f>IF(connections!$A633="","",IFERROR(INDEX(games!$B$2:$B$834,MATCH(connections!$A633,games!$A$2:$A$834,0)),""))</f>
        <v>2023</v>
      </c>
      <c r="U633">
        <f>IF(connections!$A633="","",IFERROR(INDEX(games!$B$2:$B$834,MATCH(connections!$B633,games!$A$2:$A$834,0)),""))</f>
        <v>2025</v>
      </c>
      <c r="V633">
        <f t="shared" si="119"/>
        <v>2</v>
      </c>
    </row>
    <row r="634" spans="1:22" x14ac:dyDescent="0.25">
      <c r="A634" t="str">
        <f>IF(games!$A634="","",games!$A634)</f>
        <v>Shotgun King: The Final Checkmate</v>
      </c>
      <c r="B634">
        <f>IF($A634="","",games!$B634)</f>
        <v>2022</v>
      </c>
      <c r="C634" t="str">
        <f>IF($A634="","",games!$C634)</f>
        <v>Strategy</v>
      </c>
      <c r="D634">
        <f>IF($A634="","",COUNTIF(connections!$A$2:$A$1188,$A634)+COUNTIF(connections!$B$2:$B$1188,$A634))</f>
        <v>3</v>
      </c>
      <c r="E634">
        <f t="shared" si="108"/>
        <v>2</v>
      </c>
      <c r="F634">
        <f t="shared" si="109"/>
        <v>22</v>
      </c>
      <c r="G634" t="e">
        <f t="shared" si="110"/>
        <v>#N/A</v>
      </c>
      <c r="H634" t="e">
        <f t="shared" si="111"/>
        <v>#N/A</v>
      </c>
      <c r="I634">
        <f t="shared" si="112"/>
        <v>2022</v>
      </c>
      <c r="J634">
        <f t="shared" si="113"/>
        <v>2.5060000000000002</v>
      </c>
      <c r="K634" t="e">
        <f t="shared" si="114"/>
        <v>#N/A</v>
      </c>
      <c r="L634" t="e">
        <f t="shared" si="115"/>
        <v>#N/A</v>
      </c>
      <c r="M634" t="e">
        <f t="shared" si="116"/>
        <v>#N/A</v>
      </c>
      <c r="N634" t="e">
        <f t="shared" si="117"/>
        <v>#N/A</v>
      </c>
      <c r="O634">
        <f t="shared" si="118"/>
        <v>3.0006339999999998</v>
      </c>
      <c r="T634">
        <f>IF(connections!$A634="","",IFERROR(INDEX(games!$B$2:$B$834,MATCH(connections!$A634,games!$A$2:$A$834,0)),""))</f>
        <v>2010</v>
      </c>
      <c r="U634">
        <f>IF(connections!$A634="","",IFERROR(INDEX(games!$B$2:$B$834,MATCH(connections!$B634,games!$A$2:$A$834,0)),""))</f>
        <v>2026</v>
      </c>
      <c r="V634">
        <f t="shared" si="119"/>
        <v>16</v>
      </c>
    </row>
    <row r="635" spans="1:22" x14ac:dyDescent="0.25">
      <c r="A635" t="str">
        <f>IF(games!$A635="","",games!$A635)</f>
        <v>Shovel Knight Dig</v>
      </c>
      <c r="B635">
        <f>IF($A635="","",games!$B635)</f>
        <v>2022</v>
      </c>
      <c r="C635" t="str">
        <f>IF($A635="","",games!$C635)</f>
        <v>Action</v>
      </c>
      <c r="D635">
        <f>IF($A635="","",COUNTIF(connections!$A$2:$A$1188,$A635)+COUNTIF(connections!$B$2:$B$1188,$A635))</f>
        <v>2</v>
      </c>
      <c r="E635">
        <f t="shared" si="108"/>
        <v>1</v>
      </c>
      <c r="F635">
        <f t="shared" si="109"/>
        <v>23</v>
      </c>
      <c r="G635">
        <f t="shared" si="110"/>
        <v>2022</v>
      </c>
      <c r="H635">
        <f t="shared" si="111"/>
        <v>1.5289999999999999</v>
      </c>
      <c r="I635" t="e">
        <f t="shared" si="112"/>
        <v>#N/A</v>
      </c>
      <c r="J635" t="e">
        <f t="shared" si="113"/>
        <v>#N/A</v>
      </c>
      <c r="K635" t="e">
        <f t="shared" si="114"/>
        <v>#N/A</v>
      </c>
      <c r="L635" t="e">
        <f t="shared" si="115"/>
        <v>#N/A</v>
      </c>
      <c r="M635" t="e">
        <f t="shared" si="116"/>
        <v>#N/A</v>
      </c>
      <c r="N635" t="e">
        <f t="shared" si="117"/>
        <v>#N/A</v>
      </c>
      <c r="O635">
        <f t="shared" si="118"/>
        <v>2.0006349999999999</v>
      </c>
      <c r="T635">
        <f>IF(connections!$A635="","",IFERROR(INDEX(games!$B$2:$B$834,MATCH(connections!$A635,games!$A$2:$A$834,0)),""))</f>
        <v>2010</v>
      </c>
      <c r="U635">
        <f>IF(connections!$A635="","",IFERROR(INDEX(games!$B$2:$B$834,MATCH(connections!$B635,games!$A$2:$A$834,0)),""))</f>
        <v>2023</v>
      </c>
      <c r="V635">
        <f t="shared" si="119"/>
        <v>13</v>
      </c>
    </row>
    <row r="636" spans="1:22" x14ac:dyDescent="0.25">
      <c r="A636" t="str">
        <f>IF(games!$A636="","",games!$A636)</f>
        <v>Sil</v>
      </c>
      <c r="B636">
        <f>IF($A636="","",games!$B636)</f>
        <v>2012</v>
      </c>
      <c r="C636" t="str">
        <f>IF($A636="","",games!$C636)</f>
        <v>Traditional</v>
      </c>
      <c r="D636">
        <f>IF($A636="","",COUNTIF(connections!$A$2:$A$1188,$A636)+COUNTIF(connections!$B$2:$B$1188,$A636))</f>
        <v>1</v>
      </c>
      <c r="E636">
        <f t="shared" si="108"/>
        <v>4</v>
      </c>
      <c r="F636">
        <f t="shared" si="109"/>
        <v>24</v>
      </c>
      <c r="G636" t="e">
        <f t="shared" si="110"/>
        <v>#N/A</v>
      </c>
      <c r="H636" t="e">
        <f t="shared" si="111"/>
        <v>#N/A</v>
      </c>
      <c r="I636" t="e">
        <f t="shared" si="112"/>
        <v>#N/A</v>
      </c>
      <c r="J636" t="e">
        <f t="shared" si="113"/>
        <v>#N/A</v>
      </c>
      <c r="K636" t="e">
        <f t="shared" si="114"/>
        <v>#N/A</v>
      </c>
      <c r="L636" t="e">
        <f t="shared" si="115"/>
        <v>#N/A</v>
      </c>
      <c r="M636">
        <f t="shared" si="116"/>
        <v>2012</v>
      </c>
      <c r="N636">
        <f t="shared" si="117"/>
        <v>4.5519999999999996</v>
      </c>
      <c r="O636">
        <f t="shared" si="118"/>
        <v>1.0006360000000001</v>
      </c>
      <c r="T636">
        <f>IF(connections!$A636="","",IFERROR(INDEX(games!$B$2:$B$834,MATCH(connections!$A636,games!$A$2:$A$834,0)),""))</f>
        <v>2023</v>
      </c>
      <c r="U636">
        <f>IF(connections!$A636="","",IFERROR(INDEX(games!$B$2:$B$834,MATCH(connections!$B636,games!$A$2:$A$834,0)),""))</f>
        <v>2026</v>
      </c>
      <c r="V636">
        <f t="shared" si="119"/>
        <v>3</v>
      </c>
    </row>
    <row r="637" spans="1:22" x14ac:dyDescent="0.25">
      <c r="A637" t="str">
        <f>IF(games!$A637="","",games!$A637)</f>
        <v>Sir, We Have an Orc Problem</v>
      </c>
      <c r="B637">
        <f>IF($A637="","",games!$B637)</f>
        <v>2026</v>
      </c>
      <c r="C637" t="str">
        <f>IF($A637="","",games!$C637)</f>
        <v>Strategy</v>
      </c>
      <c r="D637">
        <f>IF($A637="","",COUNTIF(connections!$A$2:$A$1188,$A637)+COUNTIF(connections!$B$2:$B$1188,$A637))</f>
        <v>1</v>
      </c>
      <c r="E637">
        <f t="shared" si="108"/>
        <v>2</v>
      </c>
      <c r="F637">
        <f t="shared" si="109"/>
        <v>25</v>
      </c>
      <c r="G637" t="e">
        <f t="shared" si="110"/>
        <v>#N/A</v>
      </c>
      <c r="H637" t="e">
        <f t="shared" si="111"/>
        <v>#N/A</v>
      </c>
      <c r="I637">
        <f t="shared" si="112"/>
        <v>2026</v>
      </c>
      <c r="J637">
        <f t="shared" si="113"/>
        <v>2.5750000000000002</v>
      </c>
      <c r="K637" t="e">
        <f t="shared" si="114"/>
        <v>#N/A</v>
      </c>
      <c r="L637" t="e">
        <f t="shared" si="115"/>
        <v>#N/A</v>
      </c>
      <c r="M637" t="e">
        <f t="shared" si="116"/>
        <v>#N/A</v>
      </c>
      <c r="N637" t="e">
        <f t="shared" si="117"/>
        <v>#N/A</v>
      </c>
      <c r="O637">
        <f t="shared" si="118"/>
        <v>1.000637</v>
      </c>
      <c r="T637">
        <f>IF(connections!$A637="","",IFERROR(INDEX(games!$B$2:$B$834,MATCH(connections!$A637,games!$A$2:$A$834,0)),""))</f>
        <v>2023</v>
      </c>
      <c r="U637">
        <f>IF(connections!$A637="","",IFERROR(INDEX(games!$B$2:$B$834,MATCH(connections!$B637,games!$A$2:$A$834,0)),""))</f>
        <v>2025</v>
      </c>
      <c r="V637">
        <f t="shared" si="119"/>
        <v>2</v>
      </c>
    </row>
    <row r="638" spans="1:22" x14ac:dyDescent="0.25">
      <c r="A638" t="str">
        <f>IF(games!$A638="","",games!$A638)</f>
        <v>Skul: The Hero Slayer</v>
      </c>
      <c r="B638">
        <f>IF($A638="","",games!$B638)</f>
        <v>2020</v>
      </c>
      <c r="C638" t="str">
        <f>IF($A638="","",games!$C638)</f>
        <v>Action</v>
      </c>
      <c r="D638">
        <f>IF($A638="","",COUNTIF(connections!$A$2:$A$1188,$A638)+COUNTIF(connections!$B$2:$B$1188,$A638))</f>
        <v>1</v>
      </c>
      <c r="E638">
        <f t="shared" si="108"/>
        <v>1</v>
      </c>
      <c r="F638">
        <f t="shared" si="109"/>
        <v>26</v>
      </c>
      <c r="G638">
        <f t="shared" si="110"/>
        <v>2020</v>
      </c>
      <c r="H638">
        <f t="shared" si="111"/>
        <v>1.5979999999999999</v>
      </c>
      <c r="I638" t="e">
        <f t="shared" si="112"/>
        <v>#N/A</v>
      </c>
      <c r="J638" t="e">
        <f t="shared" si="113"/>
        <v>#N/A</v>
      </c>
      <c r="K638" t="e">
        <f t="shared" si="114"/>
        <v>#N/A</v>
      </c>
      <c r="L638" t="e">
        <f t="shared" si="115"/>
        <v>#N/A</v>
      </c>
      <c r="M638" t="e">
        <f t="shared" si="116"/>
        <v>#N/A</v>
      </c>
      <c r="N638" t="e">
        <f t="shared" si="117"/>
        <v>#N/A</v>
      </c>
      <c r="O638">
        <f t="shared" si="118"/>
        <v>1.0006379999999999</v>
      </c>
      <c r="T638">
        <f>IF(connections!$A638="","",IFERROR(INDEX(games!$B$2:$B$834,MATCH(connections!$A638,games!$A$2:$A$834,0)),""))</f>
        <v>2020</v>
      </c>
      <c r="U638">
        <f>IF(connections!$A638="","",IFERROR(INDEX(games!$B$2:$B$834,MATCH(connections!$B638,games!$A$2:$A$834,0)),""))</f>
        <v>2023</v>
      </c>
      <c r="V638">
        <f t="shared" si="119"/>
        <v>3</v>
      </c>
    </row>
    <row r="639" spans="1:22" x14ac:dyDescent="0.25">
      <c r="A639" t="str">
        <f>IF(games!$A639="","",games!$A639)</f>
        <v>Skull Horde</v>
      </c>
      <c r="B639">
        <f>IF($A639="","",games!$B639)</f>
        <v>2026</v>
      </c>
      <c r="C639" t="str">
        <f>IF($A639="","",games!$C639)</f>
        <v>Action</v>
      </c>
      <c r="D639">
        <f>IF($A639="","",COUNTIF(connections!$A$2:$A$1188,$A639)+COUNTIF(connections!$B$2:$B$1188,$A639))</f>
        <v>3</v>
      </c>
      <c r="E639">
        <f t="shared" si="108"/>
        <v>1</v>
      </c>
      <c r="F639">
        <f t="shared" si="109"/>
        <v>27</v>
      </c>
      <c r="G639">
        <f t="shared" si="110"/>
        <v>2026</v>
      </c>
      <c r="H639">
        <f t="shared" si="111"/>
        <v>1.621</v>
      </c>
      <c r="I639" t="e">
        <f t="shared" si="112"/>
        <v>#N/A</v>
      </c>
      <c r="J639" t="e">
        <f t="shared" si="113"/>
        <v>#N/A</v>
      </c>
      <c r="K639" t="e">
        <f t="shared" si="114"/>
        <v>#N/A</v>
      </c>
      <c r="L639" t="e">
        <f t="shared" si="115"/>
        <v>#N/A</v>
      </c>
      <c r="M639" t="e">
        <f t="shared" si="116"/>
        <v>#N/A</v>
      </c>
      <c r="N639" t="e">
        <f t="shared" si="117"/>
        <v>#N/A</v>
      </c>
      <c r="O639">
        <f t="shared" si="118"/>
        <v>3.0006390000000001</v>
      </c>
      <c r="T639">
        <f>IF(connections!$A639="","",IFERROR(INDEX(games!$B$2:$B$834,MATCH(connections!$A639,games!$A$2:$A$834,0)),""))</f>
        <v>2020</v>
      </c>
      <c r="U639">
        <f>IF(connections!$A639="","",IFERROR(INDEX(games!$B$2:$B$834,MATCH(connections!$B639,games!$A$2:$A$834,0)),""))</f>
        <v>2024</v>
      </c>
      <c r="V639">
        <f t="shared" si="119"/>
        <v>4</v>
      </c>
    </row>
    <row r="640" spans="1:22" x14ac:dyDescent="0.25">
      <c r="A640" t="str">
        <f>IF(games!$A640="","",games!$A640)</f>
        <v>Sky Rogue</v>
      </c>
      <c r="B640">
        <f>IF($A640="","",games!$B640)</f>
        <v>2014</v>
      </c>
      <c r="C640" t="str">
        <f>IF($A640="","",games!$C640)</f>
        <v>Action</v>
      </c>
      <c r="D640">
        <f>IF($A640="","",COUNTIF(connections!$A$2:$A$1188,$A640)+COUNTIF(connections!$B$2:$B$1188,$A640))</f>
        <v>1</v>
      </c>
      <c r="E640">
        <f t="shared" si="108"/>
        <v>1</v>
      </c>
      <c r="F640">
        <f t="shared" si="109"/>
        <v>28</v>
      </c>
      <c r="G640">
        <f t="shared" si="110"/>
        <v>2014</v>
      </c>
      <c r="H640">
        <f t="shared" si="111"/>
        <v>1.6440000000000001</v>
      </c>
      <c r="I640" t="e">
        <f t="shared" si="112"/>
        <v>#N/A</v>
      </c>
      <c r="J640" t="e">
        <f t="shared" si="113"/>
        <v>#N/A</v>
      </c>
      <c r="K640" t="e">
        <f t="shared" si="114"/>
        <v>#N/A</v>
      </c>
      <c r="L640" t="e">
        <f t="shared" si="115"/>
        <v>#N/A</v>
      </c>
      <c r="M640" t="e">
        <f t="shared" si="116"/>
        <v>#N/A</v>
      </c>
      <c r="N640" t="e">
        <f t="shared" si="117"/>
        <v>#N/A</v>
      </c>
      <c r="O640">
        <f t="shared" si="118"/>
        <v>1.00064</v>
      </c>
      <c r="T640">
        <f>IF(connections!$A640="","",IFERROR(INDEX(games!$B$2:$B$834,MATCH(connections!$A640,games!$A$2:$A$834,0)),""))</f>
        <v>2024</v>
      </c>
      <c r="U640">
        <f>IF(connections!$A640="","",IFERROR(INDEX(games!$B$2:$B$834,MATCH(connections!$B640,games!$A$2:$A$834,0)),""))</f>
        <v>2026</v>
      </c>
      <c r="V640">
        <f t="shared" si="119"/>
        <v>2</v>
      </c>
    </row>
    <row r="641" spans="1:22" x14ac:dyDescent="0.25">
      <c r="A641" t="str">
        <f>IF(games!$A641="","",games!$A641)</f>
        <v>Sky's The Limit MAH-JONG</v>
      </c>
      <c r="B641">
        <f>IF($A641="","",games!$B641)</f>
        <v>2024</v>
      </c>
      <c r="C641" t="str">
        <f>IF($A641="","",games!$C641)</f>
        <v>Deckbuilder</v>
      </c>
      <c r="D641">
        <f>IF($A641="","",COUNTIF(connections!$A$2:$A$1188,$A641)+COUNTIF(connections!$B$2:$B$1188,$A641))</f>
        <v>1</v>
      </c>
      <c r="E641">
        <f t="shared" si="108"/>
        <v>3</v>
      </c>
      <c r="F641">
        <f t="shared" si="109"/>
        <v>29</v>
      </c>
      <c r="G641" t="e">
        <f t="shared" si="110"/>
        <v>#N/A</v>
      </c>
      <c r="H641" t="e">
        <f t="shared" si="111"/>
        <v>#N/A</v>
      </c>
      <c r="I641" t="e">
        <f t="shared" si="112"/>
        <v>#N/A</v>
      </c>
      <c r="J641" t="e">
        <f t="shared" si="113"/>
        <v>#N/A</v>
      </c>
      <c r="K641">
        <f t="shared" si="114"/>
        <v>2024</v>
      </c>
      <c r="L641">
        <f t="shared" si="115"/>
        <v>3.6669999999999998</v>
      </c>
      <c r="M641" t="e">
        <f t="shared" si="116"/>
        <v>#N/A</v>
      </c>
      <c r="N641" t="e">
        <f t="shared" si="117"/>
        <v>#N/A</v>
      </c>
      <c r="O641">
        <f t="shared" si="118"/>
        <v>1.0006409999999999</v>
      </c>
      <c r="T641">
        <f>IF(connections!$A641="","",IFERROR(INDEX(games!$B$2:$B$834,MATCH(connections!$A641,games!$A$2:$A$834,0)),""))</f>
        <v>2020</v>
      </c>
      <c r="U641">
        <f>IF(connections!$A641="","",IFERROR(INDEX(games!$B$2:$B$834,MATCH(connections!$B641,games!$A$2:$A$834,0)),""))</f>
        <v>2026</v>
      </c>
      <c r="V641">
        <f t="shared" si="119"/>
        <v>6</v>
      </c>
    </row>
    <row r="642" spans="1:22" x14ac:dyDescent="0.25">
      <c r="A642" t="str">
        <f>IF(games!$A642="","",games!$A642)</f>
        <v>Slash'EM</v>
      </c>
      <c r="B642">
        <f>IF($A642="","",games!$B642)</f>
        <v>2006</v>
      </c>
      <c r="C642" t="str">
        <f>IF($A642="","",games!$C642)</f>
        <v>Traditional</v>
      </c>
      <c r="D642">
        <f>IF($A642="","",COUNTIF(connections!$A$2:$A$1188,$A642)+COUNTIF(connections!$B$2:$B$1188,$A642))</f>
        <v>2</v>
      </c>
      <c r="E642">
        <f t="shared" ref="E642:E705" si="120">IF($A642="","",IFERROR(MATCH($C642,$R$2:$R$5,0),0))</f>
        <v>4</v>
      </c>
      <c r="F642">
        <f t="shared" ref="F642:F705" si="121">IF($A642="","",MOD(ROW(),34))</f>
        <v>30</v>
      </c>
      <c r="G642" t="e">
        <f t="shared" ref="G642:G705" si="122">IF($A642="",NA(),IF($C642="Action",$B642,NA()))</f>
        <v>#N/A</v>
      </c>
      <c r="H642" t="e">
        <f t="shared" ref="H642:H705" si="123">IF($A642="",NA(),IF($C642="Action",1+$F642*0.023,NA()))</f>
        <v>#N/A</v>
      </c>
      <c r="I642" t="e">
        <f t="shared" ref="I642:I705" si="124">IF($A642="",NA(),IF($C642="Strategy",$B642,NA()))</f>
        <v>#N/A</v>
      </c>
      <c r="J642" t="e">
        <f t="shared" ref="J642:J705" si="125">IF($A642="",NA(),IF($C642="Strategy",2+$F642*0.023,NA()))</f>
        <v>#N/A</v>
      </c>
      <c r="K642" t="e">
        <f t="shared" ref="K642:K705" si="126">IF($A642="",NA(),IF($C642="Deckbuilder",$B642,NA()))</f>
        <v>#N/A</v>
      </c>
      <c r="L642" t="e">
        <f t="shared" ref="L642:L705" si="127">IF($A642="",NA(),IF($C642="Deckbuilder",3+$F642*0.023,NA()))</f>
        <v>#N/A</v>
      </c>
      <c r="M642">
        <f t="shared" ref="M642:M705" si="128">IF($A642="",NA(),IF($C642="Traditional",$B642,NA()))</f>
        <v>2006</v>
      </c>
      <c r="N642">
        <f t="shared" ref="N642:N705" si="129">IF($A642="",NA(),IF($C642="Traditional",4+$F642*0.023,NA()))</f>
        <v>4.6899999999999995</v>
      </c>
      <c r="O642">
        <f t="shared" ref="O642:O705" si="130">IF($A642="","",$D642+ROW()/1000000)</f>
        <v>2.000642</v>
      </c>
      <c r="T642">
        <f>IF(connections!$A642="","",IFERROR(INDEX(games!$B$2:$B$834,MATCH(connections!$A642,games!$A$2:$A$834,0)),""))</f>
        <v>2017</v>
      </c>
      <c r="U642">
        <f>IF(connections!$A642="","",IFERROR(INDEX(games!$B$2:$B$834,MATCH(connections!$B642,games!$A$2:$A$834,0)),""))</f>
        <v>2020</v>
      </c>
      <c r="V642">
        <f t="shared" ref="V642:V705" si="131">IF(OR($T642="",$U642=""),"",$U642-$T642)</f>
        <v>3</v>
      </c>
    </row>
    <row r="643" spans="1:22" x14ac:dyDescent="0.25">
      <c r="A643" t="str">
        <f>IF(games!$A643="","",games!$A643)</f>
        <v>Slasher's Keep</v>
      </c>
      <c r="B643">
        <f>IF($A643="","",games!$B643)</f>
        <v>2018</v>
      </c>
      <c r="C643" t="str">
        <f>IF($A643="","",games!$C643)</f>
        <v>Action</v>
      </c>
      <c r="D643">
        <f>IF($A643="","",COUNTIF(connections!$A$2:$A$1188,$A643)+COUNTIF(connections!$B$2:$B$1188,$A643))</f>
        <v>0</v>
      </c>
      <c r="E643">
        <f t="shared" si="120"/>
        <v>1</v>
      </c>
      <c r="F643">
        <f t="shared" si="121"/>
        <v>31</v>
      </c>
      <c r="G643">
        <f t="shared" si="122"/>
        <v>2018</v>
      </c>
      <c r="H643">
        <f t="shared" si="123"/>
        <v>1.7130000000000001</v>
      </c>
      <c r="I643" t="e">
        <f t="shared" si="124"/>
        <v>#N/A</v>
      </c>
      <c r="J643" t="e">
        <f t="shared" si="125"/>
        <v>#N/A</v>
      </c>
      <c r="K643" t="e">
        <f t="shared" si="126"/>
        <v>#N/A</v>
      </c>
      <c r="L643" t="e">
        <f t="shared" si="127"/>
        <v>#N/A</v>
      </c>
      <c r="M643" t="e">
        <f t="shared" si="128"/>
        <v>#N/A</v>
      </c>
      <c r="N643" t="e">
        <f t="shared" si="129"/>
        <v>#N/A</v>
      </c>
      <c r="O643">
        <f t="shared" si="130"/>
        <v>6.4300000000000002E-4</v>
      </c>
      <c r="T643">
        <f>IF(connections!$A643="","",IFERROR(INDEX(games!$B$2:$B$834,MATCH(connections!$A643,games!$A$2:$A$834,0)),""))</f>
        <v>2013</v>
      </c>
      <c r="U643">
        <f>IF(connections!$A643="","",IFERROR(INDEX(games!$B$2:$B$834,MATCH(connections!$B643,games!$A$2:$A$834,0)),""))</f>
        <v>2018</v>
      </c>
      <c r="V643">
        <f t="shared" si="131"/>
        <v>5</v>
      </c>
    </row>
    <row r="644" spans="1:22" x14ac:dyDescent="0.25">
      <c r="A644" t="str">
        <f>IF(games!$A644="","",games!$A644)</f>
        <v>Slay the Spire</v>
      </c>
      <c r="B644">
        <f>IF($A644="","",games!$B644)</f>
        <v>2017</v>
      </c>
      <c r="C644" t="str">
        <f>IF($A644="","",games!$C644)</f>
        <v>Deckbuilder</v>
      </c>
      <c r="D644">
        <f>IF($A644="","",COUNTIF(connections!$A$2:$A$1188,$A644)+COUNTIF(connections!$B$2:$B$1188,$A644))</f>
        <v>141</v>
      </c>
      <c r="E644">
        <f t="shared" si="120"/>
        <v>3</v>
      </c>
      <c r="F644">
        <f t="shared" si="121"/>
        <v>32</v>
      </c>
      <c r="G644" t="e">
        <f t="shared" si="122"/>
        <v>#N/A</v>
      </c>
      <c r="H644" t="e">
        <f t="shared" si="123"/>
        <v>#N/A</v>
      </c>
      <c r="I644" t="e">
        <f t="shared" si="124"/>
        <v>#N/A</v>
      </c>
      <c r="J644" t="e">
        <f t="shared" si="125"/>
        <v>#N/A</v>
      </c>
      <c r="K644">
        <f t="shared" si="126"/>
        <v>2017</v>
      </c>
      <c r="L644">
        <f t="shared" si="127"/>
        <v>3.7359999999999998</v>
      </c>
      <c r="M644" t="e">
        <f t="shared" si="128"/>
        <v>#N/A</v>
      </c>
      <c r="N644" t="e">
        <f t="shared" si="129"/>
        <v>#N/A</v>
      </c>
      <c r="O644">
        <f t="shared" si="130"/>
        <v>141.00064399999999</v>
      </c>
      <c r="T644">
        <f>IF(connections!$A644="","",IFERROR(INDEX(games!$B$2:$B$834,MATCH(connections!$A644,games!$A$2:$A$834,0)),""))</f>
        <v>2013</v>
      </c>
      <c r="U644">
        <f>IF(connections!$A644="","",IFERROR(INDEX(games!$B$2:$B$834,MATCH(connections!$B644,games!$A$2:$A$834,0)),""))</f>
        <v>2016</v>
      </c>
      <c r="V644">
        <f t="shared" si="131"/>
        <v>3</v>
      </c>
    </row>
    <row r="645" spans="1:22" x14ac:dyDescent="0.25">
      <c r="A645" t="str">
        <f>IF(games!$A645="","",games!$A645)</f>
        <v>Slay the Spire 2</v>
      </c>
      <c r="B645">
        <f>IF($A645="","",games!$B645)</f>
        <v>2026</v>
      </c>
      <c r="C645" t="str">
        <f>IF($A645="","",games!$C645)</f>
        <v>Deckbuilder</v>
      </c>
      <c r="D645">
        <f>IF($A645="","",COUNTIF(connections!$A$2:$A$1188,$A645)+COUNTIF(connections!$B$2:$B$1188,$A645))</f>
        <v>1</v>
      </c>
      <c r="E645">
        <f t="shared" si="120"/>
        <v>3</v>
      </c>
      <c r="F645">
        <f t="shared" si="121"/>
        <v>33</v>
      </c>
      <c r="G645" t="e">
        <f t="shared" si="122"/>
        <v>#N/A</v>
      </c>
      <c r="H645" t="e">
        <f t="shared" si="123"/>
        <v>#N/A</v>
      </c>
      <c r="I645" t="e">
        <f t="shared" si="124"/>
        <v>#N/A</v>
      </c>
      <c r="J645" t="e">
        <f t="shared" si="125"/>
        <v>#N/A</v>
      </c>
      <c r="K645">
        <f t="shared" si="126"/>
        <v>2026</v>
      </c>
      <c r="L645">
        <f t="shared" si="127"/>
        <v>3.7589999999999999</v>
      </c>
      <c r="M645" t="e">
        <f t="shared" si="128"/>
        <v>#N/A</v>
      </c>
      <c r="N645" t="e">
        <f t="shared" si="129"/>
        <v>#N/A</v>
      </c>
      <c r="O645">
        <f t="shared" si="130"/>
        <v>1.000645</v>
      </c>
      <c r="T645">
        <f>IF(connections!$A645="","",IFERROR(INDEX(games!$B$2:$B$834,MATCH(connections!$A645,games!$A$2:$A$834,0)),""))</f>
        <v>2013</v>
      </c>
      <c r="U645">
        <f>IF(connections!$A645="","",IFERROR(INDEX(games!$B$2:$B$834,MATCH(connections!$B645,games!$A$2:$A$834,0)),""))</f>
        <v>2022</v>
      </c>
      <c r="V645">
        <f t="shared" si="131"/>
        <v>9</v>
      </c>
    </row>
    <row r="646" spans="1:22" x14ac:dyDescent="0.25">
      <c r="A646" t="str">
        <f>IF(games!$A646="","",games!$A646)</f>
        <v>Slice &amp; Dice</v>
      </c>
      <c r="B646">
        <f>IF($A646="","",games!$B646)</f>
        <v>2018</v>
      </c>
      <c r="C646" t="str">
        <f>IF($A646="","",games!$C646)</f>
        <v>Strategy</v>
      </c>
      <c r="D646">
        <f>IF($A646="","",COUNTIF(connections!$A$2:$A$1188,$A646)+COUNTIF(connections!$B$2:$B$1188,$A646))</f>
        <v>4</v>
      </c>
      <c r="E646">
        <f t="shared" si="120"/>
        <v>2</v>
      </c>
      <c r="F646">
        <f t="shared" si="121"/>
        <v>0</v>
      </c>
      <c r="G646" t="e">
        <f t="shared" si="122"/>
        <v>#N/A</v>
      </c>
      <c r="H646" t="e">
        <f t="shared" si="123"/>
        <v>#N/A</v>
      </c>
      <c r="I646">
        <f t="shared" si="124"/>
        <v>2018</v>
      </c>
      <c r="J646">
        <f t="shared" si="125"/>
        <v>2</v>
      </c>
      <c r="K646" t="e">
        <f t="shared" si="126"/>
        <v>#N/A</v>
      </c>
      <c r="L646" t="e">
        <f t="shared" si="127"/>
        <v>#N/A</v>
      </c>
      <c r="M646" t="e">
        <f t="shared" si="128"/>
        <v>#N/A</v>
      </c>
      <c r="N646" t="e">
        <f t="shared" si="129"/>
        <v>#N/A</v>
      </c>
      <c r="O646">
        <f t="shared" si="130"/>
        <v>4.0006459999999997</v>
      </c>
      <c r="T646">
        <f>IF(connections!$A646="","",IFERROR(INDEX(games!$B$2:$B$834,MATCH(connections!$A646,games!$A$2:$A$834,0)),""))</f>
        <v>2013</v>
      </c>
      <c r="U646">
        <f>IF(connections!$A646="","",IFERROR(INDEX(games!$B$2:$B$834,MATCH(connections!$B646,games!$A$2:$A$834,0)),""))</f>
        <v>2020</v>
      </c>
      <c r="V646">
        <f t="shared" si="131"/>
        <v>7</v>
      </c>
    </row>
    <row r="647" spans="1:22" x14ac:dyDescent="0.25">
      <c r="A647" t="str">
        <f>IF(games!$A647="","",games!$A647)</f>
        <v>Slime 3K: Rise Against Despot</v>
      </c>
      <c r="B647">
        <f>IF($A647="","",games!$B647)</f>
        <v>2023</v>
      </c>
      <c r="C647" t="str">
        <f>IF($A647="","",games!$C647)</f>
        <v>Action</v>
      </c>
      <c r="D647">
        <f>IF($A647="","",COUNTIF(connections!$A$2:$A$1188,$A647)+COUNTIF(connections!$B$2:$B$1188,$A647))</f>
        <v>3</v>
      </c>
      <c r="E647">
        <f t="shared" si="120"/>
        <v>1</v>
      </c>
      <c r="F647">
        <f t="shared" si="121"/>
        <v>1</v>
      </c>
      <c r="G647">
        <f t="shared" si="122"/>
        <v>2023</v>
      </c>
      <c r="H647">
        <f t="shared" si="123"/>
        <v>1.0229999999999999</v>
      </c>
      <c r="I647" t="e">
        <f t="shared" si="124"/>
        <v>#N/A</v>
      </c>
      <c r="J647" t="e">
        <f t="shared" si="125"/>
        <v>#N/A</v>
      </c>
      <c r="K647" t="e">
        <f t="shared" si="126"/>
        <v>#N/A</v>
      </c>
      <c r="L647" t="e">
        <f t="shared" si="127"/>
        <v>#N/A</v>
      </c>
      <c r="M647" t="e">
        <f t="shared" si="128"/>
        <v>#N/A</v>
      </c>
      <c r="N647" t="e">
        <f t="shared" si="129"/>
        <v>#N/A</v>
      </c>
      <c r="O647">
        <f t="shared" si="130"/>
        <v>3.0006469999999998</v>
      </c>
      <c r="T647">
        <f>IF(connections!$A647="","",IFERROR(INDEX(games!$B$2:$B$834,MATCH(connections!$A647,games!$A$2:$A$834,0)),""))</f>
        <v>2013</v>
      </c>
      <c r="U647">
        <f>IF(connections!$A647="","",IFERROR(INDEX(games!$B$2:$B$834,MATCH(connections!$B647,games!$A$2:$A$834,0)),""))</f>
        <v>2023</v>
      </c>
      <c r="V647">
        <f t="shared" si="131"/>
        <v>10</v>
      </c>
    </row>
    <row r="648" spans="1:22" x14ac:dyDescent="0.25">
      <c r="A648" t="str">
        <f>IF(games!$A648="","",games!$A648)</f>
        <v>Slot &amp; Dungeons</v>
      </c>
      <c r="B648">
        <f>IF($A648="","",games!$B648)</f>
        <v>2025</v>
      </c>
      <c r="C648" t="str">
        <f>IF($A648="","",games!$C648)</f>
        <v>Deckbuilder</v>
      </c>
      <c r="D648">
        <f>IF($A648="","",COUNTIF(connections!$A$2:$A$1188,$A648)+COUNTIF(connections!$B$2:$B$1188,$A648))</f>
        <v>4</v>
      </c>
      <c r="E648">
        <f t="shared" si="120"/>
        <v>3</v>
      </c>
      <c r="F648">
        <f t="shared" si="121"/>
        <v>2</v>
      </c>
      <c r="G648" t="e">
        <f t="shared" si="122"/>
        <v>#N/A</v>
      </c>
      <c r="H648" t="e">
        <f t="shared" si="123"/>
        <v>#N/A</v>
      </c>
      <c r="I648" t="e">
        <f t="shared" si="124"/>
        <v>#N/A</v>
      </c>
      <c r="J648" t="e">
        <f t="shared" si="125"/>
        <v>#N/A</v>
      </c>
      <c r="K648">
        <f t="shared" si="126"/>
        <v>2025</v>
      </c>
      <c r="L648">
        <f t="shared" si="127"/>
        <v>3.0459999999999998</v>
      </c>
      <c r="M648" t="e">
        <f t="shared" si="128"/>
        <v>#N/A</v>
      </c>
      <c r="N648" t="e">
        <f t="shared" si="129"/>
        <v>#N/A</v>
      </c>
      <c r="O648">
        <f t="shared" si="130"/>
        <v>4.000648</v>
      </c>
      <c r="T648">
        <f>IF(connections!$A648="","",IFERROR(INDEX(games!$B$2:$B$834,MATCH(connections!$A648,games!$A$2:$A$834,0)),""))</f>
        <v>2013</v>
      </c>
      <c r="U648">
        <f>IF(connections!$A648="","",IFERROR(INDEX(games!$B$2:$B$834,MATCH(connections!$B648,games!$A$2:$A$834,0)),""))</f>
        <v>2025</v>
      </c>
      <c r="V648">
        <f t="shared" si="131"/>
        <v>12</v>
      </c>
    </row>
    <row r="649" spans="1:22" x14ac:dyDescent="0.25">
      <c r="A649" t="str">
        <f>IF(games!$A649="","",games!$A649)</f>
        <v>Slot or Not</v>
      </c>
      <c r="B649">
        <f>IF($A649="","",games!$B649)</f>
        <v>2026</v>
      </c>
      <c r="C649" t="str">
        <f>IF($A649="","",games!$C649)</f>
        <v>Deckbuilder</v>
      </c>
      <c r="D649">
        <f>IF($A649="","",COUNTIF(connections!$A$2:$A$1188,$A649)+COUNTIF(connections!$B$2:$B$1188,$A649))</f>
        <v>2</v>
      </c>
      <c r="E649">
        <f t="shared" si="120"/>
        <v>3</v>
      </c>
      <c r="F649">
        <f t="shared" si="121"/>
        <v>3</v>
      </c>
      <c r="G649" t="e">
        <f t="shared" si="122"/>
        <v>#N/A</v>
      </c>
      <c r="H649" t="e">
        <f t="shared" si="123"/>
        <v>#N/A</v>
      </c>
      <c r="I649" t="e">
        <f t="shared" si="124"/>
        <v>#N/A</v>
      </c>
      <c r="J649" t="e">
        <f t="shared" si="125"/>
        <v>#N/A</v>
      </c>
      <c r="K649">
        <f t="shared" si="126"/>
        <v>2026</v>
      </c>
      <c r="L649">
        <f t="shared" si="127"/>
        <v>3.069</v>
      </c>
      <c r="M649" t="e">
        <f t="shared" si="128"/>
        <v>#N/A</v>
      </c>
      <c r="N649" t="e">
        <f t="shared" si="129"/>
        <v>#N/A</v>
      </c>
      <c r="O649">
        <f t="shared" si="130"/>
        <v>2.0006490000000001</v>
      </c>
      <c r="T649">
        <f>IF(connections!$A649="","",IFERROR(INDEX(games!$B$2:$B$834,MATCH(connections!$A649,games!$A$2:$A$834,0)),""))</f>
        <v>2013</v>
      </c>
      <c r="U649">
        <f>IF(connections!$A649="","",IFERROR(INDEX(games!$B$2:$B$834,MATCH(connections!$B649,games!$A$2:$A$834,0)),""))</f>
        <v>2018</v>
      </c>
      <c r="V649">
        <f t="shared" si="131"/>
        <v>5</v>
      </c>
    </row>
    <row r="650" spans="1:22" x14ac:dyDescent="0.25">
      <c r="A650" t="str">
        <f>IF(games!$A650="","",games!$A650)</f>
        <v>Slots &amp; Daggers</v>
      </c>
      <c r="B650">
        <f>IF($A650="","",games!$B650)</f>
        <v>2025</v>
      </c>
      <c r="C650" t="str">
        <f>IF($A650="","",games!$C650)</f>
        <v>Deckbuilder</v>
      </c>
      <c r="D650">
        <f>IF($A650="","",COUNTIF(connections!$A$2:$A$1188,$A650)+COUNTIF(connections!$B$2:$B$1188,$A650))</f>
        <v>0</v>
      </c>
      <c r="E650">
        <f t="shared" si="120"/>
        <v>3</v>
      </c>
      <c r="F650">
        <f t="shared" si="121"/>
        <v>4</v>
      </c>
      <c r="G650" t="e">
        <f t="shared" si="122"/>
        <v>#N/A</v>
      </c>
      <c r="H650" t="e">
        <f t="shared" si="123"/>
        <v>#N/A</v>
      </c>
      <c r="I650" t="e">
        <f t="shared" si="124"/>
        <v>#N/A</v>
      </c>
      <c r="J650" t="e">
        <f t="shared" si="125"/>
        <v>#N/A</v>
      </c>
      <c r="K650">
        <f t="shared" si="126"/>
        <v>2025</v>
      </c>
      <c r="L650">
        <f t="shared" si="127"/>
        <v>3.0920000000000001</v>
      </c>
      <c r="M650" t="e">
        <f t="shared" si="128"/>
        <v>#N/A</v>
      </c>
      <c r="N650" t="e">
        <f t="shared" si="129"/>
        <v>#N/A</v>
      </c>
      <c r="O650">
        <f t="shared" si="130"/>
        <v>6.4999999999999997E-4</v>
      </c>
      <c r="T650">
        <f>IF(connections!$A650="","",IFERROR(INDEX(games!$B$2:$B$834,MATCH(connections!$A650,games!$A$2:$A$834,0)),""))</f>
        <v>2013</v>
      </c>
      <c r="U650">
        <f>IF(connections!$A650="","",IFERROR(INDEX(games!$B$2:$B$834,MATCH(connections!$B650,games!$A$2:$A$834,0)),""))</f>
        <v>2023</v>
      </c>
      <c r="V650">
        <f t="shared" si="131"/>
        <v>10</v>
      </c>
    </row>
    <row r="651" spans="1:22" x14ac:dyDescent="0.25">
      <c r="A651" t="str">
        <f>IF(games!$A651="","",games!$A651)</f>
        <v>SNKRX</v>
      </c>
      <c r="B651">
        <f>IF($A651="","",games!$B651)</f>
        <v>2021</v>
      </c>
      <c r="C651" t="str">
        <f>IF($A651="","",games!$C651)</f>
        <v>Action</v>
      </c>
      <c r="D651">
        <f>IF($A651="","",COUNTIF(connections!$A$2:$A$1188,$A651)+COUNTIF(connections!$B$2:$B$1188,$A651))</f>
        <v>6</v>
      </c>
      <c r="E651">
        <f t="shared" si="120"/>
        <v>1</v>
      </c>
      <c r="F651">
        <f t="shared" si="121"/>
        <v>5</v>
      </c>
      <c r="G651">
        <f t="shared" si="122"/>
        <v>2021</v>
      </c>
      <c r="H651">
        <f t="shared" si="123"/>
        <v>1.115</v>
      </c>
      <c r="I651" t="e">
        <f t="shared" si="124"/>
        <v>#N/A</v>
      </c>
      <c r="J651" t="e">
        <f t="shared" si="125"/>
        <v>#N/A</v>
      </c>
      <c r="K651" t="e">
        <f t="shared" si="126"/>
        <v>#N/A</v>
      </c>
      <c r="L651" t="e">
        <f t="shared" si="127"/>
        <v>#N/A</v>
      </c>
      <c r="M651" t="e">
        <f t="shared" si="128"/>
        <v>#N/A</v>
      </c>
      <c r="N651" t="e">
        <f t="shared" si="129"/>
        <v>#N/A</v>
      </c>
      <c r="O651">
        <f t="shared" si="130"/>
        <v>6.0006510000000004</v>
      </c>
      <c r="T651">
        <f>IF(connections!$A651="","",IFERROR(INDEX(games!$B$2:$B$834,MATCH(connections!$A651,games!$A$2:$A$834,0)),""))</f>
        <v>2020</v>
      </c>
      <c r="U651">
        <f>IF(connections!$A651="","",IFERROR(INDEX(games!$B$2:$B$834,MATCH(connections!$B651,games!$A$2:$A$834,0)),""))</f>
        <v>2025</v>
      </c>
      <c r="V651">
        <f t="shared" si="131"/>
        <v>5</v>
      </c>
    </row>
    <row r="652" spans="1:22" x14ac:dyDescent="0.25">
      <c r="A652" t="str">
        <f>IF(games!$A652="","",games!$A652)</f>
        <v>Sodaman</v>
      </c>
      <c r="B652">
        <f>IF($A652="","",games!$B652)</f>
        <v>2025</v>
      </c>
      <c r="C652" t="str">
        <f>IF($A652="","",games!$C652)</f>
        <v>Action</v>
      </c>
      <c r="D652">
        <f>IF($A652="","",COUNTIF(connections!$A$2:$A$1188,$A652)+COUNTIF(connections!$B$2:$B$1188,$A652))</f>
        <v>3</v>
      </c>
      <c r="E652">
        <f t="shared" si="120"/>
        <v>1</v>
      </c>
      <c r="F652">
        <f t="shared" si="121"/>
        <v>6</v>
      </c>
      <c r="G652">
        <f t="shared" si="122"/>
        <v>2025</v>
      </c>
      <c r="H652">
        <f t="shared" si="123"/>
        <v>1.1379999999999999</v>
      </c>
      <c r="I652" t="e">
        <f t="shared" si="124"/>
        <v>#N/A</v>
      </c>
      <c r="J652" t="e">
        <f t="shared" si="125"/>
        <v>#N/A</v>
      </c>
      <c r="K652" t="e">
        <f t="shared" si="126"/>
        <v>#N/A</v>
      </c>
      <c r="L652" t="e">
        <f t="shared" si="127"/>
        <v>#N/A</v>
      </c>
      <c r="M652" t="e">
        <f t="shared" si="128"/>
        <v>#N/A</v>
      </c>
      <c r="N652" t="e">
        <f t="shared" si="129"/>
        <v>#N/A</v>
      </c>
      <c r="O652">
        <f t="shared" si="130"/>
        <v>3.0006520000000001</v>
      </c>
      <c r="T652">
        <f>IF(connections!$A652="","",IFERROR(INDEX(games!$B$2:$B$834,MATCH(connections!$A652,games!$A$2:$A$834,0)),""))</f>
        <v>2020</v>
      </c>
      <c r="U652">
        <f>IF(connections!$A652="","",IFERROR(INDEX(games!$B$2:$B$834,MATCH(connections!$B652,games!$A$2:$A$834,0)),""))</f>
        <v>2026</v>
      </c>
      <c r="V652">
        <f t="shared" si="131"/>
        <v>6</v>
      </c>
    </row>
    <row r="653" spans="1:22" x14ac:dyDescent="0.25">
      <c r="A653" t="str">
        <f>IF(games!$A653="","",games!$A653)</f>
        <v>Sol Cesto</v>
      </c>
      <c r="B653">
        <f>IF($A653="","",games!$B653)</f>
        <v>2025</v>
      </c>
      <c r="C653" t="str">
        <f>IF($A653="","",games!$C653)</f>
        <v>Strategy</v>
      </c>
      <c r="D653">
        <f>IF($A653="","",COUNTIF(connections!$A$2:$A$1188,$A653)+COUNTIF(connections!$B$2:$B$1188,$A653))</f>
        <v>1</v>
      </c>
      <c r="E653">
        <f t="shared" si="120"/>
        <v>2</v>
      </c>
      <c r="F653">
        <f t="shared" si="121"/>
        <v>7</v>
      </c>
      <c r="G653" t="e">
        <f t="shared" si="122"/>
        <v>#N/A</v>
      </c>
      <c r="H653" t="e">
        <f t="shared" si="123"/>
        <v>#N/A</v>
      </c>
      <c r="I653">
        <f t="shared" si="124"/>
        <v>2025</v>
      </c>
      <c r="J653">
        <f t="shared" si="125"/>
        <v>2.161</v>
      </c>
      <c r="K653" t="e">
        <f t="shared" si="126"/>
        <v>#N/A</v>
      </c>
      <c r="L653" t="e">
        <f t="shared" si="127"/>
        <v>#N/A</v>
      </c>
      <c r="M653" t="e">
        <f t="shared" si="128"/>
        <v>#N/A</v>
      </c>
      <c r="N653" t="e">
        <f t="shared" si="129"/>
        <v>#N/A</v>
      </c>
      <c r="O653">
        <f t="shared" si="130"/>
        <v>1.000653</v>
      </c>
      <c r="T653">
        <f>IF(connections!$A653="","",IFERROR(INDEX(games!$B$2:$B$834,MATCH(connections!$A653,games!$A$2:$A$834,0)),""))</f>
        <v>2020</v>
      </c>
      <c r="U653">
        <f>IF(connections!$A653="","",IFERROR(INDEX(games!$B$2:$B$834,MATCH(connections!$B653,games!$A$2:$A$834,0)),""))</f>
        <v>2024</v>
      </c>
      <c r="V653">
        <f t="shared" si="131"/>
        <v>4</v>
      </c>
    </row>
    <row r="654" spans="1:22" x14ac:dyDescent="0.25">
      <c r="A654" t="str">
        <f>IF(games!$A654="","",games!$A654)</f>
        <v>Solitairica</v>
      </c>
      <c r="B654">
        <f>IF($A654="","",games!$B654)</f>
        <v>2016</v>
      </c>
      <c r="C654" t="str">
        <f>IF($A654="","",games!$C654)</f>
        <v>Deckbuilder</v>
      </c>
      <c r="D654">
        <f>IF($A654="","",COUNTIF(connections!$A$2:$A$1188,$A654)+COUNTIF(connections!$B$2:$B$1188,$A654))</f>
        <v>1</v>
      </c>
      <c r="E654">
        <f t="shared" si="120"/>
        <v>3</v>
      </c>
      <c r="F654">
        <f t="shared" si="121"/>
        <v>8</v>
      </c>
      <c r="G654" t="e">
        <f t="shared" si="122"/>
        <v>#N/A</v>
      </c>
      <c r="H654" t="e">
        <f t="shared" si="123"/>
        <v>#N/A</v>
      </c>
      <c r="I654" t="e">
        <f t="shared" si="124"/>
        <v>#N/A</v>
      </c>
      <c r="J654" t="e">
        <f t="shared" si="125"/>
        <v>#N/A</v>
      </c>
      <c r="K654">
        <f t="shared" si="126"/>
        <v>2016</v>
      </c>
      <c r="L654">
        <f t="shared" si="127"/>
        <v>3.1840000000000002</v>
      </c>
      <c r="M654" t="e">
        <f t="shared" si="128"/>
        <v>#N/A</v>
      </c>
      <c r="N654" t="e">
        <f t="shared" si="129"/>
        <v>#N/A</v>
      </c>
      <c r="O654">
        <f t="shared" si="130"/>
        <v>1.0006539999999999</v>
      </c>
      <c r="T654">
        <f>IF(connections!$A654="","",IFERROR(INDEX(games!$B$2:$B$834,MATCH(connections!$A654,games!$A$2:$A$834,0)),""))</f>
        <v>2020</v>
      </c>
      <c r="U654">
        <f>IF(connections!$A654="","",IFERROR(INDEX(games!$B$2:$B$834,MATCH(connections!$B654,games!$A$2:$A$834,0)),""))</f>
        <v>2026</v>
      </c>
      <c r="V654">
        <f t="shared" si="131"/>
        <v>6</v>
      </c>
    </row>
    <row r="655" spans="1:22" x14ac:dyDescent="0.25">
      <c r="A655" t="str">
        <f>IF(games!$A655="","",games!$A655)</f>
        <v>Soulash</v>
      </c>
      <c r="B655">
        <f>IF($A655="","",games!$B655)</f>
        <v>2022</v>
      </c>
      <c r="C655" t="str">
        <f>IF($A655="","",games!$C655)</f>
        <v>Traditional</v>
      </c>
      <c r="D655">
        <f>IF($A655="","",COUNTIF(connections!$A$2:$A$1188,$A655)+COUNTIF(connections!$B$2:$B$1188,$A655))</f>
        <v>3</v>
      </c>
      <c r="E655">
        <f t="shared" si="120"/>
        <v>4</v>
      </c>
      <c r="F655">
        <f t="shared" si="121"/>
        <v>9</v>
      </c>
      <c r="G655" t="e">
        <f t="shared" si="122"/>
        <v>#N/A</v>
      </c>
      <c r="H655" t="e">
        <f t="shared" si="123"/>
        <v>#N/A</v>
      </c>
      <c r="I655" t="e">
        <f t="shared" si="124"/>
        <v>#N/A</v>
      </c>
      <c r="J655" t="e">
        <f t="shared" si="125"/>
        <v>#N/A</v>
      </c>
      <c r="K655" t="e">
        <f t="shared" si="126"/>
        <v>#N/A</v>
      </c>
      <c r="L655" t="e">
        <f t="shared" si="127"/>
        <v>#N/A</v>
      </c>
      <c r="M655">
        <f t="shared" si="128"/>
        <v>2022</v>
      </c>
      <c r="N655">
        <f t="shared" si="129"/>
        <v>4.2069999999999999</v>
      </c>
      <c r="O655">
        <f t="shared" si="130"/>
        <v>3.0006550000000001</v>
      </c>
      <c r="T655">
        <f>IF(connections!$A655="","",IFERROR(INDEX(games!$B$2:$B$834,MATCH(connections!$A655,games!$A$2:$A$834,0)),""))</f>
        <v>2020</v>
      </c>
      <c r="U655">
        <f>IF(connections!$A655="","",IFERROR(INDEX(games!$B$2:$B$834,MATCH(connections!$B655,games!$A$2:$A$834,0)),""))</f>
        <v>2025</v>
      </c>
      <c r="V655">
        <f t="shared" si="131"/>
        <v>5</v>
      </c>
    </row>
    <row r="656" spans="1:22" x14ac:dyDescent="0.25">
      <c r="A656" t="str">
        <f>IF(games!$A656="","",games!$A656)</f>
        <v>Soulash 2</v>
      </c>
      <c r="B656">
        <f>IF($A656="","",games!$B656)</f>
        <v>2023</v>
      </c>
      <c r="C656" t="str">
        <f>IF($A656="","",games!$C656)</f>
        <v>Traditional</v>
      </c>
      <c r="D656">
        <f>IF($A656="","",COUNTIF(connections!$A$2:$A$1188,$A656)+COUNTIF(connections!$B$2:$B$1188,$A656))</f>
        <v>2</v>
      </c>
      <c r="E656">
        <f t="shared" si="120"/>
        <v>4</v>
      </c>
      <c r="F656">
        <f t="shared" si="121"/>
        <v>10</v>
      </c>
      <c r="G656" t="e">
        <f t="shared" si="122"/>
        <v>#N/A</v>
      </c>
      <c r="H656" t="e">
        <f t="shared" si="123"/>
        <v>#N/A</v>
      </c>
      <c r="I656" t="e">
        <f t="shared" si="124"/>
        <v>#N/A</v>
      </c>
      <c r="J656" t="e">
        <f t="shared" si="125"/>
        <v>#N/A</v>
      </c>
      <c r="K656" t="e">
        <f t="shared" si="126"/>
        <v>#N/A</v>
      </c>
      <c r="L656" t="e">
        <f t="shared" si="127"/>
        <v>#N/A</v>
      </c>
      <c r="M656">
        <f t="shared" si="128"/>
        <v>2023</v>
      </c>
      <c r="N656">
        <f t="shared" si="129"/>
        <v>4.2300000000000004</v>
      </c>
      <c r="O656">
        <f t="shared" si="130"/>
        <v>2.0006560000000002</v>
      </c>
      <c r="T656">
        <f>IF(connections!$A656="","",IFERROR(INDEX(games!$B$2:$B$834,MATCH(connections!$A656,games!$A$2:$A$834,0)),""))</f>
        <v>2020</v>
      </c>
      <c r="U656">
        <f>IF(connections!$A656="","",IFERROR(INDEX(games!$B$2:$B$834,MATCH(connections!$B656,games!$A$2:$A$834,0)),""))</f>
        <v>2026</v>
      </c>
      <c r="V656">
        <f t="shared" si="131"/>
        <v>6</v>
      </c>
    </row>
    <row r="657" spans="1:22" x14ac:dyDescent="0.25">
      <c r="A657" t="str">
        <f>IF(games!$A657="","",games!$A657)</f>
        <v>Soulstone Survivors</v>
      </c>
      <c r="B657">
        <f>IF($A657="","",games!$B657)</f>
        <v>2022</v>
      </c>
      <c r="C657" t="str">
        <f>IF($A657="","",games!$C657)</f>
        <v>Action</v>
      </c>
      <c r="D657">
        <f>IF($A657="","",COUNTIF(connections!$A$2:$A$1188,$A657)+COUNTIF(connections!$B$2:$B$1188,$A657))</f>
        <v>2</v>
      </c>
      <c r="E657">
        <f t="shared" si="120"/>
        <v>1</v>
      </c>
      <c r="F657">
        <f t="shared" si="121"/>
        <v>11</v>
      </c>
      <c r="G657">
        <f t="shared" si="122"/>
        <v>2022</v>
      </c>
      <c r="H657">
        <f t="shared" si="123"/>
        <v>1.2530000000000001</v>
      </c>
      <c r="I657" t="e">
        <f t="shared" si="124"/>
        <v>#N/A</v>
      </c>
      <c r="J657" t="e">
        <f t="shared" si="125"/>
        <v>#N/A</v>
      </c>
      <c r="K657" t="e">
        <f t="shared" si="126"/>
        <v>#N/A</v>
      </c>
      <c r="L657" t="e">
        <f t="shared" si="127"/>
        <v>#N/A</v>
      </c>
      <c r="M657" t="e">
        <f t="shared" si="128"/>
        <v>#N/A</v>
      </c>
      <c r="N657" t="e">
        <f t="shared" si="129"/>
        <v>#N/A</v>
      </c>
      <c r="O657">
        <f t="shared" si="130"/>
        <v>2.0006569999999999</v>
      </c>
      <c r="T657">
        <f>IF(connections!$A657="","",IFERROR(INDEX(games!$B$2:$B$834,MATCH(connections!$A657,games!$A$2:$A$834,0)),""))</f>
        <v>2020</v>
      </c>
      <c r="U657">
        <f>IF(connections!$A657="","",IFERROR(INDEX(games!$B$2:$B$834,MATCH(connections!$B657,games!$A$2:$A$834,0)),""))</f>
        <v>2021</v>
      </c>
      <c r="V657">
        <f t="shared" si="131"/>
        <v>1</v>
      </c>
    </row>
    <row r="658" spans="1:22" x14ac:dyDescent="0.25">
      <c r="A658" t="str">
        <f>IF(games!$A658="","",games!$A658)</f>
        <v>Space Beast Terror Fright</v>
      </c>
      <c r="B658">
        <f>IF($A658="","",games!$B658)</f>
        <v>2015</v>
      </c>
      <c r="C658" t="str">
        <f>IF($A658="","",games!$C658)</f>
        <v>Action</v>
      </c>
      <c r="D658">
        <f>IF($A658="","",COUNTIF(connections!$A$2:$A$1188,$A658)+COUNTIF(connections!$B$2:$B$1188,$A658))</f>
        <v>0</v>
      </c>
      <c r="E658">
        <f t="shared" si="120"/>
        <v>1</v>
      </c>
      <c r="F658">
        <f t="shared" si="121"/>
        <v>12</v>
      </c>
      <c r="G658">
        <f t="shared" si="122"/>
        <v>2015</v>
      </c>
      <c r="H658">
        <f t="shared" si="123"/>
        <v>1.276</v>
      </c>
      <c r="I658" t="e">
        <f t="shared" si="124"/>
        <v>#N/A</v>
      </c>
      <c r="J658" t="e">
        <f t="shared" si="125"/>
        <v>#N/A</v>
      </c>
      <c r="K658" t="e">
        <f t="shared" si="126"/>
        <v>#N/A</v>
      </c>
      <c r="L658" t="e">
        <f t="shared" si="127"/>
        <v>#N/A</v>
      </c>
      <c r="M658" t="e">
        <f t="shared" si="128"/>
        <v>#N/A</v>
      </c>
      <c r="N658" t="e">
        <f t="shared" si="129"/>
        <v>#N/A</v>
      </c>
      <c r="O658">
        <f t="shared" si="130"/>
        <v>6.5799999999999995E-4</v>
      </c>
      <c r="T658">
        <f>IF(connections!$A658="","",IFERROR(INDEX(games!$B$2:$B$834,MATCH(connections!$A658,games!$A$2:$A$834,0)),""))</f>
        <v>2020</v>
      </c>
      <c r="U658">
        <f>IF(connections!$A658="","",IFERROR(INDEX(games!$B$2:$B$834,MATCH(connections!$B658,games!$A$2:$A$834,0)),""))</f>
        <v>2024</v>
      </c>
      <c r="V658">
        <f t="shared" si="131"/>
        <v>4</v>
      </c>
    </row>
    <row r="659" spans="1:22" x14ac:dyDescent="0.25">
      <c r="A659" t="str">
        <f>IF(games!$A659="","",games!$A659)</f>
        <v>Space Gladiators</v>
      </c>
      <c r="B659">
        <f>IF($A659="","",games!$B659)</f>
        <v>2019</v>
      </c>
      <c r="C659" t="str">
        <f>IF($A659="","",games!$C659)</f>
        <v>Action</v>
      </c>
      <c r="D659">
        <f>IF($A659="","",COUNTIF(connections!$A$2:$A$1188,$A659)+COUNTIF(connections!$B$2:$B$1188,$A659))</f>
        <v>4</v>
      </c>
      <c r="E659">
        <f t="shared" si="120"/>
        <v>1</v>
      </c>
      <c r="F659">
        <f t="shared" si="121"/>
        <v>13</v>
      </c>
      <c r="G659">
        <f t="shared" si="122"/>
        <v>2019</v>
      </c>
      <c r="H659">
        <f t="shared" si="123"/>
        <v>1.2989999999999999</v>
      </c>
      <c r="I659" t="e">
        <f t="shared" si="124"/>
        <v>#N/A</v>
      </c>
      <c r="J659" t="e">
        <f t="shared" si="125"/>
        <v>#N/A</v>
      </c>
      <c r="K659" t="e">
        <f t="shared" si="126"/>
        <v>#N/A</v>
      </c>
      <c r="L659" t="e">
        <f t="shared" si="127"/>
        <v>#N/A</v>
      </c>
      <c r="M659" t="e">
        <f t="shared" si="128"/>
        <v>#N/A</v>
      </c>
      <c r="N659" t="e">
        <f t="shared" si="129"/>
        <v>#N/A</v>
      </c>
      <c r="O659">
        <f t="shared" si="130"/>
        <v>4.0006589999999997</v>
      </c>
      <c r="T659">
        <f>IF(connections!$A659="","",IFERROR(INDEX(games!$B$2:$B$834,MATCH(connections!$A659,games!$A$2:$A$834,0)),""))</f>
        <v>2020</v>
      </c>
      <c r="U659">
        <f>IF(connections!$A659="","",IFERROR(INDEX(games!$B$2:$B$834,MATCH(connections!$B659,games!$A$2:$A$834,0)),""))</f>
        <v>2026</v>
      </c>
      <c r="V659">
        <f t="shared" si="131"/>
        <v>6</v>
      </c>
    </row>
    <row r="660" spans="1:22" x14ac:dyDescent="0.25">
      <c r="A660" t="str">
        <f>IF(games!$A660="","",games!$A660)</f>
        <v>Space Grunts</v>
      </c>
      <c r="B660">
        <f>IF($A660="","",games!$B660)</f>
        <v>2016</v>
      </c>
      <c r="C660" t="str">
        <f>IF($A660="","",games!$C660)</f>
        <v>Traditional</v>
      </c>
      <c r="D660">
        <f>IF($A660="","",COUNTIF(connections!$A$2:$A$1188,$A660)+COUNTIF(connections!$B$2:$B$1188,$A660))</f>
        <v>2</v>
      </c>
      <c r="E660">
        <f t="shared" si="120"/>
        <v>4</v>
      </c>
      <c r="F660">
        <f t="shared" si="121"/>
        <v>14</v>
      </c>
      <c r="G660" t="e">
        <f t="shared" si="122"/>
        <v>#N/A</v>
      </c>
      <c r="H660" t="e">
        <f t="shared" si="123"/>
        <v>#N/A</v>
      </c>
      <c r="I660" t="e">
        <f t="shared" si="124"/>
        <v>#N/A</v>
      </c>
      <c r="J660" t="e">
        <f t="shared" si="125"/>
        <v>#N/A</v>
      </c>
      <c r="K660" t="e">
        <f t="shared" si="126"/>
        <v>#N/A</v>
      </c>
      <c r="L660" t="e">
        <f t="shared" si="127"/>
        <v>#N/A</v>
      </c>
      <c r="M660">
        <f t="shared" si="128"/>
        <v>2016</v>
      </c>
      <c r="N660">
        <f t="shared" si="129"/>
        <v>4.3220000000000001</v>
      </c>
      <c r="O660">
        <f t="shared" si="130"/>
        <v>2.0006599999999999</v>
      </c>
      <c r="T660">
        <f>IF(connections!$A660="","",IFERROR(INDEX(games!$B$2:$B$834,MATCH(connections!$A660,games!$A$2:$A$834,0)),""))</f>
        <v>2020</v>
      </c>
      <c r="U660">
        <f>IF(connections!$A660="","",IFERROR(INDEX(games!$B$2:$B$834,MATCH(connections!$B660,games!$A$2:$A$834,0)),""))</f>
        <v>2023</v>
      </c>
      <c r="V660">
        <f t="shared" si="131"/>
        <v>3</v>
      </c>
    </row>
    <row r="661" spans="1:22" x14ac:dyDescent="0.25">
      <c r="A661" t="str">
        <f>IF(games!$A661="","",games!$A661)</f>
        <v>Spellbook Demonslayers</v>
      </c>
      <c r="B661">
        <f>IF($A661="","",games!$B661)</f>
        <v>2022</v>
      </c>
      <c r="C661" t="str">
        <f>IF($A661="","",games!$C661)</f>
        <v>Action</v>
      </c>
      <c r="D661">
        <f>IF($A661="","",COUNTIF(connections!$A$2:$A$1188,$A661)+COUNTIF(connections!$B$2:$B$1188,$A661))</f>
        <v>1</v>
      </c>
      <c r="E661">
        <f t="shared" si="120"/>
        <v>1</v>
      </c>
      <c r="F661">
        <f t="shared" si="121"/>
        <v>15</v>
      </c>
      <c r="G661">
        <f t="shared" si="122"/>
        <v>2022</v>
      </c>
      <c r="H661">
        <f t="shared" si="123"/>
        <v>1.345</v>
      </c>
      <c r="I661" t="e">
        <f t="shared" si="124"/>
        <v>#N/A</v>
      </c>
      <c r="J661" t="e">
        <f t="shared" si="125"/>
        <v>#N/A</v>
      </c>
      <c r="K661" t="e">
        <f t="shared" si="126"/>
        <v>#N/A</v>
      </c>
      <c r="L661" t="e">
        <f t="shared" si="127"/>
        <v>#N/A</v>
      </c>
      <c r="M661" t="e">
        <f t="shared" si="128"/>
        <v>#N/A</v>
      </c>
      <c r="N661" t="e">
        <f t="shared" si="129"/>
        <v>#N/A</v>
      </c>
      <c r="O661">
        <f t="shared" si="130"/>
        <v>1.000661</v>
      </c>
      <c r="T661">
        <f>IF(connections!$A661="","",IFERROR(INDEX(games!$B$2:$B$834,MATCH(connections!$A661,games!$A$2:$A$834,0)),""))</f>
        <v>2020</v>
      </c>
      <c r="U661">
        <f>IF(connections!$A661="","",IFERROR(INDEX(games!$B$2:$B$834,MATCH(connections!$B661,games!$A$2:$A$834,0)),""))</f>
        <v>2025</v>
      </c>
      <c r="V661">
        <f t="shared" si="131"/>
        <v>5</v>
      </c>
    </row>
    <row r="662" spans="1:22" x14ac:dyDescent="0.25">
      <c r="A662" t="str">
        <f>IF(games!$A662="","",games!$A662)</f>
        <v>Spellmasons</v>
      </c>
      <c r="B662">
        <f>IF($A662="","",games!$B662)</f>
        <v>2023</v>
      </c>
      <c r="C662" t="str">
        <f>IF($A662="","",games!$C662)</f>
        <v>Strategy</v>
      </c>
      <c r="D662">
        <f>IF($A662="","",COUNTIF(connections!$A$2:$A$1188,$A662)+COUNTIF(connections!$B$2:$B$1188,$A662))</f>
        <v>1</v>
      </c>
      <c r="E662">
        <f t="shared" si="120"/>
        <v>2</v>
      </c>
      <c r="F662">
        <f t="shared" si="121"/>
        <v>16</v>
      </c>
      <c r="G662" t="e">
        <f t="shared" si="122"/>
        <v>#N/A</v>
      </c>
      <c r="H662" t="e">
        <f t="shared" si="123"/>
        <v>#N/A</v>
      </c>
      <c r="I662">
        <f t="shared" si="124"/>
        <v>2023</v>
      </c>
      <c r="J662">
        <f t="shared" si="125"/>
        <v>2.3679999999999999</v>
      </c>
      <c r="K662" t="e">
        <f t="shared" si="126"/>
        <v>#N/A</v>
      </c>
      <c r="L662" t="e">
        <f t="shared" si="127"/>
        <v>#N/A</v>
      </c>
      <c r="M662" t="e">
        <f t="shared" si="128"/>
        <v>#N/A</v>
      </c>
      <c r="N662" t="e">
        <f t="shared" si="129"/>
        <v>#N/A</v>
      </c>
      <c r="O662">
        <f t="shared" si="130"/>
        <v>1.0006619999999999</v>
      </c>
      <c r="T662">
        <f>IF(connections!$A662="","",IFERROR(INDEX(games!$B$2:$B$834,MATCH(connections!$A662,games!$A$2:$A$834,0)),""))</f>
        <v>2020</v>
      </c>
      <c r="U662">
        <f>IF(connections!$A662="","",IFERROR(INDEX(games!$B$2:$B$834,MATCH(connections!$B662,games!$A$2:$A$834,0)),""))</f>
        <v>2026</v>
      </c>
      <c r="V662">
        <f t="shared" si="131"/>
        <v>6</v>
      </c>
    </row>
    <row r="663" spans="1:22" x14ac:dyDescent="0.25">
      <c r="A663" t="str">
        <f>IF(games!$A663="","",games!$A663)</f>
        <v>SpellRogue</v>
      </c>
      <c r="B663">
        <f>IF($A663="","",games!$B663)</f>
        <v>2024</v>
      </c>
      <c r="C663" t="str">
        <f>IF($A663="","",games!$C663)</f>
        <v>Deckbuilder</v>
      </c>
      <c r="D663">
        <f>IF($A663="","",COUNTIF(connections!$A$2:$A$1188,$A663)+COUNTIF(connections!$B$2:$B$1188,$A663))</f>
        <v>2</v>
      </c>
      <c r="E663">
        <f t="shared" si="120"/>
        <v>3</v>
      </c>
      <c r="F663">
        <f t="shared" si="121"/>
        <v>17</v>
      </c>
      <c r="G663" t="e">
        <f t="shared" si="122"/>
        <v>#N/A</v>
      </c>
      <c r="H663" t="e">
        <f t="shared" si="123"/>
        <v>#N/A</v>
      </c>
      <c r="I663" t="e">
        <f t="shared" si="124"/>
        <v>#N/A</v>
      </c>
      <c r="J663" t="e">
        <f t="shared" si="125"/>
        <v>#N/A</v>
      </c>
      <c r="K663">
        <f t="shared" si="126"/>
        <v>2024</v>
      </c>
      <c r="L663">
        <f t="shared" si="127"/>
        <v>3.391</v>
      </c>
      <c r="M663" t="e">
        <f t="shared" si="128"/>
        <v>#N/A</v>
      </c>
      <c r="N663" t="e">
        <f t="shared" si="129"/>
        <v>#N/A</v>
      </c>
      <c r="O663">
        <f t="shared" si="130"/>
        <v>2.0006629999999999</v>
      </c>
      <c r="T663">
        <f>IF(connections!$A663="","",IFERROR(INDEX(games!$B$2:$B$834,MATCH(connections!$A663,games!$A$2:$A$834,0)),""))</f>
        <v>2020</v>
      </c>
      <c r="U663">
        <f>IF(connections!$A663="","",IFERROR(INDEX(games!$B$2:$B$834,MATCH(connections!$B663,games!$A$2:$A$834,0)),""))</f>
        <v>2024</v>
      </c>
      <c r="V663">
        <f t="shared" si="131"/>
        <v>4</v>
      </c>
    </row>
    <row r="664" spans="1:22" x14ac:dyDescent="0.25">
      <c r="A664" t="str">
        <f>IF(games!$A664="","",games!$A664)</f>
        <v>Spelunky</v>
      </c>
      <c r="B664">
        <f>IF($A664="","",games!$B664)</f>
        <v>2012</v>
      </c>
      <c r="C664" t="str">
        <f>IF($A664="","",games!$C664)</f>
        <v>Action</v>
      </c>
      <c r="D664">
        <f>IF($A664="","",COUNTIF(connections!$A$2:$A$1188,$A664)+COUNTIF(connections!$B$2:$B$1188,$A664))</f>
        <v>2</v>
      </c>
      <c r="E664">
        <f t="shared" si="120"/>
        <v>1</v>
      </c>
      <c r="F664">
        <f t="shared" si="121"/>
        <v>18</v>
      </c>
      <c r="G664">
        <f t="shared" si="122"/>
        <v>2012</v>
      </c>
      <c r="H664">
        <f t="shared" si="123"/>
        <v>1.4139999999999999</v>
      </c>
      <c r="I664" t="e">
        <f t="shared" si="124"/>
        <v>#N/A</v>
      </c>
      <c r="J664" t="e">
        <f t="shared" si="125"/>
        <v>#N/A</v>
      </c>
      <c r="K664" t="e">
        <f t="shared" si="126"/>
        <v>#N/A</v>
      </c>
      <c r="L664" t="e">
        <f t="shared" si="127"/>
        <v>#N/A</v>
      </c>
      <c r="M664" t="e">
        <f t="shared" si="128"/>
        <v>#N/A</v>
      </c>
      <c r="N664" t="e">
        <f t="shared" si="129"/>
        <v>#N/A</v>
      </c>
      <c r="O664">
        <f t="shared" si="130"/>
        <v>2.000664</v>
      </c>
      <c r="T664">
        <f>IF(connections!$A664="","",IFERROR(INDEX(games!$B$2:$B$834,MATCH(connections!$A664,games!$A$2:$A$834,0)),""))</f>
        <v>2020</v>
      </c>
      <c r="U664">
        <f>IF(connections!$A664="","",IFERROR(INDEX(games!$B$2:$B$834,MATCH(connections!$B664,games!$A$2:$A$834,0)),""))</f>
        <v>2024</v>
      </c>
      <c r="V664">
        <f t="shared" si="131"/>
        <v>4</v>
      </c>
    </row>
    <row r="665" spans="1:22" x14ac:dyDescent="0.25">
      <c r="A665" t="str">
        <f>IF(games!$A665="","",games!$A665)</f>
        <v>Spelunky 2</v>
      </c>
      <c r="B665">
        <f>IF($A665="","",games!$B665)</f>
        <v>2020</v>
      </c>
      <c r="C665" t="str">
        <f>IF($A665="","",games!$C665)</f>
        <v>Action</v>
      </c>
      <c r="D665">
        <f>IF($A665="","",COUNTIF(connections!$A$2:$A$1188,$A665)+COUNTIF(connections!$B$2:$B$1188,$A665))</f>
        <v>1</v>
      </c>
      <c r="E665">
        <f t="shared" si="120"/>
        <v>1</v>
      </c>
      <c r="F665">
        <f t="shared" si="121"/>
        <v>19</v>
      </c>
      <c r="G665">
        <f t="shared" si="122"/>
        <v>2020</v>
      </c>
      <c r="H665">
        <f t="shared" si="123"/>
        <v>1.4370000000000001</v>
      </c>
      <c r="I665" t="e">
        <f t="shared" si="124"/>
        <v>#N/A</v>
      </c>
      <c r="J665" t="e">
        <f t="shared" si="125"/>
        <v>#N/A</v>
      </c>
      <c r="K665" t="e">
        <f t="shared" si="126"/>
        <v>#N/A</v>
      </c>
      <c r="L665" t="e">
        <f t="shared" si="127"/>
        <v>#N/A</v>
      </c>
      <c r="M665" t="e">
        <f t="shared" si="128"/>
        <v>#N/A</v>
      </c>
      <c r="N665" t="e">
        <f t="shared" si="129"/>
        <v>#N/A</v>
      </c>
      <c r="O665">
        <f t="shared" si="130"/>
        <v>1.0006649999999999</v>
      </c>
      <c r="T665">
        <f>IF(connections!$A665="","",IFERROR(INDEX(games!$B$2:$B$834,MATCH(connections!$A665,games!$A$2:$A$834,0)),""))</f>
        <v>2020</v>
      </c>
      <c r="U665">
        <f>IF(connections!$A665="","",IFERROR(INDEX(games!$B$2:$B$834,MATCH(connections!$B665,games!$A$2:$A$834,0)),""))</f>
        <v>2025</v>
      </c>
      <c r="V665">
        <f t="shared" si="131"/>
        <v>5</v>
      </c>
    </row>
    <row r="666" spans="1:22" x14ac:dyDescent="0.25">
      <c r="A666" t="str">
        <f>IF(games!$A666="","",games!$A666)</f>
        <v>Spelunky Classic</v>
      </c>
      <c r="B666">
        <f>IF($A666="","",games!$B666)</f>
        <v>2008</v>
      </c>
      <c r="C666" t="str">
        <f>IF($A666="","",games!$C666)</f>
        <v>Action</v>
      </c>
      <c r="D666">
        <f>IF($A666="","",COUNTIF(connections!$A$2:$A$1188,$A666)+COUNTIF(connections!$B$2:$B$1188,$A666))</f>
        <v>37</v>
      </c>
      <c r="E666">
        <f t="shared" si="120"/>
        <v>1</v>
      </c>
      <c r="F666">
        <f t="shared" si="121"/>
        <v>20</v>
      </c>
      <c r="G666">
        <f t="shared" si="122"/>
        <v>2008</v>
      </c>
      <c r="H666">
        <f t="shared" si="123"/>
        <v>1.46</v>
      </c>
      <c r="I666" t="e">
        <f t="shared" si="124"/>
        <v>#N/A</v>
      </c>
      <c r="J666" t="e">
        <f t="shared" si="125"/>
        <v>#N/A</v>
      </c>
      <c r="K666" t="e">
        <f t="shared" si="126"/>
        <v>#N/A</v>
      </c>
      <c r="L666" t="e">
        <f t="shared" si="127"/>
        <v>#N/A</v>
      </c>
      <c r="M666" t="e">
        <f t="shared" si="128"/>
        <v>#N/A</v>
      </c>
      <c r="N666" t="e">
        <f t="shared" si="129"/>
        <v>#N/A</v>
      </c>
      <c r="O666">
        <f t="shared" si="130"/>
        <v>37.000666000000002</v>
      </c>
      <c r="T666">
        <f>IF(connections!$A666="","",IFERROR(INDEX(games!$B$2:$B$834,MATCH(connections!$A666,games!$A$2:$A$834,0)),""))</f>
        <v>2020</v>
      </c>
      <c r="U666">
        <f>IF(connections!$A666="","",IFERROR(INDEX(games!$B$2:$B$834,MATCH(connections!$B666,games!$A$2:$A$834,0)),""))</f>
        <v>2025</v>
      </c>
      <c r="V666">
        <f t="shared" si="131"/>
        <v>5</v>
      </c>
    </row>
    <row r="667" spans="1:22" x14ac:dyDescent="0.25">
      <c r="A667" t="str">
        <f>IF(games!$A667="","",games!$A667)</f>
        <v>Spin Hero</v>
      </c>
      <c r="B667">
        <f>IF($A667="","",games!$B667)</f>
        <v>2024</v>
      </c>
      <c r="C667" t="str">
        <f>IF($A667="","",games!$C667)</f>
        <v>Deckbuilder</v>
      </c>
      <c r="D667">
        <f>IF($A667="","",COUNTIF(connections!$A$2:$A$1188,$A667)+COUNTIF(connections!$B$2:$B$1188,$A667))</f>
        <v>3</v>
      </c>
      <c r="E667">
        <f t="shared" si="120"/>
        <v>3</v>
      </c>
      <c r="F667">
        <f t="shared" si="121"/>
        <v>21</v>
      </c>
      <c r="G667" t="e">
        <f t="shared" si="122"/>
        <v>#N/A</v>
      </c>
      <c r="H667" t="e">
        <f t="shared" si="123"/>
        <v>#N/A</v>
      </c>
      <c r="I667" t="e">
        <f t="shared" si="124"/>
        <v>#N/A</v>
      </c>
      <c r="J667" t="e">
        <f t="shared" si="125"/>
        <v>#N/A</v>
      </c>
      <c r="K667">
        <f t="shared" si="126"/>
        <v>2024</v>
      </c>
      <c r="L667">
        <f t="shared" si="127"/>
        <v>3.4830000000000001</v>
      </c>
      <c r="M667" t="e">
        <f t="shared" si="128"/>
        <v>#N/A</v>
      </c>
      <c r="N667" t="e">
        <f t="shared" si="129"/>
        <v>#N/A</v>
      </c>
      <c r="O667">
        <f t="shared" si="130"/>
        <v>3.000667</v>
      </c>
      <c r="T667">
        <f>IF(connections!$A667="","",IFERROR(INDEX(games!$B$2:$B$834,MATCH(connections!$A667,games!$A$2:$A$834,0)),""))</f>
        <v>1980</v>
      </c>
      <c r="U667">
        <f>IF(connections!$A667="","",IFERROR(INDEX(games!$B$2:$B$834,MATCH(connections!$B667,games!$A$2:$A$834,0)),""))</f>
        <v>2015</v>
      </c>
      <c r="V667">
        <f t="shared" si="131"/>
        <v>35</v>
      </c>
    </row>
    <row r="668" spans="1:22" x14ac:dyDescent="0.25">
      <c r="A668" t="str">
        <f>IF(games!$A668="","",games!$A668)</f>
        <v>Spirit Hunters: Infinite Horde</v>
      </c>
      <c r="B668">
        <f>IF($A668="","",games!$B668)</f>
        <v>2022</v>
      </c>
      <c r="C668" t="str">
        <f>IF($A668="","",games!$C668)</f>
        <v>Action</v>
      </c>
      <c r="D668">
        <f>IF($A668="","",COUNTIF(connections!$A$2:$A$1188,$A668)+COUNTIF(connections!$B$2:$B$1188,$A668))</f>
        <v>1</v>
      </c>
      <c r="E668">
        <f t="shared" si="120"/>
        <v>1</v>
      </c>
      <c r="F668">
        <f t="shared" si="121"/>
        <v>22</v>
      </c>
      <c r="G668">
        <f t="shared" si="122"/>
        <v>2022</v>
      </c>
      <c r="H668">
        <f t="shared" si="123"/>
        <v>1.506</v>
      </c>
      <c r="I668" t="e">
        <f t="shared" si="124"/>
        <v>#N/A</v>
      </c>
      <c r="J668" t="e">
        <f t="shared" si="125"/>
        <v>#N/A</v>
      </c>
      <c r="K668" t="e">
        <f t="shared" si="126"/>
        <v>#N/A</v>
      </c>
      <c r="L668" t="e">
        <f t="shared" si="127"/>
        <v>#N/A</v>
      </c>
      <c r="M668" t="e">
        <f t="shared" si="128"/>
        <v>#N/A</v>
      </c>
      <c r="N668" t="e">
        <f t="shared" si="129"/>
        <v>#N/A</v>
      </c>
      <c r="O668">
        <f t="shared" si="130"/>
        <v>1.0006679999999999</v>
      </c>
      <c r="T668">
        <f>IF(connections!$A668="","",IFERROR(INDEX(games!$B$2:$B$834,MATCH(connections!$A668,games!$A$2:$A$834,0)),""))</f>
        <v>1980</v>
      </c>
      <c r="U668">
        <f>IF(connections!$A668="","",IFERROR(INDEX(games!$B$2:$B$834,MATCH(connections!$B668,games!$A$2:$A$834,0)),""))</f>
        <v>2009</v>
      </c>
      <c r="V668">
        <f t="shared" si="131"/>
        <v>29</v>
      </c>
    </row>
    <row r="669" spans="1:22" x14ac:dyDescent="0.25">
      <c r="A669" t="str">
        <f>IF(games!$A669="","",games!$A669)</f>
        <v>Spiritfall</v>
      </c>
      <c r="B669">
        <f>IF($A669="","",games!$B669)</f>
        <v>2023</v>
      </c>
      <c r="C669" t="str">
        <f>IF($A669="","",games!$C669)</f>
        <v>Action</v>
      </c>
      <c r="D669">
        <f>IF($A669="","",COUNTIF(connections!$A$2:$A$1188,$A669)+COUNTIF(connections!$B$2:$B$1188,$A669))</f>
        <v>2</v>
      </c>
      <c r="E669">
        <f t="shared" si="120"/>
        <v>1</v>
      </c>
      <c r="F669">
        <f t="shared" si="121"/>
        <v>23</v>
      </c>
      <c r="G669">
        <f t="shared" si="122"/>
        <v>2023</v>
      </c>
      <c r="H669">
        <f t="shared" si="123"/>
        <v>1.5289999999999999</v>
      </c>
      <c r="I669" t="e">
        <f t="shared" si="124"/>
        <v>#N/A</v>
      </c>
      <c r="J669" t="e">
        <f t="shared" si="125"/>
        <v>#N/A</v>
      </c>
      <c r="K669" t="e">
        <f t="shared" si="126"/>
        <v>#N/A</v>
      </c>
      <c r="L669" t="e">
        <f t="shared" si="127"/>
        <v>#N/A</v>
      </c>
      <c r="M669" t="e">
        <f t="shared" si="128"/>
        <v>#N/A</v>
      </c>
      <c r="N669" t="e">
        <f t="shared" si="129"/>
        <v>#N/A</v>
      </c>
      <c r="O669">
        <f t="shared" si="130"/>
        <v>2.0006689999999998</v>
      </c>
      <c r="T669">
        <f>IF(connections!$A669="","",IFERROR(INDEX(games!$B$2:$B$834,MATCH(connections!$A669,games!$A$2:$A$834,0)),""))</f>
        <v>1980</v>
      </c>
      <c r="U669">
        <f>IF(connections!$A669="","",IFERROR(INDEX(games!$B$2:$B$834,MATCH(connections!$B669,games!$A$2:$A$834,0)),""))</f>
        <v>1994</v>
      </c>
      <c r="V669">
        <f t="shared" si="131"/>
        <v>14</v>
      </c>
    </row>
    <row r="670" spans="1:22" x14ac:dyDescent="0.25">
      <c r="A670" t="str">
        <f>IF(games!$A670="","",games!$A670)</f>
        <v>Spirits Abyss</v>
      </c>
      <c r="B670">
        <f>IF($A670="","",games!$B670)</f>
        <v>2019</v>
      </c>
      <c r="C670" t="str">
        <f>IF($A670="","",games!$C670)</f>
        <v>Action</v>
      </c>
      <c r="D670">
        <f>IF($A670="","",COUNTIF(connections!$A$2:$A$1188,$A670)+COUNTIF(connections!$B$2:$B$1188,$A670))</f>
        <v>2</v>
      </c>
      <c r="E670">
        <f t="shared" si="120"/>
        <v>1</v>
      </c>
      <c r="F670">
        <f t="shared" si="121"/>
        <v>24</v>
      </c>
      <c r="G670">
        <f t="shared" si="122"/>
        <v>2019</v>
      </c>
      <c r="H670">
        <f t="shared" si="123"/>
        <v>1.552</v>
      </c>
      <c r="I670" t="e">
        <f t="shared" si="124"/>
        <v>#N/A</v>
      </c>
      <c r="J670" t="e">
        <f t="shared" si="125"/>
        <v>#N/A</v>
      </c>
      <c r="K670" t="e">
        <f t="shared" si="126"/>
        <v>#N/A</v>
      </c>
      <c r="L670" t="e">
        <f t="shared" si="127"/>
        <v>#N/A</v>
      </c>
      <c r="M670" t="e">
        <f t="shared" si="128"/>
        <v>#N/A</v>
      </c>
      <c r="N670" t="e">
        <f t="shared" si="129"/>
        <v>#N/A</v>
      </c>
      <c r="O670">
        <f t="shared" si="130"/>
        <v>2.0006699999999999</v>
      </c>
      <c r="T670">
        <f>IF(connections!$A670="","",IFERROR(INDEX(games!$B$2:$B$834,MATCH(connections!$A670,games!$A$2:$A$834,0)),""))</f>
        <v>1980</v>
      </c>
      <c r="U670">
        <f>IF(connections!$A670="","",IFERROR(INDEX(games!$B$2:$B$834,MATCH(connections!$B670,games!$A$2:$A$834,0)),""))</f>
        <v>1991</v>
      </c>
      <c r="V670">
        <f t="shared" si="131"/>
        <v>11</v>
      </c>
    </row>
    <row r="671" spans="1:22" x14ac:dyDescent="0.25">
      <c r="A671" t="str">
        <f>IF(games!$A671="","",games!$A671)</f>
        <v>Sproggiwood</v>
      </c>
      <c r="B671">
        <f>IF($A671="","",games!$B671)</f>
        <v>2014</v>
      </c>
      <c r="C671" t="str">
        <f>IF($A671="","",games!$C671)</f>
        <v>Traditional</v>
      </c>
      <c r="D671">
        <f>IF($A671="","",COUNTIF(connections!$A$2:$A$1188,$A671)+COUNTIF(connections!$B$2:$B$1188,$A671))</f>
        <v>3</v>
      </c>
      <c r="E671">
        <f t="shared" si="120"/>
        <v>4</v>
      </c>
      <c r="F671">
        <f t="shared" si="121"/>
        <v>25</v>
      </c>
      <c r="G671" t="e">
        <f t="shared" si="122"/>
        <v>#N/A</v>
      </c>
      <c r="H671" t="e">
        <f t="shared" si="123"/>
        <v>#N/A</v>
      </c>
      <c r="I671" t="e">
        <f t="shared" si="124"/>
        <v>#N/A</v>
      </c>
      <c r="J671" t="e">
        <f t="shared" si="125"/>
        <v>#N/A</v>
      </c>
      <c r="K671" t="e">
        <f t="shared" si="126"/>
        <v>#N/A</v>
      </c>
      <c r="L671" t="e">
        <f t="shared" si="127"/>
        <v>#N/A</v>
      </c>
      <c r="M671">
        <f t="shared" si="128"/>
        <v>2014</v>
      </c>
      <c r="N671">
        <f t="shared" si="129"/>
        <v>4.5750000000000002</v>
      </c>
      <c r="O671">
        <f t="shared" si="130"/>
        <v>3.0006710000000001</v>
      </c>
      <c r="T671">
        <f>IF(connections!$A671="","",IFERROR(INDEX(games!$B$2:$B$834,MATCH(connections!$A671,games!$A$2:$A$834,0)),""))</f>
        <v>1980</v>
      </c>
      <c r="U671">
        <f>IF(connections!$A671="","",IFERROR(INDEX(games!$B$2:$B$834,MATCH(connections!$B671,games!$A$2:$A$834,0)),""))</f>
        <v>2015</v>
      </c>
      <c r="V671">
        <f t="shared" si="131"/>
        <v>35</v>
      </c>
    </row>
    <row r="672" spans="1:22" x14ac:dyDescent="0.25">
      <c r="A672" t="str">
        <f>IF(games!$A672="","",games!$A672)</f>
        <v>Squeaky Squad</v>
      </c>
      <c r="B672">
        <f>IF($A672="","",games!$B672)</f>
        <v>2024</v>
      </c>
      <c r="C672" t="str">
        <f>IF($A672="","",games!$C672)</f>
        <v>Action</v>
      </c>
      <c r="D672">
        <f>IF($A672="","",COUNTIF(connections!$A$2:$A$1188,$A672)+COUNTIF(connections!$B$2:$B$1188,$A672))</f>
        <v>0</v>
      </c>
      <c r="E672">
        <f t="shared" si="120"/>
        <v>1</v>
      </c>
      <c r="F672">
        <f t="shared" si="121"/>
        <v>26</v>
      </c>
      <c r="G672">
        <f t="shared" si="122"/>
        <v>2024</v>
      </c>
      <c r="H672">
        <f t="shared" si="123"/>
        <v>1.5979999999999999</v>
      </c>
      <c r="I672" t="e">
        <f t="shared" si="124"/>
        <v>#N/A</v>
      </c>
      <c r="J672" t="e">
        <f t="shared" si="125"/>
        <v>#N/A</v>
      </c>
      <c r="K672" t="e">
        <f t="shared" si="126"/>
        <v>#N/A</v>
      </c>
      <c r="L672" t="e">
        <f t="shared" si="127"/>
        <v>#N/A</v>
      </c>
      <c r="M672" t="e">
        <f t="shared" si="128"/>
        <v>#N/A</v>
      </c>
      <c r="N672" t="e">
        <f t="shared" si="129"/>
        <v>#N/A</v>
      </c>
      <c r="O672">
        <f t="shared" si="130"/>
        <v>6.7199999999999996E-4</v>
      </c>
      <c r="T672">
        <f>IF(connections!$A672="","",IFERROR(INDEX(games!$B$2:$B$834,MATCH(connections!$A672,games!$A$2:$A$834,0)),""))</f>
        <v>1980</v>
      </c>
      <c r="U672">
        <f>IF(connections!$A672="","",IFERROR(INDEX(games!$B$2:$B$834,MATCH(connections!$B672,games!$A$2:$A$834,0)),""))</f>
        <v>1990</v>
      </c>
      <c r="V672">
        <f t="shared" si="131"/>
        <v>10</v>
      </c>
    </row>
    <row r="673" spans="1:22" x14ac:dyDescent="0.25">
      <c r="A673" t="str">
        <f>IF(games!$A673="","",games!$A673)</f>
        <v>Stackflow</v>
      </c>
      <c r="B673">
        <f>IF($A673="","",games!$B673)</f>
        <v>2025</v>
      </c>
      <c r="C673" t="str">
        <f>IF($A673="","",games!$C673)</f>
        <v>Deckbuilder</v>
      </c>
      <c r="D673">
        <f>IF($A673="","",COUNTIF(connections!$A$2:$A$1188,$A673)+COUNTIF(connections!$B$2:$B$1188,$A673))</f>
        <v>2</v>
      </c>
      <c r="E673">
        <f t="shared" si="120"/>
        <v>3</v>
      </c>
      <c r="F673">
        <f t="shared" si="121"/>
        <v>27</v>
      </c>
      <c r="G673" t="e">
        <f t="shared" si="122"/>
        <v>#N/A</v>
      </c>
      <c r="H673" t="e">
        <f t="shared" si="123"/>
        <v>#N/A</v>
      </c>
      <c r="I673" t="e">
        <f t="shared" si="124"/>
        <v>#N/A</v>
      </c>
      <c r="J673" t="e">
        <f t="shared" si="125"/>
        <v>#N/A</v>
      </c>
      <c r="K673">
        <f t="shared" si="126"/>
        <v>2025</v>
      </c>
      <c r="L673">
        <f t="shared" si="127"/>
        <v>3.621</v>
      </c>
      <c r="M673" t="e">
        <f t="shared" si="128"/>
        <v>#N/A</v>
      </c>
      <c r="N673" t="e">
        <f t="shared" si="129"/>
        <v>#N/A</v>
      </c>
      <c r="O673">
        <f t="shared" si="130"/>
        <v>2.0006729999999999</v>
      </c>
      <c r="T673">
        <f>IF(connections!$A673="","",IFERROR(INDEX(games!$B$2:$B$834,MATCH(connections!$A673,games!$A$2:$A$834,0)),""))</f>
        <v>1980</v>
      </c>
      <c r="U673">
        <f>IF(connections!$A673="","",IFERROR(INDEX(games!$B$2:$B$834,MATCH(connections!$B673,games!$A$2:$A$834,0)),""))</f>
        <v>2020</v>
      </c>
      <c r="V673">
        <f t="shared" si="131"/>
        <v>40</v>
      </c>
    </row>
    <row r="674" spans="1:22" x14ac:dyDescent="0.25">
      <c r="A674" t="str">
        <f>IF(games!$A674="","",games!$A674)</f>
        <v>Star of Providence</v>
      </c>
      <c r="B674">
        <f>IF($A674="","",games!$B674)</f>
        <v>2017</v>
      </c>
      <c r="C674" t="str">
        <f>IF($A674="","",games!$C674)</f>
        <v>Action</v>
      </c>
      <c r="D674">
        <f>IF($A674="","",COUNTIF(connections!$A$2:$A$1188,$A674)+COUNTIF(connections!$B$2:$B$1188,$A674))</f>
        <v>2</v>
      </c>
      <c r="E674">
        <f t="shared" si="120"/>
        <v>1</v>
      </c>
      <c r="F674">
        <f t="shared" si="121"/>
        <v>28</v>
      </c>
      <c r="G674">
        <f t="shared" si="122"/>
        <v>2017</v>
      </c>
      <c r="H674">
        <f t="shared" si="123"/>
        <v>1.6440000000000001</v>
      </c>
      <c r="I674" t="e">
        <f t="shared" si="124"/>
        <v>#N/A</v>
      </c>
      <c r="J674" t="e">
        <f t="shared" si="125"/>
        <v>#N/A</v>
      </c>
      <c r="K674" t="e">
        <f t="shared" si="126"/>
        <v>#N/A</v>
      </c>
      <c r="L674" t="e">
        <f t="shared" si="127"/>
        <v>#N/A</v>
      </c>
      <c r="M674" t="e">
        <f t="shared" si="128"/>
        <v>#N/A</v>
      </c>
      <c r="N674" t="e">
        <f t="shared" si="129"/>
        <v>#N/A</v>
      </c>
      <c r="O674">
        <f t="shared" si="130"/>
        <v>2.0006740000000001</v>
      </c>
      <c r="T674">
        <f>IF(connections!$A674="","",IFERROR(INDEX(games!$B$2:$B$834,MATCH(connections!$A674,games!$A$2:$A$834,0)),""))</f>
        <v>1980</v>
      </c>
      <c r="U674">
        <f>IF(connections!$A674="","",IFERROR(INDEX(games!$B$2:$B$834,MATCH(connections!$B674,games!$A$2:$A$834,0)),""))</f>
        <v>1984</v>
      </c>
      <c r="V674">
        <f t="shared" si="131"/>
        <v>4</v>
      </c>
    </row>
    <row r="675" spans="1:22" x14ac:dyDescent="0.25">
      <c r="A675" t="str">
        <f>IF(games!$A675="","",games!$A675)</f>
        <v>Star Survivor</v>
      </c>
      <c r="B675">
        <f>IF($A675="","",games!$B675)</f>
        <v>2023</v>
      </c>
      <c r="C675" t="str">
        <f>IF($A675="","",games!$C675)</f>
        <v>Action</v>
      </c>
      <c r="D675">
        <f>IF($A675="","",COUNTIF(connections!$A$2:$A$1188,$A675)+COUNTIF(connections!$B$2:$B$1188,$A675))</f>
        <v>1</v>
      </c>
      <c r="E675">
        <f t="shared" si="120"/>
        <v>1</v>
      </c>
      <c r="F675">
        <f t="shared" si="121"/>
        <v>29</v>
      </c>
      <c r="G675">
        <f t="shared" si="122"/>
        <v>2023</v>
      </c>
      <c r="H675">
        <f t="shared" si="123"/>
        <v>1.667</v>
      </c>
      <c r="I675" t="e">
        <f t="shared" si="124"/>
        <v>#N/A</v>
      </c>
      <c r="J675" t="e">
        <f t="shared" si="125"/>
        <v>#N/A</v>
      </c>
      <c r="K675" t="e">
        <f t="shared" si="126"/>
        <v>#N/A</v>
      </c>
      <c r="L675" t="e">
        <f t="shared" si="127"/>
        <v>#N/A</v>
      </c>
      <c r="M675" t="e">
        <f t="shared" si="128"/>
        <v>#N/A</v>
      </c>
      <c r="N675" t="e">
        <f t="shared" si="129"/>
        <v>#N/A</v>
      </c>
      <c r="O675">
        <f t="shared" si="130"/>
        <v>1.000675</v>
      </c>
      <c r="T675">
        <f>IF(connections!$A675="","",IFERROR(INDEX(games!$B$2:$B$834,MATCH(connections!$A675,games!$A$2:$A$834,0)),""))</f>
        <v>1980</v>
      </c>
      <c r="U675">
        <f>IF(connections!$A675="","",IFERROR(INDEX(games!$B$2:$B$834,MATCH(connections!$B675,games!$A$2:$A$834,0)),""))</f>
        <v>2012</v>
      </c>
      <c r="V675">
        <f t="shared" si="131"/>
        <v>32</v>
      </c>
    </row>
    <row r="676" spans="1:22" x14ac:dyDescent="0.25">
      <c r="A676" t="str">
        <f>IF(games!$A676="","",games!$A676)</f>
        <v>Starlight Revolver</v>
      </c>
      <c r="B676">
        <f>IF($A676="","",games!$B676)</f>
        <v>2025</v>
      </c>
      <c r="C676" t="str">
        <f>IF($A676="","",games!$C676)</f>
        <v>Action</v>
      </c>
      <c r="D676">
        <f>IF($A676="","",COUNTIF(connections!$A$2:$A$1188,$A676)+COUNTIF(connections!$B$2:$B$1188,$A676))</f>
        <v>1</v>
      </c>
      <c r="E676">
        <f t="shared" si="120"/>
        <v>1</v>
      </c>
      <c r="F676">
        <f t="shared" si="121"/>
        <v>30</v>
      </c>
      <c r="G676">
        <f t="shared" si="122"/>
        <v>2025</v>
      </c>
      <c r="H676">
        <f t="shared" si="123"/>
        <v>1.69</v>
      </c>
      <c r="I676" t="e">
        <f t="shared" si="124"/>
        <v>#N/A</v>
      </c>
      <c r="J676" t="e">
        <f t="shared" si="125"/>
        <v>#N/A</v>
      </c>
      <c r="K676" t="e">
        <f t="shared" si="126"/>
        <v>#N/A</v>
      </c>
      <c r="L676" t="e">
        <f t="shared" si="127"/>
        <v>#N/A</v>
      </c>
      <c r="M676" t="e">
        <f t="shared" si="128"/>
        <v>#N/A</v>
      </c>
      <c r="N676" t="e">
        <f t="shared" si="129"/>
        <v>#N/A</v>
      </c>
      <c r="O676">
        <f t="shared" si="130"/>
        <v>1.0006759999999999</v>
      </c>
      <c r="T676">
        <f>IF(connections!$A676="","",IFERROR(INDEX(games!$B$2:$B$834,MATCH(connections!$A676,games!$A$2:$A$834,0)),""))</f>
        <v>1980</v>
      </c>
      <c r="U676">
        <f>IF(connections!$A676="","",IFERROR(INDEX(games!$B$2:$B$834,MATCH(connections!$B676,games!$A$2:$A$834,0)),""))</f>
        <v>2011</v>
      </c>
      <c r="V676">
        <f t="shared" si="131"/>
        <v>31</v>
      </c>
    </row>
    <row r="677" spans="1:22" x14ac:dyDescent="0.25">
      <c r="A677" t="str">
        <f>IF(games!$A677="","",games!$A677)</f>
        <v>StarVaders</v>
      </c>
      <c r="B677">
        <f>IF($A677="","",games!$B677)</f>
        <v>2025</v>
      </c>
      <c r="C677" t="str">
        <f>IF($A677="","",games!$C677)</f>
        <v>Deckbuilder</v>
      </c>
      <c r="D677">
        <f>IF($A677="","",COUNTIF(connections!$A$2:$A$1188,$A677)+COUNTIF(connections!$B$2:$B$1188,$A677))</f>
        <v>1</v>
      </c>
      <c r="E677">
        <f t="shared" si="120"/>
        <v>3</v>
      </c>
      <c r="F677">
        <f t="shared" si="121"/>
        <v>31</v>
      </c>
      <c r="G677" t="e">
        <f t="shared" si="122"/>
        <v>#N/A</v>
      </c>
      <c r="H677" t="e">
        <f t="shared" si="123"/>
        <v>#N/A</v>
      </c>
      <c r="I677" t="e">
        <f t="shared" si="124"/>
        <v>#N/A</v>
      </c>
      <c r="J677" t="e">
        <f t="shared" si="125"/>
        <v>#N/A</v>
      </c>
      <c r="K677">
        <f t="shared" si="126"/>
        <v>2025</v>
      </c>
      <c r="L677">
        <f t="shared" si="127"/>
        <v>3.7130000000000001</v>
      </c>
      <c r="M677" t="e">
        <f t="shared" si="128"/>
        <v>#N/A</v>
      </c>
      <c r="N677" t="e">
        <f t="shared" si="129"/>
        <v>#N/A</v>
      </c>
      <c r="O677">
        <f t="shared" si="130"/>
        <v>1.000677</v>
      </c>
      <c r="T677">
        <f>IF(connections!$A677="","",IFERROR(INDEX(games!$B$2:$B$834,MATCH(connections!$A677,games!$A$2:$A$834,0)),""))</f>
        <v>1980</v>
      </c>
      <c r="U677">
        <f>IF(connections!$A677="","",IFERROR(INDEX(games!$B$2:$B$834,MATCH(connections!$B677,games!$A$2:$A$834,0)),""))</f>
        <v>1986</v>
      </c>
      <c r="V677">
        <f t="shared" si="131"/>
        <v>6</v>
      </c>
    </row>
    <row r="678" spans="1:22" x14ac:dyDescent="0.25">
      <c r="A678" t="str">
        <f>IF(games!$A678="","",games!$A678)</f>
        <v>Steve's Warehouse: Physics. Roguelike. Chaos.</v>
      </c>
      <c r="B678">
        <f>IF($A678="","",games!$B678)</f>
        <v>2025</v>
      </c>
      <c r="C678" t="str">
        <f>IF($A678="","",games!$C678)</f>
        <v>Deckbuilder</v>
      </c>
      <c r="D678">
        <f>IF($A678="","",COUNTIF(connections!$A$2:$A$1188,$A678)+COUNTIF(connections!$B$2:$B$1188,$A678))</f>
        <v>3</v>
      </c>
      <c r="E678">
        <f t="shared" si="120"/>
        <v>3</v>
      </c>
      <c r="F678">
        <f t="shared" si="121"/>
        <v>32</v>
      </c>
      <c r="G678" t="e">
        <f t="shared" si="122"/>
        <v>#N/A</v>
      </c>
      <c r="H678" t="e">
        <f t="shared" si="123"/>
        <v>#N/A</v>
      </c>
      <c r="I678" t="e">
        <f t="shared" si="124"/>
        <v>#N/A</v>
      </c>
      <c r="J678" t="e">
        <f t="shared" si="125"/>
        <v>#N/A</v>
      </c>
      <c r="K678">
        <f t="shared" si="126"/>
        <v>2025</v>
      </c>
      <c r="L678">
        <f t="shared" si="127"/>
        <v>3.7359999999999998</v>
      </c>
      <c r="M678" t="e">
        <f t="shared" si="128"/>
        <v>#N/A</v>
      </c>
      <c r="N678" t="e">
        <f t="shared" si="129"/>
        <v>#N/A</v>
      </c>
      <c r="O678">
        <f t="shared" si="130"/>
        <v>3.0006780000000002</v>
      </c>
      <c r="T678">
        <f>IF(connections!$A678="","",IFERROR(INDEX(games!$B$2:$B$834,MATCH(connections!$A678,games!$A$2:$A$834,0)),""))</f>
        <v>1980</v>
      </c>
      <c r="U678">
        <f>IF(connections!$A678="","",IFERROR(INDEX(games!$B$2:$B$834,MATCH(connections!$B678,games!$A$2:$A$834,0)),""))</f>
        <v>1987</v>
      </c>
      <c r="V678">
        <f t="shared" si="131"/>
        <v>7</v>
      </c>
    </row>
    <row r="679" spans="1:22" x14ac:dyDescent="0.25">
      <c r="A679" t="str">
        <f>IF(games!$A679="","",games!$A679)</f>
        <v>Stick It to the Stickman</v>
      </c>
      <c r="B679">
        <f>IF($A679="","",games!$B679)</f>
        <v>2025</v>
      </c>
      <c r="C679" t="str">
        <f>IF($A679="","",games!$C679)</f>
        <v>Action</v>
      </c>
      <c r="D679">
        <f>IF($A679="","",COUNTIF(connections!$A$2:$A$1188,$A679)+COUNTIF(connections!$B$2:$B$1188,$A679))</f>
        <v>0</v>
      </c>
      <c r="E679">
        <f t="shared" si="120"/>
        <v>1</v>
      </c>
      <c r="F679">
        <f t="shared" si="121"/>
        <v>33</v>
      </c>
      <c r="G679">
        <f t="shared" si="122"/>
        <v>2025</v>
      </c>
      <c r="H679">
        <f t="shared" si="123"/>
        <v>1.7589999999999999</v>
      </c>
      <c r="I679" t="e">
        <f t="shared" si="124"/>
        <v>#N/A</v>
      </c>
      <c r="J679" t="e">
        <f t="shared" si="125"/>
        <v>#N/A</v>
      </c>
      <c r="K679" t="e">
        <f t="shared" si="126"/>
        <v>#N/A</v>
      </c>
      <c r="L679" t="e">
        <f t="shared" si="127"/>
        <v>#N/A</v>
      </c>
      <c r="M679" t="e">
        <f t="shared" si="128"/>
        <v>#N/A</v>
      </c>
      <c r="N679" t="e">
        <f t="shared" si="129"/>
        <v>#N/A</v>
      </c>
      <c r="O679">
        <f t="shared" si="130"/>
        <v>6.7900000000000002E-4</v>
      </c>
      <c r="T679">
        <f>IF(connections!$A679="","",IFERROR(INDEX(games!$B$2:$B$834,MATCH(connections!$A679,games!$A$2:$A$834,0)),""))</f>
        <v>1980</v>
      </c>
      <c r="U679">
        <f>IF(connections!$A679="","",IFERROR(INDEX(games!$B$2:$B$834,MATCH(connections!$B679,games!$A$2:$A$834,0)),""))</f>
        <v>1983</v>
      </c>
      <c r="V679">
        <f t="shared" si="131"/>
        <v>3</v>
      </c>
    </row>
    <row r="680" spans="1:22" x14ac:dyDescent="0.25">
      <c r="A680" t="str">
        <f>IF(games!$A680="","",games!$A680)</f>
        <v>Stoneshard</v>
      </c>
      <c r="B680">
        <f>IF($A680="","",games!$B680)</f>
        <v>2020</v>
      </c>
      <c r="C680" t="str">
        <f>IF($A680="","",games!$C680)</f>
        <v>Traditional</v>
      </c>
      <c r="D680">
        <f>IF($A680="","",COUNTIF(connections!$A$2:$A$1188,$A680)+COUNTIF(connections!$B$2:$B$1188,$A680))</f>
        <v>3</v>
      </c>
      <c r="E680">
        <f t="shared" si="120"/>
        <v>4</v>
      </c>
      <c r="F680">
        <f t="shared" si="121"/>
        <v>0</v>
      </c>
      <c r="G680" t="e">
        <f t="shared" si="122"/>
        <v>#N/A</v>
      </c>
      <c r="H680" t="e">
        <f t="shared" si="123"/>
        <v>#N/A</v>
      </c>
      <c r="I680" t="e">
        <f t="shared" si="124"/>
        <v>#N/A</v>
      </c>
      <c r="J680" t="e">
        <f t="shared" si="125"/>
        <v>#N/A</v>
      </c>
      <c r="K680" t="e">
        <f t="shared" si="126"/>
        <v>#N/A</v>
      </c>
      <c r="L680" t="e">
        <f t="shared" si="127"/>
        <v>#N/A</v>
      </c>
      <c r="M680">
        <f t="shared" si="128"/>
        <v>2020</v>
      </c>
      <c r="N680">
        <f t="shared" si="129"/>
        <v>4</v>
      </c>
      <c r="O680">
        <f t="shared" si="130"/>
        <v>3.00068</v>
      </c>
      <c r="T680">
        <f>IF(connections!$A680="","",IFERROR(INDEX(games!$B$2:$B$834,MATCH(connections!$A680,games!$A$2:$A$834,0)),""))</f>
        <v>1980</v>
      </c>
      <c r="U680">
        <f>IF(connections!$A680="","",IFERROR(INDEX(games!$B$2:$B$834,MATCH(connections!$B680,games!$A$2:$A$834,0)),""))</f>
        <v>2023</v>
      </c>
      <c r="V680">
        <f t="shared" si="131"/>
        <v>43</v>
      </c>
    </row>
    <row r="681" spans="1:22" x14ac:dyDescent="0.25">
      <c r="A681" t="str">
        <f>IF(games!$A681="","",games!$A681)</f>
        <v>Stories from the Outbreak</v>
      </c>
      <c r="B681">
        <f>IF($A681="","",games!$B681)</f>
        <v>2023</v>
      </c>
      <c r="C681" t="str">
        <f>IF($A681="","",games!$C681)</f>
        <v>Strategy</v>
      </c>
      <c r="D681">
        <f>IF($A681="","",COUNTIF(connections!$A$2:$A$1188,$A681)+COUNTIF(connections!$B$2:$B$1188,$A681))</f>
        <v>0</v>
      </c>
      <c r="E681">
        <f t="shared" si="120"/>
        <v>2</v>
      </c>
      <c r="F681">
        <f t="shared" si="121"/>
        <v>1</v>
      </c>
      <c r="G681" t="e">
        <f t="shared" si="122"/>
        <v>#N/A</v>
      </c>
      <c r="H681" t="e">
        <f t="shared" si="123"/>
        <v>#N/A</v>
      </c>
      <c r="I681">
        <f t="shared" si="124"/>
        <v>2023</v>
      </c>
      <c r="J681">
        <f t="shared" si="125"/>
        <v>2.0230000000000001</v>
      </c>
      <c r="K681" t="e">
        <f t="shared" si="126"/>
        <v>#N/A</v>
      </c>
      <c r="L681" t="e">
        <f t="shared" si="127"/>
        <v>#N/A</v>
      </c>
      <c r="M681" t="e">
        <f t="shared" si="128"/>
        <v>#N/A</v>
      </c>
      <c r="N681" t="e">
        <f t="shared" si="129"/>
        <v>#N/A</v>
      </c>
      <c r="O681">
        <f t="shared" si="130"/>
        <v>6.8099999999999996E-4</v>
      </c>
      <c r="T681">
        <f>IF(connections!$A681="","",IFERROR(INDEX(games!$B$2:$B$834,MATCH(connections!$A681,games!$A$2:$A$834,0)),""))</f>
        <v>1980</v>
      </c>
      <c r="U681">
        <f>IF(connections!$A681="","",IFERROR(INDEX(games!$B$2:$B$834,MATCH(connections!$B681,games!$A$2:$A$834,0)),""))</f>
        <v>1992</v>
      </c>
      <c r="V681">
        <f t="shared" si="131"/>
        <v>12</v>
      </c>
    </row>
    <row r="682" spans="1:22" x14ac:dyDescent="0.25">
      <c r="A682" t="str">
        <f>IF(games!$A682="","",games!$A682)</f>
        <v>Strafe</v>
      </c>
      <c r="B682">
        <f>IF($A682="","",games!$B682)</f>
        <v>2017</v>
      </c>
      <c r="C682" t="str">
        <f>IF($A682="","",games!$C682)</f>
        <v>Action</v>
      </c>
      <c r="D682">
        <f>IF($A682="","",COUNTIF(connections!$A$2:$A$1188,$A682)+COUNTIF(connections!$B$2:$B$1188,$A682))</f>
        <v>1</v>
      </c>
      <c r="E682">
        <f t="shared" si="120"/>
        <v>1</v>
      </c>
      <c r="F682">
        <f t="shared" si="121"/>
        <v>2</v>
      </c>
      <c r="G682">
        <f t="shared" si="122"/>
        <v>2017</v>
      </c>
      <c r="H682">
        <f t="shared" si="123"/>
        <v>1.046</v>
      </c>
      <c r="I682" t="e">
        <f t="shared" si="124"/>
        <v>#N/A</v>
      </c>
      <c r="J682" t="e">
        <f t="shared" si="125"/>
        <v>#N/A</v>
      </c>
      <c r="K682" t="e">
        <f t="shared" si="126"/>
        <v>#N/A</v>
      </c>
      <c r="L682" t="e">
        <f t="shared" si="127"/>
        <v>#N/A</v>
      </c>
      <c r="M682" t="e">
        <f t="shared" si="128"/>
        <v>#N/A</v>
      </c>
      <c r="N682" t="e">
        <f t="shared" si="129"/>
        <v>#N/A</v>
      </c>
      <c r="O682">
        <f t="shared" si="130"/>
        <v>1.0006820000000001</v>
      </c>
      <c r="T682">
        <f>IF(connections!$A682="","",IFERROR(INDEX(games!$B$2:$B$834,MATCH(connections!$A682,games!$A$2:$A$834,0)),""))</f>
        <v>1980</v>
      </c>
      <c r="U682">
        <f>IF(connections!$A682="","",IFERROR(INDEX(games!$B$2:$B$834,MATCH(connections!$B682,games!$A$2:$A$834,0)),""))</f>
        <v>2012</v>
      </c>
      <c r="V682">
        <f t="shared" si="131"/>
        <v>32</v>
      </c>
    </row>
    <row r="683" spans="1:22" x14ac:dyDescent="0.25">
      <c r="A683" t="str">
        <f>IF(games!$A683="","",games!$A683)</f>
        <v>Strange Adventures in Infinite Space</v>
      </c>
      <c r="B683">
        <f>IF($A683="","",games!$B683)</f>
        <v>2002</v>
      </c>
      <c r="C683" t="str">
        <f>IF($A683="","",games!$C683)</f>
        <v>Strategy</v>
      </c>
      <c r="D683">
        <f>IF($A683="","",COUNTIF(connections!$A$2:$A$1188,$A683)+COUNTIF(connections!$B$2:$B$1188,$A683))</f>
        <v>3</v>
      </c>
      <c r="E683">
        <f t="shared" si="120"/>
        <v>2</v>
      </c>
      <c r="F683">
        <f t="shared" si="121"/>
        <v>3</v>
      </c>
      <c r="G683" t="e">
        <f t="shared" si="122"/>
        <v>#N/A</v>
      </c>
      <c r="H683" t="e">
        <f t="shared" si="123"/>
        <v>#N/A</v>
      </c>
      <c r="I683">
        <f t="shared" si="124"/>
        <v>2002</v>
      </c>
      <c r="J683">
        <f t="shared" si="125"/>
        <v>2.069</v>
      </c>
      <c r="K683" t="e">
        <f t="shared" si="126"/>
        <v>#N/A</v>
      </c>
      <c r="L683" t="e">
        <f t="shared" si="127"/>
        <v>#N/A</v>
      </c>
      <c r="M683" t="e">
        <f t="shared" si="128"/>
        <v>#N/A</v>
      </c>
      <c r="N683" t="e">
        <f t="shared" si="129"/>
        <v>#N/A</v>
      </c>
      <c r="O683">
        <f t="shared" si="130"/>
        <v>3.000683</v>
      </c>
      <c r="T683">
        <f>IF(connections!$A683="","",IFERROR(INDEX(games!$B$2:$B$834,MATCH(connections!$A683,games!$A$2:$A$834,0)),""))</f>
        <v>1980</v>
      </c>
      <c r="U683">
        <f>IF(connections!$A683="","",IFERROR(INDEX(games!$B$2:$B$834,MATCH(connections!$B683,games!$A$2:$A$834,0)),""))</f>
        <v>2023</v>
      </c>
      <c r="V683">
        <f t="shared" si="131"/>
        <v>43</v>
      </c>
    </row>
    <row r="684" spans="1:22" x14ac:dyDescent="0.25">
      <c r="A684" t="str">
        <f>IF(games!$A684="","",games!$A684)</f>
        <v>Streets of Rogue</v>
      </c>
      <c r="B684">
        <f>IF($A684="","",games!$B684)</f>
        <v>2019</v>
      </c>
      <c r="C684" t="str">
        <f>IF($A684="","",games!$C684)</f>
        <v>Action</v>
      </c>
      <c r="D684">
        <f>IF($A684="","",COUNTIF(connections!$A$2:$A$1188,$A684)+COUNTIF(connections!$B$2:$B$1188,$A684))</f>
        <v>3</v>
      </c>
      <c r="E684">
        <f t="shared" si="120"/>
        <v>1</v>
      </c>
      <c r="F684">
        <f t="shared" si="121"/>
        <v>4</v>
      </c>
      <c r="G684">
        <f t="shared" si="122"/>
        <v>2019</v>
      </c>
      <c r="H684">
        <f t="shared" si="123"/>
        <v>1.0920000000000001</v>
      </c>
      <c r="I684" t="e">
        <f t="shared" si="124"/>
        <v>#N/A</v>
      </c>
      <c r="J684" t="e">
        <f t="shared" si="125"/>
        <v>#N/A</v>
      </c>
      <c r="K684" t="e">
        <f t="shared" si="126"/>
        <v>#N/A</v>
      </c>
      <c r="L684" t="e">
        <f t="shared" si="127"/>
        <v>#N/A</v>
      </c>
      <c r="M684" t="e">
        <f t="shared" si="128"/>
        <v>#N/A</v>
      </c>
      <c r="N684" t="e">
        <f t="shared" si="129"/>
        <v>#N/A</v>
      </c>
      <c r="O684">
        <f t="shared" si="130"/>
        <v>3.0006840000000001</v>
      </c>
      <c r="T684">
        <f>IF(connections!$A684="","",IFERROR(INDEX(games!$B$2:$B$834,MATCH(connections!$A684,games!$A$2:$A$834,0)),""))</f>
        <v>1980</v>
      </c>
      <c r="U684">
        <f>IF(connections!$A684="","",IFERROR(INDEX(games!$B$2:$B$834,MATCH(connections!$B684,games!$A$2:$A$834,0)),""))</f>
        <v>2014</v>
      </c>
      <c r="V684">
        <f t="shared" si="131"/>
        <v>34</v>
      </c>
    </row>
    <row r="685" spans="1:22" x14ac:dyDescent="0.25">
      <c r="A685" t="str">
        <f>IF(games!$A685="","",games!$A685)</f>
        <v>SULFUR</v>
      </c>
      <c r="B685">
        <f>IF($A685="","",games!$B685)</f>
        <v>2024</v>
      </c>
      <c r="C685" t="str">
        <f>IF($A685="","",games!$C685)</f>
        <v>Action</v>
      </c>
      <c r="D685">
        <f>IF($A685="","",COUNTIF(connections!$A$2:$A$1188,$A685)+COUNTIF(connections!$B$2:$B$1188,$A685))</f>
        <v>1</v>
      </c>
      <c r="E685">
        <f t="shared" si="120"/>
        <v>1</v>
      </c>
      <c r="F685">
        <f t="shared" si="121"/>
        <v>5</v>
      </c>
      <c r="G685">
        <f t="shared" si="122"/>
        <v>2024</v>
      </c>
      <c r="H685">
        <f t="shared" si="123"/>
        <v>1.115</v>
      </c>
      <c r="I685" t="e">
        <f t="shared" si="124"/>
        <v>#N/A</v>
      </c>
      <c r="J685" t="e">
        <f t="shared" si="125"/>
        <v>#N/A</v>
      </c>
      <c r="K685" t="e">
        <f t="shared" si="126"/>
        <v>#N/A</v>
      </c>
      <c r="L685" t="e">
        <f t="shared" si="127"/>
        <v>#N/A</v>
      </c>
      <c r="M685" t="e">
        <f t="shared" si="128"/>
        <v>#N/A</v>
      </c>
      <c r="N685" t="e">
        <f t="shared" si="129"/>
        <v>#N/A</v>
      </c>
      <c r="O685">
        <f t="shared" si="130"/>
        <v>1.000685</v>
      </c>
      <c r="T685">
        <f>IF(connections!$A685="","",IFERROR(INDEX(games!$B$2:$B$834,MATCH(connections!$A685,games!$A$2:$A$834,0)),""))</f>
        <v>1980</v>
      </c>
      <c r="U685">
        <f>IF(connections!$A685="","",IFERROR(INDEX(games!$B$2:$B$834,MATCH(connections!$B685,games!$A$2:$A$834,0)),""))</f>
        <v>2013</v>
      </c>
      <c r="V685">
        <f t="shared" si="131"/>
        <v>33</v>
      </c>
    </row>
    <row r="686" spans="1:22" x14ac:dyDescent="0.25">
      <c r="A686" t="str">
        <f>IF(games!$A686="","",games!$A686)</f>
        <v>Sundered</v>
      </c>
      <c r="B686">
        <f>IF($A686="","",games!$B686)</f>
        <v>2017</v>
      </c>
      <c r="C686" t="str">
        <f>IF($A686="","",games!$C686)</f>
        <v>Action</v>
      </c>
      <c r="D686">
        <f>IF($A686="","",COUNTIF(connections!$A$2:$A$1188,$A686)+COUNTIF(connections!$B$2:$B$1188,$A686))</f>
        <v>2</v>
      </c>
      <c r="E686">
        <f t="shared" si="120"/>
        <v>1</v>
      </c>
      <c r="F686">
        <f t="shared" si="121"/>
        <v>6</v>
      </c>
      <c r="G686">
        <f t="shared" si="122"/>
        <v>2017</v>
      </c>
      <c r="H686">
        <f t="shared" si="123"/>
        <v>1.1379999999999999</v>
      </c>
      <c r="I686" t="e">
        <f t="shared" si="124"/>
        <v>#N/A</v>
      </c>
      <c r="J686" t="e">
        <f t="shared" si="125"/>
        <v>#N/A</v>
      </c>
      <c r="K686" t="e">
        <f t="shared" si="126"/>
        <v>#N/A</v>
      </c>
      <c r="L686" t="e">
        <f t="shared" si="127"/>
        <v>#N/A</v>
      </c>
      <c r="M686" t="e">
        <f t="shared" si="128"/>
        <v>#N/A</v>
      </c>
      <c r="N686" t="e">
        <f t="shared" si="129"/>
        <v>#N/A</v>
      </c>
      <c r="O686">
        <f t="shared" si="130"/>
        <v>2.000686</v>
      </c>
      <c r="T686">
        <f>IF(connections!$A686="","",IFERROR(INDEX(games!$B$2:$B$834,MATCH(connections!$A686,games!$A$2:$A$834,0)),""))</f>
        <v>1980</v>
      </c>
      <c r="U686">
        <f>IF(connections!$A686="","",IFERROR(INDEX(games!$B$2:$B$834,MATCH(connections!$B686,games!$A$2:$A$834,0)),""))</f>
        <v>1991</v>
      </c>
      <c r="V686">
        <f t="shared" si="131"/>
        <v>11</v>
      </c>
    </row>
    <row r="687" spans="1:22" x14ac:dyDescent="0.25">
      <c r="A687" t="str">
        <f>IF(games!$A687="","",games!$A687)</f>
        <v>Sunless Sea</v>
      </c>
      <c r="B687">
        <f>IF($A687="","",games!$B687)</f>
        <v>2015</v>
      </c>
      <c r="C687" t="str">
        <f>IF($A687="","",games!$C687)</f>
        <v>Strategy</v>
      </c>
      <c r="D687">
        <f>IF($A687="","",COUNTIF(connections!$A$2:$A$1188,$A687)+COUNTIF(connections!$B$2:$B$1188,$A687))</f>
        <v>2</v>
      </c>
      <c r="E687">
        <f t="shared" si="120"/>
        <v>2</v>
      </c>
      <c r="F687">
        <f t="shared" si="121"/>
        <v>7</v>
      </c>
      <c r="G687" t="e">
        <f t="shared" si="122"/>
        <v>#N/A</v>
      </c>
      <c r="H687" t="e">
        <f t="shared" si="123"/>
        <v>#N/A</v>
      </c>
      <c r="I687">
        <f t="shared" si="124"/>
        <v>2015</v>
      </c>
      <c r="J687">
        <f t="shared" si="125"/>
        <v>2.161</v>
      </c>
      <c r="K687" t="e">
        <f t="shared" si="126"/>
        <v>#N/A</v>
      </c>
      <c r="L687" t="e">
        <f t="shared" si="127"/>
        <v>#N/A</v>
      </c>
      <c r="M687" t="e">
        <f t="shared" si="128"/>
        <v>#N/A</v>
      </c>
      <c r="N687" t="e">
        <f t="shared" si="129"/>
        <v>#N/A</v>
      </c>
      <c r="O687">
        <f t="shared" si="130"/>
        <v>2.0006870000000001</v>
      </c>
      <c r="T687">
        <f>IF(connections!$A687="","",IFERROR(INDEX(games!$B$2:$B$834,MATCH(connections!$A687,games!$A$2:$A$834,0)),""))</f>
        <v>1980</v>
      </c>
      <c r="U687">
        <f>IF(connections!$A687="","",IFERROR(INDEX(games!$B$2:$B$834,MATCH(connections!$B687,games!$A$2:$A$834,0)),""))</f>
        <v>1993</v>
      </c>
      <c r="V687">
        <f t="shared" si="131"/>
        <v>13</v>
      </c>
    </row>
    <row r="688" spans="1:22" x14ac:dyDescent="0.25">
      <c r="A688" t="str">
        <f>IF(games!$A688="","",games!$A688)</f>
        <v>Super Auto Pets</v>
      </c>
      <c r="B688">
        <f>IF($A688="","",games!$B688)</f>
        <v>2021</v>
      </c>
      <c r="C688" t="str">
        <f>IF($A688="","",games!$C688)</f>
        <v>Strategy</v>
      </c>
      <c r="D688">
        <f>IF($A688="","",COUNTIF(connections!$A$2:$A$1188,$A688)+COUNTIF(connections!$B$2:$B$1188,$A688))</f>
        <v>12</v>
      </c>
      <c r="E688">
        <f t="shared" si="120"/>
        <v>2</v>
      </c>
      <c r="F688">
        <f t="shared" si="121"/>
        <v>8</v>
      </c>
      <c r="G688" t="e">
        <f t="shared" si="122"/>
        <v>#N/A</v>
      </c>
      <c r="H688" t="e">
        <f t="shared" si="123"/>
        <v>#N/A</v>
      </c>
      <c r="I688">
        <f t="shared" si="124"/>
        <v>2021</v>
      </c>
      <c r="J688">
        <f t="shared" si="125"/>
        <v>2.1840000000000002</v>
      </c>
      <c r="K688" t="e">
        <f t="shared" si="126"/>
        <v>#N/A</v>
      </c>
      <c r="L688" t="e">
        <f t="shared" si="127"/>
        <v>#N/A</v>
      </c>
      <c r="M688" t="e">
        <f t="shared" si="128"/>
        <v>#N/A</v>
      </c>
      <c r="N688" t="e">
        <f t="shared" si="129"/>
        <v>#N/A</v>
      </c>
      <c r="O688">
        <f t="shared" si="130"/>
        <v>12.000688</v>
      </c>
      <c r="T688">
        <f>IF(connections!$A688="","",IFERROR(INDEX(games!$B$2:$B$834,MATCH(connections!$A688,games!$A$2:$A$834,0)),""))</f>
        <v>2013</v>
      </c>
      <c r="U688">
        <f>IF(connections!$A688="","",IFERROR(INDEX(games!$B$2:$B$834,MATCH(connections!$B688,games!$A$2:$A$834,0)),""))</f>
        <v>2015</v>
      </c>
      <c r="V688">
        <f t="shared" si="131"/>
        <v>2</v>
      </c>
    </row>
    <row r="689" spans="1:22" x14ac:dyDescent="0.25">
      <c r="A689" t="str">
        <f>IF(games!$A689="","",games!$A689)</f>
        <v>Super Bullet Break</v>
      </c>
      <c r="B689">
        <f>IF($A689="","",games!$B689)</f>
        <v>2022</v>
      </c>
      <c r="C689" t="str">
        <f>IF($A689="","",games!$C689)</f>
        <v>Deckbuilder</v>
      </c>
      <c r="D689">
        <f>IF($A689="","",COUNTIF(connections!$A$2:$A$1188,$A689)+COUNTIF(connections!$B$2:$B$1188,$A689))</f>
        <v>0</v>
      </c>
      <c r="E689">
        <f t="shared" si="120"/>
        <v>3</v>
      </c>
      <c r="F689">
        <f t="shared" si="121"/>
        <v>9</v>
      </c>
      <c r="G689" t="e">
        <f t="shared" si="122"/>
        <v>#N/A</v>
      </c>
      <c r="H689" t="e">
        <f t="shared" si="123"/>
        <v>#N/A</v>
      </c>
      <c r="I689" t="e">
        <f t="shared" si="124"/>
        <v>#N/A</v>
      </c>
      <c r="J689" t="e">
        <f t="shared" si="125"/>
        <v>#N/A</v>
      </c>
      <c r="K689">
        <f t="shared" si="126"/>
        <v>2022</v>
      </c>
      <c r="L689">
        <f t="shared" si="127"/>
        <v>3.2069999999999999</v>
      </c>
      <c r="M689" t="e">
        <f t="shared" si="128"/>
        <v>#N/A</v>
      </c>
      <c r="N689" t="e">
        <f t="shared" si="129"/>
        <v>#N/A</v>
      </c>
      <c r="O689">
        <f t="shared" si="130"/>
        <v>6.8900000000000005E-4</v>
      </c>
      <c r="T689">
        <f>IF(connections!$A689="","",IFERROR(INDEX(games!$B$2:$B$834,MATCH(connections!$A689,games!$A$2:$A$834,0)),""))</f>
        <v>2013</v>
      </c>
      <c r="U689">
        <f>IF(connections!$A689="","",IFERROR(INDEX(games!$B$2:$B$834,MATCH(connections!$B689,games!$A$2:$A$834,0)),""))</f>
        <v>2018</v>
      </c>
      <c r="V689">
        <f t="shared" si="131"/>
        <v>5</v>
      </c>
    </row>
    <row r="690" spans="1:22" x14ac:dyDescent="0.25">
      <c r="A690" t="str">
        <f>IF(games!$A690="","",games!$A690)</f>
        <v>Super Fantasy Kingdom</v>
      </c>
      <c r="B690">
        <f>IF($A690="","",games!$B690)</f>
        <v>2025</v>
      </c>
      <c r="C690" t="str">
        <f>IF($A690="","",games!$C690)</f>
        <v>Strategy</v>
      </c>
      <c r="D690">
        <f>IF($A690="","",COUNTIF(connections!$A$2:$A$1188,$A690)+COUNTIF(connections!$B$2:$B$1188,$A690))</f>
        <v>3</v>
      </c>
      <c r="E690">
        <f t="shared" si="120"/>
        <v>2</v>
      </c>
      <c r="F690">
        <f t="shared" si="121"/>
        <v>10</v>
      </c>
      <c r="G690" t="e">
        <f t="shared" si="122"/>
        <v>#N/A</v>
      </c>
      <c r="H690" t="e">
        <f t="shared" si="123"/>
        <v>#N/A</v>
      </c>
      <c r="I690">
        <f t="shared" si="124"/>
        <v>2025</v>
      </c>
      <c r="J690">
        <f t="shared" si="125"/>
        <v>2.23</v>
      </c>
      <c r="K690" t="e">
        <f t="shared" si="126"/>
        <v>#N/A</v>
      </c>
      <c r="L690" t="e">
        <f t="shared" si="127"/>
        <v>#N/A</v>
      </c>
      <c r="M690" t="e">
        <f t="shared" si="128"/>
        <v>#N/A</v>
      </c>
      <c r="N690" t="e">
        <f t="shared" si="129"/>
        <v>#N/A</v>
      </c>
      <c r="O690">
        <f t="shared" si="130"/>
        <v>3.0006900000000001</v>
      </c>
      <c r="T690">
        <f>IF(connections!$A690="","",IFERROR(INDEX(games!$B$2:$B$834,MATCH(connections!$A690,games!$A$2:$A$834,0)),""))</f>
        <v>2013</v>
      </c>
      <c r="U690">
        <f>IF(connections!$A690="","",IFERROR(INDEX(games!$B$2:$B$834,MATCH(connections!$B690,games!$A$2:$A$834,0)),""))</f>
        <v>2025</v>
      </c>
      <c r="V690">
        <f t="shared" si="131"/>
        <v>12</v>
      </c>
    </row>
    <row r="691" spans="1:22" x14ac:dyDescent="0.25">
      <c r="A691" t="str">
        <f>IF(games!$A691="","",games!$A691)</f>
        <v>Super House of Dead Ninjas</v>
      </c>
      <c r="B691">
        <f>IF($A691="","",games!$B691)</f>
        <v>2013</v>
      </c>
      <c r="C691" t="str">
        <f>IF($A691="","",games!$C691)</f>
        <v>Action</v>
      </c>
      <c r="D691">
        <f>IF($A691="","",COUNTIF(connections!$A$2:$A$1188,$A691)+COUNTIF(connections!$B$2:$B$1188,$A691))</f>
        <v>1</v>
      </c>
      <c r="E691">
        <f t="shared" si="120"/>
        <v>1</v>
      </c>
      <c r="F691">
        <f t="shared" si="121"/>
        <v>11</v>
      </c>
      <c r="G691">
        <f t="shared" si="122"/>
        <v>2013</v>
      </c>
      <c r="H691">
        <f t="shared" si="123"/>
        <v>1.2530000000000001</v>
      </c>
      <c r="I691" t="e">
        <f t="shared" si="124"/>
        <v>#N/A</v>
      </c>
      <c r="J691" t="e">
        <f t="shared" si="125"/>
        <v>#N/A</v>
      </c>
      <c r="K691" t="e">
        <f t="shared" si="126"/>
        <v>#N/A</v>
      </c>
      <c r="L691" t="e">
        <f t="shared" si="127"/>
        <v>#N/A</v>
      </c>
      <c r="M691" t="e">
        <f t="shared" si="128"/>
        <v>#N/A</v>
      </c>
      <c r="N691" t="e">
        <f t="shared" si="129"/>
        <v>#N/A</v>
      </c>
      <c r="O691">
        <f t="shared" si="130"/>
        <v>1.000691</v>
      </c>
      <c r="T691">
        <f>IF(connections!$A691="","",IFERROR(INDEX(games!$B$2:$B$834,MATCH(connections!$A691,games!$A$2:$A$834,0)),""))</f>
        <v>2013</v>
      </c>
      <c r="U691">
        <f>IF(connections!$A691="","",IFERROR(INDEX(games!$B$2:$B$834,MATCH(connections!$B691,games!$A$2:$A$834,0)),""))</f>
        <v>2017</v>
      </c>
      <c r="V691">
        <f t="shared" si="131"/>
        <v>4</v>
      </c>
    </row>
    <row r="692" spans="1:22" x14ac:dyDescent="0.25">
      <c r="A692" t="str">
        <f>IF(games!$A692="","",games!$A692)</f>
        <v>Super Tax City</v>
      </c>
      <c r="B692">
        <f>IF($A692="","",games!$B692)</f>
        <v>2025</v>
      </c>
      <c r="C692" t="str">
        <f>IF($A692="","",games!$C692)</f>
        <v>Deckbuilder</v>
      </c>
      <c r="D692">
        <f>IF($A692="","",COUNTIF(connections!$A$2:$A$1188,$A692)+COUNTIF(connections!$B$2:$B$1188,$A692))</f>
        <v>2</v>
      </c>
      <c r="E692">
        <f t="shared" si="120"/>
        <v>3</v>
      </c>
      <c r="F692">
        <f t="shared" si="121"/>
        <v>12</v>
      </c>
      <c r="G692" t="e">
        <f t="shared" si="122"/>
        <v>#N/A</v>
      </c>
      <c r="H692" t="e">
        <f t="shared" si="123"/>
        <v>#N/A</v>
      </c>
      <c r="I692" t="e">
        <f t="shared" si="124"/>
        <v>#N/A</v>
      </c>
      <c r="J692" t="e">
        <f t="shared" si="125"/>
        <v>#N/A</v>
      </c>
      <c r="K692">
        <f t="shared" si="126"/>
        <v>2025</v>
      </c>
      <c r="L692">
        <f t="shared" si="127"/>
        <v>3.2759999999999998</v>
      </c>
      <c r="M692" t="e">
        <f t="shared" si="128"/>
        <v>#N/A</v>
      </c>
      <c r="N692" t="e">
        <f t="shared" si="129"/>
        <v>#N/A</v>
      </c>
      <c r="O692">
        <f t="shared" si="130"/>
        <v>2.0006919999999999</v>
      </c>
      <c r="T692">
        <f>IF(connections!$A692="","",IFERROR(INDEX(games!$B$2:$B$834,MATCH(connections!$A692,games!$A$2:$A$834,0)),""))</f>
        <v>2013</v>
      </c>
      <c r="U692">
        <f>IF(connections!$A692="","",IFERROR(INDEX(games!$B$2:$B$834,MATCH(connections!$B692,games!$A$2:$A$834,0)),""))</f>
        <v>2020</v>
      </c>
      <c r="V692">
        <f t="shared" si="131"/>
        <v>7</v>
      </c>
    </row>
    <row r="693" spans="1:22" x14ac:dyDescent="0.25">
      <c r="A693" t="str">
        <f>IF(games!$A693="","",games!$A693)</f>
        <v>Swapmeat</v>
      </c>
      <c r="B693">
        <f>IF($A693="","",games!$B693)</f>
        <v>2025</v>
      </c>
      <c r="C693" t="str">
        <f>IF($A693="","",games!$C693)</f>
        <v>Action</v>
      </c>
      <c r="D693">
        <f>IF($A693="","",COUNTIF(connections!$A$2:$A$1188,$A693)+COUNTIF(connections!$B$2:$B$1188,$A693))</f>
        <v>3</v>
      </c>
      <c r="E693">
        <f t="shared" si="120"/>
        <v>1</v>
      </c>
      <c r="F693">
        <f t="shared" si="121"/>
        <v>13</v>
      </c>
      <c r="G693">
        <f t="shared" si="122"/>
        <v>2025</v>
      </c>
      <c r="H693">
        <f t="shared" si="123"/>
        <v>1.2989999999999999</v>
      </c>
      <c r="I693" t="e">
        <f t="shared" si="124"/>
        <v>#N/A</v>
      </c>
      <c r="J693" t="e">
        <f t="shared" si="125"/>
        <v>#N/A</v>
      </c>
      <c r="K693" t="e">
        <f t="shared" si="126"/>
        <v>#N/A</v>
      </c>
      <c r="L693" t="e">
        <f t="shared" si="127"/>
        <v>#N/A</v>
      </c>
      <c r="M693" t="e">
        <f t="shared" si="128"/>
        <v>#N/A</v>
      </c>
      <c r="N693" t="e">
        <f t="shared" si="129"/>
        <v>#N/A</v>
      </c>
      <c r="O693">
        <f t="shared" si="130"/>
        <v>3.0006930000000001</v>
      </c>
      <c r="T693">
        <f>IF(connections!$A693="","",IFERROR(INDEX(games!$B$2:$B$834,MATCH(connections!$A693,games!$A$2:$A$834,0)),""))</f>
        <v>2013</v>
      </c>
      <c r="U693">
        <f>IF(connections!$A693="","",IFERROR(INDEX(games!$B$2:$B$834,MATCH(connections!$B693,games!$A$2:$A$834,0)),""))</f>
        <v>2017</v>
      </c>
      <c r="V693">
        <f t="shared" si="131"/>
        <v>4</v>
      </c>
    </row>
    <row r="694" spans="1:22" x14ac:dyDescent="0.25">
      <c r="A694" t="str">
        <f>IF(games!$A694="","",games!$A694)</f>
        <v>Swarm Grinder</v>
      </c>
      <c r="B694">
        <f>IF($A694="","",games!$B694)</f>
        <v>2023</v>
      </c>
      <c r="C694" t="str">
        <f>IF($A694="","",games!$C694)</f>
        <v>Action</v>
      </c>
      <c r="D694">
        <f>IF($A694="","",COUNTIF(connections!$A$2:$A$1188,$A694)+COUNTIF(connections!$B$2:$B$1188,$A694))</f>
        <v>1</v>
      </c>
      <c r="E694">
        <f t="shared" si="120"/>
        <v>1</v>
      </c>
      <c r="F694">
        <f t="shared" si="121"/>
        <v>14</v>
      </c>
      <c r="G694">
        <f t="shared" si="122"/>
        <v>2023</v>
      </c>
      <c r="H694">
        <f t="shared" si="123"/>
        <v>1.3220000000000001</v>
      </c>
      <c r="I694" t="e">
        <f t="shared" si="124"/>
        <v>#N/A</v>
      </c>
      <c r="J694" t="e">
        <f t="shared" si="125"/>
        <v>#N/A</v>
      </c>
      <c r="K694" t="e">
        <f t="shared" si="126"/>
        <v>#N/A</v>
      </c>
      <c r="L694" t="e">
        <f t="shared" si="127"/>
        <v>#N/A</v>
      </c>
      <c r="M694" t="e">
        <f t="shared" si="128"/>
        <v>#N/A</v>
      </c>
      <c r="N694" t="e">
        <f t="shared" si="129"/>
        <v>#N/A</v>
      </c>
      <c r="O694">
        <f t="shared" si="130"/>
        <v>1.000694</v>
      </c>
      <c r="T694">
        <f>IF(connections!$A694="","",IFERROR(INDEX(games!$B$2:$B$834,MATCH(connections!$A694,games!$A$2:$A$834,0)),""))</f>
        <v>2013</v>
      </c>
      <c r="U694">
        <f>IF(connections!$A694="","",IFERROR(INDEX(games!$B$2:$B$834,MATCH(connections!$B694,games!$A$2:$A$834,0)),""))</f>
        <v>2018</v>
      </c>
      <c r="V694">
        <f t="shared" si="131"/>
        <v>5</v>
      </c>
    </row>
    <row r="695" spans="1:22" x14ac:dyDescent="0.25">
      <c r="A695" t="str">
        <f>IF(games!$A695="","",games!$A695)</f>
        <v>Switchcars</v>
      </c>
      <c r="B695">
        <f>IF($A695="","",games!$B695)</f>
        <v>2016</v>
      </c>
      <c r="C695" t="str">
        <f>IF($A695="","",games!$C695)</f>
        <v>Action</v>
      </c>
      <c r="D695">
        <f>IF($A695="","",COUNTIF(connections!$A$2:$A$1188,$A695)+COUNTIF(connections!$B$2:$B$1188,$A695))</f>
        <v>3</v>
      </c>
      <c r="E695">
        <f t="shared" si="120"/>
        <v>1</v>
      </c>
      <c r="F695">
        <f t="shared" si="121"/>
        <v>15</v>
      </c>
      <c r="G695">
        <f t="shared" si="122"/>
        <v>2016</v>
      </c>
      <c r="H695">
        <f t="shared" si="123"/>
        <v>1.345</v>
      </c>
      <c r="I695" t="e">
        <f t="shared" si="124"/>
        <v>#N/A</v>
      </c>
      <c r="J695" t="e">
        <f t="shared" si="125"/>
        <v>#N/A</v>
      </c>
      <c r="K695" t="e">
        <f t="shared" si="126"/>
        <v>#N/A</v>
      </c>
      <c r="L695" t="e">
        <f t="shared" si="127"/>
        <v>#N/A</v>
      </c>
      <c r="M695" t="e">
        <f t="shared" si="128"/>
        <v>#N/A</v>
      </c>
      <c r="N695" t="e">
        <f t="shared" si="129"/>
        <v>#N/A</v>
      </c>
      <c r="O695">
        <f t="shared" si="130"/>
        <v>3.0006949999999999</v>
      </c>
      <c r="T695">
        <f>IF(connections!$A695="","",IFERROR(INDEX(games!$B$2:$B$834,MATCH(connections!$A695,games!$A$2:$A$834,0)),""))</f>
        <v>2013</v>
      </c>
      <c r="U695">
        <f>IF(connections!$A695="","",IFERROR(INDEX(games!$B$2:$B$834,MATCH(connections!$B695,games!$A$2:$A$834,0)),""))</f>
        <v>2021</v>
      </c>
      <c r="V695">
        <f t="shared" si="131"/>
        <v>8</v>
      </c>
    </row>
    <row r="696" spans="1:22" x14ac:dyDescent="0.25">
      <c r="A696" t="str">
        <f>IF(games!$A696="","",games!$A696)</f>
        <v>Sword of Fargoal</v>
      </c>
      <c r="B696">
        <f>IF($A696="","",games!$B696)</f>
        <v>1982</v>
      </c>
      <c r="C696" t="str">
        <f>IF($A696="","",games!$C696)</f>
        <v>Traditional</v>
      </c>
      <c r="D696">
        <f>IF($A696="","",COUNTIF(connections!$A$2:$A$1188,$A696)+COUNTIF(connections!$B$2:$B$1188,$A696))</f>
        <v>1</v>
      </c>
      <c r="E696">
        <f t="shared" si="120"/>
        <v>4</v>
      </c>
      <c r="F696">
        <f t="shared" si="121"/>
        <v>16</v>
      </c>
      <c r="G696" t="e">
        <f t="shared" si="122"/>
        <v>#N/A</v>
      </c>
      <c r="H696" t="e">
        <f t="shared" si="123"/>
        <v>#N/A</v>
      </c>
      <c r="I696" t="e">
        <f t="shared" si="124"/>
        <v>#N/A</v>
      </c>
      <c r="J696" t="e">
        <f t="shared" si="125"/>
        <v>#N/A</v>
      </c>
      <c r="K696" t="e">
        <f t="shared" si="126"/>
        <v>#N/A</v>
      </c>
      <c r="L696" t="e">
        <f t="shared" si="127"/>
        <v>#N/A</v>
      </c>
      <c r="M696">
        <f t="shared" si="128"/>
        <v>1982</v>
      </c>
      <c r="N696">
        <f t="shared" si="129"/>
        <v>4.3680000000000003</v>
      </c>
      <c r="O696">
        <f t="shared" si="130"/>
        <v>1.000696</v>
      </c>
      <c r="T696">
        <f>IF(connections!$A696="","",IFERROR(INDEX(games!$B$2:$B$834,MATCH(connections!$A696,games!$A$2:$A$834,0)),""))</f>
        <v>2013</v>
      </c>
      <c r="U696">
        <f>IF(connections!$A696="","",IFERROR(INDEX(games!$B$2:$B$834,MATCH(connections!$B696,games!$A$2:$A$834,0)),""))</f>
        <v>2020</v>
      </c>
      <c r="V696">
        <f t="shared" si="131"/>
        <v>7</v>
      </c>
    </row>
    <row r="697" spans="1:22" x14ac:dyDescent="0.25">
      <c r="A697" t="str">
        <f>IF(games!$A697="","",games!$A697)</f>
        <v>Sword of the Necromancer</v>
      </c>
      <c r="B697">
        <f>IF($A697="","",games!$B697)</f>
        <v>2021</v>
      </c>
      <c r="C697" t="str">
        <f>IF($A697="","",games!$C697)</f>
        <v>Action</v>
      </c>
      <c r="D697">
        <f>IF($A697="","",COUNTIF(connections!$A$2:$A$1188,$A697)+COUNTIF(connections!$B$2:$B$1188,$A697))</f>
        <v>3</v>
      </c>
      <c r="E697">
        <f t="shared" si="120"/>
        <v>1</v>
      </c>
      <c r="F697">
        <f t="shared" si="121"/>
        <v>17</v>
      </c>
      <c r="G697">
        <f t="shared" si="122"/>
        <v>2021</v>
      </c>
      <c r="H697">
        <f t="shared" si="123"/>
        <v>1.391</v>
      </c>
      <c r="I697" t="e">
        <f t="shared" si="124"/>
        <v>#N/A</v>
      </c>
      <c r="J697" t="e">
        <f t="shared" si="125"/>
        <v>#N/A</v>
      </c>
      <c r="K697" t="e">
        <f t="shared" si="126"/>
        <v>#N/A</v>
      </c>
      <c r="L697" t="e">
        <f t="shared" si="127"/>
        <v>#N/A</v>
      </c>
      <c r="M697" t="e">
        <f t="shared" si="128"/>
        <v>#N/A</v>
      </c>
      <c r="N697" t="e">
        <f t="shared" si="129"/>
        <v>#N/A</v>
      </c>
      <c r="O697">
        <f t="shared" si="130"/>
        <v>3.0006970000000002</v>
      </c>
      <c r="T697">
        <f>IF(connections!$A697="","",IFERROR(INDEX(games!$B$2:$B$834,MATCH(connections!$A697,games!$A$2:$A$834,0)),""))</f>
        <v>2013</v>
      </c>
      <c r="U697">
        <f>IF(connections!$A697="","",IFERROR(INDEX(games!$B$2:$B$834,MATCH(connections!$B697,games!$A$2:$A$834,0)),""))</f>
        <v>2019</v>
      </c>
      <c r="V697">
        <f t="shared" si="131"/>
        <v>6</v>
      </c>
    </row>
    <row r="698" spans="1:22" x14ac:dyDescent="0.25">
      <c r="A698" t="str">
        <f>IF(games!$A698="","",games!$A698)</f>
        <v>Sword of the Necromancer: Resurrection</v>
      </c>
      <c r="B698">
        <f>IF($A698="","",games!$B698)</f>
        <v>2025</v>
      </c>
      <c r="C698" t="str">
        <f>IF($A698="","",games!$C698)</f>
        <v>Action</v>
      </c>
      <c r="D698">
        <f>IF($A698="","",COUNTIF(connections!$A$2:$A$1188,$A698)+COUNTIF(connections!$B$2:$B$1188,$A698))</f>
        <v>1</v>
      </c>
      <c r="E698">
        <f t="shared" si="120"/>
        <v>1</v>
      </c>
      <c r="F698">
        <f t="shared" si="121"/>
        <v>18</v>
      </c>
      <c r="G698">
        <f t="shared" si="122"/>
        <v>2025</v>
      </c>
      <c r="H698">
        <f t="shared" si="123"/>
        <v>1.4139999999999999</v>
      </c>
      <c r="I698" t="e">
        <f t="shared" si="124"/>
        <v>#N/A</v>
      </c>
      <c r="J698" t="e">
        <f t="shared" si="125"/>
        <v>#N/A</v>
      </c>
      <c r="K698" t="e">
        <f t="shared" si="126"/>
        <v>#N/A</v>
      </c>
      <c r="L698" t="e">
        <f t="shared" si="127"/>
        <v>#N/A</v>
      </c>
      <c r="M698" t="e">
        <f t="shared" si="128"/>
        <v>#N/A</v>
      </c>
      <c r="N698" t="e">
        <f t="shared" si="129"/>
        <v>#N/A</v>
      </c>
      <c r="O698">
        <f t="shared" si="130"/>
        <v>1.0006980000000001</v>
      </c>
      <c r="T698">
        <f>IF(connections!$A698="","",IFERROR(INDEX(games!$B$2:$B$834,MATCH(connections!$A698,games!$A$2:$A$834,0)),""))</f>
        <v>2013</v>
      </c>
      <c r="U698">
        <f>IF(connections!$A698="","",IFERROR(INDEX(games!$B$2:$B$834,MATCH(connections!$B698,games!$A$2:$A$834,0)),""))</f>
        <v>2017</v>
      </c>
      <c r="V698">
        <f t="shared" si="131"/>
        <v>4</v>
      </c>
    </row>
    <row r="699" spans="1:22" x14ac:dyDescent="0.25">
      <c r="A699" t="str">
        <f>IF(games!$A699="","",games!$A699)</f>
        <v>Sword of the Stars: The Pit</v>
      </c>
      <c r="B699">
        <f>IF($A699="","",games!$B699)</f>
        <v>2013</v>
      </c>
      <c r="C699" t="str">
        <f>IF($A699="","",games!$C699)</f>
        <v>Traditional</v>
      </c>
      <c r="D699">
        <f>IF($A699="","",COUNTIF(connections!$A$2:$A$1188,$A699)+COUNTIF(connections!$B$2:$B$1188,$A699))</f>
        <v>3</v>
      </c>
      <c r="E699">
        <f t="shared" si="120"/>
        <v>4</v>
      </c>
      <c r="F699">
        <f t="shared" si="121"/>
        <v>19</v>
      </c>
      <c r="G699" t="e">
        <f t="shared" si="122"/>
        <v>#N/A</v>
      </c>
      <c r="H699" t="e">
        <f t="shared" si="123"/>
        <v>#N/A</v>
      </c>
      <c r="I699" t="e">
        <f t="shared" si="124"/>
        <v>#N/A</v>
      </c>
      <c r="J699" t="e">
        <f t="shared" si="125"/>
        <v>#N/A</v>
      </c>
      <c r="K699" t="e">
        <f t="shared" si="126"/>
        <v>#N/A</v>
      </c>
      <c r="L699" t="e">
        <f t="shared" si="127"/>
        <v>#N/A</v>
      </c>
      <c r="M699">
        <f t="shared" si="128"/>
        <v>2013</v>
      </c>
      <c r="N699">
        <f t="shared" si="129"/>
        <v>4.4370000000000003</v>
      </c>
      <c r="O699">
        <f t="shared" si="130"/>
        <v>3.000699</v>
      </c>
      <c r="T699">
        <f>IF(connections!$A699="","",IFERROR(INDEX(games!$B$2:$B$834,MATCH(connections!$A699,games!$A$2:$A$834,0)),""))</f>
        <v>2013</v>
      </c>
      <c r="U699">
        <f>IF(connections!$A699="","",IFERROR(INDEX(games!$B$2:$B$834,MATCH(connections!$B699,games!$A$2:$A$834,0)),""))</f>
        <v>2019</v>
      </c>
      <c r="V699">
        <f t="shared" si="131"/>
        <v>6</v>
      </c>
    </row>
    <row r="700" spans="1:22" x14ac:dyDescent="0.25">
      <c r="A700" t="str">
        <f>IF(games!$A700="","",games!$A700)</f>
        <v>Swordship</v>
      </c>
      <c r="B700">
        <f>IF($A700="","",games!$B700)</f>
        <v>2022</v>
      </c>
      <c r="C700" t="str">
        <f>IF($A700="","",games!$C700)</f>
        <v>Action</v>
      </c>
      <c r="D700">
        <f>IF($A700="","",COUNTIF(connections!$A$2:$A$1188,$A700)+COUNTIF(connections!$B$2:$B$1188,$A700))</f>
        <v>1</v>
      </c>
      <c r="E700">
        <f t="shared" si="120"/>
        <v>1</v>
      </c>
      <c r="F700">
        <f t="shared" si="121"/>
        <v>20</v>
      </c>
      <c r="G700">
        <f t="shared" si="122"/>
        <v>2022</v>
      </c>
      <c r="H700">
        <f t="shared" si="123"/>
        <v>1.46</v>
      </c>
      <c r="I700" t="e">
        <f t="shared" si="124"/>
        <v>#N/A</v>
      </c>
      <c r="J700" t="e">
        <f t="shared" si="125"/>
        <v>#N/A</v>
      </c>
      <c r="K700" t="e">
        <f t="shared" si="126"/>
        <v>#N/A</v>
      </c>
      <c r="L700" t="e">
        <f t="shared" si="127"/>
        <v>#N/A</v>
      </c>
      <c r="M700" t="e">
        <f t="shared" si="128"/>
        <v>#N/A</v>
      </c>
      <c r="N700" t="e">
        <f t="shared" si="129"/>
        <v>#N/A</v>
      </c>
      <c r="O700">
        <f t="shared" si="130"/>
        <v>1.0006999999999999</v>
      </c>
      <c r="T700">
        <f>IF(connections!$A700="","",IFERROR(INDEX(games!$B$2:$B$834,MATCH(connections!$A700,games!$A$2:$A$834,0)),""))</f>
        <v>2022</v>
      </c>
      <c r="U700">
        <f>IF(connections!$A700="","",IFERROR(INDEX(games!$B$2:$B$834,MATCH(connections!$B700,games!$A$2:$A$834,0)),""))</f>
        <v>2025</v>
      </c>
      <c r="V700">
        <f t="shared" si="131"/>
        <v>3</v>
      </c>
    </row>
    <row r="701" spans="1:22" x14ac:dyDescent="0.25">
      <c r="A701" t="str">
        <f>IF(games!$A701="","",games!$A701)</f>
        <v>Sworn</v>
      </c>
      <c r="B701">
        <f>IF($A701="","",games!$B701)</f>
        <v>2025</v>
      </c>
      <c r="C701" t="str">
        <f>IF($A701="","",games!$C701)</f>
        <v>Action</v>
      </c>
      <c r="D701">
        <f>IF($A701="","",COUNTIF(connections!$A$2:$A$1188,$A701)+COUNTIF(connections!$B$2:$B$1188,$A701))</f>
        <v>1</v>
      </c>
      <c r="E701">
        <f t="shared" si="120"/>
        <v>1</v>
      </c>
      <c r="F701">
        <f t="shared" si="121"/>
        <v>21</v>
      </c>
      <c r="G701">
        <f t="shared" si="122"/>
        <v>2025</v>
      </c>
      <c r="H701">
        <f t="shared" si="123"/>
        <v>1.4830000000000001</v>
      </c>
      <c r="I701" t="e">
        <f t="shared" si="124"/>
        <v>#N/A</v>
      </c>
      <c r="J701" t="e">
        <f t="shared" si="125"/>
        <v>#N/A</v>
      </c>
      <c r="K701" t="e">
        <f t="shared" si="126"/>
        <v>#N/A</v>
      </c>
      <c r="L701" t="e">
        <f t="shared" si="127"/>
        <v>#N/A</v>
      </c>
      <c r="M701" t="e">
        <f t="shared" si="128"/>
        <v>#N/A</v>
      </c>
      <c r="N701" t="e">
        <f t="shared" si="129"/>
        <v>#N/A</v>
      </c>
      <c r="O701">
        <f t="shared" si="130"/>
        <v>1.0007010000000001</v>
      </c>
      <c r="T701">
        <f>IF(connections!$A701="","",IFERROR(INDEX(games!$B$2:$B$834,MATCH(connections!$A701,games!$A$2:$A$834,0)),""))</f>
        <v>2022</v>
      </c>
      <c r="U701">
        <f>IF(connections!$A701="","",IFERROR(INDEX(games!$B$2:$B$834,MATCH(connections!$B701,games!$A$2:$A$834,0)),""))</f>
        <v>2025</v>
      </c>
      <c r="V701">
        <f t="shared" si="131"/>
        <v>3</v>
      </c>
    </row>
    <row r="702" spans="1:22" x14ac:dyDescent="0.25">
      <c r="A702" t="str">
        <f>IF(games!$A702="","",games!$A702)</f>
        <v>Synthetik 2</v>
      </c>
      <c r="B702">
        <f>IF($A702="","",games!$B702)</f>
        <v>2021</v>
      </c>
      <c r="C702" t="str">
        <f>IF($A702="","",games!$C702)</f>
        <v>Action</v>
      </c>
      <c r="D702">
        <f>IF($A702="","",COUNTIF(connections!$A$2:$A$1188,$A702)+COUNTIF(connections!$B$2:$B$1188,$A702))</f>
        <v>1</v>
      </c>
      <c r="E702">
        <f t="shared" si="120"/>
        <v>1</v>
      </c>
      <c r="F702">
        <f t="shared" si="121"/>
        <v>22</v>
      </c>
      <c r="G702">
        <f t="shared" si="122"/>
        <v>2021</v>
      </c>
      <c r="H702">
        <f t="shared" si="123"/>
        <v>1.506</v>
      </c>
      <c r="I702" t="e">
        <f t="shared" si="124"/>
        <v>#N/A</v>
      </c>
      <c r="J702" t="e">
        <f t="shared" si="125"/>
        <v>#N/A</v>
      </c>
      <c r="K702" t="e">
        <f t="shared" si="126"/>
        <v>#N/A</v>
      </c>
      <c r="L702" t="e">
        <f t="shared" si="127"/>
        <v>#N/A</v>
      </c>
      <c r="M702" t="e">
        <f t="shared" si="128"/>
        <v>#N/A</v>
      </c>
      <c r="N702" t="e">
        <f t="shared" si="129"/>
        <v>#N/A</v>
      </c>
      <c r="O702">
        <f t="shared" si="130"/>
        <v>1.000702</v>
      </c>
      <c r="T702">
        <f>IF(connections!$A702="","",IFERROR(INDEX(games!$B$2:$B$834,MATCH(connections!$A702,games!$A$2:$A$834,0)),""))</f>
        <v>2021</v>
      </c>
      <c r="U702">
        <f>IF(connections!$A702="","",IFERROR(INDEX(games!$B$2:$B$834,MATCH(connections!$B702,games!$A$2:$A$834,0)),""))</f>
        <v>2024</v>
      </c>
      <c r="V702">
        <f t="shared" si="131"/>
        <v>3</v>
      </c>
    </row>
    <row r="703" spans="1:22" x14ac:dyDescent="0.25">
      <c r="A703" t="str">
        <f>IF(games!$A703="","",games!$A703)</f>
        <v>Synthetik: Legion Rising</v>
      </c>
      <c r="B703">
        <f>IF($A703="","",games!$B703)</f>
        <v>2018</v>
      </c>
      <c r="C703" t="str">
        <f>IF($A703="","",games!$C703)</f>
        <v>Action</v>
      </c>
      <c r="D703">
        <f>IF($A703="","",COUNTIF(connections!$A$2:$A$1188,$A703)+COUNTIF(connections!$B$2:$B$1188,$A703))</f>
        <v>2</v>
      </c>
      <c r="E703">
        <f t="shared" si="120"/>
        <v>1</v>
      </c>
      <c r="F703">
        <f t="shared" si="121"/>
        <v>23</v>
      </c>
      <c r="G703">
        <f t="shared" si="122"/>
        <v>2018</v>
      </c>
      <c r="H703">
        <f t="shared" si="123"/>
        <v>1.5289999999999999</v>
      </c>
      <c r="I703" t="e">
        <f t="shared" si="124"/>
        <v>#N/A</v>
      </c>
      <c r="J703" t="e">
        <f t="shared" si="125"/>
        <v>#N/A</v>
      </c>
      <c r="K703" t="e">
        <f t="shared" si="126"/>
        <v>#N/A</v>
      </c>
      <c r="L703" t="e">
        <f t="shared" si="127"/>
        <v>#N/A</v>
      </c>
      <c r="M703" t="e">
        <f t="shared" si="128"/>
        <v>#N/A</v>
      </c>
      <c r="N703" t="e">
        <f t="shared" si="129"/>
        <v>#N/A</v>
      </c>
      <c r="O703">
        <f t="shared" si="130"/>
        <v>2.0007030000000001</v>
      </c>
      <c r="T703">
        <f>IF(connections!$A703="","",IFERROR(INDEX(games!$B$2:$B$834,MATCH(connections!$A703,games!$A$2:$A$834,0)),""))</f>
        <v>2021</v>
      </c>
      <c r="U703">
        <f>IF(connections!$A703="","",IFERROR(INDEX(games!$B$2:$B$834,MATCH(connections!$B703,games!$A$2:$A$834,0)),""))</f>
        <v>2026</v>
      </c>
      <c r="V703">
        <f t="shared" si="131"/>
        <v>5</v>
      </c>
    </row>
    <row r="704" spans="1:22" x14ac:dyDescent="0.25">
      <c r="A704" t="str">
        <f>IF(games!$A704="","",games!$A704)</f>
        <v>Tabletop Tavern</v>
      </c>
      <c r="B704">
        <f>IF($A704="","",games!$B704)</f>
        <v>2026</v>
      </c>
      <c r="C704" t="str">
        <f>IF($A704="","",games!$C704)</f>
        <v>Strategy</v>
      </c>
      <c r="D704">
        <f>IF($A704="","",COUNTIF(connections!$A$2:$A$1188,$A704)+COUNTIF(connections!$B$2:$B$1188,$A704))</f>
        <v>2</v>
      </c>
      <c r="E704">
        <f t="shared" si="120"/>
        <v>2</v>
      </c>
      <c r="F704">
        <f t="shared" si="121"/>
        <v>24</v>
      </c>
      <c r="G704" t="e">
        <f t="shared" si="122"/>
        <v>#N/A</v>
      </c>
      <c r="H704" t="e">
        <f t="shared" si="123"/>
        <v>#N/A</v>
      </c>
      <c r="I704">
        <f t="shared" si="124"/>
        <v>2026</v>
      </c>
      <c r="J704">
        <f t="shared" si="125"/>
        <v>2.552</v>
      </c>
      <c r="K704" t="e">
        <f t="shared" si="126"/>
        <v>#N/A</v>
      </c>
      <c r="L704" t="e">
        <f t="shared" si="127"/>
        <v>#N/A</v>
      </c>
      <c r="M704" t="e">
        <f t="shared" si="128"/>
        <v>#N/A</v>
      </c>
      <c r="N704" t="e">
        <f t="shared" si="129"/>
        <v>#N/A</v>
      </c>
      <c r="O704">
        <f t="shared" si="130"/>
        <v>2.0007039999999998</v>
      </c>
      <c r="T704">
        <f>IF(connections!$A704="","",IFERROR(INDEX(games!$B$2:$B$834,MATCH(connections!$A704,games!$A$2:$A$834,0)),""))</f>
        <v>2021</v>
      </c>
      <c r="U704">
        <f>IF(connections!$A704="","",IFERROR(INDEX(games!$B$2:$B$834,MATCH(connections!$B704,games!$A$2:$A$834,0)),""))</f>
        <v>2024</v>
      </c>
      <c r="V704">
        <f t="shared" si="131"/>
        <v>3</v>
      </c>
    </row>
    <row r="705" spans="1:22" x14ac:dyDescent="0.25">
      <c r="A705" t="str">
        <f>IF(games!$A705="","",games!$A705)</f>
        <v>Tainted Grail: Conquest</v>
      </c>
      <c r="B705">
        <f>IF($A705="","",games!$B705)</f>
        <v>2020</v>
      </c>
      <c r="C705" t="str">
        <f>IF($A705="","",games!$C705)</f>
        <v>Deckbuilder</v>
      </c>
      <c r="D705">
        <f>IF($A705="","",COUNTIF(connections!$A$2:$A$1188,$A705)+COUNTIF(connections!$B$2:$B$1188,$A705))</f>
        <v>1</v>
      </c>
      <c r="E705">
        <f t="shared" si="120"/>
        <v>3</v>
      </c>
      <c r="F705">
        <f t="shared" si="121"/>
        <v>25</v>
      </c>
      <c r="G705" t="e">
        <f t="shared" si="122"/>
        <v>#N/A</v>
      </c>
      <c r="H705" t="e">
        <f t="shared" si="123"/>
        <v>#N/A</v>
      </c>
      <c r="I705" t="e">
        <f t="shared" si="124"/>
        <v>#N/A</v>
      </c>
      <c r="J705" t="e">
        <f t="shared" si="125"/>
        <v>#N/A</v>
      </c>
      <c r="K705">
        <f t="shared" si="126"/>
        <v>2020</v>
      </c>
      <c r="L705">
        <f t="shared" si="127"/>
        <v>3.5750000000000002</v>
      </c>
      <c r="M705" t="e">
        <f t="shared" si="128"/>
        <v>#N/A</v>
      </c>
      <c r="N705" t="e">
        <f t="shared" si="129"/>
        <v>#N/A</v>
      </c>
      <c r="O705">
        <f t="shared" si="130"/>
        <v>1.000705</v>
      </c>
      <c r="T705">
        <f>IF(connections!$A705="","",IFERROR(INDEX(games!$B$2:$B$834,MATCH(connections!$A705,games!$A$2:$A$834,0)),""))</f>
        <v>2020</v>
      </c>
      <c r="U705">
        <f>IF(connections!$A705="","",IFERROR(INDEX(games!$B$2:$B$834,MATCH(connections!$B705,games!$A$2:$A$834,0)),""))</f>
        <v>2024</v>
      </c>
      <c r="V705">
        <f t="shared" si="131"/>
        <v>4</v>
      </c>
    </row>
    <row r="706" spans="1:22" x14ac:dyDescent="0.25">
      <c r="A706" t="str">
        <f>IF(games!$A706="","",games!$A706)</f>
        <v>Talented</v>
      </c>
      <c r="B706">
        <f>IF($A706="","",games!$B706)</f>
        <v>2023</v>
      </c>
      <c r="C706" t="str">
        <f>IF($A706="","",games!$C706)</f>
        <v>Action</v>
      </c>
      <c r="D706">
        <f>IF($A706="","",COUNTIF(connections!$A$2:$A$1188,$A706)+COUNTIF(connections!$B$2:$B$1188,$A706))</f>
        <v>2</v>
      </c>
      <c r="E706">
        <f t="shared" ref="E706:E769" si="132">IF($A706="","",IFERROR(MATCH($C706,$R$2:$R$5,0),0))</f>
        <v>1</v>
      </c>
      <c r="F706">
        <f t="shared" ref="F706:F769" si="133">IF($A706="","",MOD(ROW(),34))</f>
        <v>26</v>
      </c>
      <c r="G706">
        <f t="shared" ref="G706:G769" si="134">IF($A706="",NA(),IF($C706="Action",$B706,NA()))</f>
        <v>2023</v>
      </c>
      <c r="H706">
        <f t="shared" ref="H706:H769" si="135">IF($A706="",NA(),IF($C706="Action",1+$F706*0.023,NA()))</f>
        <v>1.5979999999999999</v>
      </c>
      <c r="I706" t="e">
        <f t="shared" ref="I706:I769" si="136">IF($A706="",NA(),IF($C706="Strategy",$B706,NA()))</f>
        <v>#N/A</v>
      </c>
      <c r="J706" t="e">
        <f t="shared" ref="J706:J769" si="137">IF($A706="",NA(),IF($C706="Strategy",2+$F706*0.023,NA()))</f>
        <v>#N/A</v>
      </c>
      <c r="K706" t="e">
        <f t="shared" ref="K706:K769" si="138">IF($A706="",NA(),IF($C706="Deckbuilder",$B706,NA()))</f>
        <v>#N/A</v>
      </c>
      <c r="L706" t="e">
        <f t="shared" ref="L706:L769" si="139">IF($A706="",NA(),IF($C706="Deckbuilder",3+$F706*0.023,NA()))</f>
        <v>#N/A</v>
      </c>
      <c r="M706" t="e">
        <f t="shared" ref="M706:M769" si="140">IF($A706="",NA(),IF($C706="Traditional",$B706,NA()))</f>
        <v>#N/A</v>
      </c>
      <c r="N706" t="e">
        <f t="shared" ref="N706:N769" si="141">IF($A706="",NA(),IF($C706="Traditional",4+$F706*0.023,NA()))</f>
        <v>#N/A</v>
      </c>
      <c r="O706">
        <f t="shared" ref="O706:O769" si="142">IF($A706="","",$D706+ROW()/1000000)</f>
        <v>2.0007060000000001</v>
      </c>
      <c r="T706">
        <f>IF(connections!$A706="","",IFERROR(INDEX(games!$B$2:$B$834,MATCH(connections!$A706,games!$A$2:$A$834,0)),""))</f>
        <v>2022</v>
      </c>
      <c r="U706">
        <f>IF(connections!$A706="","",IFERROR(INDEX(games!$B$2:$B$834,MATCH(connections!$B706,games!$A$2:$A$834,0)),""))</f>
        <v>2024</v>
      </c>
      <c r="V706">
        <f t="shared" ref="V706:V769" si="143">IF(OR($T706="",$U706=""),"",$U706-$T706)</f>
        <v>2</v>
      </c>
    </row>
    <row r="707" spans="1:22" x14ac:dyDescent="0.25">
      <c r="A707" t="str">
        <f>IF(games!$A707="","",games!$A707)</f>
        <v>Tales of Maj'Eyal</v>
      </c>
      <c r="B707">
        <f>IF($A707="","",games!$B707)</f>
        <v>1998</v>
      </c>
      <c r="C707" t="str">
        <f>IF($A707="","",games!$C707)</f>
        <v>Traditional</v>
      </c>
      <c r="D707">
        <f>IF($A707="","",COUNTIF(connections!$A$2:$A$1188,$A707)+COUNTIF(connections!$B$2:$B$1188,$A707))</f>
        <v>9</v>
      </c>
      <c r="E707">
        <f t="shared" si="132"/>
        <v>4</v>
      </c>
      <c r="F707">
        <f t="shared" si="133"/>
        <v>27</v>
      </c>
      <c r="G707" t="e">
        <f t="shared" si="134"/>
        <v>#N/A</v>
      </c>
      <c r="H707" t="e">
        <f t="shared" si="135"/>
        <v>#N/A</v>
      </c>
      <c r="I707" t="e">
        <f t="shared" si="136"/>
        <v>#N/A</v>
      </c>
      <c r="J707" t="e">
        <f t="shared" si="137"/>
        <v>#N/A</v>
      </c>
      <c r="K707" t="e">
        <f t="shared" si="138"/>
        <v>#N/A</v>
      </c>
      <c r="L707" t="e">
        <f t="shared" si="139"/>
        <v>#N/A</v>
      </c>
      <c r="M707">
        <f t="shared" si="140"/>
        <v>1998</v>
      </c>
      <c r="N707">
        <f t="shared" si="141"/>
        <v>4.6210000000000004</v>
      </c>
      <c r="O707">
        <f t="shared" si="142"/>
        <v>9.0007070000000002</v>
      </c>
      <c r="T707">
        <f>IF(connections!$A707="","",IFERROR(INDEX(games!$B$2:$B$834,MATCH(connections!$A707,games!$A$2:$A$834,0)),""))</f>
        <v>2008</v>
      </c>
      <c r="U707">
        <f>IF(connections!$A707="","",IFERROR(INDEX(games!$B$2:$B$834,MATCH(connections!$B707,games!$A$2:$A$834,0)),""))</f>
        <v>2010</v>
      </c>
      <c r="V707">
        <f t="shared" si="143"/>
        <v>2</v>
      </c>
    </row>
    <row r="708" spans="1:22" x14ac:dyDescent="0.25">
      <c r="A708" t="str">
        <f>IF(games!$A708="","",games!$A708)</f>
        <v>Talespinner</v>
      </c>
      <c r="B708">
        <f>IF($A708="","",games!$B708)</f>
        <v>2026</v>
      </c>
      <c r="C708" t="str">
        <f>IF($A708="","",games!$C708)</f>
        <v>Deckbuilder</v>
      </c>
      <c r="D708">
        <f>IF($A708="","",COUNTIF(connections!$A$2:$A$1188,$A708)+COUNTIF(connections!$B$2:$B$1188,$A708))</f>
        <v>1</v>
      </c>
      <c r="E708">
        <f t="shared" si="132"/>
        <v>3</v>
      </c>
      <c r="F708">
        <f t="shared" si="133"/>
        <v>28</v>
      </c>
      <c r="G708" t="e">
        <f t="shared" si="134"/>
        <v>#N/A</v>
      </c>
      <c r="H708" t="e">
        <f t="shared" si="135"/>
        <v>#N/A</v>
      </c>
      <c r="I708" t="e">
        <f t="shared" si="136"/>
        <v>#N/A</v>
      </c>
      <c r="J708" t="e">
        <f t="shared" si="137"/>
        <v>#N/A</v>
      </c>
      <c r="K708">
        <f t="shared" si="138"/>
        <v>2026</v>
      </c>
      <c r="L708">
        <f t="shared" si="139"/>
        <v>3.6440000000000001</v>
      </c>
      <c r="M708" t="e">
        <f t="shared" si="140"/>
        <v>#N/A</v>
      </c>
      <c r="N708" t="e">
        <f t="shared" si="141"/>
        <v>#N/A</v>
      </c>
      <c r="O708">
        <f t="shared" si="142"/>
        <v>1.0007079999999999</v>
      </c>
      <c r="T708">
        <f>IF(connections!$A708="","",IFERROR(INDEX(games!$B$2:$B$834,MATCH(connections!$A708,games!$A$2:$A$834,0)),""))</f>
        <v>2000</v>
      </c>
      <c r="U708">
        <f>IF(connections!$A708="","",IFERROR(INDEX(games!$B$2:$B$834,MATCH(connections!$B708,games!$A$2:$A$834,0)),""))</f>
        <v>2008</v>
      </c>
      <c r="V708">
        <f t="shared" si="143"/>
        <v>8</v>
      </c>
    </row>
    <row r="709" spans="1:22" x14ac:dyDescent="0.25">
      <c r="A709" t="str">
        <f>IF(games!$A709="","",games!$A709)</f>
        <v>Tangledeep</v>
      </c>
      <c r="B709">
        <f>IF($A709="","",games!$B709)</f>
        <v>2017</v>
      </c>
      <c r="C709" t="str">
        <f>IF($A709="","",games!$C709)</f>
        <v>Traditional</v>
      </c>
      <c r="D709">
        <f>IF($A709="","",COUNTIF(connections!$A$2:$A$1188,$A709)+COUNTIF(connections!$B$2:$B$1188,$A709))</f>
        <v>4</v>
      </c>
      <c r="E709">
        <f t="shared" si="132"/>
        <v>4</v>
      </c>
      <c r="F709">
        <f t="shared" si="133"/>
        <v>29</v>
      </c>
      <c r="G709" t="e">
        <f t="shared" si="134"/>
        <v>#N/A</v>
      </c>
      <c r="H709" t="e">
        <f t="shared" si="135"/>
        <v>#N/A</v>
      </c>
      <c r="I709" t="e">
        <f t="shared" si="136"/>
        <v>#N/A</v>
      </c>
      <c r="J709" t="e">
        <f t="shared" si="137"/>
        <v>#N/A</v>
      </c>
      <c r="K709" t="e">
        <f t="shared" si="138"/>
        <v>#N/A</v>
      </c>
      <c r="L709" t="e">
        <f t="shared" si="139"/>
        <v>#N/A</v>
      </c>
      <c r="M709">
        <f t="shared" si="140"/>
        <v>2017</v>
      </c>
      <c r="N709">
        <f t="shared" si="141"/>
        <v>4.6669999999999998</v>
      </c>
      <c r="O709">
        <f t="shared" si="142"/>
        <v>4.0007089999999996</v>
      </c>
      <c r="T709">
        <f>IF(connections!$A709="","",IFERROR(INDEX(games!$B$2:$B$834,MATCH(connections!$A709,games!$A$2:$A$834,0)),""))</f>
        <v>2000</v>
      </c>
      <c r="U709">
        <f>IF(connections!$A709="","",IFERROR(INDEX(games!$B$2:$B$834,MATCH(connections!$B709,games!$A$2:$A$834,0)),""))</f>
        <v>2002</v>
      </c>
      <c r="V709">
        <f t="shared" si="143"/>
        <v>2</v>
      </c>
    </row>
    <row r="710" spans="1:22" x14ac:dyDescent="0.25">
      <c r="A710" t="str">
        <f>IF(games!$A710="","",games!$A710)</f>
        <v>Tangy TD</v>
      </c>
      <c r="B710">
        <f>IF($A710="","",games!$B710)</f>
        <v>2026</v>
      </c>
      <c r="C710" t="str">
        <f>IF($A710="","",games!$C710)</f>
        <v>Strategy</v>
      </c>
      <c r="D710">
        <f>IF($A710="","",COUNTIF(connections!$A$2:$A$1188,$A710)+COUNTIF(connections!$B$2:$B$1188,$A710))</f>
        <v>0</v>
      </c>
      <c r="E710">
        <f t="shared" si="132"/>
        <v>2</v>
      </c>
      <c r="F710">
        <f t="shared" si="133"/>
        <v>30</v>
      </c>
      <c r="G710" t="e">
        <f t="shared" si="134"/>
        <v>#N/A</v>
      </c>
      <c r="H710" t="e">
        <f t="shared" si="135"/>
        <v>#N/A</v>
      </c>
      <c r="I710">
        <f t="shared" si="136"/>
        <v>2026</v>
      </c>
      <c r="J710">
        <f t="shared" si="137"/>
        <v>2.69</v>
      </c>
      <c r="K710" t="e">
        <f t="shared" si="138"/>
        <v>#N/A</v>
      </c>
      <c r="L710" t="e">
        <f t="shared" si="139"/>
        <v>#N/A</v>
      </c>
      <c r="M710" t="e">
        <f t="shared" si="140"/>
        <v>#N/A</v>
      </c>
      <c r="N710" t="e">
        <f t="shared" si="141"/>
        <v>#N/A</v>
      </c>
      <c r="O710">
        <f t="shared" si="142"/>
        <v>7.1000000000000002E-4</v>
      </c>
      <c r="T710">
        <f>IF(connections!$A710="","",IFERROR(INDEX(games!$B$2:$B$834,MATCH(connections!$A710,games!$A$2:$A$834,0)),""))</f>
        <v>2010</v>
      </c>
      <c r="U710">
        <f>IF(connections!$A710="","",IFERROR(INDEX(games!$B$2:$B$834,MATCH(connections!$B710,games!$A$2:$A$834,0)),""))</f>
        <v>2010</v>
      </c>
      <c r="V710">
        <f t="shared" si="143"/>
        <v>0</v>
      </c>
    </row>
    <row r="711" spans="1:22" x14ac:dyDescent="0.25">
      <c r="A711" t="str">
        <f>IF(games!$A711="","",games!$A711)</f>
        <v>Tao's Adventure: Curse of the Demon Seal</v>
      </c>
      <c r="B711">
        <f>IF($A711="","",games!$B711)</f>
        <v>2006</v>
      </c>
      <c r="C711" t="str">
        <f>IF($A711="","",games!$C711)</f>
        <v>Traditional</v>
      </c>
      <c r="D711">
        <f>IF($A711="","",COUNTIF(connections!$A$2:$A$1188,$A711)+COUNTIF(connections!$B$2:$B$1188,$A711))</f>
        <v>1</v>
      </c>
      <c r="E711">
        <f t="shared" si="132"/>
        <v>4</v>
      </c>
      <c r="F711">
        <f t="shared" si="133"/>
        <v>31</v>
      </c>
      <c r="G711" t="e">
        <f t="shared" si="134"/>
        <v>#N/A</v>
      </c>
      <c r="H711" t="e">
        <f t="shared" si="135"/>
        <v>#N/A</v>
      </c>
      <c r="I711" t="e">
        <f t="shared" si="136"/>
        <v>#N/A</v>
      </c>
      <c r="J711" t="e">
        <f t="shared" si="137"/>
        <v>#N/A</v>
      </c>
      <c r="K711" t="e">
        <f t="shared" si="138"/>
        <v>#N/A</v>
      </c>
      <c r="L711" t="e">
        <f t="shared" si="139"/>
        <v>#N/A</v>
      </c>
      <c r="M711">
        <f t="shared" si="140"/>
        <v>2006</v>
      </c>
      <c r="N711">
        <f t="shared" si="141"/>
        <v>4.7130000000000001</v>
      </c>
      <c r="O711">
        <f t="shared" si="142"/>
        <v>1.0007109999999999</v>
      </c>
      <c r="T711">
        <f>IF(connections!$A711="","",IFERROR(INDEX(games!$B$2:$B$834,MATCH(connections!$A711,games!$A$2:$A$834,0)),""))</f>
        <v>1996</v>
      </c>
      <c r="U711">
        <f>IF(connections!$A711="","",IFERROR(INDEX(games!$B$2:$B$834,MATCH(connections!$B711,games!$A$2:$A$834,0)),""))</f>
        <v>2001</v>
      </c>
      <c r="V711">
        <f t="shared" si="143"/>
        <v>5</v>
      </c>
    </row>
    <row r="712" spans="1:22" x14ac:dyDescent="0.25">
      <c r="A712" t="str">
        <f>IF(games!$A712="","",games!$A712)</f>
        <v>Tape to Tape</v>
      </c>
      <c r="B712">
        <f>IF($A712="","",games!$B712)</f>
        <v>2023</v>
      </c>
      <c r="C712" t="str">
        <f>IF($A712="","",games!$C712)</f>
        <v>Action</v>
      </c>
      <c r="D712">
        <f>IF($A712="","",COUNTIF(connections!$A$2:$A$1188,$A712)+COUNTIF(connections!$B$2:$B$1188,$A712))</f>
        <v>2</v>
      </c>
      <c r="E712">
        <f t="shared" si="132"/>
        <v>1</v>
      </c>
      <c r="F712">
        <f t="shared" si="133"/>
        <v>32</v>
      </c>
      <c r="G712">
        <f t="shared" si="134"/>
        <v>2023</v>
      </c>
      <c r="H712">
        <f t="shared" si="135"/>
        <v>1.736</v>
      </c>
      <c r="I712" t="e">
        <f t="shared" si="136"/>
        <v>#N/A</v>
      </c>
      <c r="J712" t="e">
        <f t="shared" si="137"/>
        <v>#N/A</v>
      </c>
      <c r="K712" t="e">
        <f t="shared" si="138"/>
        <v>#N/A</v>
      </c>
      <c r="L712" t="e">
        <f t="shared" si="139"/>
        <v>#N/A</v>
      </c>
      <c r="M712" t="e">
        <f t="shared" si="140"/>
        <v>#N/A</v>
      </c>
      <c r="N712" t="e">
        <f t="shared" si="141"/>
        <v>#N/A</v>
      </c>
      <c r="O712">
        <f t="shared" si="142"/>
        <v>2.000712</v>
      </c>
      <c r="T712">
        <f>IF(connections!$A712="","",IFERROR(INDEX(games!$B$2:$B$834,MATCH(connections!$A712,games!$A$2:$A$834,0)),""))</f>
        <v>2010</v>
      </c>
      <c r="U712">
        <f>IF(connections!$A712="","",IFERROR(INDEX(games!$B$2:$B$834,MATCH(connections!$B712,games!$A$2:$A$834,0)),""))</f>
        <v>2024</v>
      </c>
      <c r="V712">
        <f t="shared" si="143"/>
        <v>14</v>
      </c>
    </row>
    <row r="713" spans="1:22" x14ac:dyDescent="0.25">
      <c r="A713" t="str">
        <f>IF(games!$A713="","",games!$A713)</f>
        <v>Teamfight Tactics</v>
      </c>
      <c r="B713">
        <f>IF($A713="","",games!$B713)</f>
        <v>2019</v>
      </c>
      <c r="C713" t="str">
        <f>IF($A713="","",games!$C713)</f>
        <v>Strategy</v>
      </c>
      <c r="D713">
        <f>IF($A713="","",COUNTIF(connections!$A$2:$A$1188,$A713)+COUNTIF(connections!$B$2:$B$1188,$A713))</f>
        <v>6</v>
      </c>
      <c r="E713">
        <f t="shared" si="132"/>
        <v>2</v>
      </c>
      <c r="F713">
        <f t="shared" si="133"/>
        <v>33</v>
      </c>
      <c r="G713" t="e">
        <f t="shared" si="134"/>
        <v>#N/A</v>
      </c>
      <c r="H713" t="e">
        <f t="shared" si="135"/>
        <v>#N/A</v>
      </c>
      <c r="I713">
        <f t="shared" si="136"/>
        <v>2019</v>
      </c>
      <c r="J713">
        <f t="shared" si="137"/>
        <v>2.7589999999999999</v>
      </c>
      <c r="K713" t="e">
        <f t="shared" si="138"/>
        <v>#N/A</v>
      </c>
      <c r="L713" t="e">
        <f t="shared" si="139"/>
        <v>#N/A</v>
      </c>
      <c r="M713" t="e">
        <f t="shared" si="140"/>
        <v>#N/A</v>
      </c>
      <c r="N713" t="e">
        <f t="shared" si="141"/>
        <v>#N/A</v>
      </c>
      <c r="O713">
        <f t="shared" si="142"/>
        <v>6.0007130000000002</v>
      </c>
      <c r="T713">
        <f>IF(connections!$A713="","",IFERROR(INDEX(games!$B$2:$B$834,MATCH(connections!$A713,games!$A$2:$A$834,0)),""))</f>
        <v>2023</v>
      </c>
      <c r="U713">
        <f>IF(connections!$A713="","",IFERROR(INDEX(games!$B$2:$B$834,MATCH(connections!$B713,games!$A$2:$A$834,0)),""))</f>
        <v>2025</v>
      </c>
      <c r="V713">
        <f t="shared" si="143"/>
        <v>2</v>
      </c>
    </row>
    <row r="714" spans="1:22" x14ac:dyDescent="0.25">
      <c r="A714" t="str">
        <f>IF(games!$A714="","",games!$A714)</f>
        <v>Tears of Metal</v>
      </c>
      <c r="B714">
        <f>IF($A714="","",games!$B714)</f>
        <v>2026</v>
      </c>
      <c r="C714" t="str">
        <f>IF($A714="","",games!$C714)</f>
        <v>Action</v>
      </c>
      <c r="D714">
        <f>IF($A714="","",COUNTIF(connections!$A$2:$A$1188,$A714)+COUNTIF(connections!$B$2:$B$1188,$A714))</f>
        <v>1</v>
      </c>
      <c r="E714">
        <f t="shared" si="132"/>
        <v>1</v>
      </c>
      <c r="F714">
        <f t="shared" si="133"/>
        <v>0</v>
      </c>
      <c r="G714">
        <f t="shared" si="134"/>
        <v>2026</v>
      </c>
      <c r="H714">
        <f t="shared" si="135"/>
        <v>1</v>
      </c>
      <c r="I714" t="e">
        <f t="shared" si="136"/>
        <v>#N/A</v>
      </c>
      <c r="J714" t="e">
        <f t="shared" si="137"/>
        <v>#N/A</v>
      </c>
      <c r="K714" t="e">
        <f t="shared" si="138"/>
        <v>#N/A</v>
      </c>
      <c r="L714" t="e">
        <f t="shared" si="139"/>
        <v>#N/A</v>
      </c>
      <c r="M714" t="e">
        <f t="shared" si="140"/>
        <v>#N/A</v>
      </c>
      <c r="N714" t="e">
        <f t="shared" si="141"/>
        <v>#N/A</v>
      </c>
      <c r="O714">
        <f t="shared" si="142"/>
        <v>1.0007140000000001</v>
      </c>
      <c r="T714">
        <f>IF(connections!$A714="","",IFERROR(INDEX(games!$B$2:$B$834,MATCH(connections!$A714,games!$A$2:$A$834,0)),""))</f>
        <v>2010</v>
      </c>
      <c r="U714">
        <f>IF(connections!$A714="","",IFERROR(INDEX(games!$B$2:$B$834,MATCH(connections!$B714,games!$A$2:$A$834,0)),""))</f>
        <v>2015</v>
      </c>
      <c r="V714">
        <f t="shared" si="143"/>
        <v>5</v>
      </c>
    </row>
    <row r="715" spans="1:22" x14ac:dyDescent="0.25">
      <c r="A715" t="str">
        <f>IF(games!$A715="","",games!$A715)</f>
        <v>Teenage Mutant Ninja Turtles: Splintered Fate</v>
      </c>
      <c r="B715">
        <f>IF($A715="","",games!$B715)</f>
        <v>2024</v>
      </c>
      <c r="C715" t="str">
        <f>IF($A715="","",games!$C715)</f>
        <v>Action</v>
      </c>
      <c r="D715">
        <f>IF($A715="","",COUNTIF(connections!$A$2:$A$1188,$A715)+COUNTIF(connections!$B$2:$B$1188,$A715))</f>
        <v>3</v>
      </c>
      <c r="E715">
        <f t="shared" si="132"/>
        <v>1</v>
      </c>
      <c r="F715">
        <f t="shared" si="133"/>
        <v>1</v>
      </c>
      <c r="G715">
        <f t="shared" si="134"/>
        <v>2024</v>
      </c>
      <c r="H715">
        <f t="shared" si="135"/>
        <v>1.0229999999999999</v>
      </c>
      <c r="I715" t="e">
        <f t="shared" si="136"/>
        <v>#N/A</v>
      </c>
      <c r="J715" t="e">
        <f t="shared" si="137"/>
        <v>#N/A</v>
      </c>
      <c r="K715" t="e">
        <f t="shared" si="138"/>
        <v>#N/A</v>
      </c>
      <c r="L715" t="e">
        <f t="shared" si="139"/>
        <v>#N/A</v>
      </c>
      <c r="M715" t="e">
        <f t="shared" si="140"/>
        <v>#N/A</v>
      </c>
      <c r="N715" t="e">
        <f t="shared" si="141"/>
        <v>#N/A</v>
      </c>
      <c r="O715">
        <f t="shared" si="142"/>
        <v>3.000715</v>
      </c>
      <c r="T715">
        <f>IF(connections!$A715="","",IFERROR(INDEX(games!$B$2:$B$834,MATCH(connections!$A715,games!$A$2:$A$834,0)),""))</f>
        <v>2022</v>
      </c>
      <c r="U715">
        <f>IF(connections!$A715="","",IFERROR(INDEX(games!$B$2:$B$834,MATCH(connections!$B715,games!$A$2:$A$834,0)),""))</f>
        <v>2024</v>
      </c>
      <c r="V715">
        <f t="shared" si="143"/>
        <v>2</v>
      </c>
    </row>
    <row r="716" spans="1:22" x14ac:dyDescent="0.25">
      <c r="A716" t="str">
        <f>IF(games!$A716="","",games!$A716)</f>
        <v>Temtem: Swarm</v>
      </c>
      <c r="B716">
        <f>IF($A716="","",games!$B716)</f>
        <v>2024</v>
      </c>
      <c r="C716" t="str">
        <f>IF($A716="","",games!$C716)</f>
        <v>Action</v>
      </c>
      <c r="D716">
        <f>IF($A716="","",COUNTIF(connections!$A$2:$A$1188,$A716)+COUNTIF(connections!$B$2:$B$1188,$A716))</f>
        <v>1</v>
      </c>
      <c r="E716">
        <f t="shared" si="132"/>
        <v>1</v>
      </c>
      <c r="F716">
        <f t="shared" si="133"/>
        <v>2</v>
      </c>
      <c r="G716">
        <f t="shared" si="134"/>
        <v>2024</v>
      </c>
      <c r="H716">
        <f t="shared" si="135"/>
        <v>1.046</v>
      </c>
      <c r="I716" t="e">
        <f t="shared" si="136"/>
        <v>#N/A</v>
      </c>
      <c r="J716" t="e">
        <f t="shared" si="137"/>
        <v>#N/A</v>
      </c>
      <c r="K716" t="e">
        <f t="shared" si="138"/>
        <v>#N/A</v>
      </c>
      <c r="L716" t="e">
        <f t="shared" si="139"/>
        <v>#N/A</v>
      </c>
      <c r="M716" t="e">
        <f t="shared" si="140"/>
        <v>#N/A</v>
      </c>
      <c r="N716" t="e">
        <f t="shared" si="141"/>
        <v>#N/A</v>
      </c>
      <c r="O716">
        <f t="shared" si="142"/>
        <v>1.0007159999999999</v>
      </c>
      <c r="T716">
        <f>IF(connections!$A716="","",IFERROR(INDEX(games!$B$2:$B$834,MATCH(connections!$A716,games!$A$2:$A$834,0)),""))</f>
        <v>2022</v>
      </c>
      <c r="U716">
        <f>IF(connections!$A716="","",IFERROR(INDEX(games!$B$2:$B$834,MATCH(connections!$B716,games!$A$2:$A$834,0)),""))</f>
        <v>2022</v>
      </c>
      <c r="V716">
        <f t="shared" si="143"/>
        <v>0</v>
      </c>
    </row>
    <row r="717" spans="1:22" x14ac:dyDescent="0.25">
      <c r="A717" t="str">
        <f>IF(games!$A717="","",games!$A717)</f>
        <v>Terraformers</v>
      </c>
      <c r="B717">
        <f>IF($A717="","",games!$B717)</f>
        <v>2022</v>
      </c>
      <c r="C717" t="str">
        <f>IF($A717="","",games!$C717)</f>
        <v>Strategy</v>
      </c>
      <c r="D717">
        <f>IF($A717="","",COUNTIF(connections!$A$2:$A$1188,$A717)+COUNTIF(connections!$B$2:$B$1188,$A717))</f>
        <v>1</v>
      </c>
      <c r="E717">
        <f t="shared" si="132"/>
        <v>2</v>
      </c>
      <c r="F717">
        <f t="shared" si="133"/>
        <v>3</v>
      </c>
      <c r="G717" t="e">
        <f t="shared" si="134"/>
        <v>#N/A</v>
      </c>
      <c r="H717" t="e">
        <f t="shared" si="135"/>
        <v>#N/A</v>
      </c>
      <c r="I717">
        <f t="shared" si="136"/>
        <v>2022</v>
      </c>
      <c r="J717">
        <f t="shared" si="137"/>
        <v>2.069</v>
      </c>
      <c r="K717" t="e">
        <f t="shared" si="138"/>
        <v>#N/A</v>
      </c>
      <c r="L717" t="e">
        <f t="shared" si="139"/>
        <v>#N/A</v>
      </c>
      <c r="M717" t="e">
        <f t="shared" si="140"/>
        <v>#N/A</v>
      </c>
      <c r="N717" t="e">
        <f t="shared" si="141"/>
        <v>#N/A</v>
      </c>
      <c r="O717">
        <f t="shared" si="142"/>
        <v>1.0007170000000001</v>
      </c>
      <c r="T717">
        <f>IF(connections!$A717="","",IFERROR(INDEX(games!$B$2:$B$834,MATCH(connections!$A717,games!$A$2:$A$834,0)),""))</f>
        <v>2022</v>
      </c>
      <c r="U717">
        <f>IF(connections!$A717="","",IFERROR(INDEX(games!$B$2:$B$834,MATCH(connections!$B717,games!$A$2:$A$834,0)),""))</f>
        <v>2023</v>
      </c>
      <c r="V717">
        <f t="shared" si="143"/>
        <v>1</v>
      </c>
    </row>
    <row r="718" spans="1:22" x14ac:dyDescent="0.25">
      <c r="A718" t="str">
        <f>IF(games!$A718="","",games!$A718)</f>
        <v>TerraTech Legion</v>
      </c>
      <c r="B718">
        <f>IF($A718="","",games!$B718)</f>
        <v>2026</v>
      </c>
      <c r="C718" t="str">
        <f>IF($A718="","",games!$C718)</f>
        <v>Action</v>
      </c>
      <c r="D718">
        <f>IF($A718="","",COUNTIF(connections!$A$2:$A$1188,$A718)+COUNTIF(connections!$B$2:$B$1188,$A718))</f>
        <v>1</v>
      </c>
      <c r="E718">
        <f t="shared" si="132"/>
        <v>1</v>
      </c>
      <c r="F718">
        <f t="shared" si="133"/>
        <v>4</v>
      </c>
      <c r="G718">
        <f t="shared" si="134"/>
        <v>2026</v>
      </c>
      <c r="H718">
        <f t="shared" si="135"/>
        <v>1.0920000000000001</v>
      </c>
      <c r="I718" t="e">
        <f t="shared" si="136"/>
        <v>#N/A</v>
      </c>
      <c r="J718" t="e">
        <f t="shared" si="137"/>
        <v>#N/A</v>
      </c>
      <c r="K718" t="e">
        <f t="shared" si="138"/>
        <v>#N/A</v>
      </c>
      <c r="L718" t="e">
        <f t="shared" si="139"/>
        <v>#N/A</v>
      </c>
      <c r="M718" t="e">
        <f t="shared" si="140"/>
        <v>#N/A</v>
      </c>
      <c r="N718" t="e">
        <f t="shared" si="141"/>
        <v>#N/A</v>
      </c>
      <c r="O718">
        <f t="shared" si="142"/>
        <v>1.000718</v>
      </c>
      <c r="T718">
        <f>IF(connections!$A718="","",IFERROR(INDEX(games!$B$2:$B$834,MATCH(connections!$A718,games!$A$2:$A$834,0)),""))</f>
        <v>2020</v>
      </c>
      <c r="U718">
        <f>IF(connections!$A718="","",IFERROR(INDEX(games!$B$2:$B$834,MATCH(connections!$B718,games!$A$2:$A$834,0)),""))</f>
        <v>2024</v>
      </c>
      <c r="V718">
        <f t="shared" si="143"/>
        <v>4</v>
      </c>
    </row>
    <row r="719" spans="1:22" x14ac:dyDescent="0.25">
      <c r="A719" t="str">
        <f>IF(games!$A719="","",games!$A719)</f>
        <v>TerRoguelike</v>
      </c>
      <c r="B719">
        <f>IF($A719="","",games!$B719)</f>
        <v>2024</v>
      </c>
      <c r="C719" t="str">
        <f>IF($A719="","",games!$C719)</f>
        <v>Action</v>
      </c>
      <c r="D719">
        <f>IF($A719="","",COUNTIF(connections!$A$2:$A$1188,$A719)+COUNTIF(connections!$B$2:$B$1188,$A719))</f>
        <v>1</v>
      </c>
      <c r="E719">
        <f t="shared" si="132"/>
        <v>1</v>
      </c>
      <c r="F719">
        <f t="shared" si="133"/>
        <v>5</v>
      </c>
      <c r="G719">
        <f t="shared" si="134"/>
        <v>2024</v>
      </c>
      <c r="H719">
        <f t="shared" si="135"/>
        <v>1.115</v>
      </c>
      <c r="I719" t="e">
        <f t="shared" si="136"/>
        <v>#N/A</v>
      </c>
      <c r="J719" t="e">
        <f t="shared" si="137"/>
        <v>#N/A</v>
      </c>
      <c r="K719" t="e">
        <f t="shared" si="138"/>
        <v>#N/A</v>
      </c>
      <c r="L719" t="e">
        <f t="shared" si="139"/>
        <v>#N/A</v>
      </c>
      <c r="M719" t="e">
        <f t="shared" si="140"/>
        <v>#N/A</v>
      </c>
      <c r="N719" t="e">
        <f t="shared" si="141"/>
        <v>#N/A</v>
      </c>
      <c r="O719">
        <f t="shared" si="142"/>
        <v>1.0007189999999999</v>
      </c>
      <c r="T719">
        <f>IF(connections!$A719="","",IFERROR(INDEX(games!$B$2:$B$834,MATCH(connections!$A719,games!$A$2:$A$834,0)),""))</f>
        <v>2006</v>
      </c>
      <c r="U719">
        <f>IF(connections!$A719="","",IFERROR(INDEX(games!$B$2:$B$834,MATCH(connections!$B719,games!$A$2:$A$834,0)),""))</f>
        <v>2022</v>
      </c>
      <c r="V719">
        <f t="shared" si="143"/>
        <v>16</v>
      </c>
    </row>
    <row r="720" spans="1:22" x14ac:dyDescent="0.25">
      <c r="A720" t="str">
        <f>IF(games!$A720="","",games!$A720)</f>
        <v>The Bazaar</v>
      </c>
      <c r="B720">
        <f>IF($A720="","",games!$B720)</f>
        <v>2025</v>
      </c>
      <c r="C720" t="str">
        <f>IF($A720="","",games!$C720)</f>
        <v>Strategy</v>
      </c>
      <c r="D720">
        <f>IF($A720="","",COUNTIF(connections!$A$2:$A$1188,$A720)+COUNTIF(connections!$B$2:$B$1188,$A720))</f>
        <v>4</v>
      </c>
      <c r="E720">
        <f t="shared" si="132"/>
        <v>2</v>
      </c>
      <c r="F720">
        <f t="shared" si="133"/>
        <v>6</v>
      </c>
      <c r="G720" t="e">
        <f t="shared" si="134"/>
        <v>#N/A</v>
      </c>
      <c r="H720" t="e">
        <f t="shared" si="135"/>
        <v>#N/A</v>
      </c>
      <c r="I720">
        <f t="shared" si="136"/>
        <v>2025</v>
      </c>
      <c r="J720">
        <f t="shared" si="137"/>
        <v>2.1379999999999999</v>
      </c>
      <c r="K720" t="e">
        <f t="shared" si="138"/>
        <v>#N/A</v>
      </c>
      <c r="L720" t="e">
        <f t="shared" si="139"/>
        <v>#N/A</v>
      </c>
      <c r="M720" t="e">
        <f t="shared" si="140"/>
        <v>#N/A</v>
      </c>
      <c r="N720" t="e">
        <f t="shared" si="141"/>
        <v>#N/A</v>
      </c>
      <c r="O720">
        <f t="shared" si="142"/>
        <v>4.0007200000000003</v>
      </c>
      <c r="T720">
        <f>IF(connections!$A720="","",IFERROR(INDEX(games!$B$2:$B$834,MATCH(connections!$A720,games!$A$2:$A$834,0)),""))</f>
        <v>2017</v>
      </c>
      <c r="U720">
        <f>IF(connections!$A720="","",IFERROR(INDEX(games!$B$2:$B$834,MATCH(connections!$B720,games!$A$2:$A$834,0)),""))</f>
        <v>2024</v>
      </c>
      <c r="V720">
        <f t="shared" si="143"/>
        <v>7</v>
      </c>
    </row>
    <row r="721" spans="1:22" x14ac:dyDescent="0.25">
      <c r="A721" t="str">
        <f>IF(games!$A721="","",games!$A721)</f>
        <v>The Binding of Isaac</v>
      </c>
      <c r="B721">
        <f>IF($A721="","",games!$B721)</f>
        <v>2011</v>
      </c>
      <c r="C721" t="str">
        <f>IF($A721="","",games!$C721)</f>
        <v>Action</v>
      </c>
      <c r="D721">
        <f>IF($A721="","",COUNTIF(connections!$A$2:$A$1188,$A721)+COUNTIF(connections!$B$2:$B$1188,$A721))</f>
        <v>69</v>
      </c>
      <c r="E721">
        <f t="shared" si="132"/>
        <v>1</v>
      </c>
      <c r="F721">
        <f t="shared" si="133"/>
        <v>7</v>
      </c>
      <c r="G721">
        <f t="shared" si="134"/>
        <v>2011</v>
      </c>
      <c r="H721">
        <f t="shared" si="135"/>
        <v>1.161</v>
      </c>
      <c r="I721" t="e">
        <f t="shared" si="136"/>
        <v>#N/A</v>
      </c>
      <c r="J721" t="e">
        <f t="shared" si="137"/>
        <v>#N/A</v>
      </c>
      <c r="K721" t="e">
        <f t="shared" si="138"/>
        <v>#N/A</v>
      </c>
      <c r="L721" t="e">
        <f t="shared" si="139"/>
        <v>#N/A</v>
      </c>
      <c r="M721" t="e">
        <f t="shared" si="140"/>
        <v>#N/A</v>
      </c>
      <c r="N721" t="e">
        <f t="shared" si="141"/>
        <v>#N/A</v>
      </c>
      <c r="O721">
        <f t="shared" si="142"/>
        <v>69.000720999999999</v>
      </c>
      <c r="T721">
        <f>IF(connections!$A721="","",IFERROR(INDEX(games!$B$2:$B$834,MATCH(connections!$A721,games!$A$2:$A$834,0)),""))</f>
        <v>2017</v>
      </c>
      <c r="U721">
        <f>IF(connections!$A721="","",IFERROR(INDEX(games!$B$2:$B$834,MATCH(connections!$B721,games!$A$2:$A$834,0)),""))</f>
        <v>2025</v>
      </c>
      <c r="V721">
        <f t="shared" si="143"/>
        <v>8</v>
      </c>
    </row>
    <row r="722" spans="1:22" x14ac:dyDescent="0.25">
      <c r="A722" t="str">
        <f>IF(games!$A722="","",games!$A722)</f>
        <v>The Binding of Isaac: Rebirth</v>
      </c>
      <c r="B722">
        <f>IF($A722="","",games!$B722)</f>
        <v>2014</v>
      </c>
      <c r="C722" t="str">
        <f>IF($A722="","",games!$C722)</f>
        <v>Action</v>
      </c>
      <c r="D722">
        <f>IF($A722="","",COUNTIF(connections!$A$2:$A$1188,$A722)+COUNTIF(connections!$B$2:$B$1188,$A722))</f>
        <v>1</v>
      </c>
      <c r="E722">
        <f t="shared" si="132"/>
        <v>1</v>
      </c>
      <c r="F722">
        <f t="shared" si="133"/>
        <v>8</v>
      </c>
      <c r="G722">
        <f t="shared" si="134"/>
        <v>2014</v>
      </c>
      <c r="H722">
        <f t="shared" si="135"/>
        <v>1.1839999999999999</v>
      </c>
      <c r="I722" t="e">
        <f t="shared" si="136"/>
        <v>#N/A</v>
      </c>
      <c r="J722" t="e">
        <f t="shared" si="137"/>
        <v>#N/A</v>
      </c>
      <c r="K722" t="e">
        <f t="shared" si="138"/>
        <v>#N/A</v>
      </c>
      <c r="L722" t="e">
        <f t="shared" si="139"/>
        <v>#N/A</v>
      </c>
      <c r="M722" t="e">
        <f t="shared" si="140"/>
        <v>#N/A</v>
      </c>
      <c r="N722" t="e">
        <f t="shared" si="141"/>
        <v>#N/A</v>
      </c>
      <c r="O722">
        <f t="shared" si="142"/>
        <v>1.0007219999999999</v>
      </c>
      <c r="T722">
        <f>IF(connections!$A722="","",IFERROR(INDEX(games!$B$2:$B$834,MATCH(connections!$A722,games!$A$2:$A$834,0)),""))</f>
        <v>2017</v>
      </c>
      <c r="U722">
        <f>IF(connections!$A722="","",IFERROR(INDEX(games!$B$2:$B$834,MATCH(connections!$B722,games!$A$2:$A$834,0)),""))</f>
        <v>2023</v>
      </c>
      <c r="V722">
        <f t="shared" si="143"/>
        <v>6</v>
      </c>
    </row>
    <row r="723" spans="1:22" x14ac:dyDescent="0.25">
      <c r="A723" t="str">
        <f>IF(games!$A723="","",games!$A723)</f>
        <v>The Doors of Trithius</v>
      </c>
      <c r="B723">
        <f>IF($A723="","",games!$B723)</f>
        <v>2021</v>
      </c>
      <c r="C723" t="str">
        <f>IF($A723="","",games!$C723)</f>
        <v>Traditional</v>
      </c>
      <c r="D723">
        <f>IF($A723="","",COUNTIF(connections!$A$2:$A$1188,$A723)+COUNTIF(connections!$B$2:$B$1188,$A723))</f>
        <v>3</v>
      </c>
      <c r="E723">
        <f t="shared" si="132"/>
        <v>4</v>
      </c>
      <c r="F723">
        <f t="shared" si="133"/>
        <v>9</v>
      </c>
      <c r="G723" t="e">
        <f t="shared" si="134"/>
        <v>#N/A</v>
      </c>
      <c r="H723" t="e">
        <f t="shared" si="135"/>
        <v>#N/A</v>
      </c>
      <c r="I723" t="e">
        <f t="shared" si="136"/>
        <v>#N/A</v>
      </c>
      <c r="J723" t="e">
        <f t="shared" si="137"/>
        <v>#N/A</v>
      </c>
      <c r="K723" t="e">
        <f t="shared" si="138"/>
        <v>#N/A</v>
      </c>
      <c r="L723" t="e">
        <f t="shared" si="139"/>
        <v>#N/A</v>
      </c>
      <c r="M723">
        <f t="shared" si="140"/>
        <v>2021</v>
      </c>
      <c r="N723">
        <f t="shared" si="141"/>
        <v>4.2069999999999999</v>
      </c>
      <c r="O723">
        <f t="shared" si="142"/>
        <v>3.0007229999999998</v>
      </c>
      <c r="T723">
        <f>IF(connections!$A723="","",IFERROR(INDEX(games!$B$2:$B$834,MATCH(connections!$A723,games!$A$2:$A$834,0)),""))</f>
        <v>2017</v>
      </c>
      <c r="U723">
        <f>IF(connections!$A723="","",IFERROR(INDEX(games!$B$2:$B$834,MATCH(connections!$B723,games!$A$2:$A$834,0)),""))</f>
        <v>2021</v>
      </c>
      <c r="V723">
        <f t="shared" si="143"/>
        <v>4</v>
      </c>
    </row>
    <row r="724" spans="1:22" x14ac:dyDescent="0.25">
      <c r="A724" t="str">
        <f>IF(games!$A724="","",games!$A724)</f>
        <v>The Fable: Manga Build Roguelike</v>
      </c>
      <c r="B724">
        <f>IF($A724="","",games!$B724)</f>
        <v>2025</v>
      </c>
      <c r="C724" t="str">
        <f>IF($A724="","",games!$C724)</f>
        <v>Deckbuilder</v>
      </c>
      <c r="D724">
        <f>IF($A724="","",COUNTIF(connections!$A$2:$A$1188,$A724)+COUNTIF(connections!$B$2:$B$1188,$A724))</f>
        <v>0</v>
      </c>
      <c r="E724">
        <f t="shared" si="132"/>
        <v>3</v>
      </c>
      <c r="F724">
        <f t="shared" si="133"/>
        <v>10</v>
      </c>
      <c r="G724" t="e">
        <f t="shared" si="134"/>
        <v>#N/A</v>
      </c>
      <c r="H724" t="e">
        <f t="shared" si="135"/>
        <v>#N/A</v>
      </c>
      <c r="I724" t="e">
        <f t="shared" si="136"/>
        <v>#N/A</v>
      </c>
      <c r="J724" t="e">
        <f t="shared" si="137"/>
        <v>#N/A</v>
      </c>
      <c r="K724">
        <f t="shared" si="138"/>
        <v>2025</v>
      </c>
      <c r="L724">
        <f t="shared" si="139"/>
        <v>3.23</v>
      </c>
      <c r="M724" t="e">
        <f t="shared" si="140"/>
        <v>#N/A</v>
      </c>
      <c r="N724" t="e">
        <f t="shared" si="141"/>
        <v>#N/A</v>
      </c>
      <c r="O724">
        <f t="shared" si="142"/>
        <v>7.2400000000000003E-4</v>
      </c>
      <c r="T724">
        <f>IF(connections!$A724="","",IFERROR(INDEX(games!$B$2:$B$834,MATCH(connections!$A724,games!$A$2:$A$834,0)),""))</f>
        <v>2017</v>
      </c>
      <c r="U724">
        <f>IF(connections!$A724="","",IFERROR(INDEX(games!$B$2:$B$834,MATCH(connections!$B724,games!$A$2:$A$834,0)),""))</f>
        <v>2022</v>
      </c>
      <c r="V724">
        <f t="shared" si="143"/>
        <v>5</v>
      </c>
    </row>
    <row r="725" spans="1:22" x14ac:dyDescent="0.25">
      <c r="A725" t="str">
        <f>IF(games!$A725="","",games!$A725)</f>
        <v>The Flame in the Flood</v>
      </c>
      <c r="B725">
        <f>IF($A725="","",games!$B725)</f>
        <v>2016</v>
      </c>
      <c r="C725" t="str">
        <f>IF($A725="","",games!$C725)</f>
        <v>Action</v>
      </c>
      <c r="D725">
        <f>IF($A725="","",COUNTIF(connections!$A$2:$A$1188,$A725)+COUNTIF(connections!$B$2:$B$1188,$A725))</f>
        <v>1</v>
      </c>
      <c r="E725">
        <f t="shared" si="132"/>
        <v>1</v>
      </c>
      <c r="F725">
        <f t="shared" si="133"/>
        <v>11</v>
      </c>
      <c r="G725">
        <f t="shared" si="134"/>
        <v>2016</v>
      </c>
      <c r="H725">
        <f t="shared" si="135"/>
        <v>1.2530000000000001</v>
      </c>
      <c r="I725" t="e">
        <f t="shared" si="136"/>
        <v>#N/A</v>
      </c>
      <c r="J725" t="e">
        <f t="shared" si="137"/>
        <v>#N/A</v>
      </c>
      <c r="K725" t="e">
        <f t="shared" si="138"/>
        <v>#N/A</v>
      </c>
      <c r="L725" t="e">
        <f t="shared" si="139"/>
        <v>#N/A</v>
      </c>
      <c r="M725" t="e">
        <f t="shared" si="140"/>
        <v>#N/A</v>
      </c>
      <c r="N725" t="e">
        <f t="shared" si="141"/>
        <v>#N/A</v>
      </c>
      <c r="O725">
        <f t="shared" si="142"/>
        <v>1.0007250000000001</v>
      </c>
      <c r="T725">
        <f>IF(connections!$A725="","",IFERROR(INDEX(games!$B$2:$B$834,MATCH(connections!$A725,games!$A$2:$A$834,0)),""))</f>
        <v>2017</v>
      </c>
      <c r="U725">
        <f>IF(connections!$A725="","",IFERROR(INDEX(games!$B$2:$B$834,MATCH(connections!$B725,games!$A$2:$A$834,0)),""))</f>
        <v>2020</v>
      </c>
      <c r="V725">
        <f t="shared" si="143"/>
        <v>3</v>
      </c>
    </row>
    <row r="726" spans="1:22" x14ac:dyDescent="0.25">
      <c r="A726" t="str">
        <f>IF(games!$A726="","",games!$A726)</f>
        <v>The Ground Gives Way</v>
      </c>
      <c r="B726">
        <f>IF($A726="","",games!$B726)</f>
        <v>2014</v>
      </c>
      <c r="C726" t="str">
        <f>IF($A726="","",games!$C726)</f>
        <v>Traditional</v>
      </c>
      <c r="D726">
        <f>IF($A726="","",COUNTIF(connections!$A$2:$A$1188,$A726)+COUNTIF(connections!$B$2:$B$1188,$A726))</f>
        <v>4</v>
      </c>
      <c r="E726">
        <f t="shared" si="132"/>
        <v>4</v>
      </c>
      <c r="F726">
        <f t="shared" si="133"/>
        <v>12</v>
      </c>
      <c r="G726" t="e">
        <f t="shared" si="134"/>
        <v>#N/A</v>
      </c>
      <c r="H726" t="e">
        <f t="shared" si="135"/>
        <v>#N/A</v>
      </c>
      <c r="I726" t="e">
        <f t="shared" si="136"/>
        <v>#N/A</v>
      </c>
      <c r="J726" t="e">
        <f t="shared" si="137"/>
        <v>#N/A</v>
      </c>
      <c r="K726" t="e">
        <f t="shared" si="138"/>
        <v>#N/A</v>
      </c>
      <c r="L726" t="e">
        <f t="shared" si="139"/>
        <v>#N/A</v>
      </c>
      <c r="M726">
        <f t="shared" si="140"/>
        <v>2014</v>
      </c>
      <c r="N726">
        <f t="shared" si="141"/>
        <v>4.2759999999999998</v>
      </c>
      <c r="O726">
        <f t="shared" si="142"/>
        <v>4.0007260000000002</v>
      </c>
      <c r="T726">
        <f>IF(connections!$A726="","",IFERROR(INDEX(games!$B$2:$B$834,MATCH(connections!$A726,games!$A$2:$A$834,0)),""))</f>
        <v>2017</v>
      </c>
      <c r="U726">
        <f>IF(connections!$A726="","",IFERROR(INDEX(games!$B$2:$B$834,MATCH(connections!$B726,games!$A$2:$A$834,0)),""))</f>
        <v>2026</v>
      </c>
      <c r="V726">
        <f t="shared" si="143"/>
        <v>9</v>
      </c>
    </row>
    <row r="727" spans="1:22" x14ac:dyDescent="0.25">
      <c r="A727" t="str">
        <f>IF(games!$A727="","",games!$A727)</f>
        <v>The Guided Fate Paradox</v>
      </c>
      <c r="B727">
        <f>IF($A727="","",games!$B727)</f>
        <v>2013</v>
      </c>
      <c r="C727" t="str">
        <f>IF($A727="","",games!$C727)</f>
        <v>Traditional</v>
      </c>
      <c r="D727">
        <f>IF($A727="","",COUNTIF(connections!$A$2:$A$1188,$A727)+COUNTIF(connections!$B$2:$B$1188,$A727))</f>
        <v>1</v>
      </c>
      <c r="E727">
        <f t="shared" si="132"/>
        <v>4</v>
      </c>
      <c r="F727">
        <f t="shared" si="133"/>
        <v>13</v>
      </c>
      <c r="G727" t="e">
        <f t="shared" si="134"/>
        <v>#N/A</v>
      </c>
      <c r="H727" t="e">
        <f t="shared" si="135"/>
        <v>#N/A</v>
      </c>
      <c r="I727" t="e">
        <f t="shared" si="136"/>
        <v>#N/A</v>
      </c>
      <c r="J727" t="e">
        <f t="shared" si="137"/>
        <v>#N/A</v>
      </c>
      <c r="K727" t="e">
        <f t="shared" si="138"/>
        <v>#N/A</v>
      </c>
      <c r="L727" t="e">
        <f t="shared" si="139"/>
        <v>#N/A</v>
      </c>
      <c r="M727">
        <f t="shared" si="140"/>
        <v>2013</v>
      </c>
      <c r="N727">
        <f t="shared" si="141"/>
        <v>4.2990000000000004</v>
      </c>
      <c r="O727">
        <f t="shared" si="142"/>
        <v>1.0007269999999999</v>
      </c>
      <c r="T727">
        <f>IF(connections!$A727="","",IFERROR(INDEX(games!$B$2:$B$834,MATCH(connections!$A727,games!$A$2:$A$834,0)),""))</f>
        <v>2017</v>
      </c>
      <c r="U727">
        <f>IF(connections!$A727="","",IFERROR(INDEX(games!$B$2:$B$834,MATCH(connections!$B727,games!$A$2:$A$834,0)),""))</f>
        <v>2025</v>
      </c>
      <c r="V727">
        <f t="shared" si="143"/>
        <v>8</v>
      </c>
    </row>
    <row r="728" spans="1:22" x14ac:dyDescent="0.25">
      <c r="A728" t="str">
        <f>IF(games!$A728="","",games!$A728)</f>
        <v>The King is Watching</v>
      </c>
      <c r="B728">
        <f>IF($A728="","",games!$B728)</f>
        <v>2025</v>
      </c>
      <c r="C728" t="str">
        <f>IF($A728="","",games!$C728)</f>
        <v>Strategy</v>
      </c>
      <c r="D728">
        <f>IF($A728="","",COUNTIF(connections!$A$2:$A$1188,$A728)+COUNTIF(connections!$B$2:$B$1188,$A728))</f>
        <v>0</v>
      </c>
      <c r="E728">
        <f t="shared" si="132"/>
        <v>2</v>
      </c>
      <c r="F728">
        <f t="shared" si="133"/>
        <v>14</v>
      </c>
      <c r="G728" t="e">
        <f t="shared" si="134"/>
        <v>#N/A</v>
      </c>
      <c r="H728" t="e">
        <f t="shared" si="135"/>
        <v>#N/A</v>
      </c>
      <c r="I728">
        <f t="shared" si="136"/>
        <v>2025</v>
      </c>
      <c r="J728">
        <f t="shared" si="137"/>
        <v>2.3220000000000001</v>
      </c>
      <c r="K728" t="e">
        <f t="shared" si="138"/>
        <v>#N/A</v>
      </c>
      <c r="L728" t="e">
        <f t="shared" si="139"/>
        <v>#N/A</v>
      </c>
      <c r="M728" t="e">
        <f t="shared" si="140"/>
        <v>#N/A</v>
      </c>
      <c r="N728" t="e">
        <f t="shared" si="141"/>
        <v>#N/A</v>
      </c>
      <c r="O728">
        <f t="shared" si="142"/>
        <v>7.2800000000000002E-4</v>
      </c>
      <c r="T728">
        <f>IF(connections!$A728="","",IFERROR(INDEX(games!$B$2:$B$834,MATCH(connections!$A728,games!$A$2:$A$834,0)),""))</f>
        <v>2017</v>
      </c>
      <c r="U728">
        <f>IF(connections!$A728="","",IFERROR(INDEX(games!$B$2:$B$834,MATCH(connections!$B728,games!$A$2:$A$834,0)),""))</f>
        <v>2025</v>
      </c>
      <c r="V728">
        <f t="shared" si="143"/>
        <v>8</v>
      </c>
    </row>
    <row r="729" spans="1:22" x14ac:dyDescent="0.25">
      <c r="A729" t="str">
        <f>IF(games!$A729="","",games!$A729)</f>
        <v>The Last Flame</v>
      </c>
      <c r="B729">
        <f>IF($A729="","",games!$B729)</f>
        <v>2024</v>
      </c>
      <c r="C729" t="str">
        <f>IF($A729="","",games!$C729)</f>
        <v>Strategy</v>
      </c>
      <c r="D729">
        <f>IF($A729="","",COUNTIF(connections!$A$2:$A$1188,$A729)+COUNTIF(connections!$B$2:$B$1188,$A729))</f>
        <v>2</v>
      </c>
      <c r="E729">
        <f t="shared" si="132"/>
        <v>2</v>
      </c>
      <c r="F729">
        <f t="shared" si="133"/>
        <v>15</v>
      </c>
      <c r="G729" t="e">
        <f t="shared" si="134"/>
        <v>#N/A</v>
      </c>
      <c r="H729" t="e">
        <f t="shared" si="135"/>
        <v>#N/A</v>
      </c>
      <c r="I729">
        <f t="shared" si="136"/>
        <v>2024</v>
      </c>
      <c r="J729">
        <f t="shared" si="137"/>
        <v>2.3449999999999998</v>
      </c>
      <c r="K729" t="e">
        <f t="shared" si="138"/>
        <v>#N/A</v>
      </c>
      <c r="L729" t="e">
        <f t="shared" si="139"/>
        <v>#N/A</v>
      </c>
      <c r="M729" t="e">
        <f t="shared" si="140"/>
        <v>#N/A</v>
      </c>
      <c r="N729" t="e">
        <f t="shared" si="141"/>
        <v>#N/A</v>
      </c>
      <c r="O729">
        <f t="shared" si="142"/>
        <v>2.0007290000000002</v>
      </c>
      <c r="T729">
        <f>IF(connections!$A729="","",IFERROR(INDEX(games!$B$2:$B$834,MATCH(connections!$A729,games!$A$2:$A$834,0)),""))</f>
        <v>2017</v>
      </c>
      <c r="U729">
        <f>IF(connections!$A729="","",IFERROR(INDEX(games!$B$2:$B$834,MATCH(connections!$B729,games!$A$2:$A$834,0)),""))</f>
        <v>2022</v>
      </c>
      <c r="V729">
        <f t="shared" si="143"/>
        <v>5</v>
      </c>
    </row>
    <row r="730" spans="1:22" x14ac:dyDescent="0.25">
      <c r="A730" t="str">
        <f>IF(games!$A730="","",games!$A730)</f>
        <v>The Last Game</v>
      </c>
      <c r="B730">
        <f>IF($A730="","",games!$B730)</f>
        <v>2023</v>
      </c>
      <c r="C730" t="str">
        <f>IF($A730="","",games!$C730)</f>
        <v>Action</v>
      </c>
      <c r="D730">
        <f>IF($A730="","",COUNTIF(connections!$A$2:$A$1188,$A730)+COUNTIF(connections!$B$2:$B$1188,$A730))</f>
        <v>2</v>
      </c>
      <c r="E730">
        <f t="shared" si="132"/>
        <v>1</v>
      </c>
      <c r="F730">
        <f t="shared" si="133"/>
        <v>16</v>
      </c>
      <c r="G730">
        <f t="shared" si="134"/>
        <v>2023</v>
      </c>
      <c r="H730">
        <f t="shared" si="135"/>
        <v>1.3679999999999999</v>
      </c>
      <c r="I730" t="e">
        <f t="shared" si="136"/>
        <v>#N/A</v>
      </c>
      <c r="J730" t="e">
        <f t="shared" si="137"/>
        <v>#N/A</v>
      </c>
      <c r="K730" t="e">
        <f t="shared" si="138"/>
        <v>#N/A</v>
      </c>
      <c r="L730" t="e">
        <f t="shared" si="139"/>
        <v>#N/A</v>
      </c>
      <c r="M730" t="e">
        <f t="shared" si="140"/>
        <v>#N/A</v>
      </c>
      <c r="N730" t="e">
        <f t="shared" si="141"/>
        <v>#N/A</v>
      </c>
      <c r="O730">
        <f t="shared" si="142"/>
        <v>2.0007299999999999</v>
      </c>
      <c r="T730">
        <f>IF(connections!$A730="","",IFERROR(INDEX(games!$B$2:$B$834,MATCH(connections!$A730,games!$A$2:$A$834,0)),""))</f>
        <v>2017</v>
      </c>
      <c r="U730">
        <f>IF(connections!$A730="","",IFERROR(INDEX(games!$B$2:$B$834,MATCH(connections!$B730,games!$A$2:$A$834,0)),""))</f>
        <v>2023</v>
      </c>
      <c r="V730">
        <f t="shared" si="143"/>
        <v>6</v>
      </c>
    </row>
    <row r="731" spans="1:22" x14ac:dyDescent="0.25">
      <c r="A731" t="str">
        <f>IF(games!$A731="","",games!$A731)</f>
        <v>The Last Spell</v>
      </c>
      <c r="B731">
        <f>IF($A731="","",games!$B731)</f>
        <v>2021</v>
      </c>
      <c r="C731" t="str">
        <f>IF($A731="","",games!$C731)</f>
        <v>Strategy</v>
      </c>
      <c r="D731">
        <f>IF($A731="","",COUNTIF(connections!$A$2:$A$1188,$A731)+COUNTIF(connections!$B$2:$B$1188,$A731))</f>
        <v>3</v>
      </c>
      <c r="E731">
        <f t="shared" si="132"/>
        <v>2</v>
      </c>
      <c r="F731">
        <f t="shared" si="133"/>
        <v>17</v>
      </c>
      <c r="G731" t="e">
        <f t="shared" si="134"/>
        <v>#N/A</v>
      </c>
      <c r="H731" t="e">
        <f t="shared" si="135"/>
        <v>#N/A</v>
      </c>
      <c r="I731">
        <f t="shared" si="136"/>
        <v>2021</v>
      </c>
      <c r="J731">
        <f t="shared" si="137"/>
        <v>2.391</v>
      </c>
      <c r="K731" t="e">
        <f t="shared" si="138"/>
        <v>#N/A</v>
      </c>
      <c r="L731" t="e">
        <f t="shared" si="139"/>
        <v>#N/A</v>
      </c>
      <c r="M731" t="e">
        <f t="shared" si="140"/>
        <v>#N/A</v>
      </c>
      <c r="N731" t="e">
        <f t="shared" si="141"/>
        <v>#N/A</v>
      </c>
      <c r="O731">
        <f t="shared" si="142"/>
        <v>3.000731</v>
      </c>
      <c r="T731">
        <f>IF(connections!$A731="","",IFERROR(INDEX(games!$B$2:$B$834,MATCH(connections!$A731,games!$A$2:$A$834,0)),""))</f>
        <v>2017</v>
      </c>
      <c r="U731">
        <f>IF(connections!$A731="","",IFERROR(INDEX(games!$B$2:$B$834,MATCH(connections!$B731,games!$A$2:$A$834,0)),""))</f>
        <v>2020</v>
      </c>
      <c r="V731">
        <f t="shared" si="143"/>
        <v>3</v>
      </c>
    </row>
    <row r="732" spans="1:22" x14ac:dyDescent="0.25">
      <c r="A732" t="str">
        <f>IF(games!$A732="","",games!$A732)</f>
        <v>The Legend of Bum-Bo</v>
      </c>
      <c r="B732">
        <f>IF($A732="","",games!$B732)</f>
        <v>2019</v>
      </c>
      <c r="C732" t="str">
        <f>IF($A732="","",games!$C732)</f>
        <v>Strategy</v>
      </c>
      <c r="D732">
        <f>IF($A732="","",COUNTIF(connections!$A$2:$A$1188,$A732)+COUNTIF(connections!$B$2:$B$1188,$A732))</f>
        <v>3</v>
      </c>
      <c r="E732">
        <f t="shared" si="132"/>
        <v>2</v>
      </c>
      <c r="F732">
        <f t="shared" si="133"/>
        <v>18</v>
      </c>
      <c r="G732" t="e">
        <f t="shared" si="134"/>
        <v>#N/A</v>
      </c>
      <c r="H732" t="e">
        <f t="shared" si="135"/>
        <v>#N/A</v>
      </c>
      <c r="I732">
        <f t="shared" si="136"/>
        <v>2019</v>
      </c>
      <c r="J732">
        <f t="shared" si="137"/>
        <v>2.4140000000000001</v>
      </c>
      <c r="K732" t="e">
        <f t="shared" si="138"/>
        <v>#N/A</v>
      </c>
      <c r="L732" t="e">
        <f t="shared" si="139"/>
        <v>#N/A</v>
      </c>
      <c r="M732" t="e">
        <f t="shared" si="140"/>
        <v>#N/A</v>
      </c>
      <c r="N732" t="e">
        <f t="shared" si="141"/>
        <v>#N/A</v>
      </c>
      <c r="O732">
        <f t="shared" si="142"/>
        <v>3.0007320000000002</v>
      </c>
      <c r="T732">
        <f>IF(connections!$A732="","",IFERROR(INDEX(games!$B$2:$B$834,MATCH(connections!$A732,games!$A$2:$A$834,0)),""))</f>
        <v>2017</v>
      </c>
      <c r="U732">
        <f>IF(connections!$A732="","",IFERROR(INDEX(games!$B$2:$B$834,MATCH(connections!$B732,games!$A$2:$A$834,0)),""))</f>
        <v>2022</v>
      </c>
      <c r="V732">
        <f t="shared" si="143"/>
        <v>5</v>
      </c>
    </row>
    <row r="733" spans="1:22" x14ac:dyDescent="0.25">
      <c r="A733" t="str">
        <f>IF(games!$A733="","",games!$A733)</f>
        <v>The Nightmare of Druaga</v>
      </c>
      <c r="B733">
        <f>IF($A733="","",games!$B733)</f>
        <v>2004</v>
      </c>
      <c r="C733" t="str">
        <f>IF($A733="","",games!$C733)</f>
        <v>Traditional</v>
      </c>
      <c r="D733">
        <f>IF($A733="","",COUNTIF(connections!$A$2:$A$1188,$A733)+COUNTIF(connections!$B$2:$B$1188,$A733))</f>
        <v>1</v>
      </c>
      <c r="E733">
        <f t="shared" si="132"/>
        <v>4</v>
      </c>
      <c r="F733">
        <f t="shared" si="133"/>
        <v>19</v>
      </c>
      <c r="G733" t="e">
        <f t="shared" si="134"/>
        <v>#N/A</v>
      </c>
      <c r="H733" t="e">
        <f t="shared" si="135"/>
        <v>#N/A</v>
      </c>
      <c r="I733" t="e">
        <f t="shared" si="136"/>
        <v>#N/A</v>
      </c>
      <c r="J733" t="e">
        <f t="shared" si="137"/>
        <v>#N/A</v>
      </c>
      <c r="K733" t="e">
        <f t="shared" si="138"/>
        <v>#N/A</v>
      </c>
      <c r="L733" t="e">
        <f t="shared" si="139"/>
        <v>#N/A</v>
      </c>
      <c r="M733">
        <f t="shared" si="140"/>
        <v>2004</v>
      </c>
      <c r="N733">
        <f t="shared" si="141"/>
        <v>4.4370000000000003</v>
      </c>
      <c r="O733">
        <f t="shared" si="142"/>
        <v>1.0007330000000001</v>
      </c>
      <c r="T733">
        <f>IF(connections!$A733="","",IFERROR(INDEX(games!$B$2:$B$834,MATCH(connections!$A733,games!$A$2:$A$834,0)),""))</f>
        <v>2017</v>
      </c>
      <c r="U733">
        <f>IF(connections!$A733="","",IFERROR(INDEX(games!$B$2:$B$834,MATCH(connections!$B733,games!$A$2:$A$834,0)),""))</f>
        <v>2020</v>
      </c>
      <c r="V733">
        <f t="shared" si="143"/>
        <v>3</v>
      </c>
    </row>
    <row r="734" spans="1:22" x14ac:dyDescent="0.25">
      <c r="A734" t="str">
        <f>IF(games!$A734="","",games!$A734)</f>
        <v>The Ouroboros King</v>
      </c>
      <c r="B734">
        <f>IF($A734="","",games!$B734)</f>
        <v>2023</v>
      </c>
      <c r="C734" t="str">
        <f>IF($A734="","",games!$C734)</f>
        <v>Strategy</v>
      </c>
      <c r="D734">
        <f>IF($A734="","",COUNTIF(connections!$A$2:$A$1188,$A734)+COUNTIF(connections!$B$2:$B$1188,$A734))</f>
        <v>4</v>
      </c>
      <c r="E734">
        <f t="shared" si="132"/>
        <v>2</v>
      </c>
      <c r="F734">
        <f t="shared" si="133"/>
        <v>20</v>
      </c>
      <c r="G734" t="e">
        <f t="shared" si="134"/>
        <v>#N/A</v>
      </c>
      <c r="H734" t="e">
        <f t="shared" si="135"/>
        <v>#N/A</v>
      </c>
      <c r="I734">
        <f t="shared" si="136"/>
        <v>2023</v>
      </c>
      <c r="J734">
        <f t="shared" si="137"/>
        <v>2.46</v>
      </c>
      <c r="K734" t="e">
        <f t="shared" si="138"/>
        <v>#N/A</v>
      </c>
      <c r="L734" t="e">
        <f t="shared" si="139"/>
        <v>#N/A</v>
      </c>
      <c r="M734" t="e">
        <f t="shared" si="140"/>
        <v>#N/A</v>
      </c>
      <c r="N734" t="e">
        <f t="shared" si="141"/>
        <v>#N/A</v>
      </c>
      <c r="O734">
        <f t="shared" si="142"/>
        <v>4.0007339999999996</v>
      </c>
      <c r="T734">
        <f>IF(connections!$A734="","",IFERROR(INDEX(games!$B$2:$B$834,MATCH(connections!$A734,games!$A$2:$A$834,0)),""))</f>
        <v>2017</v>
      </c>
      <c r="U734">
        <f>IF(connections!$A734="","",IFERROR(INDEX(games!$B$2:$B$834,MATCH(connections!$B734,games!$A$2:$A$834,0)),""))</f>
        <v>2024</v>
      </c>
      <c r="V734">
        <f t="shared" si="143"/>
        <v>7</v>
      </c>
    </row>
    <row r="735" spans="1:22" x14ac:dyDescent="0.25">
      <c r="A735" t="str">
        <f>IF(games!$A735="","",games!$A735)</f>
        <v>The Rogue Prince of Persia</v>
      </c>
      <c r="B735">
        <f>IF($A735="","",games!$B735)</f>
        <v>2024</v>
      </c>
      <c r="C735" t="str">
        <f>IF($A735="","",games!$C735)</f>
        <v>Action</v>
      </c>
      <c r="D735">
        <f>IF($A735="","",COUNTIF(connections!$A$2:$A$1188,$A735)+COUNTIF(connections!$B$2:$B$1188,$A735))</f>
        <v>1</v>
      </c>
      <c r="E735">
        <f t="shared" si="132"/>
        <v>1</v>
      </c>
      <c r="F735">
        <f t="shared" si="133"/>
        <v>21</v>
      </c>
      <c r="G735">
        <f t="shared" si="134"/>
        <v>2024</v>
      </c>
      <c r="H735">
        <f t="shared" si="135"/>
        <v>1.4830000000000001</v>
      </c>
      <c r="I735" t="e">
        <f t="shared" si="136"/>
        <v>#N/A</v>
      </c>
      <c r="J735" t="e">
        <f t="shared" si="137"/>
        <v>#N/A</v>
      </c>
      <c r="K735" t="e">
        <f t="shared" si="138"/>
        <v>#N/A</v>
      </c>
      <c r="L735" t="e">
        <f t="shared" si="139"/>
        <v>#N/A</v>
      </c>
      <c r="M735" t="e">
        <f t="shared" si="140"/>
        <v>#N/A</v>
      </c>
      <c r="N735" t="e">
        <f t="shared" si="141"/>
        <v>#N/A</v>
      </c>
      <c r="O735">
        <f t="shared" si="142"/>
        <v>1.0007349999999999</v>
      </c>
      <c r="T735">
        <f>IF(connections!$A735="","",IFERROR(INDEX(games!$B$2:$B$834,MATCH(connections!$A735,games!$A$2:$A$834,0)),""))</f>
        <v>2017</v>
      </c>
      <c r="U735">
        <f>IF(connections!$A735="","",IFERROR(INDEX(games!$B$2:$B$834,MATCH(connections!$B735,games!$A$2:$A$834,0)),""))</f>
        <v>2022</v>
      </c>
      <c r="V735">
        <f t="shared" si="143"/>
        <v>5</v>
      </c>
    </row>
    <row r="736" spans="1:22" x14ac:dyDescent="0.25">
      <c r="A736" t="str">
        <f>IF(games!$A736="","",games!$A736)</f>
        <v>The Royal Writ</v>
      </c>
      <c r="B736">
        <f>IF($A736="","",games!$B736)</f>
        <v>2025</v>
      </c>
      <c r="C736" t="str">
        <f>IF($A736="","",games!$C736)</f>
        <v>Deckbuilder</v>
      </c>
      <c r="D736">
        <f>IF($A736="","",COUNTIF(connections!$A$2:$A$1188,$A736)+COUNTIF(connections!$B$2:$B$1188,$A736))</f>
        <v>5</v>
      </c>
      <c r="E736">
        <f t="shared" si="132"/>
        <v>3</v>
      </c>
      <c r="F736">
        <f t="shared" si="133"/>
        <v>22</v>
      </c>
      <c r="G736" t="e">
        <f t="shared" si="134"/>
        <v>#N/A</v>
      </c>
      <c r="H736" t="e">
        <f t="shared" si="135"/>
        <v>#N/A</v>
      </c>
      <c r="I736" t="e">
        <f t="shared" si="136"/>
        <v>#N/A</v>
      </c>
      <c r="J736" t="e">
        <f t="shared" si="137"/>
        <v>#N/A</v>
      </c>
      <c r="K736">
        <f t="shared" si="138"/>
        <v>2025</v>
      </c>
      <c r="L736">
        <f t="shared" si="139"/>
        <v>3.5060000000000002</v>
      </c>
      <c r="M736" t="e">
        <f t="shared" si="140"/>
        <v>#N/A</v>
      </c>
      <c r="N736" t="e">
        <f t="shared" si="141"/>
        <v>#N/A</v>
      </c>
      <c r="O736">
        <f t="shared" si="142"/>
        <v>5.0007359999999998</v>
      </c>
      <c r="T736">
        <f>IF(connections!$A736="","",IFERROR(INDEX(games!$B$2:$B$834,MATCH(connections!$A736,games!$A$2:$A$834,0)),""))</f>
        <v>2017</v>
      </c>
      <c r="U736">
        <f>IF(connections!$A736="","",IFERROR(INDEX(games!$B$2:$B$834,MATCH(connections!$B736,games!$A$2:$A$834,0)),""))</f>
        <v>2026</v>
      </c>
      <c r="V736">
        <f t="shared" si="143"/>
        <v>9</v>
      </c>
    </row>
    <row r="737" spans="1:22" x14ac:dyDescent="0.25">
      <c r="A737" t="str">
        <f>IF(games!$A737="","",games!$A737)</f>
        <v>The Spell Brigade</v>
      </c>
      <c r="B737">
        <f>IF($A737="","",games!$B737)</f>
        <v>2024</v>
      </c>
      <c r="C737" t="str">
        <f>IF($A737="","",games!$C737)</f>
        <v>Action</v>
      </c>
      <c r="D737">
        <f>IF($A737="","",COUNTIF(connections!$A$2:$A$1188,$A737)+COUNTIF(connections!$B$2:$B$1188,$A737))</f>
        <v>3</v>
      </c>
      <c r="E737">
        <f t="shared" si="132"/>
        <v>1</v>
      </c>
      <c r="F737">
        <f t="shared" si="133"/>
        <v>23</v>
      </c>
      <c r="G737">
        <f t="shared" si="134"/>
        <v>2024</v>
      </c>
      <c r="H737">
        <f t="shared" si="135"/>
        <v>1.5289999999999999</v>
      </c>
      <c r="I737" t="e">
        <f t="shared" si="136"/>
        <v>#N/A</v>
      </c>
      <c r="J737" t="e">
        <f t="shared" si="137"/>
        <v>#N/A</v>
      </c>
      <c r="K737" t="e">
        <f t="shared" si="138"/>
        <v>#N/A</v>
      </c>
      <c r="L737" t="e">
        <f t="shared" si="139"/>
        <v>#N/A</v>
      </c>
      <c r="M737" t="e">
        <f t="shared" si="140"/>
        <v>#N/A</v>
      </c>
      <c r="N737" t="e">
        <f t="shared" si="141"/>
        <v>#N/A</v>
      </c>
      <c r="O737">
        <f t="shared" si="142"/>
        <v>3.000737</v>
      </c>
      <c r="T737">
        <f>IF(connections!$A737="","",IFERROR(INDEX(games!$B$2:$B$834,MATCH(connections!$A737,games!$A$2:$A$834,0)),""))</f>
        <v>2017</v>
      </c>
      <c r="U737">
        <f>IF(connections!$A737="","",IFERROR(INDEX(games!$B$2:$B$834,MATCH(connections!$B737,games!$A$2:$A$834,0)),""))</f>
        <v>2022</v>
      </c>
      <c r="V737">
        <f t="shared" si="143"/>
        <v>5</v>
      </c>
    </row>
    <row r="738" spans="1:22" x14ac:dyDescent="0.25">
      <c r="A738" t="str">
        <f>IF(games!$A738="","",games!$A738)</f>
        <v>The Spirit Lift</v>
      </c>
      <c r="B738">
        <f>IF($A738="","",games!$B738)</f>
        <v>2026</v>
      </c>
      <c r="C738" t="str">
        <f>IF($A738="","",games!$C738)</f>
        <v>Deckbuilder</v>
      </c>
      <c r="D738">
        <f>IF($A738="","",COUNTIF(connections!$A$2:$A$1188,$A738)+COUNTIF(connections!$B$2:$B$1188,$A738))</f>
        <v>2</v>
      </c>
      <c r="E738">
        <f t="shared" si="132"/>
        <v>3</v>
      </c>
      <c r="F738">
        <f t="shared" si="133"/>
        <v>24</v>
      </c>
      <c r="G738" t="e">
        <f t="shared" si="134"/>
        <v>#N/A</v>
      </c>
      <c r="H738" t="e">
        <f t="shared" si="135"/>
        <v>#N/A</v>
      </c>
      <c r="I738" t="e">
        <f t="shared" si="136"/>
        <v>#N/A</v>
      </c>
      <c r="J738" t="e">
        <f t="shared" si="137"/>
        <v>#N/A</v>
      </c>
      <c r="K738">
        <f t="shared" si="138"/>
        <v>2026</v>
      </c>
      <c r="L738">
        <f t="shared" si="139"/>
        <v>3.552</v>
      </c>
      <c r="M738" t="e">
        <f t="shared" si="140"/>
        <v>#N/A</v>
      </c>
      <c r="N738" t="e">
        <f t="shared" si="141"/>
        <v>#N/A</v>
      </c>
      <c r="O738">
        <f t="shared" si="142"/>
        <v>2.0007380000000001</v>
      </c>
      <c r="T738">
        <f>IF(connections!$A738="","",IFERROR(INDEX(games!$B$2:$B$834,MATCH(connections!$A738,games!$A$2:$A$834,0)),""))</f>
        <v>2017</v>
      </c>
      <c r="U738">
        <f>IF(connections!$A738="","",IFERROR(INDEX(games!$B$2:$B$834,MATCH(connections!$B738,games!$A$2:$A$834,0)),""))</f>
        <v>2023</v>
      </c>
      <c r="V738">
        <f t="shared" si="143"/>
        <v>6</v>
      </c>
    </row>
    <row r="739" spans="1:22" x14ac:dyDescent="0.25">
      <c r="A739" t="str">
        <f>IF(games!$A739="","",games!$A739)</f>
        <v>The Unliving</v>
      </c>
      <c r="B739">
        <f>IF($A739="","",games!$B739)</f>
        <v>2022</v>
      </c>
      <c r="C739" t="str">
        <f>IF($A739="","",games!$C739)</f>
        <v>Action</v>
      </c>
      <c r="D739">
        <f>IF($A739="","",COUNTIF(connections!$A$2:$A$1188,$A739)+COUNTIF(connections!$B$2:$B$1188,$A739))</f>
        <v>3</v>
      </c>
      <c r="E739">
        <f t="shared" si="132"/>
        <v>1</v>
      </c>
      <c r="F739">
        <f t="shared" si="133"/>
        <v>25</v>
      </c>
      <c r="G739">
        <f t="shared" si="134"/>
        <v>2022</v>
      </c>
      <c r="H739">
        <f t="shared" si="135"/>
        <v>1.575</v>
      </c>
      <c r="I739" t="e">
        <f t="shared" si="136"/>
        <v>#N/A</v>
      </c>
      <c r="J739" t="e">
        <f t="shared" si="137"/>
        <v>#N/A</v>
      </c>
      <c r="K739" t="e">
        <f t="shared" si="138"/>
        <v>#N/A</v>
      </c>
      <c r="L739" t="e">
        <f t="shared" si="139"/>
        <v>#N/A</v>
      </c>
      <c r="M739" t="e">
        <f t="shared" si="140"/>
        <v>#N/A</v>
      </c>
      <c r="N739" t="e">
        <f t="shared" si="141"/>
        <v>#N/A</v>
      </c>
      <c r="O739">
        <f t="shared" si="142"/>
        <v>3.0007389999999998</v>
      </c>
      <c r="T739">
        <f>IF(connections!$A739="","",IFERROR(INDEX(games!$B$2:$B$834,MATCH(connections!$A739,games!$A$2:$A$834,0)),""))</f>
        <v>2017</v>
      </c>
      <c r="U739">
        <f>IF(connections!$A739="","",IFERROR(INDEX(games!$B$2:$B$834,MATCH(connections!$B739,games!$A$2:$A$834,0)),""))</f>
        <v>2021</v>
      </c>
      <c r="V739">
        <f t="shared" si="143"/>
        <v>4</v>
      </c>
    </row>
    <row r="740" spans="1:22" x14ac:dyDescent="0.25">
      <c r="A740" t="str">
        <f>IF(games!$A740="","",games!$A740)</f>
        <v>The Void Rains Upon Her Heart</v>
      </c>
      <c r="B740">
        <f>IF($A740="","",games!$B740)</f>
        <v>2018</v>
      </c>
      <c r="C740" t="str">
        <f>IF($A740="","",games!$C740)</f>
        <v>Action</v>
      </c>
      <c r="D740">
        <f>IF($A740="","",COUNTIF(connections!$A$2:$A$1188,$A740)+COUNTIF(connections!$B$2:$B$1188,$A740))</f>
        <v>1</v>
      </c>
      <c r="E740">
        <f t="shared" si="132"/>
        <v>1</v>
      </c>
      <c r="F740">
        <f t="shared" si="133"/>
        <v>26</v>
      </c>
      <c r="G740">
        <f t="shared" si="134"/>
        <v>2018</v>
      </c>
      <c r="H740">
        <f t="shared" si="135"/>
        <v>1.5979999999999999</v>
      </c>
      <c r="I740" t="e">
        <f t="shared" si="136"/>
        <v>#N/A</v>
      </c>
      <c r="J740" t="e">
        <f t="shared" si="137"/>
        <v>#N/A</v>
      </c>
      <c r="K740" t="e">
        <f t="shared" si="138"/>
        <v>#N/A</v>
      </c>
      <c r="L740" t="e">
        <f t="shared" si="139"/>
        <v>#N/A</v>
      </c>
      <c r="M740" t="e">
        <f t="shared" si="140"/>
        <v>#N/A</v>
      </c>
      <c r="N740" t="e">
        <f t="shared" si="141"/>
        <v>#N/A</v>
      </c>
      <c r="O740">
        <f t="shared" si="142"/>
        <v>1.00074</v>
      </c>
      <c r="T740">
        <f>IF(connections!$A740="","",IFERROR(INDEX(games!$B$2:$B$834,MATCH(connections!$A740,games!$A$2:$A$834,0)),""))</f>
        <v>2017</v>
      </c>
      <c r="U740">
        <f>IF(connections!$A740="","",IFERROR(INDEX(games!$B$2:$B$834,MATCH(connections!$B740,games!$A$2:$A$834,0)),""))</f>
        <v>2024</v>
      </c>
      <c r="V740">
        <f t="shared" si="143"/>
        <v>7</v>
      </c>
    </row>
    <row r="741" spans="1:22" x14ac:dyDescent="0.25">
      <c r="A741" t="str">
        <f>IF(games!$A741="","",games!$A741)</f>
        <v>The World is Your Weapon</v>
      </c>
      <c r="B741">
        <f>IF($A741="","",games!$B741)</f>
        <v>2014</v>
      </c>
      <c r="C741" t="str">
        <f>IF($A741="","",games!$C741)</f>
        <v>Traditional</v>
      </c>
      <c r="D741">
        <f>IF($A741="","",COUNTIF(connections!$A$2:$A$1188,$A741)+COUNTIF(connections!$B$2:$B$1188,$A741))</f>
        <v>1</v>
      </c>
      <c r="E741">
        <f t="shared" si="132"/>
        <v>4</v>
      </c>
      <c r="F741">
        <f t="shared" si="133"/>
        <v>27</v>
      </c>
      <c r="G741" t="e">
        <f t="shared" si="134"/>
        <v>#N/A</v>
      </c>
      <c r="H741" t="e">
        <f t="shared" si="135"/>
        <v>#N/A</v>
      </c>
      <c r="I741" t="e">
        <f t="shared" si="136"/>
        <v>#N/A</v>
      </c>
      <c r="J741" t="e">
        <f t="shared" si="137"/>
        <v>#N/A</v>
      </c>
      <c r="K741" t="e">
        <f t="shared" si="138"/>
        <v>#N/A</v>
      </c>
      <c r="L741" t="e">
        <f t="shared" si="139"/>
        <v>#N/A</v>
      </c>
      <c r="M741">
        <f t="shared" si="140"/>
        <v>2014</v>
      </c>
      <c r="N741">
        <f t="shared" si="141"/>
        <v>4.6210000000000004</v>
      </c>
      <c r="O741">
        <f t="shared" si="142"/>
        <v>1.0007410000000001</v>
      </c>
      <c r="T741">
        <f>IF(connections!$A741="","",IFERROR(INDEX(games!$B$2:$B$834,MATCH(connections!$A741,games!$A$2:$A$834,0)),""))</f>
        <v>2017</v>
      </c>
      <c r="U741">
        <f>IF(connections!$A741="","",IFERROR(INDEX(games!$B$2:$B$834,MATCH(connections!$B741,games!$A$2:$A$834,0)),""))</f>
        <v>2026</v>
      </c>
      <c r="V741">
        <f t="shared" si="143"/>
        <v>9</v>
      </c>
    </row>
    <row r="742" spans="1:22" x14ac:dyDescent="0.25">
      <c r="A742" t="str">
        <f>IF(games!$A742="","",games!$A742)</f>
        <v>There Are No Orcs</v>
      </c>
      <c r="B742">
        <f>IF($A742="","",games!$B742)</f>
        <v>2025</v>
      </c>
      <c r="C742" t="str">
        <f>IF($A742="","",games!$C742)</f>
        <v>Strategy</v>
      </c>
      <c r="D742">
        <f>IF($A742="","",COUNTIF(connections!$A$2:$A$1188,$A742)+COUNTIF(connections!$B$2:$B$1188,$A742))</f>
        <v>0</v>
      </c>
      <c r="E742">
        <f t="shared" si="132"/>
        <v>2</v>
      </c>
      <c r="F742">
        <f t="shared" si="133"/>
        <v>28</v>
      </c>
      <c r="G742" t="e">
        <f t="shared" si="134"/>
        <v>#N/A</v>
      </c>
      <c r="H742" t="e">
        <f t="shared" si="135"/>
        <v>#N/A</v>
      </c>
      <c r="I742">
        <f t="shared" si="136"/>
        <v>2025</v>
      </c>
      <c r="J742">
        <f t="shared" si="137"/>
        <v>2.6440000000000001</v>
      </c>
      <c r="K742" t="e">
        <f t="shared" si="138"/>
        <v>#N/A</v>
      </c>
      <c r="L742" t="e">
        <f t="shared" si="139"/>
        <v>#N/A</v>
      </c>
      <c r="M742" t="e">
        <f t="shared" si="140"/>
        <v>#N/A</v>
      </c>
      <c r="N742" t="e">
        <f t="shared" si="141"/>
        <v>#N/A</v>
      </c>
      <c r="O742">
        <f t="shared" si="142"/>
        <v>7.4200000000000004E-4</v>
      </c>
      <c r="T742">
        <f>IF(connections!$A742="","",IFERROR(INDEX(games!$B$2:$B$834,MATCH(connections!$A742,games!$A$2:$A$834,0)),""))</f>
        <v>2017</v>
      </c>
      <c r="U742">
        <f>IF(connections!$A742="","",IFERROR(INDEX(games!$B$2:$B$834,MATCH(connections!$B742,games!$A$2:$A$834,0)),""))</f>
        <v>2025</v>
      </c>
      <c r="V742">
        <f t="shared" si="143"/>
        <v>8</v>
      </c>
    </row>
    <row r="743" spans="1:22" x14ac:dyDescent="0.25">
      <c r="A743" t="str">
        <f>IF(games!$A743="","",games!$A743)</f>
        <v>Tic Tactic</v>
      </c>
      <c r="B743">
        <f>IF($A743="","",games!$B743)</f>
        <v>2025</v>
      </c>
      <c r="C743" t="str">
        <f>IF($A743="","",games!$C743)</f>
        <v>Deckbuilder</v>
      </c>
      <c r="D743">
        <f>IF($A743="","",COUNTIF(connections!$A$2:$A$1188,$A743)+COUNTIF(connections!$B$2:$B$1188,$A743))</f>
        <v>3</v>
      </c>
      <c r="E743">
        <f t="shared" si="132"/>
        <v>3</v>
      </c>
      <c r="F743">
        <f t="shared" si="133"/>
        <v>29</v>
      </c>
      <c r="G743" t="e">
        <f t="shared" si="134"/>
        <v>#N/A</v>
      </c>
      <c r="H743" t="e">
        <f t="shared" si="135"/>
        <v>#N/A</v>
      </c>
      <c r="I743" t="e">
        <f t="shared" si="136"/>
        <v>#N/A</v>
      </c>
      <c r="J743" t="e">
        <f t="shared" si="137"/>
        <v>#N/A</v>
      </c>
      <c r="K743">
        <f t="shared" si="138"/>
        <v>2025</v>
      </c>
      <c r="L743">
        <f t="shared" si="139"/>
        <v>3.6669999999999998</v>
      </c>
      <c r="M743" t="e">
        <f t="shared" si="140"/>
        <v>#N/A</v>
      </c>
      <c r="N743" t="e">
        <f t="shared" si="141"/>
        <v>#N/A</v>
      </c>
      <c r="O743">
        <f t="shared" si="142"/>
        <v>3.0007429999999999</v>
      </c>
      <c r="T743">
        <f>IF(connections!$A743="","",IFERROR(INDEX(games!$B$2:$B$834,MATCH(connections!$A743,games!$A$2:$A$834,0)),""))</f>
        <v>2017</v>
      </c>
      <c r="U743">
        <f>IF(connections!$A743="","",IFERROR(INDEX(games!$B$2:$B$834,MATCH(connections!$B743,games!$A$2:$A$834,0)),""))</f>
        <v>2022</v>
      </c>
      <c r="V743">
        <f t="shared" si="143"/>
        <v>5</v>
      </c>
    </row>
    <row r="744" spans="1:22" x14ac:dyDescent="0.25">
      <c r="A744" t="str">
        <f>IF(games!$A744="","",games!$A744)</f>
        <v>Time Survivors</v>
      </c>
      <c r="B744">
        <f>IF($A744="","",games!$B744)</f>
        <v>2023</v>
      </c>
      <c r="C744" t="str">
        <f>IF($A744="","",games!$C744)</f>
        <v>Action</v>
      </c>
      <c r="D744">
        <f>IF($A744="","",COUNTIF(connections!$A$2:$A$1188,$A744)+COUNTIF(connections!$B$2:$B$1188,$A744))</f>
        <v>1</v>
      </c>
      <c r="E744">
        <f t="shared" si="132"/>
        <v>1</v>
      </c>
      <c r="F744">
        <f t="shared" si="133"/>
        <v>30</v>
      </c>
      <c r="G744">
        <f t="shared" si="134"/>
        <v>2023</v>
      </c>
      <c r="H744">
        <f t="shared" si="135"/>
        <v>1.69</v>
      </c>
      <c r="I744" t="e">
        <f t="shared" si="136"/>
        <v>#N/A</v>
      </c>
      <c r="J744" t="e">
        <f t="shared" si="137"/>
        <v>#N/A</v>
      </c>
      <c r="K744" t="e">
        <f t="shared" si="138"/>
        <v>#N/A</v>
      </c>
      <c r="L744" t="e">
        <f t="shared" si="139"/>
        <v>#N/A</v>
      </c>
      <c r="M744" t="e">
        <f t="shared" si="140"/>
        <v>#N/A</v>
      </c>
      <c r="N744" t="e">
        <f t="shared" si="141"/>
        <v>#N/A</v>
      </c>
      <c r="O744">
        <f t="shared" si="142"/>
        <v>1.0007440000000001</v>
      </c>
      <c r="T744">
        <f>IF(connections!$A744="","",IFERROR(INDEX(games!$B$2:$B$834,MATCH(connections!$A744,games!$A$2:$A$834,0)),""))</f>
        <v>2017</v>
      </c>
      <c r="U744">
        <f>IF(connections!$A744="","",IFERROR(INDEX(games!$B$2:$B$834,MATCH(connections!$B744,games!$A$2:$A$834,0)),""))</f>
        <v>2019</v>
      </c>
      <c r="V744">
        <f t="shared" si="143"/>
        <v>2</v>
      </c>
    </row>
    <row r="745" spans="1:22" x14ac:dyDescent="0.25">
      <c r="A745" t="str">
        <f>IF(games!$A745="","",games!$A745)</f>
        <v>Time Wasters</v>
      </c>
      <c r="B745">
        <f>IF($A745="","",games!$B745)</f>
        <v>2023</v>
      </c>
      <c r="C745" t="str">
        <f>IF($A745="","",games!$C745)</f>
        <v>Action</v>
      </c>
      <c r="D745">
        <f>IF($A745="","",COUNTIF(connections!$A$2:$A$1188,$A745)+COUNTIF(connections!$B$2:$B$1188,$A745))</f>
        <v>1</v>
      </c>
      <c r="E745">
        <f t="shared" si="132"/>
        <v>1</v>
      </c>
      <c r="F745">
        <f t="shared" si="133"/>
        <v>31</v>
      </c>
      <c r="G745">
        <f t="shared" si="134"/>
        <v>2023</v>
      </c>
      <c r="H745">
        <f t="shared" si="135"/>
        <v>1.7130000000000001</v>
      </c>
      <c r="I745" t="e">
        <f t="shared" si="136"/>
        <v>#N/A</v>
      </c>
      <c r="J745" t="e">
        <f t="shared" si="137"/>
        <v>#N/A</v>
      </c>
      <c r="K745" t="e">
        <f t="shared" si="138"/>
        <v>#N/A</v>
      </c>
      <c r="L745" t="e">
        <f t="shared" si="139"/>
        <v>#N/A</v>
      </c>
      <c r="M745" t="e">
        <f t="shared" si="140"/>
        <v>#N/A</v>
      </c>
      <c r="N745" t="e">
        <f t="shared" si="141"/>
        <v>#N/A</v>
      </c>
      <c r="O745">
        <f t="shared" si="142"/>
        <v>1.000745</v>
      </c>
      <c r="T745">
        <f>IF(connections!$A745="","",IFERROR(INDEX(games!$B$2:$B$834,MATCH(connections!$A745,games!$A$2:$A$834,0)),""))</f>
        <v>2017</v>
      </c>
      <c r="U745">
        <f>IF(connections!$A745="","",IFERROR(INDEX(games!$B$2:$B$834,MATCH(connections!$B745,games!$A$2:$A$834,0)),""))</f>
        <v>2024</v>
      </c>
      <c r="V745">
        <f t="shared" si="143"/>
        <v>7</v>
      </c>
    </row>
    <row r="746" spans="1:22" x14ac:dyDescent="0.25">
      <c r="A746" t="str">
        <f>IF(games!$A746="","",games!$A746)</f>
        <v>Tiny Auto Knights</v>
      </c>
      <c r="B746">
        <f>IF($A746="","",games!$B746)</f>
        <v>2025</v>
      </c>
      <c r="C746" t="str">
        <f>IF($A746="","",games!$C746)</f>
        <v>Deckbuilder</v>
      </c>
      <c r="D746">
        <f>IF($A746="","",COUNTIF(connections!$A$2:$A$1188,$A746)+COUNTIF(connections!$B$2:$B$1188,$A746))</f>
        <v>5</v>
      </c>
      <c r="E746">
        <f t="shared" si="132"/>
        <v>3</v>
      </c>
      <c r="F746">
        <f t="shared" si="133"/>
        <v>32</v>
      </c>
      <c r="G746" t="e">
        <f t="shared" si="134"/>
        <v>#N/A</v>
      </c>
      <c r="H746" t="e">
        <f t="shared" si="135"/>
        <v>#N/A</v>
      </c>
      <c r="I746" t="e">
        <f t="shared" si="136"/>
        <v>#N/A</v>
      </c>
      <c r="J746" t="e">
        <f t="shared" si="137"/>
        <v>#N/A</v>
      </c>
      <c r="K746">
        <f t="shared" si="138"/>
        <v>2025</v>
      </c>
      <c r="L746">
        <f t="shared" si="139"/>
        <v>3.7359999999999998</v>
      </c>
      <c r="M746" t="e">
        <f t="shared" si="140"/>
        <v>#N/A</v>
      </c>
      <c r="N746" t="e">
        <f t="shared" si="141"/>
        <v>#N/A</v>
      </c>
      <c r="O746">
        <f t="shared" si="142"/>
        <v>5.0007460000000004</v>
      </c>
      <c r="T746">
        <f>IF(connections!$A746="","",IFERROR(INDEX(games!$B$2:$B$834,MATCH(connections!$A746,games!$A$2:$A$834,0)),""))</f>
        <v>2017</v>
      </c>
      <c r="U746">
        <f>IF(connections!$A746="","",IFERROR(INDEX(games!$B$2:$B$834,MATCH(connections!$B746,games!$A$2:$A$834,0)),""))</f>
        <v>2023</v>
      </c>
      <c r="V746">
        <f t="shared" si="143"/>
        <v>6</v>
      </c>
    </row>
    <row r="747" spans="1:22" x14ac:dyDescent="0.25">
      <c r="A747" t="str">
        <f>IF(games!$A747="","",games!$A747)</f>
        <v>Tiny Rogues</v>
      </c>
      <c r="B747">
        <f>IF($A747="","",games!$B747)</f>
        <v>2022</v>
      </c>
      <c r="C747" t="str">
        <f>IF($A747="","",games!$C747)</f>
        <v>Action</v>
      </c>
      <c r="D747">
        <f>IF($A747="","",COUNTIF(connections!$A$2:$A$1188,$A747)+COUNTIF(connections!$B$2:$B$1188,$A747))</f>
        <v>6</v>
      </c>
      <c r="E747">
        <f t="shared" si="132"/>
        <v>1</v>
      </c>
      <c r="F747">
        <f t="shared" si="133"/>
        <v>33</v>
      </c>
      <c r="G747">
        <f t="shared" si="134"/>
        <v>2022</v>
      </c>
      <c r="H747">
        <f t="shared" si="135"/>
        <v>1.7589999999999999</v>
      </c>
      <c r="I747" t="e">
        <f t="shared" si="136"/>
        <v>#N/A</v>
      </c>
      <c r="J747" t="e">
        <f t="shared" si="137"/>
        <v>#N/A</v>
      </c>
      <c r="K747" t="e">
        <f t="shared" si="138"/>
        <v>#N/A</v>
      </c>
      <c r="L747" t="e">
        <f t="shared" si="139"/>
        <v>#N/A</v>
      </c>
      <c r="M747" t="e">
        <f t="shared" si="140"/>
        <v>#N/A</v>
      </c>
      <c r="N747" t="e">
        <f t="shared" si="141"/>
        <v>#N/A</v>
      </c>
      <c r="O747">
        <f t="shared" si="142"/>
        <v>6.0007469999999996</v>
      </c>
      <c r="T747">
        <f>IF(connections!$A747="","",IFERROR(INDEX(games!$B$2:$B$834,MATCH(connections!$A747,games!$A$2:$A$834,0)),""))</f>
        <v>2017</v>
      </c>
      <c r="U747">
        <f>IF(connections!$A747="","",IFERROR(INDEX(games!$B$2:$B$834,MATCH(connections!$B747,games!$A$2:$A$834,0)),""))</f>
        <v>2025</v>
      </c>
      <c r="V747">
        <f t="shared" si="143"/>
        <v>8</v>
      </c>
    </row>
    <row r="748" spans="1:22" x14ac:dyDescent="0.25">
      <c r="A748" t="str">
        <f>IF(games!$A748="","",games!$A748)</f>
        <v>Tinyfolks</v>
      </c>
      <c r="B748">
        <f>IF($A748="","",games!$B748)</f>
        <v>2022</v>
      </c>
      <c r="C748" t="str">
        <f>IF($A748="","",games!$C748)</f>
        <v>Strategy</v>
      </c>
      <c r="D748">
        <f>IF($A748="","",COUNTIF(connections!$A$2:$A$1188,$A748)+COUNTIF(connections!$B$2:$B$1188,$A748))</f>
        <v>1</v>
      </c>
      <c r="E748">
        <f t="shared" si="132"/>
        <v>2</v>
      </c>
      <c r="F748">
        <f t="shared" si="133"/>
        <v>0</v>
      </c>
      <c r="G748" t="e">
        <f t="shared" si="134"/>
        <v>#N/A</v>
      </c>
      <c r="H748" t="e">
        <f t="shared" si="135"/>
        <v>#N/A</v>
      </c>
      <c r="I748">
        <f t="shared" si="136"/>
        <v>2022</v>
      </c>
      <c r="J748">
        <f t="shared" si="137"/>
        <v>2</v>
      </c>
      <c r="K748" t="e">
        <f t="shared" si="138"/>
        <v>#N/A</v>
      </c>
      <c r="L748" t="e">
        <f t="shared" si="139"/>
        <v>#N/A</v>
      </c>
      <c r="M748" t="e">
        <f t="shared" si="140"/>
        <v>#N/A</v>
      </c>
      <c r="N748" t="e">
        <f t="shared" si="141"/>
        <v>#N/A</v>
      </c>
      <c r="O748">
        <f t="shared" si="142"/>
        <v>1.000748</v>
      </c>
      <c r="T748">
        <f>IF(connections!$A748="","",IFERROR(INDEX(games!$B$2:$B$834,MATCH(connections!$A748,games!$A$2:$A$834,0)),""))</f>
        <v>2017</v>
      </c>
      <c r="U748">
        <f>IF(connections!$A748="","",IFERROR(INDEX(games!$B$2:$B$834,MATCH(connections!$B748,games!$A$2:$A$834,0)),""))</f>
        <v>2020</v>
      </c>
      <c r="V748">
        <f t="shared" si="143"/>
        <v>3</v>
      </c>
    </row>
    <row r="749" spans="1:22" x14ac:dyDescent="0.25">
      <c r="A749" t="str">
        <f>IF(games!$A749="","",games!$A749)</f>
        <v>ToeJam &amp; Earl</v>
      </c>
      <c r="B749">
        <f>IF($A749="","",games!$B749)</f>
        <v>1991</v>
      </c>
      <c r="C749" t="str">
        <f>IF($A749="","",games!$C749)</f>
        <v>Action</v>
      </c>
      <c r="D749">
        <f>IF($A749="","",COUNTIF(connections!$A$2:$A$1188,$A749)+COUNTIF(connections!$B$2:$B$1188,$A749))</f>
        <v>3</v>
      </c>
      <c r="E749">
        <f t="shared" si="132"/>
        <v>1</v>
      </c>
      <c r="F749">
        <f t="shared" si="133"/>
        <v>1</v>
      </c>
      <c r="G749">
        <f t="shared" si="134"/>
        <v>1991</v>
      </c>
      <c r="H749">
        <f t="shared" si="135"/>
        <v>1.0229999999999999</v>
      </c>
      <c r="I749" t="e">
        <f t="shared" si="136"/>
        <v>#N/A</v>
      </c>
      <c r="J749" t="e">
        <f t="shared" si="137"/>
        <v>#N/A</v>
      </c>
      <c r="K749" t="e">
        <f t="shared" si="138"/>
        <v>#N/A</v>
      </c>
      <c r="L749" t="e">
        <f t="shared" si="139"/>
        <v>#N/A</v>
      </c>
      <c r="M749" t="e">
        <f t="shared" si="140"/>
        <v>#N/A</v>
      </c>
      <c r="N749" t="e">
        <f t="shared" si="141"/>
        <v>#N/A</v>
      </c>
      <c r="O749">
        <f t="shared" si="142"/>
        <v>3.0007489999999999</v>
      </c>
      <c r="T749">
        <f>IF(connections!$A749="","",IFERROR(INDEX(games!$B$2:$B$834,MATCH(connections!$A749,games!$A$2:$A$834,0)),""))</f>
        <v>2017</v>
      </c>
      <c r="U749">
        <f>IF(connections!$A749="","",IFERROR(INDEX(games!$B$2:$B$834,MATCH(connections!$B749,games!$A$2:$A$834,0)),""))</f>
        <v>2026</v>
      </c>
      <c r="V749">
        <f t="shared" si="143"/>
        <v>9</v>
      </c>
    </row>
    <row r="750" spans="1:22" x14ac:dyDescent="0.25">
      <c r="A750" t="str">
        <f>IF(games!$A750="","",games!$A750)</f>
        <v>ToeJam &amp; Earl: Back in the Groove!</v>
      </c>
      <c r="B750">
        <f>IF($A750="","",games!$B750)</f>
        <v>2019</v>
      </c>
      <c r="C750" t="str">
        <f>IF($A750="","",games!$C750)</f>
        <v>Action</v>
      </c>
      <c r="D750">
        <f>IF($A750="","",COUNTIF(connections!$A$2:$A$1188,$A750)+COUNTIF(connections!$B$2:$B$1188,$A750))</f>
        <v>1</v>
      </c>
      <c r="E750">
        <f t="shared" si="132"/>
        <v>1</v>
      </c>
      <c r="F750">
        <f t="shared" si="133"/>
        <v>2</v>
      </c>
      <c r="G750">
        <f t="shared" si="134"/>
        <v>2019</v>
      </c>
      <c r="H750">
        <f t="shared" si="135"/>
        <v>1.046</v>
      </c>
      <c r="I750" t="e">
        <f t="shared" si="136"/>
        <v>#N/A</v>
      </c>
      <c r="J750" t="e">
        <f t="shared" si="137"/>
        <v>#N/A</v>
      </c>
      <c r="K750" t="e">
        <f t="shared" si="138"/>
        <v>#N/A</v>
      </c>
      <c r="L750" t="e">
        <f t="shared" si="139"/>
        <v>#N/A</v>
      </c>
      <c r="M750" t="e">
        <f t="shared" si="140"/>
        <v>#N/A</v>
      </c>
      <c r="N750" t="e">
        <f t="shared" si="141"/>
        <v>#N/A</v>
      </c>
      <c r="O750">
        <f t="shared" si="142"/>
        <v>1.00075</v>
      </c>
      <c r="T750">
        <f>IF(connections!$A750="","",IFERROR(INDEX(games!$B$2:$B$834,MATCH(connections!$A750,games!$A$2:$A$834,0)),""))</f>
        <v>2017</v>
      </c>
      <c r="U750">
        <f>IF(connections!$A750="","",IFERROR(INDEX(games!$B$2:$B$834,MATCH(connections!$B750,games!$A$2:$A$834,0)),""))</f>
        <v>2025</v>
      </c>
      <c r="V750">
        <f t="shared" si="143"/>
        <v>8</v>
      </c>
    </row>
    <row r="751" spans="1:22" x14ac:dyDescent="0.25">
      <c r="A751" t="str">
        <f>IF(games!$A751="","",games!$A751)</f>
        <v>TombStar</v>
      </c>
      <c r="B751">
        <f>IF($A751="","",games!$B751)</f>
        <v>2022</v>
      </c>
      <c r="C751" t="str">
        <f>IF($A751="","",games!$C751)</f>
        <v>Action</v>
      </c>
      <c r="D751">
        <f>IF($A751="","",COUNTIF(connections!$A$2:$A$1188,$A751)+COUNTIF(connections!$B$2:$B$1188,$A751))</f>
        <v>2</v>
      </c>
      <c r="E751">
        <f t="shared" si="132"/>
        <v>1</v>
      </c>
      <c r="F751">
        <f t="shared" si="133"/>
        <v>3</v>
      </c>
      <c r="G751">
        <f t="shared" si="134"/>
        <v>2022</v>
      </c>
      <c r="H751">
        <f t="shared" si="135"/>
        <v>1.069</v>
      </c>
      <c r="I751" t="e">
        <f t="shared" si="136"/>
        <v>#N/A</v>
      </c>
      <c r="J751" t="e">
        <f t="shared" si="137"/>
        <v>#N/A</v>
      </c>
      <c r="K751" t="e">
        <f t="shared" si="138"/>
        <v>#N/A</v>
      </c>
      <c r="L751" t="e">
        <f t="shared" si="139"/>
        <v>#N/A</v>
      </c>
      <c r="M751" t="e">
        <f t="shared" si="140"/>
        <v>#N/A</v>
      </c>
      <c r="N751" t="e">
        <f t="shared" si="141"/>
        <v>#N/A</v>
      </c>
      <c r="O751">
        <f t="shared" si="142"/>
        <v>2.0007510000000002</v>
      </c>
      <c r="T751">
        <f>IF(connections!$A751="","",IFERROR(INDEX(games!$B$2:$B$834,MATCH(connections!$A751,games!$A$2:$A$834,0)),""))</f>
        <v>2017</v>
      </c>
      <c r="U751">
        <f>IF(connections!$A751="","",IFERROR(INDEX(games!$B$2:$B$834,MATCH(connections!$B751,games!$A$2:$A$834,0)),""))</f>
        <v>2026</v>
      </c>
      <c r="V751">
        <f t="shared" si="143"/>
        <v>9</v>
      </c>
    </row>
    <row r="752" spans="1:22" x14ac:dyDescent="0.25">
      <c r="A752" t="str">
        <f>IF(games!$A752="","",games!$A752)</f>
        <v>Torneko: The Last Hope</v>
      </c>
      <c r="B752">
        <f>IF($A752="","",games!$B752)</f>
        <v>1999</v>
      </c>
      <c r="C752" t="str">
        <f>IF($A752="","",games!$C752)</f>
        <v>Traditional</v>
      </c>
      <c r="D752">
        <f>IF($A752="","",COUNTIF(connections!$A$2:$A$1188,$A752)+COUNTIF(connections!$B$2:$B$1188,$A752))</f>
        <v>3</v>
      </c>
      <c r="E752">
        <f t="shared" si="132"/>
        <v>4</v>
      </c>
      <c r="F752">
        <f t="shared" si="133"/>
        <v>4</v>
      </c>
      <c r="G752" t="e">
        <f t="shared" si="134"/>
        <v>#N/A</v>
      </c>
      <c r="H752" t="e">
        <f t="shared" si="135"/>
        <v>#N/A</v>
      </c>
      <c r="I752" t="e">
        <f t="shared" si="136"/>
        <v>#N/A</v>
      </c>
      <c r="J752" t="e">
        <f t="shared" si="137"/>
        <v>#N/A</v>
      </c>
      <c r="K752" t="e">
        <f t="shared" si="138"/>
        <v>#N/A</v>
      </c>
      <c r="L752" t="e">
        <f t="shared" si="139"/>
        <v>#N/A</v>
      </c>
      <c r="M752">
        <f t="shared" si="140"/>
        <v>1999</v>
      </c>
      <c r="N752">
        <f t="shared" si="141"/>
        <v>4.0919999999999996</v>
      </c>
      <c r="O752">
        <f t="shared" si="142"/>
        <v>3.0007519999999999</v>
      </c>
      <c r="T752">
        <f>IF(connections!$A752="","",IFERROR(INDEX(games!$B$2:$B$834,MATCH(connections!$A752,games!$A$2:$A$834,0)),""))</f>
        <v>2017</v>
      </c>
      <c r="U752">
        <f>IF(connections!$A752="","",IFERROR(INDEX(games!$B$2:$B$834,MATCH(connections!$B752,games!$A$2:$A$834,0)),""))</f>
        <v>2019</v>
      </c>
      <c r="V752">
        <f t="shared" si="143"/>
        <v>2</v>
      </c>
    </row>
    <row r="753" spans="1:22" x14ac:dyDescent="0.25">
      <c r="A753" t="str">
        <f>IF(games!$A753="","",games!$A753)</f>
        <v>Torneko's Great Adventure 3</v>
      </c>
      <c r="B753">
        <f>IF($A753="","",games!$B753)</f>
        <v>2002</v>
      </c>
      <c r="C753" t="str">
        <f>IF($A753="","",games!$C753)</f>
        <v>Traditional</v>
      </c>
      <c r="D753">
        <f>IF($A753="","",COUNTIF(connections!$A$2:$A$1188,$A753)+COUNTIF(connections!$B$2:$B$1188,$A753))</f>
        <v>1</v>
      </c>
      <c r="E753">
        <f t="shared" si="132"/>
        <v>4</v>
      </c>
      <c r="F753">
        <f t="shared" si="133"/>
        <v>5</v>
      </c>
      <c r="G753" t="e">
        <f t="shared" si="134"/>
        <v>#N/A</v>
      </c>
      <c r="H753" t="e">
        <f t="shared" si="135"/>
        <v>#N/A</v>
      </c>
      <c r="I753" t="e">
        <f t="shared" si="136"/>
        <v>#N/A</v>
      </c>
      <c r="J753" t="e">
        <f t="shared" si="137"/>
        <v>#N/A</v>
      </c>
      <c r="K753" t="e">
        <f t="shared" si="138"/>
        <v>#N/A</v>
      </c>
      <c r="L753" t="e">
        <f t="shared" si="139"/>
        <v>#N/A</v>
      </c>
      <c r="M753">
        <f t="shared" si="140"/>
        <v>2002</v>
      </c>
      <c r="N753">
        <f t="shared" si="141"/>
        <v>4.1150000000000002</v>
      </c>
      <c r="O753">
        <f t="shared" si="142"/>
        <v>1.000753</v>
      </c>
      <c r="T753">
        <f>IF(connections!$A753="","",IFERROR(INDEX(games!$B$2:$B$834,MATCH(connections!$A753,games!$A$2:$A$834,0)),""))</f>
        <v>2017</v>
      </c>
      <c r="U753">
        <f>IF(connections!$A753="","",IFERROR(INDEX(games!$B$2:$B$834,MATCH(connections!$B753,games!$A$2:$A$834,0)),""))</f>
        <v>2025</v>
      </c>
      <c r="V753">
        <f t="shared" si="143"/>
        <v>8</v>
      </c>
    </row>
    <row r="754" spans="1:22" x14ac:dyDescent="0.25">
      <c r="A754" t="str">
        <f>IF(games!$A754="","",games!$A754)</f>
        <v>Torneko's Great Adventure: Mystery Dungeon</v>
      </c>
      <c r="B754">
        <f>IF($A754="","",games!$B754)</f>
        <v>1993</v>
      </c>
      <c r="C754" t="str">
        <f>IF($A754="","",games!$C754)</f>
        <v>Traditional</v>
      </c>
      <c r="D754">
        <f>IF($A754="","",COUNTIF(connections!$A$2:$A$1188,$A754)+COUNTIF(connections!$B$2:$B$1188,$A754))</f>
        <v>24</v>
      </c>
      <c r="E754">
        <f t="shared" si="132"/>
        <v>4</v>
      </c>
      <c r="F754">
        <f t="shared" si="133"/>
        <v>6</v>
      </c>
      <c r="G754" t="e">
        <f t="shared" si="134"/>
        <v>#N/A</v>
      </c>
      <c r="H754" t="e">
        <f t="shared" si="135"/>
        <v>#N/A</v>
      </c>
      <c r="I754" t="e">
        <f t="shared" si="136"/>
        <v>#N/A</v>
      </c>
      <c r="J754" t="e">
        <f t="shared" si="137"/>
        <v>#N/A</v>
      </c>
      <c r="K754" t="e">
        <f t="shared" si="138"/>
        <v>#N/A</v>
      </c>
      <c r="L754" t="e">
        <f t="shared" si="139"/>
        <v>#N/A</v>
      </c>
      <c r="M754">
        <f t="shared" si="140"/>
        <v>1993</v>
      </c>
      <c r="N754">
        <f t="shared" si="141"/>
        <v>4.1379999999999999</v>
      </c>
      <c r="O754">
        <f t="shared" si="142"/>
        <v>24.000754000000001</v>
      </c>
      <c r="T754">
        <f>IF(connections!$A754="","",IFERROR(INDEX(games!$B$2:$B$834,MATCH(connections!$A754,games!$A$2:$A$834,0)),""))</f>
        <v>2017</v>
      </c>
      <c r="U754">
        <f>IF(connections!$A754="","",IFERROR(INDEX(games!$B$2:$B$834,MATCH(connections!$B754,games!$A$2:$A$834,0)),""))</f>
        <v>2025</v>
      </c>
      <c r="V754">
        <f t="shared" si="143"/>
        <v>8</v>
      </c>
    </row>
    <row r="755" spans="1:22" x14ac:dyDescent="0.25">
      <c r="A755" t="str">
        <f>IF(games!$A755="","",games!$A755)</f>
        <v>Touhou Crawl</v>
      </c>
      <c r="B755">
        <f>IF($A755="","",games!$B755)</f>
        <v>2025</v>
      </c>
      <c r="C755" t="str">
        <f>IF($A755="","",games!$C755)</f>
        <v>Traditional</v>
      </c>
      <c r="D755">
        <f>IF($A755="","",COUNTIF(connections!$A$2:$A$1188,$A755)+COUNTIF(connections!$B$2:$B$1188,$A755))</f>
        <v>1</v>
      </c>
      <c r="E755">
        <f t="shared" si="132"/>
        <v>4</v>
      </c>
      <c r="F755">
        <f t="shared" si="133"/>
        <v>7</v>
      </c>
      <c r="G755" t="e">
        <f t="shared" si="134"/>
        <v>#N/A</v>
      </c>
      <c r="H755" t="e">
        <f t="shared" si="135"/>
        <v>#N/A</v>
      </c>
      <c r="I755" t="e">
        <f t="shared" si="136"/>
        <v>#N/A</v>
      </c>
      <c r="J755" t="e">
        <f t="shared" si="137"/>
        <v>#N/A</v>
      </c>
      <c r="K755" t="e">
        <f t="shared" si="138"/>
        <v>#N/A</v>
      </c>
      <c r="L755" t="e">
        <f t="shared" si="139"/>
        <v>#N/A</v>
      </c>
      <c r="M755">
        <f t="shared" si="140"/>
        <v>2025</v>
      </c>
      <c r="N755">
        <f t="shared" si="141"/>
        <v>4.1609999999999996</v>
      </c>
      <c r="O755">
        <f t="shared" si="142"/>
        <v>1.0007550000000001</v>
      </c>
      <c r="T755">
        <f>IF(connections!$A755="","",IFERROR(INDEX(games!$B$2:$B$834,MATCH(connections!$A755,games!$A$2:$A$834,0)),""))</f>
        <v>2017</v>
      </c>
      <c r="U755">
        <f>IF(connections!$A755="","",IFERROR(INDEX(games!$B$2:$B$834,MATCH(connections!$B755,games!$A$2:$A$834,0)),""))</f>
        <v>2021</v>
      </c>
      <c r="V755">
        <f t="shared" si="143"/>
        <v>4</v>
      </c>
    </row>
    <row r="756" spans="1:22" x14ac:dyDescent="0.25">
      <c r="A756" t="str">
        <f>IF(games!$A756="","",games!$A756)</f>
        <v>Touhou Genso Wanderer: Foresight</v>
      </c>
      <c r="B756">
        <f>IF($A756="","",games!$B756)</f>
        <v>2024</v>
      </c>
      <c r="C756" t="str">
        <f>IF($A756="","",games!$C756)</f>
        <v>Traditional</v>
      </c>
      <c r="D756">
        <f>IF($A756="","",COUNTIF(connections!$A$2:$A$1188,$A756)+COUNTIF(connections!$B$2:$B$1188,$A756))</f>
        <v>1</v>
      </c>
      <c r="E756">
        <f t="shared" si="132"/>
        <v>4</v>
      </c>
      <c r="F756">
        <f t="shared" si="133"/>
        <v>8</v>
      </c>
      <c r="G756" t="e">
        <f t="shared" si="134"/>
        <v>#N/A</v>
      </c>
      <c r="H756" t="e">
        <f t="shared" si="135"/>
        <v>#N/A</v>
      </c>
      <c r="I756" t="e">
        <f t="shared" si="136"/>
        <v>#N/A</v>
      </c>
      <c r="J756" t="e">
        <f t="shared" si="137"/>
        <v>#N/A</v>
      </c>
      <c r="K756" t="e">
        <f t="shared" si="138"/>
        <v>#N/A</v>
      </c>
      <c r="L756" t="e">
        <f t="shared" si="139"/>
        <v>#N/A</v>
      </c>
      <c r="M756">
        <f t="shared" si="140"/>
        <v>2024</v>
      </c>
      <c r="N756">
        <f t="shared" si="141"/>
        <v>4.1840000000000002</v>
      </c>
      <c r="O756">
        <f t="shared" si="142"/>
        <v>1.000756</v>
      </c>
      <c r="T756">
        <f>IF(connections!$A756="","",IFERROR(INDEX(games!$B$2:$B$834,MATCH(connections!$A756,games!$A$2:$A$834,0)),""))</f>
        <v>2017</v>
      </c>
      <c r="U756">
        <f>IF(connections!$A756="","",IFERROR(INDEX(games!$B$2:$B$834,MATCH(connections!$B756,games!$A$2:$A$834,0)),""))</f>
        <v>2025</v>
      </c>
      <c r="V756">
        <f t="shared" si="143"/>
        <v>8</v>
      </c>
    </row>
    <row r="757" spans="1:22" x14ac:dyDescent="0.25">
      <c r="A757" t="str">
        <f>IF(games!$A757="","",games!$A757)</f>
        <v>Touhou Genso Wanderer: Lotus Labyrinth R</v>
      </c>
      <c r="B757">
        <f>IF($A757="","",games!$B757)</f>
        <v>2021</v>
      </c>
      <c r="C757" t="str">
        <f>IF($A757="","",games!$C757)</f>
        <v>Traditional</v>
      </c>
      <c r="D757">
        <f>IF($A757="","",COUNTIF(connections!$A$2:$A$1188,$A757)+COUNTIF(connections!$B$2:$B$1188,$A757))</f>
        <v>1</v>
      </c>
      <c r="E757">
        <f t="shared" si="132"/>
        <v>4</v>
      </c>
      <c r="F757">
        <f t="shared" si="133"/>
        <v>9</v>
      </c>
      <c r="G757" t="e">
        <f t="shared" si="134"/>
        <v>#N/A</v>
      </c>
      <c r="H757" t="e">
        <f t="shared" si="135"/>
        <v>#N/A</v>
      </c>
      <c r="I757" t="e">
        <f t="shared" si="136"/>
        <v>#N/A</v>
      </c>
      <c r="J757" t="e">
        <f t="shared" si="137"/>
        <v>#N/A</v>
      </c>
      <c r="K757" t="e">
        <f t="shared" si="138"/>
        <v>#N/A</v>
      </c>
      <c r="L757" t="e">
        <f t="shared" si="139"/>
        <v>#N/A</v>
      </c>
      <c r="M757">
        <f t="shared" si="140"/>
        <v>2021</v>
      </c>
      <c r="N757">
        <f t="shared" si="141"/>
        <v>4.2069999999999999</v>
      </c>
      <c r="O757">
        <f t="shared" si="142"/>
        <v>1.0007569999999999</v>
      </c>
      <c r="T757">
        <f>IF(connections!$A757="","",IFERROR(INDEX(games!$B$2:$B$834,MATCH(connections!$A757,games!$A$2:$A$834,0)),""))</f>
        <v>2017</v>
      </c>
      <c r="U757">
        <f>IF(connections!$A757="","",IFERROR(INDEX(games!$B$2:$B$834,MATCH(connections!$B757,games!$A$2:$A$834,0)),""))</f>
        <v>2025</v>
      </c>
      <c r="V757">
        <f t="shared" si="143"/>
        <v>8</v>
      </c>
    </row>
    <row r="758" spans="1:22" x14ac:dyDescent="0.25">
      <c r="A758" t="str">
        <f>IF(games!$A758="","",games!$A758)</f>
        <v>Touhou: Lost Branch of Legend</v>
      </c>
      <c r="B758">
        <f>IF($A758="","",games!$B758)</f>
        <v>2022</v>
      </c>
      <c r="C758" t="str">
        <f>IF($A758="","",games!$C758)</f>
        <v>Deckbuilder</v>
      </c>
      <c r="D758">
        <f>IF($A758="","",COUNTIF(connections!$A$2:$A$1188,$A758)+COUNTIF(connections!$B$2:$B$1188,$A758))</f>
        <v>1</v>
      </c>
      <c r="E758">
        <f t="shared" si="132"/>
        <v>3</v>
      </c>
      <c r="F758">
        <f t="shared" si="133"/>
        <v>10</v>
      </c>
      <c r="G758" t="e">
        <f t="shared" si="134"/>
        <v>#N/A</v>
      </c>
      <c r="H758" t="e">
        <f t="shared" si="135"/>
        <v>#N/A</v>
      </c>
      <c r="I758" t="e">
        <f t="shared" si="136"/>
        <v>#N/A</v>
      </c>
      <c r="J758" t="e">
        <f t="shared" si="137"/>
        <v>#N/A</v>
      </c>
      <c r="K758">
        <f t="shared" si="138"/>
        <v>2022</v>
      </c>
      <c r="L758">
        <f t="shared" si="139"/>
        <v>3.23</v>
      </c>
      <c r="M758" t="e">
        <f t="shared" si="140"/>
        <v>#N/A</v>
      </c>
      <c r="N758" t="e">
        <f t="shared" si="141"/>
        <v>#N/A</v>
      </c>
      <c r="O758">
        <f t="shared" si="142"/>
        <v>1.000758</v>
      </c>
      <c r="T758">
        <f>IF(connections!$A758="","",IFERROR(INDEX(games!$B$2:$B$834,MATCH(connections!$A758,games!$A$2:$A$834,0)),""))</f>
        <v>2017</v>
      </c>
      <c r="U758">
        <f>IF(connections!$A758="","",IFERROR(INDEX(games!$B$2:$B$834,MATCH(connections!$B758,games!$A$2:$A$834,0)),""))</f>
        <v>2024</v>
      </c>
      <c r="V758">
        <f t="shared" si="143"/>
        <v>7</v>
      </c>
    </row>
    <row r="759" spans="1:22" x14ac:dyDescent="0.25">
      <c r="A759" t="str">
        <f>IF(games!$A759="","",games!$A759)</f>
        <v>Tower Dominion</v>
      </c>
      <c r="B759">
        <f>IF($A759="","",games!$B759)</f>
        <v>2025</v>
      </c>
      <c r="C759" t="str">
        <f>IF($A759="","",games!$C759)</f>
        <v>Strategy</v>
      </c>
      <c r="D759">
        <f>IF($A759="","",COUNTIF(connections!$A$2:$A$1188,$A759)+COUNTIF(connections!$B$2:$B$1188,$A759))</f>
        <v>1</v>
      </c>
      <c r="E759">
        <f t="shared" si="132"/>
        <v>2</v>
      </c>
      <c r="F759">
        <f t="shared" si="133"/>
        <v>11</v>
      </c>
      <c r="G759" t="e">
        <f t="shared" si="134"/>
        <v>#N/A</v>
      </c>
      <c r="H759" t="e">
        <f t="shared" si="135"/>
        <v>#N/A</v>
      </c>
      <c r="I759">
        <f t="shared" si="136"/>
        <v>2025</v>
      </c>
      <c r="J759">
        <f t="shared" si="137"/>
        <v>2.2530000000000001</v>
      </c>
      <c r="K759" t="e">
        <f t="shared" si="138"/>
        <v>#N/A</v>
      </c>
      <c r="L759" t="e">
        <f t="shared" si="139"/>
        <v>#N/A</v>
      </c>
      <c r="M759" t="e">
        <f t="shared" si="140"/>
        <v>#N/A</v>
      </c>
      <c r="N759" t="e">
        <f t="shared" si="141"/>
        <v>#N/A</v>
      </c>
      <c r="O759">
        <f t="shared" si="142"/>
        <v>1.000759</v>
      </c>
      <c r="T759">
        <f>IF(connections!$A759="","",IFERROR(INDEX(games!$B$2:$B$834,MATCH(connections!$A759,games!$A$2:$A$834,0)),""))</f>
        <v>2017</v>
      </c>
      <c r="U759">
        <f>IF(connections!$A759="","",IFERROR(INDEX(games!$B$2:$B$834,MATCH(connections!$B759,games!$A$2:$A$834,0)),""))</f>
        <v>2024</v>
      </c>
      <c r="V759">
        <f t="shared" si="143"/>
        <v>7</v>
      </c>
    </row>
    <row r="760" spans="1:22" x14ac:dyDescent="0.25">
      <c r="A760" t="str">
        <f>IF(games!$A760="","",games!$A760)</f>
        <v>Tower Escape</v>
      </c>
      <c r="B760">
        <f>IF($A760="","",games!$B760)</f>
        <v>2023</v>
      </c>
      <c r="C760" t="str">
        <f>IF($A760="","",games!$C760)</f>
        <v>Deckbuilder</v>
      </c>
      <c r="D760">
        <f>IF($A760="","",COUNTIF(connections!$A$2:$A$1188,$A760)+COUNTIF(connections!$B$2:$B$1188,$A760))</f>
        <v>2</v>
      </c>
      <c r="E760">
        <f t="shared" si="132"/>
        <v>3</v>
      </c>
      <c r="F760">
        <f t="shared" si="133"/>
        <v>12</v>
      </c>
      <c r="G760" t="e">
        <f t="shared" si="134"/>
        <v>#N/A</v>
      </c>
      <c r="H760" t="e">
        <f t="shared" si="135"/>
        <v>#N/A</v>
      </c>
      <c r="I760" t="e">
        <f t="shared" si="136"/>
        <v>#N/A</v>
      </c>
      <c r="J760" t="e">
        <f t="shared" si="137"/>
        <v>#N/A</v>
      </c>
      <c r="K760">
        <f t="shared" si="138"/>
        <v>2023</v>
      </c>
      <c r="L760">
        <f t="shared" si="139"/>
        <v>3.2759999999999998</v>
      </c>
      <c r="M760" t="e">
        <f t="shared" si="140"/>
        <v>#N/A</v>
      </c>
      <c r="N760" t="e">
        <f t="shared" si="141"/>
        <v>#N/A</v>
      </c>
      <c r="O760">
        <f t="shared" si="142"/>
        <v>2.0007600000000001</v>
      </c>
      <c r="T760">
        <f>IF(connections!$A760="","",IFERROR(INDEX(games!$B$2:$B$834,MATCH(connections!$A760,games!$A$2:$A$834,0)),""))</f>
        <v>2017</v>
      </c>
      <c r="U760">
        <f>IF(connections!$A760="","",IFERROR(INDEX(games!$B$2:$B$834,MATCH(connections!$B760,games!$A$2:$A$834,0)),""))</f>
        <v>2025</v>
      </c>
      <c r="V760">
        <f t="shared" si="143"/>
        <v>8</v>
      </c>
    </row>
    <row r="761" spans="1:22" x14ac:dyDescent="0.25">
      <c r="A761" t="str">
        <f>IF(games!$A761="","",games!$A761)</f>
        <v>Tower Factory</v>
      </c>
      <c r="B761">
        <f>IF($A761="","",games!$B761)</f>
        <v>2024</v>
      </c>
      <c r="C761" t="str">
        <f>IF($A761="","",games!$C761)</f>
        <v>Strategy</v>
      </c>
      <c r="D761">
        <f>IF($A761="","",COUNTIF(connections!$A$2:$A$1188,$A761)+COUNTIF(connections!$B$2:$B$1188,$A761))</f>
        <v>2</v>
      </c>
      <c r="E761">
        <f t="shared" si="132"/>
        <v>2</v>
      </c>
      <c r="F761">
        <f t="shared" si="133"/>
        <v>13</v>
      </c>
      <c r="G761" t="e">
        <f t="shared" si="134"/>
        <v>#N/A</v>
      </c>
      <c r="H761" t="e">
        <f t="shared" si="135"/>
        <v>#N/A</v>
      </c>
      <c r="I761">
        <f t="shared" si="136"/>
        <v>2024</v>
      </c>
      <c r="J761">
        <f t="shared" si="137"/>
        <v>2.2989999999999999</v>
      </c>
      <c r="K761" t="e">
        <f t="shared" si="138"/>
        <v>#N/A</v>
      </c>
      <c r="L761" t="e">
        <f t="shared" si="139"/>
        <v>#N/A</v>
      </c>
      <c r="M761" t="e">
        <f t="shared" si="140"/>
        <v>#N/A</v>
      </c>
      <c r="N761" t="e">
        <f t="shared" si="141"/>
        <v>#N/A</v>
      </c>
      <c r="O761">
        <f t="shared" si="142"/>
        <v>2.0007609999999998</v>
      </c>
      <c r="T761">
        <f>IF(connections!$A761="","",IFERROR(INDEX(games!$B$2:$B$834,MATCH(connections!$A761,games!$A$2:$A$834,0)),""))</f>
        <v>2017</v>
      </c>
      <c r="U761">
        <f>IF(connections!$A761="","",IFERROR(INDEX(games!$B$2:$B$834,MATCH(connections!$B761,games!$A$2:$A$834,0)),""))</f>
        <v>2025</v>
      </c>
      <c r="V761">
        <f t="shared" si="143"/>
        <v>8</v>
      </c>
    </row>
    <row r="762" spans="1:22" x14ac:dyDescent="0.25">
      <c r="A762" t="str">
        <f>IF(games!$A762="","",games!$A762)</f>
        <v>Tower Fortress</v>
      </c>
      <c r="B762">
        <f>IF($A762="","",games!$B762)</f>
        <v>2017</v>
      </c>
      <c r="C762" t="str">
        <f>IF($A762="","",games!$C762)</f>
        <v>Action</v>
      </c>
      <c r="D762">
        <f>IF($A762="","",COUNTIF(connections!$A$2:$A$1188,$A762)+COUNTIF(connections!$B$2:$B$1188,$A762))</f>
        <v>1</v>
      </c>
      <c r="E762">
        <f t="shared" si="132"/>
        <v>1</v>
      </c>
      <c r="F762">
        <f t="shared" si="133"/>
        <v>14</v>
      </c>
      <c r="G762">
        <f t="shared" si="134"/>
        <v>2017</v>
      </c>
      <c r="H762">
        <f t="shared" si="135"/>
        <v>1.3220000000000001</v>
      </c>
      <c r="I762" t="e">
        <f t="shared" si="136"/>
        <v>#N/A</v>
      </c>
      <c r="J762" t="e">
        <f t="shared" si="137"/>
        <v>#N/A</v>
      </c>
      <c r="K762" t="e">
        <f t="shared" si="138"/>
        <v>#N/A</v>
      </c>
      <c r="L762" t="e">
        <f t="shared" si="139"/>
        <v>#N/A</v>
      </c>
      <c r="M762" t="e">
        <f t="shared" si="140"/>
        <v>#N/A</v>
      </c>
      <c r="N762" t="e">
        <f t="shared" si="141"/>
        <v>#N/A</v>
      </c>
      <c r="O762">
        <f t="shared" si="142"/>
        <v>1.0007619999999999</v>
      </c>
      <c r="T762">
        <f>IF(connections!$A762="","",IFERROR(INDEX(games!$B$2:$B$834,MATCH(connections!$A762,games!$A$2:$A$834,0)),""))</f>
        <v>2017</v>
      </c>
      <c r="U762">
        <f>IF(connections!$A762="","",IFERROR(INDEX(games!$B$2:$B$834,MATCH(connections!$B762,games!$A$2:$A$834,0)),""))</f>
        <v>2024</v>
      </c>
      <c r="V762">
        <f t="shared" si="143"/>
        <v>7</v>
      </c>
    </row>
    <row r="763" spans="1:22" x14ac:dyDescent="0.25">
      <c r="A763" t="str">
        <f>IF(games!$A763="","",games!$A763)</f>
        <v>Tower of Guns</v>
      </c>
      <c r="B763">
        <f>IF($A763="","",games!$B763)</f>
        <v>2014</v>
      </c>
      <c r="C763" t="str">
        <f>IF($A763="","",games!$C763)</f>
        <v>Action</v>
      </c>
      <c r="D763">
        <f>IF($A763="","",COUNTIF(connections!$A$2:$A$1188,$A763)+COUNTIF(connections!$B$2:$B$1188,$A763))</f>
        <v>2</v>
      </c>
      <c r="E763">
        <f t="shared" si="132"/>
        <v>1</v>
      </c>
      <c r="F763">
        <f t="shared" si="133"/>
        <v>15</v>
      </c>
      <c r="G763">
        <f t="shared" si="134"/>
        <v>2014</v>
      </c>
      <c r="H763">
        <f t="shared" si="135"/>
        <v>1.345</v>
      </c>
      <c r="I763" t="e">
        <f t="shared" si="136"/>
        <v>#N/A</v>
      </c>
      <c r="J763" t="e">
        <f t="shared" si="137"/>
        <v>#N/A</v>
      </c>
      <c r="K763" t="e">
        <f t="shared" si="138"/>
        <v>#N/A</v>
      </c>
      <c r="L763" t="e">
        <f t="shared" si="139"/>
        <v>#N/A</v>
      </c>
      <c r="M763" t="e">
        <f t="shared" si="140"/>
        <v>#N/A</v>
      </c>
      <c r="N763" t="e">
        <f t="shared" si="141"/>
        <v>#N/A</v>
      </c>
      <c r="O763">
        <f t="shared" si="142"/>
        <v>2.0007630000000001</v>
      </c>
      <c r="T763">
        <f>IF(connections!$A763="","",IFERROR(INDEX(games!$B$2:$B$834,MATCH(connections!$A763,games!$A$2:$A$834,0)),""))</f>
        <v>2017</v>
      </c>
      <c r="U763">
        <f>IF(connections!$A763="","",IFERROR(INDEX(games!$B$2:$B$834,MATCH(connections!$B763,games!$A$2:$A$834,0)),""))</f>
        <v>2025</v>
      </c>
      <c r="V763">
        <f t="shared" si="143"/>
        <v>8</v>
      </c>
    </row>
    <row r="764" spans="1:22" x14ac:dyDescent="0.25">
      <c r="A764" t="str">
        <f>IF(games!$A764="","",games!$A764)</f>
        <v>Tower Tactics: Liberation</v>
      </c>
      <c r="B764">
        <f>IF($A764="","",games!$B764)</f>
        <v>2021</v>
      </c>
      <c r="C764" t="str">
        <f>IF($A764="","",games!$C764)</f>
        <v>Deckbuilder</v>
      </c>
      <c r="D764">
        <f>IF($A764="","",COUNTIF(connections!$A$2:$A$1188,$A764)+COUNTIF(connections!$B$2:$B$1188,$A764))</f>
        <v>3</v>
      </c>
      <c r="E764">
        <f t="shared" si="132"/>
        <v>3</v>
      </c>
      <c r="F764">
        <f t="shared" si="133"/>
        <v>16</v>
      </c>
      <c r="G764" t="e">
        <f t="shared" si="134"/>
        <v>#N/A</v>
      </c>
      <c r="H764" t="e">
        <f t="shared" si="135"/>
        <v>#N/A</v>
      </c>
      <c r="I764" t="e">
        <f t="shared" si="136"/>
        <v>#N/A</v>
      </c>
      <c r="J764" t="e">
        <f t="shared" si="137"/>
        <v>#N/A</v>
      </c>
      <c r="K764">
        <f t="shared" si="138"/>
        <v>2021</v>
      </c>
      <c r="L764">
        <f t="shared" si="139"/>
        <v>3.3679999999999999</v>
      </c>
      <c r="M764" t="e">
        <f t="shared" si="140"/>
        <v>#N/A</v>
      </c>
      <c r="N764" t="e">
        <f t="shared" si="141"/>
        <v>#N/A</v>
      </c>
      <c r="O764">
        <f t="shared" si="142"/>
        <v>3.0007640000000002</v>
      </c>
      <c r="T764">
        <f>IF(connections!$A764="","",IFERROR(INDEX(games!$B$2:$B$834,MATCH(connections!$A764,games!$A$2:$A$834,0)),""))</f>
        <v>2017</v>
      </c>
      <c r="U764">
        <f>IF(connections!$A764="","",IFERROR(INDEX(games!$B$2:$B$834,MATCH(connections!$B764,games!$A$2:$A$834,0)),""))</f>
        <v>2024</v>
      </c>
      <c r="V764">
        <f t="shared" si="143"/>
        <v>7</v>
      </c>
    </row>
    <row r="765" spans="1:22" x14ac:dyDescent="0.25">
      <c r="A765" t="str">
        <f>IF(games!$A765="","",games!$A765)</f>
        <v>Toy Smash Kaboom!</v>
      </c>
      <c r="B765">
        <f>IF($A765="","",games!$B765)</f>
        <v>2025</v>
      </c>
      <c r="C765" t="str">
        <f>IF($A765="","",games!$C765)</f>
        <v>Deckbuilder</v>
      </c>
      <c r="D765">
        <f>IF($A765="","",COUNTIF(connections!$A$2:$A$1188,$A765)+COUNTIF(connections!$B$2:$B$1188,$A765))</f>
        <v>1</v>
      </c>
      <c r="E765">
        <f t="shared" si="132"/>
        <v>3</v>
      </c>
      <c r="F765">
        <f t="shared" si="133"/>
        <v>17</v>
      </c>
      <c r="G765" t="e">
        <f t="shared" si="134"/>
        <v>#N/A</v>
      </c>
      <c r="H765" t="e">
        <f t="shared" si="135"/>
        <v>#N/A</v>
      </c>
      <c r="I765" t="e">
        <f t="shared" si="136"/>
        <v>#N/A</v>
      </c>
      <c r="J765" t="e">
        <f t="shared" si="137"/>
        <v>#N/A</v>
      </c>
      <c r="K765">
        <f t="shared" si="138"/>
        <v>2025</v>
      </c>
      <c r="L765">
        <f t="shared" si="139"/>
        <v>3.391</v>
      </c>
      <c r="M765" t="e">
        <f t="shared" si="140"/>
        <v>#N/A</v>
      </c>
      <c r="N765" t="e">
        <f t="shared" si="141"/>
        <v>#N/A</v>
      </c>
      <c r="O765">
        <f t="shared" si="142"/>
        <v>1.0007649999999999</v>
      </c>
      <c r="T765">
        <f>IF(connections!$A765="","",IFERROR(INDEX(games!$B$2:$B$834,MATCH(connections!$A765,games!$A$2:$A$834,0)),""))</f>
        <v>2017</v>
      </c>
      <c r="U765">
        <f>IF(connections!$A765="","",IFERROR(INDEX(games!$B$2:$B$834,MATCH(connections!$B765,games!$A$2:$A$834,0)),""))</f>
        <v>2022</v>
      </c>
      <c r="V765">
        <f t="shared" si="143"/>
        <v>5</v>
      </c>
    </row>
    <row r="766" spans="1:22" x14ac:dyDescent="0.25">
      <c r="A766" t="str">
        <f>IF(games!$A766="","",games!$A766)</f>
        <v>Trials of Fire</v>
      </c>
      <c r="B766">
        <f>IF($A766="","",games!$B766)</f>
        <v>2019</v>
      </c>
      <c r="C766" t="str">
        <f>IF($A766="","",games!$C766)</f>
        <v>Deckbuilder</v>
      </c>
      <c r="D766">
        <f>IF($A766="","",COUNTIF(connections!$A$2:$A$1188,$A766)+COUNTIF(connections!$B$2:$B$1188,$A766))</f>
        <v>1</v>
      </c>
      <c r="E766">
        <f t="shared" si="132"/>
        <v>3</v>
      </c>
      <c r="F766">
        <f t="shared" si="133"/>
        <v>18</v>
      </c>
      <c r="G766" t="e">
        <f t="shared" si="134"/>
        <v>#N/A</v>
      </c>
      <c r="H766" t="e">
        <f t="shared" si="135"/>
        <v>#N/A</v>
      </c>
      <c r="I766" t="e">
        <f t="shared" si="136"/>
        <v>#N/A</v>
      </c>
      <c r="J766" t="e">
        <f t="shared" si="137"/>
        <v>#N/A</v>
      </c>
      <c r="K766">
        <f t="shared" si="138"/>
        <v>2019</v>
      </c>
      <c r="L766">
        <f t="shared" si="139"/>
        <v>3.4140000000000001</v>
      </c>
      <c r="M766" t="e">
        <f t="shared" si="140"/>
        <v>#N/A</v>
      </c>
      <c r="N766" t="e">
        <f t="shared" si="141"/>
        <v>#N/A</v>
      </c>
      <c r="O766">
        <f t="shared" si="142"/>
        <v>1.000766</v>
      </c>
      <c r="T766">
        <f>IF(connections!$A766="","",IFERROR(INDEX(games!$B$2:$B$834,MATCH(connections!$A766,games!$A$2:$A$834,0)),""))</f>
        <v>2017</v>
      </c>
      <c r="U766">
        <f>IF(connections!$A766="","",IFERROR(INDEX(games!$B$2:$B$834,MATCH(connections!$B766,games!$A$2:$A$834,0)),""))</f>
        <v>2024</v>
      </c>
      <c r="V766">
        <f t="shared" si="143"/>
        <v>7</v>
      </c>
    </row>
    <row r="767" spans="1:22" x14ac:dyDescent="0.25">
      <c r="A767" t="str">
        <f>IF(games!$A767="","",games!$A767)</f>
        <v>TumbleSeed</v>
      </c>
      <c r="B767">
        <f>IF($A767="","",games!$B767)</f>
        <v>2017</v>
      </c>
      <c r="C767" t="str">
        <f>IF($A767="","",games!$C767)</f>
        <v>Action</v>
      </c>
      <c r="D767">
        <f>IF($A767="","",COUNTIF(connections!$A$2:$A$1188,$A767)+COUNTIF(connections!$B$2:$B$1188,$A767))</f>
        <v>3</v>
      </c>
      <c r="E767">
        <f t="shared" si="132"/>
        <v>1</v>
      </c>
      <c r="F767">
        <f t="shared" si="133"/>
        <v>19</v>
      </c>
      <c r="G767">
        <f t="shared" si="134"/>
        <v>2017</v>
      </c>
      <c r="H767">
        <f t="shared" si="135"/>
        <v>1.4370000000000001</v>
      </c>
      <c r="I767" t="e">
        <f t="shared" si="136"/>
        <v>#N/A</v>
      </c>
      <c r="J767" t="e">
        <f t="shared" si="137"/>
        <v>#N/A</v>
      </c>
      <c r="K767" t="e">
        <f t="shared" si="138"/>
        <v>#N/A</v>
      </c>
      <c r="L767" t="e">
        <f t="shared" si="139"/>
        <v>#N/A</v>
      </c>
      <c r="M767" t="e">
        <f t="shared" si="140"/>
        <v>#N/A</v>
      </c>
      <c r="N767" t="e">
        <f t="shared" si="141"/>
        <v>#N/A</v>
      </c>
      <c r="O767">
        <f t="shared" si="142"/>
        <v>3.0007670000000002</v>
      </c>
      <c r="T767">
        <f>IF(connections!$A767="","",IFERROR(INDEX(games!$B$2:$B$834,MATCH(connections!$A767,games!$A$2:$A$834,0)),""))</f>
        <v>2017</v>
      </c>
      <c r="U767">
        <f>IF(connections!$A767="","",IFERROR(INDEX(games!$B$2:$B$834,MATCH(connections!$B767,games!$A$2:$A$834,0)),""))</f>
        <v>2026</v>
      </c>
      <c r="V767">
        <f t="shared" si="143"/>
        <v>9</v>
      </c>
    </row>
    <row r="768" spans="1:22" x14ac:dyDescent="0.25">
      <c r="A768" t="str">
        <f>IF(games!$A768="","",games!$A768)</f>
        <v>Turnbound</v>
      </c>
      <c r="B768">
        <f>IF($A768="","",games!$B768)</f>
        <v>2026</v>
      </c>
      <c r="C768" t="str">
        <f>IF($A768="","",games!$C768)</f>
        <v>Deckbuilder</v>
      </c>
      <c r="D768">
        <f>IF($A768="","",COUNTIF(connections!$A$2:$A$1188,$A768)+COUNTIF(connections!$B$2:$B$1188,$A768))</f>
        <v>2</v>
      </c>
      <c r="E768">
        <f t="shared" si="132"/>
        <v>3</v>
      </c>
      <c r="F768">
        <f t="shared" si="133"/>
        <v>20</v>
      </c>
      <c r="G768" t="e">
        <f t="shared" si="134"/>
        <v>#N/A</v>
      </c>
      <c r="H768" t="e">
        <f t="shared" si="135"/>
        <v>#N/A</v>
      </c>
      <c r="I768" t="e">
        <f t="shared" si="136"/>
        <v>#N/A</v>
      </c>
      <c r="J768" t="e">
        <f t="shared" si="137"/>
        <v>#N/A</v>
      </c>
      <c r="K768">
        <f t="shared" si="138"/>
        <v>2026</v>
      </c>
      <c r="L768">
        <f t="shared" si="139"/>
        <v>3.46</v>
      </c>
      <c r="M768" t="e">
        <f t="shared" si="140"/>
        <v>#N/A</v>
      </c>
      <c r="N768" t="e">
        <f t="shared" si="141"/>
        <v>#N/A</v>
      </c>
      <c r="O768">
        <f t="shared" si="142"/>
        <v>2.0007679999999999</v>
      </c>
      <c r="T768">
        <f>IF(connections!$A768="","",IFERROR(INDEX(games!$B$2:$B$834,MATCH(connections!$A768,games!$A$2:$A$834,0)),""))</f>
        <v>2017</v>
      </c>
      <c r="U768">
        <f>IF(connections!$A768="","",IFERROR(INDEX(games!$B$2:$B$834,MATCH(connections!$B768,games!$A$2:$A$834,0)),""))</f>
        <v>2021</v>
      </c>
      <c r="V768">
        <f t="shared" si="143"/>
        <v>4</v>
      </c>
    </row>
    <row r="769" spans="1:22" x14ac:dyDescent="0.25">
      <c r="A769" t="str">
        <f>IF(games!$A769="","",games!$A769)</f>
        <v>Tyrant's Realm</v>
      </c>
      <c r="B769">
        <f>IF($A769="","",games!$B769)</f>
        <v>2025</v>
      </c>
      <c r="C769" t="str">
        <f>IF($A769="","",games!$C769)</f>
        <v>Action</v>
      </c>
      <c r="D769">
        <f>IF($A769="","",COUNTIF(connections!$A$2:$A$1188,$A769)+COUNTIF(connections!$B$2:$B$1188,$A769))</f>
        <v>1</v>
      </c>
      <c r="E769">
        <f t="shared" si="132"/>
        <v>1</v>
      </c>
      <c r="F769">
        <f t="shared" si="133"/>
        <v>21</v>
      </c>
      <c r="G769">
        <f t="shared" si="134"/>
        <v>2025</v>
      </c>
      <c r="H769">
        <f t="shared" si="135"/>
        <v>1.4830000000000001</v>
      </c>
      <c r="I769" t="e">
        <f t="shared" si="136"/>
        <v>#N/A</v>
      </c>
      <c r="J769" t="e">
        <f t="shared" si="137"/>
        <v>#N/A</v>
      </c>
      <c r="K769" t="e">
        <f t="shared" si="138"/>
        <v>#N/A</v>
      </c>
      <c r="L769" t="e">
        <f t="shared" si="139"/>
        <v>#N/A</v>
      </c>
      <c r="M769" t="e">
        <f t="shared" si="140"/>
        <v>#N/A</v>
      </c>
      <c r="N769" t="e">
        <f t="shared" si="141"/>
        <v>#N/A</v>
      </c>
      <c r="O769">
        <f t="shared" si="142"/>
        <v>1.000769</v>
      </c>
      <c r="T769">
        <f>IF(connections!$A769="","",IFERROR(INDEX(games!$B$2:$B$834,MATCH(connections!$A769,games!$A$2:$A$834,0)),""))</f>
        <v>2017</v>
      </c>
      <c r="U769">
        <f>IF(connections!$A769="","",IFERROR(INDEX(games!$B$2:$B$834,MATCH(connections!$B769,games!$A$2:$A$834,0)),""))</f>
        <v>2026</v>
      </c>
      <c r="V769">
        <f t="shared" si="143"/>
        <v>9</v>
      </c>
    </row>
    <row r="770" spans="1:22" x14ac:dyDescent="0.25">
      <c r="A770" t="str">
        <f>IF(games!$A770="","",games!$A770)</f>
        <v>Ultima Ratio Regum</v>
      </c>
      <c r="B770">
        <f>IF($A770="","",games!$B770)</f>
        <v>2012</v>
      </c>
      <c r="C770" t="str">
        <f>IF($A770="","",games!$C770)</f>
        <v>Traditional</v>
      </c>
      <c r="D770">
        <f>IF($A770="","",COUNTIF(connections!$A$2:$A$1188,$A770)+COUNTIF(connections!$B$2:$B$1188,$A770))</f>
        <v>2</v>
      </c>
      <c r="E770">
        <f t="shared" ref="E770:E820" si="144">IF($A770="","",IFERROR(MATCH($C770,$R$2:$R$5,0),0))</f>
        <v>4</v>
      </c>
      <c r="F770">
        <f t="shared" ref="F770:F820" si="145">IF($A770="","",MOD(ROW(),34))</f>
        <v>22</v>
      </c>
      <c r="G770" t="e">
        <f t="shared" ref="G770:G820" si="146">IF($A770="",NA(),IF($C770="Action",$B770,NA()))</f>
        <v>#N/A</v>
      </c>
      <c r="H770" t="e">
        <f t="shared" ref="H770:H820" si="147">IF($A770="",NA(),IF($C770="Action",1+$F770*0.023,NA()))</f>
        <v>#N/A</v>
      </c>
      <c r="I770" t="e">
        <f t="shared" ref="I770:I820" si="148">IF($A770="",NA(),IF($C770="Strategy",$B770,NA()))</f>
        <v>#N/A</v>
      </c>
      <c r="J770" t="e">
        <f t="shared" ref="J770:J820" si="149">IF($A770="",NA(),IF($C770="Strategy",2+$F770*0.023,NA()))</f>
        <v>#N/A</v>
      </c>
      <c r="K770" t="e">
        <f t="shared" ref="K770:K820" si="150">IF($A770="",NA(),IF($C770="Deckbuilder",$B770,NA()))</f>
        <v>#N/A</v>
      </c>
      <c r="L770" t="e">
        <f t="shared" ref="L770:L820" si="151">IF($A770="",NA(),IF($C770="Deckbuilder",3+$F770*0.023,NA()))</f>
        <v>#N/A</v>
      </c>
      <c r="M770">
        <f t="shared" ref="M770:M820" si="152">IF($A770="",NA(),IF($C770="Traditional",$B770,NA()))</f>
        <v>2012</v>
      </c>
      <c r="N770">
        <f t="shared" ref="N770:N820" si="153">IF($A770="",NA(),IF($C770="Traditional",4+$F770*0.023,NA()))</f>
        <v>4.5060000000000002</v>
      </c>
      <c r="O770">
        <f t="shared" ref="O770:O820" si="154">IF($A770="","",$D770+ROW()/1000000)</f>
        <v>2.0007700000000002</v>
      </c>
      <c r="T770">
        <f>IF(connections!$A770="","",IFERROR(INDEX(games!$B$2:$B$834,MATCH(connections!$A770,games!$A$2:$A$834,0)),""))</f>
        <v>2017</v>
      </c>
      <c r="U770">
        <f>IF(connections!$A770="","",IFERROR(INDEX(games!$B$2:$B$834,MATCH(connections!$B770,games!$A$2:$A$834,0)),""))</f>
        <v>2020</v>
      </c>
      <c r="V770">
        <f t="shared" ref="V770:V833" si="155">IF(OR($T770="",$U770=""),"",$U770-$T770)</f>
        <v>3</v>
      </c>
    </row>
    <row r="771" spans="1:22" x14ac:dyDescent="0.25">
      <c r="A771" t="str">
        <f>IF(games!$A771="","",games!$A771)</f>
        <v>Ultimate ADOM</v>
      </c>
      <c r="B771">
        <f>IF($A771="","",games!$B771)</f>
        <v>2021</v>
      </c>
      <c r="C771" t="str">
        <f>IF($A771="","",games!$C771)</f>
        <v>Traditional</v>
      </c>
      <c r="D771">
        <f>IF($A771="","",COUNTIF(connections!$A$2:$A$1188,$A771)+COUNTIF(connections!$B$2:$B$1188,$A771))</f>
        <v>1</v>
      </c>
      <c r="E771">
        <f t="shared" si="144"/>
        <v>4</v>
      </c>
      <c r="F771">
        <f t="shared" si="145"/>
        <v>23</v>
      </c>
      <c r="G771" t="e">
        <f t="shared" si="146"/>
        <v>#N/A</v>
      </c>
      <c r="H771" t="e">
        <f t="shared" si="147"/>
        <v>#N/A</v>
      </c>
      <c r="I771" t="e">
        <f t="shared" si="148"/>
        <v>#N/A</v>
      </c>
      <c r="J771" t="e">
        <f t="shared" si="149"/>
        <v>#N/A</v>
      </c>
      <c r="K771" t="e">
        <f t="shared" si="150"/>
        <v>#N/A</v>
      </c>
      <c r="L771" t="e">
        <f t="shared" si="151"/>
        <v>#N/A</v>
      </c>
      <c r="M771">
        <f t="shared" si="152"/>
        <v>2021</v>
      </c>
      <c r="N771">
        <f t="shared" si="153"/>
        <v>4.5289999999999999</v>
      </c>
      <c r="O771">
        <f t="shared" si="154"/>
        <v>1.0007710000000001</v>
      </c>
      <c r="T771">
        <f>IF(connections!$A771="","",IFERROR(INDEX(games!$B$2:$B$834,MATCH(connections!$A771,games!$A$2:$A$834,0)),""))</f>
        <v>2017</v>
      </c>
      <c r="U771">
        <f>IF(connections!$A771="","",IFERROR(INDEX(games!$B$2:$B$834,MATCH(connections!$B771,games!$A$2:$A$834,0)),""))</f>
        <v>2022</v>
      </c>
      <c r="V771">
        <f t="shared" si="155"/>
        <v>5</v>
      </c>
    </row>
    <row r="772" spans="1:22" x14ac:dyDescent="0.25">
      <c r="A772" t="str">
        <f>IF(games!$A772="","",games!$A772)</f>
        <v>Uma Musume: Pretty Derby</v>
      </c>
      <c r="B772">
        <f>IF($A772="","",games!$B772)</f>
        <v>2021</v>
      </c>
      <c r="C772" t="str">
        <f>IF($A772="","",games!$C772)</f>
        <v>Strategy</v>
      </c>
      <c r="D772">
        <f>IF($A772="","",COUNTIF(connections!$A$2:$A$1188,$A772)+COUNTIF(connections!$B$2:$B$1188,$A772))</f>
        <v>0</v>
      </c>
      <c r="E772">
        <f t="shared" si="144"/>
        <v>2</v>
      </c>
      <c r="F772">
        <f t="shared" si="145"/>
        <v>24</v>
      </c>
      <c r="G772" t="e">
        <f t="shared" si="146"/>
        <v>#N/A</v>
      </c>
      <c r="H772" t="e">
        <f t="shared" si="147"/>
        <v>#N/A</v>
      </c>
      <c r="I772">
        <f t="shared" si="148"/>
        <v>2021</v>
      </c>
      <c r="J772">
        <f t="shared" si="149"/>
        <v>2.552</v>
      </c>
      <c r="K772" t="e">
        <f t="shared" si="150"/>
        <v>#N/A</v>
      </c>
      <c r="L772" t="e">
        <f t="shared" si="151"/>
        <v>#N/A</v>
      </c>
      <c r="M772" t="e">
        <f t="shared" si="152"/>
        <v>#N/A</v>
      </c>
      <c r="N772" t="e">
        <f t="shared" si="153"/>
        <v>#N/A</v>
      </c>
      <c r="O772">
        <f t="shared" si="154"/>
        <v>7.7200000000000001E-4</v>
      </c>
      <c r="T772">
        <f>IF(connections!$A772="","",IFERROR(INDEX(games!$B$2:$B$834,MATCH(connections!$A772,games!$A$2:$A$834,0)),""))</f>
        <v>2017</v>
      </c>
      <c r="U772">
        <f>IF(connections!$A772="","",IFERROR(INDEX(games!$B$2:$B$834,MATCH(connections!$B772,games!$A$2:$A$834,0)),""))</f>
        <v>2022</v>
      </c>
      <c r="V772">
        <f t="shared" si="155"/>
        <v>5</v>
      </c>
    </row>
    <row r="773" spans="1:22" x14ac:dyDescent="0.25">
      <c r="A773" t="str">
        <f>IF(games!$A773="","",games!$A773)</f>
        <v>Underdogs</v>
      </c>
      <c r="B773">
        <f>IF($A773="","",games!$B773)</f>
        <v>2024</v>
      </c>
      <c r="C773" t="str">
        <f>IF($A773="","",games!$C773)</f>
        <v>Action</v>
      </c>
      <c r="D773">
        <f>IF($A773="","",COUNTIF(connections!$A$2:$A$1188,$A773)+COUNTIF(connections!$B$2:$B$1188,$A773))</f>
        <v>0</v>
      </c>
      <c r="E773">
        <f t="shared" si="144"/>
        <v>1</v>
      </c>
      <c r="F773">
        <f t="shared" si="145"/>
        <v>25</v>
      </c>
      <c r="G773">
        <f t="shared" si="146"/>
        <v>2024</v>
      </c>
      <c r="H773">
        <f t="shared" si="147"/>
        <v>1.575</v>
      </c>
      <c r="I773" t="e">
        <f t="shared" si="148"/>
        <v>#N/A</v>
      </c>
      <c r="J773" t="e">
        <f t="shared" si="149"/>
        <v>#N/A</v>
      </c>
      <c r="K773" t="e">
        <f t="shared" si="150"/>
        <v>#N/A</v>
      </c>
      <c r="L773" t="e">
        <f t="shared" si="151"/>
        <v>#N/A</v>
      </c>
      <c r="M773" t="e">
        <f t="shared" si="152"/>
        <v>#N/A</v>
      </c>
      <c r="N773" t="e">
        <f t="shared" si="153"/>
        <v>#N/A</v>
      </c>
      <c r="O773">
        <f t="shared" si="154"/>
        <v>7.7300000000000003E-4</v>
      </c>
      <c r="T773">
        <f>IF(connections!$A773="","",IFERROR(INDEX(games!$B$2:$B$834,MATCH(connections!$A773,games!$A$2:$A$834,0)),""))</f>
        <v>2017</v>
      </c>
      <c r="U773">
        <f>IF(connections!$A773="","",IFERROR(INDEX(games!$B$2:$B$834,MATCH(connections!$B773,games!$A$2:$A$834,0)),""))</f>
        <v>2020</v>
      </c>
      <c r="V773">
        <f t="shared" si="155"/>
        <v>3</v>
      </c>
    </row>
    <row r="774" spans="1:22" x14ac:dyDescent="0.25">
      <c r="A774" t="str">
        <f>IF(games!$A774="","",games!$A774)</f>
        <v>UnderMine</v>
      </c>
      <c r="B774">
        <f>IF($A774="","",games!$B774)</f>
        <v>2019</v>
      </c>
      <c r="C774" t="str">
        <f>IF($A774="","",games!$C774)</f>
        <v>Action</v>
      </c>
      <c r="D774">
        <f>IF($A774="","",COUNTIF(connections!$A$2:$A$1188,$A774)+COUNTIF(connections!$B$2:$B$1188,$A774))</f>
        <v>5</v>
      </c>
      <c r="E774">
        <f t="shared" si="144"/>
        <v>1</v>
      </c>
      <c r="F774">
        <f t="shared" si="145"/>
        <v>26</v>
      </c>
      <c r="G774">
        <f t="shared" si="146"/>
        <v>2019</v>
      </c>
      <c r="H774">
        <f t="shared" si="147"/>
        <v>1.5979999999999999</v>
      </c>
      <c r="I774" t="e">
        <f t="shared" si="148"/>
        <v>#N/A</v>
      </c>
      <c r="J774" t="e">
        <f t="shared" si="149"/>
        <v>#N/A</v>
      </c>
      <c r="K774" t="e">
        <f t="shared" si="150"/>
        <v>#N/A</v>
      </c>
      <c r="L774" t="e">
        <f t="shared" si="151"/>
        <v>#N/A</v>
      </c>
      <c r="M774" t="e">
        <f t="shared" si="152"/>
        <v>#N/A</v>
      </c>
      <c r="N774" t="e">
        <f t="shared" si="153"/>
        <v>#N/A</v>
      </c>
      <c r="O774">
        <f t="shared" si="154"/>
        <v>5.0007739999999998</v>
      </c>
      <c r="T774">
        <f>IF(connections!$A774="","",IFERROR(INDEX(games!$B$2:$B$834,MATCH(connections!$A774,games!$A$2:$A$834,0)),""))</f>
        <v>2017</v>
      </c>
      <c r="U774">
        <f>IF(connections!$A774="","",IFERROR(INDEX(games!$B$2:$B$834,MATCH(connections!$B774,games!$A$2:$A$834,0)),""))</f>
        <v>2021</v>
      </c>
      <c r="V774">
        <f t="shared" si="155"/>
        <v>4</v>
      </c>
    </row>
    <row r="775" spans="1:22" x14ac:dyDescent="0.25">
      <c r="A775" t="str">
        <f>IF(games!$A775="","",games!$A775)</f>
        <v>UnderMine 2</v>
      </c>
      <c r="B775">
        <f>IF($A775="","",games!$B775)</f>
        <v>2025</v>
      </c>
      <c r="C775" t="str">
        <f>IF($A775="","",games!$C775)</f>
        <v>Action</v>
      </c>
      <c r="D775">
        <f>IF($A775="","",COUNTIF(connections!$A$2:$A$1188,$A775)+COUNTIF(connections!$B$2:$B$1188,$A775))</f>
        <v>1</v>
      </c>
      <c r="E775">
        <f t="shared" si="144"/>
        <v>1</v>
      </c>
      <c r="F775">
        <f t="shared" si="145"/>
        <v>27</v>
      </c>
      <c r="G775">
        <f t="shared" si="146"/>
        <v>2025</v>
      </c>
      <c r="H775">
        <f t="shared" si="147"/>
        <v>1.621</v>
      </c>
      <c r="I775" t="e">
        <f t="shared" si="148"/>
        <v>#N/A</v>
      </c>
      <c r="J775" t="e">
        <f t="shared" si="149"/>
        <v>#N/A</v>
      </c>
      <c r="K775" t="e">
        <f t="shared" si="150"/>
        <v>#N/A</v>
      </c>
      <c r="L775" t="e">
        <f t="shared" si="151"/>
        <v>#N/A</v>
      </c>
      <c r="M775" t="e">
        <f t="shared" si="152"/>
        <v>#N/A</v>
      </c>
      <c r="N775" t="e">
        <f t="shared" si="153"/>
        <v>#N/A</v>
      </c>
      <c r="O775">
        <f t="shared" si="154"/>
        <v>1.000775</v>
      </c>
      <c r="T775">
        <f>IF(connections!$A775="","",IFERROR(INDEX(games!$B$2:$B$834,MATCH(connections!$A775,games!$A$2:$A$834,0)),""))</f>
        <v>2017</v>
      </c>
      <c r="U775">
        <f>IF(connections!$A775="","",IFERROR(INDEX(games!$B$2:$B$834,MATCH(connections!$B775,games!$A$2:$A$834,0)),""))</f>
        <v>2026</v>
      </c>
      <c r="V775">
        <f t="shared" si="155"/>
        <v>9</v>
      </c>
    </row>
    <row r="776" spans="1:22" x14ac:dyDescent="0.25">
      <c r="A776" t="str">
        <f>IF(games!$A776="","",games!$A776)</f>
        <v>Unexplored</v>
      </c>
      <c r="B776">
        <f>IF($A776="","",games!$B776)</f>
        <v>2017</v>
      </c>
      <c r="C776" t="str">
        <f>IF($A776="","",games!$C776)</f>
        <v>Action</v>
      </c>
      <c r="D776">
        <f>IF($A776="","",COUNTIF(connections!$A$2:$A$1188,$A776)+COUNTIF(connections!$B$2:$B$1188,$A776))</f>
        <v>3</v>
      </c>
      <c r="E776">
        <f t="shared" si="144"/>
        <v>1</v>
      </c>
      <c r="F776">
        <f t="shared" si="145"/>
        <v>28</v>
      </c>
      <c r="G776">
        <f t="shared" si="146"/>
        <v>2017</v>
      </c>
      <c r="H776">
        <f t="shared" si="147"/>
        <v>1.6440000000000001</v>
      </c>
      <c r="I776" t="e">
        <f t="shared" si="148"/>
        <v>#N/A</v>
      </c>
      <c r="J776" t="e">
        <f t="shared" si="149"/>
        <v>#N/A</v>
      </c>
      <c r="K776" t="e">
        <f t="shared" si="150"/>
        <v>#N/A</v>
      </c>
      <c r="L776" t="e">
        <f t="shared" si="151"/>
        <v>#N/A</v>
      </c>
      <c r="M776" t="e">
        <f t="shared" si="152"/>
        <v>#N/A</v>
      </c>
      <c r="N776" t="e">
        <f t="shared" si="153"/>
        <v>#N/A</v>
      </c>
      <c r="O776">
        <f t="shared" si="154"/>
        <v>3.0007760000000001</v>
      </c>
      <c r="T776">
        <f>IF(connections!$A776="","",IFERROR(INDEX(games!$B$2:$B$834,MATCH(connections!$A776,games!$A$2:$A$834,0)),""))</f>
        <v>2017</v>
      </c>
      <c r="U776">
        <f>IF(connections!$A776="","",IFERROR(INDEX(games!$B$2:$B$834,MATCH(connections!$B776,games!$A$2:$A$834,0)),""))</f>
        <v>2023</v>
      </c>
      <c r="V776">
        <f t="shared" si="155"/>
        <v>6</v>
      </c>
    </row>
    <row r="777" spans="1:22" x14ac:dyDescent="0.25">
      <c r="A777" t="str">
        <f>IF(games!$A777="","",games!$A777)</f>
        <v>Unexplored 2: The Wayfarer's Legacy</v>
      </c>
      <c r="B777">
        <f>IF($A777="","",games!$B777)</f>
        <v>2022</v>
      </c>
      <c r="C777" t="str">
        <f>IF($A777="","",games!$C777)</f>
        <v>Action</v>
      </c>
      <c r="D777">
        <f>IF($A777="","",COUNTIF(connections!$A$2:$A$1188,$A777)+COUNTIF(connections!$B$2:$B$1188,$A777))</f>
        <v>1</v>
      </c>
      <c r="E777">
        <f t="shared" si="144"/>
        <v>1</v>
      </c>
      <c r="F777">
        <f t="shared" si="145"/>
        <v>29</v>
      </c>
      <c r="G777">
        <f t="shared" si="146"/>
        <v>2022</v>
      </c>
      <c r="H777">
        <f t="shared" si="147"/>
        <v>1.667</v>
      </c>
      <c r="I777" t="e">
        <f t="shared" si="148"/>
        <v>#N/A</v>
      </c>
      <c r="J777" t="e">
        <f t="shared" si="149"/>
        <v>#N/A</v>
      </c>
      <c r="K777" t="e">
        <f t="shared" si="150"/>
        <v>#N/A</v>
      </c>
      <c r="L777" t="e">
        <f t="shared" si="151"/>
        <v>#N/A</v>
      </c>
      <c r="M777" t="e">
        <f t="shared" si="152"/>
        <v>#N/A</v>
      </c>
      <c r="N777" t="e">
        <f t="shared" si="153"/>
        <v>#N/A</v>
      </c>
      <c r="O777">
        <f t="shared" si="154"/>
        <v>1.000777</v>
      </c>
      <c r="T777">
        <f>IF(connections!$A777="","",IFERROR(INDEX(games!$B$2:$B$834,MATCH(connections!$A777,games!$A$2:$A$834,0)),""))</f>
        <v>2017</v>
      </c>
      <c r="U777">
        <f>IF(connections!$A777="","",IFERROR(INDEX(games!$B$2:$B$834,MATCH(connections!$B777,games!$A$2:$A$834,0)),""))</f>
        <v>2026</v>
      </c>
      <c r="V777">
        <f t="shared" si="155"/>
        <v>9</v>
      </c>
    </row>
    <row r="778" spans="1:22" x14ac:dyDescent="0.25">
      <c r="A778" t="str">
        <f>IF(games!$A778="","",games!$A778)</f>
        <v>UnReal World</v>
      </c>
      <c r="B778">
        <f>IF($A778="","",games!$B778)</f>
        <v>1992</v>
      </c>
      <c r="C778" t="str">
        <f>IF($A778="","",games!$C778)</f>
        <v>Traditional</v>
      </c>
      <c r="D778">
        <f>IF($A778="","",COUNTIF(connections!$A$2:$A$1188,$A778)+COUNTIF(connections!$B$2:$B$1188,$A778))</f>
        <v>3</v>
      </c>
      <c r="E778">
        <f t="shared" si="144"/>
        <v>4</v>
      </c>
      <c r="F778">
        <f t="shared" si="145"/>
        <v>30</v>
      </c>
      <c r="G778" t="e">
        <f t="shared" si="146"/>
        <v>#N/A</v>
      </c>
      <c r="H778" t="e">
        <f t="shared" si="147"/>
        <v>#N/A</v>
      </c>
      <c r="I778" t="e">
        <f t="shared" si="148"/>
        <v>#N/A</v>
      </c>
      <c r="J778" t="e">
        <f t="shared" si="149"/>
        <v>#N/A</v>
      </c>
      <c r="K778" t="e">
        <f t="shared" si="150"/>
        <v>#N/A</v>
      </c>
      <c r="L778" t="e">
        <f t="shared" si="151"/>
        <v>#N/A</v>
      </c>
      <c r="M778">
        <f t="shared" si="152"/>
        <v>1992</v>
      </c>
      <c r="N778">
        <f t="shared" si="153"/>
        <v>4.6899999999999995</v>
      </c>
      <c r="O778">
        <f t="shared" si="154"/>
        <v>3.0007779999999999</v>
      </c>
      <c r="T778">
        <f>IF(connections!$A778="","",IFERROR(INDEX(games!$B$2:$B$834,MATCH(connections!$A778,games!$A$2:$A$834,0)),""))</f>
        <v>2017</v>
      </c>
      <c r="U778">
        <f>IF(connections!$A778="","",IFERROR(INDEX(games!$B$2:$B$834,MATCH(connections!$B778,games!$A$2:$A$834,0)),""))</f>
        <v>2026</v>
      </c>
      <c r="V778">
        <f t="shared" si="155"/>
        <v>9</v>
      </c>
    </row>
    <row r="779" spans="1:22" x14ac:dyDescent="0.25">
      <c r="A779" t="str">
        <f>IF(games!$A779="","",games!$A779)</f>
        <v>Vagante</v>
      </c>
      <c r="B779">
        <f>IF($A779="","",games!$B779)</f>
        <v>2018</v>
      </c>
      <c r="C779" t="str">
        <f>IF($A779="","",games!$C779)</f>
        <v>Action</v>
      </c>
      <c r="D779">
        <f>IF($A779="","",COUNTIF(connections!$A$2:$A$1188,$A779)+COUNTIF(connections!$B$2:$B$1188,$A779))</f>
        <v>2</v>
      </c>
      <c r="E779">
        <f t="shared" si="144"/>
        <v>1</v>
      </c>
      <c r="F779">
        <f t="shared" si="145"/>
        <v>31</v>
      </c>
      <c r="G779">
        <f t="shared" si="146"/>
        <v>2018</v>
      </c>
      <c r="H779">
        <f t="shared" si="147"/>
        <v>1.7130000000000001</v>
      </c>
      <c r="I779" t="e">
        <f t="shared" si="148"/>
        <v>#N/A</v>
      </c>
      <c r="J779" t="e">
        <f t="shared" si="149"/>
        <v>#N/A</v>
      </c>
      <c r="K779" t="e">
        <f t="shared" si="150"/>
        <v>#N/A</v>
      </c>
      <c r="L779" t="e">
        <f t="shared" si="151"/>
        <v>#N/A</v>
      </c>
      <c r="M779" t="e">
        <f t="shared" si="152"/>
        <v>#N/A</v>
      </c>
      <c r="N779" t="e">
        <f t="shared" si="153"/>
        <v>#N/A</v>
      </c>
      <c r="O779">
        <f t="shared" si="154"/>
        <v>2.0007790000000001</v>
      </c>
      <c r="T779">
        <f>IF(connections!$A779="","",IFERROR(INDEX(games!$B$2:$B$834,MATCH(connections!$A779,games!$A$2:$A$834,0)),""))</f>
        <v>2017</v>
      </c>
      <c r="U779">
        <f>IF(connections!$A779="","",IFERROR(INDEX(games!$B$2:$B$834,MATCH(connections!$B779,games!$A$2:$A$834,0)),""))</f>
        <v>2025</v>
      </c>
      <c r="V779">
        <f t="shared" si="155"/>
        <v>8</v>
      </c>
    </row>
    <row r="780" spans="1:22" x14ac:dyDescent="0.25">
      <c r="A780" t="str">
        <f>IF(games!$A780="","",games!$A780)</f>
        <v>Vampire Crawlers</v>
      </c>
      <c r="B780">
        <f>IF($A780="","",games!$B780)</f>
        <v>2026</v>
      </c>
      <c r="C780" t="str">
        <f>IF($A780="","",games!$C780)</f>
        <v>Deckbuilder</v>
      </c>
      <c r="D780">
        <f>IF($A780="","",COUNTIF(connections!$A$2:$A$1188,$A780)+COUNTIF(connections!$B$2:$B$1188,$A780))</f>
        <v>1</v>
      </c>
      <c r="E780">
        <f t="shared" si="144"/>
        <v>3</v>
      </c>
      <c r="F780">
        <f t="shared" si="145"/>
        <v>32</v>
      </c>
      <c r="G780" t="e">
        <f t="shared" si="146"/>
        <v>#N/A</v>
      </c>
      <c r="H780" t="e">
        <f t="shared" si="147"/>
        <v>#N/A</v>
      </c>
      <c r="I780" t="e">
        <f t="shared" si="148"/>
        <v>#N/A</v>
      </c>
      <c r="J780" t="e">
        <f t="shared" si="149"/>
        <v>#N/A</v>
      </c>
      <c r="K780">
        <f t="shared" si="150"/>
        <v>2026</v>
      </c>
      <c r="L780">
        <f t="shared" si="151"/>
        <v>3.7359999999999998</v>
      </c>
      <c r="M780" t="e">
        <f t="shared" si="152"/>
        <v>#N/A</v>
      </c>
      <c r="N780" t="e">
        <f t="shared" si="153"/>
        <v>#N/A</v>
      </c>
      <c r="O780">
        <f t="shared" si="154"/>
        <v>1.00078</v>
      </c>
      <c r="T780">
        <f>IF(connections!$A780="","",IFERROR(INDEX(games!$B$2:$B$834,MATCH(connections!$A780,games!$A$2:$A$834,0)),""))</f>
        <v>2017</v>
      </c>
      <c r="U780">
        <f>IF(connections!$A780="","",IFERROR(INDEX(games!$B$2:$B$834,MATCH(connections!$B780,games!$A$2:$A$834,0)),""))</f>
        <v>2019</v>
      </c>
      <c r="V780">
        <f t="shared" si="155"/>
        <v>2</v>
      </c>
    </row>
    <row r="781" spans="1:22" x14ac:dyDescent="0.25">
      <c r="A781" t="str">
        <f>IF(games!$A781="","",games!$A781)</f>
        <v>Vampire Hunters</v>
      </c>
      <c r="B781">
        <f>IF($A781="","",games!$B781)</f>
        <v>2023</v>
      </c>
      <c r="C781" t="str">
        <f>IF($A781="","",games!$C781)</f>
        <v>Action</v>
      </c>
      <c r="D781">
        <f>IF($A781="","",COUNTIF(connections!$A$2:$A$1188,$A781)+COUNTIF(connections!$B$2:$B$1188,$A781))</f>
        <v>1</v>
      </c>
      <c r="E781">
        <f t="shared" si="144"/>
        <v>1</v>
      </c>
      <c r="F781">
        <f t="shared" si="145"/>
        <v>33</v>
      </c>
      <c r="G781">
        <f t="shared" si="146"/>
        <v>2023</v>
      </c>
      <c r="H781">
        <f t="shared" si="147"/>
        <v>1.7589999999999999</v>
      </c>
      <c r="I781" t="e">
        <f t="shared" si="148"/>
        <v>#N/A</v>
      </c>
      <c r="J781" t="e">
        <f t="shared" si="149"/>
        <v>#N/A</v>
      </c>
      <c r="K781" t="e">
        <f t="shared" si="150"/>
        <v>#N/A</v>
      </c>
      <c r="L781" t="e">
        <f t="shared" si="151"/>
        <v>#N/A</v>
      </c>
      <c r="M781" t="e">
        <f t="shared" si="152"/>
        <v>#N/A</v>
      </c>
      <c r="N781" t="e">
        <f t="shared" si="153"/>
        <v>#N/A</v>
      </c>
      <c r="O781">
        <f t="shared" si="154"/>
        <v>1.0007809999999999</v>
      </c>
      <c r="T781">
        <f>IF(connections!$A781="","",IFERROR(INDEX(games!$B$2:$B$834,MATCH(connections!$A781,games!$A$2:$A$834,0)),""))</f>
        <v>2017</v>
      </c>
      <c r="U781">
        <f>IF(connections!$A781="","",IFERROR(INDEX(games!$B$2:$B$834,MATCH(connections!$B781,games!$A$2:$A$834,0)),""))</f>
        <v>2024</v>
      </c>
      <c r="V781">
        <f t="shared" si="155"/>
        <v>7</v>
      </c>
    </row>
    <row r="782" spans="1:22" x14ac:dyDescent="0.25">
      <c r="A782" t="str">
        <f>IF(games!$A782="","",games!$A782)</f>
        <v>Vampire Survivors</v>
      </c>
      <c r="B782">
        <f>IF($A782="","",games!$B782)</f>
        <v>2021</v>
      </c>
      <c r="C782" t="str">
        <f>IF($A782="","",games!$C782)</f>
        <v>Action</v>
      </c>
      <c r="D782">
        <f>IF($A782="","",COUNTIF(connections!$A$2:$A$1188,$A782)+COUNTIF(connections!$B$2:$B$1188,$A782))</f>
        <v>85</v>
      </c>
      <c r="E782">
        <f t="shared" si="144"/>
        <v>1</v>
      </c>
      <c r="F782">
        <f t="shared" si="145"/>
        <v>0</v>
      </c>
      <c r="G782">
        <f t="shared" si="146"/>
        <v>2021</v>
      </c>
      <c r="H782">
        <f t="shared" si="147"/>
        <v>1</v>
      </c>
      <c r="I782" t="e">
        <f t="shared" si="148"/>
        <v>#N/A</v>
      </c>
      <c r="J782" t="e">
        <f t="shared" si="149"/>
        <v>#N/A</v>
      </c>
      <c r="K782" t="e">
        <f t="shared" si="150"/>
        <v>#N/A</v>
      </c>
      <c r="L782" t="e">
        <f t="shared" si="151"/>
        <v>#N/A</v>
      </c>
      <c r="M782" t="e">
        <f t="shared" si="152"/>
        <v>#N/A</v>
      </c>
      <c r="N782" t="e">
        <f t="shared" si="153"/>
        <v>#N/A</v>
      </c>
      <c r="O782">
        <f t="shared" si="154"/>
        <v>85.000782000000001</v>
      </c>
      <c r="T782">
        <f>IF(connections!$A782="","",IFERROR(INDEX(games!$B$2:$B$834,MATCH(connections!$A782,games!$A$2:$A$834,0)),""))</f>
        <v>2017</v>
      </c>
      <c r="U782">
        <f>IF(connections!$A782="","",IFERROR(INDEX(games!$B$2:$B$834,MATCH(connections!$B782,games!$A$2:$A$834,0)),""))</f>
        <v>2020</v>
      </c>
      <c r="V782">
        <f t="shared" si="155"/>
        <v>3</v>
      </c>
    </row>
    <row r="783" spans="1:22" x14ac:dyDescent="0.25">
      <c r="A783" t="str">
        <f>IF(games!$A783="","",games!$A783)</f>
        <v>Vault of the Void</v>
      </c>
      <c r="B783">
        <f>IF($A783="","",games!$B783)</f>
        <v>2020</v>
      </c>
      <c r="C783" t="str">
        <f>IF($A783="","",games!$C783)</f>
        <v>Deckbuilder</v>
      </c>
      <c r="D783">
        <f>IF($A783="","",COUNTIF(connections!$A$2:$A$1188,$A783)+COUNTIF(connections!$B$2:$B$1188,$A783))</f>
        <v>1</v>
      </c>
      <c r="E783">
        <f t="shared" si="144"/>
        <v>3</v>
      </c>
      <c r="F783">
        <f t="shared" si="145"/>
        <v>1</v>
      </c>
      <c r="G783" t="e">
        <f t="shared" si="146"/>
        <v>#N/A</v>
      </c>
      <c r="H783" t="e">
        <f t="shared" si="147"/>
        <v>#N/A</v>
      </c>
      <c r="I783" t="e">
        <f t="shared" si="148"/>
        <v>#N/A</v>
      </c>
      <c r="J783" t="e">
        <f t="shared" si="149"/>
        <v>#N/A</v>
      </c>
      <c r="K783">
        <f t="shared" si="150"/>
        <v>2020</v>
      </c>
      <c r="L783">
        <f t="shared" si="151"/>
        <v>3.0230000000000001</v>
      </c>
      <c r="M783" t="e">
        <f t="shared" si="152"/>
        <v>#N/A</v>
      </c>
      <c r="N783" t="e">
        <f t="shared" si="153"/>
        <v>#N/A</v>
      </c>
      <c r="O783">
        <f t="shared" si="154"/>
        <v>1.000783</v>
      </c>
      <c r="T783">
        <f>IF(connections!$A783="","",IFERROR(INDEX(games!$B$2:$B$834,MATCH(connections!$A783,games!$A$2:$A$834,0)),""))</f>
        <v>2017</v>
      </c>
      <c r="U783">
        <f>IF(connections!$A783="","",IFERROR(INDEX(games!$B$2:$B$834,MATCH(connections!$B783,games!$A$2:$A$834,0)),""))</f>
        <v>2019</v>
      </c>
      <c r="V783">
        <f t="shared" si="155"/>
        <v>2</v>
      </c>
    </row>
    <row r="784" spans="1:22" x14ac:dyDescent="0.25">
      <c r="A784" t="str">
        <f>IF(games!$A784="","",games!$A784)</f>
        <v>Vellum</v>
      </c>
      <c r="B784">
        <f>IF($A784="","",games!$B784)</f>
        <v>2024</v>
      </c>
      <c r="C784" t="str">
        <f>IF($A784="","",games!$C784)</f>
        <v>Action</v>
      </c>
      <c r="D784">
        <f>IF($A784="","",COUNTIF(connections!$A$2:$A$1188,$A784)+COUNTIF(connections!$B$2:$B$1188,$A784))</f>
        <v>6</v>
      </c>
      <c r="E784">
        <f t="shared" si="144"/>
        <v>1</v>
      </c>
      <c r="F784">
        <f t="shared" si="145"/>
        <v>2</v>
      </c>
      <c r="G784">
        <f t="shared" si="146"/>
        <v>2024</v>
      </c>
      <c r="H784">
        <f t="shared" si="147"/>
        <v>1.046</v>
      </c>
      <c r="I784" t="e">
        <f t="shared" si="148"/>
        <v>#N/A</v>
      </c>
      <c r="J784" t="e">
        <f t="shared" si="149"/>
        <v>#N/A</v>
      </c>
      <c r="K784" t="e">
        <f t="shared" si="150"/>
        <v>#N/A</v>
      </c>
      <c r="L784" t="e">
        <f t="shared" si="151"/>
        <v>#N/A</v>
      </c>
      <c r="M784" t="e">
        <f t="shared" si="152"/>
        <v>#N/A</v>
      </c>
      <c r="N784" t="e">
        <f t="shared" si="153"/>
        <v>#N/A</v>
      </c>
      <c r="O784">
        <f t="shared" si="154"/>
        <v>6.0007840000000003</v>
      </c>
      <c r="T784">
        <f>IF(connections!$A784="","",IFERROR(INDEX(games!$B$2:$B$834,MATCH(connections!$A784,games!$A$2:$A$834,0)),""))</f>
        <v>2017</v>
      </c>
      <c r="U784">
        <f>IF(connections!$A784="","",IFERROR(INDEX(games!$B$2:$B$834,MATCH(connections!$B784,games!$A$2:$A$834,0)),""))</f>
        <v>2022</v>
      </c>
      <c r="V784">
        <f t="shared" si="155"/>
        <v>5</v>
      </c>
    </row>
    <row r="785" spans="1:22" x14ac:dyDescent="0.25">
      <c r="A785" t="str">
        <f>IF(games!$A785="","",games!$A785)</f>
        <v>Vital Shell</v>
      </c>
      <c r="B785">
        <f>IF($A785="","",games!$B785)</f>
        <v>2026</v>
      </c>
      <c r="C785" t="str">
        <f>IF($A785="","",games!$C785)</f>
        <v>Action</v>
      </c>
      <c r="D785">
        <f>IF($A785="","",COUNTIF(connections!$A$2:$A$1188,$A785)+COUNTIF(connections!$B$2:$B$1188,$A785))</f>
        <v>1</v>
      </c>
      <c r="E785">
        <f t="shared" si="144"/>
        <v>1</v>
      </c>
      <c r="F785">
        <f t="shared" si="145"/>
        <v>3</v>
      </c>
      <c r="G785">
        <f t="shared" si="146"/>
        <v>2026</v>
      </c>
      <c r="H785">
        <f t="shared" si="147"/>
        <v>1.069</v>
      </c>
      <c r="I785" t="e">
        <f t="shared" si="148"/>
        <v>#N/A</v>
      </c>
      <c r="J785" t="e">
        <f t="shared" si="149"/>
        <v>#N/A</v>
      </c>
      <c r="K785" t="e">
        <f t="shared" si="150"/>
        <v>#N/A</v>
      </c>
      <c r="L785" t="e">
        <f t="shared" si="151"/>
        <v>#N/A</v>
      </c>
      <c r="M785" t="e">
        <f t="shared" si="152"/>
        <v>#N/A</v>
      </c>
      <c r="N785" t="e">
        <f t="shared" si="153"/>
        <v>#N/A</v>
      </c>
      <c r="O785">
        <f t="shared" si="154"/>
        <v>1.000785</v>
      </c>
      <c r="T785">
        <f>IF(connections!$A785="","",IFERROR(INDEX(games!$B$2:$B$834,MATCH(connections!$A785,games!$A$2:$A$834,0)),""))</f>
        <v>2017</v>
      </c>
      <c r="U785">
        <f>IF(connections!$A785="","",IFERROR(INDEX(games!$B$2:$B$834,MATCH(connections!$B785,games!$A$2:$A$834,0)),""))</f>
        <v>2024</v>
      </c>
      <c r="V785">
        <f t="shared" si="155"/>
        <v>7</v>
      </c>
    </row>
    <row r="786" spans="1:22" x14ac:dyDescent="0.25">
      <c r="A786" t="str">
        <f>IF(games!$A786="","",games!$A786)</f>
        <v>Vivid Knight</v>
      </c>
      <c r="B786">
        <f>IF($A786="","",games!$B786)</f>
        <v>2021</v>
      </c>
      <c r="C786" t="str">
        <f>IF($A786="","",games!$C786)</f>
        <v>Deckbuilder</v>
      </c>
      <c r="D786">
        <f>IF($A786="","",COUNTIF(connections!$A$2:$A$1188,$A786)+COUNTIF(connections!$B$2:$B$1188,$A786))</f>
        <v>4</v>
      </c>
      <c r="E786">
        <f t="shared" si="144"/>
        <v>3</v>
      </c>
      <c r="F786">
        <f t="shared" si="145"/>
        <v>4</v>
      </c>
      <c r="G786" t="e">
        <f t="shared" si="146"/>
        <v>#N/A</v>
      </c>
      <c r="H786" t="e">
        <f t="shared" si="147"/>
        <v>#N/A</v>
      </c>
      <c r="I786" t="e">
        <f t="shared" si="148"/>
        <v>#N/A</v>
      </c>
      <c r="J786" t="e">
        <f t="shared" si="149"/>
        <v>#N/A</v>
      </c>
      <c r="K786">
        <f t="shared" si="150"/>
        <v>2021</v>
      </c>
      <c r="L786">
        <f t="shared" si="151"/>
        <v>3.0920000000000001</v>
      </c>
      <c r="M786" t="e">
        <f t="shared" si="152"/>
        <v>#N/A</v>
      </c>
      <c r="N786" t="e">
        <f t="shared" si="153"/>
        <v>#N/A</v>
      </c>
      <c r="O786">
        <f t="shared" si="154"/>
        <v>4.0007859999999997</v>
      </c>
      <c r="T786">
        <f>IF(connections!$A786="","",IFERROR(INDEX(games!$B$2:$B$834,MATCH(connections!$A786,games!$A$2:$A$834,0)),""))</f>
        <v>2017</v>
      </c>
      <c r="U786">
        <f>IF(connections!$A786="","",IFERROR(INDEX(games!$B$2:$B$834,MATCH(connections!$B786,games!$A$2:$A$834,0)),""))</f>
        <v>2021</v>
      </c>
      <c r="V786">
        <f t="shared" si="155"/>
        <v>4</v>
      </c>
    </row>
    <row r="787" spans="1:22" x14ac:dyDescent="0.25">
      <c r="A787" t="str">
        <f>IF(games!$A787="","",games!$A787)</f>
        <v>Vivid World</v>
      </c>
      <c r="B787">
        <f>IF($A787="","",games!$B787)</f>
        <v>2025</v>
      </c>
      <c r="C787" t="str">
        <f>IF($A787="","",games!$C787)</f>
        <v>Deckbuilder</v>
      </c>
      <c r="D787">
        <f>IF($A787="","",COUNTIF(connections!$A$2:$A$1188,$A787)+COUNTIF(connections!$B$2:$B$1188,$A787))</f>
        <v>1</v>
      </c>
      <c r="E787">
        <f t="shared" si="144"/>
        <v>3</v>
      </c>
      <c r="F787">
        <f t="shared" si="145"/>
        <v>5</v>
      </c>
      <c r="G787" t="e">
        <f t="shared" si="146"/>
        <v>#N/A</v>
      </c>
      <c r="H787" t="e">
        <f t="shared" si="147"/>
        <v>#N/A</v>
      </c>
      <c r="I787" t="e">
        <f t="shared" si="148"/>
        <v>#N/A</v>
      </c>
      <c r="J787" t="e">
        <f t="shared" si="149"/>
        <v>#N/A</v>
      </c>
      <c r="K787">
        <f t="shared" si="150"/>
        <v>2025</v>
      </c>
      <c r="L787">
        <f t="shared" si="151"/>
        <v>3.1150000000000002</v>
      </c>
      <c r="M787" t="e">
        <f t="shared" si="152"/>
        <v>#N/A</v>
      </c>
      <c r="N787" t="e">
        <f t="shared" si="153"/>
        <v>#N/A</v>
      </c>
      <c r="O787">
        <f t="shared" si="154"/>
        <v>1.0007870000000001</v>
      </c>
      <c r="T787">
        <f>IF(connections!$A787="","",IFERROR(INDEX(games!$B$2:$B$834,MATCH(connections!$A787,games!$A$2:$A$834,0)),""))</f>
        <v>2017</v>
      </c>
      <c r="U787">
        <f>IF(connections!$A787="","",IFERROR(INDEX(games!$B$2:$B$834,MATCH(connections!$B787,games!$A$2:$A$834,0)),""))</f>
        <v>2023</v>
      </c>
      <c r="V787">
        <f t="shared" si="155"/>
        <v>6</v>
      </c>
    </row>
    <row r="788" spans="1:22" x14ac:dyDescent="0.25">
      <c r="A788" t="str">
        <f>IF(games!$A788="","",games!$A788)</f>
        <v>Voice of Belldona</v>
      </c>
      <c r="B788">
        <f>IF($A788="","",games!$B788)</f>
        <v>2026</v>
      </c>
      <c r="C788" t="str">
        <f>IF($A788="","",games!$C788)</f>
        <v>Deckbuilder</v>
      </c>
      <c r="D788">
        <f>IF($A788="","",COUNTIF(connections!$A$2:$A$1188,$A788)+COUNTIF(connections!$B$2:$B$1188,$A788))</f>
        <v>2</v>
      </c>
      <c r="E788">
        <f t="shared" si="144"/>
        <v>3</v>
      </c>
      <c r="F788">
        <f t="shared" si="145"/>
        <v>6</v>
      </c>
      <c r="G788" t="e">
        <f t="shared" si="146"/>
        <v>#N/A</v>
      </c>
      <c r="H788" t="e">
        <f t="shared" si="147"/>
        <v>#N/A</v>
      </c>
      <c r="I788" t="e">
        <f t="shared" si="148"/>
        <v>#N/A</v>
      </c>
      <c r="J788" t="e">
        <f t="shared" si="149"/>
        <v>#N/A</v>
      </c>
      <c r="K788">
        <f t="shared" si="150"/>
        <v>2026</v>
      </c>
      <c r="L788">
        <f t="shared" si="151"/>
        <v>3.1379999999999999</v>
      </c>
      <c r="M788" t="e">
        <f t="shared" si="152"/>
        <v>#N/A</v>
      </c>
      <c r="N788" t="e">
        <f t="shared" si="153"/>
        <v>#N/A</v>
      </c>
      <c r="O788">
        <f t="shared" si="154"/>
        <v>2.000788</v>
      </c>
      <c r="T788">
        <f>IF(connections!$A788="","",IFERROR(INDEX(games!$B$2:$B$834,MATCH(connections!$A788,games!$A$2:$A$834,0)),""))</f>
        <v>2017</v>
      </c>
      <c r="U788">
        <f>IF(connections!$A788="","",IFERROR(INDEX(games!$B$2:$B$834,MATCH(connections!$B788,games!$A$2:$A$834,0)),""))</f>
        <v>2024</v>
      </c>
      <c r="V788">
        <f t="shared" si="155"/>
        <v>7</v>
      </c>
    </row>
    <row r="789" spans="1:22" x14ac:dyDescent="0.25">
      <c r="A789" t="str">
        <f>IF(games!$A789="","",games!$A789)</f>
        <v>Void Bastards</v>
      </c>
      <c r="B789">
        <f>IF($A789="","",games!$B789)</f>
        <v>2019</v>
      </c>
      <c r="C789" t="str">
        <f>IF($A789="","",games!$C789)</f>
        <v>Action</v>
      </c>
      <c r="D789">
        <f>IF($A789="","",COUNTIF(connections!$A$2:$A$1188,$A789)+COUNTIF(connections!$B$2:$B$1188,$A789))</f>
        <v>2</v>
      </c>
      <c r="E789">
        <f t="shared" si="144"/>
        <v>1</v>
      </c>
      <c r="F789">
        <f t="shared" si="145"/>
        <v>7</v>
      </c>
      <c r="G789">
        <f t="shared" si="146"/>
        <v>2019</v>
      </c>
      <c r="H789">
        <f t="shared" si="147"/>
        <v>1.161</v>
      </c>
      <c r="I789" t="e">
        <f t="shared" si="148"/>
        <v>#N/A</v>
      </c>
      <c r="J789" t="e">
        <f t="shared" si="149"/>
        <v>#N/A</v>
      </c>
      <c r="K789" t="e">
        <f t="shared" si="150"/>
        <v>#N/A</v>
      </c>
      <c r="L789" t="e">
        <f t="shared" si="151"/>
        <v>#N/A</v>
      </c>
      <c r="M789" t="e">
        <f t="shared" si="152"/>
        <v>#N/A</v>
      </c>
      <c r="N789" t="e">
        <f t="shared" si="153"/>
        <v>#N/A</v>
      </c>
      <c r="O789">
        <f t="shared" si="154"/>
        <v>2.0007890000000002</v>
      </c>
      <c r="T789">
        <f>IF(connections!$A789="","",IFERROR(INDEX(games!$B$2:$B$834,MATCH(connections!$A789,games!$A$2:$A$834,0)),""))</f>
        <v>2017</v>
      </c>
      <c r="U789">
        <f>IF(connections!$A789="","",IFERROR(INDEX(games!$B$2:$B$834,MATCH(connections!$B789,games!$A$2:$A$834,0)),""))</f>
        <v>2024</v>
      </c>
      <c r="V789">
        <f t="shared" si="155"/>
        <v>7</v>
      </c>
    </row>
    <row r="790" spans="1:22" x14ac:dyDescent="0.25">
      <c r="A790" t="str">
        <f>IF(games!$A790="","",games!$A790)</f>
        <v>Void Scrappers</v>
      </c>
      <c r="B790">
        <f>IF($A790="","",games!$B790)</f>
        <v>2022</v>
      </c>
      <c r="C790" t="str">
        <f>IF($A790="","",games!$C790)</f>
        <v>Action</v>
      </c>
      <c r="D790">
        <f>IF($A790="","",COUNTIF(connections!$A$2:$A$1188,$A790)+COUNTIF(connections!$B$2:$B$1188,$A790))</f>
        <v>2</v>
      </c>
      <c r="E790">
        <f t="shared" si="144"/>
        <v>1</v>
      </c>
      <c r="F790">
        <f t="shared" si="145"/>
        <v>8</v>
      </c>
      <c r="G790">
        <f t="shared" si="146"/>
        <v>2022</v>
      </c>
      <c r="H790">
        <f t="shared" si="147"/>
        <v>1.1839999999999999</v>
      </c>
      <c r="I790" t="e">
        <f t="shared" si="148"/>
        <v>#N/A</v>
      </c>
      <c r="J790" t="e">
        <f t="shared" si="149"/>
        <v>#N/A</v>
      </c>
      <c r="K790" t="e">
        <f t="shared" si="150"/>
        <v>#N/A</v>
      </c>
      <c r="L790" t="e">
        <f t="shared" si="151"/>
        <v>#N/A</v>
      </c>
      <c r="M790" t="e">
        <f t="shared" si="152"/>
        <v>#N/A</v>
      </c>
      <c r="N790" t="e">
        <f t="shared" si="153"/>
        <v>#N/A</v>
      </c>
      <c r="O790">
        <f t="shared" si="154"/>
        <v>2.0007899999999998</v>
      </c>
      <c r="T790">
        <f>IF(connections!$A790="","",IFERROR(INDEX(games!$B$2:$B$834,MATCH(connections!$A790,games!$A$2:$A$834,0)),""))</f>
        <v>2017</v>
      </c>
      <c r="U790">
        <f>IF(connections!$A790="","",IFERROR(INDEX(games!$B$2:$B$834,MATCH(connections!$B790,games!$A$2:$A$834,0)),""))</f>
        <v>2021</v>
      </c>
      <c r="V790">
        <f t="shared" si="155"/>
        <v>4</v>
      </c>
    </row>
    <row r="791" spans="1:22" x14ac:dyDescent="0.25">
      <c r="A791" t="str">
        <f>IF(games!$A791="","",games!$A791)</f>
        <v>Void War</v>
      </c>
      <c r="B791">
        <f>IF($A791="","",games!$B791)</f>
        <v>2024</v>
      </c>
      <c r="C791" t="str">
        <f>IF($A791="","",games!$C791)</f>
        <v>Strategy</v>
      </c>
      <c r="D791">
        <f>IF($A791="","",COUNTIF(connections!$A$2:$A$1188,$A791)+COUNTIF(connections!$B$2:$B$1188,$A791))</f>
        <v>2</v>
      </c>
      <c r="E791">
        <f t="shared" si="144"/>
        <v>2</v>
      </c>
      <c r="F791">
        <f t="shared" si="145"/>
        <v>9</v>
      </c>
      <c r="G791" t="e">
        <f t="shared" si="146"/>
        <v>#N/A</v>
      </c>
      <c r="H791" t="e">
        <f t="shared" si="147"/>
        <v>#N/A</v>
      </c>
      <c r="I791">
        <f t="shared" si="148"/>
        <v>2024</v>
      </c>
      <c r="J791">
        <f t="shared" si="149"/>
        <v>2.2069999999999999</v>
      </c>
      <c r="K791" t="e">
        <f t="shared" si="150"/>
        <v>#N/A</v>
      </c>
      <c r="L791" t="e">
        <f t="shared" si="151"/>
        <v>#N/A</v>
      </c>
      <c r="M791" t="e">
        <f t="shared" si="152"/>
        <v>#N/A</v>
      </c>
      <c r="N791" t="e">
        <f t="shared" si="153"/>
        <v>#N/A</v>
      </c>
      <c r="O791">
        <f t="shared" si="154"/>
        <v>2.000791</v>
      </c>
      <c r="T791">
        <f>IF(connections!$A791="","",IFERROR(INDEX(games!$B$2:$B$834,MATCH(connections!$A791,games!$A$2:$A$834,0)),""))</f>
        <v>2017</v>
      </c>
      <c r="U791">
        <f>IF(connections!$A791="","",IFERROR(INDEX(games!$B$2:$B$834,MATCH(connections!$B791,games!$A$2:$A$834,0)),""))</f>
        <v>2020</v>
      </c>
      <c r="V791">
        <f t="shared" si="155"/>
        <v>3</v>
      </c>
    </row>
    <row r="792" spans="1:22" x14ac:dyDescent="0.25">
      <c r="A792" t="str">
        <f>IF(games!$A792="","",games!$A792)</f>
        <v>Voidigo</v>
      </c>
      <c r="B792">
        <f>IF($A792="","",games!$B792)</f>
        <v>2023</v>
      </c>
      <c r="C792" t="str">
        <f>IF($A792="","",games!$C792)</f>
        <v>Action</v>
      </c>
      <c r="D792">
        <f>IF($A792="","",COUNTIF(connections!$A$2:$A$1188,$A792)+COUNTIF(connections!$B$2:$B$1188,$A792))</f>
        <v>1</v>
      </c>
      <c r="E792">
        <f t="shared" si="144"/>
        <v>1</v>
      </c>
      <c r="F792">
        <f t="shared" si="145"/>
        <v>10</v>
      </c>
      <c r="G792">
        <f t="shared" si="146"/>
        <v>2023</v>
      </c>
      <c r="H792">
        <f t="shared" si="147"/>
        <v>1.23</v>
      </c>
      <c r="I792" t="e">
        <f t="shared" si="148"/>
        <v>#N/A</v>
      </c>
      <c r="J792" t="e">
        <f t="shared" si="149"/>
        <v>#N/A</v>
      </c>
      <c r="K792" t="e">
        <f t="shared" si="150"/>
        <v>#N/A</v>
      </c>
      <c r="L792" t="e">
        <f t="shared" si="151"/>
        <v>#N/A</v>
      </c>
      <c r="M792" t="e">
        <f t="shared" si="152"/>
        <v>#N/A</v>
      </c>
      <c r="N792" t="e">
        <f t="shared" si="153"/>
        <v>#N/A</v>
      </c>
      <c r="O792">
        <f t="shared" si="154"/>
        <v>1.0007919999999999</v>
      </c>
      <c r="T792">
        <f>IF(connections!$A792="","",IFERROR(INDEX(games!$B$2:$B$834,MATCH(connections!$A792,games!$A$2:$A$834,0)),""))</f>
        <v>2017</v>
      </c>
      <c r="U792">
        <f>IF(connections!$A792="","",IFERROR(INDEX(games!$B$2:$B$834,MATCH(connections!$B792,games!$A$2:$A$834,0)),""))</f>
        <v>2024</v>
      </c>
      <c r="V792">
        <f t="shared" si="155"/>
        <v>7</v>
      </c>
    </row>
    <row r="793" spans="1:22" x14ac:dyDescent="0.25">
      <c r="A793" t="str">
        <f>IF(games!$A793="","",games!$A793)</f>
        <v>Voids Vigil</v>
      </c>
      <c r="B793">
        <f>IF($A793="","",games!$B793)</f>
        <v>2024</v>
      </c>
      <c r="C793" t="str">
        <f>IF($A793="","",games!$C793)</f>
        <v>Action</v>
      </c>
      <c r="D793">
        <f>IF($A793="","",COUNTIF(connections!$A$2:$A$1188,$A793)+COUNTIF(connections!$B$2:$B$1188,$A793))</f>
        <v>2</v>
      </c>
      <c r="E793">
        <f t="shared" si="144"/>
        <v>1</v>
      </c>
      <c r="F793">
        <f t="shared" si="145"/>
        <v>11</v>
      </c>
      <c r="G793">
        <f t="shared" si="146"/>
        <v>2024</v>
      </c>
      <c r="H793">
        <f t="shared" si="147"/>
        <v>1.2530000000000001</v>
      </c>
      <c r="I793" t="e">
        <f t="shared" si="148"/>
        <v>#N/A</v>
      </c>
      <c r="J793" t="e">
        <f t="shared" si="149"/>
        <v>#N/A</v>
      </c>
      <c r="K793" t="e">
        <f t="shared" si="150"/>
        <v>#N/A</v>
      </c>
      <c r="L793" t="e">
        <f t="shared" si="151"/>
        <v>#N/A</v>
      </c>
      <c r="M793" t="e">
        <f t="shared" si="152"/>
        <v>#N/A</v>
      </c>
      <c r="N793" t="e">
        <f t="shared" si="153"/>
        <v>#N/A</v>
      </c>
      <c r="O793">
        <f t="shared" si="154"/>
        <v>2.0007929999999998</v>
      </c>
      <c r="T793">
        <f>IF(connections!$A793="","",IFERROR(INDEX(games!$B$2:$B$834,MATCH(connections!$A793,games!$A$2:$A$834,0)),""))</f>
        <v>2017</v>
      </c>
      <c r="U793">
        <f>IF(connections!$A793="","",IFERROR(INDEX(games!$B$2:$B$834,MATCH(connections!$B793,games!$A$2:$A$834,0)),""))</f>
        <v>2023</v>
      </c>
      <c r="V793">
        <f t="shared" si="155"/>
        <v>6</v>
      </c>
    </row>
    <row r="794" spans="1:22" x14ac:dyDescent="0.25">
      <c r="A794" t="str">
        <f>IF(games!$A794="","",games!$A794)</f>
        <v>Voin</v>
      </c>
      <c r="B794">
        <f>IF($A794="","",games!$B794)</f>
        <v>2024</v>
      </c>
      <c r="C794" t="str">
        <f>IF($A794="","",games!$C794)</f>
        <v>Action</v>
      </c>
      <c r="D794">
        <f>IF($A794="","",COUNTIF(connections!$A$2:$A$1188,$A794)+COUNTIF(connections!$B$2:$B$1188,$A794))</f>
        <v>1</v>
      </c>
      <c r="E794">
        <f t="shared" si="144"/>
        <v>1</v>
      </c>
      <c r="F794">
        <f t="shared" si="145"/>
        <v>12</v>
      </c>
      <c r="G794">
        <f t="shared" si="146"/>
        <v>2024</v>
      </c>
      <c r="H794">
        <f t="shared" si="147"/>
        <v>1.276</v>
      </c>
      <c r="I794" t="e">
        <f t="shared" si="148"/>
        <v>#N/A</v>
      </c>
      <c r="J794" t="e">
        <f t="shared" si="149"/>
        <v>#N/A</v>
      </c>
      <c r="K794" t="e">
        <f t="shared" si="150"/>
        <v>#N/A</v>
      </c>
      <c r="L794" t="e">
        <f t="shared" si="151"/>
        <v>#N/A</v>
      </c>
      <c r="M794" t="e">
        <f t="shared" si="152"/>
        <v>#N/A</v>
      </c>
      <c r="N794" t="e">
        <f t="shared" si="153"/>
        <v>#N/A</v>
      </c>
      <c r="O794">
        <f t="shared" si="154"/>
        <v>1.000794</v>
      </c>
      <c r="T794">
        <f>IF(connections!$A794="","",IFERROR(INDEX(games!$B$2:$B$834,MATCH(connections!$A794,games!$A$2:$A$834,0)),""))</f>
        <v>2017</v>
      </c>
      <c r="U794">
        <f>IF(connections!$A794="","",IFERROR(INDEX(games!$B$2:$B$834,MATCH(connections!$B794,games!$A$2:$A$834,0)),""))</f>
        <v>2026</v>
      </c>
      <c r="V794">
        <f t="shared" si="155"/>
        <v>9</v>
      </c>
    </row>
    <row r="795" spans="1:22" x14ac:dyDescent="0.25">
      <c r="A795" t="str">
        <f>IF(games!$A795="","",games!$A795)</f>
        <v>Wall World</v>
      </c>
      <c r="B795">
        <f>IF($A795="","",games!$B795)</f>
        <v>2023</v>
      </c>
      <c r="C795" t="str">
        <f>IF($A795="","",games!$C795)</f>
        <v>Strategy</v>
      </c>
      <c r="D795">
        <f>IF($A795="","",COUNTIF(connections!$A$2:$A$1188,$A795)+COUNTIF(connections!$B$2:$B$1188,$A795))</f>
        <v>2</v>
      </c>
      <c r="E795">
        <f t="shared" si="144"/>
        <v>2</v>
      </c>
      <c r="F795">
        <f t="shared" si="145"/>
        <v>13</v>
      </c>
      <c r="G795" t="e">
        <f t="shared" si="146"/>
        <v>#N/A</v>
      </c>
      <c r="H795" t="e">
        <f t="shared" si="147"/>
        <v>#N/A</v>
      </c>
      <c r="I795">
        <f t="shared" si="148"/>
        <v>2023</v>
      </c>
      <c r="J795">
        <f t="shared" si="149"/>
        <v>2.2989999999999999</v>
      </c>
      <c r="K795" t="e">
        <f t="shared" si="150"/>
        <v>#N/A</v>
      </c>
      <c r="L795" t="e">
        <f t="shared" si="151"/>
        <v>#N/A</v>
      </c>
      <c r="M795" t="e">
        <f t="shared" si="152"/>
        <v>#N/A</v>
      </c>
      <c r="N795" t="e">
        <f t="shared" si="153"/>
        <v>#N/A</v>
      </c>
      <c r="O795">
        <f t="shared" si="154"/>
        <v>2.0007950000000001</v>
      </c>
      <c r="T795">
        <f>IF(connections!$A795="","",IFERROR(INDEX(games!$B$2:$B$834,MATCH(connections!$A795,games!$A$2:$A$834,0)),""))</f>
        <v>2017</v>
      </c>
      <c r="U795">
        <f>IF(connections!$A795="","",IFERROR(INDEX(games!$B$2:$B$834,MATCH(connections!$B795,games!$A$2:$A$834,0)),""))</f>
        <v>2025</v>
      </c>
      <c r="V795">
        <f t="shared" si="155"/>
        <v>8</v>
      </c>
    </row>
    <row r="796" spans="1:22" x14ac:dyDescent="0.25">
      <c r="A796" t="str">
        <f>IF(games!$A796="","",games!$A796)</f>
        <v>Wall World 2</v>
      </c>
      <c r="B796">
        <f>IF($A796="","",games!$B796)</f>
        <v>2025</v>
      </c>
      <c r="C796" t="str">
        <f>IF($A796="","",games!$C796)</f>
        <v>Strategy</v>
      </c>
      <c r="D796">
        <f>IF($A796="","",COUNTIF(connections!$A$2:$A$1188,$A796)+COUNTIF(connections!$B$2:$B$1188,$A796))</f>
        <v>1</v>
      </c>
      <c r="E796">
        <f t="shared" si="144"/>
        <v>2</v>
      </c>
      <c r="F796">
        <f t="shared" si="145"/>
        <v>14</v>
      </c>
      <c r="G796" t="e">
        <f t="shared" si="146"/>
        <v>#N/A</v>
      </c>
      <c r="H796" t="e">
        <f t="shared" si="147"/>
        <v>#N/A</v>
      </c>
      <c r="I796">
        <f t="shared" si="148"/>
        <v>2025</v>
      </c>
      <c r="J796">
        <f t="shared" si="149"/>
        <v>2.3220000000000001</v>
      </c>
      <c r="K796" t="e">
        <f t="shared" si="150"/>
        <v>#N/A</v>
      </c>
      <c r="L796" t="e">
        <f t="shared" si="151"/>
        <v>#N/A</v>
      </c>
      <c r="M796" t="e">
        <f t="shared" si="152"/>
        <v>#N/A</v>
      </c>
      <c r="N796" t="e">
        <f t="shared" si="153"/>
        <v>#N/A</v>
      </c>
      <c r="O796">
        <f t="shared" si="154"/>
        <v>1.000796</v>
      </c>
      <c r="T796">
        <f>IF(connections!$A796="","",IFERROR(INDEX(games!$B$2:$B$834,MATCH(connections!$A796,games!$A$2:$A$834,0)),""))</f>
        <v>2017</v>
      </c>
      <c r="U796">
        <f>IF(connections!$A796="","",IFERROR(INDEX(games!$B$2:$B$834,MATCH(connections!$B796,games!$A$2:$A$834,0)),""))</f>
        <v>2021</v>
      </c>
      <c r="V796">
        <f t="shared" si="155"/>
        <v>4</v>
      </c>
    </row>
    <row r="797" spans="1:22" x14ac:dyDescent="0.25">
      <c r="A797" t="str">
        <f>IF(games!$A797="","",games!$A797)</f>
        <v>Warhammer Survivors</v>
      </c>
      <c r="B797">
        <f>IF($A797="","",games!$B797)</f>
        <v>2026</v>
      </c>
      <c r="C797" t="str">
        <f>IF($A797="","",games!$C797)</f>
        <v>Action</v>
      </c>
      <c r="D797">
        <f>IF($A797="","",COUNTIF(connections!$A$2:$A$1188,$A797)+COUNTIF(connections!$B$2:$B$1188,$A797))</f>
        <v>1</v>
      </c>
      <c r="E797">
        <f t="shared" si="144"/>
        <v>1</v>
      </c>
      <c r="F797">
        <f t="shared" si="145"/>
        <v>15</v>
      </c>
      <c r="G797">
        <f t="shared" si="146"/>
        <v>2026</v>
      </c>
      <c r="H797">
        <f t="shared" si="147"/>
        <v>1.345</v>
      </c>
      <c r="I797" t="e">
        <f t="shared" si="148"/>
        <v>#N/A</v>
      </c>
      <c r="J797" t="e">
        <f t="shared" si="149"/>
        <v>#N/A</v>
      </c>
      <c r="K797" t="e">
        <f t="shared" si="150"/>
        <v>#N/A</v>
      </c>
      <c r="L797" t="e">
        <f t="shared" si="151"/>
        <v>#N/A</v>
      </c>
      <c r="M797" t="e">
        <f t="shared" si="152"/>
        <v>#N/A</v>
      </c>
      <c r="N797" t="e">
        <f t="shared" si="153"/>
        <v>#N/A</v>
      </c>
      <c r="O797">
        <f t="shared" si="154"/>
        <v>1.0007969999999999</v>
      </c>
      <c r="T797">
        <f>IF(connections!$A797="","",IFERROR(INDEX(games!$B$2:$B$834,MATCH(connections!$A797,games!$A$2:$A$834,0)),""))</f>
        <v>2017</v>
      </c>
      <c r="U797">
        <f>IF(connections!$A797="","",IFERROR(INDEX(games!$B$2:$B$834,MATCH(connections!$B797,games!$A$2:$A$834,0)),""))</f>
        <v>2020</v>
      </c>
      <c r="V797">
        <f t="shared" si="155"/>
        <v>3</v>
      </c>
    </row>
    <row r="798" spans="1:22" x14ac:dyDescent="0.25">
      <c r="A798" t="str">
        <f>IF(games!$A798="","",games!$A798)</f>
        <v>WarpVector</v>
      </c>
      <c r="B798">
        <f>IF($A798="","",games!$B798)</f>
        <v>2023</v>
      </c>
      <c r="C798" t="str">
        <f>IF($A798="","",games!$C798)</f>
        <v>Traditional</v>
      </c>
      <c r="D798">
        <f>IF($A798="","",COUNTIF(connections!$A$2:$A$1188,$A798)+COUNTIF(connections!$B$2:$B$1188,$A798))</f>
        <v>2</v>
      </c>
      <c r="E798">
        <f t="shared" si="144"/>
        <v>4</v>
      </c>
      <c r="F798">
        <f t="shared" si="145"/>
        <v>16</v>
      </c>
      <c r="G798" t="e">
        <f t="shared" si="146"/>
        <v>#N/A</v>
      </c>
      <c r="H798" t="e">
        <f t="shared" si="147"/>
        <v>#N/A</v>
      </c>
      <c r="I798" t="e">
        <f t="shared" si="148"/>
        <v>#N/A</v>
      </c>
      <c r="J798" t="e">
        <f t="shared" si="149"/>
        <v>#N/A</v>
      </c>
      <c r="K798" t="e">
        <f t="shared" si="150"/>
        <v>#N/A</v>
      </c>
      <c r="L798" t="e">
        <f t="shared" si="151"/>
        <v>#N/A</v>
      </c>
      <c r="M798">
        <f t="shared" si="152"/>
        <v>2023</v>
      </c>
      <c r="N798">
        <f t="shared" si="153"/>
        <v>4.3680000000000003</v>
      </c>
      <c r="O798">
        <f t="shared" si="154"/>
        <v>2.0007980000000001</v>
      </c>
      <c r="T798">
        <f>IF(connections!$A798="","",IFERROR(INDEX(games!$B$2:$B$834,MATCH(connections!$A798,games!$A$2:$A$834,0)),""))</f>
        <v>2017</v>
      </c>
      <c r="U798">
        <f>IF(connections!$A798="","",IFERROR(INDEX(games!$B$2:$B$834,MATCH(connections!$B798,games!$A$2:$A$834,0)),""))</f>
        <v>2025</v>
      </c>
      <c r="V798">
        <f t="shared" si="155"/>
        <v>8</v>
      </c>
    </row>
    <row r="799" spans="1:22" x14ac:dyDescent="0.25">
      <c r="A799" t="str">
        <f>IF(games!$A799="","",games!$A799)</f>
        <v>Warriors: Abyss</v>
      </c>
      <c r="B799">
        <f>IF($A799="","",games!$B799)</f>
        <v>2025</v>
      </c>
      <c r="C799" t="str">
        <f>IF($A799="","",games!$C799)</f>
        <v>Action</v>
      </c>
      <c r="D799">
        <f>IF($A799="","",COUNTIF(connections!$A$2:$A$1188,$A799)+COUNTIF(connections!$B$2:$B$1188,$A799))</f>
        <v>1</v>
      </c>
      <c r="E799">
        <f t="shared" si="144"/>
        <v>1</v>
      </c>
      <c r="F799">
        <f t="shared" si="145"/>
        <v>17</v>
      </c>
      <c r="G799">
        <f t="shared" si="146"/>
        <v>2025</v>
      </c>
      <c r="H799">
        <f t="shared" si="147"/>
        <v>1.391</v>
      </c>
      <c r="I799" t="e">
        <f t="shared" si="148"/>
        <v>#N/A</v>
      </c>
      <c r="J799" t="e">
        <f t="shared" si="149"/>
        <v>#N/A</v>
      </c>
      <c r="K799" t="e">
        <f t="shared" si="150"/>
        <v>#N/A</v>
      </c>
      <c r="L799" t="e">
        <f t="shared" si="151"/>
        <v>#N/A</v>
      </c>
      <c r="M799" t="e">
        <f t="shared" si="152"/>
        <v>#N/A</v>
      </c>
      <c r="N799" t="e">
        <f t="shared" si="153"/>
        <v>#N/A</v>
      </c>
      <c r="O799">
        <f t="shared" si="154"/>
        <v>1.000799</v>
      </c>
      <c r="T799">
        <f>IF(connections!$A799="","",IFERROR(INDEX(games!$B$2:$B$834,MATCH(connections!$A799,games!$A$2:$A$834,0)),""))</f>
        <v>2017</v>
      </c>
      <c r="U799">
        <f>IF(connections!$A799="","",IFERROR(INDEX(games!$B$2:$B$834,MATCH(connections!$B799,games!$A$2:$A$834,0)),""))</f>
        <v>2021</v>
      </c>
      <c r="V799">
        <f t="shared" si="155"/>
        <v>4</v>
      </c>
    </row>
    <row r="800" spans="1:22" x14ac:dyDescent="0.25">
      <c r="A800" t="str">
        <f>IF(games!$A800="","",games!$A800)</f>
        <v>Warsim: The Realm of Aslona</v>
      </c>
      <c r="B800">
        <f>IF($A800="","",games!$B800)</f>
        <v>2017</v>
      </c>
      <c r="C800" t="str">
        <f>IF($A800="","",games!$C800)</f>
        <v>Strategy</v>
      </c>
      <c r="D800">
        <f>IF($A800="","",COUNTIF(connections!$A$2:$A$1188,$A800)+COUNTIF(connections!$B$2:$B$1188,$A800))</f>
        <v>1</v>
      </c>
      <c r="E800">
        <f t="shared" si="144"/>
        <v>2</v>
      </c>
      <c r="F800">
        <f t="shared" si="145"/>
        <v>18</v>
      </c>
      <c r="G800" t="e">
        <f t="shared" si="146"/>
        <v>#N/A</v>
      </c>
      <c r="H800" t="e">
        <f t="shared" si="147"/>
        <v>#N/A</v>
      </c>
      <c r="I800">
        <f t="shared" si="148"/>
        <v>2017</v>
      </c>
      <c r="J800">
        <f t="shared" si="149"/>
        <v>2.4140000000000001</v>
      </c>
      <c r="K800" t="e">
        <f t="shared" si="150"/>
        <v>#N/A</v>
      </c>
      <c r="L800" t="e">
        <f t="shared" si="151"/>
        <v>#N/A</v>
      </c>
      <c r="M800" t="e">
        <f t="shared" si="152"/>
        <v>#N/A</v>
      </c>
      <c r="N800" t="e">
        <f t="shared" si="153"/>
        <v>#N/A</v>
      </c>
      <c r="O800">
        <f t="shared" si="154"/>
        <v>1.0007999999999999</v>
      </c>
      <c r="T800">
        <f>IF(connections!$A800="","",IFERROR(INDEX(games!$B$2:$B$834,MATCH(connections!$A800,games!$A$2:$A$834,0)),""))</f>
        <v>2017</v>
      </c>
      <c r="U800">
        <f>IF(connections!$A800="","",IFERROR(INDEX(games!$B$2:$B$834,MATCH(connections!$B800,games!$A$2:$A$834,0)),""))</f>
        <v>2022</v>
      </c>
      <c r="V800">
        <f t="shared" si="155"/>
        <v>5</v>
      </c>
    </row>
    <row r="801" spans="1:22" x14ac:dyDescent="0.25">
      <c r="A801" t="str">
        <f>IF(games!$A801="","",games!$A801)</f>
        <v>Wayward</v>
      </c>
      <c r="B801">
        <f>IF($A801="","",games!$B801)</f>
        <v>2011</v>
      </c>
      <c r="C801" t="str">
        <f>IF($A801="","",games!$C801)</f>
        <v>Traditional</v>
      </c>
      <c r="D801">
        <f>IF($A801="","",COUNTIF(connections!$A$2:$A$1188,$A801)+COUNTIF(connections!$B$2:$B$1188,$A801))</f>
        <v>2</v>
      </c>
      <c r="E801">
        <f t="shared" si="144"/>
        <v>4</v>
      </c>
      <c r="F801">
        <f t="shared" si="145"/>
        <v>19</v>
      </c>
      <c r="G801" t="e">
        <f t="shared" si="146"/>
        <v>#N/A</v>
      </c>
      <c r="H801" t="e">
        <f t="shared" si="147"/>
        <v>#N/A</v>
      </c>
      <c r="I801" t="e">
        <f t="shared" si="148"/>
        <v>#N/A</v>
      </c>
      <c r="J801" t="e">
        <f t="shared" si="149"/>
        <v>#N/A</v>
      </c>
      <c r="K801" t="e">
        <f t="shared" si="150"/>
        <v>#N/A</v>
      </c>
      <c r="L801" t="e">
        <f t="shared" si="151"/>
        <v>#N/A</v>
      </c>
      <c r="M801">
        <f t="shared" si="152"/>
        <v>2011</v>
      </c>
      <c r="N801">
        <f t="shared" si="153"/>
        <v>4.4370000000000003</v>
      </c>
      <c r="O801">
        <f t="shared" si="154"/>
        <v>2.0008010000000001</v>
      </c>
      <c r="T801">
        <f>IF(connections!$A801="","",IFERROR(INDEX(games!$B$2:$B$834,MATCH(connections!$A801,games!$A$2:$A$834,0)),""))</f>
        <v>2017</v>
      </c>
      <c r="U801">
        <f>IF(connections!$A801="","",IFERROR(INDEX(games!$B$2:$B$834,MATCH(connections!$B801,games!$A$2:$A$834,0)),""))</f>
        <v>2026</v>
      </c>
      <c r="V801">
        <f t="shared" si="155"/>
        <v>9</v>
      </c>
    </row>
    <row r="802" spans="1:22" x14ac:dyDescent="0.25">
      <c r="A802" t="str">
        <f>IF(games!$A802="","",games!$A802)</f>
        <v>WazHack</v>
      </c>
      <c r="B802">
        <f>IF($A802="","",games!$B802)</f>
        <v>2012</v>
      </c>
      <c r="C802" t="str">
        <f>IF($A802="","",games!$C802)</f>
        <v>Strategy</v>
      </c>
      <c r="D802">
        <f>IF($A802="","",COUNTIF(connections!$A$2:$A$1188,$A802)+COUNTIF(connections!$B$2:$B$1188,$A802))</f>
        <v>1</v>
      </c>
      <c r="E802">
        <f t="shared" si="144"/>
        <v>2</v>
      </c>
      <c r="F802">
        <f t="shared" si="145"/>
        <v>20</v>
      </c>
      <c r="G802" t="e">
        <f t="shared" si="146"/>
        <v>#N/A</v>
      </c>
      <c r="H802" t="e">
        <f t="shared" si="147"/>
        <v>#N/A</v>
      </c>
      <c r="I802">
        <f t="shared" si="148"/>
        <v>2012</v>
      </c>
      <c r="J802">
        <f t="shared" si="149"/>
        <v>2.46</v>
      </c>
      <c r="K802" t="e">
        <f t="shared" si="150"/>
        <v>#N/A</v>
      </c>
      <c r="L802" t="e">
        <f t="shared" si="151"/>
        <v>#N/A</v>
      </c>
      <c r="M802" t="e">
        <f t="shared" si="152"/>
        <v>#N/A</v>
      </c>
      <c r="N802" t="e">
        <f t="shared" si="153"/>
        <v>#N/A</v>
      </c>
      <c r="O802">
        <f t="shared" si="154"/>
        <v>1.000802</v>
      </c>
      <c r="T802">
        <f>IF(connections!$A802="","",IFERROR(INDEX(games!$B$2:$B$834,MATCH(connections!$A802,games!$A$2:$A$834,0)),""))</f>
        <v>2017</v>
      </c>
      <c r="U802">
        <f>IF(connections!$A802="","",IFERROR(INDEX(games!$B$2:$B$834,MATCH(connections!$B802,games!$A$2:$A$834,0)),""))</f>
        <v>2026</v>
      </c>
      <c r="V802">
        <f t="shared" si="155"/>
        <v>9</v>
      </c>
    </row>
    <row r="803" spans="1:22" x14ac:dyDescent="0.25">
      <c r="A803" t="str">
        <f>IF(games!$A803="","",games!$A803)</f>
        <v>We Need To Go Deeper</v>
      </c>
      <c r="B803">
        <f>IF($A803="","",games!$B803)</f>
        <v>2017</v>
      </c>
      <c r="C803" t="str">
        <f>IF($A803="","",games!$C803)</f>
        <v>Action</v>
      </c>
      <c r="D803">
        <f>IF($A803="","",COUNTIF(connections!$A$2:$A$1188,$A803)+COUNTIF(connections!$B$2:$B$1188,$A803))</f>
        <v>0</v>
      </c>
      <c r="E803">
        <f t="shared" si="144"/>
        <v>1</v>
      </c>
      <c r="F803">
        <f t="shared" si="145"/>
        <v>21</v>
      </c>
      <c r="G803">
        <f t="shared" si="146"/>
        <v>2017</v>
      </c>
      <c r="H803">
        <f t="shared" si="147"/>
        <v>1.4830000000000001</v>
      </c>
      <c r="I803" t="e">
        <f t="shared" si="148"/>
        <v>#N/A</v>
      </c>
      <c r="J803" t="e">
        <f t="shared" si="149"/>
        <v>#N/A</v>
      </c>
      <c r="K803" t="e">
        <f t="shared" si="150"/>
        <v>#N/A</v>
      </c>
      <c r="L803" t="e">
        <f t="shared" si="151"/>
        <v>#N/A</v>
      </c>
      <c r="M803" t="e">
        <f t="shared" si="152"/>
        <v>#N/A</v>
      </c>
      <c r="N803" t="e">
        <f t="shared" si="153"/>
        <v>#N/A</v>
      </c>
      <c r="O803">
        <f t="shared" si="154"/>
        <v>8.03E-4</v>
      </c>
      <c r="T803">
        <f>IF(connections!$A803="","",IFERROR(INDEX(games!$B$2:$B$834,MATCH(connections!$A803,games!$A$2:$A$834,0)),""))</f>
        <v>2017</v>
      </c>
      <c r="U803">
        <f>IF(connections!$A803="","",IFERROR(INDEX(games!$B$2:$B$834,MATCH(connections!$B803,games!$A$2:$A$834,0)),""))</f>
        <v>2026</v>
      </c>
      <c r="V803">
        <f t="shared" si="155"/>
        <v>9</v>
      </c>
    </row>
    <row r="804" spans="1:22" x14ac:dyDescent="0.25">
      <c r="A804" t="str">
        <f>IF(games!$A804="","",games!$A804)</f>
        <v>Weird Worlds: Return to Infinite Space</v>
      </c>
      <c r="B804">
        <f>IF($A804="","",games!$B804)</f>
        <v>2005</v>
      </c>
      <c r="C804" t="str">
        <f>IF($A804="","",games!$C804)</f>
        <v>Strategy</v>
      </c>
      <c r="D804">
        <f>IF($A804="","",COUNTIF(connections!$A$2:$A$1188,$A804)+COUNTIF(connections!$B$2:$B$1188,$A804))</f>
        <v>2</v>
      </c>
      <c r="E804">
        <f t="shared" si="144"/>
        <v>2</v>
      </c>
      <c r="F804">
        <f t="shared" si="145"/>
        <v>22</v>
      </c>
      <c r="G804" t="e">
        <f t="shared" si="146"/>
        <v>#N/A</v>
      </c>
      <c r="H804" t="e">
        <f t="shared" si="147"/>
        <v>#N/A</v>
      </c>
      <c r="I804">
        <f t="shared" si="148"/>
        <v>2005</v>
      </c>
      <c r="J804">
        <f t="shared" si="149"/>
        <v>2.5060000000000002</v>
      </c>
      <c r="K804" t="e">
        <f t="shared" si="150"/>
        <v>#N/A</v>
      </c>
      <c r="L804" t="e">
        <f t="shared" si="151"/>
        <v>#N/A</v>
      </c>
      <c r="M804" t="e">
        <f t="shared" si="152"/>
        <v>#N/A</v>
      </c>
      <c r="N804" t="e">
        <f t="shared" si="153"/>
        <v>#N/A</v>
      </c>
      <c r="O804">
        <f t="shared" si="154"/>
        <v>2.000804</v>
      </c>
      <c r="T804">
        <f>IF(connections!$A804="","",IFERROR(INDEX(games!$B$2:$B$834,MATCH(connections!$A804,games!$A$2:$A$834,0)),""))</f>
        <v>2017</v>
      </c>
      <c r="U804">
        <f>IF(connections!$A804="","",IFERROR(INDEX(games!$B$2:$B$834,MATCH(connections!$B804,games!$A$2:$A$834,0)),""))</f>
        <v>2025</v>
      </c>
      <c r="V804">
        <f t="shared" si="155"/>
        <v>8</v>
      </c>
    </row>
    <row r="805" spans="1:22" x14ac:dyDescent="0.25">
      <c r="A805" t="str">
        <f>IF(games!$A805="","",games!$A805)</f>
        <v>West of Dead</v>
      </c>
      <c r="B805">
        <f>IF($A805="","",games!$B805)</f>
        <v>2020</v>
      </c>
      <c r="C805" t="str">
        <f>IF($A805="","",games!$C805)</f>
        <v>Action</v>
      </c>
      <c r="D805">
        <f>IF($A805="","",COUNTIF(connections!$A$2:$A$1188,$A805)+COUNTIF(connections!$B$2:$B$1188,$A805))</f>
        <v>1</v>
      </c>
      <c r="E805">
        <f t="shared" si="144"/>
        <v>1</v>
      </c>
      <c r="F805">
        <f t="shared" si="145"/>
        <v>23</v>
      </c>
      <c r="G805">
        <f t="shared" si="146"/>
        <v>2020</v>
      </c>
      <c r="H805">
        <f t="shared" si="147"/>
        <v>1.5289999999999999</v>
      </c>
      <c r="I805" t="e">
        <f t="shared" si="148"/>
        <v>#N/A</v>
      </c>
      <c r="J805" t="e">
        <f t="shared" si="149"/>
        <v>#N/A</v>
      </c>
      <c r="K805" t="e">
        <f t="shared" si="150"/>
        <v>#N/A</v>
      </c>
      <c r="L805" t="e">
        <f t="shared" si="151"/>
        <v>#N/A</v>
      </c>
      <c r="M805" t="e">
        <f t="shared" si="152"/>
        <v>#N/A</v>
      </c>
      <c r="N805" t="e">
        <f t="shared" si="153"/>
        <v>#N/A</v>
      </c>
      <c r="O805">
        <f t="shared" si="154"/>
        <v>1.0008049999999999</v>
      </c>
      <c r="T805">
        <f>IF(connections!$A805="","",IFERROR(INDEX(games!$B$2:$B$834,MATCH(connections!$A805,games!$A$2:$A$834,0)),""))</f>
        <v>2017</v>
      </c>
      <c r="U805">
        <f>IF(connections!$A805="","",IFERROR(INDEX(games!$B$2:$B$834,MATCH(connections!$B805,games!$A$2:$A$834,0)),""))</f>
        <v>2019</v>
      </c>
      <c r="V805">
        <f t="shared" si="155"/>
        <v>2</v>
      </c>
    </row>
    <row r="806" spans="1:22" x14ac:dyDescent="0.25">
      <c r="A806" t="str">
        <f>IF(games!$A806="","",games!$A806)</f>
        <v>Whisker Squadron: Survivor</v>
      </c>
      <c r="B806">
        <f>IF($A806="","",games!$B806)</f>
        <v>2025</v>
      </c>
      <c r="C806" t="str">
        <f>IF($A806="","",games!$C806)</f>
        <v>Action</v>
      </c>
      <c r="D806">
        <f>IF($A806="","",COUNTIF(connections!$A$2:$A$1188,$A806)+COUNTIF(connections!$B$2:$B$1188,$A806))</f>
        <v>1</v>
      </c>
      <c r="E806">
        <f t="shared" si="144"/>
        <v>1</v>
      </c>
      <c r="F806">
        <f t="shared" si="145"/>
        <v>24</v>
      </c>
      <c r="G806">
        <f t="shared" si="146"/>
        <v>2025</v>
      </c>
      <c r="H806">
        <f t="shared" si="147"/>
        <v>1.552</v>
      </c>
      <c r="I806" t="e">
        <f t="shared" si="148"/>
        <v>#N/A</v>
      </c>
      <c r="J806" t="e">
        <f t="shared" si="149"/>
        <v>#N/A</v>
      </c>
      <c r="K806" t="e">
        <f t="shared" si="150"/>
        <v>#N/A</v>
      </c>
      <c r="L806" t="e">
        <f t="shared" si="151"/>
        <v>#N/A</v>
      </c>
      <c r="M806" t="e">
        <f t="shared" si="152"/>
        <v>#N/A</v>
      </c>
      <c r="N806" t="e">
        <f t="shared" si="153"/>
        <v>#N/A</v>
      </c>
      <c r="O806">
        <f t="shared" si="154"/>
        <v>1.0008060000000001</v>
      </c>
      <c r="T806">
        <f>IF(connections!$A806="","",IFERROR(INDEX(games!$B$2:$B$834,MATCH(connections!$A806,games!$A$2:$A$834,0)),""))</f>
        <v>2017</v>
      </c>
      <c r="U806">
        <f>IF(connections!$A806="","",IFERROR(INDEX(games!$B$2:$B$834,MATCH(connections!$B806,games!$A$2:$A$834,0)),""))</f>
        <v>2022</v>
      </c>
      <c r="V806">
        <f t="shared" si="155"/>
        <v>5</v>
      </c>
    </row>
    <row r="807" spans="1:22" x14ac:dyDescent="0.25">
      <c r="A807" t="str">
        <f>IF(games!$A807="","",games!$A807)</f>
        <v>White Knuckle</v>
      </c>
      <c r="B807">
        <f>IF($A807="","",games!$B807)</f>
        <v>2025</v>
      </c>
      <c r="C807" t="str">
        <f>IF($A807="","",games!$C807)</f>
        <v>Action</v>
      </c>
      <c r="D807">
        <f>IF($A807="","",COUNTIF(connections!$A$2:$A$1188,$A807)+COUNTIF(connections!$B$2:$B$1188,$A807))</f>
        <v>0</v>
      </c>
      <c r="E807">
        <f t="shared" si="144"/>
        <v>1</v>
      </c>
      <c r="F807">
        <f t="shared" si="145"/>
        <v>25</v>
      </c>
      <c r="G807">
        <f t="shared" si="146"/>
        <v>2025</v>
      </c>
      <c r="H807">
        <f t="shared" si="147"/>
        <v>1.575</v>
      </c>
      <c r="I807" t="e">
        <f t="shared" si="148"/>
        <v>#N/A</v>
      </c>
      <c r="J807" t="e">
        <f t="shared" si="149"/>
        <v>#N/A</v>
      </c>
      <c r="K807" t="e">
        <f t="shared" si="150"/>
        <v>#N/A</v>
      </c>
      <c r="L807" t="e">
        <f t="shared" si="151"/>
        <v>#N/A</v>
      </c>
      <c r="M807" t="e">
        <f t="shared" si="152"/>
        <v>#N/A</v>
      </c>
      <c r="N807" t="e">
        <f t="shared" si="153"/>
        <v>#N/A</v>
      </c>
      <c r="O807">
        <f t="shared" si="154"/>
        <v>8.0699999999999999E-4</v>
      </c>
      <c r="T807">
        <f>IF(connections!$A807="","",IFERROR(INDEX(games!$B$2:$B$834,MATCH(connections!$A807,games!$A$2:$A$834,0)),""))</f>
        <v>2017</v>
      </c>
      <c r="U807">
        <f>IF(connections!$A807="","",IFERROR(INDEX(games!$B$2:$B$834,MATCH(connections!$B807,games!$A$2:$A$834,0)),""))</f>
        <v>2020</v>
      </c>
      <c r="V807">
        <f t="shared" si="155"/>
        <v>3</v>
      </c>
    </row>
    <row r="808" spans="1:22" x14ac:dyDescent="0.25">
      <c r="A808" t="str">
        <f>IF(games!$A808="","",games!$A808)</f>
        <v>Wild Bastards</v>
      </c>
      <c r="B808">
        <f>IF($A808="","",games!$B808)</f>
        <v>2024</v>
      </c>
      <c r="C808" t="str">
        <f>IF($A808="","",games!$C808)</f>
        <v>Action</v>
      </c>
      <c r="D808">
        <f>IF($A808="","",COUNTIF(connections!$A$2:$A$1188,$A808)+COUNTIF(connections!$B$2:$B$1188,$A808))</f>
        <v>1</v>
      </c>
      <c r="E808">
        <f t="shared" si="144"/>
        <v>1</v>
      </c>
      <c r="F808">
        <f t="shared" si="145"/>
        <v>26</v>
      </c>
      <c r="G808">
        <f t="shared" si="146"/>
        <v>2024</v>
      </c>
      <c r="H808">
        <f t="shared" si="147"/>
        <v>1.5979999999999999</v>
      </c>
      <c r="I808" t="e">
        <f t="shared" si="148"/>
        <v>#N/A</v>
      </c>
      <c r="J808" t="e">
        <f t="shared" si="149"/>
        <v>#N/A</v>
      </c>
      <c r="K808" t="e">
        <f t="shared" si="150"/>
        <v>#N/A</v>
      </c>
      <c r="L808" t="e">
        <f t="shared" si="151"/>
        <v>#N/A</v>
      </c>
      <c r="M808" t="e">
        <f t="shared" si="152"/>
        <v>#N/A</v>
      </c>
      <c r="N808" t="e">
        <f t="shared" si="153"/>
        <v>#N/A</v>
      </c>
      <c r="O808">
        <f t="shared" si="154"/>
        <v>1.0008079999999999</v>
      </c>
      <c r="T808">
        <f>IF(connections!$A808="","",IFERROR(INDEX(games!$B$2:$B$834,MATCH(connections!$A808,games!$A$2:$A$834,0)),""))</f>
        <v>2017</v>
      </c>
      <c r="U808">
        <f>IF(connections!$A808="","",IFERROR(INDEX(games!$B$2:$B$834,MATCH(connections!$B808,games!$A$2:$A$834,0)),""))</f>
        <v>2024</v>
      </c>
      <c r="V808">
        <f t="shared" si="155"/>
        <v>7</v>
      </c>
    </row>
    <row r="809" spans="1:22" x14ac:dyDescent="0.25">
      <c r="A809" t="str">
        <f>IF(games!$A809="","",games!$A809)</f>
        <v>Wildermyth</v>
      </c>
      <c r="B809">
        <f>IF($A809="","",games!$B809)</f>
        <v>2019</v>
      </c>
      <c r="C809" t="str">
        <f>IF($A809="","",games!$C809)</f>
        <v>Strategy</v>
      </c>
      <c r="D809">
        <f>IF($A809="","",COUNTIF(connections!$A$2:$A$1188,$A809)+COUNTIF(connections!$B$2:$B$1188,$A809))</f>
        <v>0</v>
      </c>
      <c r="E809">
        <f t="shared" si="144"/>
        <v>2</v>
      </c>
      <c r="F809">
        <f t="shared" si="145"/>
        <v>27</v>
      </c>
      <c r="G809" t="e">
        <f t="shared" si="146"/>
        <v>#N/A</v>
      </c>
      <c r="H809" t="e">
        <f t="shared" si="147"/>
        <v>#N/A</v>
      </c>
      <c r="I809">
        <f t="shared" si="148"/>
        <v>2019</v>
      </c>
      <c r="J809">
        <f t="shared" si="149"/>
        <v>2.621</v>
      </c>
      <c r="K809" t="e">
        <f t="shared" si="150"/>
        <v>#N/A</v>
      </c>
      <c r="L809" t="e">
        <f t="shared" si="151"/>
        <v>#N/A</v>
      </c>
      <c r="M809" t="e">
        <f t="shared" si="152"/>
        <v>#N/A</v>
      </c>
      <c r="N809" t="e">
        <f t="shared" si="153"/>
        <v>#N/A</v>
      </c>
      <c r="O809">
        <f t="shared" si="154"/>
        <v>8.0900000000000004E-4</v>
      </c>
      <c r="T809">
        <f>IF(connections!$A809="","",IFERROR(INDEX(games!$B$2:$B$834,MATCH(connections!$A809,games!$A$2:$A$834,0)),""))</f>
        <v>2017</v>
      </c>
      <c r="U809">
        <f>IF(connections!$A809="","",IFERROR(INDEX(games!$B$2:$B$834,MATCH(connections!$B809,games!$A$2:$A$834,0)),""))</f>
        <v>2021</v>
      </c>
      <c r="V809">
        <f t="shared" si="155"/>
        <v>4</v>
      </c>
    </row>
    <row r="810" spans="1:22" x14ac:dyDescent="0.25">
      <c r="A810" t="str">
        <f>IF(games!$A810="","",games!$A810)</f>
        <v>Wildfrost</v>
      </c>
      <c r="B810">
        <f>IF($A810="","",games!$B810)</f>
        <v>2023</v>
      </c>
      <c r="C810" t="str">
        <f>IF($A810="","",games!$C810)</f>
        <v>Deckbuilder</v>
      </c>
      <c r="D810">
        <f>IF($A810="","",COUNTIF(connections!$A$2:$A$1188,$A810)+COUNTIF(connections!$B$2:$B$1188,$A810))</f>
        <v>8</v>
      </c>
      <c r="E810">
        <f t="shared" si="144"/>
        <v>3</v>
      </c>
      <c r="F810">
        <f t="shared" si="145"/>
        <v>28</v>
      </c>
      <c r="G810" t="e">
        <f t="shared" si="146"/>
        <v>#N/A</v>
      </c>
      <c r="H810" t="e">
        <f t="shared" si="147"/>
        <v>#N/A</v>
      </c>
      <c r="I810" t="e">
        <f t="shared" si="148"/>
        <v>#N/A</v>
      </c>
      <c r="J810" t="e">
        <f t="shared" si="149"/>
        <v>#N/A</v>
      </c>
      <c r="K810">
        <f t="shared" si="150"/>
        <v>2023</v>
      </c>
      <c r="L810">
        <f t="shared" si="151"/>
        <v>3.6440000000000001</v>
      </c>
      <c r="M810" t="e">
        <f t="shared" si="152"/>
        <v>#N/A</v>
      </c>
      <c r="N810" t="e">
        <f t="shared" si="153"/>
        <v>#N/A</v>
      </c>
      <c r="O810">
        <f t="shared" si="154"/>
        <v>8.0008099999999995</v>
      </c>
      <c r="T810">
        <f>IF(connections!$A810="","",IFERROR(INDEX(games!$B$2:$B$834,MATCH(connections!$A810,games!$A$2:$A$834,0)),""))</f>
        <v>2017</v>
      </c>
      <c r="U810">
        <f>IF(connections!$A810="","",IFERROR(INDEX(games!$B$2:$B$834,MATCH(connections!$B810,games!$A$2:$A$834,0)),""))</f>
        <v>2024</v>
      </c>
      <c r="V810">
        <f t="shared" si="155"/>
        <v>7</v>
      </c>
    </row>
    <row r="811" spans="1:22" x14ac:dyDescent="0.25">
      <c r="A811" t="str">
        <f>IF(games!$A811="","",games!$A811)</f>
        <v>Windblown</v>
      </c>
      <c r="B811">
        <f>IF($A811="","",games!$B811)</f>
        <v>2024</v>
      </c>
      <c r="C811" t="str">
        <f>IF($A811="","",games!$C811)</f>
        <v>Action</v>
      </c>
      <c r="D811">
        <f>IF($A811="","",COUNTIF(connections!$A$2:$A$1188,$A811)+COUNTIF(connections!$B$2:$B$1188,$A811))</f>
        <v>1</v>
      </c>
      <c r="E811">
        <f t="shared" si="144"/>
        <v>1</v>
      </c>
      <c r="F811">
        <f t="shared" si="145"/>
        <v>29</v>
      </c>
      <c r="G811">
        <f t="shared" si="146"/>
        <v>2024</v>
      </c>
      <c r="H811">
        <f t="shared" si="147"/>
        <v>1.667</v>
      </c>
      <c r="I811" t="e">
        <f t="shared" si="148"/>
        <v>#N/A</v>
      </c>
      <c r="J811" t="e">
        <f t="shared" si="149"/>
        <v>#N/A</v>
      </c>
      <c r="K811" t="e">
        <f t="shared" si="150"/>
        <v>#N/A</v>
      </c>
      <c r="L811" t="e">
        <f t="shared" si="151"/>
        <v>#N/A</v>
      </c>
      <c r="M811" t="e">
        <f t="shared" si="152"/>
        <v>#N/A</v>
      </c>
      <c r="N811" t="e">
        <f t="shared" si="153"/>
        <v>#N/A</v>
      </c>
      <c r="O811">
        <f t="shared" si="154"/>
        <v>1.0008109999999999</v>
      </c>
      <c r="T811">
        <f>IF(connections!$A811="","",IFERROR(INDEX(games!$B$2:$B$834,MATCH(connections!$A811,games!$A$2:$A$834,0)),""))</f>
        <v>2017</v>
      </c>
      <c r="U811">
        <f>IF(connections!$A811="","",IFERROR(INDEX(games!$B$2:$B$834,MATCH(connections!$B811,games!$A$2:$A$834,0)),""))</f>
        <v>2021</v>
      </c>
      <c r="V811">
        <f t="shared" si="155"/>
        <v>4</v>
      </c>
    </row>
    <row r="812" spans="1:22" x14ac:dyDescent="0.25">
      <c r="A812" t="str">
        <f>IF(games!$A812="","",games!$A812)</f>
        <v>Winnie's Hole</v>
      </c>
      <c r="B812">
        <f>IF($A812="","",games!$B812)</f>
        <v>2026</v>
      </c>
      <c r="C812" t="str">
        <f>IF($A812="","",games!$C812)</f>
        <v>Deckbuilder</v>
      </c>
      <c r="D812">
        <f>IF($A812="","",COUNTIF(connections!$A$2:$A$1188,$A812)+COUNTIF(connections!$B$2:$B$1188,$A812))</f>
        <v>3</v>
      </c>
      <c r="E812">
        <f t="shared" si="144"/>
        <v>3</v>
      </c>
      <c r="F812">
        <f t="shared" si="145"/>
        <v>30</v>
      </c>
      <c r="G812" t="e">
        <f t="shared" si="146"/>
        <v>#N/A</v>
      </c>
      <c r="H812" t="e">
        <f t="shared" si="147"/>
        <v>#N/A</v>
      </c>
      <c r="I812" t="e">
        <f t="shared" si="148"/>
        <v>#N/A</v>
      </c>
      <c r="J812" t="e">
        <f t="shared" si="149"/>
        <v>#N/A</v>
      </c>
      <c r="K812">
        <f t="shared" si="150"/>
        <v>2026</v>
      </c>
      <c r="L812">
        <f t="shared" si="151"/>
        <v>3.69</v>
      </c>
      <c r="M812" t="e">
        <f t="shared" si="152"/>
        <v>#N/A</v>
      </c>
      <c r="N812" t="e">
        <f t="shared" si="153"/>
        <v>#N/A</v>
      </c>
      <c r="O812">
        <f t="shared" si="154"/>
        <v>3.0008119999999998</v>
      </c>
      <c r="T812">
        <f>IF(connections!$A812="","",IFERROR(INDEX(games!$B$2:$B$834,MATCH(connections!$A812,games!$A$2:$A$834,0)),""))</f>
        <v>2017</v>
      </c>
      <c r="U812">
        <f>IF(connections!$A812="","",IFERROR(INDEX(games!$B$2:$B$834,MATCH(connections!$B812,games!$A$2:$A$834,0)),""))</f>
        <v>2026</v>
      </c>
      <c r="V812">
        <f t="shared" si="155"/>
        <v>9</v>
      </c>
    </row>
    <row r="813" spans="1:22" x14ac:dyDescent="0.25">
      <c r="A813" t="str">
        <f>IF(games!$A813="","",games!$A813)</f>
        <v>Wireworks</v>
      </c>
      <c r="B813">
        <f>IF($A813="","",games!$B813)</f>
        <v>2026</v>
      </c>
      <c r="C813" t="str">
        <f>IF($A813="","",games!$C813)</f>
        <v>Strategy</v>
      </c>
      <c r="D813">
        <f>IF($A813="","",COUNTIF(connections!$A$2:$A$1188,$A813)+COUNTIF(connections!$B$2:$B$1188,$A813))</f>
        <v>0</v>
      </c>
      <c r="E813">
        <f t="shared" si="144"/>
        <v>2</v>
      </c>
      <c r="F813">
        <f t="shared" si="145"/>
        <v>31</v>
      </c>
      <c r="G813" t="e">
        <f t="shared" si="146"/>
        <v>#N/A</v>
      </c>
      <c r="H813" t="e">
        <f t="shared" si="147"/>
        <v>#N/A</v>
      </c>
      <c r="I813">
        <f t="shared" si="148"/>
        <v>2026</v>
      </c>
      <c r="J813">
        <f t="shared" si="149"/>
        <v>2.7130000000000001</v>
      </c>
      <c r="K813" t="e">
        <f t="shared" si="150"/>
        <v>#N/A</v>
      </c>
      <c r="L813" t="e">
        <f t="shared" si="151"/>
        <v>#N/A</v>
      </c>
      <c r="M813" t="e">
        <f t="shared" si="152"/>
        <v>#N/A</v>
      </c>
      <c r="N813" t="e">
        <f t="shared" si="153"/>
        <v>#N/A</v>
      </c>
      <c r="O813">
        <f t="shared" si="154"/>
        <v>8.1300000000000003E-4</v>
      </c>
      <c r="T813">
        <f>IF(connections!$A813="","",IFERROR(INDEX(games!$B$2:$B$834,MATCH(connections!$A813,games!$A$2:$A$834,0)),""))</f>
        <v>2017</v>
      </c>
      <c r="U813">
        <f>IF(connections!$A813="","",IFERROR(INDEX(games!$B$2:$B$834,MATCH(connections!$B813,games!$A$2:$A$834,0)),""))</f>
        <v>2026</v>
      </c>
      <c r="V813">
        <f t="shared" si="155"/>
        <v>9</v>
      </c>
    </row>
    <row r="814" spans="1:22" x14ac:dyDescent="0.25">
      <c r="A814" t="str">
        <f>IF(games!$A814="","",games!$A814)</f>
        <v>Witchfire</v>
      </c>
      <c r="B814">
        <f>IF($A814="","",games!$B814)</f>
        <v>2024</v>
      </c>
      <c r="C814" t="str">
        <f>IF($A814="","",games!$C814)</f>
        <v>Action</v>
      </c>
      <c r="D814">
        <f>IF($A814="","",COUNTIF(connections!$A$2:$A$1188,$A814)+COUNTIF(connections!$B$2:$B$1188,$A814))</f>
        <v>1</v>
      </c>
      <c r="E814">
        <f t="shared" si="144"/>
        <v>1</v>
      </c>
      <c r="F814">
        <f t="shared" si="145"/>
        <v>32</v>
      </c>
      <c r="G814">
        <f t="shared" si="146"/>
        <v>2024</v>
      </c>
      <c r="H814">
        <f t="shared" si="147"/>
        <v>1.736</v>
      </c>
      <c r="I814" t="e">
        <f t="shared" si="148"/>
        <v>#N/A</v>
      </c>
      <c r="J814" t="e">
        <f t="shared" si="149"/>
        <v>#N/A</v>
      </c>
      <c r="K814" t="e">
        <f t="shared" si="150"/>
        <v>#N/A</v>
      </c>
      <c r="L814" t="e">
        <f t="shared" si="151"/>
        <v>#N/A</v>
      </c>
      <c r="M814" t="e">
        <f t="shared" si="152"/>
        <v>#N/A</v>
      </c>
      <c r="N814" t="e">
        <f t="shared" si="153"/>
        <v>#N/A</v>
      </c>
      <c r="O814">
        <f t="shared" si="154"/>
        <v>1.0008140000000001</v>
      </c>
      <c r="T814">
        <f>IF(connections!$A814="","",IFERROR(INDEX(games!$B$2:$B$834,MATCH(connections!$A814,games!$A$2:$A$834,0)),""))</f>
        <v>2017</v>
      </c>
      <c r="U814">
        <f>IF(connections!$A814="","",IFERROR(INDEX(games!$B$2:$B$834,MATCH(connections!$B814,games!$A$2:$A$834,0)),""))</f>
        <v>2023</v>
      </c>
      <c r="V814">
        <f t="shared" si="155"/>
        <v>6</v>
      </c>
    </row>
    <row r="815" spans="1:22" x14ac:dyDescent="0.25">
      <c r="A815" t="str">
        <f>IF(games!$A815="","",games!$A815)</f>
        <v>Witch's Apocalyptic Journey</v>
      </c>
      <c r="B815">
        <f>IF($A815="","",games!$B815)</f>
        <v>2026</v>
      </c>
      <c r="C815" t="str">
        <f>IF($A815="","",games!$C815)</f>
        <v>Deckbuilder</v>
      </c>
      <c r="D815">
        <f>IF($A815="","",COUNTIF(connections!$A$2:$A$1188,$A815)+COUNTIF(connections!$B$2:$B$1188,$A815))</f>
        <v>1</v>
      </c>
      <c r="E815">
        <f t="shared" si="144"/>
        <v>3</v>
      </c>
      <c r="F815">
        <f t="shared" si="145"/>
        <v>33</v>
      </c>
      <c r="G815" t="e">
        <f t="shared" si="146"/>
        <v>#N/A</v>
      </c>
      <c r="H815" t="e">
        <f t="shared" si="147"/>
        <v>#N/A</v>
      </c>
      <c r="I815" t="e">
        <f t="shared" si="148"/>
        <v>#N/A</v>
      </c>
      <c r="J815" t="e">
        <f t="shared" si="149"/>
        <v>#N/A</v>
      </c>
      <c r="K815">
        <f t="shared" si="150"/>
        <v>2026</v>
      </c>
      <c r="L815">
        <f t="shared" si="151"/>
        <v>3.7589999999999999</v>
      </c>
      <c r="M815" t="e">
        <f t="shared" si="152"/>
        <v>#N/A</v>
      </c>
      <c r="N815" t="e">
        <f t="shared" si="153"/>
        <v>#N/A</v>
      </c>
      <c r="O815">
        <f t="shared" si="154"/>
        <v>1.000815</v>
      </c>
      <c r="T815">
        <f>IF(connections!$A815="","",IFERROR(INDEX(games!$B$2:$B$834,MATCH(connections!$A815,games!$A$2:$A$834,0)),""))</f>
        <v>2017</v>
      </c>
      <c r="U815">
        <f>IF(connections!$A815="","",IFERROR(INDEX(games!$B$2:$B$834,MATCH(connections!$B815,games!$A$2:$A$834,0)),""))</f>
        <v>2025</v>
      </c>
      <c r="V815">
        <f t="shared" si="155"/>
        <v>8</v>
      </c>
    </row>
    <row r="816" spans="1:22" x14ac:dyDescent="0.25">
      <c r="A816" t="str">
        <f>IF(games!$A816="","",games!$A816)</f>
        <v>Wizard of Legend</v>
      </c>
      <c r="B816">
        <f>IF($A816="","",games!$B816)</f>
        <v>2018</v>
      </c>
      <c r="C816" t="str">
        <f>IF($A816="","",games!$C816)</f>
        <v>Action</v>
      </c>
      <c r="D816">
        <f>IF($A816="","",COUNTIF(connections!$A$2:$A$1188,$A816)+COUNTIF(connections!$B$2:$B$1188,$A816))</f>
        <v>4</v>
      </c>
      <c r="E816">
        <f t="shared" si="144"/>
        <v>1</v>
      </c>
      <c r="F816">
        <f t="shared" si="145"/>
        <v>0</v>
      </c>
      <c r="G816">
        <f t="shared" si="146"/>
        <v>2018</v>
      </c>
      <c r="H816">
        <f t="shared" si="147"/>
        <v>1</v>
      </c>
      <c r="I816" t="e">
        <f t="shared" si="148"/>
        <v>#N/A</v>
      </c>
      <c r="J816" t="e">
        <f t="shared" si="149"/>
        <v>#N/A</v>
      </c>
      <c r="K816" t="e">
        <f t="shared" si="150"/>
        <v>#N/A</v>
      </c>
      <c r="L816" t="e">
        <f t="shared" si="151"/>
        <v>#N/A</v>
      </c>
      <c r="M816" t="e">
        <f t="shared" si="152"/>
        <v>#N/A</v>
      </c>
      <c r="N816" t="e">
        <f t="shared" si="153"/>
        <v>#N/A</v>
      </c>
      <c r="O816">
        <f t="shared" si="154"/>
        <v>4.0008160000000004</v>
      </c>
      <c r="T816">
        <f>IF(connections!$A816="","",IFERROR(INDEX(games!$B$2:$B$834,MATCH(connections!$A816,games!$A$2:$A$834,0)),""))</f>
        <v>2017</v>
      </c>
      <c r="U816">
        <f>IF(connections!$A816="","",IFERROR(INDEX(games!$B$2:$B$834,MATCH(connections!$B816,games!$A$2:$A$834,0)),""))</f>
        <v>2025</v>
      </c>
      <c r="V816">
        <f t="shared" si="155"/>
        <v>8</v>
      </c>
    </row>
    <row r="817" spans="1:22" x14ac:dyDescent="0.25">
      <c r="A817" t="str">
        <f>IF(games!$A817="","",games!$A817)</f>
        <v>Wizard of Legend 2</v>
      </c>
      <c r="B817">
        <f>IF($A817="","",games!$B817)</f>
        <v>2024</v>
      </c>
      <c r="C817" t="str">
        <f>IF($A817="","",games!$C817)</f>
        <v>Action</v>
      </c>
      <c r="D817">
        <f>IF($A817="","",COUNTIF(connections!$A$2:$A$1188,$A817)+COUNTIF(connections!$B$2:$B$1188,$A817))</f>
        <v>1</v>
      </c>
      <c r="E817">
        <f t="shared" si="144"/>
        <v>1</v>
      </c>
      <c r="F817">
        <f t="shared" si="145"/>
        <v>1</v>
      </c>
      <c r="G817">
        <f t="shared" si="146"/>
        <v>2024</v>
      </c>
      <c r="H817">
        <f t="shared" si="147"/>
        <v>1.0229999999999999</v>
      </c>
      <c r="I817" t="e">
        <f t="shared" si="148"/>
        <v>#N/A</v>
      </c>
      <c r="J817" t="e">
        <f t="shared" si="149"/>
        <v>#N/A</v>
      </c>
      <c r="K817" t="e">
        <f t="shared" si="150"/>
        <v>#N/A</v>
      </c>
      <c r="L817" t="e">
        <f t="shared" si="151"/>
        <v>#N/A</v>
      </c>
      <c r="M817" t="e">
        <f t="shared" si="152"/>
        <v>#N/A</v>
      </c>
      <c r="N817" t="e">
        <f t="shared" si="153"/>
        <v>#N/A</v>
      </c>
      <c r="O817">
        <f t="shared" si="154"/>
        <v>1.0008170000000001</v>
      </c>
      <c r="T817">
        <f>IF(connections!$A817="","",IFERROR(INDEX(games!$B$2:$B$834,MATCH(connections!$A817,games!$A$2:$A$834,0)),""))</f>
        <v>2017</v>
      </c>
      <c r="U817">
        <f>IF(connections!$A817="","",IFERROR(INDEX(games!$B$2:$B$834,MATCH(connections!$B817,games!$A$2:$A$834,0)),""))</f>
        <v>2023</v>
      </c>
      <c r="V817">
        <f t="shared" si="155"/>
        <v>6</v>
      </c>
    </row>
    <row r="818" spans="1:22" x14ac:dyDescent="0.25">
      <c r="A818" t="str">
        <f>IF(games!$A818="","",games!$A818)</f>
        <v>WizardChess</v>
      </c>
      <c r="B818">
        <f>IF($A818="","",games!$B818)</f>
        <v>2021</v>
      </c>
      <c r="C818" t="str">
        <f>IF($A818="","",games!$C818)</f>
        <v>Strategy</v>
      </c>
      <c r="D818">
        <f>IF($A818="","",COUNTIF(connections!$A$2:$A$1188,$A818)+COUNTIF(connections!$B$2:$B$1188,$A818))</f>
        <v>1</v>
      </c>
      <c r="E818">
        <f t="shared" si="144"/>
        <v>2</v>
      </c>
      <c r="F818">
        <f t="shared" si="145"/>
        <v>2</v>
      </c>
      <c r="G818" t="e">
        <f t="shared" si="146"/>
        <v>#N/A</v>
      </c>
      <c r="H818" t="e">
        <f t="shared" si="147"/>
        <v>#N/A</v>
      </c>
      <c r="I818">
        <f t="shared" si="148"/>
        <v>2021</v>
      </c>
      <c r="J818">
        <f t="shared" si="149"/>
        <v>2.0459999999999998</v>
      </c>
      <c r="K818" t="e">
        <f t="shared" si="150"/>
        <v>#N/A</v>
      </c>
      <c r="L818" t="e">
        <f t="shared" si="151"/>
        <v>#N/A</v>
      </c>
      <c r="M818" t="e">
        <f t="shared" si="152"/>
        <v>#N/A</v>
      </c>
      <c r="N818" t="e">
        <f t="shared" si="153"/>
        <v>#N/A</v>
      </c>
      <c r="O818">
        <f t="shared" si="154"/>
        <v>1.000818</v>
      </c>
      <c r="T818">
        <f>IF(connections!$A818="","",IFERROR(INDEX(games!$B$2:$B$834,MATCH(connections!$A818,games!$A$2:$A$834,0)),""))</f>
        <v>2017</v>
      </c>
      <c r="U818">
        <f>IF(connections!$A818="","",IFERROR(INDEX(games!$B$2:$B$834,MATCH(connections!$B818,games!$A$2:$A$834,0)),""))</f>
        <v>2026</v>
      </c>
      <c r="V818">
        <f t="shared" si="155"/>
        <v>9</v>
      </c>
    </row>
    <row r="819" spans="1:22" x14ac:dyDescent="0.25">
      <c r="A819" t="str">
        <f>IF(games!$A819="","",games!$A819)</f>
        <v>Word Play</v>
      </c>
      <c r="B819">
        <f>IF($A819="","",games!$B819)</f>
        <v>2025</v>
      </c>
      <c r="C819" t="str">
        <f>IF($A819="","",games!$C819)</f>
        <v>Deckbuilder</v>
      </c>
      <c r="D819">
        <f>IF($A819="","",COUNTIF(connections!$A$2:$A$1188,$A819)+COUNTIF(connections!$B$2:$B$1188,$A819))</f>
        <v>1</v>
      </c>
      <c r="E819">
        <f t="shared" si="144"/>
        <v>3</v>
      </c>
      <c r="F819">
        <f t="shared" si="145"/>
        <v>3</v>
      </c>
      <c r="G819" t="e">
        <f t="shared" si="146"/>
        <v>#N/A</v>
      </c>
      <c r="H819" t="e">
        <f t="shared" si="147"/>
        <v>#N/A</v>
      </c>
      <c r="I819" t="e">
        <f t="shared" si="148"/>
        <v>#N/A</v>
      </c>
      <c r="J819" t="e">
        <f t="shared" si="149"/>
        <v>#N/A</v>
      </c>
      <c r="K819">
        <f t="shared" si="150"/>
        <v>2025</v>
      </c>
      <c r="L819">
        <f t="shared" si="151"/>
        <v>3.069</v>
      </c>
      <c r="M819" t="e">
        <f t="shared" si="152"/>
        <v>#N/A</v>
      </c>
      <c r="N819" t="e">
        <f t="shared" si="153"/>
        <v>#N/A</v>
      </c>
      <c r="O819">
        <f t="shared" si="154"/>
        <v>1.0008189999999999</v>
      </c>
      <c r="T819">
        <f>IF(connections!$A819="","",IFERROR(INDEX(games!$B$2:$B$834,MATCH(connections!$A819,games!$A$2:$A$834,0)),""))</f>
        <v>2017</v>
      </c>
      <c r="U819">
        <f>IF(connections!$A819="","",IFERROR(INDEX(games!$B$2:$B$834,MATCH(connections!$B819,games!$A$2:$A$834,0)),""))</f>
        <v>2018</v>
      </c>
      <c r="V819">
        <f t="shared" si="155"/>
        <v>1</v>
      </c>
    </row>
    <row r="820" spans="1:22" x14ac:dyDescent="0.25">
      <c r="A820" t="str">
        <f>IF(games!$A820="","",games!$A820)</f>
        <v>Wordatro!</v>
      </c>
      <c r="B820">
        <f>IF($A820="","",games!$B820)</f>
        <v>2025</v>
      </c>
      <c r="C820" t="str">
        <f>IF($A820="","",games!$C820)</f>
        <v>Deckbuilder</v>
      </c>
      <c r="D820">
        <f>IF($A820="","",COUNTIF(connections!$A$2:$A$1188,$A820)+COUNTIF(connections!$B$2:$B$1188,$A820))</f>
        <v>1</v>
      </c>
      <c r="E820">
        <f t="shared" si="144"/>
        <v>3</v>
      </c>
      <c r="F820">
        <f t="shared" si="145"/>
        <v>4</v>
      </c>
      <c r="G820" t="e">
        <f t="shared" si="146"/>
        <v>#N/A</v>
      </c>
      <c r="H820" t="e">
        <f t="shared" si="147"/>
        <v>#N/A</v>
      </c>
      <c r="I820" t="e">
        <f t="shared" si="148"/>
        <v>#N/A</v>
      </c>
      <c r="J820" t="e">
        <f t="shared" si="149"/>
        <v>#N/A</v>
      </c>
      <c r="K820">
        <f t="shared" si="150"/>
        <v>2025</v>
      </c>
      <c r="L820">
        <f t="shared" si="151"/>
        <v>3.0920000000000001</v>
      </c>
      <c r="M820" t="e">
        <f t="shared" si="152"/>
        <v>#N/A</v>
      </c>
      <c r="N820" t="e">
        <f t="shared" si="153"/>
        <v>#N/A</v>
      </c>
      <c r="O820">
        <f t="shared" si="154"/>
        <v>1.00082</v>
      </c>
      <c r="T820">
        <f>IF(connections!$A820="","",IFERROR(INDEX(games!$B$2:$B$834,MATCH(connections!$A820,games!$A$2:$A$834,0)),""))</f>
        <v>2017</v>
      </c>
      <c r="U820">
        <f>IF(connections!$A820="","",IFERROR(INDEX(games!$B$2:$B$834,MATCH(connections!$B820,games!$A$2:$A$834,0)),""))</f>
        <v>2026</v>
      </c>
      <c r="V820">
        <f t="shared" si="155"/>
        <v>9</v>
      </c>
    </row>
    <row r="821" spans="1:22" x14ac:dyDescent="0.25">
      <c r="T821">
        <f>IF(connections!$A821="","",IFERROR(INDEX(games!$B$2:$B$834,MATCH(connections!$A821,games!$A$2:$A$834,0)),""))</f>
        <v>2017</v>
      </c>
      <c r="U821">
        <f>IF(connections!$A821="","",IFERROR(INDEX(games!$B$2:$B$834,MATCH(connections!$B821,games!$A$2:$A$834,0)),""))</f>
        <v>2024</v>
      </c>
      <c r="V821">
        <f t="shared" si="155"/>
        <v>7</v>
      </c>
    </row>
    <row r="822" spans="1:22" x14ac:dyDescent="0.25">
      <c r="T822">
        <f>IF(connections!$A822="","",IFERROR(INDEX(games!$B$2:$B$834,MATCH(connections!$A822,games!$A$2:$A$834,0)),""))</f>
        <v>2017</v>
      </c>
      <c r="U822">
        <f>IF(connections!$A822="","",IFERROR(INDEX(games!$B$2:$B$834,MATCH(connections!$B822,games!$A$2:$A$834,0)),""))</f>
        <v>2024</v>
      </c>
      <c r="V822">
        <f t="shared" si="155"/>
        <v>7</v>
      </c>
    </row>
    <row r="823" spans="1:22" x14ac:dyDescent="0.25">
      <c r="T823">
        <f>IF(connections!$A823="","",IFERROR(INDEX(games!$B$2:$B$834,MATCH(connections!$A823,games!$A$2:$A$834,0)),""))</f>
        <v>2017</v>
      </c>
      <c r="U823">
        <f>IF(connections!$A823="","",IFERROR(INDEX(games!$B$2:$B$834,MATCH(connections!$B823,games!$A$2:$A$834,0)),""))</f>
        <v>2023</v>
      </c>
      <c r="V823">
        <f t="shared" si="155"/>
        <v>6</v>
      </c>
    </row>
    <row r="824" spans="1:22" x14ac:dyDescent="0.25">
      <c r="T824">
        <f>IF(connections!$A824="","",IFERROR(INDEX(games!$B$2:$B$834,MATCH(connections!$A824,games!$A$2:$A$834,0)),""))</f>
        <v>2017</v>
      </c>
      <c r="U824">
        <f>IF(connections!$A824="","",IFERROR(INDEX(games!$B$2:$B$834,MATCH(connections!$B824,games!$A$2:$A$834,0)),""))</f>
        <v>2025</v>
      </c>
      <c r="V824">
        <f t="shared" si="155"/>
        <v>8</v>
      </c>
    </row>
    <row r="825" spans="1:22" x14ac:dyDescent="0.25">
      <c r="T825">
        <f>IF(connections!$A825="","",IFERROR(INDEX(games!$B$2:$B$834,MATCH(connections!$A825,games!$A$2:$A$834,0)),""))</f>
        <v>2017</v>
      </c>
      <c r="U825">
        <f>IF(connections!$A825="","",IFERROR(INDEX(games!$B$2:$B$834,MATCH(connections!$B825,games!$A$2:$A$834,0)),""))</f>
        <v>2026</v>
      </c>
      <c r="V825">
        <f t="shared" si="155"/>
        <v>9</v>
      </c>
    </row>
    <row r="826" spans="1:22" x14ac:dyDescent="0.25">
      <c r="T826">
        <f>IF(connections!$A826="","",IFERROR(INDEX(games!$B$2:$B$834,MATCH(connections!$A826,games!$A$2:$A$834,0)),""))</f>
        <v>2017</v>
      </c>
      <c r="U826">
        <f>IF(connections!$A826="","",IFERROR(INDEX(games!$B$2:$B$834,MATCH(connections!$B826,games!$A$2:$A$834,0)),""))</f>
        <v>2020</v>
      </c>
      <c r="V826">
        <f t="shared" si="155"/>
        <v>3</v>
      </c>
    </row>
    <row r="827" spans="1:22" x14ac:dyDescent="0.25">
      <c r="T827">
        <f>IF(connections!$A827="","",IFERROR(INDEX(games!$B$2:$B$834,MATCH(connections!$A827,games!$A$2:$A$834,0)),""))</f>
        <v>2017</v>
      </c>
      <c r="U827">
        <f>IF(connections!$A827="","",IFERROR(INDEX(games!$B$2:$B$834,MATCH(connections!$B827,games!$A$2:$A$834,0)),""))</f>
        <v>2023</v>
      </c>
      <c r="V827">
        <f t="shared" si="155"/>
        <v>6</v>
      </c>
    </row>
    <row r="828" spans="1:22" x14ac:dyDescent="0.25">
      <c r="T828">
        <f>IF(connections!$A828="","",IFERROR(INDEX(games!$B$2:$B$834,MATCH(connections!$A828,games!$A$2:$A$834,0)),""))</f>
        <v>2017</v>
      </c>
      <c r="U828">
        <f>IF(connections!$A828="","",IFERROR(INDEX(games!$B$2:$B$834,MATCH(connections!$B828,games!$A$2:$A$834,0)),""))</f>
        <v>2024</v>
      </c>
      <c r="V828">
        <f t="shared" si="155"/>
        <v>7</v>
      </c>
    </row>
    <row r="829" spans="1:22" x14ac:dyDescent="0.25">
      <c r="T829">
        <f>IF(connections!$A829="","",IFERROR(INDEX(games!$B$2:$B$834,MATCH(connections!$A829,games!$A$2:$A$834,0)),""))</f>
        <v>2017</v>
      </c>
      <c r="U829">
        <f>IF(connections!$A829="","",IFERROR(INDEX(games!$B$2:$B$834,MATCH(connections!$B829,games!$A$2:$A$834,0)),""))</f>
        <v>2021</v>
      </c>
      <c r="V829">
        <f t="shared" si="155"/>
        <v>4</v>
      </c>
    </row>
    <row r="830" spans="1:22" x14ac:dyDescent="0.25">
      <c r="T830">
        <f>IF(connections!$A830="","",IFERROR(INDEX(games!$B$2:$B$834,MATCH(connections!$A830,games!$A$2:$A$834,0)),""))</f>
        <v>2017</v>
      </c>
      <c r="U830">
        <f>IF(connections!$A830="","",IFERROR(INDEX(games!$B$2:$B$834,MATCH(connections!$B830,games!$A$2:$A$834,0)),""))</f>
        <v>2023</v>
      </c>
      <c r="V830">
        <f t="shared" si="155"/>
        <v>6</v>
      </c>
    </row>
    <row r="831" spans="1:22" x14ac:dyDescent="0.25">
      <c r="T831">
        <f>IF(connections!$A831="","",IFERROR(INDEX(games!$B$2:$B$834,MATCH(connections!$A831,games!$A$2:$A$834,0)),""))</f>
        <v>2017</v>
      </c>
      <c r="U831">
        <f>IF(connections!$A831="","",IFERROR(INDEX(games!$B$2:$B$834,MATCH(connections!$B831,games!$A$2:$A$834,0)),""))</f>
        <v>2025</v>
      </c>
      <c r="V831">
        <f t="shared" si="155"/>
        <v>8</v>
      </c>
    </row>
    <row r="832" spans="1:22" x14ac:dyDescent="0.25">
      <c r="T832">
        <f>IF(connections!$A832="","",IFERROR(INDEX(games!$B$2:$B$834,MATCH(connections!$A832,games!$A$2:$A$834,0)),""))</f>
        <v>2017</v>
      </c>
      <c r="U832">
        <f>IF(connections!$A832="","",IFERROR(INDEX(games!$B$2:$B$834,MATCH(connections!$B832,games!$A$2:$A$834,0)),""))</f>
        <v>2026</v>
      </c>
      <c r="V832">
        <f t="shared" si="155"/>
        <v>9</v>
      </c>
    </row>
    <row r="833" spans="20:22" x14ac:dyDescent="0.25">
      <c r="T833">
        <f>IF(connections!$A833="","",IFERROR(INDEX(games!$B$2:$B$834,MATCH(connections!$A833,games!$A$2:$A$834,0)),""))</f>
        <v>2017</v>
      </c>
      <c r="U833">
        <f>IF(connections!$A833="","",IFERROR(INDEX(games!$B$2:$B$834,MATCH(connections!$B833,games!$A$2:$A$834,0)),""))</f>
        <v>2025</v>
      </c>
      <c r="V833">
        <f t="shared" si="155"/>
        <v>8</v>
      </c>
    </row>
    <row r="834" spans="20:22" x14ac:dyDescent="0.25">
      <c r="T834">
        <f>IF(connections!$A834="","",IFERROR(INDEX(games!$B$2:$B$834,MATCH(connections!$A834,games!$A$2:$A$834,0)),""))</f>
        <v>2017</v>
      </c>
      <c r="U834">
        <f>IF(connections!$A834="","",IFERROR(INDEX(games!$B$2:$B$834,MATCH(connections!$B834,games!$A$2:$A$834,0)),""))</f>
        <v>2022</v>
      </c>
      <c r="V834">
        <f t="shared" ref="V834:V897" si="156">IF(OR($T834="",$U834=""),"",$U834-$T834)</f>
        <v>5</v>
      </c>
    </row>
    <row r="835" spans="20:22" x14ac:dyDescent="0.25">
      <c r="T835">
        <f>IF(connections!$A835="","",IFERROR(INDEX(games!$B$2:$B$834,MATCH(connections!$A835,games!$A$2:$A$834,0)),""))</f>
        <v>2017</v>
      </c>
      <c r="U835">
        <f>IF(connections!$A835="","",IFERROR(INDEX(games!$B$2:$B$834,MATCH(connections!$B835,games!$A$2:$A$834,0)),""))</f>
        <v>2023</v>
      </c>
      <c r="V835">
        <f t="shared" si="156"/>
        <v>6</v>
      </c>
    </row>
    <row r="836" spans="20:22" x14ac:dyDescent="0.25">
      <c r="T836">
        <f>IF(connections!$A836="","",IFERROR(INDEX(games!$B$2:$B$834,MATCH(connections!$A836,games!$A$2:$A$834,0)),""))</f>
        <v>2017</v>
      </c>
      <c r="U836">
        <f>IF(connections!$A836="","",IFERROR(INDEX(games!$B$2:$B$834,MATCH(connections!$B836,games!$A$2:$A$834,0)),""))</f>
        <v>2021</v>
      </c>
      <c r="V836">
        <f t="shared" si="156"/>
        <v>4</v>
      </c>
    </row>
    <row r="837" spans="20:22" x14ac:dyDescent="0.25">
      <c r="T837">
        <f>IF(connections!$A837="","",IFERROR(INDEX(games!$B$2:$B$834,MATCH(connections!$A837,games!$A$2:$A$834,0)),""))</f>
        <v>2017</v>
      </c>
      <c r="U837">
        <f>IF(connections!$A837="","",IFERROR(INDEX(games!$B$2:$B$834,MATCH(connections!$B837,games!$A$2:$A$834,0)),""))</f>
        <v>2019</v>
      </c>
      <c r="V837">
        <f t="shared" si="156"/>
        <v>2</v>
      </c>
    </row>
    <row r="838" spans="20:22" x14ac:dyDescent="0.25">
      <c r="T838">
        <f>IF(connections!$A838="","",IFERROR(INDEX(games!$B$2:$B$834,MATCH(connections!$A838,games!$A$2:$A$834,0)),""))</f>
        <v>2017</v>
      </c>
      <c r="U838">
        <f>IF(connections!$A838="","",IFERROR(INDEX(games!$B$2:$B$834,MATCH(connections!$B838,games!$A$2:$A$834,0)),""))</f>
        <v>2020</v>
      </c>
      <c r="V838">
        <f t="shared" si="156"/>
        <v>3</v>
      </c>
    </row>
    <row r="839" spans="20:22" x14ac:dyDescent="0.25">
      <c r="T839">
        <f>IF(connections!$A839="","",IFERROR(INDEX(games!$B$2:$B$834,MATCH(connections!$A839,games!$A$2:$A$834,0)),""))</f>
        <v>2017</v>
      </c>
      <c r="U839">
        <f>IF(connections!$A839="","",IFERROR(INDEX(games!$B$2:$B$834,MATCH(connections!$B839,games!$A$2:$A$834,0)),""))</f>
        <v>2021</v>
      </c>
      <c r="V839">
        <f t="shared" si="156"/>
        <v>4</v>
      </c>
    </row>
    <row r="840" spans="20:22" x14ac:dyDescent="0.25">
      <c r="T840">
        <f>IF(connections!$A840="","",IFERROR(INDEX(games!$B$2:$B$834,MATCH(connections!$A840,games!$A$2:$A$834,0)),""))</f>
        <v>2017</v>
      </c>
      <c r="U840">
        <f>IF(connections!$A840="","",IFERROR(INDEX(games!$B$2:$B$834,MATCH(connections!$B840,games!$A$2:$A$834,0)),""))</f>
        <v>2026</v>
      </c>
      <c r="V840">
        <f t="shared" si="156"/>
        <v>9</v>
      </c>
    </row>
    <row r="841" spans="20:22" x14ac:dyDescent="0.25">
      <c r="T841">
        <f>IF(connections!$A841="","",IFERROR(INDEX(games!$B$2:$B$834,MATCH(connections!$A841,games!$A$2:$A$834,0)),""))</f>
        <v>2017</v>
      </c>
      <c r="U841">
        <f>IF(connections!$A841="","",IFERROR(INDEX(games!$B$2:$B$834,MATCH(connections!$B841,games!$A$2:$A$834,0)),""))</f>
        <v>2025</v>
      </c>
      <c r="V841">
        <f t="shared" si="156"/>
        <v>8</v>
      </c>
    </row>
    <row r="842" spans="20:22" x14ac:dyDescent="0.25">
      <c r="T842">
        <f>IF(connections!$A842="","",IFERROR(INDEX(games!$B$2:$B$834,MATCH(connections!$A842,games!$A$2:$A$834,0)),""))</f>
        <v>2017</v>
      </c>
      <c r="U842">
        <f>IF(connections!$A842="","",IFERROR(INDEX(games!$B$2:$B$834,MATCH(connections!$B842,games!$A$2:$A$834,0)),""))</f>
        <v>2023</v>
      </c>
      <c r="V842">
        <f t="shared" si="156"/>
        <v>6</v>
      </c>
    </row>
    <row r="843" spans="20:22" x14ac:dyDescent="0.25">
      <c r="T843">
        <f>IF(connections!$A843="","",IFERROR(INDEX(games!$B$2:$B$834,MATCH(connections!$A843,games!$A$2:$A$834,0)),""))</f>
        <v>2017</v>
      </c>
      <c r="U843">
        <f>IF(connections!$A843="","",IFERROR(INDEX(games!$B$2:$B$834,MATCH(connections!$B843,games!$A$2:$A$834,0)),""))</f>
        <v>2026</v>
      </c>
      <c r="V843">
        <f t="shared" si="156"/>
        <v>9</v>
      </c>
    </row>
    <row r="844" spans="20:22" x14ac:dyDescent="0.25">
      <c r="T844">
        <f>IF(connections!$A844="","",IFERROR(INDEX(games!$B$2:$B$834,MATCH(connections!$A844,games!$A$2:$A$834,0)),""))</f>
        <v>2017</v>
      </c>
      <c r="U844">
        <f>IF(connections!$A844="","",IFERROR(INDEX(games!$B$2:$B$834,MATCH(connections!$B844,games!$A$2:$A$834,0)),""))</f>
        <v>2026</v>
      </c>
      <c r="V844">
        <f t="shared" si="156"/>
        <v>9</v>
      </c>
    </row>
    <row r="845" spans="20:22" x14ac:dyDescent="0.25">
      <c r="T845">
        <f>IF(connections!$A845="","",IFERROR(INDEX(games!$B$2:$B$834,MATCH(connections!$A845,games!$A$2:$A$834,0)),""))</f>
        <v>2017</v>
      </c>
      <c r="U845">
        <f>IF(connections!$A845="","",IFERROR(INDEX(games!$B$2:$B$834,MATCH(connections!$B845,games!$A$2:$A$834,0)),""))</f>
        <v>2022</v>
      </c>
      <c r="V845">
        <f t="shared" si="156"/>
        <v>5</v>
      </c>
    </row>
    <row r="846" spans="20:22" x14ac:dyDescent="0.25">
      <c r="T846">
        <f>IF(connections!$A846="","",IFERROR(INDEX(games!$B$2:$B$834,MATCH(connections!$A846,games!$A$2:$A$834,0)),""))</f>
        <v>2017</v>
      </c>
      <c r="U846">
        <f>IF(connections!$A846="","",IFERROR(INDEX(games!$B$2:$B$834,MATCH(connections!$B846,games!$A$2:$A$834,0)),""))</f>
        <v>2024</v>
      </c>
      <c r="V846">
        <f t="shared" si="156"/>
        <v>7</v>
      </c>
    </row>
    <row r="847" spans="20:22" x14ac:dyDescent="0.25">
      <c r="T847">
        <f>IF(connections!$A847="","",IFERROR(INDEX(games!$B$2:$B$834,MATCH(connections!$A847,games!$A$2:$A$834,0)),""))</f>
        <v>2017</v>
      </c>
      <c r="U847">
        <f>IF(connections!$A847="","",IFERROR(INDEX(games!$B$2:$B$834,MATCH(connections!$B847,games!$A$2:$A$834,0)),""))</f>
        <v>2024</v>
      </c>
      <c r="V847">
        <f t="shared" si="156"/>
        <v>7</v>
      </c>
    </row>
    <row r="848" spans="20:22" x14ac:dyDescent="0.25">
      <c r="T848">
        <f>IF(connections!$A848="","",IFERROR(INDEX(games!$B$2:$B$834,MATCH(connections!$A848,games!$A$2:$A$834,0)),""))</f>
        <v>2017</v>
      </c>
      <c r="U848">
        <f>IF(connections!$A848="","",IFERROR(INDEX(games!$B$2:$B$834,MATCH(connections!$B848,games!$A$2:$A$834,0)),""))</f>
        <v>2023</v>
      </c>
      <c r="V848">
        <f t="shared" si="156"/>
        <v>6</v>
      </c>
    </row>
    <row r="849" spans="20:22" x14ac:dyDescent="0.25">
      <c r="T849">
        <f>IF(connections!$A849="","",IFERROR(INDEX(games!$B$2:$B$834,MATCH(connections!$A849,games!$A$2:$A$834,0)),""))</f>
        <v>2018</v>
      </c>
      <c r="U849">
        <f>IF(connections!$A849="","",IFERROR(INDEX(games!$B$2:$B$834,MATCH(connections!$B849,games!$A$2:$A$834,0)),""))</f>
        <v>2025</v>
      </c>
      <c r="V849">
        <f t="shared" si="156"/>
        <v>7</v>
      </c>
    </row>
    <row r="850" spans="20:22" x14ac:dyDescent="0.25">
      <c r="T850">
        <f>IF(connections!$A850="","",IFERROR(INDEX(games!$B$2:$B$834,MATCH(connections!$A850,games!$A$2:$A$834,0)),""))</f>
        <v>2018</v>
      </c>
      <c r="U850">
        <f>IF(connections!$A850="","",IFERROR(INDEX(games!$B$2:$B$834,MATCH(connections!$B850,games!$A$2:$A$834,0)),""))</f>
        <v>2024</v>
      </c>
      <c r="V850">
        <f t="shared" si="156"/>
        <v>6</v>
      </c>
    </row>
    <row r="851" spans="20:22" x14ac:dyDescent="0.25">
      <c r="T851">
        <f>IF(connections!$A851="","",IFERROR(INDEX(games!$B$2:$B$834,MATCH(connections!$A851,games!$A$2:$A$834,0)),""))</f>
        <v>2023</v>
      </c>
      <c r="U851">
        <f>IF(connections!$A851="","",IFERROR(INDEX(games!$B$2:$B$834,MATCH(connections!$B851,games!$A$2:$A$834,0)),""))</f>
        <v>2026</v>
      </c>
      <c r="V851">
        <f t="shared" si="156"/>
        <v>3</v>
      </c>
    </row>
    <row r="852" spans="20:22" x14ac:dyDescent="0.25">
      <c r="T852">
        <f>IF(connections!$A852="","",IFERROR(INDEX(games!$B$2:$B$834,MATCH(connections!$A852,games!$A$2:$A$834,0)),""))</f>
        <v>2021</v>
      </c>
      <c r="U852">
        <f>IF(connections!$A852="","",IFERROR(INDEX(games!$B$2:$B$834,MATCH(connections!$B852,games!$A$2:$A$834,0)),""))</f>
        <v>2023</v>
      </c>
      <c r="V852">
        <f t="shared" si="156"/>
        <v>2</v>
      </c>
    </row>
    <row r="853" spans="20:22" x14ac:dyDescent="0.25">
      <c r="T853">
        <f>IF(connections!$A853="","",IFERROR(INDEX(games!$B$2:$B$834,MATCH(connections!$A853,games!$A$2:$A$834,0)),""))</f>
        <v>2021</v>
      </c>
      <c r="U853">
        <f>IF(connections!$A853="","",IFERROR(INDEX(games!$B$2:$B$834,MATCH(connections!$B853,games!$A$2:$A$834,0)),""))</f>
        <v>2022</v>
      </c>
      <c r="V853">
        <f t="shared" si="156"/>
        <v>1</v>
      </c>
    </row>
    <row r="854" spans="20:22" x14ac:dyDescent="0.25">
      <c r="T854">
        <f>IF(connections!$A854="","",IFERROR(INDEX(games!$B$2:$B$834,MATCH(connections!$A854,games!$A$2:$A$834,0)),""))</f>
        <v>2021</v>
      </c>
      <c r="U854">
        <f>IF(connections!$A854="","",IFERROR(INDEX(games!$B$2:$B$834,MATCH(connections!$B854,games!$A$2:$A$834,0)),""))</f>
        <v>2023</v>
      </c>
      <c r="V854">
        <f t="shared" si="156"/>
        <v>2</v>
      </c>
    </row>
    <row r="855" spans="20:22" x14ac:dyDescent="0.25">
      <c r="T855">
        <f>IF(connections!$A855="","",IFERROR(INDEX(games!$B$2:$B$834,MATCH(connections!$A855,games!$A$2:$A$834,0)),""))</f>
        <v>2021</v>
      </c>
      <c r="U855">
        <f>IF(connections!$A855="","",IFERROR(INDEX(games!$B$2:$B$834,MATCH(connections!$B855,games!$A$2:$A$834,0)),""))</f>
        <v>2023</v>
      </c>
      <c r="V855">
        <f t="shared" si="156"/>
        <v>2</v>
      </c>
    </row>
    <row r="856" spans="20:22" x14ac:dyDescent="0.25">
      <c r="T856">
        <f>IF(connections!$A856="","",IFERROR(INDEX(games!$B$2:$B$834,MATCH(connections!$A856,games!$A$2:$A$834,0)),""))</f>
        <v>2021</v>
      </c>
      <c r="U856">
        <f>IF(connections!$A856="","",IFERROR(INDEX(games!$B$2:$B$834,MATCH(connections!$B856,games!$A$2:$A$834,0)),""))</f>
        <v>2026</v>
      </c>
      <c r="V856">
        <f t="shared" si="156"/>
        <v>5</v>
      </c>
    </row>
    <row r="857" spans="20:22" x14ac:dyDescent="0.25">
      <c r="T857">
        <f>IF(connections!$A857="","",IFERROR(INDEX(games!$B$2:$B$834,MATCH(connections!$A857,games!$A$2:$A$834,0)),""))</f>
        <v>2021</v>
      </c>
      <c r="U857">
        <f>IF(connections!$A857="","",IFERROR(INDEX(games!$B$2:$B$834,MATCH(connections!$B857,games!$A$2:$A$834,0)),""))</f>
        <v>2025</v>
      </c>
      <c r="V857">
        <f t="shared" si="156"/>
        <v>4</v>
      </c>
    </row>
    <row r="858" spans="20:22" x14ac:dyDescent="0.25">
      <c r="T858">
        <f>IF(connections!$A858="","",IFERROR(INDEX(games!$B$2:$B$834,MATCH(connections!$A858,games!$A$2:$A$834,0)),""))</f>
        <v>2022</v>
      </c>
      <c r="U858">
        <f>IF(connections!$A858="","",IFERROR(INDEX(games!$B$2:$B$834,MATCH(connections!$B858,games!$A$2:$A$834,0)),""))</f>
        <v>2023</v>
      </c>
      <c r="V858">
        <f t="shared" si="156"/>
        <v>1</v>
      </c>
    </row>
    <row r="859" spans="20:22" x14ac:dyDescent="0.25">
      <c r="T859">
        <f>IF(connections!$A859="","",IFERROR(INDEX(games!$B$2:$B$834,MATCH(connections!$A859,games!$A$2:$A$834,0)),""))</f>
        <v>2019</v>
      </c>
      <c r="U859">
        <f>IF(connections!$A859="","",IFERROR(INDEX(games!$B$2:$B$834,MATCH(connections!$B859,games!$A$2:$A$834,0)),""))</f>
        <v>2022</v>
      </c>
      <c r="V859">
        <f t="shared" si="156"/>
        <v>3</v>
      </c>
    </row>
    <row r="860" spans="20:22" x14ac:dyDescent="0.25">
      <c r="T860">
        <f>IF(connections!$A860="","",IFERROR(INDEX(games!$B$2:$B$834,MATCH(connections!$A860,games!$A$2:$A$834,0)),""))</f>
        <v>2012</v>
      </c>
      <c r="U860">
        <f>IF(connections!$A860="","",IFERROR(INDEX(games!$B$2:$B$834,MATCH(connections!$B860,games!$A$2:$A$834,0)),""))</f>
        <v>2020</v>
      </c>
      <c r="V860">
        <f t="shared" si="156"/>
        <v>8</v>
      </c>
    </row>
    <row r="861" spans="20:22" x14ac:dyDescent="0.25">
      <c r="T861">
        <f>IF(connections!$A861="","",IFERROR(INDEX(games!$B$2:$B$834,MATCH(connections!$A861,games!$A$2:$A$834,0)),""))</f>
        <v>2008</v>
      </c>
      <c r="U861">
        <f>IF(connections!$A861="","",IFERROR(INDEX(games!$B$2:$B$834,MATCH(connections!$B861,games!$A$2:$A$834,0)),""))</f>
        <v>2013</v>
      </c>
      <c r="V861">
        <f t="shared" si="156"/>
        <v>5</v>
      </c>
    </row>
    <row r="862" spans="20:22" x14ac:dyDescent="0.25">
      <c r="T862">
        <f>IF(connections!$A862="","",IFERROR(INDEX(games!$B$2:$B$834,MATCH(connections!$A862,games!$A$2:$A$834,0)),""))</f>
        <v>2008</v>
      </c>
      <c r="U862">
        <f>IF(connections!$A862="","",IFERROR(INDEX(games!$B$2:$B$834,MATCH(connections!$B862,games!$A$2:$A$834,0)),""))</f>
        <v>2015</v>
      </c>
      <c r="V862">
        <f t="shared" si="156"/>
        <v>7</v>
      </c>
    </row>
    <row r="863" spans="20:22" x14ac:dyDescent="0.25">
      <c r="T863">
        <f>IF(connections!$A863="","",IFERROR(INDEX(games!$B$2:$B$834,MATCH(connections!$A863,games!$A$2:$A$834,0)),""))</f>
        <v>2008</v>
      </c>
      <c r="U863">
        <f>IF(connections!$A863="","",IFERROR(INDEX(games!$B$2:$B$834,MATCH(connections!$B863,games!$A$2:$A$834,0)),""))</f>
        <v>2019</v>
      </c>
      <c r="V863">
        <f t="shared" si="156"/>
        <v>11</v>
      </c>
    </row>
    <row r="864" spans="20:22" x14ac:dyDescent="0.25">
      <c r="T864">
        <f>IF(connections!$A864="","",IFERROR(INDEX(games!$B$2:$B$834,MATCH(connections!$A864,games!$A$2:$A$834,0)),""))</f>
        <v>2008</v>
      </c>
      <c r="U864">
        <f>IF(connections!$A864="","",IFERROR(INDEX(games!$B$2:$B$834,MATCH(connections!$B864,games!$A$2:$A$834,0)),""))</f>
        <v>2015</v>
      </c>
      <c r="V864">
        <f t="shared" si="156"/>
        <v>7</v>
      </c>
    </row>
    <row r="865" spans="20:22" x14ac:dyDescent="0.25">
      <c r="T865">
        <f>IF(connections!$A865="","",IFERROR(INDEX(games!$B$2:$B$834,MATCH(connections!$A865,games!$A$2:$A$834,0)),""))</f>
        <v>2008</v>
      </c>
      <c r="U865">
        <f>IF(connections!$A865="","",IFERROR(INDEX(games!$B$2:$B$834,MATCH(connections!$B865,games!$A$2:$A$834,0)),""))</f>
        <v>2017</v>
      </c>
      <c r="V865">
        <f t="shared" si="156"/>
        <v>9</v>
      </c>
    </row>
    <row r="866" spans="20:22" x14ac:dyDescent="0.25">
      <c r="T866">
        <f>IF(connections!$A866="","",IFERROR(INDEX(games!$B$2:$B$834,MATCH(connections!$A866,games!$A$2:$A$834,0)),""))</f>
        <v>2008</v>
      </c>
      <c r="U866">
        <f>IF(connections!$A866="","",IFERROR(INDEX(games!$B$2:$B$834,MATCH(connections!$B866,games!$A$2:$A$834,0)),""))</f>
        <v>2013</v>
      </c>
      <c r="V866">
        <f t="shared" si="156"/>
        <v>5</v>
      </c>
    </row>
    <row r="867" spans="20:22" x14ac:dyDescent="0.25">
      <c r="T867">
        <f>IF(connections!$A867="","",IFERROR(INDEX(games!$B$2:$B$834,MATCH(connections!$A867,games!$A$2:$A$834,0)),""))</f>
        <v>2008</v>
      </c>
      <c r="U867">
        <f>IF(connections!$A867="","",IFERROR(INDEX(games!$B$2:$B$834,MATCH(connections!$B867,games!$A$2:$A$834,0)),""))</f>
        <v>2015</v>
      </c>
      <c r="V867">
        <f t="shared" si="156"/>
        <v>7</v>
      </c>
    </row>
    <row r="868" spans="20:22" x14ac:dyDescent="0.25">
      <c r="T868">
        <f>IF(connections!$A868="","",IFERROR(INDEX(games!$B$2:$B$834,MATCH(connections!$A868,games!$A$2:$A$834,0)),""))</f>
        <v>2008</v>
      </c>
      <c r="U868">
        <f>IF(connections!$A868="","",IFERROR(INDEX(games!$B$2:$B$834,MATCH(connections!$B868,games!$A$2:$A$834,0)),""))</f>
        <v>2024</v>
      </c>
      <c r="V868">
        <f t="shared" si="156"/>
        <v>16</v>
      </c>
    </row>
    <row r="869" spans="20:22" x14ac:dyDescent="0.25">
      <c r="T869">
        <f>IF(connections!$A869="","",IFERROR(INDEX(games!$B$2:$B$834,MATCH(connections!$A869,games!$A$2:$A$834,0)),""))</f>
        <v>2008</v>
      </c>
      <c r="U869">
        <f>IF(connections!$A869="","",IFERROR(INDEX(games!$B$2:$B$834,MATCH(connections!$B869,games!$A$2:$A$834,0)),""))</f>
        <v>2015</v>
      </c>
      <c r="V869">
        <f t="shared" si="156"/>
        <v>7</v>
      </c>
    </row>
    <row r="870" spans="20:22" x14ac:dyDescent="0.25">
      <c r="T870">
        <f>IF(connections!$A870="","",IFERROR(INDEX(games!$B$2:$B$834,MATCH(connections!$A870,games!$A$2:$A$834,0)),""))</f>
        <v>2008</v>
      </c>
      <c r="U870">
        <f>IF(connections!$A870="","",IFERROR(INDEX(games!$B$2:$B$834,MATCH(connections!$B870,games!$A$2:$A$834,0)),""))</f>
        <v>2025</v>
      </c>
      <c r="V870">
        <f t="shared" si="156"/>
        <v>17</v>
      </c>
    </row>
    <row r="871" spans="20:22" x14ac:dyDescent="0.25">
      <c r="T871">
        <f>IF(connections!$A871="","",IFERROR(INDEX(games!$B$2:$B$834,MATCH(connections!$A871,games!$A$2:$A$834,0)),""))</f>
        <v>2008</v>
      </c>
      <c r="U871">
        <f>IF(connections!$A871="","",IFERROR(INDEX(games!$B$2:$B$834,MATCH(connections!$B871,games!$A$2:$A$834,0)),""))</f>
        <v>2016</v>
      </c>
      <c r="V871">
        <f t="shared" si="156"/>
        <v>8</v>
      </c>
    </row>
    <row r="872" spans="20:22" x14ac:dyDescent="0.25">
      <c r="T872">
        <f>IF(connections!$A872="","",IFERROR(INDEX(games!$B$2:$B$834,MATCH(connections!$A872,games!$A$2:$A$834,0)),""))</f>
        <v>2008</v>
      </c>
      <c r="U872">
        <f>IF(connections!$A872="","",IFERROR(INDEX(games!$B$2:$B$834,MATCH(connections!$B872,games!$A$2:$A$834,0)),""))</f>
        <v>2024</v>
      </c>
      <c r="V872">
        <f t="shared" si="156"/>
        <v>16</v>
      </c>
    </row>
    <row r="873" spans="20:22" x14ac:dyDescent="0.25">
      <c r="T873">
        <f>IF(connections!$A873="","",IFERROR(INDEX(games!$B$2:$B$834,MATCH(connections!$A873,games!$A$2:$A$834,0)),""))</f>
        <v>2008</v>
      </c>
      <c r="U873">
        <f>IF(connections!$A873="","",IFERROR(INDEX(games!$B$2:$B$834,MATCH(connections!$B873,games!$A$2:$A$834,0)),""))</f>
        <v>2017</v>
      </c>
      <c r="V873">
        <f t="shared" si="156"/>
        <v>9</v>
      </c>
    </row>
    <row r="874" spans="20:22" x14ac:dyDescent="0.25">
      <c r="T874">
        <f>IF(connections!$A874="","",IFERROR(INDEX(games!$B$2:$B$834,MATCH(connections!$A874,games!$A$2:$A$834,0)),""))</f>
        <v>2008</v>
      </c>
      <c r="U874">
        <f>IF(connections!$A874="","",IFERROR(INDEX(games!$B$2:$B$834,MATCH(connections!$B874,games!$A$2:$A$834,0)),""))</f>
        <v>2012</v>
      </c>
      <c r="V874">
        <f t="shared" si="156"/>
        <v>4</v>
      </c>
    </row>
    <row r="875" spans="20:22" x14ac:dyDescent="0.25">
      <c r="T875">
        <f>IF(connections!$A875="","",IFERROR(INDEX(games!$B$2:$B$834,MATCH(connections!$A875,games!$A$2:$A$834,0)),""))</f>
        <v>2008</v>
      </c>
      <c r="U875">
        <f>IF(connections!$A875="","",IFERROR(INDEX(games!$B$2:$B$834,MATCH(connections!$B875,games!$A$2:$A$834,0)),""))</f>
        <v>2020</v>
      </c>
      <c r="V875">
        <f t="shared" si="156"/>
        <v>12</v>
      </c>
    </row>
    <row r="876" spans="20:22" x14ac:dyDescent="0.25">
      <c r="T876">
        <f>IF(connections!$A876="","",IFERROR(INDEX(games!$B$2:$B$834,MATCH(connections!$A876,games!$A$2:$A$834,0)),""))</f>
        <v>2008</v>
      </c>
      <c r="U876">
        <f>IF(connections!$A876="","",IFERROR(INDEX(games!$B$2:$B$834,MATCH(connections!$B876,games!$A$2:$A$834,0)),""))</f>
        <v>2016</v>
      </c>
      <c r="V876">
        <f t="shared" si="156"/>
        <v>8</v>
      </c>
    </row>
    <row r="877" spans="20:22" x14ac:dyDescent="0.25">
      <c r="T877">
        <f>IF(connections!$A877="","",IFERROR(INDEX(games!$B$2:$B$834,MATCH(connections!$A877,games!$A$2:$A$834,0)),""))</f>
        <v>2008</v>
      </c>
      <c r="U877">
        <f>IF(connections!$A877="","",IFERROR(INDEX(games!$B$2:$B$834,MATCH(connections!$B877,games!$A$2:$A$834,0)),""))</f>
        <v>2017</v>
      </c>
      <c r="V877">
        <f t="shared" si="156"/>
        <v>9</v>
      </c>
    </row>
    <row r="878" spans="20:22" x14ac:dyDescent="0.25">
      <c r="T878">
        <f>IF(connections!$A878="","",IFERROR(INDEX(games!$B$2:$B$834,MATCH(connections!$A878,games!$A$2:$A$834,0)),""))</f>
        <v>2008</v>
      </c>
      <c r="U878">
        <f>IF(connections!$A878="","",IFERROR(INDEX(games!$B$2:$B$834,MATCH(connections!$B878,games!$A$2:$A$834,0)),""))</f>
        <v>2018</v>
      </c>
      <c r="V878">
        <f t="shared" si="156"/>
        <v>10</v>
      </c>
    </row>
    <row r="879" spans="20:22" x14ac:dyDescent="0.25">
      <c r="T879">
        <f>IF(connections!$A879="","",IFERROR(INDEX(games!$B$2:$B$834,MATCH(connections!$A879,games!$A$2:$A$834,0)),""))</f>
        <v>2008</v>
      </c>
      <c r="U879">
        <f>IF(connections!$A879="","",IFERROR(INDEX(games!$B$2:$B$834,MATCH(connections!$B879,games!$A$2:$A$834,0)),""))</f>
        <v>2015</v>
      </c>
      <c r="V879">
        <f t="shared" si="156"/>
        <v>7</v>
      </c>
    </row>
    <row r="880" spans="20:22" x14ac:dyDescent="0.25">
      <c r="T880">
        <f>IF(connections!$A880="","",IFERROR(INDEX(games!$B$2:$B$834,MATCH(connections!$A880,games!$A$2:$A$834,0)),""))</f>
        <v>2008</v>
      </c>
      <c r="U880">
        <f>IF(connections!$A880="","",IFERROR(INDEX(games!$B$2:$B$834,MATCH(connections!$B880,games!$A$2:$A$834,0)),""))</f>
        <v>2023</v>
      </c>
      <c r="V880">
        <f t="shared" si="156"/>
        <v>15</v>
      </c>
    </row>
    <row r="881" spans="20:22" x14ac:dyDescent="0.25">
      <c r="T881">
        <f>IF(connections!$A881="","",IFERROR(INDEX(games!$B$2:$B$834,MATCH(connections!$A881,games!$A$2:$A$834,0)),""))</f>
        <v>2008</v>
      </c>
      <c r="U881">
        <f>IF(connections!$A881="","",IFERROR(INDEX(games!$B$2:$B$834,MATCH(connections!$B881,games!$A$2:$A$834,0)),""))</f>
        <v>2019</v>
      </c>
      <c r="V881">
        <f t="shared" si="156"/>
        <v>11</v>
      </c>
    </row>
    <row r="882" spans="20:22" x14ac:dyDescent="0.25">
      <c r="T882">
        <f>IF(connections!$A882="","",IFERROR(INDEX(games!$B$2:$B$834,MATCH(connections!$A882,games!$A$2:$A$834,0)),""))</f>
        <v>2008</v>
      </c>
      <c r="U882">
        <f>IF(connections!$A882="","",IFERROR(INDEX(games!$B$2:$B$834,MATCH(connections!$B882,games!$A$2:$A$834,0)),""))</f>
        <v>2012</v>
      </c>
      <c r="V882">
        <f t="shared" si="156"/>
        <v>4</v>
      </c>
    </row>
    <row r="883" spans="20:22" x14ac:dyDescent="0.25">
      <c r="T883">
        <f>IF(connections!$A883="","",IFERROR(INDEX(games!$B$2:$B$834,MATCH(connections!$A883,games!$A$2:$A$834,0)),""))</f>
        <v>2008</v>
      </c>
      <c r="U883">
        <f>IF(connections!$A883="","",IFERROR(INDEX(games!$B$2:$B$834,MATCH(connections!$B883,games!$A$2:$A$834,0)),""))</f>
        <v>2013</v>
      </c>
      <c r="V883">
        <f t="shared" si="156"/>
        <v>5</v>
      </c>
    </row>
    <row r="884" spans="20:22" x14ac:dyDescent="0.25">
      <c r="T884">
        <f>IF(connections!$A884="","",IFERROR(INDEX(games!$B$2:$B$834,MATCH(connections!$A884,games!$A$2:$A$834,0)),""))</f>
        <v>2008</v>
      </c>
      <c r="U884">
        <f>IF(connections!$A884="","",IFERROR(INDEX(games!$B$2:$B$834,MATCH(connections!$B884,games!$A$2:$A$834,0)),""))</f>
        <v>2022</v>
      </c>
      <c r="V884">
        <f t="shared" si="156"/>
        <v>14</v>
      </c>
    </row>
    <row r="885" spans="20:22" x14ac:dyDescent="0.25">
      <c r="T885">
        <f>IF(connections!$A885="","",IFERROR(INDEX(games!$B$2:$B$834,MATCH(connections!$A885,games!$A$2:$A$834,0)),""))</f>
        <v>2008</v>
      </c>
      <c r="U885">
        <f>IF(connections!$A885="","",IFERROR(INDEX(games!$B$2:$B$834,MATCH(connections!$B885,games!$A$2:$A$834,0)),""))</f>
        <v>2014</v>
      </c>
      <c r="V885">
        <f t="shared" si="156"/>
        <v>6</v>
      </c>
    </row>
    <row r="886" spans="20:22" x14ac:dyDescent="0.25">
      <c r="T886">
        <f>IF(connections!$A886="","",IFERROR(INDEX(games!$B$2:$B$834,MATCH(connections!$A886,games!$A$2:$A$834,0)),""))</f>
        <v>2008</v>
      </c>
      <c r="U886">
        <f>IF(connections!$A886="","",IFERROR(INDEX(games!$B$2:$B$834,MATCH(connections!$B886,games!$A$2:$A$834,0)),""))</f>
        <v>2012</v>
      </c>
      <c r="V886">
        <f t="shared" si="156"/>
        <v>4</v>
      </c>
    </row>
    <row r="887" spans="20:22" x14ac:dyDescent="0.25">
      <c r="T887">
        <f>IF(connections!$A887="","",IFERROR(INDEX(games!$B$2:$B$834,MATCH(connections!$A887,games!$A$2:$A$834,0)),""))</f>
        <v>2008</v>
      </c>
      <c r="U887">
        <f>IF(connections!$A887="","",IFERROR(INDEX(games!$B$2:$B$834,MATCH(connections!$B887,games!$A$2:$A$834,0)),""))</f>
        <v>2019</v>
      </c>
      <c r="V887">
        <f t="shared" si="156"/>
        <v>11</v>
      </c>
    </row>
    <row r="888" spans="20:22" x14ac:dyDescent="0.25">
      <c r="T888">
        <f>IF(connections!$A888="","",IFERROR(INDEX(games!$B$2:$B$834,MATCH(connections!$A888,games!$A$2:$A$834,0)),""))</f>
        <v>2008</v>
      </c>
      <c r="U888">
        <f>IF(connections!$A888="","",IFERROR(INDEX(games!$B$2:$B$834,MATCH(connections!$B888,games!$A$2:$A$834,0)),""))</f>
        <v>2017</v>
      </c>
      <c r="V888">
        <f t="shared" si="156"/>
        <v>9</v>
      </c>
    </row>
    <row r="889" spans="20:22" x14ac:dyDescent="0.25">
      <c r="T889">
        <f>IF(connections!$A889="","",IFERROR(INDEX(games!$B$2:$B$834,MATCH(connections!$A889,games!$A$2:$A$834,0)),""))</f>
        <v>2008</v>
      </c>
      <c r="U889">
        <f>IF(connections!$A889="","",IFERROR(INDEX(games!$B$2:$B$834,MATCH(connections!$B889,games!$A$2:$A$834,0)),""))</f>
        <v>2019</v>
      </c>
      <c r="V889">
        <f t="shared" si="156"/>
        <v>11</v>
      </c>
    </row>
    <row r="890" spans="20:22" x14ac:dyDescent="0.25">
      <c r="T890">
        <f>IF(connections!$A890="","",IFERROR(INDEX(games!$B$2:$B$834,MATCH(connections!$A890,games!$A$2:$A$834,0)),""))</f>
        <v>2008</v>
      </c>
      <c r="U890">
        <f>IF(connections!$A890="","",IFERROR(INDEX(games!$B$2:$B$834,MATCH(connections!$B890,games!$A$2:$A$834,0)),""))</f>
        <v>2016</v>
      </c>
      <c r="V890">
        <f t="shared" si="156"/>
        <v>8</v>
      </c>
    </row>
    <row r="891" spans="20:22" x14ac:dyDescent="0.25">
      <c r="T891">
        <f>IF(connections!$A891="","",IFERROR(INDEX(games!$B$2:$B$834,MATCH(connections!$A891,games!$A$2:$A$834,0)),""))</f>
        <v>2008</v>
      </c>
      <c r="U891">
        <f>IF(connections!$A891="","",IFERROR(INDEX(games!$B$2:$B$834,MATCH(connections!$B891,games!$A$2:$A$834,0)),""))</f>
        <v>2011</v>
      </c>
      <c r="V891">
        <f t="shared" si="156"/>
        <v>3</v>
      </c>
    </row>
    <row r="892" spans="20:22" x14ac:dyDescent="0.25">
      <c r="T892">
        <f>IF(connections!$A892="","",IFERROR(INDEX(games!$B$2:$B$834,MATCH(connections!$A892,games!$A$2:$A$834,0)),""))</f>
        <v>2008</v>
      </c>
      <c r="U892">
        <f>IF(connections!$A892="","",IFERROR(INDEX(games!$B$2:$B$834,MATCH(connections!$B892,games!$A$2:$A$834,0)),""))</f>
        <v>2017</v>
      </c>
      <c r="V892">
        <f t="shared" si="156"/>
        <v>9</v>
      </c>
    </row>
    <row r="893" spans="20:22" x14ac:dyDescent="0.25">
      <c r="T893">
        <f>IF(connections!$A893="","",IFERROR(INDEX(games!$B$2:$B$834,MATCH(connections!$A893,games!$A$2:$A$834,0)),""))</f>
        <v>2008</v>
      </c>
      <c r="U893">
        <f>IF(connections!$A893="","",IFERROR(INDEX(games!$B$2:$B$834,MATCH(connections!$B893,games!$A$2:$A$834,0)),""))</f>
        <v>2018</v>
      </c>
      <c r="V893">
        <f t="shared" si="156"/>
        <v>10</v>
      </c>
    </row>
    <row r="894" spans="20:22" x14ac:dyDescent="0.25">
      <c r="T894">
        <f>IF(connections!$A894="","",IFERROR(INDEX(games!$B$2:$B$834,MATCH(connections!$A894,games!$A$2:$A$834,0)),""))</f>
        <v>2008</v>
      </c>
      <c r="U894">
        <f>IF(connections!$A894="","",IFERROR(INDEX(games!$B$2:$B$834,MATCH(connections!$B894,games!$A$2:$A$834,0)),""))</f>
        <v>2023</v>
      </c>
      <c r="V894">
        <f t="shared" si="156"/>
        <v>15</v>
      </c>
    </row>
    <row r="895" spans="20:22" x14ac:dyDescent="0.25">
      <c r="T895">
        <f>IF(connections!$A895="","",IFERROR(INDEX(games!$B$2:$B$834,MATCH(connections!$A895,games!$A$2:$A$834,0)),""))</f>
        <v>2019</v>
      </c>
      <c r="U895">
        <f>IF(connections!$A895="","",IFERROR(INDEX(games!$B$2:$B$834,MATCH(connections!$B895,games!$A$2:$A$834,0)),""))</f>
        <v>2022</v>
      </c>
      <c r="V895">
        <f t="shared" si="156"/>
        <v>3</v>
      </c>
    </row>
    <row r="896" spans="20:22" x14ac:dyDescent="0.25">
      <c r="T896">
        <f>IF(connections!$A896="","",IFERROR(INDEX(games!$B$2:$B$834,MATCH(connections!$A896,games!$A$2:$A$834,0)),""))</f>
        <v>2014</v>
      </c>
      <c r="U896">
        <f>IF(connections!$A896="","",IFERROR(INDEX(games!$B$2:$B$834,MATCH(connections!$B896,games!$A$2:$A$834,0)),""))</f>
        <v>2017</v>
      </c>
      <c r="V896">
        <f t="shared" si="156"/>
        <v>3</v>
      </c>
    </row>
    <row r="897" spans="20:22" x14ac:dyDescent="0.25">
      <c r="T897">
        <f>IF(connections!$A897="","",IFERROR(INDEX(games!$B$2:$B$834,MATCH(connections!$A897,games!$A$2:$A$834,0)),""))</f>
        <v>2017</v>
      </c>
      <c r="U897">
        <f>IF(connections!$A897="","",IFERROR(INDEX(games!$B$2:$B$834,MATCH(connections!$B897,games!$A$2:$A$834,0)),""))</f>
        <v>2020</v>
      </c>
      <c r="V897">
        <f t="shared" si="156"/>
        <v>3</v>
      </c>
    </row>
    <row r="898" spans="20:22" x14ac:dyDescent="0.25">
      <c r="T898">
        <f>IF(connections!$A898="","",IFERROR(INDEX(games!$B$2:$B$834,MATCH(connections!$A898,games!$A$2:$A$834,0)),""))</f>
        <v>2020</v>
      </c>
      <c r="U898">
        <f>IF(connections!$A898="","",IFERROR(INDEX(games!$B$2:$B$834,MATCH(connections!$B898,games!$A$2:$A$834,0)),""))</f>
        <v>2025</v>
      </c>
      <c r="V898">
        <f t="shared" ref="V898:V961" si="157">IF(OR($T898="",$U898=""),"",$U898-$T898)</f>
        <v>5</v>
      </c>
    </row>
    <row r="899" spans="20:22" x14ac:dyDescent="0.25">
      <c r="T899">
        <f>IF(connections!$A899="","",IFERROR(INDEX(games!$B$2:$B$834,MATCH(connections!$A899,games!$A$2:$A$834,0)),""))</f>
        <v>2002</v>
      </c>
      <c r="U899">
        <f>IF(connections!$A899="","",IFERROR(INDEX(games!$B$2:$B$834,MATCH(connections!$B899,games!$A$2:$A$834,0)),""))</f>
        <v>2005</v>
      </c>
      <c r="V899">
        <f t="shared" si="157"/>
        <v>3</v>
      </c>
    </row>
    <row r="900" spans="20:22" x14ac:dyDescent="0.25">
      <c r="T900">
        <f>IF(connections!$A900="","",IFERROR(INDEX(games!$B$2:$B$834,MATCH(connections!$A900,games!$A$2:$A$834,0)),""))</f>
        <v>2017</v>
      </c>
      <c r="U900">
        <f>IF(connections!$A900="","",IFERROR(INDEX(games!$B$2:$B$834,MATCH(connections!$B900,games!$A$2:$A$834,0)),""))</f>
        <v>2026</v>
      </c>
      <c r="V900">
        <f t="shared" si="157"/>
        <v>9</v>
      </c>
    </row>
    <row r="901" spans="20:22" x14ac:dyDescent="0.25">
      <c r="T901">
        <f>IF(connections!$A901="","",IFERROR(INDEX(games!$B$2:$B$834,MATCH(connections!$A901,games!$A$2:$A$834,0)),""))</f>
        <v>2015</v>
      </c>
      <c r="U901">
        <f>IF(connections!$A901="","",IFERROR(INDEX(games!$B$2:$B$834,MATCH(connections!$B901,games!$A$2:$A$834,0)),""))</f>
        <v>2018</v>
      </c>
      <c r="V901">
        <f t="shared" si="157"/>
        <v>3</v>
      </c>
    </row>
    <row r="902" spans="20:22" x14ac:dyDescent="0.25">
      <c r="T902">
        <f>IF(connections!$A902="","",IFERROR(INDEX(games!$B$2:$B$834,MATCH(connections!$A902,games!$A$2:$A$834,0)),""))</f>
        <v>2021</v>
      </c>
      <c r="U902">
        <f>IF(connections!$A902="","",IFERROR(INDEX(games!$B$2:$B$834,MATCH(connections!$B902,games!$A$2:$A$834,0)),""))</f>
        <v>2023</v>
      </c>
      <c r="V902">
        <f t="shared" si="157"/>
        <v>2</v>
      </c>
    </row>
    <row r="903" spans="20:22" x14ac:dyDescent="0.25">
      <c r="T903">
        <f>IF(connections!$A903="","",IFERROR(INDEX(games!$B$2:$B$834,MATCH(connections!$A903,games!$A$2:$A$834,0)),""))</f>
        <v>2021</v>
      </c>
      <c r="U903">
        <f>IF(connections!$A903="","",IFERROR(INDEX(games!$B$2:$B$834,MATCH(connections!$B903,games!$A$2:$A$834,0)),""))</f>
        <v>2026</v>
      </c>
      <c r="V903">
        <f t="shared" si="157"/>
        <v>5</v>
      </c>
    </row>
    <row r="904" spans="20:22" x14ac:dyDescent="0.25">
      <c r="T904">
        <f>IF(connections!$A904="","",IFERROR(INDEX(games!$B$2:$B$834,MATCH(connections!$A904,games!$A$2:$A$834,0)),""))</f>
        <v>2021</v>
      </c>
      <c r="U904">
        <f>IF(connections!$A904="","",IFERROR(INDEX(games!$B$2:$B$834,MATCH(connections!$B904,games!$A$2:$A$834,0)),""))</f>
        <v>2024</v>
      </c>
      <c r="V904">
        <f t="shared" si="157"/>
        <v>3</v>
      </c>
    </row>
    <row r="905" spans="20:22" x14ac:dyDescent="0.25">
      <c r="T905">
        <f>IF(connections!$A905="","",IFERROR(INDEX(games!$B$2:$B$834,MATCH(connections!$A905,games!$A$2:$A$834,0)),""))</f>
        <v>2021</v>
      </c>
      <c r="U905">
        <f>IF(connections!$A905="","",IFERROR(INDEX(games!$B$2:$B$834,MATCH(connections!$B905,games!$A$2:$A$834,0)),""))</f>
        <v>2024</v>
      </c>
      <c r="V905">
        <f t="shared" si="157"/>
        <v>3</v>
      </c>
    </row>
    <row r="906" spans="20:22" x14ac:dyDescent="0.25">
      <c r="T906">
        <f>IF(connections!$A906="","",IFERROR(INDEX(games!$B$2:$B$834,MATCH(connections!$A906,games!$A$2:$A$834,0)),""))</f>
        <v>2021</v>
      </c>
      <c r="U906">
        <f>IF(connections!$A906="","",IFERROR(INDEX(games!$B$2:$B$834,MATCH(connections!$B906,games!$A$2:$A$834,0)),""))</f>
        <v>2025</v>
      </c>
      <c r="V906">
        <f t="shared" si="157"/>
        <v>4</v>
      </c>
    </row>
    <row r="907" spans="20:22" x14ac:dyDescent="0.25">
      <c r="T907">
        <f>IF(connections!$A907="","",IFERROR(INDEX(games!$B$2:$B$834,MATCH(connections!$A907,games!$A$2:$A$834,0)),""))</f>
        <v>2021</v>
      </c>
      <c r="U907">
        <f>IF(connections!$A907="","",IFERROR(INDEX(games!$B$2:$B$834,MATCH(connections!$B907,games!$A$2:$A$834,0)),""))</f>
        <v>2026</v>
      </c>
      <c r="V907">
        <f t="shared" si="157"/>
        <v>5</v>
      </c>
    </row>
    <row r="908" spans="20:22" x14ac:dyDescent="0.25">
      <c r="T908">
        <f>IF(connections!$A908="","",IFERROR(INDEX(games!$B$2:$B$834,MATCH(connections!$A908,games!$A$2:$A$834,0)),""))</f>
        <v>2021</v>
      </c>
      <c r="U908">
        <f>IF(connections!$A908="","",IFERROR(INDEX(games!$B$2:$B$834,MATCH(connections!$B908,games!$A$2:$A$834,0)),""))</f>
        <v>2025</v>
      </c>
      <c r="V908">
        <f t="shared" si="157"/>
        <v>4</v>
      </c>
    </row>
    <row r="909" spans="20:22" x14ac:dyDescent="0.25">
      <c r="T909">
        <f>IF(connections!$A909="","",IFERROR(INDEX(games!$B$2:$B$834,MATCH(connections!$A909,games!$A$2:$A$834,0)),""))</f>
        <v>2021</v>
      </c>
      <c r="U909">
        <f>IF(connections!$A909="","",IFERROR(INDEX(games!$B$2:$B$834,MATCH(connections!$B909,games!$A$2:$A$834,0)),""))</f>
        <v>2024</v>
      </c>
      <c r="V909">
        <f t="shared" si="157"/>
        <v>3</v>
      </c>
    </row>
    <row r="910" spans="20:22" x14ac:dyDescent="0.25">
      <c r="T910">
        <f>IF(connections!$A910="","",IFERROR(INDEX(games!$B$2:$B$834,MATCH(connections!$A910,games!$A$2:$A$834,0)),""))</f>
        <v>2021</v>
      </c>
      <c r="U910">
        <f>IF(connections!$A910="","",IFERROR(INDEX(games!$B$2:$B$834,MATCH(connections!$B910,games!$A$2:$A$834,0)),""))</f>
        <v>2026</v>
      </c>
      <c r="V910">
        <f t="shared" si="157"/>
        <v>5</v>
      </c>
    </row>
    <row r="911" spans="20:22" x14ac:dyDescent="0.25">
      <c r="T911">
        <f>IF(connections!$A911="","",IFERROR(INDEX(games!$B$2:$B$834,MATCH(connections!$A911,games!$A$2:$A$834,0)),""))</f>
        <v>2013</v>
      </c>
      <c r="U911">
        <f>IF(connections!$A911="","",IFERROR(INDEX(games!$B$2:$B$834,MATCH(connections!$B911,games!$A$2:$A$834,0)),""))</f>
        <v>2016</v>
      </c>
      <c r="V911">
        <f t="shared" si="157"/>
        <v>3</v>
      </c>
    </row>
    <row r="912" spans="20:22" x14ac:dyDescent="0.25">
      <c r="T912">
        <f>IF(connections!$A912="","",IFERROR(INDEX(games!$B$2:$B$834,MATCH(connections!$A912,games!$A$2:$A$834,0)),""))</f>
        <v>2025</v>
      </c>
      <c r="U912">
        <f>IF(connections!$A912="","",IFERROR(INDEX(games!$B$2:$B$834,MATCH(connections!$B912,games!$A$2:$A$834,0)),""))</f>
        <v>2026</v>
      </c>
      <c r="V912">
        <f t="shared" si="157"/>
        <v>1</v>
      </c>
    </row>
    <row r="913" spans="20:22" x14ac:dyDescent="0.25">
      <c r="T913">
        <f>IF(connections!$A913="","",IFERROR(INDEX(games!$B$2:$B$834,MATCH(connections!$A913,games!$A$2:$A$834,0)),""))</f>
        <v>1982</v>
      </c>
      <c r="U913">
        <f>IF(connections!$A913="","",IFERROR(INDEX(games!$B$2:$B$834,MATCH(connections!$B913,games!$A$2:$A$834,0)),""))</f>
        <v>2016</v>
      </c>
      <c r="V913">
        <f t="shared" si="157"/>
        <v>34</v>
      </c>
    </row>
    <row r="914" spans="20:22" x14ac:dyDescent="0.25">
      <c r="T914">
        <f>IF(connections!$A914="","",IFERROR(INDEX(games!$B$2:$B$834,MATCH(connections!$A914,games!$A$2:$A$834,0)),""))</f>
        <v>2018</v>
      </c>
      <c r="U914">
        <f>IF(connections!$A914="","",IFERROR(INDEX(games!$B$2:$B$834,MATCH(connections!$B914,games!$A$2:$A$834,0)),""))</f>
        <v>2021</v>
      </c>
      <c r="V914">
        <f t="shared" si="157"/>
        <v>3</v>
      </c>
    </row>
    <row r="915" spans="20:22" x14ac:dyDescent="0.25">
      <c r="T915">
        <f>IF(connections!$A915="","",IFERROR(INDEX(games!$B$2:$B$834,MATCH(connections!$A915,games!$A$2:$A$834,0)),""))</f>
        <v>1998</v>
      </c>
      <c r="U915">
        <f>IF(connections!$A915="","",IFERROR(INDEX(games!$B$2:$B$834,MATCH(connections!$B915,games!$A$2:$A$834,0)),""))</f>
        <v>2010</v>
      </c>
      <c r="V915">
        <f t="shared" si="157"/>
        <v>12</v>
      </c>
    </row>
    <row r="916" spans="20:22" x14ac:dyDescent="0.25">
      <c r="T916">
        <f>IF(connections!$A916="","",IFERROR(INDEX(games!$B$2:$B$834,MATCH(connections!$A916,games!$A$2:$A$834,0)),""))</f>
        <v>1998</v>
      </c>
      <c r="U916">
        <f>IF(connections!$A916="","",IFERROR(INDEX(games!$B$2:$B$834,MATCH(connections!$B916,games!$A$2:$A$834,0)),""))</f>
        <v>2010</v>
      </c>
      <c r="V916">
        <f t="shared" si="157"/>
        <v>12</v>
      </c>
    </row>
    <row r="917" spans="20:22" x14ac:dyDescent="0.25">
      <c r="T917">
        <f>IF(connections!$A917="","",IFERROR(INDEX(games!$B$2:$B$834,MATCH(connections!$A917,games!$A$2:$A$834,0)),""))</f>
        <v>1998</v>
      </c>
      <c r="U917">
        <f>IF(connections!$A917="","",IFERROR(INDEX(games!$B$2:$B$834,MATCH(connections!$B917,games!$A$2:$A$834,0)),""))</f>
        <v>2007</v>
      </c>
      <c r="V917">
        <f t="shared" si="157"/>
        <v>9</v>
      </c>
    </row>
    <row r="918" spans="20:22" x14ac:dyDescent="0.25">
      <c r="T918">
        <f>IF(connections!$A918="","",IFERROR(INDEX(games!$B$2:$B$834,MATCH(connections!$A918,games!$A$2:$A$834,0)),""))</f>
        <v>1998</v>
      </c>
      <c r="U918">
        <f>IF(connections!$A918="","",IFERROR(INDEX(games!$B$2:$B$834,MATCH(connections!$B918,games!$A$2:$A$834,0)),""))</f>
        <v>2020</v>
      </c>
      <c r="V918">
        <f t="shared" si="157"/>
        <v>22</v>
      </c>
    </row>
    <row r="919" spans="20:22" x14ac:dyDescent="0.25">
      <c r="T919">
        <f>IF(connections!$A919="","",IFERROR(INDEX(games!$B$2:$B$834,MATCH(connections!$A919,games!$A$2:$A$834,0)),""))</f>
        <v>1998</v>
      </c>
      <c r="U919">
        <f>IF(connections!$A919="","",IFERROR(INDEX(games!$B$2:$B$834,MATCH(connections!$B919,games!$A$2:$A$834,0)),""))</f>
        <v>2023</v>
      </c>
      <c r="V919">
        <f t="shared" si="157"/>
        <v>25</v>
      </c>
    </row>
    <row r="920" spans="20:22" x14ac:dyDescent="0.25">
      <c r="T920">
        <f>IF(connections!$A920="","",IFERROR(INDEX(games!$B$2:$B$834,MATCH(connections!$A920,games!$A$2:$A$834,0)),""))</f>
        <v>1998</v>
      </c>
      <c r="U920">
        <f>IF(connections!$A920="","",IFERROR(INDEX(games!$B$2:$B$834,MATCH(connections!$B920,games!$A$2:$A$834,0)),""))</f>
        <v>2020</v>
      </c>
      <c r="V920">
        <f t="shared" si="157"/>
        <v>22</v>
      </c>
    </row>
    <row r="921" spans="20:22" x14ac:dyDescent="0.25">
      <c r="T921">
        <f>IF(connections!$A921="","",IFERROR(INDEX(games!$B$2:$B$834,MATCH(connections!$A921,games!$A$2:$A$834,0)),""))</f>
        <v>1998</v>
      </c>
      <c r="U921">
        <f>IF(connections!$A921="","",IFERROR(INDEX(games!$B$2:$B$834,MATCH(connections!$B921,games!$A$2:$A$834,0)),""))</f>
        <v>2019</v>
      </c>
      <c r="V921">
        <f t="shared" si="157"/>
        <v>21</v>
      </c>
    </row>
    <row r="922" spans="20:22" x14ac:dyDescent="0.25">
      <c r="T922">
        <f>IF(connections!$A922="","",IFERROR(INDEX(games!$B$2:$B$834,MATCH(connections!$A922,games!$A$2:$A$834,0)),""))</f>
        <v>1998</v>
      </c>
      <c r="U922">
        <f>IF(connections!$A922="","",IFERROR(INDEX(games!$B$2:$B$834,MATCH(connections!$B922,games!$A$2:$A$834,0)),""))</f>
        <v>2017</v>
      </c>
      <c r="V922">
        <f t="shared" si="157"/>
        <v>19</v>
      </c>
    </row>
    <row r="923" spans="20:22" x14ac:dyDescent="0.25">
      <c r="T923">
        <f>IF(connections!$A923="","",IFERROR(INDEX(games!$B$2:$B$834,MATCH(connections!$A923,games!$A$2:$A$834,0)),""))</f>
        <v>2017</v>
      </c>
      <c r="U923">
        <f>IF(connections!$A923="","",IFERROR(INDEX(games!$B$2:$B$834,MATCH(connections!$B923,games!$A$2:$A$834,0)),""))</f>
        <v>2020</v>
      </c>
      <c r="V923">
        <f t="shared" si="157"/>
        <v>3</v>
      </c>
    </row>
    <row r="924" spans="20:22" x14ac:dyDescent="0.25">
      <c r="T924">
        <f>IF(connections!$A924="","",IFERROR(INDEX(games!$B$2:$B$834,MATCH(connections!$A924,games!$A$2:$A$834,0)),""))</f>
        <v>2019</v>
      </c>
      <c r="U924">
        <f>IF(connections!$A924="","",IFERROR(INDEX(games!$B$2:$B$834,MATCH(connections!$B924,games!$A$2:$A$834,0)),""))</f>
        <v>2023</v>
      </c>
      <c r="V924">
        <f t="shared" si="157"/>
        <v>4</v>
      </c>
    </row>
    <row r="925" spans="20:22" x14ac:dyDescent="0.25">
      <c r="T925">
        <f>IF(connections!$A925="","",IFERROR(INDEX(games!$B$2:$B$834,MATCH(connections!$A925,games!$A$2:$A$834,0)),""))</f>
        <v>2019</v>
      </c>
      <c r="U925">
        <f>IF(connections!$A925="","",IFERROR(INDEX(games!$B$2:$B$834,MATCH(connections!$B925,games!$A$2:$A$834,0)),""))</f>
        <v>2025</v>
      </c>
      <c r="V925">
        <f t="shared" si="157"/>
        <v>6</v>
      </c>
    </row>
    <row r="926" spans="20:22" x14ac:dyDescent="0.25">
      <c r="T926">
        <f>IF(connections!$A926="","",IFERROR(INDEX(games!$B$2:$B$834,MATCH(connections!$A926,games!$A$2:$A$834,0)),""))</f>
        <v>2019</v>
      </c>
      <c r="U926">
        <f>IF(connections!$A926="","",IFERROR(INDEX(games!$B$2:$B$834,MATCH(connections!$B926,games!$A$2:$A$834,0)),""))</f>
        <v>2025</v>
      </c>
      <c r="V926">
        <f t="shared" si="157"/>
        <v>6</v>
      </c>
    </row>
    <row r="927" spans="20:22" x14ac:dyDescent="0.25">
      <c r="T927">
        <f>IF(connections!$A927="","",IFERROR(INDEX(games!$B$2:$B$834,MATCH(connections!$A927,games!$A$2:$A$834,0)),""))</f>
        <v>2019</v>
      </c>
      <c r="U927">
        <f>IF(connections!$A927="","",IFERROR(INDEX(games!$B$2:$B$834,MATCH(connections!$B927,games!$A$2:$A$834,0)),""))</f>
        <v>2025</v>
      </c>
      <c r="V927">
        <f t="shared" si="157"/>
        <v>6</v>
      </c>
    </row>
    <row r="928" spans="20:22" x14ac:dyDescent="0.25">
      <c r="T928">
        <f>IF(connections!$A928="","",IFERROR(INDEX(games!$B$2:$B$834,MATCH(connections!$A928,games!$A$2:$A$834,0)),""))</f>
        <v>2025</v>
      </c>
      <c r="U928">
        <f>IF(connections!$A928="","",IFERROR(INDEX(games!$B$2:$B$834,MATCH(connections!$B928,games!$A$2:$A$834,0)),""))</f>
        <v>2026</v>
      </c>
      <c r="V928">
        <f t="shared" si="157"/>
        <v>1</v>
      </c>
    </row>
    <row r="929" spans="20:22" x14ac:dyDescent="0.25">
      <c r="T929">
        <f>IF(connections!$A929="","",IFERROR(INDEX(games!$B$2:$B$834,MATCH(connections!$A929,games!$A$2:$A$834,0)),""))</f>
        <v>2025</v>
      </c>
      <c r="U929">
        <f>IF(connections!$A929="","",IFERROR(INDEX(games!$B$2:$B$834,MATCH(connections!$B929,games!$A$2:$A$834,0)),""))</f>
        <v>2026</v>
      </c>
      <c r="V929">
        <f t="shared" si="157"/>
        <v>1</v>
      </c>
    </row>
    <row r="930" spans="20:22" x14ac:dyDescent="0.25">
      <c r="T930">
        <f>IF(connections!$A930="","",IFERROR(INDEX(games!$B$2:$B$834,MATCH(connections!$A930,games!$A$2:$A$834,0)),""))</f>
        <v>2011</v>
      </c>
      <c r="U930">
        <f>IF(connections!$A930="","",IFERROR(INDEX(games!$B$2:$B$834,MATCH(connections!$B930,games!$A$2:$A$834,0)),""))</f>
        <v>2017</v>
      </c>
      <c r="V930">
        <f t="shared" si="157"/>
        <v>6</v>
      </c>
    </row>
    <row r="931" spans="20:22" x14ac:dyDescent="0.25">
      <c r="T931">
        <f>IF(connections!$A931="","",IFERROR(INDEX(games!$B$2:$B$834,MATCH(connections!$A931,games!$A$2:$A$834,0)),""))</f>
        <v>2011</v>
      </c>
      <c r="U931">
        <f>IF(connections!$A931="","",IFERROR(INDEX(games!$B$2:$B$834,MATCH(connections!$B931,games!$A$2:$A$834,0)),""))</f>
        <v>2013</v>
      </c>
      <c r="V931">
        <f t="shared" si="157"/>
        <v>2</v>
      </c>
    </row>
    <row r="932" spans="20:22" x14ac:dyDescent="0.25">
      <c r="T932">
        <f>IF(connections!$A932="","",IFERROR(INDEX(games!$B$2:$B$834,MATCH(connections!$A932,games!$A$2:$A$834,0)),""))</f>
        <v>2011</v>
      </c>
      <c r="U932">
        <f>IF(connections!$A932="","",IFERROR(INDEX(games!$B$2:$B$834,MATCH(connections!$B932,games!$A$2:$A$834,0)),""))</f>
        <v>2017</v>
      </c>
      <c r="V932">
        <f t="shared" si="157"/>
        <v>6</v>
      </c>
    </row>
    <row r="933" spans="20:22" x14ac:dyDescent="0.25">
      <c r="T933">
        <f>IF(connections!$A933="","",IFERROR(INDEX(games!$B$2:$B$834,MATCH(connections!$A933,games!$A$2:$A$834,0)),""))</f>
        <v>2011</v>
      </c>
      <c r="U933">
        <f>IF(connections!$A933="","",IFERROR(INDEX(games!$B$2:$B$834,MATCH(connections!$B933,games!$A$2:$A$834,0)),""))</f>
        <v>2023</v>
      </c>
      <c r="V933">
        <f t="shared" si="157"/>
        <v>12</v>
      </c>
    </row>
    <row r="934" spans="20:22" x14ac:dyDescent="0.25">
      <c r="T934">
        <f>IF(connections!$A934="","",IFERROR(INDEX(games!$B$2:$B$834,MATCH(connections!$A934,games!$A$2:$A$834,0)),""))</f>
        <v>2011</v>
      </c>
      <c r="U934">
        <f>IF(connections!$A934="","",IFERROR(INDEX(games!$B$2:$B$834,MATCH(connections!$B934,games!$A$2:$A$834,0)),""))</f>
        <v>2023</v>
      </c>
      <c r="V934">
        <f t="shared" si="157"/>
        <v>12</v>
      </c>
    </row>
    <row r="935" spans="20:22" x14ac:dyDescent="0.25">
      <c r="T935">
        <f>IF(connections!$A935="","",IFERROR(INDEX(games!$B$2:$B$834,MATCH(connections!$A935,games!$A$2:$A$834,0)),""))</f>
        <v>2011</v>
      </c>
      <c r="U935">
        <f>IF(connections!$A935="","",IFERROR(INDEX(games!$B$2:$B$834,MATCH(connections!$B935,games!$A$2:$A$834,0)),""))</f>
        <v>2019</v>
      </c>
      <c r="V935">
        <f t="shared" si="157"/>
        <v>8</v>
      </c>
    </row>
    <row r="936" spans="20:22" x14ac:dyDescent="0.25">
      <c r="T936">
        <f>IF(connections!$A936="","",IFERROR(INDEX(games!$B$2:$B$834,MATCH(connections!$A936,games!$A$2:$A$834,0)),""))</f>
        <v>2011</v>
      </c>
      <c r="U936">
        <f>IF(connections!$A936="","",IFERROR(INDEX(games!$B$2:$B$834,MATCH(connections!$B936,games!$A$2:$A$834,0)),""))</f>
        <v>2021</v>
      </c>
      <c r="V936">
        <f t="shared" si="157"/>
        <v>10</v>
      </c>
    </row>
    <row r="937" spans="20:22" x14ac:dyDescent="0.25">
      <c r="T937">
        <f>IF(connections!$A937="","",IFERROR(INDEX(games!$B$2:$B$834,MATCH(connections!$A937,games!$A$2:$A$834,0)),""))</f>
        <v>2011</v>
      </c>
      <c r="U937">
        <f>IF(connections!$A937="","",IFERROR(INDEX(games!$B$2:$B$834,MATCH(connections!$B937,games!$A$2:$A$834,0)),""))</f>
        <v>2020</v>
      </c>
      <c r="V937">
        <f t="shared" si="157"/>
        <v>9</v>
      </c>
    </row>
    <row r="938" spans="20:22" x14ac:dyDescent="0.25">
      <c r="T938">
        <f>IF(connections!$A938="","",IFERROR(INDEX(games!$B$2:$B$834,MATCH(connections!$A938,games!$A$2:$A$834,0)),""))</f>
        <v>2011</v>
      </c>
      <c r="U938">
        <f>IF(connections!$A938="","",IFERROR(INDEX(games!$B$2:$B$834,MATCH(connections!$B938,games!$A$2:$A$834,0)),""))</f>
        <v>2024</v>
      </c>
      <c r="V938">
        <f t="shared" si="157"/>
        <v>13</v>
      </c>
    </row>
    <row r="939" spans="20:22" x14ac:dyDescent="0.25">
      <c r="T939">
        <f>IF(connections!$A939="","",IFERROR(INDEX(games!$B$2:$B$834,MATCH(connections!$A939,games!$A$2:$A$834,0)),""))</f>
        <v>2011</v>
      </c>
      <c r="U939">
        <f>IF(connections!$A939="","",IFERROR(INDEX(games!$B$2:$B$834,MATCH(connections!$B939,games!$A$2:$A$834,0)),""))</f>
        <v>2022</v>
      </c>
      <c r="V939">
        <f t="shared" si="157"/>
        <v>11</v>
      </c>
    </row>
    <row r="940" spans="20:22" x14ac:dyDescent="0.25">
      <c r="T940">
        <f>IF(connections!$A940="","",IFERROR(INDEX(games!$B$2:$B$834,MATCH(connections!$A940,games!$A$2:$A$834,0)),""))</f>
        <v>2011</v>
      </c>
      <c r="U940">
        <f>IF(connections!$A940="","",IFERROR(INDEX(games!$B$2:$B$834,MATCH(connections!$B940,games!$A$2:$A$834,0)),""))</f>
        <v>2015</v>
      </c>
      <c r="V940">
        <f t="shared" si="157"/>
        <v>4</v>
      </c>
    </row>
    <row r="941" spans="20:22" x14ac:dyDescent="0.25">
      <c r="T941">
        <f>IF(connections!$A941="","",IFERROR(INDEX(games!$B$2:$B$834,MATCH(connections!$A941,games!$A$2:$A$834,0)),""))</f>
        <v>2011</v>
      </c>
      <c r="U941">
        <f>IF(connections!$A941="","",IFERROR(INDEX(games!$B$2:$B$834,MATCH(connections!$B941,games!$A$2:$A$834,0)),""))</f>
        <v>2022</v>
      </c>
      <c r="V941">
        <f t="shared" si="157"/>
        <v>11</v>
      </c>
    </row>
    <row r="942" spans="20:22" x14ac:dyDescent="0.25">
      <c r="T942">
        <f>IF(connections!$A942="","",IFERROR(INDEX(games!$B$2:$B$834,MATCH(connections!$A942,games!$A$2:$A$834,0)),""))</f>
        <v>2011</v>
      </c>
      <c r="U942">
        <f>IF(connections!$A942="","",IFERROR(INDEX(games!$B$2:$B$834,MATCH(connections!$B942,games!$A$2:$A$834,0)),""))</f>
        <v>2018</v>
      </c>
      <c r="V942">
        <f t="shared" si="157"/>
        <v>7</v>
      </c>
    </row>
    <row r="943" spans="20:22" x14ac:dyDescent="0.25">
      <c r="T943">
        <f>IF(connections!$A943="","",IFERROR(INDEX(games!$B$2:$B$834,MATCH(connections!$A943,games!$A$2:$A$834,0)),""))</f>
        <v>2011</v>
      </c>
      <c r="U943">
        <f>IF(connections!$A943="","",IFERROR(INDEX(games!$B$2:$B$834,MATCH(connections!$B943,games!$A$2:$A$834,0)),""))</f>
        <v>2020</v>
      </c>
      <c r="V943">
        <f t="shared" si="157"/>
        <v>9</v>
      </c>
    </row>
    <row r="944" spans="20:22" x14ac:dyDescent="0.25">
      <c r="T944">
        <f>IF(connections!$A944="","",IFERROR(INDEX(games!$B$2:$B$834,MATCH(connections!$A944,games!$A$2:$A$834,0)),""))</f>
        <v>2011</v>
      </c>
      <c r="U944">
        <f>IF(connections!$A944="","",IFERROR(INDEX(games!$B$2:$B$834,MATCH(connections!$B944,games!$A$2:$A$834,0)),""))</f>
        <v>2019</v>
      </c>
      <c r="V944">
        <f t="shared" si="157"/>
        <v>8</v>
      </c>
    </row>
    <row r="945" spans="20:22" x14ac:dyDescent="0.25">
      <c r="T945">
        <f>IF(connections!$A945="","",IFERROR(INDEX(games!$B$2:$B$834,MATCH(connections!$A945,games!$A$2:$A$834,0)),""))</f>
        <v>2011</v>
      </c>
      <c r="U945">
        <f>IF(connections!$A945="","",IFERROR(INDEX(games!$B$2:$B$834,MATCH(connections!$B945,games!$A$2:$A$834,0)),""))</f>
        <v>2026</v>
      </c>
      <c r="V945">
        <f t="shared" si="157"/>
        <v>15</v>
      </c>
    </row>
    <row r="946" spans="20:22" x14ac:dyDescent="0.25">
      <c r="T946">
        <f>IF(connections!$A946="","",IFERROR(INDEX(games!$B$2:$B$834,MATCH(connections!$A946,games!$A$2:$A$834,0)),""))</f>
        <v>2011</v>
      </c>
      <c r="U946">
        <f>IF(connections!$A946="","",IFERROR(INDEX(games!$B$2:$B$834,MATCH(connections!$B946,games!$A$2:$A$834,0)),""))</f>
        <v>2020</v>
      </c>
      <c r="V946">
        <f t="shared" si="157"/>
        <v>9</v>
      </c>
    </row>
    <row r="947" spans="20:22" x14ac:dyDescent="0.25">
      <c r="T947">
        <f>IF(connections!$A947="","",IFERROR(INDEX(games!$B$2:$B$834,MATCH(connections!$A947,games!$A$2:$A$834,0)),""))</f>
        <v>2011</v>
      </c>
      <c r="U947">
        <f>IF(connections!$A947="","",IFERROR(INDEX(games!$B$2:$B$834,MATCH(connections!$B947,games!$A$2:$A$834,0)),""))</f>
        <v>2024</v>
      </c>
      <c r="V947">
        <f t="shared" si="157"/>
        <v>13</v>
      </c>
    </row>
    <row r="948" spans="20:22" x14ac:dyDescent="0.25">
      <c r="T948">
        <f>IF(connections!$A948="","",IFERROR(INDEX(games!$B$2:$B$834,MATCH(connections!$A948,games!$A$2:$A$834,0)),""))</f>
        <v>2011</v>
      </c>
      <c r="U948">
        <f>IF(connections!$A948="","",IFERROR(INDEX(games!$B$2:$B$834,MATCH(connections!$B948,games!$A$2:$A$834,0)),""))</f>
        <v>2022</v>
      </c>
      <c r="V948">
        <f t="shared" si="157"/>
        <v>11</v>
      </c>
    </row>
    <row r="949" spans="20:22" x14ac:dyDescent="0.25">
      <c r="T949">
        <f>IF(connections!$A949="","",IFERROR(INDEX(games!$B$2:$B$834,MATCH(connections!$A949,games!$A$2:$A$834,0)),""))</f>
        <v>2011</v>
      </c>
      <c r="U949">
        <f>IF(connections!$A949="","",IFERROR(INDEX(games!$B$2:$B$834,MATCH(connections!$B949,games!$A$2:$A$834,0)),""))</f>
        <v>2016</v>
      </c>
      <c r="V949">
        <f t="shared" si="157"/>
        <v>5</v>
      </c>
    </row>
    <row r="950" spans="20:22" x14ac:dyDescent="0.25">
      <c r="T950">
        <f>IF(connections!$A950="","",IFERROR(INDEX(games!$B$2:$B$834,MATCH(connections!$A950,games!$A$2:$A$834,0)),""))</f>
        <v>2011</v>
      </c>
      <c r="U950">
        <f>IF(connections!$A950="","",IFERROR(INDEX(games!$B$2:$B$834,MATCH(connections!$B950,games!$A$2:$A$834,0)),""))</f>
        <v>2017</v>
      </c>
      <c r="V950">
        <f t="shared" si="157"/>
        <v>6</v>
      </c>
    </row>
    <row r="951" spans="20:22" x14ac:dyDescent="0.25">
      <c r="T951">
        <f>IF(connections!$A951="","",IFERROR(INDEX(games!$B$2:$B$834,MATCH(connections!$A951,games!$A$2:$A$834,0)),""))</f>
        <v>2011</v>
      </c>
      <c r="U951">
        <f>IF(connections!$A951="","",IFERROR(INDEX(games!$B$2:$B$834,MATCH(connections!$B951,games!$A$2:$A$834,0)),""))</f>
        <v>2013</v>
      </c>
      <c r="V951">
        <f t="shared" si="157"/>
        <v>2</v>
      </c>
    </row>
    <row r="952" spans="20:22" x14ac:dyDescent="0.25">
      <c r="T952">
        <f>IF(connections!$A952="","",IFERROR(INDEX(games!$B$2:$B$834,MATCH(connections!$A952,games!$A$2:$A$834,0)),""))</f>
        <v>2011</v>
      </c>
      <c r="U952">
        <f>IF(connections!$A952="","",IFERROR(INDEX(games!$B$2:$B$834,MATCH(connections!$B952,games!$A$2:$A$834,0)),""))</f>
        <v>2020</v>
      </c>
      <c r="V952">
        <f t="shared" si="157"/>
        <v>9</v>
      </c>
    </row>
    <row r="953" spans="20:22" x14ac:dyDescent="0.25">
      <c r="T953">
        <f>IF(connections!$A953="","",IFERROR(INDEX(games!$B$2:$B$834,MATCH(connections!$A953,games!$A$2:$A$834,0)),""))</f>
        <v>2011</v>
      </c>
      <c r="U953">
        <f>IF(connections!$A953="","",IFERROR(INDEX(games!$B$2:$B$834,MATCH(connections!$B953,games!$A$2:$A$834,0)),""))</f>
        <v>2020</v>
      </c>
      <c r="V953">
        <f t="shared" si="157"/>
        <v>9</v>
      </c>
    </row>
    <row r="954" spans="20:22" x14ac:dyDescent="0.25">
      <c r="T954">
        <f>IF(connections!$A954="","",IFERROR(INDEX(games!$B$2:$B$834,MATCH(connections!$A954,games!$A$2:$A$834,0)),""))</f>
        <v>2011</v>
      </c>
      <c r="U954">
        <f>IF(connections!$A954="","",IFERROR(INDEX(games!$B$2:$B$834,MATCH(connections!$B954,games!$A$2:$A$834,0)),""))</f>
        <v>2017</v>
      </c>
      <c r="V954">
        <f t="shared" si="157"/>
        <v>6</v>
      </c>
    </row>
    <row r="955" spans="20:22" x14ac:dyDescent="0.25">
      <c r="T955">
        <f>IF(connections!$A955="","",IFERROR(INDEX(games!$B$2:$B$834,MATCH(connections!$A955,games!$A$2:$A$834,0)),""))</f>
        <v>2011</v>
      </c>
      <c r="U955">
        <f>IF(connections!$A955="","",IFERROR(INDEX(games!$B$2:$B$834,MATCH(connections!$B955,games!$A$2:$A$834,0)),""))</f>
        <v>2024</v>
      </c>
      <c r="V955">
        <f t="shared" si="157"/>
        <v>13</v>
      </c>
    </row>
    <row r="956" spans="20:22" x14ac:dyDescent="0.25">
      <c r="T956">
        <f>IF(connections!$A956="","",IFERROR(INDEX(games!$B$2:$B$834,MATCH(connections!$A956,games!$A$2:$A$834,0)),""))</f>
        <v>2011</v>
      </c>
      <c r="U956">
        <f>IF(connections!$A956="","",IFERROR(INDEX(games!$B$2:$B$834,MATCH(connections!$B956,games!$A$2:$A$834,0)),""))</f>
        <v>2019</v>
      </c>
      <c r="V956">
        <f t="shared" si="157"/>
        <v>8</v>
      </c>
    </row>
    <row r="957" spans="20:22" x14ac:dyDescent="0.25">
      <c r="T957">
        <f>IF(connections!$A957="","",IFERROR(INDEX(games!$B$2:$B$834,MATCH(connections!$A957,games!$A$2:$A$834,0)),""))</f>
        <v>2011</v>
      </c>
      <c r="U957">
        <f>IF(connections!$A957="","",IFERROR(INDEX(games!$B$2:$B$834,MATCH(connections!$B957,games!$A$2:$A$834,0)),""))</f>
        <v>2023</v>
      </c>
      <c r="V957">
        <f t="shared" si="157"/>
        <v>12</v>
      </c>
    </row>
    <row r="958" spans="20:22" x14ac:dyDescent="0.25">
      <c r="T958">
        <f>IF(connections!$A958="","",IFERROR(INDEX(games!$B$2:$B$834,MATCH(connections!$A958,games!$A$2:$A$834,0)),""))</f>
        <v>2011</v>
      </c>
      <c r="U958">
        <f>IF(connections!$A958="","",IFERROR(INDEX(games!$B$2:$B$834,MATCH(connections!$B958,games!$A$2:$A$834,0)),""))</f>
        <v>2018</v>
      </c>
      <c r="V958">
        <f t="shared" si="157"/>
        <v>7</v>
      </c>
    </row>
    <row r="959" spans="20:22" x14ac:dyDescent="0.25">
      <c r="T959">
        <f>IF(connections!$A959="","",IFERROR(INDEX(games!$B$2:$B$834,MATCH(connections!$A959,games!$A$2:$A$834,0)),""))</f>
        <v>2011</v>
      </c>
      <c r="U959">
        <f>IF(connections!$A959="","",IFERROR(INDEX(games!$B$2:$B$834,MATCH(connections!$B959,games!$A$2:$A$834,0)),""))</f>
        <v>2026</v>
      </c>
      <c r="V959">
        <f t="shared" si="157"/>
        <v>15</v>
      </c>
    </row>
    <row r="960" spans="20:22" x14ac:dyDescent="0.25">
      <c r="T960">
        <f>IF(connections!$A960="","",IFERROR(INDEX(games!$B$2:$B$834,MATCH(connections!$A960,games!$A$2:$A$834,0)),""))</f>
        <v>2011</v>
      </c>
      <c r="U960">
        <f>IF(connections!$A960="","",IFERROR(INDEX(games!$B$2:$B$834,MATCH(connections!$B960,games!$A$2:$A$834,0)),""))</f>
        <v>2015</v>
      </c>
      <c r="V960">
        <f t="shared" si="157"/>
        <v>4</v>
      </c>
    </row>
    <row r="961" spans="20:22" x14ac:dyDescent="0.25">
      <c r="T961">
        <f>IF(connections!$A961="","",IFERROR(INDEX(games!$B$2:$B$834,MATCH(connections!$A961,games!$A$2:$A$834,0)),""))</f>
        <v>2011</v>
      </c>
      <c r="U961">
        <f>IF(connections!$A961="","",IFERROR(INDEX(games!$B$2:$B$834,MATCH(connections!$B961,games!$A$2:$A$834,0)),""))</f>
        <v>2018</v>
      </c>
      <c r="V961">
        <f t="shared" si="157"/>
        <v>7</v>
      </c>
    </row>
    <row r="962" spans="20:22" x14ac:dyDescent="0.25">
      <c r="T962">
        <f>IF(connections!$A962="","",IFERROR(INDEX(games!$B$2:$B$834,MATCH(connections!$A962,games!$A$2:$A$834,0)),""))</f>
        <v>2011</v>
      </c>
      <c r="U962">
        <f>IF(connections!$A962="","",IFERROR(INDEX(games!$B$2:$B$834,MATCH(connections!$B962,games!$A$2:$A$834,0)),""))</f>
        <v>2019</v>
      </c>
      <c r="V962">
        <f t="shared" ref="V962:V1025" si="158">IF(OR($T962="",$U962=""),"",$U962-$T962)</f>
        <v>8</v>
      </c>
    </row>
    <row r="963" spans="20:22" x14ac:dyDescent="0.25">
      <c r="T963">
        <f>IF(connections!$A963="","",IFERROR(INDEX(games!$B$2:$B$834,MATCH(connections!$A963,games!$A$2:$A$834,0)),""))</f>
        <v>2011</v>
      </c>
      <c r="U963">
        <f>IF(connections!$A963="","",IFERROR(INDEX(games!$B$2:$B$834,MATCH(connections!$B963,games!$A$2:$A$834,0)),""))</f>
        <v>2025</v>
      </c>
      <c r="V963">
        <f t="shared" si="158"/>
        <v>14</v>
      </c>
    </row>
    <row r="964" spans="20:22" x14ac:dyDescent="0.25">
      <c r="T964">
        <f>IF(connections!$A964="","",IFERROR(INDEX(games!$B$2:$B$834,MATCH(connections!$A964,games!$A$2:$A$834,0)),""))</f>
        <v>2011</v>
      </c>
      <c r="U964">
        <f>IF(connections!$A964="","",IFERROR(INDEX(games!$B$2:$B$834,MATCH(connections!$B964,games!$A$2:$A$834,0)),""))</f>
        <v>2019</v>
      </c>
      <c r="V964">
        <f t="shared" si="158"/>
        <v>8</v>
      </c>
    </row>
    <row r="965" spans="20:22" x14ac:dyDescent="0.25">
      <c r="T965">
        <f>IF(connections!$A965="","",IFERROR(INDEX(games!$B$2:$B$834,MATCH(connections!$A965,games!$A$2:$A$834,0)),""))</f>
        <v>2011</v>
      </c>
      <c r="U965">
        <f>IF(connections!$A965="","",IFERROR(INDEX(games!$B$2:$B$834,MATCH(connections!$B965,games!$A$2:$A$834,0)),""))</f>
        <v>2024</v>
      </c>
      <c r="V965">
        <f t="shared" si="158"/>
        <v>13</v>
      </c>
    </row>
    <row r="966" spans="20:22" x14ac:dyDescent="0.25">
      <c r="T966">
        <f>IF(connections!$A966="","",IFERROR(INDEX(games!$B$2:$B$834,MATCH(connections!$A966,games!$A$2:$A$834,0)),""))</f>
        <v>2011</v>
      </c>
      <c r="U966">
        <f>IF(connections!$A966="","",IFERROR(INDEX(games!$B$2:$B$834,MATCH(connections!$B966,games!$A$2:$A$834,0)),""))</f>
        <v>2021</v>
      </c>
      <c r="V966">
        <f t="shared" si="158"/>
        <v>10</v>
      </c>
    </row>
    <row r="967" spans="20:22" x14ac:dyDescent="0.25">
      <c r="T967">
        <f>IF(connections!$A967="","",IFERROR(INDEX(games!$B$2:$B$834,MATCH(connections!$A967,games!$A$2:$A$834,0)),""))</f>
        <v>2011</v>
      </c>
      <c r="U967">
        <f>IF(connections!$A967="","",IFERROR(INDEX(games!$B$2:$B$834,MATCH(connections!$B967,games!$A$2:$A$834,0)),""))</f>
        <v>2014</v>
      </c>
      <c r="V967">
        <f t="shared" si="158"/>
        <v>3</v>
      </c>
    </row>
    <row r="968" spans="20:22" x14ac:dyDescent="0.25">
      <c r="T968">
        <f>IF(connections!$A968="","",IFERROR(INDEX(games!$B$2:$B$834,MATCH(connections!$A968,games!$A$2:$A$834,0)),""))</f>
        <v>2011</v>
      </c>
      <c r="U968">
        <f>IF(connections!$A968="","",IFERROR(INDEX(games!$B$2:$B$834,MATCH(connections!$B968,games!$A$2:$A$834,0)),""))</f>
        <v>2023</v>
      </c>
      <c r="V968">
        <f t="shared" si="158"/>
        <v>12</v>
      </c>
    </row>
    <row r="969" spans="20:22" x14ac:dyDescent="0.25">
      <c r="T969">
        <f>IF(connections!$A969="","",IFERROR(INDEX(games!$B$2:$B$834,MATCH(connections!$A969,games!$A$2:$A$834,0)),""))</f>
        <v>2011</v>
      </c>
      <c r="U969">
        <f>IF(connections!$A969="","",IFERROR(INDEX(games!$B$2:$B$834,MATCH(connections!$B969,games!$A$2:$A$834,0)),""))</f>
        <v>2021</v>
      </c>
      <c r="V969">
        <f t="shared" si="158"/>
        <v>10</v>
      </c>
    </row>
    <row r="970" spans="20:22" x14ac:dyDescent="0.25">
      <c r="T970">
        <f>IF(connections!$A970="","",IFERROR(INDEX(games!$B$2:$B$834,MATCH(connections!$A970,games!$A$2:$A$834,0)),""))</f>
        <v>2011</v>
      </c>
      <c r="U970">
        <f>IF(connections!$A970="","",IFERROR(INDEX(games!$B$2:$B$834,MATCH(connections!$B970,games!$A$2:$A$834,0)),""))</f>
        <v>2026</v>
      </c>
      <c r="V970">
        <f t="shared" si="158"/>
        <v>15</v>
      </c>
    </row>
    <row r="971" spans="20:22" x14ac:dyDescent="0.25">
      <c r="T971">
        <f>IF(connections!$A971="","",IFERROR(INDEX(games!$B$2:$B$834,MATCH(connections!$A971,games!$A$2:$A$834,0)),""))</f>
        <v>2011</v>
      </c>
      <c r="U971">
        <f>IF(connections!$A971="","",IFERROR(INDEX(games!$B$2:$B$834,MATCH(connections!$B971,games!$A$2:$A$834,0)),""))</f>
        <v>2026</v>
      </c>
      <c r="V971">
        <f t="shared" si="158"/>
        <v>15</v>
      </c>
    </row>
    <row r="972" spans="20:22" x14ac:dyDescent="0.25">
      <c r="T972">
        <f>IF(connections!$A972="","",IFERROR(INDEX(games!$B$2:$B$834,MATCH(connections!$A972,games!$A$2:$A$834,0)),""))</f>
        <v>2011</v>
      </c>
      <c r="U972">
        <f>IF(connections!$A972="","",IFERROR(INDEX(games!$B$2:$B$834,MATCH(connections!$B972,games!$A$2:$A$834,0)),""))</f>
        <v>2015</v>
      </c>
      <c r="V972">
        <f t="shared" si="158"/>
        <v>4</v>
      </c>
    </row>
    <row r="973" spans="20:22" x14ac:dyDescent="0.25">
      <c r="T973">
        <f>IF(connections!$A973="","",IFERROR(INDEX(games!$B$2:$B$834,MATCH(connections!$A973,games!$A$2:$A$834,0)),""))</f>
        <v>2011</v>
      </c>
      <c r="U973">
        <f>IF(connections!$A973="","",IFERROR(INDEX(games!$B$2:$B$834,MATCH(connections!$B973,games!$A$2:$A$834,0)),""))</f>
        <v>2021</v>
      </c>
      <c r="V973">
        <f t="shared" si="158"/>
        <v>10</v>
      </c>
    </row>
    <row r="974" spans="20:22" x14ac:dyDescent="0.25">
      <c r="T974">
        <f>IF(connections!$A974="","",IFERROR(INDEX(games!$B$2:$B$834,MATCH(connections!$A974,games!$A$2:$A$834,0)),""))</f>
        <v>2011</v>
      </c>
      <c r="U974">
        <f>IF(connections!$A974="","",IFERROR(INDEX(games!$B$2:$B$834,MATCH(connections!$B974,games!$A$2:$A$834,0)),""))</f>
        <v>2013</v>
      </c>
      <c r="V974">
        <f t="shared" si="158"/>
        <v>2</v>
      </c>
    </row>
    <row r="975" spans="20:22" x14ac:dyDescent="0.25">
      <c r="T975">
        <f>IF(connections!$A975="","",IFERROR(INDEX(games!$B$2:$B$834,MATCH(connections!$A975,games!$A$2:$A$834,0)),""))</f>
        <v>2011</v>
      </c>
      <c r="U975">
        <f>IF(connections!$A975="","",IFERROR(INDEX(games!$B$2:$B$834,MATCH(connections!$B975,games!$A$2:$A$834,0)),""))</f>
        <v>2023</v>
      </c>
      <c r="V975">
        <f t="shared" si="158"/>
        <v>12</v>
      </c>
    </row>
    <row r="976" spans="20:22" x14ac:dyDescent="0.25">
      <c r="T976">
        <f>IF(connections!$A976="","",IFERROR(INDEX(games!$B$2:$B$834,MATCH(connections!$A976,games!$A$2:$A$834,0)),""))</f>
        <v>2011</v>
      </c>
      <c r="U976">
        <f>IF(connections!$A976="","",IFERROR(INDEX(games!$B$2:$B$834,MATCH(connections!$B976,games!$A$2:$A$834,0)),""))</f>
        <v>2022</v>
      </c>
      <c r="V976">
        <f t="shared" si="158"/>
        <v>11</v>
      </c>
    </row>
    <row r="977" spans="20:22" x14ac:dyDescent="0.25">
      <c r="T977">
        <f>IF(connections!$A977="","",IFERROR(INDEX(games!$B$2:$B$834,MATCH(connections!$A977,games!$A$2:$A$834,0)),""))</f>
        <v>2011</v>
      </c>
      <c r="U977">
        <f>IF(connections!$A977="","",IFERROR(INDEX(games!$B$2:$B$834,MATCH(connections!$B977,games!$A$2:$A$834,0)),""))</f>
        <v>2017</v>
      </c>
      <c r="V977">
        <f t="shared" si="158"/>
        <v>6</v>
      </c>
    </row>
    <row r="978" spans="20:22" x14ac:dyDescent="0.25">
      <c r="T978">
        <f>IF(connections!$A978="","",IFERROR(INDEX(games!$B$2:$B$834,MATCH(connections!$A978,games!$A$2:$A$834,0)),""))</f>
        <v>2011</v>
      </c>
      <c r="U978">
        <f>IF(connections!$A978="","",IFERROR(INDEX(games!$B$2:$B$834,MATCH(connections!$B978,games!$A$2:$A$834,0)),""))</f>
        <v>2019</v>
      </c>
      <c r="V978">
        <f t="shared" si="158"/>
        <v>8</v>
      </c>
    </row>
    <row r="979" spans="20:22" x14ac:dyDescent="0.25">
      <c r="T979">
        <f>IF(connections!$A979="","",IFERROR(INDEX(games!$B$2:$B$834,MATCH(connections!$A979,games!$A$2:$A$834,0)),""))</f>
        <v>2011</v>
      </c>
      <c r="U979">
        <f>IF(connections!$A979="","",IFERROR(INDEX(games!$B$2:$B$834,MATCH(connections!$B979,games!$A$2:$A$834,0)),""))</f>
        <v>2017</v>
      </c>
      <c r="V979">
        <f t="shared" si="158"/>
        <v>6</v>
      </c>
    </row>
    <row r="980" spans="20:22" x14ac:dyDescent="0.25">
      <c r="T980">
        <f>IF(connections!$A980="","",IFERROR(INDEX(games!$B$2:$B$834,MATCH(connections!$A980,games!$A$2:$A$834,0)),""))</f>
        <v>2011</v>
      </c>
      <c r="U980">
        <f>IF(connections!$A980="","",IFERROR(INDEX(games!$B$2:$B$834,MATCH(connections!$B980,games!$A$2:$A$834,0)),""))</f>
        <v>2019</v>
      </c>
      <c r="V980">
        <f t="shared" si="158"/>
        <v>8</v>
      </c>
    </row>
    <row r="981" spans="20:22" x14ac:dyDescent="0.25">
      <c r="T981">
        <f>IF(connections!$A981="","",IFERROR(INDEX(games!$B$2:$B$834,MATCH(connections!$A981,games!$A$2:$A$834,0)),""))</f>
        <v>2011</v>
      </c>
      <c r="U981">
        <f>IF(connections!$A981="","",IFERROR(INDEX(games!$B$2:$B$834,MATCH(connections!$B981,games!$A$2:$A$834,0)),""))</f>
        <v>2016</v>
      </c>
      <c r="V981">
        <f t="shared" si="158"/>
        <v>5</v>
      </c>
    </row>
    <row r="982" spans="20:22" x14ac:dyDescent="0.25">
      <c r="T982">
        <f>IF(connections!$A982="","",IFERROR(INDEX(games!$B$2:$B$834,MATCH(connections!$A982,games!$A$2:$A$834,0)),""))</f>
        <v>2011</v>
      </c>
      <c r="U982">
        <f>IF(connections!$A982="","",IFERROR(INDEX(games!$B$2:$B$834,MATCH(connections!$B982,games!$A$2:$A$834,0)),""))</f>
        <v>2023</v>
      </c>
      <c r="V982">
        <f t="shared" si="158"/>
        <v>12</v>
      </c>
    </row>
    <row r="983" spans="20:22" x14ac:dyDescent="0.25">
      <c r="T983">
        <f>IF(connections!$A983="","",IFERROR(INDEX(games!$B$2:$B$834,MATCH(connections!$A983,games!$A$2:$A$834,0)),""))</f>
        <v>2011</v>
      </c>
      <c r="U983">
        <f>IF(connections!$A983="","",IFERROR(INDEX(games!$B$2:$B$834,MATCH(connections!$B983,games!$A$2:$A$834,0)),""))</f>
        <v>2014</v>
      </c>
      <c r="V983">
        <f t="shared" si="158"/>
        <v>3</v>
      </c>
    </row>
    <row r="984" spans="20:22" x14ac:dyDescent="0.25">
      <c r="T984">
        <f>IF(connections!$A984="","",IFERROR(INDEX(games!$B$2:$B$834,MATCH(connections!$A984,games!$A$2:$A$834,0)),""))</f>
        <v>2011</v>
      </c>
      <c r="U984">
        <f>IF(connections!$A984="","",IFERROR(INDEX(games!$B$2:$B$834,MATCH(connections!$B984,games!$A$2:$A$834,0)),""))</f>
        <v>2019</v>
      </c>
      <c r="V984">
        <f t="shared" si="158"/>
        <v>8</v>
      </c>
    </row>
    <row r="985" spans="20:22" x14ac:dyDescent="0.25">
      <c r="T985">
        <f>IF(connections!$A985="","",IFERROR(INDEX(games!$B$2:$B$834,MATCH(connections!$A985,games!$A$2:$A$834,0)),""))</f>
        <v>2011</v>
      </c>
      <c r="U985">
        <f>IF(connections!$A985="","",IFERROR(INDEX(games!$B$2:$B$834,MATCH(connections!$B985,games!$A$2:$A$834,0)),""))</f>
        <v>2018</v>
      </c>
      <c r="V985">
        <f t="shared" si="158"/>
        <v>7</v>
      </c>
    </row>
    <row r="986" spans="20:22" x14ac:dyDescent="0.25">
      <c r="T986">
        <f>IF(connections!$A986="","",IFERROR(INDEX(games!$B$2:$B$834,MATCH(connections!$A986,games!$A$2:$A$834,0)),""))</f>
        <v>2011</v>
      </c>
      <c r="U986">
        <f>IF(connections!$A986="","",IFERROR(INDEX(games!$B$2:$B$834,MATCH(connections!$B986,games!$A$2:$A$834,0)),""))</f>
        <v>2022</v>
      </c>
      <c r="V986">
        <f t="shared" si="158"/>
        <v>11</v>
      </c>
    </row>
    <row r="987" spans="20:22" x14ac:dyDescent="0.25">
      <c r="T987">
        <f>IF(connections!$A987="","",IFERROR(INDEX(games!$B$2:$B$834,MATCH(connections!$A987,games!$A$2:$A$834,0)),""))</f>
        <v>2011</v>
      </c>
      <c r="U987">
        <f>IF(connections!$A987="","",IFERROR(INDEX(games!$B$2:$B$834,MATCH(connections!$B987,games!$A$2:$A$834,0)),""))</f>
        <v>2022</v>
      </c>
      <c r="V987">
        <f t="shared" si="158"/>
        <v>11</v>
      </c>
    </row>
    <row r="988" spans="20:22" x14ac:dyDescent="0.25">
      <c r="T988">
        <f>IF(connections!$A988="","",IFERROR(INDEX(games!$B$2:$B$834,MATCH(connections!$A988,games!$A$2:$A$834,0)),""))</f>
        <v>2011</v>
      </c>
      <c r="U988">
        <f>IF(connections!$A988="","",IFERROR(INDEX(games!$B$2:$B$834,MATCH(connections!$B988,games!$A$2:$A$834,0)),""))</f>
        <v>2014</v>
      </c>
      <c r="V988">
        <f t="shared" si="158"/>
        <v>3</v>
      </c>
    </row>
    <row r="989" spans="20:22" x14ac:dyDescent="0.25">
      <c r="T989">
        <f>IF(connections!$A989="","",IFERROR(INDEX(games!$B$2:$B$834,MATCH(connections!$A989,games!$A$2:$A$834,0)),""))</f>
        <v>2011</v>
      </c>
      <c r="U989">
        <f>IF(connections!$A989="","",IFERROR(INDEX(games!$B$2:$B$834,MATCH(connections!$B989,games!$A$2:$A$834,0)),""))</f>
        <v>2017</v>
      </c>
      <c r="V989">
        <f t="shared" si="158"/>
        <v>6</v>
      </c>
    </row>
    <row r="990" spans="20:22" x14ac:dyDescent="0.25">
      <c r="T990">
        <f>IF(connections!$A990="","",IFERROR(INDEX(games!$B$2:$B$834,MATCH(connections!$A990,games!$A$2:$A$834,0)),""))</f>
        <v>2011</v>
      </c>
      <c r="U990">
        <f>IF(connections!$A990="","",IFERROR(INDEX(games!$B$2:$B$834,MATCH(connections!$B990,games!$A$2:$A$834,0)),""))</f>
        <v>2012</v>
      </c>
      <c r="V990">
        <f t="shared" si="158"/>
        <v>1</v>
      </c>
    </row>
    <row r="991" spans="20:22" x14ac:dyDescent="0.25">
      <c r="T991">
        <f>IF(connections!$A991="","",IFERROR(INDEX(games!$B$2:$B$834,MATCH(connections!$A991,games!$A$2:$A$834,0)),""))</f>
        <v>2011</v>
      </c>
      <c r="U991">
        <f>IF(connections!$A991="","",IFERROR(INDEX(games!$B$2:$B$834,MATCH(connections!$B991,games!$A$2:$A$834,0)),""))</f>
        <v>2019</v>
      </c>
      <c r="V991">
        <f t="shared" si="158"/>
        <v>8</v>
      </c>
    </row>
    <row r="992" spans="20:22" x14ac:dyDescent="0.25">
      <c r="T992">
        <f>IF(connections!$A992="","",IFERROR(INDEX(games!$B$2:$B$834,MATCH(connections!$A992,games!$A$2:$A$834,0)),""))</f>
        <v>2011</v>
      </c>
      <c r="U992">
        <f>IF(connections!$A992="","",IFERROR(INDEX(games!$B$2:$B$834,MATCH(connections!$B992,games!$A$2:$A$834,0)),""))</f>
        <v>2023</v>
      </c>
      <c r="V992">
        <f t="shared" si="158"/>
        <v>12</v>
      </c>
    </row>
    <row r="993" spans="20:22" x14ac:dyDescent="0.25">
      <c r="T993">
        <f>IF(connections!$A993="","",IFERROR(INDEX(games!$B$2:$B$834,MATCH(connections!$A993,games!$A$2:$A$834,0)),""))</f>
        <v>2011</v>
      </c>
      <c r="U993">
        <f>IF(connections!$A993="","",IFERROR(INDEX(games!$B$2:$B$834,MATCH(connections!$B993,games!$A$2:$A$834,0)),""))</f>
        <v>2021</v>
      </c>
      <c r="V993">
        <f t="shared" si="158"/>
        <v>10</v>
      </c>
    </row>
    <row r="994" spans="20:22" x14ac:dyDescent="0.25">
      <c r="T994">
        <f>IF(connections!$A994="","",IFERROR(INDEX(games!$B$2:$B$834,MATCH(connections!$A994,games!$A$2:$A$834,0)),""))</f>
        <v>2014</v>
      </c>
      <c r="U994">
        <f>IF(connections!$A994="","",IFERROR(INDEX(games!$B$2:$B$834,MATCH(connections!$B994,games!$A$2:$A$834,0)),""))</f>
        <v>2025</v>
      </c>
      <c r="V994">
        <f t="shared" si="158"/>
        <v>11</v>
      </c>
    </row>
    <row r="995" spans="20:22" x14ac:dyDescent="0.25">
      <c r="T995">
        <f>IF(connections!$A995="","",IFERROR(INDEX(games!$B$2:$B$834,MATCH(connections!$A995,games!$A$2:$A$834,0)),""))</f>
        <v>2019</v>
      </c>
      <c r="U995">
        <f>IF(connections!$A995="","",IFERROR(INDEX(games!$B$2:$B$834,MATCH(connections!$B995,games!$A$2:$A$834,0)),""))</f>
        <v>2021</v>
      </c>
      <c r="V995">
        <f t="shared" si="158"/>
        <v>2</v>
      </c>
    </row>
    <row r="996" spans="20:22" x14ac:dyDescent="0.25">
      <c r="T996">
        <f>IF(connections!$A996="","",IFERROR(INDEX(games!$B$2:$B$834,MATCH(connections!$A996,games!$A$2:$A$834,0)),""))</f>
        <v>2019</v>
      </c>
      <c r="U996">
        <f>IF(connections!$A996="","",IFERROR(INDEX(games!$B$2:$B$834,MATCH(connections!$B996,games!$A$2:$A$834,0)),""))</f>
        <v>2026</v>
      </c>
      <c r="V996">
        <f t="shared" si="158"/>
        <v>7</v>
      </c>
    </row>
    <row r="997" spans="20:22" x14ac:dyDescent="0.25">
      <c r="T997">
        <f>IF(connections!$A997="","",IFERROR(INDEX(games!$B$2:$B$834,MATCH(connections!$A997,games!$A$2:$A$834,0)),""))</f>
        <v>2022</v>
      </c>
      <c r="U997">
        <f>IF(connections!$A997="","",IFERROR(INDEX(games!$B$2:$B$834,MATCH(connections!$B997,games!$A$2:$A$834,0)),""))</f>
        <v>2024</v>
      </c>
      <c r="V997">
        <f t="shared" si="158"/>
        <v>2</v>
      </c>
    </row>
    <row r="998" spans="20:22" x14ac:dyDescent="0.25">
      <c r="T998">
        <f>IF(connections!$A998="","",IFERROR(INDEX(games!$B$2:$B$834,MATCH(connections!$A998,games!$A$2:$A$834,0)),""))</f>
        <v>1991</v>
      </c>
      <c r="U998">
        <f>IF(connections!$A998="","",IFERROR(INDEX(games!$B$2:$B$834,MATCH(connections!$B998,games!$A$2:$A$834,0)),""))</f>
        <v>2020</v>
      </c>
      <c r="V998">
        <f t="shared" si="158"/>
        <v>29</v>
      </c>
    </row>
    <row r="999" spans="20:22" x14ac:dyDescent="0.25">
      <c r="T999">
        <f>IF(connections!$A999="","",IFERROR(INDEX(games!$B$2:$B$834,MATCH(connections!$A999,games!$A$2:$A$834,0)),""))</f>
        <v>1991</v>
      </c>
      <c r="U999">
        <f>IF(connections!$A999="","",IFERROR(INDEX(games!$B$2:$B$834,MATCH(connections!$B999,games!$A$2:$A$834,0)),""))</f>
        <v>2019</v>
      </c>
      <c r="V999">
        <f t="shared" si="158"/>
        <v>28</v>
      </c>
    </row>
    <row r="1000" spans="20:22" x14ac:dyDescent="0.25">
      <c r="T1000">
        <f>IF(connections!$A1000="","",IFERROR(INDEX(games!$B$2:$B$834,MATCH(connections!$A1000,games!$A$2:$A$834,0)),""))</f>
        <v>1999</v>
      </c>
      <c r="U1000">
        <f>IF(connections!$A1000="","",IFERROR(INDEX(games!$B$2:$B$834,MATCH(connections!$B1001,games!$A$2:$A$834,0)),""))</f>
        <v>2002</v>
      </c>
      <c r="V1000">
        <f t="shared" si="158"/>
        <v>3</v>
      </c>
    </row>
    <row r="1001" spans="20:22" x14ac:dyDescent="0.25">
      <c r="T1001">
        <f>IF(connections!$A1002="","",IFERROR(INDEX(games!$B$2:$B$834,MATCH(connections!$A1002,games!$A$2:$A$834,0)),""))</f>
        <v>1993</v>
      </c>
      <c r="U1001">
        <f>IF(connections!$A1002="","",IFERROR(INDEX(games!$B$2:$B$834,MATCH(connections!$B1002,games!$A$2:$A$834,0)),""))</f>
        <v>1997</v>
      </c>
      <c r="V1001">
        <f t="shared" si="158"/>
        <v>4</v>
      </c>
    </row>
    <row r="1002" spans="20:22" x14ac:dyDescent="0.25">
      <c r="T1002">
        <f>IF(connections!$A1003="","",IFERROR(INDEX(games!$B$2:$B$834,MATCH(connections!$A1003,games!$A$2:$A$834,0)),""))</f>
        <v>1993</v>
      </c>
      <c r="U1002">
        <f>IF(connections!$A1003="","",IFERROR(INDEX(games!$B$2:$B$834,MATCH(connections!$B1003,games!$A$2:$A$834,0)),""))</f>
        <v>1998</v>
      </c>
      <c r="V1002">
        <f t="shared" si="158"/>
        <v>5</v>
      </c>
    </row>
    <row r="1003" spans="20:22" x14ac:dyDescent="0.25">
      <c r="T1003">
        <f>IF(connections!$A1004="","",IFERROR(INDEX(games!$B$2:$B$834,MATCH(connections!$A1004,games!$A$2:$A$834,0)),""))</f>
        <v>1993</v>
      </c>
      <c r="U1003">
        <f>IF(connections!$A1004="","",IFERROR(INDEX(games!$B$2:$B$834,MATCH(connections!$B1004,games!$A$2:$A$834,0)),""))</f>
        <v>1997</v>
      </c>
      <c r="V1003">
        <f t="shared" si="158"/>
        <v>4</v>
      </c>
    </row>
    <row r="1004" spans="20:22" x14ac:dyDescent="0.25">
      <c r="T1004">
        <f>IF(connections!$A1005="","",IFERROR(INDEX(games!$B$2:$B$834,MATCH(connections!$A1005,games!$A$2:$A$834,0)),""))</f>
        <v>1993</v>
      </c>
      <c r="U1004">
        <f>IF(connections!$A1005="","",IFERROR(INDEX(games!$B$2:$B$834,MATCH(connections!$B1005,games!$A$2:$A$834,0)),""))</f>
        <v>2022</v>
      </c>
      <c r="V1004">
        <f t="shared" si="158"/>
        <v>29</v>
      </c>
    </row>
    <row r="1005" spans="20:22" x14ac:dyDescent="0.25">
      <c r="T1005">
        <f>IF(connections!$A1006="","",IFERROR(INDEX(games!$B$2:$B$834,MATCH(connections!$A1006,games!$A$2:$A$834,0)),""))</f>
        <v>1993</v>
      </c>
      <c r="U1005">
        <f>IF(connections!$A1006="","",IFERROR(INDEX(games!$B$2:$B$834,MATCH(connections!$B1006,games!$A$2:$A$834,0)),""))</f>
        <v>2006</v>
      </c>
      <c r="V1005">
        <f t="shared" si="158"/>
        <v>13</v>
      </c>
    </row>
    <row r="1006" spans="20:22" x14ac:dyDescent="0.25">
      <c r="T1006">
        <f>IF(connections!$A1007="","",IFERROR(INDEX(games!$B$2:$B$834,MATCH(connections!$A1007,games!$A$2:$A$834,0)),""))</f>
        <v>1993</v>
      </c>
      <c r="U1006">
        <f>IF(connections!$A1007="","",IFERROR(INDEX(games!$B$2:$B$834,MATCH(connections!$B1007,games!$A$2:$A$834,0)),""))</f>
        <v>2023</v>
      </c>
      <c r="V1006">
        <f t="shared" si="158"/>
        <v>30</v>
      </c>
    </row>
    <row r="1007" spans="20:22" x14ac:dyDescent="0.25">
      <c r="T1007">
        <f>IF(connections!$A1008="","",IFERROR(INDEX(games!$B$2:$B$834,MATCH(connections!$A1008,games!$A$2:$A$834,0)),""))</f>
        <v>1993</v>
      </c>
      <c r="U1007">
        <f>IF(connections!$A1008="","",IFERROR(INDEX(games!$B$2:$B$834,MATCH(connections!$B1008,games!$A$2:$A$834,0)),""))</f>
        <v>2008</v>
      </c>
      <c r="V1007">
        <f t="shared" si="158"/>
        <v>15</v>
      </c>
    </row>
    <row r="1008" spans="20:22" x14ac:dyDescent="0.25">
      <c r="T1008">
        <f>IF(connections!$A1009="","",IFERROR(INDEX(games!$B$2:$B$834,MATCH(connections!$A1009,games!$A$2:$A$834,0)),""))</f>
        <v>1993</v>
      </c>
      <c r="U1008">
        <f>IF(connections!$A1009="","",IFERROR(INDEX(games!$B$2:$B$834,MATCH(connections!$B1009,games!$A$2:$A$834,0)),""))</f>
        <v>2015</v>
      </c>
      <c r="V1008">
        <f t="shared" si="158"/>
        <v>22</v>
      </c>
    </row>
    <row r="1009" spans="20:22" x14ac:dyDescent="0.25">
      <c r="T1009">
        <f>IF(connections!$A1010="","",IFERROR(INDEX(games!$B$2:$B$834,MATCH(connections!$A1010,games!$A$2:$A$834,0)),""))</f>
        <v>1993</v>
      </c>
      <c r="U1009">
        <f>IF(connections!$A1010="","",IFERROR(INDEX(games!$B$2:$B$834,MATCH(connections!$B1010,games!$A$2:$A$834,0)),""))</f>
        <v>2026</v>
      </c>
      <c r="V1009">
        <f t="shared" si="158"/>
        <v>33</v>
      </c>
    </row>
    <row r="1010" spans="20:22" x14ac:dyDescent="0.25">
      <c r="T1010">
        <f>IF(connections!$A1011="","",IFERROR(INDEX(games!$B$2:$B$834,MATCH(connections!$A1011,games!$A$2:$A$834,0)),""))</f>
        <v>1993</v>
      </c>
      <c r="U1010">
        <f>IF(connections!$A1011="","",IFERROR(INDEX(games!$B$2:$B$834,MATCH(connections!$B1011,games!$A$2:$A$834,0)),""))</f>
        <v>2025</v>
      </c>
      <c r="V1010">
        <f t="shared" si="158"/>
        <v>32</v>
      </c>
    </row>
    <row r="1011" spans="20:22" x14ac:dyDescent="0.25">
      <c r="T1011">
        <f>IF(connections!$A1012="","",IFERROR(INDEX(games!$B$2:$B$834,MATCH(connections!$A1012,games!$A$2:$A$834,0)),""))</f>
        <v>1993</v>
      </c>
      <c r="U1011">
        <f>IF(connections!$A1012="","",IFERROR(INDEX(games!$B$2:$B$834,MATCH(connections!$B1012,games!$A$2:$A$834,0)),""))</f>
        <v>2006</v>
      </c>
      <c r="V1011">
        <f t="shared" si="158"/>
        <v>13</v>
      </c>
    </row>
    <row r="1012" spans="20:22" x14ac:dyDescent="0.25">
      <c r="T1012">
        <f>IF(connections!$A1013="","",IFERROR(INDEX(games!$B$2:$B$834,MATCH(connections!$A1013,games!$A$2:$A$834,0)),""))</f>
        <v>1993</v>
      </c>
      <c r="U1012">
        <f>IF(connections!$A1013="","",IFERROR(INDEX(games!$B$2:$B$834,MATCH(connections!$B1013,games!$A$2:$A$834,0)),""))</f>
        <v>2023</v>
      </c>
      <c r="V1012">
        <f t="shared" si="158"/>
        <v>30</v>
      </c>
    </row>
    <row r="1013" spans="20:22" x14ac:dyDescent="0.25">
      <c r="T1013">
        <f>IF(connections!$A1014="","",IFERROR(INDEX(games!$B$2:$B$834,MATCH(connections!$A1014,games!$A$2:$A$834,0)),""))</f>
        <v>1993</v>
      </c>
      <c r="U1013">
        <f>IF(connections!$A1014="","",IFERROR(INDEX(games!$B$2:$B$834,MATCH(connections!$B1014,games!$A$2:$A$834,0)),""))</f>
        <v>2002</v>
      </c>
      <c r="V1013">
        <f t="shared" si="158"/>
        <v>9</v>
      </c>
    </row>
    <row r="1014" spans="20:22" x14ac:dyDescent="0.25">
      <c r="T1014">
        <f>IF(connections!$A1015="","",IFERROR(INDEX(games!$B$2:$B$834,MATCH(connections!$A1015,games!$A$2:$A$834,0)),""))</f>
        <v>1993</v>
      </c>
      <c r="U1014">
        <f>IF(connections!$A1015="","",IFERROR(INDEX(games!$B$2:$B$834,MATCH(connections!$B1015,games!$A$2:$A$834,0)),""))</f>
        <v>2020</v>
      </c>
      <c r="V1014">
        <f t="shared" si="158"/>
        <v>27</v>
      </c>
    </row>
    <row r="1015" spans="20:22" x14ac:dyDescent="0.25">
      <c r="T1015">
        <f>IF(connections!$A1016="","",IFERROR(INDEX(games!$B$2:$B$834,MATCH(connections!$A1016,games!$A$2:$A$834,0)),""))</f>
        <v>1993</v>
      </c>
      <c r="U1015">
        <f>IF(connections!$A1016="","",IFERROR(INDEX(games!$B$2:$B$834,MATCH(connections!$B1016,games!$A$2:$A$834,0)),""))</f>
        <v>1995</v>
      </c>
      <c r="V1015">
        <f t="shared" si="158"/>
        <v>2</v>
      </c>
    </row>
    <row r="1016" spans="20:22" x14ac:dyDescent="0.25">
      <c r="T1016">
        <f>IF(connections!$A1017="","",IFERROR(INDEX(games!$B$2:$B$834,MATCH(connections!$A1017,games!$A$2:$A$834,0)),""))</f>
        <v>1993</v>
      </c>
      <c r="U1016">
        <f>IF(connections!$A1017="","",IFERROR(INDEX(games!$B$2:$B$834,MATCH(connections!$B1017,games!$A$2:$A$834,0)),""))</f>
        <v>2015</v>
      </c>
      <c r="V1016">
        <f t="shared" si="158"/>
        <v>22</v>
      </c>
    </row>
    <row r="1017" spans="20:22" x14ac:dyDescent="0.25">
      <c r="T1017">
        <f>IF(connections!$A1018="","",IFERROR(INDEX(games!$B$2:$B$834,MATCH(connections!$A1018,games!$A$2:$A$834,0)),""))</f>
        <v>1993</v>
      </c>
      <c r="U1017">
        <f>IF(connections!$A1018="","",IFERROR(INDEX(games!$B$2:$B$834,MATCH(connections!$B1018,games!$A$2:$A$834,0)),""))</f>
        <v>2014</v>
      </c>
      <c r="V1017">
        <f t="shared" si="158"/>
        <v>21</v>
      </c>
    </row>
    <row r="1018" spans="20:22" x14ac:dyDescent="0.25">
      <c r="T1018">
        <f>IF(connections!$A1019="","",IFERROR(INDEX(games!$B$2:$B$834,MATCH(connections!$A1019,games!$A$2:$A$834,0)),""))</f>
        <v>1993</v>
      </c>
      <c r="U1018">
        <f>IF(connections!$A1019="","",IFERROR(INDEX(games!$B$2:$B$834,MATCH(connections!$B1019,games!$A$2:$A$834,0)),""))</f>
        <v>2005</v>
      </c>
      <c r="V1018">
        <f t="shared" si="158"/>
        <v>12</v>
      </c>
    </row>
    <row r="1019" spans="20:22" x14ac:dyDescent="0.25">
      <c r="T1019">
        <f>IF(connections!$A1020="","",IFERROR(INDEX(games!$B$2:$B$834,MATCH(connections!$A1020,games!$A$2:$A$834,0)),""))</f>
        <v>1993</v>
      </c>
      <c r="U1019">
        <f>IF(connections!$A1020="","",IFERROR(INDEX(games!$B$2:$B$834,MATCH(connections!$B1020,games!$A$2:$A$834,0)),""))</f>
        <v>2004</v>
      </c>
      <c r="V1019">
        <f t="shared" si="158"/>
        <v>11</v>
      </c>
    </row>
    <row r="1020" spans="20:22" x14ac:dyDescent="0.25">
      <c r="T1020">
        <f>IF(connections!$A1021="","",IFERROR(INDEX(games!$B$2:$B$834,MATCH(connections!$A1021,games!$A$2:$A$834,0)),""))</f>
        <v>1993</v>
      </c>
      <c r="U1020">
        <f>IF(connections!$A1021="","",IFERROR(INDEX(games!$B$2:$B$834,MATCH(connections!$B1021,games!$A$2:$A$834,0)),""))</f>
        <v>2014</v>
      </c>
      <c r="V1020">
        <f t="shared" si="158"/>
        <v>21</v>
      </c>
    </row>
    <row r="1021" spans="20:22" x14ac:dyDescent="0.25">
      <c r="T1021">
        <f>IF(connections!$A1022="","",IFERROR(INDEX(games!$B$2:$B$834,MATCH(connections!$A1022,games!$A$2:$A$834,0)),""))</f>
        <v>1993</v>
      </c>
      <c r="U1021">
        <f>IF(connections!$A1022="","",IFERROR(INDEX(games!$B$2:$B$834,MATCH(connections!$B1022,games!$A$2:$A$834,0)),""))</f>
        <v>1999</v>
      </c>
      <c r="V1021">
        <f t="shared" si="158"/>
        <v>6</v>
      </c>
    </row>
    <row r="1022" spans="20:22" x14ac:dyDescent="0.25">
      <c r="T1022">
        <f>IF(connections!$A1023="","",IFERROR(INDEX(games!$B$2:$B$834,MATCH(connections!$A1023,games!$A$2:$A$834,0)),""))</f>
        <v>1993</v>
      </c>
      <c r="U1022">
        <f>IF(connections!$A1023="","",IFERROR(INDEX(games!$B$2:$B$834,MATCH(connections!$B1023,games!$A$2:$A$834,0)),""))</f>
        <v>2021</v>
      </c>
      <c r="V1022">
        <f t="shared" si="158"/>
        <v>28</v>
      </c>
    </row>
    <row r="1023" spans="20:22" x14ac:dyDescent="0.25">
      <c r="T1023">
        <f>IF(connections!$A1024="","",IFERROR(INDEX(games!$B$2:$B$834,MATCH(connections!$A1024,games!$A$2:$A$834,0)),""))</f>
        <v>1993</v>
      </c>
      <c r="U1023">
        <f>IF(connections!$A1024="","",IFERROR(INDEX(games!$B$2:$B$834,MATCH(connections!$B1024,games!$A$2:$A$834,0)),""))</f>
        <v>2010</v>
      </c>
      <c r="V1023">
        <f t="shared" si="158"/>
        <v>17</v>
      </c>
    </row>
    <row r="1024" spans="20:22" x14ac:dyDescent="0.25">
      <c r="T1024">
        <f>IF(connections!$A1025="","",IFERROR(INDEX(games!$B$2:$B$834,MATCH(connections!$A1025,games!$A$2:$A$834,0)),""))</f>
        <v>2014</v>
      </c>
      <c r="U1024">
        <f>IF(connections!$A1025="","",IFERROR(INDEX(games!$B$2:$B$834,MATCH(connections!$B1025,games!$A$2:$A$834,0)),""))</f>
        <v>2018</v>
      </c>
      <c r="V1024">
        <f t="shared" si="158"/>
        <v>4</v>
      </c>
    </row>
    <row r="1025" spans="20:22" x14ac:dyDescent="0.25">
      <c r="T1025">
        <f>IF(connections!$A1026="","",IFERROR(INDEX(games!$B$2:$B$834,MATCH(connections!$A1026,games!$A$2:$A$834,0)),""))</f>
        <v>2021</v>
      </c>
      <c r="U1025">
        <f>IF(connections!$A1026="","",IFERROR(INDEX(games!$B$2:$B$834,MATCH(connections!$B1026,games!$A$2:$A$834,0)),""))</f>
        <v>2023</v>
      </c>
      <c r="V1025">
        <f t="shared" si="158"/>
        <v>2</v>
      </c>
    </row>
    <row r="1026" spans="20:22" x14ac:dyDescent="0.25">
      <c r="T1026">
        <f>IF(connections!$A1027="","",IFERROR(INDEX(games!$B$2:$B$834,MATCH(connections!$A1027,games!$A$2:$A$834,0)),""))</f>
        <v>2019</v>
      </c>
      <c r="U1026">
        <f>IF(connections!$A1027="","",IFERROR(INDEX(games!$B$2:$B$834,MATCH(connections!$B1027,games!$A$2:$A$834,0)),""))</f>
        <v>2025</v>
      </c>
      <c r="V1026">
        <f t="shared" ref="V1026:V1060" si="159">IF(OR($T1026="",$U1026=""),"",$U1026-$T1026)</f>
        <v>6</v>
      </c>
    </row>
    <row r="1027" spans="20:22" x14ac:dyDescent="0.25">
      <c r="T1027">
        <f>IF(connections!$A1028="","",IFERROR(INDEX(games!$B$2:$B$834,MATCH(connections!$A1028,games!$A$2:$A$834,0)),""))</f>
        <v>2017</v>
      </c>
      <c r="U1027">
        <f>IF(connections!$A1028="","",IFERROR(INDEX(games!$B$2:$B$834,MATCH(connections!$B1028,games!$A$2:$A$834,0)),""))</f>
        <v>2023</v>
      </c>
      <c r="V1027">
        <f t="shared" si="159"/>
        <v>6</v>
      </c>
    </row>
    <row r="1028" spans="20:22" x14ac:dyDescent="0.25">
      <c r="T1028">
        <f>IF(connections!$A1029="","",IFERROR(INDEX(games!$B$2:$B$834,MATCH(connections!$A1029,games!$A$2:$A$834,0)),""))</f>
        <v>2017</v>
      </c>
      <c r="U1028" t="str">
        <f>IF(connections!$A1029="","",IFERROR(INDEX(games!$B$2:$B$834,MATCH(connections!$C1029,games!$A$2:$A$834,0)),""))</f>
        <v/>
      </c>
      <c r="V1028" t="str">
        <f t="shared" si="159"/>
        <v/>
      </c>
    </row>
    <row r="1029" spans="20:22" x14ac:dyDescent="0.25">
      <c r="T1029">
        <f>IF(connections!$A1030="","",IFERROR(INDEX(games!$B$2:$B$834,MATCH(connections!$A1030,games!$A$2:$A$834,0)),""))</f>
        <v>1992</v>
      </c>
      <c r="U1029" t="str">
        <f>IF(connections!$A1030="","",IFERROR(INDEX(games!$B$2:$B$834,MATCH(connections!$C1030,games!$A$2:$A$834,0)),""))</f>
        <v/>
      </c>
      <c r="V1029" t="str">
        <f t="shared" si="159"/>
        <v/>
      </c>
    </row>
    <row r="1030" spans="20:22" x14ac:dyDescent="0.25">
      <c r="T1030">
        <f>IF(connections!$A1031="","",IFERROR(INDEX(games!$B$2:$B$834,MATCH(connections!$A1031,games!$A$2:$A$834,0)),""))</f>
        <v>2021</v>
      </c>
      <c r="U1030">
        <f>IF(connections!$A1031="","",IFERROR(INDEX(games!$B$2:$B$834,MATCH(connections!$B1031,games!$A$2:$A$834,0)),""))</f>
        <v>2022</v>
      </c>
      <c r="V1030">
        <f t="shared" si="159"/>
        <v>1</v>
      </c>
    </row>
    <row r="1031" spans="20:22" x14ac:dyDescent="0.25">
      <c r="T1031">
        <f>IF(connections!$A1032="","",IFERROR(INDEX(games!$B$2:$B$834,MATCH(connections!$A1032,games!$A$2:$A$834,0)),""))</f>
        <v>2021</v>
      </c>
      <c r="U1031">
        <f>IF(connections!$A1032="","",IFERROR(INDEX(games!$B$2:$B$834,MATCH(connections!$B1032,games!$A$2:$A$834,0)),""))</f>
        <v>2024</v>
      </c>
      <c r="V1031">
        <f t="shared" si="159"/>
        <v>3</v>
      </c>
    </row>
    <row r="1032" spans="20:22" x14ac:dyDescent="0.25">
      <c r="T1032">
        <f>IF(connections!$A1033="","",IFERROR(INDEX(games!$B$2:$B$834,MATCH(connections!$A1033,games!$A$2:$A$834,0)),""))</f>
        <v>2021</v>
      </c>
      <c r="U1032">
        <f>IF(connections!$A1033="","",IFERROR(INDEX(games!$B$2:$B$834,MATCH(connections!$B1033,games!$A$2:$A$834,0)),""))</f>
        <v>2022</v>
      </c>
      <c r="V1032">
        <f t="shared" si="159"/>
        <v>1</v>
      </c>
    </row>
    <row r="1033" spans="20:22" x14ac:dyDescent="0.25">
      <c r="T1033">
        <f>IF(connections!$A1034="","",IFERROR(INDEX(games!$B$2:$B$834,MATCH(connections!$A1034,games!$A$2:$A$834,0)),""))</f>
        <v>2021</v>
      </c>
      <c r="U1033">
        <f>IF(connections!$A1034="","",IFERROR(INDEX(games!$B$2:$B$834,MATCH(connections!$B1034,games!$A$2:$A$834,0)),""))</f>
        <v>2025</v>
      </c>
      <c r="V1033">
        <f t="shared" si="159"/>
        <v>4</v>
      </c>
    </row>
    <row r="1034" spans="20:22" x14ac:dyDescent="0.25">
      <c r="T1034">
        <f>IF(connections!$A1035="","",IFERROR(INDEX(games!$B$2:$B$834,MATCH(connections!$A1035,games!$A$2:$A$834,0)),""))</f>
        <v>2021</v>
      </c>
      <c r="U1034">
        <f>IF(connections!$A1035="","",IFERROR(INDEX(games!$B$2:$B$834,MATCH(connections!$B1035,games!$A$2:$A$834,0)),""))</f>
        <v>2025</v>
      </c>
      <c r="V1034">
        <f t="shared" si="159"/>
        <v>4</v>
      </c>
    </row>
    <row r="1035" spans="20:22" x14ac:dyDescent="0.25">
      <c r="T1035">
        <f>IF(connections!$A1036="","",IFERROR(INDEX(games!$B$2:$B$834,MATCH(connections!$A1036,games!$A$2:$A$834,0)),""))</f>
        <v>2021</v>
      </c>
      <c r="U1035">
        <f>IF(connections!$A1036="","",IFERROR(INDEX(games!$B$2:$B$834,MATCH(connections!$B1036,games!$A$2:$A$834,0)),""))</f>
        <v>2025</v>
      </c>
      <c r="V1035">
        <f t="shared" si="159"/>
        <v>4</v>
      </c>
    </row>
    <row r="1036" spans="20:22" x14ac:dyDescent="0.25">
      <c r="T1036">
        <f>IF(connections!$A1037="","",IFERROR(INDEX(games!$B$2:$B$834,MATCH(connections!$A1037,games!$A$2:$A$834,0)),""))</f>
        <v>2021</v>
      </c>
      <c r="U1036">
        <f>IF(connections!$A1037="","",IFERROR(INDEX(games!$B$2:$B$834,MATCH(connections!$B1037,games!$A$2:$A$834,0)),""))</f>
        <v>2024</v>
      </c>
      <c r="V1036">
        <f t="shared" si="159"/>
        <v>3</v>
      </c>
    </row>
    <row r="1037" spans="20:22" x14ac:dyDescent="0.25">
      <c r="T1037">
        <f>IF(connections!$A1038="","",IFERROR(INDEX(games!$B$2:$B$834,MATCH(connections!$A1038,games!$A$2:$A$834,0)),""))</f>
        <v>2021</v>
      </c>
      <c r="U1037">
        <f>IF(connections!$A1038="","",IFERROR(INDEX(games!$B$2:$B$834,MATCH(connections!$B1038,games!$A$2:$A$834,0)),""))</f>
        <v>2022</v>
      </c>
      <c r="V1037">
        <f t="shared" si="159"/>
        <v>1</v>
      </c>
    </row>
    <row r="1038" spans="20:22" x14ac:dyDescent="0.25">
      <c r="T1038" t="e">
        <f>IF(connections!#REF!="","",IFERROR(INDEX(games!$B$2:$B$834,MATCH(connections!#REF!,games!$A$2:$A$834,0)),""))</f>
        <v>#REF!</v>
      </c>
      <c r="U1038" t="e">
        <f>IF(connections!#REF!="","",IFERROR(INDEX(games!$B$2:$B$834,MATCH(connections!#REF!,games!$A$2:$A$834,0)),""))</f>
        <v>#REF!</v>
      </c>
      <c r="V1038" t="e">
        <f t="shared" si="159"/>
        <v>#REF!</v>
      </c>
    </row>
    <row r="1039" spans="20:22" x14ac:dyDescent="0.25">
      <c r="T1039">
        <f>IF(connections!$A1039="","",IFERROR(INDEX(games!$B$2:$B$834,MATCH(connections!$A1039,games!$A$2:$A$834,0)),""))</f>
        <v>2021</v>
      </c>
      <c r="U1039">
        <f>IF(connections!$A1039="","",IFERROR(INDEX(games!$B$2:$B$834,MATCH(connections!$B1039,games!$A$2:$A$834,0)),""))</f>
        <v>2026</v>
      </c>
      <c r="V1039">
        <f t="shared" si="159"/>
        <v>5</v>
      </c>
    </row>
    <row r="1040" spans="20:22" x14ac:dyDescent="0.25">
      <c r="T1040">
        <f>IF(connections!$A1040="","",IFERROR(INDEX(games!$B$2:$B$834,MATCH(connections!$A1040,games!$A$2:$A$834,0)),""))</f>
        <v>2021</v>
      </c>
      <c r="U1040">
        <f>IF(connections!$A1040="","",IFERROR(INDEX(games!$B$2:$B$834,MATCH(connections!$B1040,games!$A$2:$A$834,0)),""))</f>
        <v>2023</v>
      </c>
      <c r="V1040">
        <f t="shared" si="159"/>
        <v>2</v>
      </c>
    </row>
    <row r="1041" spans="20:22" x14ac:dyDescent="0.25">
      <c r="T1041">
        <f>IF(connections!$A1041="","",IFERROR(INDEX(games!$B$2:$B$834,MATCH(connections!$A1041,games!$A$2:$A$834,0)),""))</f>
        <v>2021</v>
      </c>
      <c r="U1041">
        <f>IF(connections!$A1041="","",IFERROR(INDEX(games!$B$2:$B$834,MATCH(connections!$B1041,games!$A$2:$A$834,0)),""))</f>
        <v>2024</v>
      </c>
      <c r="V1041">
        <f t="shared" si="159"/>
        <v>3</v>
      </c>
    </row>
    <row r="1042" spans="20:22" x14ac:dyDescent="0.25">
      <c r="T1042">
        <f>IF(connections!$A1042="","",IFERROR(INDEX(games!$B$2:$B$834,MATCH(connections!$A1042,games!$A$2:$A$834,0)),""))</f>
        <v>2021</v>
      </c>
      <c r="U1042">
        <f>IF(connections!$A1042="","",IFERROR(INDEX(games!$B$2:$B$834,MATCH(connections!$B1042,games!$A$2:$A$834,0)),""))</f>
        <v>2022</v>
      </c>
      <c r="V1042">
        <f t="shared" si="159"/>
        <v>1</v>
      </c>
    </row>
    <row r="1043" spans="20:22" x14ac:dyDescent="0.25">
      <c r="T1043">
        <f>IF(connections!$A1043="","",IFERROR(INDEX(games!$B$2:$B$834,MATCH(connections!$A1043,games!$A$2:$A$834,0)),""))</f>
        <v>2021</v>
      </c>
      <c r="U1043">
        <f>IF(connections!$A1043="","",IFERROR(INDEX(games!$B$2:$B$834,MATCH(connections!$B1043,games!$A$2:$A$834,0)),""))</f>
        <v>2022</v>
      </c>
      <c r="V1043">
        <f t="shared" si="159"/>
        <v>1</v>
      </c>
    </row>
    <row r="1044" spans="20:22" x14ac:dyDescent="0.25">
      <c r="T1044">
        <f>IF(connections!$A1044="","",IFERROR(INDEX(games!$B$2:$B$834,MATCH(connections!$A1044,games!$A$2:$A$834,0)),""))</f>
        <v>2021</v>
      </c>
      <c r="U1044">
        <f>IF(connections!$A1044="","",IFERROR(INDEX(games!$B$2:$B$834,MATCH(connections!$B1044,games!$A$2:$A$834,0)),""))</f>
        <v>2022</v>
      </c>
      <c r="V1044">
        <f t="shared" si="159"/>
        <v>1</v>
      </c>
    </row>
    <row r="1045" spans="20:22" x14ac:dyDescent="0.25">
      <c r="T1045">
        <f>IF(connections!$A1045="","",IFERROR(INDEX(games!$B$2:$B$834,MATCH(connections!$A1045,games!$A$2:$A$834,0)),""))</f>
        <v>2021</v>
      </c>
      <c r="U1045">
        <f>IF(connections!$A1045="","",IFERROR(INDEX(games!$B$2:$B$834,MATCH(connections!$B1045,games!$A$2:$A$834,0)),""))</f>
        <v>2022</v>
      </c>
      <c r="V1045">
        <f t="shared" si="159"/>
        <v>1</v>
      </c>
    </row>
    <row r="1046" spans="20:22" x14ac:dyDescent="0.25">
      <c r="T1046">
        <f>IF(connections!$A1046="","",IFERROR(INDEX(games!$B$2:$B$834,MATCH(connections!$A1046,games!$A$2:$A$834,0)),""))</f>
        <v>2021</v>
      </c>
      <c r="U1046">
        <f>IF(connections!$A1046="","",IFERROR(INDEX(games!$B$2:$B$834,MATCH(connections!$B1046,games!$A$2:$A$834,0)),""))</f>
        <v>2023</v>
      </c>
      <c r="V1046">
        <f t="shared" si="159"/>
        <v>2</v>
      </c>
    </row>
    <row r="1047" spans="20:22" x14ac:dyDescent="0.25">
      <c r="T1047">
        <f>IF(connections!$A1047="","",IFERROR(INDEX(games!$B$2:$B$834,MATCH(connections!$A1047,games!$A$2:$A$834,0)),""))</f>
        <v>2021</v>
      </c>
      <c r="U1047">
        <f>IF(connections!$A1047="","",IFERROR(INDEX(games!$B$2:$B$834,MATCH(connections!$B1047,games!$A$2:$A$834,0)),""))</f>
        <v>2023</v>
      </c>
      <c r="V1047">
        <f t="shared" si="159"/>
        <v>2</v>
      </c>
    </row>
    <row r="1048" spans="20:22" x14ac:dyDescent="0.25">
      <c r="T1048">
        <f>IF(connections!$A1048="","",IFERROR(INDEX(games!$B$2:$B$834,MATCH(connections!$A1048,games!$A$2:$A$834,0)),""))</f>
        <v>2021</v>
      </c>
      <c r="U1048">
        <f>IF(connections!$A1048="","",IFERROR(INDEX(games!$B$2:$B$834,MATCH(connections!$B1048,games!$A$2:$A$834,0)),""))</f>
        <v>2026</v>
      </c>
      <c r="V1048">
        <f t="shared" si="159"/>
        <v>5</v>
      </c>
    </row>
    <row r="1049" spans="20:22" x14ac:dyDescent="0.25">
      <c r="T1049">
        <f>IF(connections!$A1049="","",IFERROR(INDEX(games!$B$2:$B$834,MATCH(connections!$A1049,games!$A$2:$A$834,0)),""))</f>
        <v>2021</v>
      </c>
      <c r="U1049">
        <f>IF(connections!$A1049="","",IFERROR(INDEX(games!$B$2:$B$834,MATCH(connections!$B1049,games!$A$2:$A$834,0)),""))</f>
        <v>2023</v>
      </c>
      <c r="V1049">
        <f t="shared" si="159"/>
        <v>2</v>
      </c>
    </row>
    <row r="1050" spans="20:22" x14ac:dyDescent="0.25">
      <c r="T1050">
        <f>IF(connections!$A1050="","",IFERROR(INDEX(games!$B$2:$B$834,MATCH(connections!$A1050,games!$A$2:$A$834,0)),""))</f>
        <v>2021</v>
      </c>
      <c r="U1050">
        <f>IF(connections!$A1050="","",IFERROR(INDEX(games!$B$2:$B$834,MATCH(connections!$B1050,games!$A$2:$A$834,0)),""))</f>
        <v>2024</v>
      </c>
      <c r="V1050">
        <f t="shared" si="159"/>
        <v>3</v>
      </c>
    </row>
    <row r="1051" spans="20:22" x14ac:dyDescent="0.25">
      <c r="T1051">
        <f>IF(connections!$A1051="","",IFERROR(INDEX(games!$B$2:$B$834,MATCH(connections!$A1051,games!$A$2:$A$834,0)),""))</f>
        <v>2021</v>
      </c>
      <c r="U1051">
        <f>IF(connections!$A1051="","",IFERROR(INDEX(games!$B$2:$B$834,MATCH(connections!$B1051,games!$A$2:$A$834,0)),""))</f>
        <v>2025</v>
      </c>
      <c r="V1051">
        <f t="shared" si="159"/>
        <v>4</v>
      </c>
    </row>
    <row r="1052" spans="20:22" x14ac:dyDescent="0.25">
      <c r="T1052">
        <f>IF(connections!$A1052="","",IFERROR(INDEX(games!$B$2:$B$834,MATCH(connections!$A1052,games!$A$2:$A$834,0)),""))</f>
        <v>2021</v>
      </c>
      <c r="U1052">
        <f>IF(connections!$A1052="","",IFERROR(INDEX(games!$B$2:$B$834,MATCH(connections!$B1052,games!$A$2:$A$834,0)),""))</f>
        <v>2023</v>
      </c>
      <c r="V1052">
        <f t="shared" si="159"/>
        <v>2</v>
      </c>
    </row>
    <row r="1053" spans="20:22" x14ac:dyDescent="0.25">
      <c r="T1053">
        <f>IF(connections!$A1053="","",IFERROR(INDEX(games!$B$2:$B$834,MATCH(connections!$A1053,games!$A$2:$A$834,0)),""))</f>
        <v>2021</v>
      </c>
      <c r="U1053">
        <f>IF(connections!$A1053="","",IFERROR(INDEX(games!$B$2:$B$834,MATCH(connections!$B1053,games!$A$2:$A$834,0)),""))</f>
        <v>2023</v>
      </c>
      <c r="V1053">
        <f t="shared" si="159"/>
        <v>2</v>
      </c>
    </row>
    <row r="1054" spans="20:22" x14ac:dyDescent="0.25">
      <c r="T1054">
        <f>IF(connections!$A1054="","",IFERROR(INDEX(games!$B$2:$B$834,MATCH(connections!$A1054,games!$A$2:$A$834,0)),""))</f>
        <v>2021</v>
      </c>
      <c r="U1054">
        <f>IF(connections!$A1054="","",IFERROR(INDEX(games!$B$2:$B$834,MATCH(connections!$B1054,games!$A$2:$A$834,0)),""))</f>
        <v>2023</v>
      </c>
      <c r="V1054">
        <f t="shared" si="159"/>
        <v>2</v>
      </c>
    </row>
    <row r="1055" spans="20:22" x14ac:dyDescent="0.25">
      <c r="T1055">
        <f>IF(connections!$A1055="","",IFERROR(INDEX(games!$B$2:$B$834,MATCH(connections!$A1055,games!$A$2:$A$834,0)),""))</f>
        <v>2021</v>
      </c>
      <c r="U1055">
        <f>IF(connections!$A1055="","",IFERROR(INDEX(games!$B$2:$B$834,MATCH(connections!$B1055,games!$A$2:$A$834,0)),""))</f>
        <v>2024</v>
      </c>
      <c r="V1055">
        <f t="shared" si="159"/>
        <v>3</v>
      </c>
    </row>
    <row r="1056" spans="20:22" x14ac:dyDescent="0.25">
      <c r="T1056">
        <f>IF(connections!$A1056="","",IFERROR(INDEX(games!$B$2:$B$834,MATCH(connections!$A1056,games!$A$2:$A$834,0)),""))</f>
        <v>2021</v>
      </c>
      <c r="U1056">
        <f>IF(connections!$A1056="","",IFERROR(INDEX(games!$B$2:$B$834,MATCH(connections!$B1056,games!$A$2:$A$834,0)),""))</f>
        <v>2024</v>
      </c>
      <c r="V1056">
        <f t="shared" si="159"/>
        <v>3</v>
      </c>
    </row>
    <row r="1057" spans="20:22" x14ac:dyDescent="0.25">
      <c r="T1057">
        <f>IF(connections!$A1057="","",IFERROR(INDEX(games!$B$2:$B$834,MATCH(connections!$A1057,games!$A$2:$A$834,0)),""))</f>
        <v>2021</v>
      </c>
      <c r="U1057">
        <f>IF(connections!$A1057="","",IFERROR(INDEX(games!$B$2:$B$834,MATCH(connections!$B1057,games!$A$2:$A$834,0)),""))</f>
        <v>2023</v>
      </c>
      <c r="V1057">
        <f t="shared" si="159"/>
        <v>2</v>
      </c>
    </row>
    <row r="1058" spans="20:22" x14ac:dyDescent="0.25">
      <c r="T1058">
        <f>IF(connections!$A1058="","",IFERROR(INDEX(games!$B$2:$B$834,MATCH(connections!$A1058,games!$A$2:$A$834,0)),""))</f>
        <v>2021</v>
      </c>
      <c r="U1058">
        <f>IF(connections!$A1058="","",IFERROR(INDEX(games!$B$2:$B$834,MATCH(connections!$B1058,games!$A$2:$A$834,0)),""))</f>
        <v>2023</v>
      </c>
      <c r="V1058">
        <f t="shared" si="159"/>
        <v>2</v>
      </c>
    </row>
    <row r="1059" spans="20:22" x14ac:dyDescent="0.25">
      <c r="T1059">
        <f>IF(connections!$A1059="","",IFERROR(INDEX(games!$B$2:$B$834,MATCH(connections!$A1059,games!$A$2:$A$834,0)),""))</f>
        <v>2021</v>
      </c>
      <c r="U1059">
        <f>IF(connections!$A1059="","",IFERROR(INDEX(games!$B$2:$B$834,MATCH(connections!$B1059,games!$A$2:$A$834,0)),""))</f>
        <v>2023</v>
      </c>
      <c r="V1059">
        <f t="shared" si="159"/>
        <v>2</v>
      </c>
    </row>
    <row r="1060" spans="20:22" x14ac:dyDescent="0.25">
      <c r="T1060">
        <f>IF(connections!$A1060="","",IFERROR(INDEX(games!$B$2:$B$834,MATCH(connections!$A1060,games!$A$2:$A$834,0)),""))</f>
        <v>2021</v>
      </c>
      <c r="U1060">
        <f>IF(connections!$A1060="","",IFERROR(INDEX(games!$B$2:$B$834,MATCH(connections!$B1060,games!$A$2:$A$834,0)),""))</f>
        <v>2022</v>
      </c>
      <c r="V1060">
        <f t="shared" si="159"/>
        <v>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44BBC1-F9FC-4C35-A900-62BFAA47BB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40</vt:i4>
      </vt:variant>
    </vt:vector>
  </HeadingPairs>
  <TitlesOfParts>
    <vt:vector size="40" baseType="lpstr">
      <vt:lpstr>games</vt:lpstr>
      <vt:lpstr>connections</vt:lpstr>
      <vt:lpstr>characters2.0</vt:lpstr>
      <vt:lpstr>items2.0</vt:lpstr>
      <vt:lpstr>enemies2.0</vt:lpstr>
      <vt:lpstr>bosses2.0</vt:lpstr>
      <vt:lpstr>scrolls2.0</vt:lpstr>
      <vt:lpstr>statuses2.0</vt:lpstr>
      <vt:lpstr>events2.0</vt:lpstr>
      <vt:lpstr>locations2.0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2026-08-08T05:35:47Z</dcterms:modified>
  <dc:language>en-US</dc:language>
</cp:coreProperties>
</file>