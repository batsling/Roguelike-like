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39FBEFD-DFE2-42FE-80BB-0F0305990F9B}"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7" i="1" l="1"/>
  <c r="D857" i="1"/>
  <c r="E856" i="1"/>
  <c r="D856"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V1223" i="47" s="1"/>
  <c r="U1222" i="47"/>
  <c r="T1222" i="47"/>
  <c r="U1221" i="47"/>
  <c r="T1221" i="47"/>
  <c r="U1220" i="47"/>
  <c r="T1220" i="47"/>
  <c r="U1219" i="47"/>
  <c r="T1219" i="47"/>
  <c r="U1218" i="47"/>
  <c r="T1218" i="47"/>
  <c r="U1217" i="47"/>
  <c r="T1217" i="47"/>
  <c r="U1216" i="47"/>
  <c r="T1216" i="47"/>
  <c r="U1215" i="47"/>
  <c r="T1215" i="47"/>
  <c r="V1215" i="47" s="1"/>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V1151" i="47" s="1"/>
  <c r="U1150" i="47"/>
  <c r="T1150" i="47"/>
  <c r="U1149" i="47"/>
  <c r="T1149" i="47"/>
  <c r="U1148" i="47"/>
  <c r="T1148" i="47"/>
  <c r="U1147" i="47"/>
  <c r="T1147" i="47"/>
  <c r="U1146" i="47"/>
  <c r="T1146" i="47"/>
  <c r="U1145" i="47"/>
  <c r="T1145" i="47"/>
  <c r="U1144" i="47"/>
  <c r="T1144" i="47"/>
  <c r="V1144" i="47" s="1"/>
  <c r="U1143" i="47"/>
  <c r="T1143" i="47"/>
  <c r="V1143" i="47" s="1"/>
  <c r="U1142" i="47"/>
  <c r="T1142" i="47"/>
  <c r="U1141" i="47"/>
  <c r="T1141" i="47"/>
  <c r="U1140" i="47"/>
  <c r="T1140" i="47"/>
  <c r="V1140" i="47" s="1"/>
  <c r="U1139" i="47"/>
  <c r="T1139" i="47"/>
  <c r="U1138" i="47"/>
  <c r="T1138" i="47"/>
  <c r="U1137" i="47"/>
  <c r="T1137" i="47"/>
  <c r="U1136" i="47"/>
  <c r="T1136" i="47"/>
  <c r="V1136" i="47" s="1"/>
  <c r="U1135" i="47"/>
  <c r="T1135" i="47"/>
  <c r="V1135" i="47" s="1"/>
  <c r="U1134" i="47"/>
  <c r="T1134" i="47"/>
  <c r="V1134" i="47" s="1"/>
  <c r="U1133" i="47"/>
  <c r="T1133" i="47"/>
  <c r="U1132" i="47"/>
  <c r="T1132" i="47"/>
  <c r="U1131" i="47"/>
  <c r="T1131" i="47"/>
  <c r="U1130" i="47"/>
  <c r="T1130" i="47"/>
  <c r="U1129" i="47"/>
  <c r="T1129" i="47"/>
  <c r="U1128" i="47"/>
  <c r="T1128" i="47"/>
  <c r="V1128" i="47" s="1"/>
  <c r="U1127" i="47"/>
  <c r="T1127" i="47"/>
  <c r="U1126" i="47"/>
  <c r="T1126" i="47"/>
  <c r="V1126" i="47" s="1"/>
  <c r="U1125" i="47"/>
  <c r="T1125" i="47"/>
  <c r="U1124" i="47"/>
  <c r="T1124" i="47"/>
  <c r="V1124" i="47" s="1"/>
  <c r="U1123" i="47"/>
  <c r="T1123" i="47"/>
  <c r="U1122" i="47"/>
  <c r="T1122" i="47"/>
  <c r="U1121" i="47"/>
  <c r="T1121" i="47"/>
  <c r="U1120" i="47"/>
  <c r="T1120" i="47"/>
  <c r="V1120" i="47" s="1"/>
  <c r="U1119" i="47"/>
  <c r="T1119" i="47"/>
  <c r="V1119" i="47" s="1"/>
  <c r="U1118" i="47"/>
  <c r="T1118" i="47"/>
  <c r="V1118" i="47" s="1"/>
  <c r="U1117" i="47"/>
  <c r="T1117" i="47"/>
  <c r="U1116" i="47"/>
  <c r="T1116" i="47"/>
  <c r="U1115" i="47"/>
  <c r="T1115" i="47"/>
  <c r="U1114" i="47"/>
  <c r="T1114" i="47"/>
  <c r="U1113" i="47"/>
  <c r="T1113" i="47"/>
  <c r="U1112" i="47"/>
  <c r="T1112" i="47"/>
  <c r="V1112" i="47" s="1"/>
  <c r="U1111" i="47"/>
  <c r="T1111" i="47"/>
  <c r="V1111" i="47" s="1"/>
  <c r="U1110" i="47"/>
  <c r="T1110" i="47"/>
  <c r="U1109" i="47"/>
  <c r="T1109" i="47"/>
  <c r="U1108" i="47"/>
  <c r="T1108" i="47"/>
  <c r="U1107" i="47"/>
  <c r="T1107" i="47"/>
  <c r="U1106" i="47"/>
  <c r="T1106" i="47"/>
  <c r="U1105" i="47"/>
  <c r="T1105" i="47"/>
  <c r="U1104" i="47"/>
  <c r="T1104" i="47"/>
  <c r="U1103" i="47"/>
  <c r="T1103" i="47"/>
  <c r="V1103" i="47" s="1"/>
  <c r="U1102" i="47"/>
  <c r="T1102" i="47"/>
  <c r="U1101" i="47"/>
  <c r="T1101" i="47"/>
  <c r="U1100" i="47"/>
  <c r="T1100" i="47"/>
  <c r="U1099" i="47"/>
  <c r="T1099" i="47"/>
  <c r="U1098" i="47"/>
  <c r="T1098" i="47"/>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V976" i="47" s="1"/>
  <c r="U975" i="47"/>
  <c r="T975" i="47"/>
  <c r="U974" i="47"/>
  <c r="T974" i="47"/>
  <c r="U973" i="47"/>
  <c r="T973" i="47"/>
  <c r="V973" i="47" s="1"/>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N858" i="47"/>
  <c r="L858" i="47"/>
  <c r="K858" i="47"/>
  <c r="J858" i="47"/>
  <c r="I858" i="47"/>
  <c r="H858" i="47"/>
  <c r="G858" i="47"/>
  <c r="F858" i="47"/>
  <c r="E858" i="47"/>
  <c r="D858" i="47"/>
  <c r="B858" i="47"/>
  <c r="A858" i="47"/>
  <c r="M858" i="47" s="1"/>
  <c r="U857" i="47"/>
  <c r="T857" i="47"/>
  <c r="P857" i="47"/>
  <c r="F857" i="47"/>
  <c r="D857" i="47"/>
  <c r="O857" i="47" s="1"/>
  <c r="A857" i="47"/>
  <c r="U856" i="47"/>
  <c r="T856" i="47"/>
  <c r="D856" i="47"/>
  <c r="A856" i="47"/>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T850" i="47"/>
  <c r="P850" i="47"/>
  <c r="F850" i="47"/>
  <c r="E850" i="47"/>
  <c r="D850" i="47"/>
  <c r="C850" i="47"/>
  <c r="B850" i="47"/>
  <c r="A850" i="47"/>
  <c r="U849" i="47"/>
  <c r="T849" i="47"/>
  <c r="P849" i="47"/>
  <c r="N849" i="47"/>
  <c r="M849" i="47"/>
  <c r="L849" i="47"/>
  <c r="J849" i="47"/>
  <c r="I849" i="47"/>
  <c r="H849" i="47"/>
  <c r="G849" i="47"/>
  <c r="F849" i="47"/>
  <c r="E849" i="47"/>
  <c r="D849" i="47"/>
  <c r="O849" i="47" s="1"/>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U845" i="47"/>
  <c r="T845" i="47"/>
  <c r="P845" i="47"/>
  <c r="N845" i="47"/>
  <c r="M845" i="47"/>
  <c r="L845" i="47"/>
  <c r="J845" i="47"/>
  <c r="I845" i="47"/>
  <c r="H845" i="47"/>
  <c r="G845" i="47"/>
  <c r="F845" i="47"/>
  <c r="E845" i="47"/>
  <c r="D845" i="47"/>
  <c r="O845" i="47" s="1"/>
  <c r="C845" i="47"/>
  <c r="A845" i="47"/>
  <c r="B845" i="47" s="1"/>
  <c r="K845" i="47" s="1"/>
  <c r="U844" i="47"/>
  <c r="T844" i="47"/>
  <c r="V844" i="47" s="1"/>
  <c r="P844" i="47"/>
  <c r="D844" i="47"/>
  <c r="O844" i="47" s="1"/>
  <c r="C844" i="47"/>
  <c r="A844" i="47"/>
  <c r="U843" i="47"/>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F835" i="47"/>
  <c r="D835" i="47"/>
  <c r="O835" i="47" s="1"/>
  <c r="B835" i="47"/>
  <c r="A835" i="47"/>
  <c r="U834" i="47"/>
  <c r="T834" i="47"/>
  <c r="P834" i="47"/>
  <c r="Q834" i="47" s="1"/>
  <c r="L834" i="47"/>
  <c r="J834" i="47"/>
  <c r="I834" i="47"/>
  <c r="F834" i="47"/>
  <c r="E834" i="47"/>
  <c r="C834" i="47"/>
  <c r="A834" i="47"/>
  <c r="U833" i="47"/>
  <c r="T833" i="47"/>
  <c r="P833" i="47"/>
  <c r="N833" i="47"/>
  <c r="M833" i="47"/>
  <c r="L833" i="47"/>
  <c r="K833" i="47"/>
  <c r="I833" i="47"/>
  <c r="H833" i="47"/>
  <c r="G833" i="47"/>
  <c r="F833" i="47"/>
  <c r="J833" i="47" s="1"/>
  <c r="E833" i="47"/>
  <c r="D833" i="47"/>
  <c r="O833" i="47" s="1"/>
  <c r="C833" i="47"/>
  <c r="A833" i="47"/>
  <c r="B833" i="47" s="1"/>
  <c r="U832" i="47"/>
  <c r="T832" i="47"/>
  <c r="A832" i="47"/>
  <c r="U831" i="47"/>
  <c r="T831" i="47"/>
  <c r="A831" i="47"/>
  <c r="U830" i="47"/>
  <c r="T830" i="47"/>
  <c r="A830" i="47"/>
  <c r="U829" i="47"/>
  <c r="T829" i="47"/>
  <c r="P829" i="47"/>
  <c r="N829" i="47"/>
  <c r="M829" i="47"/>
  <c r="L829" i="47"/>
  <c r="K829" i="47"/>
  <c r="H829" i="47"/>
  <c r="G829" i="47"/>
  <c r="F829" i="47"/>
  <c r="J829" i="47" s="1"/>
  <c r="E829" i="47"/>
  <c r="D829" i="47"/>
  <c r="O829" i="47" s="1"/>
  <c r="C829" i="47"/>
  <c r="A829" i="47"/>
  <c r="B829" i="47" s="1"/>
  <c r="I829" i="47" s="1"/>
  <c r="U828" i="47"/>
  <c r="T828" i="47"/>
  <c r="Q828" i="47"/>
  <c r="P828" i="47"/>
  <c r="N828" i="47"/>
  <c r="L828" i="47"/>
  <c r="I828" i="47"/>
  <c r="C828" i="47"/>
  <c r="B828" i="47"/>
  <c r="A828" i="47"/>
  <c r="U827" i="47"/>
  <c r="T827" i="47"/>
  <c r="P827" i="47"/>
  <c r="D827" i="47"/>
  <c r="B827" i="47"/>
  <c r="A827" i="47"/>
  <c r="U826" i="47"/>
  <c r="T826" i="47"/>
  <c r="P826" i="47"/>
  <c r="Q826" i="47" s="1"/>
  <c r="F826" i="47"/>
  <c r="D826" i="47"/>
  <c r="O826" i="47" s="1"/>
  <c r="C826" i="47"/>
  <c r="B826" i="47"/>
  <c r="A826" i="47"/>
  <c r="U825" i="47"/>
  <c r="T825" i="47"/>
  <c r="P825" i="47"/>
  <c r="F825" i="47"/>
  <c r="D825" i="47"/>
  <c r="O825" i="47" s="1"/>
  <c r="C825" i="47"/>
  <c r="A825" i="47"/>
  <c r="B825" i="47" s="1"/>
  <c r="U824" i="47"/>
  <c r="T824" i="47"/>
  <c r="P824" i="47"/>
  <c r="D824" i="47"/>
  <c r="Q824" i="47" s="1"/>
  <c r="B824" i="47"/>
  <c r="A824" i="47"/>
  <c r="U823" i="47"/>
  <c r="T823" i="47"/>
  <c r="F823" i="47"/>
  <c r="D823" i="47"/>
  <c r="O823" i="47" s="1"/>
  <c r="A823" i="47"/>
  <c r="U822" i="47"/>
  <c r="T822" i="47"/>
  <c r="A822" i="47"/>
  <c r="U821" i="47"/>
  <c r="T821" i="47"/>
  <c r="P821" i="47"/>
  <c r="N821" i="47"/>
  <c r="L821" i="47"/>
  <c r="K821" i="47"/>
  <c r="J821" i="47"/>
  <c r="I821" i="47"/>
  <c r="H821" i="47"/>
  <c r="G821" i="47"/>
  <c r="F821" i="47"/>
  <c r="E821" i="47"/>
  <c r="D821" i="47"/>
  <c r="O821" i="47" s="1"/>
  <c r="C821" i="47"/>
  <c r="A821" i="47"/>
  <c r="B821" i="47" s="1"/>
  <c r="M821" i="47" s="1"/>
  <c r="U820" i="47"/>
  <c r="T820" i="47"/>
  <c r="P820" i="47"/>
  <c r="N820" i="47"/>
  <c r="L820" i="47"/>
  <c r="I820" i="47"/>
  <c r="H820" i="47"/>
  <c r="C820" i="47"/>
  <c r="B820" i="47"/>
  <c r="A820" i="47"/>
  <c r="U819" i="47"/>
  <c r="T819" i="47"/>
  <c r="P819" i="47"/>
  <c r="D819" i="47"/>
  <c r="B819" i="47"/>
  <c r="A819" i="47"/>
  <c r="U818" i="47"/>
  <c r="T818" i="47"/>
  <c r="F818" i="47"/>
  <c r="A818" i="47"/>
  <c r="U817" i="47"/>
  <c r="T817" i="47"/>
  <c r="P817" i="47"/>
  <c r="M817" i="47"/>
  <c r="L817" i="47"/>
  <c r="F817" i="47"/>
  <c r="E817" i="47"/>
  <c r="D817" i="47"/>
  <c r="O817" i="47" s="1"/>
  <c r="C817" i="47"/>
  <c r="A817" i="47"/>
  <c r="B817" i="47" s="1"/>
  <c r="U816" i="47"/>
  <c r="T816" i="47"/>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T807" i="47"/>
  <c r="A807" i="47"/>
  <c r="U806" i="47"/>
  <c r="T806" i="47"/>
  <c r="P806" i="47"/>
  <c r="Q806" i="47" s="1"/>
  <c r="D806" i="47"/>
  <c r="O806" i="47" s="1"/>
  <c r="B806" i="47"/>
  <c r="A806" i="47"/>
  <c r="U805" i="47"/>
  <c r="T805" i="47"/>
  <c r="P805" i="47"/>
  <c r="L805" i="47"/>
  <c r="F805" i="47"/>
  <c r="D805" i="47"/>
  <c r="C805" i="47"/>
  <c r="B805" i="47"/>
  <c r="K805" i="47" s="1"/>
  <c r="A805" i="47"/>
  <c r="U804" i="47"/>
  <c r="T804" i="47"/>
  <c r="F804" i="47"/>
  <c r="A804" i="47"/>
  <c r="U803" i="47"/>
  <c r="T803" i="47"/>
  <c r="A803" i="47"/>
  <c r="U802" i="47"/>
  <c r="T802" i="47"/>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T799" i="47"/>
  <c r="Q799" i="47"/>
  <c r="P799" i="47"/>
  <c r="M799" i="47"/>
  <c r="J799" i="47"/>
  <c r="D799" i="47"/>
  <c r="C799" i="47"/>
  <c r="A799" i="47"/>
  <c r="U798" i="47"/>
  <c r="T798" i="47"/>
  <c r="P798" i="47"/>
  <c r="Q798" i="47" s="1"/>
  <c r="D798" i="47"/>
  <c r="B798" i="47"/>
  <c r="A798" i="47"/>
  <c r="U797" i="47"/>
  <c r="T797" i="47"/>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C772" i="47"/>
  <c r="I772" i="47" s="1"/>
  <c r="A772" i="47"/>
  <c r="U771" i="47"/>
  <c r="T771" i="47"/>
  <c r="P771" i="47"/>
  <c r="F771" i="47"/>
  <c r="D771" i="47"/>
  <c r="C771" i="47"/>
  <c r="A771" i="47"/>
  <c r="U770" i="47"/>
  <c r="T770" i="47"/>
  <c r="P770" i="47"/>
  <c r="D770" i="47"/>
  <c r="O770" i="47" s="1"/>
  <c r="A770" i="47"/>
  <c r="U769" i="47"/>
  <c r="T769" i="47"/>
  <c r="P769" i="47"/>
  <c r="N769" i="47"/>
  <c r="M769" i="47"/>
  <c r="L769" i="47"/>
  <c r="K769" i="47"/>
  <c r="I769" i="47"/>
  <c r="H769" i="47"/>
  <c r="F769" i="47"/>
  <c r="E769" i="47"/>
  <c r="D769" i="47"/>
  <c r="O769" i="47" s="1"/>
  <c r="C769" i="47"/>
  <c r="B769" i="47"/>
  <c r="A769" i="47"/>
  <c r="J769" i="47" s="1"/>
  <c r="U768" i="47"/>
  <c r="T768" i="47"/>
  <c r="A768" i="47"/>
  <c r="U767" i="47"/>
  <c r="T767" i="47"/>
  <c r="P767" i="47"/>
  <c r="M767" i="47"/>
  <c r="H767" i="47"/>
  <c r="C767" i="47"/>
  <c r="A767" i="47"/>
  <c r="U766" i="47"/>
  <c r="T766" i="47"/>
  <c r="P766" i="47"/>
  <c r="B766" i="47"/>
  <c r="A766" i="47"/>
  <c r="U765" i="47"/>
  <c r="T765" i="47"/>
  <c r="P765" i="47"/>
  <c r="M765" i="47"/>
  <c r="L765" i="47"/>
  <c r="K765" i="47"/>
  <c r="I765" i="47"/>
  <c r="F765" i="47"/>
  <c r="D765" i="47"/>
  <c r="O765" i="47" s="1"/>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A760" i="47"/>
  <c r="U759" i="47"/>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A755" i="47"/>
  <c r="U754" i="47"/>
  <c r="T754" i="47"/>
  <c r="A754" i="47"/>
  <c r="U753" i="47"/>
  <c r="T753" i="47"/>
  <c r="A753" i="47"/>
  <c r="U752" i="47"/>
  <c r="T752" i="47"/>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T744" i="47"/>
  <c r="F744" i="47"/>
  <c r="E744" i="47"/>
  <c r="D744" i="47"/>
  <c r="O744" i="47" s="1"/>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F740" i="47"/>
  <c r="D740" i="47"/>
  <c r="O740" i="47" s="1"/>
  <c r="C740" i="47"/>
  <c r="A740" i="47"/>
  <c r="B740" i="47" s="1"/>
  <c r="U739" i="47"/>
  <c r="T739" i="47"/>
  <c r="M739" i="47"/>
  <c r="C739" i="47"/>
  <c r="N739" i="47" s="1"/>
  <c r="A739" i="47"/>
  <c r="U738" i="47"/>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P728" i="47"/>
  <c r="A728" i="47"/>
  <c r="U727" i="47"/>
  <c r="T727" i="47"/>
  <c r="P727" i="47"/>
  <c r="F727" i="47"/>
  <c r="D727" i="47"/>
  <c r="Q727" i="47" s="1"/>
  <c r="B727" i="47"/>
  <c r="A727" i="47"/>
  <c r="U726" i="47"/>
  <c r="T726" i="47"/>
  <c r="G726" i="47"/>
  <c r="E726" i="47"/>
  <c r="C726" i="47"/>
  <c r="B726" i="47"/>
  <c r="A726" i="47"/>
  <c r="U725" i="47"/>
  <c r="T725" i="47"/>
  <c r="A725" i="47"/>
  <c r="U724" i="47"/>
  <c r="T724" i="47"/>
  <c r="P724" i="47"/>
  <c r="F724" i="47"/>
  <c r="D724" i="47"/>
  <c r="O724" i="47" s="1"/>
  <c r="A724" i="47"/>
  <c r="U723" i="47"/>
  <c r="T723" i="47"/>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F719" i="47"/>
  <c r="D719" i="47"/>
  <c r="O719" i="47" s="1"/>
  <c r="B719" i="47"/>
  <c r="A719" i="47"/>
  <c r="U718" i="47"/>
  <c r="T718" i="47"/>
  <c r="D718" i="47"/>
  <c r="O718" i="47" s="1"/>
  <c r="A718" i="47"/>
  <c r="U717" i="47"/>
  <c r="T717" i="47"/>
  <c r="A717" i="47"/>
  <c r="U716" i="47"/>
  <c r="T716" i="47"/>
  <c r="P716" i="47"/>
  <c r="Q716" i="47" s="1"/>
  <c r="F716" i="47"/>
  <c r="D716" i="47"/>
  <c r="O716" i="47" s="1"/>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H711" i="47"/>
  <c r="G711" i="47"/>
  <c r="F711" i="47"/>
  <c r="E711" i="47"/>
  <c r="D711" i="47"/>
  <c r="O711" i="47" s="1"/>
  <c r="C711" i="47"/>
  <c r="I711" i="47" s="1"/>
  <c r="B711" i="47"/>
  <c r="A711" i="47"/>
  <c r="U710" i="47"/>
  <c r="T710" i="47"/>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U696" i="47"/>
  <c r="T696" i="47"/>
  <c r="C696" i="47"/>
  <c r="A696" i="47"/>
  <c r="P696" i="47" s="1"/>
  <c r="Q696" i="47" s="1"/>
  <c r="U695" i="47"/>
  <c r="T695" i="47"/>
  <c r="A695" i="47"/>
  <c r="U694" i="47"/>
  <c r="T694" i="47"/>
  <c r="P694" i="47"/>
  <c r="M694" i="47"/>
  <c r="K694" i="47"/>
  <c r="J694" i="47"/>
  <c r="I694" i="47"/>
  <c r="E694" i="47"/>
  <c r="D694" i="47"/>
  <c r="O694" i="47" s="1"/>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A687" i="47"/>
  <c r="U686" i="47"/>
  <c r="T686" i="47"/>
  <c r="P686" i="47"/>
  <c r="M686" i="47"/>
  <c r="G686" i="47"/>
  <c r="D686" i="47"/>
  <c r="O686" i="47" s="1"/>
  <c r="C686" i="47"/>
  <c r="K686" i="47" s="1"/>
  <c r="B686" i="47"/>
  <c r="A686" i="47"/>
  <c r="U685" i="47"/>
  <c r="T685" i="47"/>
  <c r="F685" i="47"/>
  <c r="C685" i="47"/>
  <c r="I685" i="47" s="1"/>
  <c r="A685" i="47"/>
  <c r="U684" i="47"/>
  <c r="T684" i="47"/>
  <c r="P684" i="47"/>
  <c r="B684" i="47"/>
  <c r="A684" i="47"/>
  <c r="U683" i="47"/>
  <c r="T683" i="47"/>
  <c r="D683" i="47"/>
  <c r="O683" i="47" s="1"/>
  <c r="C683" i="47"/>
  <c r="B683" i="47"/>
  <c r="A683" i="47"/>
  <c r="U682" i="47"/>
  <c r="T682" i="47"/>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D677" i="47"/>
  <c r="O677" i="47" s="1"/>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P672" i="47"/>
  <c r="B672" i="47"/>
  <c r="A672" i="47"/>
  <c r="D672" i="47" s="1"/>
  <c r="O672" i="47" s="1"/>
  <c r="U671" i="47"/>
  <c r="T671" i="47"/>
  <c r="A671" i="47"/>
  <c r="U670" i="47"/>
  <c r="T670" i="47"/>
  <c r="A670" i="47"/>
  <c r="U669" i="47"/>
  <c r="T669" i="47"/>
  <c r="P669" i="47"/>
  <c r="L669" i="47"/>
  <c r="K669" i="47"/>
  <c r="J669" i="47"/>
  <c r="I669" i="47"/>
  <c r="F669" i="47"/>
  <c r="D669" i="47"/>
  <c r="Q669" i="47" s="1"/>
  <c r="C669" i="47"/>
  <c r="H669" i="47" s="1"/>
  <c r="B669" i="47"/>
  <c r="A669" i="47"/>
  <c r="U668" i="47"/>
  <c r="T668" i="47"/>
  <c r="P668" i="47"/>
  <c r="N668" i="47"/>
  <c r="M668" i="47"/>
  <c r="L668" i="47"/>
  <c r="J668" i="47"/>
  <c r="I668" i="47"/>
  <c r="H668" i="47"/>
  <c r="G668" i="47"/>
  <c r="F668" i="47"/>
  <c r="E668" i="47"/>
  <c r="D668" i="47"/>
  <c r="O668" i="47" s="1"/>
  <c r="C668" i="47"/>
  <c r="B668" i="47"/>
  <c r="K668" i="47" s="1"/>
  <c r="A668" i="47"/>
  <c r="U667" i="47"/>
  <c r="T667" i="47"/>
  <c r="A667" i="47"/>
  <c r="U666" i="47"/>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U660" i="47"/>
  <c r="T660" i="47"/>
  <c r="P660" i="47"/>
  <c r="N660" i="47"/>
  <c r="M660" i="47"/>
  <c r="L660" i="47"/>
  <c r="K660" i="47"/>
  <c r="J660" i="47"/>
  <c r="I660" i="47"/>
  <c r="H660" i="47"/>
  <c r="G660" i="47"/>
  <c r="F660" i="47"/>
  <c r="E660" i="47"/>
  <c r="D660" i="47"/>
  <c r="O660" i="47" s="1"/>
  <c r="C660" i="47"/>
  <c r="B660" i="47"/>
  <c r="A660" i="47"/>
  <c r="U659" i="47"/>
  <c r="T659" i="47"/>
  <c r="C659" i="47"/>
  <c r="B659" i="47"/>
  <c r="A659" i="47"/>
  <c r="U658" i="47"/>
  <c r="T658" i="47"/>
  <c r="P658" i="47"/>
  <c r="N658" i="47"/>
  <c r="K658" i="47"/>
  <c r="F658" i="47"/>
  <c r="E658" i="47"/>
  <c r="D658" i="47"/>
  <c r="O658" i="47" s="1"/>
  <c r="C658" i="47"/>
  <c r="M658" i="47" s="1"/>
  <c r="A658" i="47"/>
  <c r="U657" i="47"/>
  <c r="T657" i="47"/>
  <c r="B657" i="47"/>
  <c r="A657" i="47"/>
  <c r="P657" i="47" s="1"/>
  <c r="Q657" i="47" s="1"/>
  <c r="U656" i="47"/>
  <c r="T656" i="47"/>
  <c r="P656" i="47"/>
  <c r="F656" i="47"/>
  <c r="E656" i="47"/>
  <c r="D656" i="47"/>
  <c r="O656" i="47" s="1"/>
  <c r="C656" i="47"/>
  <c r="B656" i="47"/>
  <c r="A656" i="47"/>
  <c r="U655" i="47"/>
  <c r="T655" i="47"/>
  <c r="P655" i="47"/>
  <c r="Q655" i="47" s="1"/>
  <c r="N655" i="47"/>
  <c r="H655" i="47"/>
  <c r="G655" i="47"/>
  <c r="F655" i="47"/>
  <c r="C655" i="47"/>
  <c r="M655" i="47" s="1"/>
  <c r="A655" i="47"/>
  <c r="U654" i="47"/>
  <c r="T654" i="47"/>
  <c r="B654" i="47"/>
  <c r="A654" i="47"/>
  <c r="U653" i="47"/>
  <c r="T653" i="47"/>
  <c r="Q653" i="47"/>
  <c r="P653" i="47"/>
  <c r="F653" i="47"/>
  <c r="D653" i="47"/>
  <c r="O653" i="47" s="1"/>
  <c r="C653" i="47"/>
  <c r="B653" i="47"/>
  <c r="A653" i="47"/>
  <c r="U652" i="47"/>
  <c r="T652" i="47"/>
  <c r="P652" i="47"/>
  <c r="N652" i="47"/>
  <c r="M652" i="47"/>
  <c r="L652" i="47"/>
  <c r="K652" i="47"/>
  <c r="I652" i="47"/>
  <c r="H652" i="47"/>
  <c r="G652" i="47"/>
  <c r="F652" i="47"/>
  <c r="J652" i="47" s="1"/>
  <c r="E652" i="47"/>
  <c r="D652" i="47"/>
  <c r="O652" i="47" s="1"/>
  <c r="C652" i="47"/>
  <c r="B652" i="47"/>
  <c r="A652" i="47"/>
  <c r="U651" i="47"/>
  <c r="T651" i="47"/>
  <c r="P651" i="47"/>
  <c r="D651" i="47"/>
  <c r="C651" i="47"/>
  <c r="B651" i="47"/>
  <c r="A651" i="47"/>
  <c r="Q651" i="47" s="1"/>
  <c r="U650" i="47"/>
  <c r="T650" i="47"/>
  <c r="P650" i="47"/>
  <c r="F650" i="47"/>
  <c r="D650" i="47"/>
  <c r="O650" i="47" s="1"/>
  <c r="B650" i="47"/>
  <c r="A650" i="47"/>
  <c r="U649" i="47"/>
  <c r="T649" i="47"/>
  <c r="A649" i="47"/>
  <c r="U648" i="47"/>
  <c r="T648" i="47"/>
  <c r="P648" i="47"/>
  <c r="K648" i="47"/>
  <c r="F648" i="47"/>
  <c r="D648" i="47"/>
  <c r="O648" i="47" s="1"/>
  <c r="C648" i="47"/>
  <c r="B648" i="47"/>
  <c r="A648" i="47"/>
  <c r="U647" i="47"/>
  <c r="T647" i="47"/>
  <c r="P647" i="47"/>
  <c r="L647" i="47"/>
  <c r="K647" i="47"/>
  <c r="J647" i="47"/>
  <c r="I647" i="47"/>
  <c r="H647" i="47"/>
  <c r="G647" i="47"/>
  <c r="F647" i="47"/>
  <c r="N647" i="47" s="1"/>
  <c r="D647" i="47"/>
  <c r="Q647" i="47" s="1"/>
  <c r="C647" i="47"/>
  <c r="B647" i="47"/>
  <c r="M647" i="47" s="1"/>
  <c r="A647" i="47"/>
  <c r="U646" i="47"/>
  <c r="T646" i="47"/>
  <c r="A646" i="47"/>
  <c r="U645" i="47"/>
  <c r="T645" i="47"/>
  <c r="A645" i="47"/>
  <c r="U644" i="47"/>
  <c r="T644" i="47"/>
  <c r="P644" i="47"/>
  <c r="M644" i="47"/>
  <c r="I644" i="47"/>
  <c r="H644" i="47"/>
  <c r="G644" i="47"/>
  <c r="F644" i="47"/>
  <c r="N644" i="47" s="1"/>
  <c r="D644" i="47"/>
  <c r="O644" i="47" s="1"/>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N634" i="47"/>
  <c r="F634" i="47"/>
  <c r="D634" i="47"/>
  <c r="O634" i="47" s="1"/>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F630" i="47"/>
  <c r="D630" i="47"/>
  <c r="O630" i="47" s="1"/>
  <c r="C630" i="47"/>
  <c r="A630" i="47"/>
  <c r="B630" i="47" s="1"/>
  <c r="U629" i="47"/>
  <c r="T629" i="47"/>
  <c r="B629" i="47"/>
  <c r="A629" i="47"/>
  <c r="U628" i="47"/>
  <c r="T628" i="47"/>
  <c r="P628" i="47"/>
  <c r="N628" i="47"/>
  <c r="M628" i="47"/>
  <c r="L628" i="47"/>
  <c r="K628" i="47"/>
  <c r="F628" i="47"/>
  <c r="E628" i="47"/>
  <c r="D628" i="47"/>
  <c r="O628" i="47" s="1"/>
  <c r="C628" i="47"/>
  <c r="B628" i="47"/>
  <c r="G628" i="47" s="1"/>
  <c r="A628" i="47"/>
  <c r="J628" i="47" s="1"/>
  <c r="U627" i="47"/>
  <c r="T627" i="47"/>
  <c r="B627" i="47"/>
  <c r="A627" i="47"/>
  <c r="U626" i="47"/>
  <c r="T626" i="47"/>
  <c r="N626" i="47"/>
  <c r="M626" i="47"/>
  <c r="F626" i="47"/>
  <c r="E626" i="47"/>
  <c r="D626" i="47"/>
  <c r="O626" i="47" s="1"/>
  <c r="C626" i="47"/>
  <c r="B626" i="47"/>
  <c r="A626" i="47"/>
  <c r="U625" i="47"/>
  <c r="T625" i="47"/>
  <c r="B625" i="47"/>
  <c r="A625" i="47"/>
  <c r="P625" i="47" s="1"/>
  <c r="Q625" i="47" s="1"/>
  <c r="U624" i="47"/>
  <c r="T624" i="47"/>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T618" i="47"/>
  <c r="F618" i="47"/>
  <c r="D618" i="47"/>
  <c r="O618" i="47" s="1"/>
  <c r="C618" i="47"/>
  <c r="B618" i="47"/>
  <c r="A618" i="47"/>
  <c r="U617" i="47"/>
  <c r="T617" i="47"/>
  <c r="P617" i="47"/>
  <c r="A617" i="47"/>
  <c r="U616" i="47"/>
  <c r="T616" i="47"/>
  <c r="P616" i="47"/>
  <c r="N616" i="47"/>
  <c r="M616" i="47"/>
  <c r="L616" i="47"/>
  <c r="K616" i="47"/>
  <c r="G616" i="47"/>
  <c r="F616" i="47"/>
  <c r="E616" i="47"/>
  <c r="D616" i="47"/>
  <c r="O616" i="47" s="1"/>
  <c r="C616" i="47"/>
  <c r="J616" i="47" s="1"/>
  <c r="B616" i="47"/>
  <c r="A616" i="47"/>
  <c r="I616" i="47" s="1"/>
  <c r="U615" i="47"/>
  <c r="T615" i="47"/>
  <c r="P615" i="47"/>
  <c r="A615" i="47"/>
  <c r="U614" i="47"/>
  <c r="T614" i="47"/>
  <c r="N614" i="47"/>
  <c r="M614" i="47"/>
  <c r="L614" i="47"/>
  <c r="H614" i="47"/>
  <c r="F614" i="47"/>
  <c r="E614" i="47"/>
  <c r="D614" i="47"/>
  <c r="O614" i="47" s="1"/>
  <c r="C614" i="47"/>
  <c r="I614" i="47" s="1"/>
  <c r="B614" i="47"/>
  <c r="A614" i="47"/>
  <c r="U613" i="47"/>
  <c r="T613" i="47"/>
  <c r="P613" i="47"/>
  <c r="A613" i="47"/>
  <c r="Q613" i="47" s="1"/>
  <c r="U612" i="47"/>
  <c r="T612" i="47"/>
  <c r="P612" i="47"/>
  <c r="N612" i="47"/>
  <c r="F612" i="47"/>
  <c r="D612" i="47"/>
  <c r="O612" i="47" s="1"/>
  <c r="C612" i="47"/>
  <c r="J612" i="47" s="1"/>
  <c r="B612" i="47"/>
  <c r="A612" i="47"/>
  <c r="I612" i="47" s="1"/>
  <c r="U611" i="47"/>
  <c r="T611" i="47"/>
  <c r="P611" i="47"/>
  <c r="D611" i="47"/>
  <c r="O611" i="47" s="1"/>
  <c r="A611" i="47"/>
  <c r="U610" i="47"/>
  <c r="T610" i="47"/>
  <c r="N610" i="47"/>
  <c r="M610" i="47"/>
  <c r="L610" i="47"/>
  <c r="F610" i="47"/>
  <c r="H610" i="47" s="1"/>
  <c r="E610" i="47"/>
  <c r="D610" i="47"/>
  <c r="O610" i="47" s="1"/>
  <c r="C610" i="47"/>
  <c r="I610" i="47" s="1"/>
  <c r="B610" i="47"/>
  <c r="A610" i="47"/>
  <c r="U609" i="47"/>
  <c r="T609" i="47"/>
  <c r="P609" i="47"/>
  <c r="F609" i="47"/>
  <c r="B609" i="47"/>
  <c r="A609" i="47"/>
  <c r="U608" i="47"/>
  <c r="T608" i="47"/>
  <c r="P608" i="47"/>
  <c r="F608" i="47"/>
  <c r="E608" i="47"/>
  <c r="D608" i="47"/>
  <c r="O608" i="47" s="1"/>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J598" i="47"/>
  <c r="F598" i="47"/>
  <c r="D598" i="47"/>
  <c r="O598" i="47" s="1"/>
  <c r="C598" i="47"/>
  <c r="B598" i="47"/>
  <c r="A598" i="47"/>
  <c r="U597" i="47"/>
  <c r="T597" i="47"/>
  <c r="P597" i="47"/>
  <c r="F597" i="47"/>
  <c r="A597" i="47"/>
  <c r="D597" i="47" s="1"/>
  <c r="U596" i="47"/>
  <c r="T596" i="47"/>
  <c r="P596" i="47"/>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P593" i="47"/>
  <c r="A593" i="47"/>
  <c r="D593" i="47" s="1"/>
  <c r="Q593" i="47" s="1"/>
  <c r="U592" i="47"/>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Q586" i="47"/>
  <c r="L586" i="47"/>
  <c r="K586" i="47"/>
  <c r="J586" i="47"/>
  <c r="E586" i="47"/>
  <c r="D586" i="47"/>
  <c r="C586" i="47"/>
  <c r="A586" i="47"/>
  <c r="P586" i="47" s="1"/>
  <c r="U585" i="47"/>
  <c r="T585" i="47"/>
  <c r="H585" i="47"/>
  <c r="G585" i="47"/>
  <c r="F585" i="47"/>
  <c r="N585" i="47" s="1"/>
  <c r="C585" i="47"/>
  <c r="B585" i="47"/>
  <c r="M585" i="47" s="1"/>
  <c r="A585" i="47"/>
  <c r="D585" i="47" s="1"/>
  <c r="O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L577" i="47"/>
  <c r="I577" i="47"/>
  <c r="G577" i="47"/>
  <c r="F577" i="47"/>
  <c r="E577" i="47"/>
  <c r="C577" i="47"/>
  <c r="K577" i="47" s="1"/>
  <c r="B577" i="47"/>
  <c r="A577" i="47"/>
  <c r="D577" i="47" s="1"/>
  <c r="O577" i="47" s="1"/>
  <c r="U576" i="47"/>
  <c r="T576" i="47"/>
  <c r="P576" i="47"/>
  <c r="F576" i="47"/>
  <c r="D576" i="47"/>
  <c r="O576" i="47" s="1"/>
  <c r="B576" i="47"/>
  <c r="A576" i="47"/>
  <c r="U575" i="47"/>
  <c r="T575" i="47"/>
  <c r="B575" i="47"/>
  <c r="A575" i="47"/>
  <c r="U574" i="47"/>
  <c r="T574" i="47"/>
  <c r="F574" i="47"/>
  <c r="B574" i="47"/>
  <c r="A574" i="47"/>
  <c r="U573" i="47"/>
  <c r="T573" i="47"/>
  <c r="P573" i="47"/>
  <c r="A573" i="47"/>
  <c r="U572" i="47"/>
  <c r="T572" i="47"/>
  <c r="A572" i="47"/>
  <c r="U571" i="47"/>
  <c r="T571" i="47"/>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N565" i="47"/>
  <c r="K565" i="47"/>
  <c r="I565" i="47"/>
  <c r="F565" i="47"/>
  <c r="H565" i="47" s="1"/>
  <c r="E565" i="47"/>
  <c r="C565" i="47"/>
  <c r="B565" i="47"/>
  <c r="A565" i="47"/>
  <c r="D565" i="47" s="1"/>
  <c r="O565" i="47" s="1"/>
  <c r="U564" i="47"/>
  <c r="T564" i="47"/>
  <c r="A564" i="47"/>
  <c r="U563" i="47"/>
  <c r="T563" i="47"/>
  <c r="P563" i="47"/>
  <c r="N563" i="47"/>
  <c r="K563" i="47"/>
  <c r="J563" i="47"/>
  <c r="I563" i="47"/>
  <c r="F563" i="47"/>
  <c r="D563" i="47"/>
  <c r="O563" i="47" s="1"/>
  <c r="C563" i="47"/>
  <c r="B563" i="47"/>
  <c r="A563" i="47"/>
  <c r="U562" i="47"/>
  <c r="T562" i="47"/>
  <c r="A562" i="47"/>
  <c r="U561" i="47"/>
  <c r="T561" i="47"/>
  <c r="P561" i="47"/>
  <c r="Q561" i="47" s="1"/>
  <c r="J561" i="47"/>
  <c r="I561" i="47"/>
  <c r="H561" i="47"/>
  <c r="F561" i="47"/>
  <c r="C561" i="47"/>
  <c r="B561" i="47"/>
  <c r="A561" i="47"/>
  <c r="D561" i="47" s="1"/>
  <c r="O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P549" i="47"/>
  <c r="F549" i="47"/>
  <c r="D549" i="47"/>
  <c r="O549" i="47" s="1"/>
  <c r="C549" i="47"/>
  <c r="B549" i="47"/>
  <c r="A549" i="47"/>
  <c r="U548" i="47"/>
  <c r="T548" i="47"/>
  <c r="F548" i="47"/>
  <c r="D548" i="47"/>
  <c r="O548" i="47" s="1"/>
  <c r="C548" i="47"/>
  <c r="B548" i="47"/>
  <c r="A548" i="47"/>
  <c r="U547" i="47"/>
  <c r="T547" i="47"/>
  <c r="F547" i="47"/>
  <c r="C547" i="47"/>
  <c r="A547" i="47"/>
  <c r="U546" i="47"/>
  <c r="T546" i="47"/>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K538" i="47"/>
  <c r="J538" i="47"/>
  <c r="E538" i="47"/>
  <c r="D538" i="47"/>
  <c r="O538" i="47" s="1"/>
  <c r="C538" i="47"/>
  <c r="A538" i="47"/>
  <c r="U537" i="47"/>
  <c r="T537" i="47"/>
  <c r="P537" i="47"/>
  <c r="F537" i="47"/>
  <c r="D537" i="47"/>
  <c r="B537" i="47"/>
  <c r="A537" i="47"/>
  <c r="U536" i="47"/>
  <c r="T536" i="47"/>
  <c r="J536" i="47"/>
  <c r="I536" i="47"/>
  <c r="H536" i="47"/>
  <c r="G536" i="47"/>
  <c r="F536" i="47"/>
  <c r="E536" i="47"/>
  <c r="D536" i="47"/>
  <c r="O536" i="47" s="1"/>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F533" i="47"/>
  <c r="D533" i="47"/>
  <c r="Q533" i="47" s="1"/>
  <c r="B533" i="47"/>
  <c r="A533" i="47"/>
  <c r="U532" i="47"/>
  <c r="T532" i="47"/>
  <c r="M532" i="47"/>
  <c r="L532" i="47"/>
  <c r="K532" i="47"/>
  <c r="J532" i="47"/>
  <c r="I532" i="47"/>
  <c r="H532" i="47"/>
  <c r="F532" i="47"/>
  <c r="E532" i="47"/>
  <c r="D532" i="47"/>
  <c r="O532" i="47" s="1"/>
  <c r="C532" i="47"/>
  <c r="G532" i="47" s="1"/>
  <c r="B532" i="47"/>
  <c r="A532" i="47"/>
  <c r="U531" i="47"/>
  <c r="T531" i="47"/>
  <c r="P531" i="47"/>
  <c r="A531" i="47"/>
  <c r="U530" i="47"/>
  <c r="T530" i="47"/>
  <c r="P530" i="47"/>
  <c r="N530" i="47"/>
  <c r="M530" i="47"/>
  <c r="L530" i="47"/>
  <c r="K530" i="47"/>
  <c r="J530" i="47"/>
  <c r="E530" i="47"/>
  <c r="D530" i="47"/>
  <c r="O530" i="47" s="1"/>
  <c r="C530" i="47"/>
  <c r="B530" i="47"/>
  <c r="G530" i="47" s="1"/>
  <c r="A530" i="47"/>
  <c r="U529" i="47"/>
  <c r="T529" i="47"/>
  <c r="P529" i="47"/>
  <c r="Q529" i="47" s="1"/>
  <c r="N529" i="47"/>
  <c r="K529" i="47"/>
  <c r="H529" i="47"/>
  <c r="F529" i="47"/>
  <c r="C529" i="47"/>
  <c r="G529" i="47" s="1"/>
  <c r="A529" i="47"/>
  <c r="U528" i="47"/>
  <c r="T528" i="47"/>
  <c r="M528" i="47"/>
  <c r="L528" i="47"/>
  <c r="K528" i="47"/>
  <c r="J528" i="47"/>
  <c r="I528" i="47"/>
  <c r="G528" i="47"/>
  <c r="F528" i="47"/>
  <c r="H528" i="47" s="1"/>
  <c r="E528" i="47"/>
  <c r="D528" i="47"/>
  <c r="O528" i="47" s="1"/>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F524" i="47"/>
  <c r="D524" i="47"/>
  <c r="O524" i="47" s="1"/>
  <c r="C524" i="47"/>
  <c r="B524" i="47"/>
  <c r="A524" i="47"/>
  <c r="U523" i="47"/>
  <c r="T523" i="47"/>
  <c r="F523" i="47"/>
  <c r="A523" i="47"/>
  <c r="U522" i="47"/>
  <c r="T522" i="47"/>
  <c r="A522" i="47"/>
  <c r="U521" i="47"/>
  <c r="T521" i="47"/>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F505" i="47"/>
  <c r="D505" i="47"/>
  <c r="O505" i="47" s="1"/>
  <c r="C505" i="47"/>
  <c r="K505" i="47" s="1"/>
  <c r="B505" i="47"/>
  <c r="A505" i="47"/>
  <c r="P505" i="47" s="1"/>
  <c r="U504" i="47"/>
  <c r="T504" i="47"/>
  <c r="A504" i="47"/>
  <c r="U503" i="47"/>
  <c r="T503" i="47"/>
  <c r="P503" i="47"/>
  <c r="F503" i="47"/>
  <c r="C503" i="47"/>
  <c r="A503" i="47"/>
  <c r="D503" i="47" s="1"/>
  <c r="O503" i="47" s="1"/>
  <c r="U502" i="47"/>
  <c r="T502" i="47"/>
  <c r="P502" i="47"/>
  <c r="B502" i="47"/>
  <c r="A502" i="47"/>
  <c r="U501" i="47"/>
  <c r="T501" i="47"/>
  <c r="D501" i="47"/>
  <c r="O501" i="47" s="1"/>
  <c r="B501" i="47"/>
  <c r="A501" i="47"/>
  <c r="U500" i="47"/>
  <c r="T500" i="47"/>
  <c r="F500" i="47"/>
  <c r="D500" i="47"/>
  <c r="B500" i="47"/>
  <c r="A500" i="47"/>
  <c r="U499" i="47"/>
  <c r="T499" i="47"/>
  <c r="F499" i="47"/>
  <c r="C499" i="47"/>
  <c r="B499" i="47"/>
  <c r="A499" i="47"/>
  <c r="D499" i="47" s="1"/>
  <c r="O499" i="47" s="1"/>
  <c r="U498" i="47"/>
  <c r="T498" i="47"/>
  <c r="A498" i="47"/>
  <c r="U497" i="47"/>
  <c r="T497" i="47"/>
  <c r="P497" i="47"/>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F485" i="47"/>
  <c r="H485" i="47" s="1"/>
  <c r="E485" i="47"/>
  <c r="D485" i="47"/>
  <c r="O485" i="47" s="1"/>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T482" i="47"/>
  <c r="P482" i="47"/>
  <c r="B482" i="47"/>
  <c r="A482" i="47"/>
  <c r="U481" i="47"/>
  <c r="T481" i="47"/>
  <c r="D481" i="47"/>
  <c r="O481" i="47" s="1"/>
  <c r="A481" i="47"/>
  <c r="U480" i="47"/>
  <c r="T480" i="47"/>
  <c r="P480" i="47"/>
  <c r="Q480" i="47" s="1"/>
  <c r="A480" i="47"/>
  <c r="U479" i="47"/>
  <c r="T479" i="47"/>
  <c r="P479" i="47"/>
  <c r="A479" i="47"/>
  <c r="U478" i="47"/>
  <c r="T478" i="47"/>
  <c r="A478" i="47"/>
  <c r="U477" i="47"/>
  <c r="T477" i="47"/>
  <c r="F477" i="47"/>
  <c r="D477" i="47"/>
  <c r="C477" i="47"/>
  <c r="A477" i="47"/>
  <c r="U476" i="47"/>
  <c r="T476" i="47"/>
  <c r="C476" i="47"/>
  <c r="A476" i="47"/>
  <c r="U475" i="47"/>
  <c r="T475" i="47"/>
  <c r="P475" i="47"/>
  <c r="I475" i="47"/>
  <c r="F475" i="47"/>
  <c r="E475" i="47"/>
  <c r="D475" i="47"/>
  <c r="O475" i="47" s="1"/>
  <c r="C475" i="47"/>
  <c r="L475" i="47" s="1"/>
  <c r="A475" i="47"/>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D471" i="47"/>
  <c r="O471" i="47" s="1"/>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U464" i="47"/>
  <c r="T464" i="47"/>
  <c r="A464" i="47"/>
  <c r="U463" i="47"/>
  <c r="T463" i="47"/>
  <c r="P463" i="47"/>
  <c r="N463" i="47"/>
  <c r="M463" i="47"/>
  <c r="L463" i="47"/>
  <c r="K463" i="47"/>
  <c r="F463" i="47"/>
  <c r="D463" i="47"/>
  <c r="O463" i="47" s="1"/>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F457" i="47"/>
  <c r="D457" i="47"/>
  <c r="O457" i="47" s="1"/>
  <c r="A457" i="47"/>
  <c r="U456" i="47"/>
  <c r="T456" i="47"/>
  <c r="P456" i="47"/>
  <c r="M456" i="47"/>
  <c r="K456" i="47"/>
  <c r="J456" i="47"/>
  <c r="I456" i="47"/>
  <c r="H456" i="47"/>
  <c r="G456" i="47"/>
  <c r="E456" i="47"/>
  <c r="C456" i="47"/>
  <c r="N456" i="47" s="1"/>
  <c r="B456" i="47"/>
  <c r="A456" i="47"/>
  <c r="U455" i="47"/>
  <c r="T455" i="47"/>
  <c r="A455" i="47"/>
  <c r="U454" i="47"/>
  <c r="T454" i="47"/>
  <c r="Q454" i="47"/>
  <c r="P454" i="47"/>
  <c r="M454" i="47"/>
  <c r="K454" i="47"/>
  <c r="J454" i="47"/>
  <c r="I454" i="47"/>
  <c r="H454" i="47"/>
  <c r="F454" i="47"/>
  <c r="D454" i="47"/>
  <c r="O454" i="47" s="1"/>
  <c r="C454" i="47"/>
  <c r="B454" i="47"/>
  <c r="A454" i="47"/>
  <c r="U453" i="47"/>
  <c r="T453" i="47"/>
  <c r="F453" i="47"/>
  <c r="A453" i="47"/>
  <c r="U452" i="47"/>
  <c r="T452" i="47"/>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N444" i="47"/>
  <c r="H444" i="47"/>
  <c r="G444" i="47"/>
  <c r="F444" i="47"/>
  <c r="E444" i="47"/>
  <c r="C444" i="47"/>
  <c r="B444" i="47"/>
  <c r="A444" i="47"/>
  <c r="D444" i="47" s="1"/>
  <c r="O444" i="47" s="1"/>
  <c r="U443" i="47"/>
  <c r="T443" i="47"/>
  <c r="Q443" i="47"/>
  <c r="P443" i="47"/>
  <c r="A443" i="47"/>
  <c r="U442" i="47"/>
  <c r="T442" i="47"/>
  <c r="P442" i="47"/>
  <c r="J442" i="47"/>
  <c r="I442" i="47"/>
  <c r="F442" i="47"/>
  <c r="D442" i="47"/>
  <c r="O442" i="47" s="1"/>
  <c r="C442" i="47"/>
  <c r="G442" i="47" s="1"/>
  <c r="B442" i="47"/>
  <c r="A442" i="47"/>
  <c r="U441" i="47"/>
  <c r="T441" i="47"/>
  <c r="F441" i="47"/>
  <c r="B441" i="47"/>
  <c r="A441" i="47"/>
  <c r="P441" i="47" s="1"/>
  <c r="U440" i="47"/>
  <c r="T440" i="47"/>
  <c r="P440" i="47"/>
  <c r="B440" i="47"/>
  <c r="A440" i="47"/>
  <c r="U439" i="47"/>
  <c r="T439" i="47"/>
  <c r="A439" i="47"/>
  <c r="U438" i="47"/>
  <c r="T438" i="47"/>
  <c r="P438" i="47"/>
  <c r="F438" i="47"/>
  <c r="D438" i="47"/>
  <c r="O438" i="47" s="1"/>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K430" i="47"/>
  <c r="G430" i="47"/>
  <c r="E430" i="47"/>
  <c r="D430" i="47"/>
  <c r="O430" i="47" s="1"/>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N424" i="47"/>
  <c r="M424" i="47"/>
  <c r="F424" i="47"/>
  <c r="C424" i="47"/>
  <c r="K424" i="47" s="1"/>
  <c r="B424" i="47"/>
  <c r="A424" i="47"/>
  <c r="D424" i="47" s="1"/>
  <c r="O424" i="47" s="1"/>
  <c r="U423" i="47"/>
  <c r="T423" i="47"/>
  <c r="P423" i="47"/>
  <c r="A423" i="47"/>
  <c r="Q423" i="47" s="1"/>
  <c r="U422" i="47"/>
  <c r="T422" i="47"/>
  <c r="P422" i="47"/>
  <c r="Q422" i="47" s="1"/>
  <c r="J422" i="47"/>
  <c r="F422" i="47"/>
  <c r="C422" i="47"/>
  <c r="N422" i="47" s="1"/>
  <c r="A422" i="47"/>
  <c r="U421" i="47"/>
  <c r="T421" i="47"/>
  <c r="A421" i="47"/>
  <c r="U420" i="47"/>
  <c r="T420" i="47"/>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D409" i="47"/>
  <c r="Q409" i="47" s="1"/>
  <c r="B409" i="47"/>
  <c r="A409" i="47"/>
  <c r="P409" i="47" s="1"/>
  <c r="U408" i="47"/>
  <c r="T408" i="47"/>
  <c r="P408" i="47"/>
  <c r="F408" i="47"/>
  <c r="D408" i="47"/>
  <c r="A408" i="47"/>
  <c r="C408" i="47" s="1"/>
  <c r="U407" i="47"/>
  <c r="T407" i="47"/>
  <c r="D407" i="47"/>
  <c r="A407" i="47"/>
  <c r="U406" i="47"/>
  <c r="T406" i="47"/>
  <c r="A406" i="47"/>
  <c r="U405" i="47"/>
  <c r="T405" i="47"/>
  <c r="P405" i="47"/>
  <c r="D405" i="47"/>
  <c r="A405" i="47"/>
  <c r="U404" i="47"/>
  <c r="T404" i="47"/>
  <c r="P404" i="47"/>
  <c r="M404" i="47"/>
  <c r="H404" i="47"/>
  <c r="F404" i="47"/>
  <c r="D404" i="47"/>
  <c r="A404" i="47"/>
  <c r="C404" i="47" s="1"/>
  <c r="I404" i="47" s="1"/>
  <c r="U403" i="47"/>
  <c r="T403" i="47"/>
  <c r="D403" i="47"/>
  <c r="A403" i="47"/>
  <c r="U402" i="47"/>
  <c r="T402" i="47"/>
  <c r="P402" i="47"/>
  <c r="A402" i="47"/>
  <c r="U401" i="47"/>
  <c r="T401" i="47"/>
  <c r="P401" i="47"/>
  <c r="B401" i="47"/>
  <c r="A401" i="47"/>
  <c r="U400" i="47"/>
  <c r="T400" i="47"/>
  <c r="P400" i="47"/>
  <c r="I400" i="47"/>
  <c r="H400" i="47"/>
  <c r="F400" i="47"/>
  <c r="E400" i="47"/>
  <c r="D400" i="47"/>
  <c r="A400" i="47"/>
  <c r="C400" i="47" s="1"/>
  <c r="G400" i="47" s="1"/>
  <c r="U399" i="47"/>
  <c r="T399" i="47"/>
  <c r="A399" i="47"/>
  <c r="U398" i="47"/>
  <c r="T398" i="47"/>
  <c r="P398" i="47"/>
  <c r="A398" i="47"/>
  <c r="U397" i="47"/>
  <c r="T397" i="47"/>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P393" i="47"/>
  <c r="D393" i="47"/>
  <c r="Q393" i="47" s="1"/>
  <c r="C393" i="47"/>
  <c r="L393" i="47" s="1"/>
  <c r="B393" i="47"/>
  <c r="A393" i="47"/>
  <c r="U392" i="47"/>
  <c r="T392" i="47"/>
  <c r="P392" i="47"/>
  <c r="F392" i="47"/>
  <c r="D392" i="47"/>
  <c r="A392" i="47"/>
  <c r="C392" i="47" s="1"/>
  <c r="M392" i="47" s="1"/>
  <c r="U391" i="47"/>
  <c r="T391" i="47"/>
  <c r="A391" i="47"/>
  <c r="U390" i="47"/>
  <c r="T390" i="47"/>
  <c r="A390" i="47"/>
  <c r="P390" i="47" s="1"/>
  <c r="U389" i="47"/>
  <c r="T389" i="47"/>
  <c r="D389" i="47"/>
  <c r="C389" i="47"/>
  <c r="L389" i="47" s="1"/>
  <c r="A389" i="47"/>
  <c r="P389" i="47" s="1"/>
  <c r="U388" i="47"/>
  <c r="T388" i="47"/>
  <c r="A388" i="47"/>
  <c r="U387" i="47"/>
  <c r="T387" i="47"/>
  <c r="A387" i="47"/>
  <c r="U386" i="47"/>
  <c r="T386" i="47"/>
  <c r="P386" i="47"/>
  <c r="A386" i="47"/>
  <c r="U385" i="47"/>
  <c r="T385" i="47"/>
  <c r="A385" i="47"/>
  <c r="P385" i="47" s="1"/>
  <c r="U384" i="47"/>
  <c r="T384" i="47"/>
  <c r="F384" i="47"/>
  <c r="A384" i="47"/>
  <c r="P384" i="47" s="1"/>
  <c r="Q384" i="47" s="1"/>
  <c r="U383" i="47"/>
  <c r="T383" i="47"/>
  <c r="A383" i="47"/>
  <c r="U382" i="47"/>
  <c r="T382" i="47"/>
  <c r="A382" i="47"/>
  <c r="U381" i="47"/>
  <c r="T381" i="47"/>
  <c r="P381" i="47"/>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D357" i="47"/>
  <c r="A357" i="47"/>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H350" i="47"/>
  <c r="F350" i="47"/>
  <c r="E350" i="47"/>
  <c r="C350" i="47"/>
  <c r="A350" i="47"/>
  <c r="D350" i="47" s="1"/>
  <c r="O350" i="47" s="1"/>
  <c r="U349" i="47"/>
  <c r="T349" i="47"/>
  <c r="P349" i="47"/>
  <c r="A349" i="47"/>
  <c r="U348" i="47"/>
  <c r="T348" i="47"/>
  <c r="D348" i="47"/>
  <c r="B348" i="47"/>
  <c r="A348" i="47"/>
  <c r="P348" i="47" s="1"/>
  <c r="Q348" i="47" s="1"/>
  <c r="U347" i="47"/>
  <c r="T347" i="47"/>
  <c r="M347" i="47"/>
  <c r="F347" i="47"/>
  <c r="D347" i="47"/>
  <c r="O347" i="47" s="1"/>
  <c r="C347" i="47"/>
  <c r="B347" i="47"/>
  <c r="A347" i="47"/>
  <c r="P347" i="47" s="1"/>
  <c r="U346" i="47"/>
  <c r="T346" i="47"/>
  <c r="P346" i="47"/>
  <c r="F346" i="47"/>
  <c r="B346" i="47"/>
  <c r="A346" i="47"/>
  <c r="D346" i="47" s="1"/>
  <c r="O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D337" i="47"/>
  <c r="O337" i="47" s="1"/>
  <c r="B337" i="47"/>
  <c r="A337" i="47"/>
  <c r="U336" i="47"/>
  <c r="T336" i="47"/>
  <c r="J336" i="47"/>
  <c r="C336" i="47"/>
  <c r="K336" i="47" s="1"/>
  <c r="B336" i="47"/>
  <c r="A336" i="47"/>
  <c r="U335" i="47"/>
  <c r="T335" i="47"/>
  <c r="D335" i="47"/>
  <c r="A335" i="47"/>
  <c r="U334" i="47"/>
  <c r="T334" i="47"/>
  <c r="P334" i="47"/>
  <c r="K334" i="47"/>
  <c r="I334" i="47"/>
  <c r="C334" i="47"/>
  <c r="B334" i="47"/>
  <c r="A334" i="47"/>
  <c r="D334" i="47" s="1"/>
  <c r="Q334" i="47" s="1"/>
  <c r="U333" i="47"/>
  <c r="T333" i="47"/>
  <c r="P333" i="47"/>
  <c r="J333" i="47"/>
  <c r="F333" i="47"/>
  <c r="D333" i="47"/>
  <c r="C333" i="47"/>
  <c r="B333" i="47"/>
  <c r="A333" i="47"/>
  <c r="U332" i="47"/>
  <c r="T332" i="47"/>
  <c r="P332" i="47"/>
  <c r="N332" i="47"/>
  <c r="M332" i="47"/>
  <c r="I332" i="47"/>
  <c r="G332" i="47"/>
  <c r="F332" i="47"/>
  <c r="H332" i="47" s="1"/>
  <c r="E332" i="47"/>
  <c r="C332" i="47"/>
  <c r="K332" i="47" s="1"/>
  <c r="B332" i="47"/>
  <c r="A332" i="47"/>
  <c r="U331" i="47"/>
  <c r="T331" i="47"/>
  <c r="I331" i="47"/>
  <c r="H331" i="47"/>
  <c r="C331" i="47"/>
  <c r="A331" i="47"/>
  <c r="U330" i="47"/>
  <c r="T330" i="47"/>
  <c r="A330" i="47"/>
  <c r="U329" i="47"/>
  <c r="T329" i="47"/>
  <c r="A329" i="47"/>
  <c r="U328" i="47"/>
  <c r="T328" i="47"/>
  <c r="D328" i="47"/>
  <c r="C328" i="47"/>
  <c r="K328" i="47" s="1"/>
  <c r="B328" i="47"/>
  <c r="A328" i="47"/>
  <c r="U327" i="47"/>
  <c r="T327" i="47"/>
  <c r="N327" i="47"/>
  <c r="L327" i="47"/>
  <c r="F327" i="47"/>
  <c r="E327" i="47"/>
  <c r="D327" i="47"/>
  <c r="C327" i="47"/>
  <c r="K327" i="47" s="1"/>
  <c r="A327" i="47"/>
  <c r="P327" i="47" s="1"/>
  <c r="U326" i="47"/>
  <c r="T326" i="47"/>
  <c r="P326" i="47"/>
  <c r="N326" i="47"/>
  <c r="M326" i="47"/>
  <c r="J326" i="47"/>
  <c r="I326" i="47"/>
  <c r="G326" i="47"/>
  <c r="F326" i="47"/>
  <c r="H326" i="47" s="1"/>
  <c r="C326" i="47"/>
  <c r="L326" i="47" s="1"/>
  <c r="B326" i="47"/>
  <c r="A326" i="47"/>
  <c r="D326" i="47" s="1"/>
  <c r="O326" i="47" s="1"/>
  <c r="U325" i="47"/>
  <c r="T325" i="47"/>
  <c r="P325" i="47"/>
  <c r="A325" i="47"/>
  <c r="U324" i="47"/>
  <c r="T324" i="47"/>
  <c r="P324" i="47"/>
  <c r="N324" i="47"/>
  <c r="F324" i="47"/>
  <c r="D324" i="47"/>
  <c r="O324" i="47" s="1"/>
  <c r="C324" i="47"/>
  <c r="B324" i="47"/>
  <c r="A324" i="47"/>
  <c r="Q324" i="47" s="1"/>
  <c r="U323" i="47"/>
  <c r="T323" i="47"/>
  <c r="F323" i="47"/>
  <c r="A323" i="47"/>
  <c r="U322" i="47"/>
  <c r="T322" i="47"/>
  <c r="F322" i="47"/>
  <c r="D322" i="47"/>
  <c r="C322" i="47"/>
  <c r="L322" i="47" s="1"/>
  <c r="A322" i="47"/>
  <c r="B322" i="47" s="1"/>
  <c r="U321" i="47"/>
  <c r="T321" i="47"/>
  <c r="P321" i="47"/>
  <c r="N321" i="47"/>
  <c r="K321" i="47"/>
  <c r="J321" i="47"/>
  <c r="I321" i="47"/>
  <c r="H321" i="47"/>
  <c r="G321" i="47"/>
  <c r="E321" i="47"/>
  <c r="D321" i="47"/>
  <c r="O321" i="47" s="1"/>
  <c r="C321" i="47"/>
  <c r="B321" i="47"/>
  <c r="A321" i="47"/>
  <c r="F321" i="47" s="1"/>
  <c r="U320" i="47"/>
  <c r="T320" i="47"/>
  <c r="N320" i="47"/>
  <c r="M320" i="47"/>
  <c r="L320" i="47"/>
  <c r="K320" i="47"/>
  <c r="F320" i="47"/>
  <c r="D320" i="47"/>
  <c r="O320" i="47" s="1"/>
  <c r="C320" i="47"/>
  <c r="B320" i="47"/>
  <c r="A320" i="47"/>
  <c r="J320" i="47" s="1"/>
  <c r="U319" i="47"/>
  <c r="T319" i="47"/>
  <c r="A319" i="47"/>
  <c r="P319" i="47" s="1"/>
  <c r="Q319" i="47" s="1"/>
  <c r="U318" i="47"/>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F316" i="47"/>
  <c r="D316" i="47"/>
  <c r="O316" i="47" s="1"/>
  <c r="C316" i="47"/>
  <c r="B316" i="47"/>
  <c r="A316" i="47"/>
  <c r="U315" i="47"/>
  <c r="T315" i="47"/>
  <c r="F315" i="47"/>
  <c r="A315" i="47"/>
  <c r="U314" i="47"/>
  <c r="T314" i="47"/>
  <c r="P314" i="47"/>
  <c r="F314" i="47"/>
  <c r="D314" i="47"/>
  <c r="C314" i="47"/>
  <c r="N314" i="47" s="1"/>
  <c r="A314" i="47"/>
  <c r="B314" i="47" s="1"/>
  <c r="U313" i="47"/>
  <c r="T313" i="47"/>
  <c r="P313" i="47"/>
  <c r="N313" i="47"/>
  <c r="K313" i="47"/>
  <c r="J313" i="47"/>
  <c r="I313" i="47"/>
  <c r="H313" i="47"/>
  <c r="E313" i="47"/>
  <c r="D313" i="47"/>
  <c r="O313" i="47" s="1"/>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N309" i="47"/>
  <c r="K309" i="47"/>
  <c r="J309" i="47"/>
  <c r="I309" i="47"/>
  <c r="H309" i="47"/>
  <c r="G309" i="47"/>
  <c r="E309" i="47"/>
  <c r="D309" i="47"/>
  <c r="O309" i="47" s="1"/>
  <c r="C309" i="47"/>
  <c r="B309" i="47"/>
  <c r="A309" i="47"/>
  <c r="F309" i="47" s="1"/>
  <c r="U308" i="47"/>
  <c r="T308" i="47"/>
  <c r="N308" i="47"/>
  <c r="M308" i="47"/>
  <c r="F308" i="47"/>
  <c r="D308" i="47"/>
  <c r="O308" i="47" s="1"/>
  <c r="C308" i="47"/>
  <c r="B308" i="47"/>
  <c r="A308" i="47"/>
  <c r="U307" i="47"/>
  <c r="T307" i="47"/>
  <c r="P307" i="47"/>
  <c r="B307" i="47"/>
  <c r="A307" i="47"/>
  <c r="U306" i="47"/>
  <c r="T306" i="47"/>
  <c r="P306" i="47"/>
  <c r="N306" i="47"/>
  <c r="L306" i="47"/>
  <c r="K306" i="47"/>
  <c r="G306" i="47"/>
  <c r="F306" i="47"/>
  <c r="J306" i="47" s="1"/>
  <c r="E306" i="47"/>
  <c r="D306" i="47"/>
  <c r="C306" i="47"/>
  <c r="A306" i="47"/>
  <c r="B306" i="47" s="1"/>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B303" i="47"/>
  <c r="A303" i="47"/>
  <c r="U302" i="47"/>
  <c r="T302" i="47"/>
  <c r="A302" i="47"/>
  <c r="U301" i="47"/>
  <c r="T301" i="47"/>
  <c r="P301" i="47"/>
  <c r="N301" i="47"/>
  <c r="K301" i="47"/>
  <c r="J301" i="47"/>
  <c r="I301" i="47"/>
  <c r="E301" i="47"/>
  <c r="D301" i="47"/>
  <c r="O301" i="47" s="1"/>
  <c r="C301" i="47"/>
  <c r="B301" i="47"/>
  <c r="G301" i="47" s="1"/>
  <c r="A301" i="47"/>
  <c r="F301" i="47" s="1"/>
  <c r="H301" i="47" s="1"/>
  <c r="U300" i="47"/>
  <c r="T300" i="47"/>
  <c r="F300" i="47"/>
  <c r="D300" i="47"/>
  <c r="O300" i="47" s="1"/>
  <c r="C300" i="47"/>
  <c r="N300" i="47" s="1"/>
  <c r="B300" i="47"/>
  <c r="A300" i="47"/>
  <c r="U299" i="47"/>
  <c r="T299" i="47"/>
  <c r="A299" i="47"/>
  <c r="U298" i="47"/>
  <c r="T298" i="47"/>
  <c r="F298" i="47"/>
  <c r="A298" i="47"/>
  <c r="P298" i="47" s="1"/>
  <c r="U297" i="47"/>
  <c r="T297" i="47"/>
  <c r="P297" i="47"/>
  <c r="K297" i="47"/>
  <c r="J297" i="47"/>
  <c r="I297" i="47"/>
  <c r="H297" i="47"/>
  <c r="G297" i="47"/>
  <c r="E297" i="47"/>
  <c r="D297" i="47"/>
  <c r="O297" i="47" s="1"/>
  <c r="C297" i="47"/>
  <c r="B297" i="47"/>
  <c r="A297" i="47"/>
  <c r="F297" i="47" s="1"/>
  <c r="N297" i="47" s="1"/>
  <c r="U296" i="47"/>
  <c r="T296" i="47"/>
  <c r="N296" i="47"/>
  <c r="M296" i="47"/>
  <c r="L296" i="47"/>
  <c r="K296" i="47"/>
  <c r="I296" i="47"/>
  <c r="G296" i="47"/>
  <c r="F296" i="47"/>
  <c r="H296" i="47" s="1"/>
  <c r="D296" i="47"/>
  <c r="O296" i="47" s="1"/>
  <c r="C296" i="47"/>
  <c r="B296" i="47"/>
  <c r="A296" i="47"/>
  <c r="U295" i="47"/>
  <c r="T295" i="47"/>
  <c r="P295" i="47"/>
  <c r="Q295" i="47" s="1"/>
  <c r="J295" i="47"/>
  <c r="F295" i="47"/>
  <c r="C295" i="47"/>
  <c r="K295" i="47" s="1"/>
  <c r="A295" i="47"/>
  <c r="M295" i="47" s="1"/>
  <c r="U294" i="47"/>
  <c r="T294" i="47"/>
  <c r="P294" i="47"/>
  <c r="Q294" i="47" s="1"/>
  <c r="F294" i="47"/>
  <c r="D294" i="47"/>
  <c r="O294" i="47" s="1"/>
  <c r="A294" i="47"/>
  <c r="U293" i="47"/>
  <c r="T293" i="47"/>
  <c r="P293" i="47"/>
  <c r="N293" i="47"/>
  <c r="D293" i="47"/>
  <c r="O293" i="47" s="1"/>
  <c r="C293" i="47"/>
  <c r="K293" i="47" s="1"/>
  <c r="B293" i="47"/>
  <c r="A293" i="47"/>
  <c r="F293" i="47" s="1"/>
  <c r="U292" i="47"/>
  <c r="T292" i="47"/>
  <c r="N292" i="47"/>
  <c r="M292" i="47"/>
  <c r="F292" i="47"/>
  <c r="D292" i="47"/>
  <c r="O292" i="47" s="1"/>
  <c r="C292" i="47"/>
  <c r="L292" i="47" s="1"/>
  <c r="B292" i="47"/>
  <c r="A292" i="47"/>
  <c r="U291" i="47"/>
  <c r="T291" i="47"/>
  <c r="P291" i="47"/>
  <c r="Q291" i="47" s="1"/>
  <c r="F291" i="47"/>
  <c r="C291" i="47"/>
  <c r="M291" i="47" s="1"/>
  <c r="B291" i="47"/>
  <c r="A291" i="47"/>
  <c r="U290" i="47"/>
  <c r="T290" i="47"/>
  <c r="P290" i="47"/>
  <c r="N290" i="47"/>
  <c r="F290" i="47"/>
  <c r="D290" i="47"/>
  <c r="O290" i="47" s="1"/>
  <c r="C290" i="47"/>
  <c r="L290" i="47" s="1"/>
  <c r="A290" i="47"/>
  <c r="U289" i="47"/>
  <c r="T289" i="47"/>
  <c r="P289" i="47"/>
  <c r="D289" i="47"/>
  <c r="O289" i="47" s="1"/>
  <c r="C289" i="47"/>
  <c r="N289" i="47" s="1"/>
  <c r="B289" i="47"/>
  <c r="A289" i="47"/>
  <c r="F289" i="47" s="1"/>
  <c r="U288" i="47"/>
  <c r="T288" i="47"/>
  <c r="F288" i="47"/>
  <c r="D288" i="47"/>
  <c r="O288" i="47" s="1"/>
  <c r="C288" i="47"/>
  <c r="B288" i="47"/>
  <c r="A288" i="47"/>
  <c r="U287" i="47"/>
  <c r="T287" i="47"/>
  <c r="C287" i="47"/>
  <c r="L287" i="47" s="1"/>
  <c r="B287" i="47"/>
  <c r="M287" i="47" s="1"/>
  <c r="A287" i="47"/>
  <c r="P287" i="47" s="1"/>
  <c r="U286" i="47"/>
  <c r="T286" i="47"/>
  <c r="D286" i="47"/>
  <c r="C286" i="47"/>
  <c r="A286" i="47"/>
  <c r="P286" i="47" s="1"/>
  <c r="U285" i="47"/>
  <c r="T285" i="47"/>
  <c r="P285" i="47"/>
  <c r="D285" i="47"/>
  <c r="O285" i="47" s="1"/>
  <c r="C285" i="47"/>
  <c r="N285" i="47" s="1"/>
  <c r="B285" i="47"/>
  <c r="A285" i="47"/>
  <c r="F285" i="47" s="1"/>
  <c r="U284" i="47"/>
  <c r="T284" i="47"/>
  <c r="F284" i="47"/>
  <c r="D284" i="47"/>
  <c r="O284" i="47" s="1"/>
  <c r="C284" i="47"/>
  <c r="B284" i="47"/>
  <c r="A284" i="47"/>
  <c r="U283" i="47"/>
  <c r="T283" i="47"/>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T266" i="47"/>
  <c r="P266" i="47"/>
  <c r="F266" i="47"/>
  <c r="D266" i="47"/>
  <c r="O266" i="47" s="1"/>
  <c r="B266" i="47"/>
  <c r="A266" i="47"/>
  <c r="U265" i="47"/>
  <c r="T265" i="47"/>
  <c r="P265" i="47"/>
  <c r="I265" i="47"/>
  <c r="G265" i="47"/>
  <c r="F265" i="47"/>
  <c r="H265" i="47" s="1"/>
  <c r="E265" i="47"/>
  <c r="D265" i="47"/>
  <c r="O265" i="47" s="1"/>
  <c r="C265" i="47"/>
  <c r="N265" i="47" s="1"/>
  <c r="B265" i="47"/>
  <c r="A265" i="47"/>
  <c r="U264" i="47"/>
  <c r="T264" i="47"/>
  <c r="K264" i="47"/>
  <c r="J264" i="47"/>
  <c r="I264" i="47"/>
  <c r="H264" i="47"/>
  <c r="G264" i="47"/>
  <c r="F264" i="47"/>
  <c r="D264" i="47"/>
  <c r="O264" i="47" s="1"/>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L258" i="47"/>
  <c r="F258" i="47"/>
  <c r="D258" i="47"/>
  <c r="O258" i="47" s="1"/>
  <c r="C258" i="47"/>
  <c r="B258" i="47"/>
  <c r="A258" i="47"/>
  <c r="U257" i="47"/>
  <c r="T257" i="47"/>
  <c r="P257" i="47"/>
  <c r="N257" i="47"/>
  <c r="K257" i="47"/>
  <c r="G257" i="47"/>
  <c r="F257" i="47"/>
  <c r="E257" i="47"/>
  <c r="D257" i="47"/>
  <c r="O257" i="47" s="1"/>
  <c r="C257" i="47"/>
  <c r="J257" i="47" s="1"/>
  <c r="B257" i="47"/>
  <c r="A257" i="47"/>
  <c r="U256" i="47"/>
  <c r="T256" i="47"/>
  <c r="N256" i="47"/>
  <c r="M256" i="47"/>
  <c r="L256" i="47"/>
  <c r="K256" i="47"/>
  <c r="I256" i="47"/>
  <c r="H256" i="47"/>
  <c r="G256" i="47"/>
  <c r="F256" i="47"/>
  <c r="J256" i="47" s="1"/>
  <c r="E256" i="47"/>
  <c r="D256" i="47"/>
  <c r="O256" i="47" s="1"/>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A250" i="47"/>
  <c r="U249" i="47"/>
  <c r="T249" i="47"/>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P237" i="47"/>
  <c r="F237" i="47"/>
  <c r="D237" i="47"/>
  <c r="O237" i="47" s="1"/>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T229" i="47"/>
  <c r="P229" i="47"/>
  <c r="F229" i="47"/>
  <c r="D229" i="47"/>
  <c r="O229" i="47" s="1"/>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F225" i="47"/>
  <c r="D225" i="47"/>
  <c r="O225" i="47" s="1"/>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P217" i="47"/>
  <c r="F217" i="47"/>
  <c r="D217" i="47"/>
  <c r="O217" i="47" s="1"/>
  <c r="B217" i="47"/>
  <c r="A217" i="47"/>
  <c r="U216" i="47"/>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F213" i="47"/>
  <c r="D213" i="47"/>
  <c r="O213" i="47" s="1"/>
  <c r="B213" i="47"/>
  <c r="A213" i="47"/>
  <c r="U212" i="47"/>
  <c r="T212" i="47"/>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U205" i="47"/>
  <c r="T205" i="47"/>
  <c r="P205" i="47"/>
  <c r="N205" i="47"/>
  <c r="J205" i="47"/>
  <c r="I205" i="47"/>
  <c r="H205" i="47"/>
  <c r="G205" i="47"/>
  <c r="F205" i="47"/>
  <c r="D205" i="47"/>
  <c r="O205" i="47" s="1"/>
  <c r="C205" i="47"/>
  <c r="B205" i="47"/>
  <c r="A205" i="47"/>
  <c r="E205" i="47" s="1"/>
  <c r="U204" i="47"/>
  <c r="T204" i="47"/>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N194" i="47"/>
  <c r="L194" i="47"/>
  <c r="K194" i="47"/>
  <c r="J194" i="47"/>
  <c r="F194" i="47"/>
  <c r="E194" i="47"/>
  <c r="D194" i="47"/>
  <c r="O194" i="47" s="1"/>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P190" i="47"/>
  <c r="L190" i="47"/>
  <c r="F190" i="47"/>
  <c r="D190" i="47"/>
  <c r="O190" i="47" s="1"/>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L186" i="47"/>
  <c r="F186" i="47"/>
  <c r="E186" i="47"/>
  <c r="D186" i="47"/>
  <c r="O186" i="47" s="1"/>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F174" i="47"/>
  <c r="D174" i="47"/>
  <c r="O174" i="47" s="1"/>
  <c r="C174" i="47"/>
  <c r="B174" i="47"/>
  <c r="A174" i="47"/>
  <c r="U173" i="47"/>
  <c r="T173" i="47"/>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A165" i="47"/>
  <c r="U164" i="47"/>
  <c r="T164" i="47"/>
  <c r="M164" i="47"/>
  <c r="K164" i="47"/>
  <c r="J164" i="47"/>
  <c r="H164" i="47"/>
  <c r="G164" i="47"/>
  <c r="F164" i="47"/>
  <c r="E164" i="47"/>
  <c r="D164" i="47"/>
  <c r="O164" i="47" s="1"/>
  <c r="C164" i="47"/>
  <c r="L164" i="47" s="1"/>
  <c r="B164" i="47"/>
  <c r="A164" i="47"/>
  <c r="U163" i="47"/>
  <c r="T163" i="47"/>
  <c r="L163" i="47"/>
  <c r="K163" i="47"/>
  <c r="J163" i="47"/>
  <c r="I163" i="47"/>
  <c r="F163" i="47"/>
  <c r="H163" i="47" s="1"/>
  <c r="C163" i="47"/>
  <c r="B163" i="47"/>
  <c r="G163" i="47" s="1"/>
  <c r="A163" i="47"/>
  <c r="U162" i="47"/>
  <c r="T162" i="47"/>
  <c r="P162" i="47"/>
  <c r="L162" i="47"/>
  <c r="F162" i="47"/>
  <c r="D162" i="47"/>
  <c r="O162" i="47" s="1"/>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P159" i="47"/>
  <c r="N159" i="47"/>
  <c r="L159" i="47"/>
  <c r="K159" i="47"/>
  <c r="J159" i="47"/>
  <c r="I159" i="47"/>
  <c r="H159" i="47"/>
  <c r="G159" i="47"/>
  <c r="F159" i="47"/>
  <c r="C159" i="47"/>
  <c r="B159" i="47"/>
  <c r="A159" i="47"/>
  <c r="U158" i="47"/>
  <c r="T158" i="47"/>
  <c r="P158" i="47"/>
  <c r="N158" i="47"/>
  <c r="M158" i="47"/>
  <c r="J158" i="47"/>
  <c r="G158" i="47"/>
  <c r="F158" i="47"/>
  <c r="D158" i="47"/>
  <c r="O158" i="47" s="1"/>
  <c r="C158" i="47"/>
  <c r="I158" i="47" s="1"/>
  <c r="B158" i="47"/>
  <c r="A158" i="47"/>
  <c r="U157" i="47"/>
  <c r="T157" i="47"/>
  <c r="P157" i="47"/>
  <c r="Q157" i="47" s="1"/>
  <c r="A157" i="47"/>
  <c r="U156" i="47"/>
  <c r="T156" i="47"/>
  <c r="N156" i="47"/>
  <c r="M156" i="47"/>
  <c r="L156" i="47"/>
  <c r="K156" i="47"/>
  <c r="J156" i="47"/>
  <c r="H156" i="47"/>
  <c r="G156" i="47"/>
  <c r="F156" i="47"/>
  <c r="E156" i="47"/>
  <c r="D156" i="47"/>
  <c r="O156" i="47" s="1"/>
  <c r="C156" i="47"/>
  <c r="B156" i="47"/>
  <c r="A156" i="47"/>
  <c r="U155" i="47"/>
  <c r="T155" i="47"/>
  <c r="P155" i="47"/>
  <c r="Q155" i="47" s="1"/>
  <c r="N155" i="47"/>
  <c r="L155" i="47"/>
  <c r="J155" i="47"/>
  <c r="I155" i="47"/>
  <c r="H155" i="47"/>
  <c r="G155" i="47"/>
  <c r="F155" i="47"/>
  <c r="C155" i="47"/>
  <c r="B155" i="47"/>
  <c r="K155" i="47" s="1"/>
  <c r="A155" i="47"/>
  <c r="U154" i="47"/>
  <c r="T154" i="47"/>
  <c r="P154" i="47"/>
  <c r="M154" i="47"/>
  <c r="K154" i="47"/>
  <c r="F154" i="47"/>
  <c r="D154" i="47"/>
  <c r="O154" i="47" s="1"/>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U145" i="47"/>
  <c r="T145" i="47"/>
  <c r="P145" i="47"/>
  <c r="A145" i="47"/>
  <c r="U144" i="47"/>
  <c r="T144" i="47"/>
  <c r="N144" i="47"/>
  <c r="M144" i="47"/>
  <c r="K144" i="47"/>
  <c r="F144" i="47"/>
  <c r="D144" i="47"/>
  <c r="O144" i="47" s="1"/>
  <c r="C144" i="47"/>
  <c r="L144" i="47" s="1"/>
  <c r="B144" i="47"/>
  <c r="A144" i="47"/>
  <c r="U143" i="47"/>
  <c r="T143" i="47"/>
  <c r="P143" i="47"/>
  <c r="F143" i="47"/>
  <c r="B143" i="47"/>
  <c r="A143" i="47"/>
  <c r="U142" i="47"/>
  <c r="T142" i="47"/>
  <c r="F142" i="47"/>
  <c r="D142" i="47"/>
  <c r="C142" i="47"/>
  <c r="A142" i="47"/>
  <c r="U141" i="47"/>
  <c r="T141" i="47"/>
  <c r="A141" i="47"/>
  <c r="U140" i="47"/>
  <c r="T140" i="47"/>
  <c r="L140" i="47"/>
  <c r="H140" i="47"/>
  <c r="F140" i="47"/>
  <c r="E140" i="47"/>
  <c r="D140" i="47"/>
  <c r="O140" i="47" s="1"/>
  <c r="C140" i="47"/>
  <c r="G140" i="47" s="1"/>
  <c r="B140" i="47"/>
  <c r="I140" i="47" s="1"/>
  <c r="A140" i="47"/>
  <c r="N140" i="47" s="1"/>
  <c r="U139" i="47"/>
  <c r="T139" i="47"/>
  <c r="A139" i="47"/>
  <c r="U138" i="47"/>
  <c r="T138" i="47"/>
  <c r="P138" i="47"/>
  <c r="D138" i="47"/>
  <c r="O138" i="47" s="1"/>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U133" i="47"/>
  <c r="T133" i="47"/>
  <c r="P133" i="47"/>
  <c r="N133" i="47"/>
  <c r="M133" i="47"/>
  <c r="J133" i="47"/>
  <c r="I133" i="47"/>
  <c r="H133" i="47"/>
  <c r="G133" i="47"/>
  <c r="F133" i="47"/>
  <c r="E133" i="47"/>
  <c r="D133" i="47"/>
  <c r="C133" i="47"/>
  <c r="B133" i="47"/>
  <c r="K133" i="47" s="1"/>
  <c r="A133" i="47"/>
  <c r="U132" i="47"/>
  <c r="T132" i="47"/>
  <c r="Q132" i="47"/>
  <c r="N132" i="47"/>
  <c r="M132" i="47"/>
  <c r="L132" i="47"/>
  <c r="K132" i="47"/>
  <c r="J132" i="47"/>
  <c r="H132" i="47"/>
  <c r="G132" i="47"/>
  <c r="F132" i="47"/>
  <c r="E132" i="47"/>
  <c r="D132" i="47"/>
  <c r="O132" i="47" s="1"/>
  <c r="C132" i="47"/>
  <c r="B132" i="47"/>
  <c r="I132" i="47" s="1"/>
  <c r="A132" i="47"/>
  <c r="P132" i="47" s="1"/>
  <c r="U131" i="47"/>
  <c r="T131" i="47"/>
  <c r="A131" i="47"/>
  <c r="U130" i="47"/>
  <c r="T130" i="47"/>
  <c r="P130" i="47"/>
  <c r="M130" i="47"/>
  <c r="D130" i="47"/>
  <c r="C130" i="47"/>
  <c r="G130" i="47" s="1"/>
  <c r="B130" i="47"/>
  <c r="A130" i="47"/>
  <c r="Q130" i="47" s="1"/>
  <c r="U129" i="47"/>
  <c r="T129" i="47"/>
  <c r="A129" i="47"/>
  <c r="U128" i="47"/>
  <c r="T128" i="47"/>
  <c r="Q128" i="47"/>
  <c r="F128" i="47"/>
  <c r="D128" i="47"/>
  <c r="O128" i="47" s="1"/>
  <c r="C128" i="47"/>
  <c r="G128" i="47" s="1"/>
  <c r="B128" i="47"/>
  <c r="A128" i="47"/>
  <c r="P128" i="47" s="1"/>
  <c r="U127" i="47"/>
  <c r="T127" i="47"/>
  <c r="P127" i="47"/>
  <c r="B127" i="47"/>
  <c r="A127" i="47"/>
  <c r="U126" i="47"/>
  <c r="T126" i="47"/>
  <c r="P126" i="47"/>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P117" i="47"/>
  <c r="N117" i="47"/>
  <c r="K117" i="47"/>
  <c r="I117" i="47"/>
  <c r="H117" i="47"/>
  <c r="G117" i="47"/>
  <c r="F117" i="47"/>
  <c r="E117" i="47"/>
  <c r="D117" i="47"/>
  <c r="C117" i="47"/>
  <c r="B117" i="47"/>
  <c r="A117" i="47"/>
  <c r="U116" i="47"/>
  <c r="T116" i="47"/>
  <c r="F116" i="47"/>
  <c r="A116" i="47"/>
  <c r="U115" i="47"/>
  <c r="T115" i="47"/>
  <c r="N115" i="47"/>
  <c r="M115" i="47"/>
  <c r="L115" i="47"/>
  <c r="K115" i="47"/>
  <c r="J115" i="47"/>
  <c r="H115" i="47"/>
  <c r="G115" i="47"/>
  <c r="F115" i="47"/>
  <c r="E115" i="47"/>
  <c r="C115" i="47"/>
  <c r="B115" i="47"/>
  <c r="I115" i="47" s="1"/>
  <c r="A115" i="47"/>
  <c r="D115" i="47" s="1"/>
  <c r="O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M104" i="47"/>
  <c r="L104" i="47"/>
  <c r="J104" i="47"/>
  <c r="I104" i="47"/>
  <c r="G104" i="47"/>
  <c r="F104" i="47"/>
  <c r="E104" i="47"/>
  <c r="D104" i="47"/>
  <c r="O104" i="47" s="1"/>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U100" i="47"/>
  <c r="T100" i="47"/>
  <c r="G100" i="47"/>
  <c r="F100" i="47"/>
  <c r="D100" i="47"/>
  <c r="O100" i="47" s="1"/>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P97" i="47"/>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H94" i="47"/>
  <c r="F94" i="47"/>
  <c r="C94" i="47"/>
  <c r="L94" i="47" s="1"/>
  <c r="B94" i="47"/>
  <c r="A94" i="47"/>
  <c r="D94" i="47" s="1"/>
  <c r="O94" i="47" s="1"/>
  <c r="U93" i="47"/>
  <c r="T93" i="47"/>
  <c r="F93" i="47"/>
  <c r="A93" i="47"/>
  <c r="U92" i="47"/>
  <c r="T92" i="47"/>
  <c r="D92" i="47"/>
  <c r="O92" i="47" s="1"/>
  <c r="B92" i="47"/>
  <c r="A92" i="47"/>
  <c r="U91" i="47"/>
  <c r="T91" i="47"/>
  <c r="A91" i="47"/>
  <c r="P91" i="47" s="1"/>
  <c r="U90" i="47"/>
  <c r="T90" i="47"/>
  <c r="P90" i="47"/>
  <c r="N90" i="47"/>
  <c r="J90" i="47"/>
  <c r="C90" i="47"/>
  <c r="G90" i="47" s="1"/>
  <c r="B90" i="47"/>
  <c r="A90" i="47"/>
  <c r="D90" i="47" s="1"/>
  <c r="Q90" i="47" s="1"/>
  <c r="U89" i="47"/>
  <c r="T89" i="47"/>
  <c r="A89" i="47"/>
  <c r="U88" i="47"/>
  <c r="T88" i="47"/>
  <c r="P88" i="47"/>
  <c r="H88" i="47"/>
  <c r="F88" i="47"/>
  <c r="D88" i="47"/>
  <c r="C88" i="47"/>
  <c r="M88" i="47" s="1"/>
  <c r="A88" i="47"/>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F81" i="47"/>
  <c r="D81" i="47"/>
  <c r="B81" i="47"/>
  <c r="A81" i="47"/>
  <c r="U80" i="47"/>
  <c r="T80" i="47"/>
  <c r="P80" i="47"/>
  <c r="Q80" i="47" s="1"/>
  <c r="N80" i="47"/>
  <c r="M80" i="47"/>
  <c r="J80" i="47"/>
  <c r="I80" i="47"/>
  <c r="G80" i="47"/>
  <c r="F80" i="47"/>
  <c r="E80" i="47"/>
  <c r="D80" i="47"/>
  <c r="O80" i="47" s="1"/>
  <c r="C80" i="47"/>
  <c r="K80" i="47" s="1"/>
  <c r="B80" i="47"/>
  <c r="A80" i="47"/>
  <c r="U79" i="47"/>
  <c r="T79" i="47"/>
  <c r="A79" i="47"/>
  <c r="P79" i="47" s="1"/>
  <c r="U78" i="47"/>
  <c r="T78" i="47"/>
  <c r="P78" i="47"/>
  <c r="C78" i="47"/>
  <c r="A78" i="47"/>
  <c r="D78" i="47" s="1"/>
  <c r="O78" i="47" s="1"/>
  <c r="U77" i="47"/>
  <c r="T77" i="47"/>
  <c r="F77" i="47"/>
  <c r="B77" i="47"/>
  <c r="A77" i="47"/>
  <c r="U76" i="47"/>
  <c r="T76" i="47"/>
  <c r="P76" i="47"/>
  <c r="N76" i="47"/>
  <c r="J76" i="47"/>
  <c r="I76" i="47"/>
  <c r="H76" i="47"/>
  <c r="G76" i="47"/>
  <c r="F76" i="47"/>
  <c r="E76" i="47"/>
  <c r="D76" i="47"/>
  <c r="Q76" i="47" s="1"/>
  <c r="C76" i="47"/>
  <c r="K76" i="47" s="1"/>
  <c r="B76" i="47"/>
  <c r="A76" i="47"/>
  <c r="U75" i="47"/>
  <c r="T75" i="47"/>
  <c r="Q75" i="47"/>
  <c r="J75" i="47"/>
  <c r="H75" i="47"/>
  <c r="G75" i="47"/>
  <c r="E75" i="47"/>
  <c r="C75" i="47"/>
  <c r="M75" i="47" s="1"/>
  <c r="B75" i="47"/>
  <c r="A75" i="47"/>
  <c r="P75" i="47" s="1"/>
  <c r="U74" i="47"/>
  <c r="T74" i="47"/>
  <c r="P74" i="47"/>
  <c r="Q74" i="47" s="1"/>
  <c r="N74" i="47"/>
  <c r="M74" i="47"/>
  <c r="K74" i="47"/>
  <c r="J74" i="47"/>
  <c r="H74" i="47"/>
  <c r="F74" i="47"/>
  <c r="E74" i="47"/>
  <c r="C74" i="47"/>
  <c r="L74" i="47" s="1"/>
  <c r="B74" i="47"/>
  <c r="A74" i="47"/>
  <c r="D74" i="47" s="1"/>
  <c r="O74" i="47" s="1"/>
  <c r="U73" i="47"/>
  <c r="T73" i="47"/>
  <c r="A73" i="47"/>
  <c r="U72" i="47"/>
  <c r="T72" i="47"/>
  <c r="Q72" i="47"/>
  <c r="P72" i="47"/>
  <c r="N72" i="47"/>
  <c r="H72" i="47"/>
  <c r="E72" i="47"/>
  <c r="D72" i="47"/>
  <c r="C72" i="47"/>
  <c r="J72" i="47" s="1"/>
  <c r="B72" i="47"/>
  <c r="K72" i="47" s="1"/>
  <c r="A72" i="47"/>
  <c r="U71" i="47"/>
  <c r="T71" i="47"/>
  <c r="G71" i="47"/>
  <c r="F71" i="47"/>
  <c r="D71" i="47"/>
  <c r="Q71" i="47" s="1"/>
  <c r="C71" i="47"/>
  <c r="K71" i="47" s="1"/>
  <c r="B71" i="47"/>
  <c r="A71" i="47"/>
  <c r="P71" i="47" s="1"/>
  <c r="U70" i="47"/>
  <c r="T70" i="47"/>
  <c r="P70" i="47"/>
  <c r="N70" i="47"/>
  <c r="J70" i="47"/>
  <c r="I70" i="47"/>
  <c r="H70" i="47"/>
  <c r="G70" i="47"/>
  <c r="F70" i="47"/>
  <c r="E70" i="47"/>
  <c r="C70" i="47"/>
  <c r="M70" i="47" s="1"/>
  <c r="B70" i="47"/>
  <c r="K70" i="47" s="1"/>
  <c r="A70" i="47"/>
  <c r="D70" i="47" s="1"/>
  <c r="Q70" i="47" s="1"/>
  <c r="U69" i="47"/>
  <c r="T69" i="47"/>
  <c r="M69" i="47"/>
  <c r="K69" i="47"/>
  <c r="I69" i="47"/>
  <c r="G69" i="47"/>
  <c r="E69" i="47"/>
  <c r="C69" i="47"/>
  <c r="B69" i="47"/>
  <c r="A69" i="47"/>
  <c r="U68" i="47"/>
  <c r="T68" i="47"/>
  <c r="P68" i="47"/>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P66" i="47"/>
  <c r="B66" i="47"/>
  <c r="A66" i="47"/>
  <c r="D66" i="47" s="1"/>
  <c r="Q66" i="47" s="1"/>
  <c r="U65" i="47"/>
  <c r="T65" i="47"/>
  <c r="G65" i="47"/>
  <c r="F65" i="47"/>
  <c r="D65" i="47"/>
  <c r="O65" i="47" s="1"/>
  <c r="C65" i="47"/>
  <c r="L65" i="47" s="1"/>
  <c r="B65" i="47"/>
  <c r="A65" i="47"/>
  <c r="P65" i="47" s="1"/>
  <c r="U64" i="47"/>
  <c r="T64" i="47"/>
  <c r="J64" i="47"/>
  <c r="F64" i="47"/>
  <c r="H64" i="47" s="1"/>
  <c r="E64" i="47"/>
  <c r="C64" i="47"/>
  <c r="A64" i="47"/>
  <c r="U63" i="47"/>
  <c r="T63" i="47"/>
  <c r="F63" i="47"/>
  <c r="A63" i="47"/>
  <c r="P63" i="47" s="1"/>
  <c r="U62" i="47"/>
  <c r="T62" i="47"/>
  <c r="P62" i="47"/>
  <c r="Q62" i="47" s="1"/>
  <c r="N62" i="47"/>
  <c r="M62" i="47"/>
  <c r="L62" i="47"/>
  <c r="K62" i="47"/>
  <c r="I62" i="47"/>
  <c r="F62" i="47"/>
  <c r="C62" i="47"/>
  <c r="J62" i="47" s="1"/>
  <c r="A62" i="47"/>
  <c r="D62" i="47" s="1"/>
  <c r="O62" i="47" s="1"/>
  <c r="U61" i="47"/>
  <c r="T61" i="47"/>
  <c r="Q61" i="47"/>
  <c r="P61" i="47"/>
  <c r="F61" i="47"/>
  <c r="B61" i="47"/>
  <c r="A61" i="47"/>
  <c r="U60" i="47"/>
  <c r="T60" i="47"/>
  <c r="A60" i="47"/>
  <c r="U59" i="47"/>
  <c r="T59" i="47"/>
  <c r="H59" i="47"/>
  <c r="F59" i="47"/>
  <c r="D59" i="47"/>
  <c r="C59" i="47"/>
  <c r="E59" i="47" s="1"/>
  <c r="A59" i="47"/>
  <c r="P59" i="47" s="1"/>
  <c r="U58" i="47"/>
  <c r="T58" i="47"/>
  <c r="P58" i="47"/>
  <c r="F58" i="47"/>
  <c r="D58" i="47"/>
  <c r="O58" i="47" s="1"/>
  <c r="B58" i="47"/>
  <c r="A58" i="47"/>
  <c r="U57" i="47"/>
  <c r="T57" i="47"/>
  <c r="P57" i="47"/>
  <c r="M57" i="47"/>
  <c r="L57" i="47"/>
  <c r="J57" i="47"/>
  <c r="H57" i="47"/>
  <c r="F57" i="47"/>
  <c r="D57" i="47"/>
  <c r="O57" i="47" s="1"/>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U53" i="47"/>
  <c r="T53" i="47"/>
  <c r="P53" i="47"/>
  <c r="M53" i="47"/>
  <c r="L53" i="47"/>
  <c r="K53" i="47"/>
  <c r="J53" i="47"/>
  <c r="H53" i="47"/>
  <c r="F53" i="47"/>
  <c r="D53" i="47"/>
  <c r="O53" i="47" s="1"/>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P49" i="47"/>
  <c r="M49" i="47"/>
  <c r="L49" i="47"/>
  <c r="K49" i="47"/>
  <c r="J49" i="47"/>
  <c r="H49" i="47"/>
  <c r="F49" i="47"/>
  <c r="D49" i="47"/>
  <c r="O49" i="47" s="1"/>
  <c r="C49" i="47"/>
  <c r="N49" i="47" s="1"/>
  <c r="A49" i="47"/>
  <c r="B49" i="47" s="1"/>
  <c r="U48" i="47"/>
  <c r="T48" i="47"/>
  <c r="P48" i="47"/>
  <c r="C48" i="47"/>
  <c r="A48" i="47"/>
  <c r="U47" i="47"/>
  <c r="T47" i="47"/>
  <c r="P47" i="47"/>
  <c r="F47" i="47"/>
  <c r="D47" i="47"/>
  <c r="C47" i="47"/>
  <c r="B47" i="47"/>
  <c r="A47" i="47"/>
  <c r="U46" i="47"/>
  <c r="T46" i="47"/>
  <c r="P46" i="47"/>
  <c r="F46" i="47"/>
  <c r="D46" i="47"/>
  <c r="O46" i="47" s="1"/>
  <c r="B46" i="47"/>
  <c r="A46" i="47"/>
  <c r="U45" i="47"/>
  <c r="T45" i="47"/>
  <c r="P45" i="47"/>
  <c r="L45" i="47"/>
  <c r="K45" i="47"/>
  <c r="J45" i="47"/>
  <c r="H45" i="47"/>
  <c r="F45" i="47"/>
  <c r="D45" i="47"/>
  <c r="O45" i="47" s="1"/>
  <c r="C45" i="47"/>
  <c r="N45" i="47" s="1"/>
  <c r="A45" i="47"/>
  <c r="B45" i="47" s="1"/>
  <c r="M45" i="47" s="1"/>
  <c r="U44" i="47"/>
  <c r="T44" i="47"/>
  <c r="P44" i="47"/>
  <c r="C44" i="47"/>
  <c r="A44" i="47"/>
  <c r="U43" i="47"/>
  <c r="T43" i="47"/>
  <c r="P43" i="47"/>
  <c r="F43" i="47"/>
  <c r="D43" i="47"/>
  <c r="C43" i="47"/>
  <c r="B43" i="47"/>
  <c r="A43" i="47"/>
  <c r="J43" i="47" s="1"/>
  <c r="U42" i="47"/>
  <c r="T42" i="47"/>
  <c r="P42" i="47"/>
  <c r="F42" i="47"/>
  <c r="D42" i="47"/>
  <c r="O42" i="47" s="1"/>
  <c r="B42" i="47"/>
  <c r="A42" i="47"/>
  <c r="U41" i="47"/>
  <c r="T41" i="47"/>
  <c r="P41" i="47"/>
  <c r="M41" i="47"/>
  <c r="L41" i="47"/>
  <c r="K41" i="47"/>
  <c r="J41" i="47"/>
  <c r="H41" i="47"/>
  <c r="F41" i="47"/>
  <c r="D41" i="47"/>
  <c r="O41" i="47" s="1"/>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L9" i="47"/>
  <c r="K9" i="47"/>
  <c r="J9" i="47"/>
  <c r="H9" i="47"/>
  <c r="F9" i="47"/>
  <c r="D9" i="47"/>
  <c r="O9" i="47" s="1"/>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L5" i="47"/>
  <c r="K5" i="47"/>
  <c r="J5" i="47"/>
  <c r="H5" i="47"/>
  <c r="F5" i="47"/>
  <c r="D5" i="47"/>
  <c r="O5" i="47" s="1"/>
  <c r="C5" i="47"/>
  <c r="N5" i="47" s="1"/>
  <c r="B5" i="47"/>
  <c r="A5" i="47"/>
  <c r="U4" i="47"/>
  <c r="T4" i="47"/>
  <c r="P4" i="47"/>
  <c r="L4" i="47"/>
  <c r="H4" i="47"/>
  <c r="C4" i="47"/>
  <c r="G4" i="47" s="1"/>
  <c r="A4" i="47"/>
  <c r="F4" i="47" s="1"/>
  <c r="U3" i="47"/>
  <c r="T3" i="47"/>
  <c r="P3" i="47"/>
  <c r="L3" i="47"/>
  <c r="F3" i="47"/>
  <c r="D3" i="47"/>
  <c r="O3" i="47" s="1"/>
  <c r="C3" i="47"/>
  <c r="B3" i="47"/>
  <c r="A3" i="47"/>
  <c r="U2" i="47"/>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J9" i="18" l="1"/>
  <c r="V71" i="47"/>
  <c r="V1339" i="47"/>
  <c r="V1363" i="47"/>
  <c r="V250" i="47"/>
  <c r="V264" i="47"/>
  <c r="V405" i="47"/>
  <c r="V478" i="47"/>
  <c r="V482" i="47"/>
  <c r="V391" i="47"/>
  <c r="V479" i="47"/>
  <c r="V75" i="47"/>
  <c r="V387" i="47"/>
  <c r="V397" i="47"/>
  <c r="V400" i="47"/>
  <c r="V441" i="47"/>
  <c r="V407" i="47"/>
  <c r="Q503" i="47"/>
  <c r="Q326"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258" i="47"/>
  <c r="Q650" i="47"/>
  <c r="O697" i="47"/>
  <c r="Q68" i="47"/>
  <c r="O90" i="47"/>
  <c r="O134" i="47"/>
  <c r="Q286" i="47"/>
  <c r="Q611" i="47"/>
  <c r="O465" i="47"/>
  <c r="Q133" i="47"/>
  <c r="Q510" i="47"/>
  <c r="Q475" i="47"/>
  <c r="Q198" i="47"/>
  <c r="Q672" i="47"/>
  <c r="Q430" i="47"/>
  <c r="Q596" i="47"/>
  <c r="Q770" i="47"/>
  <c r="O533" i="47"/>
  <c r="Q505" i="47"/>
  <c r="Q724" i="47"/>
  <c r="Q389" i="47"/>
  <c r="Q434" i="47"/>
  <c r="O70" i="47"/>
  <c r="Q97" i="47"/>
  <c r="O647" i="47"/>
  <c r="Q117" i="47"/>
  <c r="Q686" i="47"/>
  <c r="Q81" i="47"/>
  <c r="Q694" i="47"/>
  <c r="Q88" i="47"/>
  <c r="Q497" i="47"/>
  <c r="Q563" i="47"/>
  <c r="Q576" i="47"/>
  <c r="Q174" i="47"/>
  <c r="Q471" i="47"/>
  <c r="Q661" i="47"/>
  <c r="Q146" i="47"/>
  <c r="Q819" i="47"/>
  <c r="Q354" i="47"/>
  <c r="Q65" i="47"/>
  <c r="Q206" i="47"/>
  <c r="Q290" i="47"/>
  <c r="Q5" i="47"/>
  <c r="Q347" i="47"/>
  <c r="Q381" i="47"/>
  <c r="Q405" i="47"/>
  <c r="Q333" i="47"/>
  <c r="Q577"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9" i="18" s="1"/>
  <c r="L7" i="18"/>
  <c r="L8"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O63" i="47" s="1"/>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O69" i="47" s="1"/>
  <c r="V70" i="47"/>
  <c r="O71" i="47"/>
  <c r="M72" i="47"/>
  <c r="G74" i="47"/>
  <c r="D75" i="47"/>
  <c r="O75" i="47" s="1"/>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M84" i="47"/>
  <c r="L88" i="47"/>
  <c r="F92" i="47"/>
  <c r="C93" i="47"/>
  <c r="H93" i="47" s="1"/>
  <c r="C99" i="47"/>
  <c r="E105" i="47"/>
  <c r="C106" i="47"/>
  <c r="I106" i="47" s="1"/>
  <c r="D107" i="47"/>
  <c r="O107" i="47" s="1"/>
  <c r="F107" i="47"/>
  <c r="M111" i="47"/>
  <c r="I113" i="47"/>
  <c r="C116" i="47"/>
  <c r="H118" i="47"/>
  <c r="G118" i="47"/>
  <c r="J118" i="47"/>
  <c r="P123" i="47"/>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s="1"/>
  <c r="N135" i="47"/>
  <c r="K135" i="47"/>
  <c r="B109" i="47"/>
  <c r="E120" i="47"/>
  <c r="D131" i="47"/>
  <c r="O131" i="47" s="1"/>
  <c r="C131" i="47"/>
  <c r="I131" i="47" s="1"/>
  <c r="G131" i="47"/>
  <c r="F131" i="47"/>
  <c r="B135" i="47"/>
  <c r="P141" i="47"/>
  <c r="P56" i="47"/>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O157" i="47" s="1"/>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O83" i="47" s="1"/>
  <c r="L84" i="47"/>
  <c r="C89" i="47"/>
  <c r="E89" i="47" s="1"/>
  <c r="C95" i="47"/>
  <c r="E95" i="47" s="1"/>
  <c r="E100" i="47"/>
  <c r="P102" i="47"/>
  <c r="H107" i="47"/>
  <c r="D109" i="47"/>
  <c r="O109" i="47" s="1"/>
  <c r="G120" i="47"/>
  <c r="D123" i="47"/>
  <c r="O123" i="47" s="1"/>
  <c r="J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s="1"/>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J131" i="47"/>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O165" i="47" s="1"/>
  <c r="B165" i="47"/>
  <c r="P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M64" i="47"/>
  <c r="J65" i="47"/>
  <c r="G66" i="47"/>
  <c r="D67" i="47"/>
  <c r="L68"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H66" i="47"/>
  <c r="E67" i="47"/>
  <c r="B68" i="47"/>
  <c r="I68" i="47" s="1"/>
  <c r="P69" i="47"/>
  <c r="J71" i="47"/>
  <c r="G72" i="47"/>
  <c r="V74"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I95" i="47"/>
  <c r="N99" i="47"/>
  <c r="F102" i="47"/>
  <c r="P106" i="47"/>
  <c r="N107" i="47"/>
  <c r="J109" i="47"/>
  <c r="E112" i="47"/>
  <c r="H114" i="47"/>
  <c r="B114" i="47"/>
  <c r="G114" i="47" s="1"/>
  <c r="H123" i="47"/>
  <c r="G129" i="47"/>
  <c r="N131" i="47"/>
  <c r="P135" i="47"/>
  <c r="J141" i="47"/>
  <c r="J144" i="47"/>
  <c r="I144" i="47"/>
  <c r="G144" i="47"/>
  <c r="I145" i="47"/>
  <c r="N154" i="47"/>
  <c r="J154" i="47"/>
  <c r="G154" i="47"/>
  <c r="E154" i="47"/>
  <c r="Q207" i="47"/>
  <c r="J198" i="47"/>
  <c r="K203" i="47"/>
  <c r="D203" i="47"/>
  <c r="O203" i="47" s="1"/>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K179"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N246" i="47"/>
  <c r="M246" i="47"/>
  <c r="K246" i="47"/>
  <c r="F246" i="47"/>
  <c r="E246" i="47"/>
  <c r="D246" i="47"/>
  <c r="O246" i="47" s="1"/>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4" i="47"/>
  <c r="Q226" i="47"/>
  <c r="G232" i="47"/>
  <c r="E232" i="47"/>
  <c r="N232" i="47"/>
  <c r="Q261" i="47"/>
  <c r="E275" i="47"/>
  <c r="D275" i="47"/>
  <c r="O275" i="47" s="1"/>
  <c r="P275" i="47"/>
  <c r="Q275" i="47" s="1"/>
  <c r="K275" i="47"/>
  <c r="F275" i="47"/>
  <c r="B282" i="47"/>
  <c r="M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M226" i="47"/>
  <c r="J227" i="47"/>
  <c r="K231" i="47"/>
  <c r="D231" i="47"/>
  <c r="O231" i="47" s="1"/>
  <c r="C231" i="47"/>
  <c r="M231" i="47" s="1"/>
  <c r="B231" i="47"/>
  <c r="I231" i="47" s="1"/>
  <c r="K241" i="47"/>
  <c r="H243" i="47"/>
  <c r="Q246"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B219" i="47"/>
  <c r="J226" i="47"/>
  <c r="P227" i="47"/>
  <c r="Q227" i="47" s="1"/>
  <c r="J231" i="47"/>
  <c r="L232" i="47"/>
  <c r="K236" i="47"/>
  <c r="H239" i="47"/>
  <c r="C245" i="47"/>
  <c r="N245" i="47" s="1"/>
  <c r="N258" i="47"/>
  <c r="N267" i="47"/>
  <c r="J267" i="47"/>
  <c r="B271" i="47"/>
  <c r="C278" i="47"/>
  <c r="E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M307" i="47"/>
  <c r="K307" i="47"/>
  <c r="I307" i="47"/>
  <c r="E307" i="47"/>
  <c r="D307" i="47"/>
  <c r="O307" i="47" s="1"/>
  <c r="E318" i="47"/>
  <c r="I324" i="47"/>
  <c r="H324" i="47"/>
  <c r="G324" i="47"/>
  <c r="E324" i="47"/>
  <c r="D329" i="47"/>
  <c r="O329" i="47" s="1"/>
  <c r="E336" i="47"/>
  <c r="V337" i="47"/>
  <c r="Q341" i="47"/>
  <c r="I243" i="47"/>
  <c r="P259" i="47"/>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K331" i="47" s="1"/>
  <c r="N331" i="47"/>
  <c r="M331" i="47"/>
  <c r="L333" i="47"/>
  <c r="J339" i="47"/>
  <c r="P345" i="47"/>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B311" i="47"/>
  <c r="J314" i="47"/>
  <c r="I320" i="47"/>
  <c r="G320" i="47"/>
  <c r="E320" i="47"/>
  <c r="G322" i="47"/>
  <c r="P323" i="47"/>
  <c r="Q323" i="47" s="1"/>
  <c r="B330" i="47"/>
  <c r="E341" i="47"/>
  <c r="E347" i="47"/>
  <c r="M350"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N319" i="47"/>
  <c r="I319" i="47"/>
  <c r="E319" i="47"/>
  <c r="D319" i="47"/>
  <c r="O319" i="47" s="1"/>
  <c r="J322" i="47"/>
  <c r="F325" i="47"/>
  <c r="D325" i="47"/>
  <c r="Q325" i="47" s="1"/>
  <c r="B325" i="47"/>
  <c r="N325" i="47"/>
  <c r="C330" i="47"/>
  <c r="M330" i="47" s="1"/>
  <c r="I354" i="47"/>
  <c r="G356" i="47"/>
  <c r="N364" i="47"/>
  <c r="K364" i="47"/>
  <c r="E364" i="47"/>
  <c r="D364" i="47"/>
  <c r="O364" i="47" s="1"/>
  <c r="C364" i="47"/>
  <c r="L364" i="47" s="1"/>
  <c r="B364" i="47"/>
  <c r="M364" i="47" s="1"/>
  <c r="P364" i="47"/>
  <c r="Q364" i="47" s="1"/>
  <c r="J364" i="47"/>
  <c r="I364" i="47"/>
  <c r="H364" i="47"/>
  <c r="G364" i="47"/>
  <c r="J366" i="47"/>
  <c r="F366" i="47"/>
  <c r="N366" i="47" s="1"/>
  <c r="D366" i="47"/>
  <c r="O366" i="47" s="1"/>
  <c r="C366" i="47"/>
  <c r="E366" i="47" s="1"/>
  <c r="B366" i="47"/>
  <c r="P366" i="47"/>
  <c r="Q366" i="47" s="1"/>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O406" i="47" s="1"/>
  <c r="C406" i="47"/>
  <c r="L406" i="47" s="1"/>
  <c r="B406" i="47"/>
  <c r="P369" i="47"/>
  <c r="F373" i="47"/>
  <c r="J373" i="47" s="1"/>
  <c r="I380" i="47"/>
  <c r="G383" i="47"/>
  <c r="F383" i="47"/>
  <c r="C383" i="47"/>
  <c r="J383" i="47" s="1"/>
  <c r="B383" i="47"/>
  <c r="P383" i="47"/>
  <c r="N383" i="47"/>
  <c r="C388" i="47"/>
  <c r="L388" i="47" s="1"/>
  <c r="B388" i="47"/>
  <c r="N388" i="47"/>
  <c r="J388" i="47"/>
  <c r="E406" i="47"/>
  <c r="V334" i="47"/>
  <c r="L340" i="47"/>
  <c r="Q346" i="47"/>
  <c r="N353" i="47"/>
  <c r="K354" i="47"/>
  <c r="B357" i="47"/>
  <c r="P358" i="47"/>
  <c r="M359" i="47"/>
  <c r="P368" i="47"/>
  <c r="B373" i="47"/>
  <c r="J378" i="47"/>
  <c r="G378" i="47"/>
  <c r="F378" i="47"/>
  <c r="D378" i="47"/>
  <c r="O378" i="47" s="1"/>
  <c r="C378" i="47"/>
  <c r="B378" i="47"/>
  <c r="K378" i="47" s="1"/>
  <c r="D383" i="47"/>
  <c r="O383" i="47" s="1"/>
  <c r="D388" i="47"/>
  <c r="O388" i="47" s="1"/>
  <c r="E389" i="47"/>
  <c r="P394" i="47"/>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O373" i="47" s="1"/>
  <c r="H383" i="47"/>
  <c r="F387" i="47"/>
  <c r="J387" i="47" s="1"/>
  <c r="C387" i="47"/>
  <c r="H387" i="47" s="1"/>
  <c r="B387" i="47"/>
  <c r="I387" i="47" s="1"/>
  <c r="P387" i="47"/>
  <c r="N387" i="47"/>
  <c r="F388" i="47"/>
  <c r="H388" i="47" s="1"/>
  <c r="I393" i="47"/>
  <c r="G399" i="47"/>
  <c r="F399" i="47"/>
  <c r="C399" i="47"/>
  <c r="I399" i="47" s="1"/>
  <c r="B399" i="47"/>
  <c r="P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O382" i="47" s="1"/>
  <c r="C382" i="47"/>
  <c r="E382" i="47" s="1"/>
  <c r="B382" i="47"/>
  <c r="I383" i="47"/>
  <c r="M384"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H408" i="47"/>
  <c r="F369" i="47"/>
  <c r="K383" i="47"/>
  <c r="I388" i="47"/>
  <c r="G391" i="47"/>
  <c r="F391" i="47"/>
  <c r="C391" i="47"/>
  <c r="H391" i="47" s="1"/>
  <c r="B391" i="47"/>
  <c r="P391" i="47"/>
  <c r="P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D376" i="47"/>
  <c r="Q376" i="47" s="1"/>
  <c r="E377"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K401" i="47"/>
  <c r="F401" i="47"/>
  <c r="C401" i="47"/>
  <c r="I401" i="47" s="1"/>
  <c r="G375" i="47"/>
  <c r="F375" i="47"/>
  <c r="C375" i="47"/>
  <c r="J375" i="47" s="1"/>
  <c r="B375" i="47"/>
  <c r="P375" i="47"/>
  <c r="C380" i="47"/>
  <c r="H380" i="47" s="1"/>
  <c r="B380" i="47"/>
  <c r="N380" i="47"/>
  <c r="J380" i="47"/>
  <c r="F385" i="47"/>
  <c r="L387" i="47"/>
  <c r="J390" i="47"/>
  <c r="F390" i="47"/>
  <c r="D390" i="47"/>
  <c r="O390" i="47" s="1"/>
  <c r="C390" i="47"/>
  <c r="M390" i="47" s="1"/>
  <c r="B390" i="47"/>
  <c r="J391" i="47"/>
  <c r="K394" i="47"/>
  <c r="F394" i="47"/>
  <c r="D394" i="47"/>
  <c r="O394" i="47" s="1"/>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O363" i="47" s="1"/>
  <c r="N365" i="47"/>
  <c r="J365" i="47"/>
  <c r="G365" i="47"/>
  <c r="F365" i="47"/>
  <c r="H365" i="47" s="1"/>
  <c r="E367" i="47"/>
  <c r="F368" i="47"/>
  <c r="H368" i="47" s="1"/>
  <c r="K371" i="47"/>
  <c r="P372" i="47"/>
  <c r="D375" i="47"/>
  <c r="O375" i="47" s="1"/>
  <c r="G376" i="47"/>
  <c r="M377" i="47"/>
  <c r="D380" i="47"/>
  <c r="Q380" i="47" s="1"/>
  <c r="E381"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E375" i="47"/>
  <c r="H376" i="47"/>
  <c r="P377" i="47"/>
  <c r="Q377" i="47" s="1"/>
  <c r="E380" i="47"/>
  <c r="I381" i="47"/>
  <c r="P382" i="47"/>
  <c r="C385" i="47"/>
  <c r="J385" i="47" s="1"/>
  <c r="M386"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Q371" i="47"/>
  <c r="K374" i="47"/>
  <c r="G374" i="47"/>
  <c r="F374" i="47"/>
  <c r="J374" i="47" s="1"/>
  <c r="D374" i="47"/>
  <c r="O374" i="47" s="1"/>
  <c r="C374" i="47"/>
  <c r="B374" i="47"/>
  <c r="I375" i="47"/>
  <c r="M376" i="47"/>
  <c r="D379" i="47"/>
  <c r="O379" i="47" s="1"/>
  <c r="G380" i="47"/>
  <c r="M381" i="47"/>
  <c r="D384" i="47"/>
  <c r="O384" i="47" s="1"/>
  <c r="E385"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O414" i="47" s="1"/>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O448" i="47" s="1"/>
  <c r="F448" i="47"/>
  <c r="E448" i="47"/>
  <c r="P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P488" i="47"/>
  <c r="L488" i="47"/>
  <c r="K488" i="47"/>
  <c r="J488" i="47"/>
  <c r="I488" i="47"/>
  <c r="H488" i="47"/>
  <c r="G488" i="47"/>
  <c r="C488" i="47"/>
  <c r="N488" i="47" s="1"/>
  <c r="Q407" i="47"/>
  <c r="I409" i="47"/>
  <c r="J414" i="47"/>
  <c r="O417" i="47"/>
  <c r="D423" i="47"/>
  <c r="O423" i="47" s="1"/>
  <c r="N427" i="47"/>
  <c r="L433" i="47"/>
  <c r="J445" i="47"/>
  <c r="H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L445" i="47"/>
  <c r="Q447" i="47"/>
  <c r="C459" i="47"/>
  <c r="G459" i="47" s="1"/>
  <c r="F468" i="47"/>
  <c r="D468" i="47"/>
  <c r="O468" i="47" s="1"/>
  <c r="P468" i="47"/>
  <c r="J468" i="47"/>
  <c r="I468" i="47"/>
  <c r="P478" i="47"/>
  <c r="F478" i="47"/>
  <c r="N478" i="47" s="1"/>
  <c r="E478" i="47"/>
  <c r="D478" i="47"/>
  <c r="O478" i="47" s="1"/>
  <c r="C478" i="47"/>
  <c r="J478" i="47" s="1"/>
  <c r="Q445" i="47"/>
  <c r="J448" i="47"/>
  <c r="D459" i="47"/>
  <c r="O459" i="47" s="1"/>
  <c r="B468" i="47"/>
  <c r="B478" i="47"/>
  <c r="B489" i="47"/>
  <c r="P489" i="47"/>
  <c r="Q489" i="47"/>
  <c r="M489" i="47"/>
  <c r="L489" i="47"/>
  <c r="K489" i="47"/>
  <c r="J489" i="47"/>
  <c r="H489" i="47"/>
  <c r="G489" i="47"/>
  <c r="F489" i="47"/>
  <c r="C489" i="47"/>
  <c r="N489" i="47" s="1"/>
  <c r="Q392" i="47"/>
  <c r="Q396" i="47"/>
  <c r="Q400" i="47"/>
  <c r="Q404" i="47"/>
  <c r="E407" i="47"/>
  <c r="Q408" i="47"/>
  <c r="M409" i="47"/>
  <c r="H411" i="47"/>
  <c r="O413" i="47"/>
  <c r="E417" i="47"/>
  <c r="B418" i="47"/>
  <c r="M420" i="47"/>
  <c r="G422" i="47"/>
  <c r="F423" i="47"/>
  <c r="E424" i="47"/>
  <c r="D443" i="47"/>
  <c r="O443" i="47" s="1"/>
  <c r="C443" i="47"/>
  <c r="G443" i="47" s="1"/>
  <c r="B443" i="47"/>
  <c r="Q450" i="47"/>
  <c r="P452" i="47"/>
  <c r="J455" i="47"/>
  <c r="H455" i="47"/>
  <c r="E455" i="47"/>
  <c r="D455" i="47"/>
  <c r="O455" i="47" s="1"/>
  <c r="C455" i="47"/>
  <c r="B455" i="47"/>
  <c r="P455" i="47"/>
  <c r="N455" i="47"/>
  <c r="K459" i="47"/>
  <c r="C468" i="47"/>
  <c r="N468" i="47" s="1"/>
  <c r="Q476" i="47"/>
  <c r="D489" i="47"/>
  <c r="O489" i="47" s="1"/>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N469" i="47"/>
  <c r="M469" i="47"/>
  <c r="L469" i="47"/>
  <c r="K469" i="47"/>
  <c r="J469" i="47"/>
  <c r="H469" i="47"/>
  <c r="G469" i="47"/>
  <c r="F469" i="47"/>
  <c r="D469" i="47"/>
  <c r="O469" i="47" s="1"/>
  <c r="B498" i="47"/>
  <c r="P498" i="47"/>
  <c r="N498" i="47"/>
  <c r="M498" i="47"/>
  <c r="L498" i="47"/>
  <c r="K498" i="47"/>
  <c r="J498" i="47"/>
  <c r="I498" i="47"/>
  <c r="G498" i="47"/>
  <c r="F498" i="47"/>
  <c r="D498" i="47"/>
  <c r="O498" i="47" s="1"/>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O496" i="47" s="1"/>
  <c r="M499" i="47"/>
  <c r="L499" i="47"/>
  <c r="P504" i="47"/>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Q521" i="47" s="1"/>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P587" i="47"/>
  <c r="M587" i="47"/>
  <c r="H587" i="47"/>
  <c r="G587" i="47"/>
  <c r="B587" i="47"/>
  <c r="B453" i="47"/>
  <c r="P453" i="47"/>
  <c r="Q453" i="47" s="1"/>
  <c r="H458" i="47"/>
  <c r="D461" i="47"/>
  <c r="O461" i="47" s="1"/>
  <c r="I467" i="47"/>
  <c r="C470" i="47"/>
  <c r="J471" i="47"/>
  <c r="J476" i="47"/>
  <c r="C479" i="47"/>
  <c r="I479" i="47" s="1"/>
  <c r="F480" i="47"/>
  <c r="D480" i="47"/>
  <c r="O480" i="47" s="1"/>
  <c r="L484" i="47"/>
  <c r="J485" i="47"/>
  <c r="H486" i="47"/>
  <c r="I487" i="47"/>
  <c r="D491" i="47"/>
  <c r="Q491" i="47" s="1"/>
  <c r="D493" i="47"/>
  <c r="O493" i="47" s="1"/>
  <c r="C494" i="47"/>
  <c r="L494" i="47" s="1"/>
  <c r="C495" i="47"/>
  <c r="L495" i="47" s="1"/>
  <c r="H499" i="47"/>
  <c r="J503" i="47"/>
  <c r="G503" i="47"/>
  <c r="H505" i="47"/>
  <c r="E509" i="47"/>
  <c r="H514" i="47"/>
  <c r="L514" i="47"/>
  <c r="J514" i="47"/>
  <c r="I514" i="47"/>
  <c r="G514" i="47"/>
  <c r="F514" i="47"/>
  <c r="D514" i="47"/>
  <c r="O514" i="47" s="1"/>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Q494" i="47" s="1"/>
  <c r="E495" i="47"/>
  <c r="J496" i="47"/>
  <c r="I499" i="47"/>
  <c r="I505" i="47"/>
  <c r="E514" i="47"/>
  <c r="V523"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N578" i="47"/>
  <c r="M578" i="47"/>
  <c r="L578" i="47"/>
  <c r="C578" i="47"/>
  <c r="K578" i="47" s="1"/>
  <c r="J578" i="47"/>
  <c r="F578" i="47"/>
  <c r="H578" i="47" s="1"/>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E520" i="47"/>
  <c r="B522" i="47"/>
  <c r="M524" i="47"/>
  <c r="L524" i="47"/>
  <c r="K524" i="47"/>
  <c r="J524" i="47"/>
  <c r="I524" i="47"/>
  <c r="H524" i="47"/>
  <c r="E524" i="47"/>
  <c r="I526" i="47"/>
  <c r="H526" i="47"/>
  <c r="F526" i="47"/>
  <c r="L526" i="47" s="1"/>
  <c r="N526" i="47"/>
  <c r="M526" i="47"/>
  <c r="J526" i="47"/>
  <c r="G526" i="47"/>
  <c r="D526" i="47"/>
  <c r="O526" i="47" s="1"/>
  <c r="C526" i="47"/>
  <c r="B526" i="47"/>
  <c r="K526" i="47" s="1"/>
  <c r="P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L501" i="47"/>
  <c r="P501" i="47"/>
  <c r="Q501" i="47" s="1"/>
  <c r="F501" i="47"/>
  <c r="I502" i="47"/>
  <c r="M503" i="47"/>
  <c r="D507" i="47"/>
  <c r="O507" i="47" s="1"/>
  <c r="L507" i="47"/>
  <c r="H507" i="47"/>
  <c r="G507" i="47"/>
  <c r="F507" i="47"/>
  <c r="J507" i="47" s="1"/>
  <c r="J508" i="47"/>
  <c r="M509" i="47"/>
  <c r="B513" i="47"/>
  <c r="P514" i="47"/>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K502" i="47"/>
  <c r="N503" i="47"/>
  <c r="K508" i="47"/>
  <c r="N509" i="47"/>
  <c r="J520" i="47"/>
  <c r="D522" i="47"/>
  <c r="O522" i="47" s="1"/>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L493" i="47"/>
  <c r="P495" i="47"/>
  <c r="P500" i="47"/>
  <c r="Q500" i="47" s="1"/>
  <c r="O500" i="47"/>
  <c r="M500" i="47"/>
  <c r="K500" i="47"/>
  <c r="C501" i="47"/>
  <c r="H501" i="47" s="1"/>
  <c r="L502" i="47"/>
  <c r="O506" i="47"/>
  <c r="M508" i="47"/>
  <c r="D513" i="47"/>
  <c r="O513" i="47" s="1"/>
  <c r="K522" i="47"/>
  <c r="G524" i="47"/>
  <c r="P526" i="47"/>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N502" i="47"/>
  <c r="B476" i="47"/>
  <c r="B477" i="47"/>
  <c r="M477" i="47" s="1"/>
  <c r="P477" i="47"/>
  <c r="Q477" i="47" s="1"/>
  <c r="B486" i="47"/>
  <c r="G486" i="47" s="1"/>
  <c r="J487" i="47"/>
  <c r="F487" i="47"/>
  <c r="H487" i="47" s="1"/>
  <c r="P492" i="47"/>
  <c r="Q492" i="47" s="1"/>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O543" i="47" s="1"/>
  <c r="B543" i="47"/>
  <c r="M549" i="47"/>
  <c r="I550" i="47"/>
  <c r="H550" i="47"/>
  <c r="F550" i="47"/>
  <c r="N550" i="47" s="1"/>
  <c r="M550" i="47"/>
  <c r="E551" i="47"/>
  <c r="D551" i="47"/>
  <c r="O551" i="47" s="1"/>
  <c r="B551" i="47"/>
  <c r="M551" i="47" s="1"/>
  <c r="I551" i="47"/>
  <c r="H572" i="47"/>
  <c r="P572" i="47"/>
  <c r="C572" i="47"/>
  <c r="M545" i="47"/>
  <c r="J545" i="47"/>
  <c r="I546" i="47"/>
  <c r="H546" i="47"/>
  <c r="F546" i="47"/>
  <c r="M546" i="47"/>
  <c r="E547" i="47"/>
  <c r="D547" i="47"/>
  <c r="Q547" i="47" s="1"/>
  <c r="B547" i="47"/>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E570" i="47"/>
  <c r="D570" i="47"/>
  <c r="O570" i="47" s="1"/>
  <c r="C570" i="47"/>
  <c r="B570" i="47"/>
  <c r="G570" i="47" s="1"/>
  <c r="N570" i="47"/>
  <c r="I570" i="47"/>
  <c r="Q592" i="47"/>
  <c r="L497"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J562" i="47"/>
  <c r="I562" i="47"/>
  <c r="D562" i="47"/>
  <c r="O562" i="47" s="1"/>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N541" i="47"/>
  <c r="L543" i="47"/>
  <c r="H545" i="47"/>
  <c r="K546" i="47"/>
  <c r="L547" i="47"/>
  <c r="L550" i="47"/>
  <c r="K552" i="47"/>
  <c r="K553" i="47"/>
  <c r="L556"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M552" i="47"/>
  <c r="N564" i="47"/>
  <c r="M570" i="47"/>
  <c r="N571" i="47"/>
  <c r="V572" i="47"/>
  <c r="D574" i="47"/>
  <c r="O574" i="47" s="1"/>
  <c r="M577" i="47"/>
  <c r="D580" i="47"/>
  <c r="V605" i="47"/>
  <c r="F637" i="47"/>
  <c r="J637" i="47" s="1"/>
  <c r="E637" i="47"/>
  <c r="D637" i="47"/>
  <c r="O637" i="47" s="1"/>
  <c r="M637" i="47"/>
  <c r="L637" i="47"/>
  <c r="P637" i="47"/>
  <c r="Q637" i="47" s="1"/>
  <c r="N637" i="47"/>
  <c r="H637" i="47"/>
  <c r="G637" i="47"/>
  <c r="C637" i="47"/>
  <c r="K637" i="47" s="1"/>
  <c r="B637" i="47"/>
  <c r="I637" i="47" s="1"/>
  <c r="V511" i="47"/>
  <c r="C517" i="47"/>
  <c r="F518" i="47"/>
  <c r="H531" i="47"/>
  <c r="C534" i="47"/>
  <c r="M537" i="47"/>
  <c r="L537" i="47"/>
  <c r="J537" i="47"/>
  <c r="V539" i="47"/>
  <c r="N545" i="47"/>
  <c r="P550" i="47"/>
  <c r="P551" i="47"/>
  <c r="F562" i="47"/>
  <c r="P564" i="47"/>
  <c r="K568" i="47"/>
  <c r="I568" i="47"/>
  <c r="C568" i="47"/>
  <c r="O571" i="47"/>
  <c r="N575" i="47"/>
  <c r="N577" i="47"/>
  <c r="M579" i="47"/>
  <c r="J579" i="47"/>
  <c r="I579" i="47"/>
  <c r="Q579" i="47"/>
  <c r="E580" i="47"/>
  <c r="M581" i="47"/>
  <c r="H584" i="47"/>
  <c r="N584" i="47"/>
  <c r="L584" i="47"/>
  <c r="G584" i="47"/>
  <c r="F584" i="47"/>
  <c r="B584" i="47"/>
  <c r="M584" i="47" s="1"/>
  <c r="P590" i="47"/>
  <c r="Q590" i="47" s="1"/>
  <c r="F590" i="47"/>
  <c r="D590" i="47"/>
  <c r="O590" i="47" s="1"/>
  <c r="C590" i="47"/>
  <c r="B590" i="47"/>
  <c r="N602" i="47"/>
  <c r="M602" i="47"/>
  <c r="K602" i="47"/>
  <c r="J602" i="47"/>
  <c r="I602" i="47"/>
  <c r="H602" i="47"/>
  <c r="G602" i="47"/>
  <c r="E602" i="47"/>
  <c r="I538" i="47"/>
  <c r="H538" i="47"/>
  <c r="F538" i="47"/>
  <c r="P543" i="47"/>
  <c r="Q543" i="47" s="1"/>
  <c r="P546" i="47"/>
  <c r="P547" i="47"/>
  <c r="Q560" i="47"/>
  <c r="N561" i="47"/>
  <c r="L561" i="47"/>
  <c r="G561" i="47"/>
  <c r="G562"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N619" i="47"/>
  <c r="G619" i="47"/>
  <c r="E619" i="47"/>
  <c r="D619" i="47"/>
  <c r="O619" i="47" s="1"/>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O635" i="47" s="1"/>
  <c r="J642" i="47"/>
  <c r="H642" i="47"/>
  <c r="G642" i="47"/>
  <c r="H649" i="47"/>
  <c r="F654" i="47"/>
  <c r="E604" i="47"/>
  <c r="C607" i="47"/>
  <c r="E609" i="47"/>
  <c r="D609" i="47"/>
  <c r="O609" i="47" s="1"/>
  <c r="M609" i="47"/>
  <c r="C619" i="47"/>
  <c r="I619" i="47" s="1"/>
  <c r="D627" i="47"/>
  <c r="O627" i="47" s="1"/>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M617" i="47"/>
  <c r="K618" i="47"/>
  <c r="I618" i="47"/>
  <c r="H618" i="47"/>
  <c r="F646" i="47"/>
  <c r="D646" i="47"/>
  <c r="O646" i="47" s="1"/>
  <c r="P646" i="47"/>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54" i="47"/>
  <c r="B687" i="47"/>
  <c r="E687" i="47"/>
  <c r="D687" i="47"/>
  <c r="O687" i="47" s="1"/>
  <c r="P687" i="47"/>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M596" i="47"/>
  <c r="J597" i="47"/>
  <c r="C600" i="47"/>
  <c r="E601" i="47"/>
  <c r="D601" i="47"/>
  <c r="O601" i="47" s="1"/>
  <c r="M606" i="47"/>
  <c r="N607" i="47"/>
  <c r="L608" i="47"/>
  <c r="K609" i="47"/>
  <c r="J610" i="47"/>
  <c r="K612" i="47"/>
  <c r="J614" i="47"/>
  <c r="I615" i="47"/>
  <c r="K617" i="47"/>
  <c r="M618" i="47"/>
  <c r="Q619" i="47"/>
  <c r="B623" i="47"/>
  <c r="H625" i="47"/>
  <c r="J626" i="47"/>
  <c r="N631" i="47"/>
  <c r="M631" i="47"/>
  <c r="L631" i="47"/>
  <c r="E631" i="47"/>
  <c r="D631" i="47"/>
  <c r="L634" i="47"/>
  <c r="P635" i="47"/>
  <c r="Q635" i="47" s="1"/>
  <c r="C639" i="47"/>
  <c r="M639" i="47" s="1"/>
  <c r="J641" i="47"/>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N606" i="47"/>
  <c r="M608" i="47"/>
  <c r="L609" i="47"/>
  <c r="K610" i="47"/>
  <c r="L612" i="47"/>
  <c r="K614" i="47"/>
  <c r="J615" i="47"/>
  <c r="N618" i="47"/>
  <c r="V619" i="47"/>
  <c r="C623" i="47"/>
  <c r="I625" i="47"/>
  <c r="L626" i="47"/>
  <c r="P627" i="47"/>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P709" i="47"/>
  <c r="M709" i="47"/>
  <c r="K709" i="47"/>
  <c r="J709" i="47"/>
  <c r="I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M706" i="47"/>
  <c r="N706" i="47"/>
  <c r="L706" i="47"/>
  <c r="J706" i="47"/>
  <c r="I706" i="47"/>
  <c r="H706" i="47"/>
  <c r="F706" i="47"/>
  <c r="C706" i="47"/>
  <c r="G706" i="47" s="1"/>
  <c r="N651" i="47"/>
  <c r="E655" i="47"/>
  <c r="H658" i="47"/>
  <c r="F659" i="47"/>
  <c r="O662" i="47"/>
  <c r="B667" i="47"/>
  <c r="N669" i="47"/>
  <c r="E682" i="47"/>
  <c r="B695" i="47"/>
  <c r="D695" i="47"/>
  <c r="Q695" i="47" s="1"/>
  <c r="C695" i="47"/>
  <c r="K695" i="47" s="1"/>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F681" i="47"/>
  <c r="E699" i="47"/>
  <c r="G702" i="47"/>
  <c r="D706" i="47"/>
  <c r="O706" i="47" s="1"/>
  <c r="N709" i="47"/>
  <c r="O661" i="47"/>
  <c r="D667" i="47"/>
  <c r="O667" i="47" s="1"/>
  <c r="P670" i="47"/>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L667" i="47" s="1"/>
  <c r="P671" i="47"/>
  <c r="H678" i="47"/>
  <c r="C678" i="47"/>
  <c r="Q678" i="47"/>
  <c r="I682" i="47"/>
  <c r="I690" i="47"/>
  <c r="G695" i="47"/>
  <c r="G699" i="47"/>
  <c r="B701" i="47"/>
  <c r="P701" i="47"/>
  <c r="C701" i="47"/>
  <c r="M701" i="47" s="1"/>
  <c r="L701" i="47"/>
  <c r="K706" i="47"/>
  <c r="D725" i="47"/>
  <c r="O725" i="47" s="1"/>
  <c r="K725" i="47"/>
  <c r="I725" i="47"/>
  <c r="B725" i="47"/>
  <c r="P725" i="47"/>
  <c r="J725" i="47"/>
  <c r="F725" i="47"/>
  <c r="E725" i="47"/>
  <c r="C725" i="47"/>
  <c r="N725" i="47" s="1"/>
  <c r="E651" i="47"/>
  <c r="J659" i="47"/>
  <c r="C661" i="47"/>
  <c r="K662" i="47"/>
  <c r="I662" i="47"/>
  <c r="O669" i="47"/>
  <c r="M669" i="47"/>
  <c r="B678" i="47"/>
  <c r="B685" i="47"/>
  <c r="P685" i="47"/>
  <c r="M685" i="47"/>
  <c r="L685" i="47"/>
  <c r="J685" i="47"/>
  <c r="H685" i="47"/>
  <c r="D685" i="47"/>
  <c r="O685" i="47" s="1"/>
  <c r="B689" i="47"/>
  <c r="P689" i="47"/>
  <c r="J689" i="47"/>
  <c r="I689" i="47"/>
  <c r="H689" i="47"/>
  <c r="F689" i="47"/>
  <c r="D689" i="47"/>
  <c r="O689" i="47" s="1"/>
  <c r="C689" i="47"/>
  <c r="J690" i="47"/>
  <c r="B693" i="47"/>
  <c r="P693" i="47"/>
  <c r="Q693" i="47" s="1"/>
  <c r="F693" i="47"/>
  <c r="E693" i="47"/>
  <c r="C693" i="47"/>
  <c r="N693" i="47" s="1"/>
  <c r="M698" i="47"/>
  <c r="I698" i="47"/>
  <c r="K699" i="47"/>
  <c r="D701" i="47"/>
  <c r="Q701" i="47" s="1"/>
  <c r="P717" i="47"/>
  <c r="O731" i="47"/>
  <c r="M657" i="47"/>
  <c r="L659" i="47"/>
  <c r="J667" i="47"/>
  <c r="F678" i="47"/>
  <c r="L681" i="47"/>
  <c r="O682" i="47"/>
  <c r="E685" i="47"/>
  <c r="I686" i="47"/>
  <c r="E698" i="47"/>
  <c r="F701" i="47"/>
  <c r="J703" i="47"/>
  <c r="H703" i="47"/>
  <c r="B703" i="47"/>
  <c r="P703" i="47"/>
  <c r="Q703" i="47" s="1"/>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H698" i="47"/>
  <c r="D703" i="47"/>
  <c r="O703" i="47" s="1"/>
  <c r="C705" i="47"/>
  <c r="J705" i="47" s="1"/>
  <c r="K707" i="47"/>
  <c r="I624" i="47"/>
  <c r="I628" i="47"/>
  <c r="Q634" i="47"/>
  <c r="I640" i="47"/>
  <c r="I642" i="47"/>
  <c r="K644" i="47"/>
  <c r="J650" i="47"/>
  <c r="G651" i="47"/>
  <c r="K655" i="47"/>
  <c r="D657" i="47"/>
  <c r="O657" i="47" s="1"/>
  <c r="I658" i="47"/>
  <c r="F662" i="47"/>
  <c r="L662" i="47" s="1"/>
  <c r="D663" i="47"/>
  <c r="O663" i="47" s="1"/>
  <c r="M667" i="47"/>
  <c r="D670" i="47"/>
  <c r="O670" i="47" s="1"/>
  <c r="C671" i="47"/>
  <c r="Q674" i="47"/>
  <c r="O674" i="47"/>
  <c r="M674" i="47"/>
  <c r="E676" i="47"/>
  <c r="F688" i="47"/>
  <c r="H688" i="47" s="1"/>
  <c r="D688" i="47"/>
  <c r="O688" i="47" s="1"/>
  <c r="N688" i="47"/>
  <c r="I688" i="47"/>
  <c r="C688" i="47"/>
  <c r="B688" i="47"/>
  <c r="E705" i="47"/>
  <c r="D721" i="47"/>
  <c r="O721" i="47" s="1"/>
  <c r="F721" i="47"/>
  <c r="C721" i="47"/>
  <c r="M721" i="47" s="1"/>
  <c r="P721" i="47"/>
  <c r="B721" i="47"/>
  <c r="B642" i="47"/>
  <c r="M642" i="47" s="1"/>
  <c r="K650" i="47"/>
  <c r="M653" i="47"/>
  <c r="L655" i="47"/>
  <c r="E657" i="47"/>
  <c r="B658" i="47"/>
  <c r="G658" i="47" s="1"/>
  <c r="P659" i="47"/>
  <c r="I661" i="47"/>
  <c r="G662" i="47"/>
  <c r="F663" i="47"/>
  <c r="N667" i="47"/>
  <c r="G669" i="47"/>
  <c r="D671" i="47"/>
  <c r="O671" i="47" s="1"/>
  <c r="B674" i="47"/>
  <c r="C675" i="47"/>
  <c r="G676" i="47"/>
  <c r="C684" i="47"/>
  <c r="N684" i="47" s="1"/>
  <c r="K685" i="47"/>
  <c r="E688" i="47"/>
  <c r="N689" i="47"/>
  <c r="H692" i="47"/>
  <c r="L693"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L683" i="47"/>
  <c r="F683" i="47"/>
  <c r="H683" i="47" s="1"/>
  <c r="N685" i="47"/>
  <c r="V686" i="47"/>
  <c r="I692" i="47"/>
  <c r="M693" i="47"/>
  <c r="C700" i="47"/>
  <c r="K700" i="47" s="1"/>
  <c r="N703" i="47"/>
  <c r="L705" i="47"/>
  <c r="Q712" i="47"/>
  <c r="E659" i="47"/>
  <c r="P667" i="47"/>
  <c r="Q667" i="47" s="1"/>
  <c r="K688"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O737" i="47" s="1"/>
  <c r="B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F803" i="47"/>
  <c r="D803" i="47"/>
  <c r="O803" i="47" s="1"/>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O751" i="47" s="1"/>
  <c r="P751" i="47"/>
  <c r="M751" i="47"/>
  <c r="I751" i="47"/>
  <c r="C751" i="47"/>
  <c r="B751" i="47"/>
  <c r="L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O739" i="47" s="1"/>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J707" i="47"/>
  <c r="G708" i="47"/>
  <c r="C727" i="47"/>
  <c r="K727" i="47" s="1"/>
  <c r="K730" i="47"/>
  <c r="D735" i="47"/>
  <c r="Q735" i="47" s="1"/>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I791" i="47"/>
  <c r="G791" i="47"/>
  <c r="F791" i="47"/>
  <c r="J791" i="47" s="1"/>
  <c r="L791" i="47"/>
  <c r="D791" i="47"/>
  <c r="Q791" i="47" s="1"/>
  <c r="F794" i="47"/>
  <c r="C794" i="47"/>
  <c r="M794" i="47" s="1"/>
  <c r="K794" i="47"/>
  <c r="P794" i="47"/>
  <c r="Q794" i="47" s="1"/>
  <c r="O794" i="47"/>
  <c r="G794" i="47"/>
  <c r="N804" i="47"/>
  <c r="K804" i="47"/>
  <c r="C804" i="47"/>
  <c r="L804" i="47" s="1"/>
  <c r="B804" i="47"/>
  <c r="I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B787" i="47"/>
  <c r="I787" i="47"/>
  <c r="G787" i="47"/>
  <c r="F787" i="47"/>
  <c r="H787" i="47"/>
  <c r="D787" i="47"/>
  <c r="O787" i="47" s="1"/>
  <c r="M787" i="47"/>
  <c r="P788" i="47"/>
  <c r="Q788" i="47" s="1"/>
  <c r="N791" i="47"/>
  <c r="L794" i="47"/>
  <c r="K796" i="47"/>
  <c r="E796" i="47"/>
  <c r="C796" i="47"/>
  <c r="B796" i="47"/>
  <c r="Q796" i="47"/>
  <c r="L796" i="47"/>
  <c r="J796" i="47"/>
  <c r="D796" i="47"/>
  <c r="O796" i="47" s="1"/>
  <c r="P804" i="47"/>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2" i="47" s="1"/>
  <c r="O838" i="47"/>
  <c r="N838" i="47"/>
  <c r="M838" i="47"/>
  <c r="F838" i="47"/>
  <c r="C838" i="47"/>
  <c r="E838" i="47" s="1"/>
  <c r="P838" i="47"/>
  <c r="K838" i="47"/>
  <c r="L842" i="47"/>
  <c r="I842" i="47"/>
  <c r="H842" i="47"/>
  <c r="G842" i="47"/>
  <c r="F836" i="47"/>
  <c r="E836" i="47"/>
  <c r="L836" i="47"/>
  <c r="I836" i="47"/>
  <c r="C836" i="47"/>
  <c r="J836" i="47" s="1"/>
  <c r="B836" i="47"/>
  <c r="P836" i="47"/>
  <c r="J795" i="47"/>
  <c r="I797" i="47"/>
  <c r="F806" i="47"/>
  <c r="C806" i="47"/>
  <c r="K806" i="47" s="1"/>
  <c r="M806" i="47"/>
  <c r="J815" i="47"/>
  <c r="I815" i="47"/>
  <c r="P815" i="47"/>
  <c r="M815" i="47"/>
  <c r="E815" i="47"/>
  <c r="C815" i="47"/>
  <c r="B815" i="47"/>
  <c r="D836" i="47"/>
  <c r="O836" i="47" s="1"/>
  <c r="K842" i="47"/>
  <c r="J765" i="47"/>
  <c r="J781" i="47"/>
  <c r="J789" i="47"/>
  <c r="K795" i="47"/>
  <c r="K797" i="47"/>
  <c r="J805" i="47"/>
  <c r="D815" i="47"/>
  <c r="O815" i="47" s="1"/>
  <c r="J823" i="47"/>
  <c r="I823" i="47"/>
  <c r="P823" i="47"/>
  <c r="Q823" i="47" s="1"/>
  <c r="E823" i="47"/>
  <c r="C823" i="47"/>
  <c r="K823" i="47" s="1"/>
  <c r="B823" i="47"/>
  <c r="P832" i="47"/>
  <c r="P830" i="47"/>
  <c r="I830" i="47"/>
  <c r="G830" i="47"/>
  <c r="E830" i="47"/>
  <c r="D830" i="47"/>
  <c r="O830" i="47" s="1"/>
  <c r="Q838" i="47"/>
  <c r="N840" i="47"/>
  <c r="M840" i="47"/>
  <c r="L840" i="47"/>
  <c r="B830" i="47"/>
  <c r="H840" i="47"/>
  <c r="G823" i="47"/>
  <c r="C830" i="47"/>
  <c r="L830" i="47" s="1"/>
  <c r="J840" i="47"/>
  <c r="M843" i="47"/>
  <c r="K843" i="47"/>
  <c r="J843" i="47"/>
  <c r="F843" i="47"/>
  <c r="C843" i="47"/>
  <c r="I843" i="47" s="1"/>
  <c r="Q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N839" i="47"/>
  <c r="M839" i="47"/>
  <c r="D843" i="47"/>
  <c r="O843" i="47" s="1"/>
  <c r="F847" i="47"/>
  <c r="D847" i="47"/>
  <c r="O847" i="47" s="1"/>
  <c r="C847" i="47"/>
  <c r="N847" i="47" s="1"/>
  <c r="B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O839" i="47" s="1"/>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H851" i="47"/>
  <c r="P855" i="47"/>
  <c r="C859" i="47"/>
  <c r="K850" i="47"/>
  <c r="I850"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575" i="47" l="1"/>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<sst xmlns="http://schemas.openxmlformats.org/spreadsheetml/2006/main" count="20769" uniqueCount="7726">
  <si>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</si>
  <si>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</si>
  <si>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</si>
  <si>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</si>
  <si>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</si>
  <si>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</si>
  <si>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</si>
  <si>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</si>
  <si>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</si>
  <si>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</si>
  <si>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</si>
  <si>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</si>
  <si>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</si>
  <si>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</si>
  <si>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</si>
  <si>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</si>
  <si>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</si>
  <si>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</si>
  <si>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</si>
  <si>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</si>
  <si>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</si>
  <si>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</si>
  <si>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</si>
  <si>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</si>
  <si>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</si>
  <si>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</si>
  <si>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</si>
  <si>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</si>
  <si>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</si>
  <si>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</si>
  <si>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</si>
  <si>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</si>
  <si>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</si>
  <si>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</si>
  <si>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</si>
  <si>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</si>
  <si>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</si>
  <si>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</si>
  <si>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</si>
  <si>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</si>
  <si>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</si>
  <si>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</si>
  <si>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</si>
  <si>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</si>
  <si>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</si>
  <si>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</si>
  <si>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</si>
  <si>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</si>
  <si>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</si>
  <si>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</si>
  <si>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</si>
  <si>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</si>
  <si>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</si>
  <si>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</si>
  <si>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</si>
  <si>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</si>
  <si>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</si>
  <si>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</si>
  <si>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</si>
  <si>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</si>
  <si>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</si>
  <si>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</si>
  <si>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</si>
  <si>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</si>
  <si>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</si>
  <si>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</si>
  <si>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</si>
  <si>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</si>
  <si>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</si>
  <si>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</si>
  <si>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</si>
  <si>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</si>
  <si>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</si>
  <si>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</si>
  <si>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</si>
  <si>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</si>
  <si>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</si>
  <si>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</si>
  <si>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</si>
  <si>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</si>
  <si>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</si>
  <si>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</si>
  <si>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</si>
  <si>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</si>
  <si>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</si>
  <si>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</si>
  <si>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</si>
  <si>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</si>
  <si>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</si>
  <si>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</si>
  <si>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</si>
  <si>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</si>
  <si>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</si>
  <si>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</si>
  <si>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</si>
  <si>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</si>
  <si>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</si>
  <si>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</si>
  <si>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</si>
  <si>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</si>
  <si>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</si>
  <si>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</si>
  <si>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</si>
  <si>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</si>
  <si>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</si>
  <si>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</si>
  <si>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</si>
  <si>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</si>
  <si>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</si>
  <si>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</si>
  <si>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</si>
  <si>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</si>
  <si>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</si>
  <si>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</si>
  <si>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</si>
  <si>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</si>
  <si>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</si>
  <si>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</si>
  <si>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</si>
  <si>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</si>
  <si>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</si>
  <si>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</si>
  <si>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</si>
  <si>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</si>
  <si>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</si>
  <si>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</si>
  <si>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</si>
  <si>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</si>
  <si>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</si>
  <si>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</si>
  <si>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</si>
  <si>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</si>
  <si>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</si>
  <si>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</si>
  <si>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</si>
  <si>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</si>
  <si>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</si>
  <si>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</si>
  <si>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</si>
  <si>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</si>
  <si>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</si>
  <si>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</si>
  <si>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</si>
  <si>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</si>
  <si>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</si>
  <si>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</si>
  <si>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</si>
  <si>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</si>
  <si>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</si>
  <si>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</si>
  <si>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</si>
  <si>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</si>
  <si>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</si>
  <si>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</si>
  <si>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</si>
  <si>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</si>
  <si>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</si>
  <si>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</si>
  <si>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</si>
  <si>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</si>
  <si>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</si>
  <si>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</si>
  <si>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</si>
  <si>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</si>
  <si>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</si>
  <si>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</si>
  <si>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</si>
  <si>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</si>
  <si>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</si>
  <si>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</si>
  <si>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</si>
  <si>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</si>
  <si>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</si>
  <si>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</si>
  <si>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</si>
  <si>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</si>
  <si>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</si>
  <si>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</si>
  <si>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</si>
  <si>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</si>
  <si>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</si>
  <si>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</si>
  <si>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</si>
  <si>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</si>
  <si>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</si>
  <si>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</si>
  <si>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</si>
  <si>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</si>
  <si>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</si>
  <si>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</si>
  <si>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</si>
  <si>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</si>
  <si>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</si>
  <si>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</si>
  <si>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</si>
  <si>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</si>
  <si>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</si>
  <si>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</si>
  <si>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</si>
  <si>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</si>
  <si>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</si>
  <si>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</si>
  <si>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</si>
  <si>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</si>
  <si>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</si>
  <si>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</si>
  <si>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</si>
  <si>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</si>
  <si>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</si>
  <si>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</si>
  <si>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</si>
  <si>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</si>
  <si>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</si>
  <si>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</si>
  <si>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</si>
  <si>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</si>
  <si>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</si>
  <si>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</si>
  <si>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</si>
  <si>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</si>
  <si>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</si>
  <si>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</si>
  <si>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</si>
  <si>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</si>
  <si>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</si>
  <si>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</si>
  <si>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</si>
  <si>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</si>
  <si>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</si>
  <si>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</si>
  <si>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</si>
  <si>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</si>
  <si>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</si>
  <si>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</si>
  <si>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</si>
  <si>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</si>
  <si>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</si>
  <si>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</si>
  <si>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</si>
  <si>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</si>
  <si>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</si>
  <si>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</si>
  <si>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</si>
  <si>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</si>
  <si>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</si>
  <si>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</si>
  <si>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</si>
  <si>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</si>
  <si>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</si>
  <si>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</si>
  <si>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</si>
  <si>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</si>
  <si>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</si>
  <si>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</si>
  <si>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</si>
  <si>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</si>
  <si>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</si>
  <si>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</si>
  <si>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</si>
  <si>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</si>
  <si>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</si>
  <si>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</si>
  <si>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</si>
  <si>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</si>
  <si>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</si>
  <si>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</si>
  <si>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</si>
  <si>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</si>
  <si>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</si>
  <si>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</si>
  <si>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</si>
  <si>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</si>
  <si>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</si>
  <si>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</si>
  <si>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</si>
  <si>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</si>
  <si>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</si>
  <si>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</si>
  <si>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</si>
  <si>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</si>
  <si>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</si>
  <si>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</si>
  <si>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</si>
  <si>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</si>
  <si>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</si>
  <si>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</si>
  <si>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</si>
  <si>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</si>
  <si>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</si>
  <si>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</si>
  <si>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</si>
  <si>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</si>
  <si>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</si>
  <si>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</si>
  <si>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</si>
  <si>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</si>
  <si>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</si>
  <si>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</si>
  <si>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</si>
  <si>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</si>
  <si>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</si>
  <si>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</si>
  <si>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</si>
  <si>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</si>
  <si>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</si>
  <si>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</si>
  <si>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</si>
  <si>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</si>
  <si>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</si>
  <si>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</si>
  <si>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</si>
  <si>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</si>
  <si>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</si>
  <si>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</si>
  <si>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</si>
  <si>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</si>
  <si>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</si>
  <si>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</si>
  <si>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</si>
  <si>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</si>
  <si>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</si>
  <si>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</si>
  <si>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</si>
  <si>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</si>
  <si>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</si>
  <si>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</si>
  <si>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</si>
  <si>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</si>
  <si>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</si>
  <si>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</si>
  <si>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</si>
  <si>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</si>
  <si>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</si>
  <si>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</si>
  <si>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</si>
  <si>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</si>
  <si>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</si>
  <si>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</si>
  <si>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</si>
  <si>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</si>
  <si>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</si>
  <si>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</si>
  <si>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</si>
  <si>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</si>
  <si>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</si>
  <si>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</si>
  <si>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</si>
  <si>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</si>
  <si>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</si>
  <si>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</si>
  <si>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</si>
  <si>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</si>
  <si>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</si>
  <si>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</si>
  <si>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</si>
  <si>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</si>
  <si>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</si>
  <si>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</si>
  <si>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</si>
  <si>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</si>
  <si>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</si>
  <si>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</si>
  <si>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</si>
  <si>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</si>
  <si>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</si>
  <si>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</si>
  <si>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</si>
  <si>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</si>
  <si>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</si>
  <si>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</si>
  <si>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</si>
  <si>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</si>
  <si>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</si>
  <si>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</si>
  <si>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</si>
  <si>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</si>
  <si>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</si>
  <si>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</si>
  <si>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</si>
  <si>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</si>
  <si>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</si>
  <si>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</si>
  <si>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</si>
  <si>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</si>
  <si>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</si>
  <si>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</si>
  <si>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</si>
  <si>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</si>
  <si>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</si>
  <si>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</si>
  <si>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</si>
  <si>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</si>
  <si>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</si>
  <si>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</si>
  <si>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</si>
  <si>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</si>
  <si>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</si>
  <si>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</si>
  <si>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</si>
  <si>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</si>
  <si>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</si>
  <si>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</si>
  <si>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</si>
  <si>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</si>
  <si>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</si>
  <si>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</si>
  <si>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</si>
  <si>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</si>
  <si>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</si>
  <si>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</si>
  <si>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</si>
  <si>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</si>
  <si>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</si>
  <si>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</si>
  <si>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</si>
  <si>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</si>
  <si>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</si>
  <si>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</si>
  <si>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</si>
  <si>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</si>
  <si>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</si>
  <si>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</si>
  <si>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</si>
  <si>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</si>
  <si>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</si>
  <si>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</si>
  <si>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</si>
  <si>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</si>
  <si>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</si>
  <si>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</si>
  <si>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</si>
  <si>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</si>
  <si>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</si>
  <si>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</si>
  <si>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</si>
  <si>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</si>
  <si>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</si>
  <si>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</si>
  <si>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</si>
  <si>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</si>
  <si>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</si>
  <si>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</si>
  <si>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</si>
  <si>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</si>
  <si>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</si>
  <si>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</si>
  <si>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</si>
  <si>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</si>
  <si>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</si>
  <si>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</si>
  <si>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</si>
  <si>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</si>
  <si>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</si>
  <si>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</si>
  <si>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</si>
  <si>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</si>
  <si>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</si>
  <si>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</si>
  <si>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</si>
  <si>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</si>
  <si>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</si>
  <si>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</si>
  <si>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</si>
  <si>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</si>
  <si>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</si>
  <si>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</si>
  <si>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</si>
  <si>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</si>
  <si>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</si>
  <si>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</si>
  <si>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</si>
  <si>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</si>
  <si>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</si>
  <si>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</si>
  <si>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</si>
  <si>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</si>
  <si>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</si>
  <si>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</si>
  <si>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</si>
  <si>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</si>
  <si>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</si>
  <si>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</si>
  <si>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</si>
  <si>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</si>
  <si>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</si>
  <si>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</si>
  <si>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</si>
  <si>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</si>
  <si>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</si>
  <si>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</si>
  <si>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</si>
  <si>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</si>
  <si>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</si>
  <si>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</si>
  <si>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</si>
  <si>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</si>
  <si>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</si>
  <si>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</si>
  <si>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</si>
  <si>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</si>
  <si>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</si>
  <si>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</si>
  <si>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</si>
  <si>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</si>
  <si>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</si>
  <si>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</si>
  <si>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</si>
  <si>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</si>
  <si>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</si>
  <si>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</si>
  <si>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</si>
  <si>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</si>
  <si>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</si>
  <si>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</si>
  <si>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</si>
  <si>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</si>
  <si>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</si>
  <si>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</si>
  <si>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</si>
  <si>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</si>
  <si>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</si>
  <si>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</si>
  <si>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</si>
  <si>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</si>
  <si>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</si>
  <si>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</si>
  <si>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</si>
  <si>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</si>
  <si>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</si>
  <si>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</si>
  <si>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</si>
  <si>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</si>
  <si>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</si>
  <si>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</si>
  <si>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</si>
  <si>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</si>
  <si>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</si>
  <si>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</si>
  <si>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</si>
  <si>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</si>
  <si>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</si>
  <si>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</si>
  <si>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</si>
  <si>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</si>
  <si>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</si>
  <si>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</si>
  <si>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</si>
  <si>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</si>
  <si>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</si>
  <si>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</si>
  <si>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</si>
  <si>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</si>
  <si>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</si>
  <si>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</si>
  <si>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</si>
  <si>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</si>
  <si>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</si>
  <si>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</si>
  <si>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</si>
  <si>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</si>
  <si>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</si>
  <si>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</si>
  <si>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</si>
  <si>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</si>
  <si>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</si>
  <si>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</si>
  <si>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</si>
  <si>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</si>
  <si>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</si>
  <si>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</si>
  <si>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</si>
  <si>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</si>
  <si>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</si>
  <si>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</si>
  <si>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</si>
  <si>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</si>
  <si>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</si>
  <si>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</si>
  <si>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</si>
  <si>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</si>
  <si>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</si>
  <si>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</si>
  <si>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</si>
  <si>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</si>
  <si>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</si>
  <si>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</si>
  <si>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</si>
  <si>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</si>
  <si>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</si>
  <si>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</si>
  <si>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</si>
  <si>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</si>
  <si>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</si>
  <si>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</si>
  <si>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</si>
  <si>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</si>
  <si>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</si>
  <si>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</si>
  <si>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</si>
  <si>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</si>
  <si>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</si>
  <si>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</si>
  <si>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</si>
  <si>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</si>
  <si>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</si>
  <si>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</si>
  <si>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</si>
  <si>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</si>
  <si>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</si>
  <si>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</si>
  <si>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</si>
  <si>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</si>
  <si>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</si>
  <si>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</si>
  <si>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</si>
  <si>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</si>
  <si>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</si>
  <si>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</si>
  <si>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</si>
  <si>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</si>
  <si>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</si>
  <si>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</si>
  <si>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</si>
  <si>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</si>
  <si>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</si>
  <si>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</si>
  <si>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</si>
  <si>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</si>
  <si>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</si>
  <si>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</si>
  <si>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</si>
  <si>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</si>
  <si>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</si>
  <si>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</si>
  <si>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</si>
  <si>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</si>
  <si>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</si>
  <si>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</si>
  <si>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</si>
  <si>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</si>
  <si>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</si>
  <si>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</si>
  <si>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</si>
  <si>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</si>
  <si>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</si>
  <si>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</si>
  <si>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</si>
  <si>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</si>
  <si>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</si>
  <si>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</si>
  <si>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</si>
  <si>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</si>
  <si>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</si>
  <si>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</si>
  <si>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</si>
  <si>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</si>
  <si>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</si>
  <si>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</si>
  <si>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</si>
  <si>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</si>
  <si>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</si>
  <si>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</si>
  <si>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</si>
  <si>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</si>
  <si>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</si>
  <si>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</si>
  <si>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</si>
  <si>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</si>
  <si>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</si>
  <si>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</si>
  <si>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</si>
  <si>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</si>
  <si>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</si>
  <si>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</si>
  <si>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</si>
  <si>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</si>
  <si>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</si>
  <si>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</si>
  <si>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</si>
  <si>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</si>
  <si>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</si>
  <si>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</si>
  <si>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</si>
  <si>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</si>
  <si>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</si>
  <si>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</si>
  <si>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</si>
  <si>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</si>
  <si>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</si>
  <si>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</si>
  <si>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</si>
  <si>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</si>
  <si>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</si>
  <si>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</si>
  <si>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</si>
  <si>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</si>
  <si>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</si>
  <si>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</si>
  <si>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</si>
  <si>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</si>
  <si>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</si>
  <si>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</si>
  <si>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</si>
  <si>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</si>
  <si>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</si>
  <si>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</si>
  <si>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</si>
  <si>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</si>
  <si>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</si>
  <si>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</si>
  <si>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</si>
  <si>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</si>
  <si>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</si>
  <si>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</si>
  <si>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</si>
  <si>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</si>
  <si>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</si>
  <si>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</si>
  <si>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</si>
  <si>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</si>
  <si>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</si>
  <si>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</si>
  <si>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</si>
  <si>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</si>
  <si>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</si>
  <si>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</si>
  <si>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</si>
  <si>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</si>
  <si>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</si>
  <si>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</si>
  <si>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</si>
  <si>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</si>
  <si>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</si>
  <si>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</si>
  <si>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</si>
  <si>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</si>
  <si>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</si>
  <si>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</si>
  <si>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</si>
  <si>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</si>
  <si>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</si>
  <si>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</si>
  <si>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</si>
  <si>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</si>
  <si>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</si>
  <si>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</si>
  <si>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</si>
  <si>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</si>
  <si>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</si>
  <si>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</si>
  <si>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</si>
  <si>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</si>
  <si>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</si>
  <si>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</si>
  <si>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</si>
  <si>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</si>
  <si>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</si>
  <si>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</si>
  <si>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</si>
  <si>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</si>
  <si>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</si>
  <si>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</si>
  <si>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</si>
  <si>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</si>
  <si>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</si>
  <si>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</si>
  <si>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</si>
  <si>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</si>
  <si>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</si>
  <si>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</si>
  <si>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</si>
  <si>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</si>
  <si>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</si>
  <si>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</si>
  <si>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</si>
  <si>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</si>
  <si>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</si>
  <si>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</si>
  <si>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</si>
  <si>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</si>
  <si>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</si>
  <si>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</si>
  <si>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</si>
  <si>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</si>
  <si>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</si>
  <si>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</si>
  <si>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</si>
  <si>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</si>
  <si>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</si>
  <si>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</si>
  <si>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</si>
  <si>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</si>
  <si>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</si>
  <si>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</si>
  <si>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</si>
  <si>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</si>
  <si>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</si>
  <si>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</si>
  <si>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</si>
  <si>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</si>
  <si>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</si>
  <si>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</si>
  <si>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</si>
  <si>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</si>
  <si>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</si>
  <si>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</si>
  <si>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</si>
  <si>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</si>
  <si>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</si>
  <si>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</si>
  <si>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</si>
  <si>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</si>
  <si>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</si>
  <si>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</si>
  <si>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</si>
  <si>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</si>
  <si>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</si>
  <si>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</si>
  <si>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</si>
  <si>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</si>
  <si>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</si>
  <si>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</si>
  <si>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</si>
  <si>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</si>
  <si>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</si>
  <si>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</si>
  <si>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</si>
  <si>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</si>
  <si>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</si>
  <si>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</si>
  <si>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</si>
  <si>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</si>
  <si>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</si>
  <si>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</si>
  <si>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</si>
  <si>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</si>
  <si>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</si>
  <si>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</si>
  <si>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</si>
  <si>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</si>
  <si>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</si>
  <si>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</si>
  <si>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</si>
  <si>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</si>
  <si>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</si>
  <si>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</si>
  <si>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</si>
  <si>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</si>
  <si>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</si>
  <si>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</si>
  <si>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</si>
  <si>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</si>
  <si>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</si>
  <si>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</si>
  <si>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</si>
  <si>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</si>
  <si>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</si>
  <si>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</si>
  <si>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</si>
  <si>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</si>
  <si>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</si>
  <si>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</si>
  <si>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</si>
  <si>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</si>
  <si>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</si>
  <si>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</si>
  <si>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</si>
  <si>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</si>
  <si>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</si>
  <si>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</si>
  <si>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</si>
  <si>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</si>
  <si>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</si>
  <si>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</si>
  <si>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</si>
  <si>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</si>
  <si>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</si>
  <si>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</si>
  <si>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</si>
  <si>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</si>
  <si>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</si>
  <si>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</si>
  <si>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</si>
  <si>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</si>
  <si>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</si>
  <si>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</si>
  <si>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</si>
  <si>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</si>
  <si>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</si>
  <si>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</si>
  <si>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</si>
  <si>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</si>
  <si>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</si>
  <si>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</si>
  <si>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</si>
  <si>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</si>
  <si>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</si>
  <si>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</si>
  <si>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</si>
  <si>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</si>
  <si>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</si>
  <si>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</si>
  <si>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</si>
  <si>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</si>
  <si>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</si>
  <si>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</si>
  <si>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</si>
  <si>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</si>
  <si>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</si>
  <si>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</si>
  <si>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</si>
  <si>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</si>
  <si>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</si>
  <si>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</si>
  <si>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</si>
  <si>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</si>
  <si>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</si>
  <si>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</si>
  <si>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</si>
  <si>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</si>
  <si>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</si>
  <si>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</si>
  <si>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</si>
  <si>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</si>
  <si>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</si>
  <si>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</si>
  <si>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</si>
  <si>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</si>
  <si>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</si>
  <si>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</si>
  <si>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</si>
  <si>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</si>
  <si>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</si>
  <si>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</si>
  <si>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</si>
  <si>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</si>
  <si>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</si>
  <si>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</si>
  <si>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</si>
  <si>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</si>
  <si>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</si>
  <si>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</si>
  <si>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</si>
  <si>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</si>
  <si>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</si>
  <si>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</si>
  <si>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</si>
  <si>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</si>
  <si>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</si>
  <si>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</si>
  <si>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</si>
  <si>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</si>
  <si>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</si>
  <si>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</si>
  <si>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</si>
  <si>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</si>
  <si>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</si>
  <si>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</si>
  <si>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</si>
  <si>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</si>
  <si>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</si>
  <si>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</si>
  <si>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</si>
  <si>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</si>
  <si>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</si>
  <si>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</si>
  <si>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</si>
  <si>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</si>
  <si>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</si>
  <si>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</si>
  <si>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</si>
  <si>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</si>
  <si>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</si>
  <si>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</si>
  <si>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</si>
  <si>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</si>
  <si>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</si>
  <si>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</si>
  <si>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</si>
  <si>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</si>
  <si>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</si>
  <si>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</si>
  <si>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</si>
  <si>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</si>
  <si>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</si>
  <si>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</si>
  <si>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</si>
  <si>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</si>
  <si>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</si>
  <si>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</si>
  <si>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</si>
  <si>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</si>
  <si>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</si>
  <si>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</si>
  <si>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</si>
  <si>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</si>
  <si>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</si>
  <si>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</si>
  <si>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</si>
  <si>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</si>
  <si>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</si>
  <si>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</si>
  <si>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</si>
  <si>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</si>
  <si>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</si>
  <si>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</si>
  <si>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</si>
  <si>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</si>
  <si>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</si>
  <si>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</si>
  <si>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</si>
  <si>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</si>
  <si>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</si>
  <si>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</si>
  <si>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</si>
  <si>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</si>
  <si>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</si>
  <si>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</si>
  <si>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</si>
  <si>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</si>
  <si>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</si>
  <si>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</si>
  <si>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</si>
  <si>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</si>
  <si>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</si>
  <si>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</si>
  <si>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</si>
  <si>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</si>
  <si>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</si>
  <si>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</si>
  <si>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</si>
  <si>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</si>
  <si>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</si>
  <si>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</si>
  <si>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</si>
  <si>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</si>
  <si>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</si>
  <si>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</si>
  <si>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</si>
  <si>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</si>
  <si>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</si>
  <si>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</si>
  <si>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</si>
  <si>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</si>
  <si>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</si>
  <si>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</si>
  <si>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</si>
  <si>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</si>
  <si>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</si>
  <si>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</si>
  <si>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</si>
  <si>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</si>
  <si>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</si>
  <si>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</si>
  <si>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</si>
  <si>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</si>
  <si>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</si>
  <si>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</si>
  <si>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</si>
  <si>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</si>
  <si>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</si>
  <si>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</si>
  <si>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</si>
  <si>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</si>
  <si>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</si>
  <si>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</si>
  <si>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</si>
  <si>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</si>
  <si>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</si>
  <si>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</si>
  <si>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</si>
  <si>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</si>
  <si>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</si>
  <si>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</si>
  <si>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</si>
  <si>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</si>
  <si>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</si>
  <si>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</si>
  <si>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</si>
  <si>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</si>
  <si>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</si>
  <si>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</si>
  <si>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</si>
  <si>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</si>
  <si>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</si>
  <si>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</si>
  <si>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</si>
  <si>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</si>
  <si>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</si>
  <si>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</si>
  <si>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</si>
  <si>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</si>
  <si>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</si>
  <si>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</si>
  <si>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</si>
  <si>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</si>
  <si>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</si>
  <si>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</si>
  <si>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</si>
  <si>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</si>
  <si>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</si>
  <si>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</si>
  <si>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</si>
  <si>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</si>
  <si>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</si>
  <si>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</si>
  <si>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</si>
  <si>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</si>
  <si>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</si>
  <si>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</si>
  <si>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</si>
  <si>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</si>
  <si>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</si>
  <si>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</si>
  <si>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</si>
  <si>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</si>
  <si>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</si>
  <si>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</si>
  <si>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</si>
  <si>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</si>
  <si>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</si>
  <si>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</si>
  <si>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</si>
  <si>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</si>
  <si>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</si>
  <si>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</si>
  <si>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</si>
  <si>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</si>
  <si>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</si>
  <si>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</si>
  <si>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</si>
  <si>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</si>
  <si>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</si>
  <si>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</si>
  <si>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</si>
  <si>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</si>
  <si>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</si>
  <si>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</si>
  <si>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</si>
  <si>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</si>
  <si>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</si>
  <si>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</si>
  <si>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</si>
  <si>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</si>
  <si>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</si>
  <si>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</si>
  <si>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</si>
  <si>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</si>
  <si>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</si>
  <si>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</si>
  <si>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</si>
  <si>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</si>
  <si>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</si>
  <si>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</si>
  <si>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</si>
  <si>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</si>
  <si>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</si>
  <si>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</si>
  <si>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</si>
  <si>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</si>
  <si>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</si>
  <si>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</si>
  <si>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</si>
  <si>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</si>
  <si>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</si>
  <si>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</si>
  <si>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</si>
  <si>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</si>
  <si>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</si>
  <si>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</si>
  <si>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</si>
  <si>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</si>
  <si>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</si>
  <si>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</si>
  <si>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</si>
  <si>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</si>
  <si>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</si>
  <si>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</si>
  <si>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</si>
  <si>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</si>
  <si>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</si>
  <si>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</si>
  <si>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</si>
  <si>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</si>
  <si>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</si>
  <si>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</si>
  <si>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</si>
  <si>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</si>
  <si>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</si>
  <si>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</si>
  <si>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</si>
  <si>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</si>
  <si>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</si>
  <si>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</si>
  <si>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</si>
  <si>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</si>
  <si>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</si>
  <si>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</si>
  <si>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</si>
  <si>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</si>
  <si>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</si>
  <si>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</si>
  <si>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</si>
  <si>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</si>
  <si>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</si>
  <si>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</si>
  <si>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</si>
  <si>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</si>
  <si>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</si>
  <si>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</si>
  <si>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</si>
  <si>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</si>
  <si>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</si>
  <si>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</si>
  <si>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</si>
  <si>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</si>
  <si>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</si>
  <si>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</si>
  <si>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</si>
  <si>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</si>
  <si>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</si>
  <si>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</si>
  <si>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</si>
  <si>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</si>
  <si>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</si>
  <si>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</si>
  <si>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</si>
  <si>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</si>
  <si>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</si>
  <si>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</si>
  <si>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</si>
  <si>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</si>
  <si>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</si>
  <si>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</si>
  <si>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</si>
  <si>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</si>
  <si>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</si>
  <si>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</si>
  <si>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</si>
  <si>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</si>
  <si>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</si>
  <si>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</si>
  <si>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</si>
  <si>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</si>
  <si>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</si>
  <si>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</si>
  <si>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</si>
  <si>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</si>
  <si>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</si>
  <si>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</si>
  <si>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</si>
  <si>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</si>
  <si>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</si>
  <si>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</si>
  <si>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</si>
  <si>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</si>
  <si>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</si>
  <si>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</si>
  <si>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</si>
  <si>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</si>
  <si>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</si>
  <si>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</si>
  <si>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</si>
  <si>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</si>
  <si>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</si>
  <si>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</si>
  <si>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</si>
  <si>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</si>
  <si>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</si>
  <si>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</si>
  <si>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</si>
  <si>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</si>
  <si>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</si>
  <si>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</si>
  <si>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</si>
  <si>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</si>
  <si>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</si>
  <si>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</si>
  <si>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</si>
  <si>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</si>
  <si>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</si>
  <si>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</si>
  <si>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</si>
  <si>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</si>
  <si>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</si>
  <si>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</si>
  <si>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</si>
  <si>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</si>
  <si>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</si>
  <si>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</si>
  <si>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</si>
  <si>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</si>
  <si>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</si>
  <si>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</si>
  <si>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</si>
  <si>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</si>
  <si>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</si>
  <si>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</si>
  <si>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</si>
  <si>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</si>
  <si>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</si>
  <si>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</si>
  <si>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</si>
  <si>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</si>
  <si>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</si>
  <si>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</si>
  <si>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</si>
  <si>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</si>
  <si>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</si>
  <si>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</si>
  <si>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</si>
  <si>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</si>
  <si>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</si>
  <si>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</si>
  <si>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</si>
  <si>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</si>
  <si>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</si>
  <si>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</si>
  <si>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</si>
  <si>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</si>
  <si>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</si>
  <si>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</si>
  <si>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</si>
  <si>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</si>
  <si>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</si>
  <si>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</si>
  <si>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</si>
  <si>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</si>
  <si>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</si>
  <si>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</si>
  <si>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</si>
  <si>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</si>
  <si>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</si>
  <si>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</si>
  <si>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</si>
  <si>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</si>
  <si>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</si>
  <si>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</si>
  <si>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</si>
  <si>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</si>
  <si>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</si>
  <si>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</si>
  <si>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</si>
  <si>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</si>
  <si>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</si>
  <si>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</si>
  <si>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</si>
  <si>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</si>
  <si>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</si>
  <si>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</si>
  <si>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</si>
  <si>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</si>
  <si>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</si>
  <si>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</si>
  <si>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</si>
  <si>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</si>
  <si>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</si>
  <si>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</si>
  <si>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</si>
  <si>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</si>
  <si>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</si>
  <si>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</si>
  <si>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</si>
  <si>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</si>
  <si>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</si>
  <si>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</si>
  <si>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</si>
  <si>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</si>
  <si>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</si>
  <si>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</si>
  <si>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</si>
  <si>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</si>
  <si>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</si>
  <si>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</si>
  <si>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</si>
  <si>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</si>
  <si>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</si>
  <si>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</si>
  <si>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</si>
  <si>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</si>
  <si>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</si>
  <si>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</si>
  <si>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</si>
  <si>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</si>
  <si>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</si>
  <si>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</si>
  <si>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</si>
  <si>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</si>
  <si>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</si>
  <si>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</si>
  <si>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</si>
  <si>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</si>
  <si>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</si>
  <si>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</si>
  <si>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</si>
  <si>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</si>
  <si>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</si>
  <si>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</si>
  <si>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</si>
  <si>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</si>
  <si>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</si>
  <si>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</si>
  <si>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</si>
  <si>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</si>
  <si>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</si>
  <si>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</si>
  <si>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</si>
  <si>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</si>
  <si>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</si>
  <si>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</si>
  <si>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</si>
  <si>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</si>
  <si>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</si>
  <si>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</si>
  <si>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</si>
  <si>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</si>
  <si>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</si>
  <si>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</si>
  <si>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</si>
  <si>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</si>
  <si>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</si>
  <si>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</si>
  <si>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</si>
  <si>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</si>
  <si>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</si>
  <si>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</si>
  <si>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</si>
  <si>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</si>
  <si>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</si>
  <si>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</si>
  <si>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</si>
  <si>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</si>
  <si>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</si>
  <si>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</si>
  <si>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</si>
  <si>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</si>
  <si>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</si>
  <si>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</si>
  <si>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</si>
  <si>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</si>
  <si>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</si>
  <si>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</si>
  <si>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</si>
  <si>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</si>
  <si>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</si>
  <si>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</si>
  <si>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</si>
  <si>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</si>
  <si>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</si>
  <si>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</si>
  <si>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</si>
  <si>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</si>
  <si>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</si>
  <si>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</si>
  <si>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</si>
  <si>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</si>
  <si>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</si>
  <si>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</si>
  <si>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</si>
  <si>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</si>
  <si>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</si>
  <si>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</si>
  <si>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</si>
  <si>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</si>
  <si>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</si>
  <si>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</si>
  <si>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</si>
  <si>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</si>
  <si>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</si>
  <si>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</si>
  <si>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</si>
  <si>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</si>
  <si>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</si>
  <si>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</si>
  <si>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</si>
  <si>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</si>
  <si>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</si>
  <si>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</si>
  <si>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</si>
  <si>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</si>
  <si>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</si>
  <si>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</si>
  <si>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</si>
  <si>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</si>
  <si>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</si>
  <si>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</si>
  <si>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</si>
  <si>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</si>
  <si>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</si>
  <si>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</si>
  <si>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</si>
  <si>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</si>
  <si>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</si>
  <si>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</si>
  <si>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</si>
  <si>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</si>
  <si>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</si>
  <si>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</si>
  <si>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</si>
  <si>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</si>
  <si>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</si>
  <si>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</si>
  <si>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</si>
  <si>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</si>
  <si>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</si>
  <si>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</si>
  <si>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</si>
  <si>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</si>
  <si>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</si>
  <si>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</si>
  <si>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</si>
  <si>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</si>
  <si>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</si>
  <si>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</si>
  <si>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</si>
  <si>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</si>
  <si>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</si>
  <si>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</si>
  <si>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</si>
  <si>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</si>
  <si>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</si>
  <si>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</si>
  <si>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</si>
  <si>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</si>
  <si>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</si>
  <si>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</si>
  <si>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</si>
  <si>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</si>
  <si>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</si>
  <si>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</si>
  <si>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</si>
  <si>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</si>
  <si>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</si>
  <si>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</si>
  <si>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</si>
  <si>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</si>
  <si>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</si>
  <si>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</si>
  <si>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</si>
  <si>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</si>
  <si>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</si>
  <si>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</si>
  <si>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</si>
  <si>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</si>
  <si>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</si>
  <si>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</si>
  <si>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</si>
  <si>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</si>
  <si>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</si>
  <si>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</si>
  <si>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</si>
  <si>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</si>
  <si>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</si>
  <si>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</si>
  <si>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</si>
  <si>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</si>
  <si>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</si>
  <si>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</si>
  <si>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</si>
  <si>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</si>
  <si>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</si>
  <si>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</si>
  <si>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</si>
  <si>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</si>
  <si>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</si>
  <si>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</si>
  <si>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</si>
  <si>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</si>
  <si>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</si>
  <si>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</si>
  <si>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</si>
  <si>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</si>
  <si>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</si>
  <si>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</si>
  <si>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</si>
  <si>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</si>
  <si>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</si>
  <si>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</si>
  <si>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</si>
  <si>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</si>
  <si>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</si>
  <si>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</si>
  <si>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</si>
  <si>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</si>
  <si>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</si>
  <si>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</si>
  <si>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</si>
  <si>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</si>
  <si>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</si>
  <si>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</si>
  <si>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</si>
  <si>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</si>
  <si>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</si>
  <si>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</si>
  <si>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</si>
  <si>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</si>
  <si>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</si>
  <si>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</si>
  <si>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</si>
  <si>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</si>
  <si>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</si>
  <si>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</si>
  <si>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</si>
  <si>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</si>
  <si>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</si>
  <si>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</si>
  <si>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</si>
  <si>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</si>
  <si>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</si>
  <si>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</si>
  <si>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</si>
  <si>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</si>
  <si>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</si>
  <si>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</si>
  <si>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</si>
  <si>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</si>
  <si>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</si>
  <si>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</si>
  <si>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</si>
  <si>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</si>
  <si>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</si>
  <si>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</si>
  <si>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</si>
  <si>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</si>
  <si>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</si>
  <si>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</si>
  <si>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</si>
  <si>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</si>
  <si>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</si>
  <si>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</si>
  <si>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</si>
  <si>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</si>
  <si>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</si>
  <si>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</si>
  <si>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</si>
  <si>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</si>
  <si>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</si>
  <si>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</si>
  <si>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</si>
  <si>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</si>
  <si>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</si>
  <si>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</si>
  <si>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</si>
  <si>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</si>
  <si>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</si>
  <si>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</si>
  <si>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</si>
  <si>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</si>
  <si>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</si>
  <si>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</si>
  <si>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</si>
  <si>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</si>
  <si>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</si>
  <si>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</si>
  <si>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</si>
  <si>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</si>
  <si>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</si>
  <si>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</si>
  <si>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</si>
  <si>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</si>
  <si>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</si>
  <si>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</si>
  <si>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</si>
  <si>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</si>
  <si>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</si>
  <si>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</si>
  <si>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</si>
  <si>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</si>
  <si>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</si>
  <si>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</si>
  <si>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</si>
  <si>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</si>
  <si>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</si>
  <si>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</si>
  <si>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</si>
  <si>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</si>
  <si>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</si>
  <si>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</si>
  <si>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</si>
  <si>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</si>
  <si>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</si>
  <si>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</si>
  <si>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</si>
  <si>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</si>
  <si>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</si>
  <si>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</si>
  <si>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</si>
  <si>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</si>
  <si>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</si>
  <si>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</si>
  <si>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</si>
  <si>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</si>
  <si>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</si>
  <si>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</si>
  <si>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</si>
  <si>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</si>
  <si>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</si>
  <si>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</si>
  <si>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</si>
  <si>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</si>
  <si>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</si>
  <si>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</si>
  <si>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</si>
  <si>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</si>
  <si>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</si>
  <si>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</si>
  <si>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</si>
  <si>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</si>
  <si>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</si>
  <si>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</si>
  <si>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</si>
  <si>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</si>
  <si>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</si>
  <si>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</si>
  <si>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</si>
  <si>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</si>
  <si>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</si>
  <si>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</si>
  <si>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</si>
  <si>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</si>
  <si>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</si>
  <si>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</si>
  <si>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</si>
  <si>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</si>
  <si>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</si>
  <si>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</si>
  <si>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</si>
  <si>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</si>
  <si>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</si>
  <si>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</si>
  <si>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</si>
  <si>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</si>
  <si>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</si>
  <si>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</si>
  <si>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</si>
  <si>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</si>
  <si>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</si>
  <si>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</si>
  <si>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</si>
  <si>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</si>
  <si>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</si>
  <si>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</si>
  <si>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</si>
  <si>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</si>
  <si>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</si>
  <si>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</si>
  <si>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</si>
  <si>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</si>
  <si>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</si>
  <si>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</si>
  <si>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</si>
  <si>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</si>
  <si>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</si>
  <si>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</si>
  <si>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</si>
  <si>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</si>
  <si>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</si>
  <si>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</si>
  <si>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</si>
  <si>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</si>
  <si>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</si>
  <si>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</si>
  <si>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</si>
  <si>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</si>
  <si>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</si>
  <si>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</si>
  <si>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</si>
  <si>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</si>
  <si>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</si>
  <si>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</si>
  <si>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</si>
  <si>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</si>
  <si>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</si>
  <si>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</si>
  <si>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</si>
  <si>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</si>
  <si>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</si>
  <si>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</si>
  <si>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</si>
  <si>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</si>
  <si>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</si>
  <si>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</si>
  <si>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</si>
  <si>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</si>
  <si>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</si>
  <si>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</si>
  <si>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</si>
  <si>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</si>
  <si>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</si>
  <si>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</si>
  <si>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</si>
  <si>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</si>
  <si>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</si>
  <si>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</si>
  <si>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</si>
  <si>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</si>
  <si>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</si>
  <si>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</si>
  <si>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</si>
  <si>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</si>
  <si>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</si>
  <si>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</si>
  <si>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</si>
  <si>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</si>
  <si>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</si>
  <si>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</si>
  <si>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</si>
  <si>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</si>
  <si>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</si>
  <si>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</si>
  <si>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</si>
  <si>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</si>
  <si>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</si>
  <si>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</si>
  <si>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</si>
  <si>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</si>
  <si>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</si>
  <si>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</si>
  <si>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</si>
  <si>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</si>
  <si>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</si>
  <si>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</si>
  <si>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</si>
  <si>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</si>
  <si>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</si>
  <si>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</si>
  <si>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</si>
  <si>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</si>
  <si>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</si>
  <si>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</si>
  <si>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</si>
  <si>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</si>
  <si>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</si>
  <si>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</si>
  <si>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</si>
  <si>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</si>
  <si>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</si>
  <si>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</si>
  <si>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</si>
  <si>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</si>
  <si>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</si>
  <si>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</si>
  <si>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</si>
  <si>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</si>
  <si>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</si>
  <si>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</si>
  <si>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</si>
  <si>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</si>
  <si>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</si>
  <si>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</si>
  <si>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</si>
  <si>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</si>
  <si>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</si>
  <si>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</si>
  <si>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</si>
  <si>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</si>
  <si>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</si>
  <si>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</si>
  <si>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</si>
  <si>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</si>
  <si>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</si>
  <si>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</si>
  <si>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</si>
  <si>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</si>
  <si>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</si>
  <si>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</si>
  <si>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</si>
  <si>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</si>
  <si>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</si>
  <si>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</si>
  <si>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</si>
  <si>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</si>
  <si>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</si>
  <si>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</si>
  <si>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</si>
  <si>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</si>
  <si>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</si>
  <si>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</si>
  <si>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</si>
  <si>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</si>
  <si>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</si>
  <si>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</si>
  <si>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</si>
  <si>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</si>
  <si>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</si>
  <si>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</si>
  <si>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</si>
  <si>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</si>
  <si>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</si>
  <si>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</si>
  <si>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</si>
  <si>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</si>
  <si>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</si>
  <si>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</si>
  <si>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</si>
  <si>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</si>
  <si>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</si>
  <si>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</si>
  <si>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</si>
  <si>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</si>
  <si>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</si>
  <si>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</si>
  <si>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</si>
  <si>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</si>
  <si>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</si>
  <si>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</si>
  <si>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</si>
  <si>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</si>
  <si>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</si>
  <si>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</si>
  <si>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</si>
  <si>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</si>
  <si>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</si>
  <si>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</si>
  <si>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</si>
  <si>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</si>
  <si>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</si>
  <si>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</si>
  <si>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</si>
  <si>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</si>
  <si>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</si>
  <si>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</si>
  <si>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</si>
  <si>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</si>
  <si>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</si>
  <si>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</si>
  <si>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</si>
  <si>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</si>
  <si>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</si>
  <si>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</si>
  <si>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</si>
  <si>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</si>
  <si>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</si>
  <si>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</si>
  <si>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</si>
  <si>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</si>
  <si>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</si>
  <si>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</si>
  <si>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</si>
  <si>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</si>
  <si>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</si>
  <si>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</si>
  <si>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</si>
  <si>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</si>
  <si>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</si>
  <si>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</si>
  <si>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</si>
  <si>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</si>
  <si>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</si>
  <si>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</si>
  <si>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</si>
  <si>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</si>
  <si>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</si>
  <si>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</si>
  <si>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</si>
  <si>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</si>
  <si>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</si>
  <si>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</si>
  <si>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</si>
  <si>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</si>
  <si>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</si>
  <si>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</si>
  <si>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</si>
  <si>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</si>
  <si>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</si>
  <si>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</si>
  <si>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</si>
  <si>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</si>
  <si>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</si>
  <si>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</si>
  <si>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</si>
  <si>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</si>
  <si>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</si>
  <si>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</si>
  <si>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</si>
  <si>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</si>
  <si>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</si>
  <si>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</si>
  <si>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</si>
  <si>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</si>
  <si>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</si>
  <si>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</si>
  <si>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</si>
  <si>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</si>
  <si>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</si>
  <si>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</si>
  <si>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</si>
  <si>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</si>
  <si>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</si>
  <si>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</si>
  <si>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</si>
  <si>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</si>
  <si>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</si>
  <si>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</si>
  <si>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</si>
  <si>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</si>
  <si>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</si>
  <si>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</si>
  <si>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</si>
  <si>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</si>
  <si>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</si>
  <si>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</si>
  <si>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</si>
  <si>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</si>
  <si>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</si>
  <si>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</si>
  <si>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</si>
  <si>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</si>
  <si>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</si>
  <si>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</si>
  <si>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</si>
  <si>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</si>
  <si>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</si>
  <si>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</si>
  <si>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</si>
  <si>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</si>
  <si>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</si>
  <si>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</si>
  <si>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</si>
  <si>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</si>
  <si>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</si>
  <si>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</si>
  <si>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</si>
  <si>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</si>
  <si>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</si>
  <si>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</si>
  <si>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</si>
  <si>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</si>
  <si>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</si>
  <si>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</si>
  <si>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</si>
  <si>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</si>
  <si>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</si>
  <si>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</si>
  <si>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</si>
  <si>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</si>
  <si>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</si>
  <si>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</si>
  <si>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</si>
  <si>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</si>
  <si>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</si>
  <si>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</si>
  <si>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</si>
  <si>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</si>
  <si>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</si>
  <si>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</si>
  <si>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</si>
  <si>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</si>
  <si>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</si>
  <si>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</si>
  <si>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</si>
  <si>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</si>
  <si>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</si>
  <si>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</si>
  <si>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</si>
  <si>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</si>
  <si>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</si>
  <si>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</si>
  <si>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</si>
  <si>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</si>
  <si>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</si>
  <si>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</si>
  <si>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</si>
  <si>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</si>
  <si>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</si>
  <si>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</si>
  <si>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</si>
  <si>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</si>
  <si>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</si>
  <si>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</si>
  <si>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</si>
  <si>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</si>
  <si>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</si>
  <si>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</si>
  <si>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</si>
  <si>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</si>
  <si>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</si>
  <si>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</si>
  <si>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</si>
  <si>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</si>
  <si>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</si>
  <si>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</si>
  <si>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</si>
  <si>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</si>
  <si>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</si>
  <si>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</si>
  <si>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</si>
  <si>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</si>
  <si>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</si>
  <si>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</si>
  <si>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</si>
  <si>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</si>
  <si>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</si>
  <si>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</si>
  <si>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</si>
  <si>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</si>
  <si>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</si>
  <si>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</si>
  <si>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</si>
  <si>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</si>
  <si>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</si>
  <si>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</si>
  <si>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</si>
  <si>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</si>
  <si>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</si>
  <si>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</si>
  <si>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</si>
  <si>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</si>
  <si>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</si>
  <si>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</si>
  <si>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</si>
  <si>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</si>
  <si>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</si>
  <si>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</si>
  <si>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</si>
  <si>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</si>
  <si>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</si>
  <si>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</si>
  <si>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</si>
  <si>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</si>
  <si>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</si>
  <si>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</si>
  <si>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</si>
  <si>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</si>
  <si>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</si>
  <si>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</si>
  <si>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</si>
  <si>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</si>
  <si>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</si>
  <si>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</si>
  <si>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</si>
  <si>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</si>
  <si>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</si>
  <si>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</si>
  <si>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</si>
  <si>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</si>
  <si>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</si>
  <si>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</si>
  <si>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</si>
  <si>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</si>
  <si>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</si>
  <si>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</si>
  <si>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</si>
  <si>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</si>
  <si>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</si>
  <si>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</si>
  <si>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</si>
  <si>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</si>
  <si>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</si>
  <si>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</si>
  <si>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</si>
  <si>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</si>
  <si>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</si>
  <si>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</si>
  <si>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</si>
  <si>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</si>
  <si>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</si>
  <si>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</si>
  <si>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</si>
  <si>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</si>
  <si>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</si>
  <si>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</si>
  <si>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</si>
  <si>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</si>
  <si>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</si>
  <si>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</si>
  <si>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</si>
  <si>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</si>
  <si>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</si>
  <si>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</si>
  <si>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</si>
  <si>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</si>
  <si>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</si>
  <si>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</si>
  <si>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</si>
  <si>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</si>
  <si>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</si>
  <si>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</si>
  <si>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</si>
  <si>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</si>
  <si>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</si>
  <si>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</si>
  <si>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</si>
  <si>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</si>
  <si>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</si>
  <si>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</si>
  <si>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</si>
  <si>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</si>
  <si>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</si>
  <si>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</si>
  <si>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</si>
  <si>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</si>
  <si>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</si>
  <si>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</si>
  <si>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</si>
  <si>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</si>
  <si>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</si>
  <si>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</si>
  <si>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</si>
  <si>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</si>
  <si>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</si>
  <si>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</si>
  <si>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</si>
  <si>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</si>
  <si>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</si>
  <si>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</si>
  <si>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</si>
  <si>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</si>
  <si>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</si>
  <si>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</si>
  <si>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</si>
  <si>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</si>
  <si>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</si>
  <si>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</si>
  <si>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</si>
  <si>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</si>
  <si>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</si>
  <si>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</si>
  <si>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</si>
  <si>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</si>
  <si>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</si>
  <si>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</si>
  <si>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</si>
  <si>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</si>
  <si>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</si>
  <si>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</si>
  <si>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</si>
  <si>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</si>
  <si>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</si>
  <si>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</si>
  <si>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</si>
  <si>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</si>
  <si>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</si>
  <si>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</si>
  <si>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</si>
  <si>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</si>
  <si>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</si>
  <si>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</si>
  <si>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</si>
  <si>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</si>
  <si>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</si>
  <si>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</si>
  <si>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</si>
  <si>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</si>
  <si>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</si>
  <si>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</si>
  <si>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</si>
  <si>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</si>
  <si>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</si>
  <si>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</si>
  <si>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</si>
  <si>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</si>
  <si>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</si>
  <si>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</si>
  <si>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</si>
  <si>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</si>
  <si>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</si>
  <si>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</si>
  <si>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</si>
  <si>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</si>
  <si>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</si>
  <si>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</si>
  <si>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</si>
  <si>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</si>
  <si>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</si>
  <si>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</si>
  <si>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</si>
  <si>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</si>
  <si>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</si>
  <si>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</si>
  <si>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</si>
  <si>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</si>
  <si>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</si>
  <si>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</si>
  <si>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</si>
  <si>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</si>
  <si>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</si>
  <si>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</si>
  <si>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</si>
  <si>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</si>
  <si>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</si>
  <si>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</si>
  <si>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</si>
  <si>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</si>
  <si>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</si>
  <si>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</si>
  <si>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</si>
  <si>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</si>
  <si>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</si>
  <si>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</si>
  <si>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</si>
  <si>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</si>
  <si>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</si>
  <si>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</si>
  <si>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</si>
  <si>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</si>
  <si>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</si>
  <si>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</si>
  <si>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</si>
  <si>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</si>
  <si>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</si>
  <si>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</si>
  <si>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</si>
  <si>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</si>
  <si>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</si>
  <si>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</si>
  <si>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</si>
  <si>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</si>
  <si>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</si>
  <si>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</si>
  <si>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</si>
  <si>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</si>
  <si>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</si>
  <si>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</si>
  <si>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</si>
  <si>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</si>
  <si>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</si>
  <si>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</si>
  <si>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</si>
  <si>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</si>
  <si>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</si>
  <si>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</si>
  <si>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</si>
  <si>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</si>
  <si>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</si>
  <si>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</si>
  <si>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</si>
  <si>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</si>
  <si>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</si>
  <si>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</si>
  <si>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</si>
  <si>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</si>
  <si>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</si>
  <si>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</si>
  <si>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</si>
  <si>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</si>
  <si>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</si>
  <si>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</si>
  <si>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</si>
  <si>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</si>
  <si>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</si>
  <si>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</si>
  <si>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</si>
  <si>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</si>
  <si>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</si>
  <si>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</si>
  <si>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</si>
  <si>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</si>
  <si>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</si>
  <si>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</si>
  <si>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</si>
  <si>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</si>
  <si>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</si>
  <si>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</si>
  <si>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</si>
  <si>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</si>
  <si>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</si>
  <si>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</si>
  <si>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</si>
  <si>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</si>
  <si>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</si>
  <si>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</si>
  <si>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</si>
  <si>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</si>
  <si>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</si>
  <si>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</si>
  <si>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</si>
  <si>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</si>
  <si>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</si>
  <si>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</si>
  <si>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</si>
  <si>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</si>
  <si>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</si>
  <si>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</si>
  <si>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</si>
  <si>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</si>
  <si>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</si>
  <si>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</si>
  <si>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</si>
  <si>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</si>
  <si>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</si>
  <si>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</si>
  <si>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</si>
  <si>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</si>
  <si>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</si>
  <si>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</si>
  <si>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</si>
  <si>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</si>
  <si>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</si>
  <si>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</si>
  <si>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</si>
  <si>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</si>
  <si>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</si>
  <si>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</si>
  <si>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</si>
  <si>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</si>
  <si>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</si>
  <si>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</si>
  <si>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</si>
  <si>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</si>
  <si>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</si>
  <si>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</si>
  <si>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</si>
  <si>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</si>
  <si>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</si>
  <si>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</si>
  <si>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</si>
  <si>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</si>
  <si>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</si>
  <si>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</si>
  <si>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</si>
  <si>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</si>
  <si>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</si>
  <si>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</si>
  <si>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</si>
  <si>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</si>
  <si>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</si>
  <si>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</si>
  <si>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</si>
  <si>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</si>
  <si>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</si>
  <si>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</si>
  <si>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</si>
  <si>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</si>
  <si>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</si>
  <si>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</si>
  <si>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</si>
  <si>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</si>
  <si>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</si>
  <si>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</si>
  <si>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</si>
  <si>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</si>
  <si>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</si>
  <si>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</si>
  <si>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</si>
  <si>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</si>
  <si>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</si>
  <si>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</si>
  <si>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</si>
  <si>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</si>
  <si>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</si>
  <si>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</si>
  <si>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</si>
  <si>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</si>
  <si>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</si>
  <si>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</si>
  <si>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</si>
  <si>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</si>
  <si>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</si>
  <si>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</si>
  <si>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</si>
  <si>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</si>
  <si>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</si>
  <si>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</si>
  <si>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</si>
  <si>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</si>
  <si>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</si>
  <si>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</si>
  <si>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</si>
  <si>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</si>
  <si>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</si>
  <si>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</si>
  <si>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</si>
  <si>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</si>
  <si>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</si>
  <si>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</si>
  <si>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</si>
  <si>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</si>
  <si>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</si>
  <si>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</si>
  <si>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</si>
  <si>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</si>
  <si>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</si>
  <si>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</si>
  <si>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</si>
  <si>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</si>
  <si>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</si>
  <si>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</si>
  <si>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</si>
  <si>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</si>
  <si>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</si>
  <si>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</si>
  <si>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</si>
  <si>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</si>
  <si>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</si>
  <si>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</si>
  <si>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</si>
  <si>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</si>
  <si>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</si>
  <si>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</si>
  <si>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</si>
  <si>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</si>
  <si>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</si>
  <si>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</si>
  <si>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</si>
  <si>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</si>
  <si>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</si>
  <si>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</si>
  <si>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</si>
  <si>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</si>
  <si>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</si>
  <si>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</si>
  <si>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</si>
  <si>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</si>
  <si>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</si>
  <si>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</si>
  <si>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</si>
  <si>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</si>
  <si>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</si>
  <si>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</si>
  <si>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</si>
  <si>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</si>
  <si>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</si>
  <si>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</si>
  <si>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</si>
  <si>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</si>
  <si>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</si>
  <si>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</si>
  <si>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</si>
  <si>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</si>
  <si>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</si>
  <si>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</si>
  <si>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</si>
  <si>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</si>
  <si>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</si>
  <si>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</si>
  <si>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</si>
  <si>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</si>
  <si>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</si>
  <si>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</si>
  <si>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</si>
  <si>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</si>
  <si>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</si>
  <si>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</si>
  <si>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</si>
  <si>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</si>
  <si>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</si>
  <si>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</si>
  <si>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</si>
  <si>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</si>
  <si>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</si>
  <si>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</si>
  <si>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</si>
  <si>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</si>
  <si>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</si>
  <si>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</si>
  <si>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</si>
  <si>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</si>
  <si>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</si>
  <si>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</si>
  <si>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</si>
  <si>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</si>
  <si>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</si>
  <si>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</si>
  <si>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</si>
  <si>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</si>
  <si>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</si>
  <si>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</si>
  <si>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</si>
  <si>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</si>
  <si>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</si>
  <si>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</si>
  <si>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</si>
  <si>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</si>
  <si>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</si>
  <si>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</si>
  <si>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</si>
  <si>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</si>
  <si>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</si>
  <si>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</si>
  <si>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</si>
  <si>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</si>
  <si>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</si>
  <si>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</si>
  <si>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</si>
  <si>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</si>
  <si>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</si>
  <si>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</si>
  <si>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</si>
  <si>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</si>
  <si>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</si>
  <si>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</si>
  <si>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</si>
  <si>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</si>
  <si>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</si>
  <si>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</si>
  <si>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</si>
  <si>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</si>
  <si>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</si>
  <si>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</si>
  <si>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</si>
  <si>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</si>
  <si>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</si>
  <si>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</si>
  <si>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</si>
  <si>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</si>
  <si>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</si>
  <si>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</si>
  <si>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</si>
  <si>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</si>
  <si>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</si>
  <si>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</si>
  <si>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</si>
  <si>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</si>
  <si>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</si>
  <si>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</si>
  <si>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</si>
  <si>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</si>
  <si>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</si>
  <si>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</si>
  <si>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</si>
  <si>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</si>
  <si>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</si>
  <si>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</si>
  <si>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</si>
  <si>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</si>
  <si>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</si>
  <si>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</si>
  <si>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</si>
  <si>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</si>
  <si>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</si>
  <si>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</si>
  <si>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</si>
  <si>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</si>
  <si>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</si>
  <si>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</si>
  <si>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</si>
  <si>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</si>
  <si>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</si>
  <si>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</si>
  <si>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</si>
  <si>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</si>
  <si>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</si>
  <si>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</si>
  <si>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</si>
  <si>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</si>
  <si>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</si>
  <si>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</si>
  <si>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</si>
  <si>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</si>
  <si>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</si>
  <si>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</si>
  <si>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</si>
  <si>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</si>
  <si>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</si>
  <si>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</si>
  <si>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</si>
  <si>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</si>
  <si>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</si>
  <si>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</si>
  <si>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</si>
  <si>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</si>
  <si>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</si>
  <si>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</si>
  <si>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</si>
  <si>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</si>
  <si>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</si>
  <si>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</si>
  <si>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</si>
  <si>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</si>
  <si>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</si>
  <si>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</si>
  <si>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</si>
  <si>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</si>
  <si>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</si>
  <si>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</si>
  <si>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</si>
  <si>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</si>
  <si>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</si>
  <si>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</si>
  <si>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</si>
  <si>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</si>
  <si>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</si>
  <si>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</si>
  <si>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</si>
  <si>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</si>
  <si>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</si>
  <si>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</si>
  <si>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</si>
  <si>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</si>
  <si>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</si>
  <si>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</si>
  <si>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</si>
  <si>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</si>
  <si>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</si>
  <si>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</si>
  <si>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</si>
  <si>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</si>
  <si>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</si>
  <si>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</si>
  <si>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</si>
  <si>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</si>
  <si>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</si>
  <si>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</si>
  <si>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</si>
  <si>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</si>
  <si>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</si>
  <si>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</si>
  <si>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</si>
  <si>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</si>
  <si>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</si>
  <si>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</si>
  <si>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</si>
  <si>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</si>
  <si>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</si>
  <si>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</si>
  <si>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</si>
  <si>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</si>
  <si>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</si>
  <si>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</si>
  <si>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</si>
  <si>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</si>
  <si>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</si>
  <si>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</si>
  <si>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</si>
  <si>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</si>
  <si>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</si>
  <si>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</si>
  <si>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</si>
  <si>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</si>
  <si>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</si>
  <si>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</si>
  <si>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</si>
  <si>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</si>
  <si>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</si>
  <si>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</si>
  <si>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</si>
  <si>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</si>
  <si>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</si>
  <si>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</si>
  <si>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</si>
  <si>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</si>
  <si>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</si>
  <si>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</si>
  <si>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</si>
  <si>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</si>
  <si>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</si>
  <si>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</si>
  <si>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</si>
  <si>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</si>
  <si>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</si>
  <si>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</si>
  <si>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</si>
  <si>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</si>
  <si>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</si>
  <si>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</si>
  <si>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</si>
  <si>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</si>
  <si>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</si>
  <si>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</si>
  <si>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</si>
  <si>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</si>
  <si>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</si>
  <si>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</si>
  <si>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</si>
  <si>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</si>
  <si>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</si>
  <si>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</si>
  <si>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</si>
  <si>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</si>
  <si>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</si>
  <si>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</si>
  <si>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</si>
  <si>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</si>
  <si>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</si>
  <si>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</si>
  <si>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</si>
  <si>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</si>
  <si>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</si>
  <si>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</si>
  <si>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</si>
  <si>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</si>
  <si>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</si>
  <si>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</si>
  <si>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</si>
  <si>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</si>
  <si>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</si>
  <si>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</si>
  <si>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</si>
  <si>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</si>
  <si>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</si>
  <si>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</si>
  <si>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</si>
  <si>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</si>
  <si>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</si>
  <si>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</si>
  <si>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</si>
  <si>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</si>
  <si>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</si>
  <si>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</si>
  <si>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</si>
  <si>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</si>
  <si>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</si>
  <si>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</si>
  <si>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</si>
  <si>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</si>
  <si>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</si>
  <si>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</si>
  <si>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</si>
  <si>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</si>
  <si>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</si>
  <si>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</si>
  <si>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</si>
  <si>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</si>
  <si>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</si>
  <si>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</si>
  <si>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</si>
  <si>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</si>
  <si>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</si>
  <si>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</si>
  <si>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</si>
  <si>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</si>
  <si>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</si>
  <si>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</si>
  <si>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</si>
  <si>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</si>
  <si>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</si>
  <si>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</si>
  <si>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</si>
  <si>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</si>
  <si>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</si>
  <si>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</si>
  <si>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</si>
  <si>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</si>
  <si>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</si>
  <si>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</si>
  <si>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</si>
  <si>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</si>
  <si>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</si>
  <si>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</si>
  <si>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</si>
  <si>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</si>
  <si>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</si>
  <si>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</si>
  <si>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</si>
  <si>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</si>
  <si>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</si>
  <si>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</si>
  <si>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</si>
  <si>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</si>
  <si>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</si>
  <si>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</si>
  <si>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</si>
  <si>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</si>
  <si>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</si>
  <si>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</si>
  <si>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</si>
  <si>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</si>
  <si>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</si>
  <si>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</si>
  <si>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</si>
  <si>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</si>
  <si>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</si>
  <si>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</si>
  <si>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</si>
  <si>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</si>
  <si>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</si>
  <si>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</si>
  <si>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</si>
  <si>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</si>
  <si>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</si>
  <si>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</si>
  <si>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</si>
  <si>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</si>
  <si>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</si>
  <si>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</si>
  <si>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</si>
  <si>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</si>
  <si>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</si>
  <si>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</si>
  <si>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</si>
  <si>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</si>
  <si>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</si>
  <si>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</si>
  <si>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</si>
  <si>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</si>
  <si>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</si>
  <si>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</si>
  <si>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</si>
  <si>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</si>
  <si>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</si>
  <si>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</si>
  <si>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</si>
  <si>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</si>
  <si>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</si>
  <si>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</si>
  <si>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</si>
  <si>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</si>
  <si>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</si>
  <si>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</si>
  <si>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</si>
  <si>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</si>
  <si>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</si>
  <si>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</si>
  <si>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</si>
  <si>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</si>
  <si>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</si>
  <si>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</si>
  <si>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</si>
  <si>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</si>
  <si>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</si>
  <si>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</si>
  <si>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</si>
  <si>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</si>
  <si>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</si>
  <si>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</si>
  <si>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</si>
  <si>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</si>
  <si>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</si>
  <si>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</si>
  <si>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</si>
  <si>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</si>
  <si>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</si>
  <si>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</si>
  <si>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</si>
  <si>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</si>
  <si>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</si>
  <si>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</si>
  <si>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</si>
  <si>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</si>
  <si>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</si>
  <si>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</si>
  <si>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</si>
  <si>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</si>
  <si>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</si>
  <si>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</si>
  <si>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</si>
  <si>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</si>
  <si>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</si>
  <si>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</si>
  <si>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</si>
  <si>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</si>
  <si>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</si>
  <si>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</si>
  <si>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</si>
  <si>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</si>
  <si>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</si>
  <si>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</si>
  <si>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</si>
  <si>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</si>
  <si>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</si>
  <si>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</si>
  <si>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</si>
  <si>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</si>
  <si>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</si>
  <si>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</si>
  <si>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</si>
  <si>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</si>
  <si>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</si>
  <si>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</si>
  <si>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</si>
  <si>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</si>
  <si>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</si>
  <si>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</si>
  <si>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</si>
  <si>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</si>
  <si>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</si>
  <si>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</si>
  <si>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</si>
  <si>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</si>
  <si>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</si>
  <si>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</si>
  <si>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</si>
  <si>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</si>
  <si>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</si>
  <si>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</si>
  <si>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</si>
  <si>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</si>
  <si>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</si>
  <si>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</si>
  <si>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</si>
  <si>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</si>
  <si>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</si>
  <si>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</si>
  <si>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</si>
  <si>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</si>
  <si>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</si>
  <si>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</si>
  <si>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</si>
  <si>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</si>
  <si>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</si>
  <si>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</si>
  <si>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</si>
  <si>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</si>
  <si>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</si>
  <si>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</si>
  <si>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</si>
  <si>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</si>
  <si>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</si>
  <si>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</si>
  <si>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</si>
  <si>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</si>
  <si>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</si>
  <si>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</si>
  <si>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</si>
  <si>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</si>
  <si>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</si>
  <si>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</si>
  <si>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</si>
  <si>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</si>
  <si>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</si>
  <si>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</si>
  <si>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</si>
  <si>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</si>
  <si>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</si>
  <si>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</si>
  <si>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</si>
  <si>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</si>
  <si>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</si>
  <si>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</si>
  <si>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</si>
  <si>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</si>
  <si>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</si>
  <si>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</si>
  <si>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</si>
  <si>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</si>
  <si>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</si>
  <si>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</si>
  <si>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</si>
  <si>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</si>
  <si>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</si>
  <si>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</si>
  <si>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</si>
  <si>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</si>
  <si>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</si>
  <si>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</si>
  <si>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</si>
  <si>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</si>
  <si>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</si>
  <si>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</si>
  <si>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</si>
  <si>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</si>
  <si>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</si>
  <si>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</si>
  <si>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</si>
  <si>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</si>
  <si>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</si>
  <si>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</si>
  <si>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</si>
  <si>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</si>
  <si>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</si>
  <si>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</si>
  <si>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</si>
  <si>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</si>
  <si>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</si>
  <si>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</si>
  <si>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</si>
  <si>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</si>
  <si>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</si>
  <si>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</si>
  <si>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</si>
  <si>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</si>
  <si>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</si>
  <si>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</si>
  <si>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</si>
  <si>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</si>
  <si>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</si>
  <si>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</si>
  <si>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</si>
  <si>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</si>
  <si>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</si>
  <si>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</si>
  <si>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</si>
  <si>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</si>
  <si>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</si>
  <si>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</si>
  <si>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</si>
  <si>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</si>
  <si>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</si>
  <si>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</si>
  <si>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</si>
  <si>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</si>
  <si>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</si>
  <si>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</si>
  <si>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</si>
  <si>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</si>
  <si>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</si>
  <si>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</si>
  <si>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</si>
  <si>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</si>
  <si>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</si>
  <si>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</si>
  <si>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</si>
  <si>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</si>
  <si>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</si>
  <si>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</si>
  <si>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</si>
  <si>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</si>
  <si>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</si>
  <si>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</si>
  <si>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</si>
  <si>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</si>
  <si>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</si>
  <si>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</si>
  <si>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</si>
  <si>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</si>
  <si>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</si>
  <si>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</si>
  <si>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</si>
  <si>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</si>
  <si>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</si>
  <si>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</si>
  <si>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</si>
  <si>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</si>
  <si>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</si>
  <si>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</si>
  <si>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</si>
  <si>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</si>
  <si>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</si>
  <si>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</si>
  <si>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</si>
  <si>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</si>
  <si>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</si>
  <si>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</si>
  <si>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</si>
  <si>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</si>
  <si>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</si>
  <si>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</si>
  <si>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</si>
  <si>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</si>
  <si>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</si>
  <si>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</si>
  <si>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</si>
  <si>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</si>
  <si>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</si>
  <si>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</si>
  <si>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</si>
  <si>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</si>
  <si>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</si>
  <si>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</si>
  <si>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</si>
  <si>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</si>
  <si>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</si>
  <si>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</si>
  <si>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</si>
  <si>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</si>
  <si>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</si>
  <si>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</si>
  <si>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</si>
  <si>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</si>
  <si>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</si>
  <si>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</si>
  <si>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</si>
  <si>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</si>
  <si>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</si>
  <si>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</si>
  <si>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</si>
  <si>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</si>
  <si>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</si>
  <si>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</si>
  <si>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</si>
  <si>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</si>
  <si>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</si>
  <si>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</si>
  <si>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</si>
  <si>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</si>
  <si>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</si>
  <si>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</si>
  <si>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</si>
  <si>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</si>
  <si>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</si>
  <si>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</si>
  <si>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</si>
  <si>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</si>
  <si>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</si>
  <si>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</si>
  <si>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</si>
  <si>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</si>
  <si>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</si>
  <si>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</si>
  <si>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</si>
  <si>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</si>
  <si>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</si>
  <si>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</si>
  <si>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</si>
  <si>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</si>
  <si>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</si>
  <si>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</si>
  <si>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</si>
  <si>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</si>
  <si>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</si>
  <si>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</si>
  <si>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</si>
  <si>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</si>
  <si>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</si>
  <si>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</si>
  <si>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</si>
  <si>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</si>
  <si>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</si>
  <si>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</si>
  <si>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</si>
  <si>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</si>
  <si>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</si>
  <si>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</si>
  <si>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</si>
  <si>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</si>
  <si>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</si>
  <si>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</si>
  <si>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</si>
  <si>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</si>
  <si>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</si>
  <si>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</si>
  <si>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</si>
  <si>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</si>
  <si>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</si>
  <si>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</si>
  <si>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</si>
  <si>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</si>
  <si>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</si>
  <si>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</si>
  <si>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</si>
  <si>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</si>
  <si>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</si>
  <si>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</si>
  <si>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</si>
  <si>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</si>
  <si>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</si>
  <si>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</si>
  <si>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</si>
  <si>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</si>
  <si>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</si>
  <si>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</si>
  <si>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</si>
  <si>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</si>
  <si>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</si>
  <si>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</si>
  <si>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</si>
  <si>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</si>
  <si>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</si>
  <si>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</si>
  <si>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</si>
  <si>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</si>
  <si>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</si>
  <si>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</si>
  <si>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</si>
  <si>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</si>
  <si>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</si>
  <si>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</si>
  <si>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</si>
  <si>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</si>
  <si>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</si>
  <si>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</si>
  <si>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</si>
  <si>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</si>
  <si>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</si>
  <si>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</si>
  <si>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</si>
  <si>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</si>
  <si>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</si>
  <si>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</si>
  <si>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</si>
  <si>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</si>
  <si>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</si>
  <si>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</si>
  <si>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</si>
  <si>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</si>
  <si>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</si>
  <si>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</si>
  <si>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</si>
  <si>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</si>
  <si>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</si>
  <si>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</si>
  <si>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</si>
  <si>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</si>
  <si>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</si>
  <si>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</si>
  <si>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</si>
  <si>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</si>
  <si>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</si>
  <si>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</si>
  <si>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</si>
  <si>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</si>
  <si>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</si>
  <si>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</si>
  <si>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</si>
  <si>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</si>
  <si>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</si>
  <si>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</si>
  <si>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</si>
  <si>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</si>
  <si>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</si>
  <si>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</si>
  <si>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</si>
  <si>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</si>
  <si>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</si>
  <si>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</si>
  <si>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</si>
  <si>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</si>
  <si>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</si>
  <si>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</si>
  <si>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</si>
  <si>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</si>
  <si>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</si>
  <si>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</si>
  <si>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</si>
  <si>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</si>
  <si>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</si>
  <si>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</si>
  <si>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</si>
  <si>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</si>
  <si>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</si>
  <si>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</si>
  <si>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</si>
  <si>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</si>
  <si>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</si>
  <si>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</si>
  <si>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</si>
  <si>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</si>
  <si>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</si>
  <si>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</si>
  <si>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</si>
  <si>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</si>
  <si>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</si>
  <si>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</si>
  <si>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</si>
  <si>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</si>
  <si>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</si>
  <si>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</si>
  <si>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</si>
  <si>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</si>
  <si>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</si>
  <si>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</si>
  <si>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</si>
  <si>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</si>
  <si>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</si>
  <si>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</si>
  <si>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</si>
  <si>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</si>
  <si>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</si>
  <si>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</si>
  <si>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</si>
  <si>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</si>
  <si>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</si>
  <si>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</si>
  <si>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</si>
  <si>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</si>
  <si>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</si>
  <si>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</si>
  <si>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</si>
  <si>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</si>
  <si>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</si>
  <si>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</si>
  <si>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</si>
  <si>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</si>
  <si>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</si>
  <si>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</si>
  <si>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</si>
  <si>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</si>
  <si>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</si>
  <si>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</si>
  <si>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</si>
  <si>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</si>
  <si>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</si>
  <si>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</si>
  <si>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</si>
  <si>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</si>
  <si>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</si>
  <si>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</si>
  <si>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</si>
  <si>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</si>
  <si>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</si>
  <si>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</si>
  <si>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</si>
  <si>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</si>
  <si>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</si>
  <si>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</si>
  <si>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</si>
  <si>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</si>
  <si>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</si>
  <si>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</si>
  <si>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</si>
  <si>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</si>
  <si>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</si>
  <si>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</si>
  <si>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</si>
  <si>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</si>
  <si>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</si>
  <si>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</si>
  <si>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</si>
  <si>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</si>
  <si>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</si>
  <si>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</si>
  <si>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</si>
  <si>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</si>
  <si>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</si>
  <si>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</si>
  <si>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</si>
  <si>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</si>
  <si>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</si>
  <si>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</si>
  <si>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</si>
  <si>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</si>
  <si>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</si>
  <si>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</si>
  <si>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</si>
  <si>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</si>
  <si>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</si>
  <si>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</si>
  <si>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</si>
  <si>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</si>
  <si>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</si>
  <si>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</si>
  <si>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</si>
  <si>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</si>
  <si>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</si>
  <si>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</si>
  <si>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</si>
  <si>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</si>
  <si>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</si>
  <si>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</si>
  <si>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</si>
  <si>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</si>
  <si>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</si>
  <si>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</si>
  <si>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</si>
  <si>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</si>
  <si>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</si>
  <si>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</si>
  <si>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</si>
  <si>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</si>
  <si>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</si>
  <si>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</si>
  <si>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</si>
  <si>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</si>
  <si>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</si>
  <si>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</si>
  <si>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</si>
  <si>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</si>
  <si>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</si>
  <si>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</si>
  <si>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</si>
  <si>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</si>
  <si>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</si>
  <si>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</si>
  <si>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</si>
  <si>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</si>
  <si>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</si>
  <si>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</si>
  <si>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</si>
  <si>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</si>
  <si>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</si>
  <si>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</si>
  <si>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</si>
  <si>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</si>
  <si>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</si>
  <si>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</si>
  <si>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</si>
  <si>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</si>
  <si>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</si>
  <si>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</si>
  <si>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</si>
  <si>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</si>
  <si>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</si>
  <si>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</si>
  <si>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</si>
  <si>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</si>
  <si>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</si>
  <si>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</si>
  <si>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</si>
  <si>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</si>
  <si>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</si>
  <si>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</si>
  <si>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</si>
  <si>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</si>
  <si>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</si>
  <si>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</si>
  <si>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</si>
  <si>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</si>
  <si>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</si>
  <si>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</si>
  <si>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</si>
  <si>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</si>
  <si>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</si>
  <si>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</si>
  <si>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</si>
  <si>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</si>
  <si>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</si>
  <si>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</si>
  <si>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</si>
  <si>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</si>
  <si>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</si>
  <si>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</si>
  <si>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</si>
  <si>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</si>
  <si>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</si>
  <si>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</si>
  <si>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</si>
  <si>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</si>
  <si>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</si>
  <si>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</si>
  <si>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</si>
  <si>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</si>
  <si>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</si>
  <si>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</si>
  <si>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</si>
  <si>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</si>
  <si>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</si>
  <si>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</si>
  <si>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</si>
  <si>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</si>
  <si>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</si>
  <si>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</si>
  <si>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</si>
  <si>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</si>
  <si>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</si>
  <si>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</si>
  <si>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</si>
  <si>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</si>
  <si>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</si>
  <si>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</si>
  <si>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</si>
  <si>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</si>
  <si>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</si>
  <si>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</si>
  <si>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</si>
  <si>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</si>
  <si>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</si>
  <si>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</si>
  <si>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</si>
  <si>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</si>
  <si>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</si>
  <si>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</si>
  <si>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</si>
  <si>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</si>
  <si>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</si>
  <si>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</si>
  <si>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</si>
  <si>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</si>
  <si>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</si>
  <si>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</si>
  <si>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</si>
  <si>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</si>
  <si>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</si>
  <si>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</si>
  <si>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</si>
  <si>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</si>
  <si>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</si>
  <si>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</si>
  <si>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</si>
  <si>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</si>
  <si>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</si>
  <si>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</si>
  <si>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</si>
  <si>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</si>
  <si>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</si>
  <si>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</si>
  <si>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</si>
  <si>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</si>
  <si>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</si>
  <si>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</si>
  <si>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</si>
  <si>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</si>
  <si>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</si>
  <si>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</si>
  <si>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</si>
  <si>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</si>
  <si>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</si>
  <si>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</si>
  <si>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</si>
  <si>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</si>
  <si>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</si>
  <si>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</si>
  <si>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</si>
  <si>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</si>
  <si>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</si>
  <si>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</si>
  <si>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</si>
  <si>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</si>
  <si>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</si>
  <si>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</si>
  <si>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</si>
  <si>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</si>
  <si>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</si>
  <si>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</si>
  <si>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</si>
  <si>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</si>
  <si>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</si>
  <si>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</si>
  <si>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</si>
  <si>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</si>
  <si>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</si>
  <si>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</si>
  <si>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</si>
  <si>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</si>
  <si>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</si>
  <si>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</si>
  <si>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</si>
  <si>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</si>
  <si>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</si>
  <si>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</si>
  <si>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</si>
  <si>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</si>
  <si>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</si>
  <si>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</si>
  <si>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</si>
  <si>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</si>
  <si>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</si>
  <si>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</si>
  <si>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</si>
  <si>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</si>
  <si>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</si>
  <si>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</si>
  <si>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</si>
  <si>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</si>
  <si>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</si>
  <si>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</si>
  <si>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</si>
  <si>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</si>
  <si>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</si>
  <si>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</si>
  <si>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</si>
  <si>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</si>
  <si>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</si>
  <si>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</si>
  <si>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</si>
  <si>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</si>
  <si>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</si>
  <si>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</si>
  <si>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</si>
  <si>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</si>
  <si>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</si>
  <si>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</si>
  <si>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</si>
  <si>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</si>
  <si>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</si>
  <si>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</si>
  <si>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</si>
  <si>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</si>
  <si>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</si>
  <si>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</si>
  <si>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</si>
  <si>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</si>
  <si>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</si>
  <si>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</si>
  <si>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</si>
  <si>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</si>
  <si>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</si>
  <si>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</si>
  <si>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</si>
  <si>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</si>
  <si>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</si>
  <si>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</si>
  <si>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</si>
  <si>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</si>
  <si>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</si>
  <si>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</si>
  <si>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</si>
  <si>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</si>
  <si>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</si>
  <si>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</si>
  <si>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</si>
  <si>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</si>
  <si>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</si>
  <si>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</si>
  <si>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</si>
  <si>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</si>
  <si>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</si>
  <si>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</si>
  <si>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</si>
  <si>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</si>
  <si>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</si>
  <si>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</si>
  <si>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</si>
  <si>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</si>
  <si>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</si>
  <si>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</si>
  <si>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</si>
  <si>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</si>
  <si>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</si>
  <si>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</si>
  <si>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</si>
  <si>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</si>
  <si>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</si>
  <si>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</si>
  <si>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</si>
  <si>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</si>
  <si>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</si>
  <si>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</si>
  <si>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</si>
  <si>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</si>
  <si>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</si>
  <si>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</si>
  <si>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</si>
  <si>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</si>
  <si>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</si>
  <si>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</si>
  <si>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</si>
  <si>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</si>
  <si>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</si>
  <si>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</si>
  <si>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</si>
  <si>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</si>
  <si>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</si>
  <si>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</si>
  <si>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</si>
  <si>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</si>
  <si>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</si>
  <si>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</si>
  <si>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</si>
  <si>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</si>
  <si>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</si>
  <si>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</si>
  <si>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</si>
  <si>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</si>
  <si>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</si>
  <si>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</si>
  <si>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</si>
  <si>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</si>
  <si>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</si>
  <si>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</si>
  <si>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</si>
  <si>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</si>
  <si>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</si>
  <si>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</si>
  <si>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</si>
  <si>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</si>
  <si>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</si>
  <si>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</si>
  <si>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</si>
  <si>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</si>
  <si>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</si>
  <si>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</si>
  <si>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</si>
  <si>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</si>
  <si>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</si>
  <si>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</si>
  <si>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</si>
  <si>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</si>
  <si>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</si>
  <si>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</si>
  <si>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</si>
  <si>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</si>
  <si>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</si>
  <si>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</si>
  <si>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</si>
  <si>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</si>
  <si>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</si>
  <si>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</si>
  <si>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</si>
  <si>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</si>
  <si>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</si>
  <si>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</si>
  <si>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</si>
  <si>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</si>
  <si>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</si>
  <si>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</si>
  <si>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</si>
  <si>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</si>
  <si>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</si>
  <si>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</si>
  <si>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</si>
  <si>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</si>
  <si>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</si>
  <si>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</si>
  <si>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</si>
  <si>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</si>
  <si>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</si>
  <si>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</si>
  <si>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</si>
  <si>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</si>
  <si>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</si>
  <si>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</si>
  <si>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</si>
  <si>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</si>
  <si>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</si>
  <si>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</si>
  <si>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</si>
  <si>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</si>
  <si>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</si>
  <si>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</si>
  <si>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</si>
  <si>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</si>
  <si>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</si>
  <si>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</si>
  <si>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</si>
  <si>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</si>
  <si>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</si>
  <si>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</si>
  <si>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</si>
  <si>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</si>
  <si>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</si>
  <si>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</si>
  <si>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</si>
  <si>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</si>
  <si>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</si>
  <si>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</si>
  <si>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</si>
  <si>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</si>
  <si>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</si>
  <si>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</si>
  <si>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</si>
  <si>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</si>
  <si>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</si>
  <si>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</si>
  <si>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</si>
  <si>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</si>
  <si>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</si>
  <si>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</si>
  <si>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</si>
  <si>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</si>
  <si>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</si>
  <si>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</si>
  <si>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</si>
  <si>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</si>
  <si>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</si>
  <si>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</si>
  <si>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</si>
  <si>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</si>
  <si>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</si>
  <si>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</si>
  <si>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</si>
  <si>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</si>
  <si>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</si>
  <si>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</si>
  <si>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</si>
  <si>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</si>
  <si>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</si>
  <si>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</si>
  <si>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</si>
  <si>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</si>
  <si>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</si>
  <si>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</si>
  <si>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</si>
  <si>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</si>
  <si>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</si>
  <si>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</si>
  <si>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</si>
  <si>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</si>
  <si>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</si>
  <si>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</si>
  <si>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</si>
  <si>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</si>
  <si>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</si>
  <si>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</si>
  <si>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</si>
  <si>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</si>
  <si>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</si>
  <si>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</si>
  <si>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</si>
  <si>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</si>
  <si>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</si>
  <si>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</si>
  <si>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</si>
  <si>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</si>
  <si>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</si>
  <si>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</si>
  <si>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</si>
  <si>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</si>
  <si>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</si>
  <si>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</si>
  <si>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</si>
  <si>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</si>
  <si>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</si>
  <si>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</si>
  <si>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</si>
  <si>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</si>
  <si>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</si>
  <si>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</si>
  <si>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</si>
  <si>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</si>
  <si>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</si>
  <si>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</si>
  <si>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</si>
  <si>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</si>
  <si>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</si>
  <si>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</si>
  <si>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</si>
  <si>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</si>
  <si>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</si>
  <si>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</si>
  <si>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</si>
  <si>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</si>
  <si>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</si>
  <si>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</si>
  <si>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</si>
  <si>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</si>
  <si>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</si>
  <si>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</si>
  <si>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</si>
  <si>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</si>
  <si>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</si>
  <si>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</si>
  <si>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</si>
  <si>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</si>
  <si>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</si>
  <si>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</si>
  <si>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</si>
  <si>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</si>
  <si>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</si>
  <si>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</si>
  <si>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</si>
  <si>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</si>
  <si>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</si>
  <si>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</si>
  <si>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</si>
  <si>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</si>
  <si>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</si>
  <si>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</si>
  <si>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</si>
  <si>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</si>
  <si>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</si>
  <si>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</si>
  <si>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</si>
  <si>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</si>
  <si>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</si>
  <si>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</si>
  <si>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</si>
  <si>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</si>
  <si>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</si>
  <si>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</si>
  <si>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</si>
  <si>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</si>
  <si>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</si>
  <si>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</si>
  <si>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</si>
  <si>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</si>
  <si>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</si>
  <si>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</si>
  <si>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</si>
  <si>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</si>
  <si>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</si>
  <si>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</si>
  <si>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</si>
  <si>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</si>
  <si>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</si>
  <si>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</si>
  <si>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</si>
  <si>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</si>
  <si>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</si>
  <si>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</si>
  <si>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</si>
  <si>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</si>
  <si>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</si>
  <si>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</si>
  <si>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</si>
  <si>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</si>
  <si>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</si>
  <si>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</si>
  <si>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</si>
  <si>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</si>
  <si>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</si>
  <si>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</si>
  <si>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</si>
  <si>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</si>
  <si>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</si>
  <si>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</si>
  <si>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</si>
  <si>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</si>
  <si>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</si>
  <si>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</si>
  <si>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</si>
  <si>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</si>
  <si>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</si>
  <si>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</si>
  <si>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</si>
  <si>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</si>
  <si>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</si>
  <si>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</si>
  <si>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</si>
  <si>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</si>
  <si>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</si>
  <si>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</si>
  <si>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</si>
  <si>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</si>
  <si>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</si>
  <si>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</si>
  <si>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</si>
  <si>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</si>
  <si>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</si>
  <si>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</si>
  <si>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</si>
  <si>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</si>
  <si>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</si>
  <si>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</si>
  <si>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</si>
  <si>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</si>
  <si>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</si>
  <si>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</si>
  <si>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</si>
  <si>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</si>
  <si>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</si>
  <si>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</si>
  <si>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</si>
  <si>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</si>
  <si>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</si>
  <si>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</si>
  <si>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</si>
  <si>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</si>
  <si>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</si>
  <si>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</si>
  <si>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</si>
  <si>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</si>
  <si>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</si>
  <si>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</si>
  <si>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</si>
  <si>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</si>
  <si>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</si>
  <si>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</si>
  <si>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</si>
  <si>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</si>
  <si>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</si>
  <si>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</si>
  <si>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</si>
  <si>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</si>
  <si>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</si>
  <si>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</si>
  <si>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</si>
  <si>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</si>
  <si>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</si>
  <si>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</si>
  <si>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</si>
  <si>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</si>
  <si>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</si>
  <si>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</si>
  <si>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</si>
  <si>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</si>
  <si>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</si>
  <si>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</si>
  <si>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</si>
  <si>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</si>
  <si>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</si>
  <si>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</si>
  <si>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</si>
  <si>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</si>
  <si>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</si>
  <si>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</si>
  <si>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</si>
  <si>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</si>
  <si>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</si>
  <si>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</si>
  <si>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</si>
  <si>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</si>
  <si>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</si>
  <si>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</si>
  <si>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</si>
  <si>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</si>
  <si>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</si>
  <si>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</si>
  <si>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</si>
  <si>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</si>
  <si>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</si>
  <si>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</si>
  <si>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</si>
  <si>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</si>
  <si>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</si>
  <si>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</si>
  <si>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</si>
  <si>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</si>
  <si>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</si>
  <si>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</si>
  <si>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</si>
  <si>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</si>
  <si>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</si>
  <si>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</si>
  <si>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</si>
  <si>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</si>
  <si>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</si>
  <si>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</si>
  <si>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</si>
  <si>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</si>
  <si>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</si>
  <si>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</si>
  <si>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</si>
  <si>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</si>
  <si>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</si>
  <si>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</si>
  <si>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</si>
  <si>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</si>
  <si>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</si>
  <si>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</si>
  <si>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</si>
  <si>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</si>
  <si>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</si>
  <si>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</si>
  <si>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</si>
  <si>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</si>
  <si>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</si>
  <si>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</si>
  <si>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</si>
  <si>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</si>
  <si>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</si>
  <si>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</si>
  <si>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</si>
  <si>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</si>
  <si>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</si>
  <si>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</si>
  <si>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</si>
  <si>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</si>
  <si>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</si>
  <si>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</si>
  <si>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</si>
  <si>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</si>
  <si>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</si>
  <si>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</si>
  <si>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</si>
  <si>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</si>
  <si>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</si>
  <si>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</si>
  <si>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</si>
  <si>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</si>
  <si>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</si>
  <si>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</si>
  <si>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</si>
  <si>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</si>
  <si>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</si>
  <si>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</si>
  <si>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</si>
  <si>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</si>
  <si>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</si>
  <si>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</si>
  <si>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</si>
  <si>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</si>
  <si>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</si>
  <si>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</si>
  <si>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</si>
  <si>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</si>
  <si>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</si>
  <si>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</si>
  <si>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</si>
  <si>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</si>
  <si>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</si>
  <si>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</si>
  <si>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</si>
  <si>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</si>
  <si>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</si>
  <si>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</si>
  <si>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</si>
  <si>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</si>
  <si>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</si>
  <si>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</si>
  <si>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</si>
  <si>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</si>
  <si>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</si>
  <si>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</si>
  <si>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</si>
  <si>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</si>
  <si>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</si>
  <si>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</si>
  <si>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</si>
  <si>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</si>
  <si>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</si>
  <si>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</si>
  <si>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</si>
  <si>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</si>
  <si>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</si>
  <si>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</si>
  <si>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</si>
  <si>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</si>
  <si>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</si>
  <si>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</si>
  <si>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</si>
  <si>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</si>
  <si>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</si>
  <si>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</si>
  <si>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</si>
  <si>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</si>
  <si>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</si>
  <si>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</si>
  <si>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</si>
  <si>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</si>
  <si>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</si>
  <si>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</si>
  <si>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</si>
  <si>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</si>
  <si>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</si>
  <si>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</si>
  <si>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</si>
  <si>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</si>
  <si>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</si>
  <si>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</si>
  <si>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</si>
  <si>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</si>
  <si>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</si>
  <si>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</si>
  <si>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</si>
  <si>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</si>
  <si>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</si>
  <si>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</si>
  <si>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</si>
  <si>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</si>
  <si>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</si>
  <si>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</si>
  <si>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</si>
  <si>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</si>
  <si>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</si>
  <si>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</si>
  <si>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</si>
  <si>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</si>
  <si>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</si>
  <si>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</si>
  <si>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</si>
  <si>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</si>
  <si>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</si>
  <si>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</si>
  <si>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</si>
  <si>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</si>
  <si>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</si>
  <si>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</si>
  <si>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</si>
  <si>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</si>
  <si>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</si>
  <si>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</si>
  <si>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</si>
  <si>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</si>
  <si>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</si>
  <si>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</si>
  <si>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</si>
  <si>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</si>
  <si>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</si>
  <si>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</si>
  <si>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</si>
  <si>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</si>
  <si>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</si>
  <si>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</si>
  <si>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</si>
  <si>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</si>
  <si>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</si>
  <si>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</si>
  <si>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</si>
  <si>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</si>
  <si>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</si>
  <si>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</si>
  <si>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</si>
  <si>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</si>
  <si>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</si>
  <si>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</si>
  <si>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</si>
  <si>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</si>
  <si>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</si>
  <si>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</si>
  <si>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</si>
  <si>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</si>
  <si>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</si>
  <si>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</si>
  <si>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</si>
  <si>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</si>
  <si>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</si>
  <si>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</si>
  <si>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</si>
  <si>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</si>
  <si>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</si>
  <si>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</si>
  <si>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</si>
  <si>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</si>
  <si>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</si>
  <si>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</si>
  <si>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</si>
  <si>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</si>
  <si>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</si>
  <si>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</si>
  <si>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</si>
  <si>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</si>
  <si>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</si>
  <si>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</si>
  <si>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</si>
  <si>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</si>
  <si>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</si>
  <si>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</si>
  <si>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</si>
  <si>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</si>
  <si>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</si>
  <si>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</si>
  <si>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</si>
  <si>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</si>
  <si>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</si>
  <si>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</si>
  <si>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</si>
  <si>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</si>
  <si>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</si>
  <si>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</si>
  <si>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</si>
  <si>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</si>
  <si>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</si>
  <si>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</si>
  <si>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</si>
  <si>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</si>
  <si>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</si>
  <si>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</si>
  <si>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</si>
  <si>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</si>
  <si>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</si>
  <si>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</si>
  <si>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</si>
  <si>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</si>
  <si>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</si>
  <si>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</si>
  <si>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</si>
  <si>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</si>
  <si>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</si>
  <si>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</si>
  <si>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</si>
  <si>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</si>
  <si>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</si>
  <si>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</si>
  <si>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</si>
  <si>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</si>
  <si>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</si>
  <si>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</si>
  <si>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</si>
  <si>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</si>
  <si>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</si>
  <si>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</si>
  <si>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</si>
  <si>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</si>
  <si>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</si>
  <si>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</si>
  <si>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</si>
  <si>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</si>
  <si>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</si>
  <si>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</si>
  <si>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</si>
  <si>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</si>
  <si>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</si>
  <si>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</si>
  <si>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</si>
  <si>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</si>
  <si>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</si>
  <si>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</si>
  <si>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</si>
  <si>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</si>
  <si>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</si>
  <si>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</si>
  <si>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</si>
  <si>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</si>
  <si>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</si>
  <si>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</si>
  <si>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</si>
  <si>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</si>
  <si>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</si>
  <si>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</si>
  <si>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</si>
  <si>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</si>
  <si>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</si>
  <si>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</si>
  <si>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</si>
  <si>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</si>
  <si>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</si>
  <si>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</si>
  <si>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</si>
  <si>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</si>
  <si>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</si>
  <si>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</si>
  <si>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</si>
  <si>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</si>
  <si>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</si>
  <si>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</si>
  <si>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</si>
  <si>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</si>
  <si>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</si>
  <si>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</si>
  <si>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</si>
  <si>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</si>
  <si>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</si>
  <si>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</si>
  <si>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</si>
  <si>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</si>
  <si>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</si>
  <si>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</si>
  <si>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</si>
  <si>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</si>
  <si>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</si>
  <si>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</si>
  <si>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</si>
  <si>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</si>
  <si>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</si>
  <si>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</si>
  <si>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</si>
  <si>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</si>
  <si>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</si>
  <si>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</si>
  <si>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</si>
  <si>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</si>
  <si>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</si>
  <si>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</si>
  <si>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</si>
  <si>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</si>
  <si>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</si>
  <si>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</si>
  <si>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</si>
  <si>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</si>
  <si>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</si>
  <si>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</si>
  <si>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</si>
  <si>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</si>
  <si>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</si>
  <si>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</si>
  <si>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</si>
  <si>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</si>
  <si>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</si>
  <si>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</si>
  <si>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</si>
  <si>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</si>
  <si>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</si>
  <si>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</si>
  <si>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</si>
  <si>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</si>
  <si>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</si>
  <si>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</si>
  <si>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</si>
  <si>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</si>
  <si>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</si>
  <si>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</si>
  <si>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</si>
  <si>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</si>
  <si>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</si>
  <si>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</si>
  <si>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</si>
  <si>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</si>
  <si>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</si>
  <si>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</si>
  <si>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</si>
  <si>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</si>
  <si>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</si>
  <si>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</si>
  <si>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</si>
  <si>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</si>
  <si>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</si>
  <si>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</si>
  <si>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</si>
  <si>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</si>
  <si>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</si>
  <si>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</si>
  <si>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</si>
  <si>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</si>
  <si>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</si>
  <si>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</si>
  <si>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</si>
  <si>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</si>
  <si>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</si>
  <si>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</si>
  <si>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</si>
  <si>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</si>
  <si>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</si>
  <si>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</si>
  <si>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</si>
  <si>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</si>
  <si>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</si>
  <si>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</si>
  <si>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</si>
  <si>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</si>
  <si>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</si>
  <si>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</si>
  <si>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</si>
  <si>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</si>
  <si>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</si>
  <si>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</si>
  <si>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</si>
  <si>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</si>
  <si>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</si>
  <si>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</si>
  <si>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</si>
  <si>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</si>
  <si>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</si>
  <si>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</si>
  <si>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</si>
  <si>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</si>
  <si>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</si>
  <si>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</si>
  <si>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</si>
  <si>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</si>
  <si>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</si>
  <si>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</si>
  <si>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</si>
  <si>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</si>
  <si>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</si>
  <si>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</si>
  <si>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</si>
  <si>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</si>
  <si>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</si>
  <si>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</si>
  <si>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</si>
  <si>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</si>
  <si>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</si>
  <si>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</si>
  <si>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</si>
  <si>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</si>
  <si>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</si>
  <si>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</si>
  <si>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</si>
  <si>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</si>
  <si>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</si>
  <si>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</si>
  <si>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</si>
  <si>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</si>
  <si>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</si>
  <si>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</si>
  <si>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</si>
  <si>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</si>
  <si>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</si>
  <si>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</si>
  <si>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</si>
  <si>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</si>
  <si>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</si>
  <si>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</si>
  <si>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</si>
  <si>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</si>
  <si>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</si>
  <si>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</si>
  <si>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</si>
  <si>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</si>
  <si>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</si>
  <si>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</si>
  <si>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</si>
  <si>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</si>
  <si>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</si>
  <si>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</si>
  <si>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</si>
  <si>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</si>
  <si>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</si>
  <si>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</si>
  <si>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</si>
  <si>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</si>
  <si>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</si>
  <si>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</si>
  <si>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</si>
  <si>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</si>
  <si>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</si>
  <si>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</si>
  <si>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</si>
  <si>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</si>
  <si>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</si>
  <si>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</si>
  <si>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</si>
  <si>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</si>
  <si>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</si>
  <si>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</si>
  <si>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</si>
  <si>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</si>
  <si>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</si>
  <si>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</si>
  <si>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</si>
  <si>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</si>
  <si>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</si>
  <si>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</si>
  <si>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</si>
  <si>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</si>
  <si>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</si>
  <si>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</si>
  <si>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</si>
  <si>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</si>
  <si>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</si>
  <si>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</si>
  <si>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</si>
  <si>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</si>
  <si>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</si>
  <si>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</si>
  <si>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</si>
  <si>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</si>
  <si>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</si>
  <si>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</si>
  <si>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</si>
  <si>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</si>
  <si>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</si>
  <si>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</si>
  <si>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</si>
  <si>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</si>
  <si>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</si>
  <si>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</si>
  <si>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</si>
  <si>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</si>
  <si>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</si>
  <si>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</si>
  <si>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</si>
  <si>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</si>
  <si>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</si>
  <si>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</si>
  <si>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</si>
  <si>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</si>
  <si>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</si>
  <si>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</si>
  <si>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</si>
  <si>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</si>
  <si>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</si>
  <si>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</si>
  <si>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</si>
  <si>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</si>
  <si>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</si>
  <si>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</si>
  <si>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</si>
  <si>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</si>
  <si>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</si>
  <si>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</si>
  <si>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</si>
  <si>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</si>
  <si>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</si>
  <si>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</si>
  <si>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</si>
  <si>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</si>
  <si>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</si>
  <si>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</si>
  <si>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</si>
  <si>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</si>
  <si>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</si>
  <si>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</si>
  <si>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</si>
  <si>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</si>
  <si>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</si>
  <si>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</si>
  <si>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</si>
  <si>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</si>
  <si>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</si>
  <si>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</si>
  <si>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</si>
  <si>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</si>
  <si>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</si>
  <si>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</si>
  <si>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</si>
  <si>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</si>
  <si>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</si>
  <si>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</si>
  <si>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</si>
  <si>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</si>
  <si>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</si>
  <si>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</si>
  <si>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</si>
  <si>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</si>
  <si>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</si>
  <si>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</si>
  <si>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</si>
  <si>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</si>
  <si>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</si>
  <si>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</si>
  <si>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</si>
  <si>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</si>
  <si>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</si>
  <si>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</si>
  <si>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</si>
  <si>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</si>
  <si>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</si>
  <si>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</si>
  <si>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</si>
  <si>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</si>
  <si>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</si>
  <si>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</si>
  <si>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</si>
  <si>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</si>
  <si>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</si>
  <si>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</si>
  <si>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</si>
  <si>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</si>
  <si>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</si>
  <si>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</si>
  <si>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</si>
  <si>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</si>
  <si>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</si>
  <si>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</si>
  <si>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</si>
  <si>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</si>
  <si>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</si>
  <si>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</si>
  <si>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</si>
  <si>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</si>
  <si>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</si>
  <si>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</si>
  <si>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</si>
  <si>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</si>
  <si>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</si>
  <si>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</si>
  <si>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</si>
  <si>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</si>
  <si>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</si>
  <si>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</si>
  <si>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</si>
  <si>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</si>
  <si>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</si>
  <si>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</si>
  <si>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</si>
  <si>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</si>
  <si>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</si>
  <si>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</si>
  <si>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</si>
  <si>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</si>
  <si>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</si>
  <si>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</si>
  <si>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</si>
  <si>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</si>
  <si>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</si>
  <si>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</si>
  <si>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</si>
  <si>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</si>
  <si>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</si>
  <si>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</si>
  <si>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</si>
  <si>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</si>
  <si>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</si>
  <si>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</si>
  <si>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</si>
  <si>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</si>
  <si>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</si>
  <si>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</si>
  <si>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</si>
  <si>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</si>
  <si>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</si>
  <si>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</si>
  <si>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</si>
  <si>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</si>
  <si>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</si>
  <si>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</si>
  <si>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</si>
  <si>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</si>
  <si>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</si>
  <si>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</si>
  <si>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</si>
  <si>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</si>
  <si>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</si>
  <si>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</si>
  <si>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</si>
  <si>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</si>
  <si>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</si>
  <si>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</si>
  <si>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</si>
  <si>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</si>
  <si>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</si>
  <si>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</si>
  <si>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</si>
  <si>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</si>
  <si>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</si>
  <si>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</si>
  <si>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</si>
  <si>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</si>
  <si>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</si>
  <si>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</si>
  <si>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</si>
  <si>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</si>
  <si>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</si>
  <si>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</si>
  <si>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</si>
  <si>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</si>
  <si>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</si>
  <si>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</si>
  <si>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</si>
  <si>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</si>
  <si>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</si>
  <si>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</si>
  <si>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</si>
  <si>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</si>
  <si>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</si>
  <si>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</si>
  <si>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</si>
  <si>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</si>
  <si>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</si>
  <si>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</si>
  <si>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</si>
  <si>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</si>
  <si>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</si>
  <si>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</si>
  <si>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</si>
  <si>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</si>
  <si>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</si>
  <si>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</si>
  <si>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</si>
  <si>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</si>
  <si>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</si>
  <si>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</si>
  <si>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</si>
  <si>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</si>
  <si>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</si>
  <si>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</si>
  <si>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</si>
  <si>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</si>
  <si>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</si>
  <si>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</si>
  <si>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</si>
  <si>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</si>
  <si>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</si>
  <si>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</si>
  <si>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</si>
  <si>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</si>
  <si>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</si>
  <si>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</si>
  <si>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</si>
  <si>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</si>
  <si>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</si>
  <si>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</si>
  <si>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</si>
  <si>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</si>
  <si>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</si>
  <si>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</si>
  <si>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</si>
  <si>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</si>
  <si>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</si>
  <si>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</si>
  <si>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</si>
  <si>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</si>
  <si>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</si>
  <si>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</si>
  <si>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</si>
  <si>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</si>
  <si>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</si>
  <si>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</si>
  <si>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</si>
  <si>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</si>
  <si>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</si>
  <si>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</si>
  <si>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</si>
  <si>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</si>
  <si>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</si>
  <si>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</si>
  <si>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</si>
  <si>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</si>
  <si>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</si>
  <si>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</si>
  <si>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</si>
  <si>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</si>
  <si>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</si>
  <si>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</si>
  <si>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</si>
  <si>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</si>
  <si>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</si>
  <si>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</si>
  <si>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</si>
  <si>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</si>
  <si>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</si>
  <si>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</si>
  <si>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</si>
  <si>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</si>
  <si>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</si>
  <si>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</si>
  <si>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</si>
  <si>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</si>
  <si>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</si>
  <si>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</si>
  <si>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</si>
  <si>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</si>
  <si>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</si>
  <si>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</si>
  <si>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</si>
  <si>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</si>
  <si>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</si>
  <si>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</si>
  <si>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</si>
  <si>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</si>
  <si>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</si>
  <si>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</si>
  <si>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</si>
  <si>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</si>
  <si>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</si>
  <si>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</si>
  <si>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</si>
  <si>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</si>
  <si>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</si>
  <si>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</si>
  <si>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</si>
  <si>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</si>
  <si>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</si>
  <si>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</si>
  <si>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</si>
  <si>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</si>
  <si>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</si>
  <si>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</si>
  <si>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</si>
  <si>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</si>
  <si>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</si>
  <si>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</si>
  <si>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</si>
  <si>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</si>
  <si>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</si>
  <si>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</si>
  <si>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</si>
  <si>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</si>
  <si>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</si>
  <si>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</si>
  <si>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</si>
  <si>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</si>
  <si>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</si>
  <si>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</si>
  <si>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</si>
  <si>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</si>
  <si>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</si>
  <si>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</si>
  <si>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</si>
  <si>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</si>
  <si>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</si>
  <si>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</si>
  <si>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</si>
  <si>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</si>
  <si>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</si>
  <si>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</si>
  <si>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</si>
  <si>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</si>
  <si>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</si>
  <si>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</si>
  <si>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</si>
  <si>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</si>
  <si>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</si>
  <si>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</si>
  <si>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</si>
  <si>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</si>
  <si>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</si>
  <si>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</si>
  <si>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</si>
  <si>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</si>
  <si>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</si>
  <si>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</si>
  <si>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</si>
  <si>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</si>
  <si>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</si>
  <si>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</si>
  <si>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</si>
  <si>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</si>
  <si>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</si>
  <si>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</si>
  <si>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</si>
  <si>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</si>
  <si>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</si>
  <si>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</si>
  <si>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</si>
  <si>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</si>
  <si>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</si>
  <si>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</si>
  <si>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</si>
  <si>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</si>
  <si>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</si>
  <si>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</si>
  <si>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</si>
  <si>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</si>
  <si>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</si>
  <si>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</si>
  <si>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</si>
  <si>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</si>
  <si>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</si>
  <si>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</si>
  <si>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</si>
  <si>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</si>
  <si>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</si>
  <si>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</si>
  <si>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</si>
  <si>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</si>
  <si>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</si>
  <si>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</si>
  <si>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</si>
  <si>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</si>
  <si>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</si>
  <si>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</si>
  <si>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</si>
  <si>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</si>
  <si>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</si>
  <si>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</si>
  <si>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</si>
  <si>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</si>
  <si>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</si>
  <si>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</si>
  <si>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</si>
  <si>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</si>
  <si>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</si>
  <si>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</si>
  <si>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</si>
  <si>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</si>
  <si>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</si>
  <si>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</si>
  <si>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</si>
  <si>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</si>
  <si>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</si>
  <si>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</si>
  <si>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</si>
  <si>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</si>
  <si>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</si>
  <si>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</si>
  <si>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</si>
  <si>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</si>
  <si>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</si>
  <si>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</si>
  <si>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</si>
  <si>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</si>
  <si>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</si>
  <si>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</si>
  <si>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</si>
  <si>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</si>
  <si>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</si>
  <si>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</si>
  <si>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</si>
  <si>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</si>
  <si>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</si>
  <si>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</si>
  <si>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</si>
  <si>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</si>
  <si>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</si>
  <si>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</si>
  <si>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</si>
  <si>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</si>
  <si>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</si>
  <si>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</si>
  <si>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</si>
  <si>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</si>
  <si>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</si>
  <si>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</si>
  <si>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</si>
  <si>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</si>
  <si>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</si>
  <si>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</si>
  <si>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</si>
  <si>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</si>
  <si>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</si>
  <si>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</si>
  <si>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</si>
  <si>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</si>
  <si>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</si>
  <si>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</si>
  <si>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</si>
  <si>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</si>
  <si>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</si>
  <si>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</si>
  <si>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</si>
  <si>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</si>
  <si>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</si>
  <si>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</si>
  <si>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</si>
  <si>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</si>
  <si>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</si>
  <si>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</si>
  <si>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</si>
  <si>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</si>
  <si>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</si>
  <si>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</si>
  <si>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</si>
  <si>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</si>
  <si>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</si>
  <si>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</si>
  <si>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</si>
  <si>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</si>
  <si>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</si>
  <si>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</si>
  <si>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</si>
  <si>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</si>
  <si>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</si>
  <si>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</si>
  <si>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</si>
  <si>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</si>
  <si>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</si>
  <si>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</si>
  <si>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</si>
  <si>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</si>
  <si>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</si>
  <si>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</si>
  <si>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</si>
  <si>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</si>
  <si>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</si>
  <si>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</si>
  <si>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</si>
  <si>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</si>
  <si>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</si>
  <si>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</si>
  <si>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</si>
  <si>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</si>
  <si>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</si>
  <si>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</si>
  <si>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</si>
  <si>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</si>
  <si>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</si>
  <si>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</si>
  <si>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</si>
  <si>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</si>
  <si>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</si>
  <si>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</si>
  <si>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</si>
  <si>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</si>
  <si>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</si>
  <si>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</si>
  <si>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</si>
  <si>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</si>
  <si>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</si>
  <si>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</si>
  <si>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</si>
  <si>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</si>
  <si>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</si>
  <si>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</si>
  <si>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</si>
  <si>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</si>
  <si>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</si>
  <si>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</si>
  <si>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</si>
  <si>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</si>
  <si>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</si>
  <si>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</si>
  <si>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</si>
  <si>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</si>
  <si>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</si>
  <si>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</si>
  <si>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</si>
  <si>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</si>
  <si>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</si>
  <si>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</si>
  <si>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</si>
  <si>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</si>
  <si>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</si>
  <si>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</si>
  <si>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</si>
  <si>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</si>
  <si>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</si>
  <si>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</si>
  <si>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</si>
  <si>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</si>
  <si>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</si>
  <si>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</si>
  <si>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</si>
  <si>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</si>
  <si>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</si>
  <si>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</si>
  <si>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</si>
  <si>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</si>
  <si>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</si>
  <si>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</si>
  <si>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</si>
  <si>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</si>
  <si>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</si>
  <si>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</si>
  <si>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</si>
  <si>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</si>
  <si>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</si>
  <si>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</si>
  <si>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</si>
  <si>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</si>
  <si>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</si>
  <si>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</si>
  <si>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</si>
  <si>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</si>
  <si>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</si>
  <si>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</si>
  <si>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</si>
  <si>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</si>
  <si>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</si>
  <si>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</si>
  <si>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</si>
  <si>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</si>
  <si>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</si>
  <si>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</si>
  <si>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</si>
  <si>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</si>
  <si>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</si>
  <si>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</si>
  <si>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</si>
  <si>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</si>
  <si>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</si>
  <si>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</si>
  <si>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</si>
  <si>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</si>
  <si>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</si>
  <si>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</si>
  <si>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</si>
  <si>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</si>
  <si>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</si>
  <si>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</si>
  <si>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</si>
  <si>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</si>
  <si>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</si>
  <si>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</si>
  <si>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</si>
  <si>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</si>
  <si>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</si>
  <si>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</si>
  <si>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</si>
  <si>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</si>
  <si>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</si>
  <si>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</si>
  <si>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</si>
  <si>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</si>
  <si>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</si>
  <si>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</si>
  <si>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</si>
  <si>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</si>
  <si>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</si>
  <si>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</si>
  <si>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</si>
  <si>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</si>
  <si>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</si>
  <si>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</si>
  <si>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</si>
  <si>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</si>
  <si>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</si>
  <si>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</si>
  <si>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</si>
  <si>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</si>
  <si>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</si>
  <si>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</si>
  <si>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</si>
  <si>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</si>
  <si>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</si>
  <si>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</si>
  <si>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</si>
  <si>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</si>
  <si>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</si>
  <si>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</si>
  <si>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</si>
  <si>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</si>
  <si>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</si>
  <si>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</si>
  <si>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</si>
  <si>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</si>
  <si>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</si>
  <si>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</si>
  <si>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</si>
  <si>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</si>
  <si>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</si>
  <si>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</si>
  <si>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</si>
  <si>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</si>
  <si>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</si>
  <si>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</si>
  <si>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</si>
  <si>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</si>
  <si>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</si>
  <si>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</si>
  <si>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</si>
  <si>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</si>
  <si>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</si>
  <si>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</si>
  <si>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</si>
  <si>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</si>
  <si>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</si>
  <si>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</si>
  <si>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</si>
  <si>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</si>
  <si>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</si>
  <si>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</si>
  <si>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</si>
  <si>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</si>
  <si>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</si>
  <si>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</si>
  <si>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</si>
  <si>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</si>
  <si>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</si>
  <si>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</si>
  <si>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</si>
  <si>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</si>
  <si>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</si>
  <si>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</si>
  <si>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</si>
  <si>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</si>
  <si>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</si>
  <si>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</si>
  <si>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</si>
  <si>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</si>
  <si>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</si>
  <si>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</si>
  <si>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</si>
  <si>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</si>
  <si>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</si>
  <si>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</si>
  <si>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</si>
  <si>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</si>
  <si>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</si>
  <si>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</si>
  <si>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</si>
  <si>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</si>
  <si>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</si>
  <si>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</si>
  <si>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</si>
  <si>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</si>
  <si>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</si>
  <si>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</si>
  <si>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</si>
  <si>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</si>
  <si>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</si>
  <si>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</si>
  <si>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</si>
  <si>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</si>
  <si>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</si>
  <si>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</si>
  <si>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</si>
  <si>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</si>
  <si>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</si>
  <si>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</si>
  <si>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</si>
  <si>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</si>
  <si>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</si>
  <si>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</si>
  <si>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</si>
  <si>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</si>
  <si>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</si>
  <si>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</si>
  <si>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</si>
  <si>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</si>
  <si>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</si>
  <si>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</si>
  <si>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</si>
  <si>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</si>
  <si>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</si>
  <si>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</si>
  <si>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</si>
  <si>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</si>
  <si>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</si>
  <si>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</si>
  <si>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</si>
  <si>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</si>
  <si>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</si>
  <si>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</si>
  <si>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</si>
  <si>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</si>
  <si>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</si>
  <si>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</si>
  <si>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</si>
  <si>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</si>
  <si>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</si>
  <si>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</si>
  <si>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</si>
  <si>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</si>
  <si>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</si>
  <si>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</si>
  <si>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</si>
  <si>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</si>
  <si>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</si>
  <si>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</si>
  <si>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</si>
  <si>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</si>
  <si>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</si>
  <si>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</si>
  <si>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</si>
  <si>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</si>
  <si>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</si>
  <si>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</si>
  <si>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</si>
  <si>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</si>
  <si>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</si>
  <si>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</si>
  <si>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</si>
  <si>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</si>
  <si>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</si>
  <si>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</si>
  <si>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</si>
  <si>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</si>
  <si>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</si>
  <si>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</si>
  <si>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</si>
  <si>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</si>
  <si>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</si>
  <si>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</si>
  <si>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</si>
  <si>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</si>
  <si>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</si>
  <si>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</si>
  <si>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</si>
  <si>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</si>
  <si>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</si>
  <si>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</si>
  <si>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</si>
  <si>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</si>
  <si>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</si>
  <si>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</si>
  <si>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</si>
  <si>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</si>
  <si>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</si>
  <si>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</si>
  <si>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</si>
  <si>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</si>
  <si>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</si>
  <si>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</si>
  <si>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</si>
  <si>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</si>
  <si>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</si>
  <si>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</si>
  <si>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</si>
  <si>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</si>
  <si>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</si>
  <si>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</si>
  <si>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</si>
  <si>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</si>
  <si>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</si>
  <si>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</si>
  <si>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</si>
  <si>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</si>
  <si>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</si>
  <si>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</si>
  <si>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</si>
  <si>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</si>
  <si>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</si>
  <si>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</si>
  <si>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</si>
  <si>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</si>
  <si>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</si>
  <si>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</si>
  <si>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</si>
  <si>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</si>
  <si>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</si>
  <si>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</si>
  <si>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</si>
  <si>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</si>
  <si>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</si>
  <si>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</si>
  <si>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</si>
  <si>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</si>
  <si>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</si>
  <si>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</si>
  <si>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</si>
  <si>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</si>
  <si>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</si>
  <si>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</si>
  <si>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</si>
  <si>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</si>
  <si>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</si>
  <si>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</si>
  <si>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</si>
  <si>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</si>
  <si>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</si>
  <si>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</si>
  <si>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</si>
  <si>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</si>
  <si>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</si>
  <si>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</si>
  <si>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</si>
  <si>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</si>
  <si>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</si>
  <si>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</si>
  <si>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</si>
  <si>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</si>
  <si>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</si>
  <si>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</si>
  <si>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</si>
  <si>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</si>
  <si>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</si>
  <si>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</si>
  <si>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</si>
  <si>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</si>
  <si>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</si>
  <si>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</si>
  <si>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</si>
  <si>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</si>
  <si>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</si>
  <si>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</si>
  <si>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</si>
  <si>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</si>
  <si>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</si>
  <si>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</si>
  <si>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</si>
  <si>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</si>
  <si>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</si>
  <si>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</si>
  <si>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</si>
  <si>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</si>
  <si>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</si>
  <si>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</si>
  <si>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</si>
  <si>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</si>
  <si>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</si>
  <si>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</si>
  <si>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</si>
  <si>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</si>
  <si>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</si>
  <si>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</si>
  <si>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</si>
  <si>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</si>
  <si>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</si>
  <si>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</si>
  <si>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</si>
  <si>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</si>
  <si>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</si>
  <si>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</si>
  <si>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</si>
  <si>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</si>
  <si>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</si>
  <si>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</si>
  <si>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</si>
  <si>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</si>
  <si>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</si>
  <si>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</si>
  <si>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</si>
  <si>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</si>
  <si>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</si>
  <si>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</si>
  <si>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</si>
  <si>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</si>
  <si>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</si>
  <si>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</si>
  <si>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</si>
  <si>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</si>
  <si>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</si>
  <si>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</si>
  <si>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</si>
  <si>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</si>
  <si>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</si>
  <si>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</si>
  <si>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</si>
  <si>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</si>
  <si>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</si>
  <si>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</si>
  <si>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</si>
  <si>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</si>
  <si>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</si>
  <si>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</si>
  <si>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</si>
  <si>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</si>
  <si>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</si>
  <si>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</si>
  <si>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</si>
  <si>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</si>
  <si>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</si>
  <si>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</si>
  <si>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</si>
  <si>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</si>
  <si>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</si>
  <si>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</si>
  <si>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</si>
  <si>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</si>
  <si>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</si>
  <si>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</si>
  <si>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</si>
  <si>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</si>
  <si>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</si>
  <si>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</si>
  <si>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</si>
  <si>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</si>
  <si>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</si>
  <si>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</si>
  <si>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</si>
  <si>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</si>
  <si>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</si>
  <si>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</si>
  <si>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</si>
  <si>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</si>
  <si>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</si>
  <si>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</si>
  <si>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</si>
  <si>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</si>
  <si>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</si>
  <si>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</si>
  <si>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</si>
  <si>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</si>
  <si>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</si>
  <si>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</si>
  <si>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</si>
  <si>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</si>
  <si>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</si>
  <si>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</si>
  <si>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</si>
  <si>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</si>
  <si>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</si>
  <si>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</si>
  <si>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</si>
  <si>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</si>
  <si>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</si>
  <si>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</si>
  <si>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</si>
  <si>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</si>
  <si>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</si>
  <si>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</si>
  <si>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</si>
  <si>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</si>
  <si>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</si>
  <si>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</si>
  <si>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</si>
  <si>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</si>
  <si>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</si>
  <si>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</si>
  <si>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</si>
  <si>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</si>
  <si>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</si>
  <si>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</si>
  <si>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</si>
  <si>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</si>
  <si>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</si>
  <si>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</si>
  <si>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</si>
  <si>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</si>
  <si>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</si>
  <si>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</si>
  <si>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</si>
  <si>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</si>
  <si>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</si>
  <si>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</si>
  <si>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</si>
  <si>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</si>
  <si>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</si>
  <si>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</si>
  <si>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</si>
  <si>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</si>
  <si>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</si>
  <si>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</si>
  <si>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</si>
  <si>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</si>
  <si>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</si>
  <si>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</si>
  <si>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</si>
  <si>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</si>
  <si>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</si>
  <si>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</si>
  <si>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</si>
  <si>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</si>
  <si>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</si>
  <si>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</si>
  <si>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</si>
  <si>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</si>
  <si>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</si>
  <si>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</si>
  <si>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</si>
  <si>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</si>
  <si>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</si>
  <si>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</si>
  <si>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</si>
  <si>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</si>
  <si>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</si>
  <si>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</si>
  <si>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</si>
  <si>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</si>
  <si>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</si>
  <si>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</si>
  <si>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</si>
  <si>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</si>
  <si>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</si>
  <si>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</si>
  <si>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</si>
  <si>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</si>
  <si>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</si>
  <si>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</si>
  <si>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</si>
  <si>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</si>
  <si>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</si>
  <si>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</si>
  <si>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</si>
  <si>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</si>
  <si>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</si>
  <si>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</si>
  <si>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</si>
  <si>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</si>
  <si>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</si>
  <si>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</si>
  <si>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</si>
  <si>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</si>
  <si>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</si>
  <si>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</si>
  <si>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</si>
  <si>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</si>
  <si>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</si>
  <si>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</si>
  <si>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</si>
  <si>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</si>
  <si>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</si>
  <si>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</si>
  <si>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</si>
  <si>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</si>
  <si>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</si>
  <si>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</si>
  <si>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</si>
  <si>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</si>
  <si>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</si>
  <si>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</si>
  <si>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</si>
  <si>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</si>
  <si>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</si>
  <si>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</si>
  <si>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</si>
  <si>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</si>
  <si>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</si>
  <si>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</si>
  <si>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</si>
  <si>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</si>
  <si>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</si>
  <si>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</si>
  <si>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</si>
  <si>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</si>
  <si>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</si>
  <si>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</si>
  <si>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</si>
  <si>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</si>
  <si>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</si>
  <si>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</si>
  <si>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</si>
  <si>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</si>
  <si>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</si>
  <si>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</si>
  <si>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</si>
  <si>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</si>
  <si>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</si>
  <si>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</si>
  <si>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</si>
  <si>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</si>
  <si>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</si>
  <si>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</si>
  <si>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</si>
  <si>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</si>
  <si>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</si>
  <si>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</si>
  <si>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</si>
  <si>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</si>
  <si>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</si>
  <si>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</si>
  <si>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</si>
  <si>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</si>
  <si>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</si>
  <si>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</si>
  <si>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</si>
  <si>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</si>
  <si>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</si>
  <si>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</si>
  <si>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</si>
  <si>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</si>
  <si>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</si>
  <si>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</si>
  <si>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</si>
  <si>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</si>
  <si>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</si>
  <si>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</si>
  <si>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</si>
  <si>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</si>
  <si>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</si>
  <si>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</si>
  <si>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</si>
  <si>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</si>
  <si>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</si>
  <si>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</si>
  <si>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</si>
  <si>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</si>
  <si>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</si>
  <si>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</si>
  <si>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</si>
  <si>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</si>
  <si>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</si>
  <si>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</si>
  <si>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</si>
  <si>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</si>
  <si>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</si>
  <si>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</si>
  <si>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</si>
  <si>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</si>
  <si>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</si>
  <si>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</si>
  <si>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</si>
  <si>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</si>
  <si>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</si>
  <si>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</si>
  <si>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</si>
  <si>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</si>
  <si>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</si>
  <si>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</si>
  <si>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</si>
  <si>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</si>
  <si>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</si>
  <si>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</si>
  <si>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</si>
  <si>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</si>
  <si>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</si>
  <si>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</si>
  <si>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</si>
  <si>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</si>
  <si>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</si>
  <si>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</si>
  <si>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</si>
  <si>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</si>
  <si>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</si>
  <si>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</si>
  <si>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</si>
  <si>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</si>
  <si>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</si>
  <si>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</si>
  <si>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</si>
  <si>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</si>
  <si>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</si>
  <si>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</si>
  <si>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</si>
  <si>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</si>
  <si>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</si>
  <si>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</si>
  <si>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</si>
  <si>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</si>
  <si>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</si>
  <si>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</si>
  <si>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</si>
  <si>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</si>
  <si>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</si>
  <si>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</si>
  <si>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</si>
  <si>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</si>
  <si>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</si>
  <si>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</si>
  <si>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</si>
  <si>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</si>
  <si>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</si>
  <si>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</si>
  <si>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</si>
  <si>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</si>
  <si>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</si>
  <si>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</si>
  <si>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</si>
  <si>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</si>
  <si>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</si>
  <si>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</si>
  <si>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</si>
  <si>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</si>
  <si>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</si>
  <si>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</si>
  <si>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</si>
  <si>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</si>
  <si>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</si>
  <si>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</si>
  <si>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</si>
  <si>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</si>
  <si>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</si>
  <si>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</si>
  <si>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</si>
  <si>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</si>
  <si>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</si>
  <si>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</si>
  <si>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</si>
  <si>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</si>
  <si>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</si>
  <si>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</si>
  <si>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</si>
  <si>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</si>
  <si>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</si>
  <si>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</si>
  <si>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</si>
  <si>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</si>
  <si>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</si>
  <si>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</si>
  <si>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</si>
  <si>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</si>
  <si>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</si>
  <si>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</si>
  <si>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</si>
  <si>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</si>
  <si>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</si>
  <si>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</si>
  <si>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</si>
  <si>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</si>
  <si>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</si>
  <si>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</si>
  <si>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</si>
  <si>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</si>
  <si>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</si>
  <si>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</si>
  <si>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</si>
  <si>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</si>
  <si>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</si>
  <si>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</si>
  <si>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</si>
  <si>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</si>
  <si>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</si>
  <si>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</si>
  <si>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</si>
  <si>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</si>
  <si>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</si>
  <si>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</si>
  <si>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</si>
  <si>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</si>
  <si>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</si>
  <si>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</si>
  <si>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</si>
  <si>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</si>
  <si>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</si>
  <si>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</si>
  <si>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</si>
  <si>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</si>
  <si>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</si>
  <si>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</si>
  <si>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</si>
  <si>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</si>
  <si>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</si>
  <si>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</si>
  <si>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</si>
  <si>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</si>
  <si>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</si>
  <si>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</si>
  <si>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</si>
  <si>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</si>
  <si>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</si>
  <si>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</si>
  <si>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</si>
  <si>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</si>
  <si>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</si>
  <si>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</si>
  <si>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</si>
  <si>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</si>
  <si>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</si>
  <si>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</si>
  <si>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</si>
  <si>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</si>
  <si>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</si>
  <si>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</si>
  <si>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</si>
  <si>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</si>
  <si>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</si>
  <si>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</si>
  <si>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</si>
  <si>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</si>
  <si>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</si>
  <si>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</si>
  <si>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</si>
  <si>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</si>
  <si>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</si>
  <si>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</si>
  <si>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</si>
  <si>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</si>
  <si>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</si>
  <si>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</si>
  <si>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</si>
  <si>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</si>
  <si>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</si>
  <si>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</si>
  <si>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</si>
  <si>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</si>
  <si>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</si>
  <si>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</si>
  <si>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</si>
  <si>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</si>
  <si>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</si>
  <si>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</si>
  <si>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</si>
  <si>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</si>
  <si>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</si>
  <si>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</si>
  <si>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</si>
  <si>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</si>
  <si>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</si>
  <si>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</si>
  <si>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</si>
  <si>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</si>
  <si>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</si>
  <si>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</si>
  <si>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</si>
  <si>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</si>
  <si>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</si>
  <si>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</si>
  <si>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</si>
  <si>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</si>
  <si>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</si>
  <si>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</si>
  <si>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</si>
  <si>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</si>
  <si>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</si>
  <si>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</si>
  <si>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</si>
  <si>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</si>
  <si>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</si>
  <si>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</si>
  <si>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</si>
  <si>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</si>
  <si>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</si>
  <si>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</si>
  <si>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</si>
  <si>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</si>
  <si>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</si>
  <si>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</si>
  <si>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</si>
  <si>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</si>
  <si>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</si>
  <si>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</si>
  <si>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</si>
  <si>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</si>
  <si>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</si>
  <si>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</si>
  <si>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</si>
  <si>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</si>
  <si>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</si>
  <si>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</si>
  <si>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</si>
  <si>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</si>
  <si>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</si>
  <si>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</si>
  <si>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</si>
  <si>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</si>
  <si>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</si>
  <si>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</si>
  <si>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</si>
  <si>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</si>
  <si>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</si>
  <si>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</si>
  <si>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</si>
  <si>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</si>
  <si>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</si>
  <si>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</si>
  <si>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</si>
  <si>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</si>
  <si>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</si>
  <si>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</si>
  <si>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</si>
  <si>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</si>
  <si>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</si>
  <si>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</si>
  <si>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</si>
  <si>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</si>
  <si>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</si>
  <si>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</si>
  <si>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</si>
  <si>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</si>
  <si>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</si>
  <si>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</si>
  <si>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</si>
  <si>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</si>
  <si>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</si>
  <si>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</si>
  <si>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</si>
  <si>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</si>
  <si>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</si>
  <si>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</si>
  <si>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</si>
  <si>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</si>
  <si>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</si>
  <si>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</si>
  <si>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</si>
  <si>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</si>
  <si>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</si>
  <si>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</si>
  <si>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</si>
  <si>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</si>
  <si>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</si>
  <si>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</si>
  <si>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</si>
  <si>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</si>
  <si>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</si>
  <si>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</si>
  <si>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</si>
  <si>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</si>
  <si>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</si>
  <si>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</si>
  <si>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</si>
  <si>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</si>
  <si>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</si>
  <si>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</si>
  <si>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</si>
  <si>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</si>
  <si>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</si>
  <si>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</si>
  <si>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</si>
  <si>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</si>
  <si>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</si>
  <si>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</si>
  <si>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</si>
  <si>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</si>
  <si>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</si>
  <si>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</si>
  <si>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</si>
  <si>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</si>
  <si>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</si>
  <si>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</si>
  <si>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</si>
  <si>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</si>
  <si>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</si>
  <si>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</si>
  <si>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</si>
  <si>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</si>
  <si>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</si>
  <si>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</si>
  <si>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</si>
  <si>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</si>
  <si>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</si>
  <si>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</si>
  <si>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</si>
  <si>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</si>
  <si>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</si>
  <si>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</si>
  <si>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</si>
  <si>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</si>
  <si>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</si>
  <si>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</si>
  <si>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</si>
  <si>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</si>
  <si>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</si>
  <si>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</si>
  <si>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</si>
  <si>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</si>
  <si>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</si>
  <si>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</si>
  <si>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</si>
  <si>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</si>
  <si>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</si>
  <si>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</si>
  <si>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</si>
  <si>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</si>
  <si>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</si>
  <si>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</si>
  <si>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</si>
  <si>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</si>
  <si>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</si>
  <si>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</si>
  <si>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</si>
  <si>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</si>
  <si>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</si>
  <si>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</si>
  <si>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</si>
  <si>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</si>
  <si>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</si>
  <si>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</si>
  <si>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</si>
  <si>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</si>
  <si>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</si>
  <si>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</si>
  <si>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</si>
  <si>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</si>
  <si>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</si>
  <si>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</si>
  <si>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</si>
  <si>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</si>
  <si>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</si>
  <si>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</si>
  <si>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</si>
  <si>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</si>
  <si>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</si>
  <si>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</si>
  <si>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</si>
  <si>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</si>
  <si>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</si>
  <si>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</si>
  <si>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</si>
  <si>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</si>
  <si>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</si>
  <si>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</si>
  <si>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</si>
  <si>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</si>
  <si>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</si>
  <si>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</si>
  <si>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</si>
  <si>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</si>
  <si>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</si>
  <si>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</si>
  <si>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</si>
  <si>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</si>
  <si>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</si>
  <si>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</si>
  <si>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</si>
  <si>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</si>
  <si>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</si>
  <si>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</si>
  <si>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</si>
  <si>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</si>
  <si>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</si>
  <si>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</si>
  <si>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</si>
  <si>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</si>
  <si>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</si>
  <si>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</si>
  <si>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</si>
  <si>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</si>
  <si>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</si>
  <si>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</si>
  <si>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</si>
  <si>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</si>
  <si>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</si>
  <si>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</si>
  <si>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</si>
  <si>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</si>
  <si>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</si>
  <si>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</si>
  <si>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</si>
  <si>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</si>
  <si>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</si>
  <si>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</si>
  <si>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</si>
  <si>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</si>
  <si>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</si>
  <si>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</si>
  <si>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</si>
  <si>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</si>
  <si>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</si>
  <si>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</si>
  <si>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</si>
  <si>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</si>
  <si>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</si>
  <si>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</si>
  <si>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</si>
  <si>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</si>
  <si>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</si>
  <si>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</si>
  <si>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</si>
  <si>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</si>
  <si>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</si>
  <si>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</si>
  <si>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</si>
  <si>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</si>
  <si>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</si>
  <si>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</si>
  <si>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</si>
  <si>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</si>
  <si>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</si>
  <si>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</si>
  <si>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</si>
  <si>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</si>
  <si>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</si>
  <si>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</si>
  <si>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</si>
  <si>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</si>
  <si>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</si>
  <si>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</si>
  <si>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</si>
  <si>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</si>
  <si>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</si>
  <si>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</si>
  <si>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</si>
  <si>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</si>
  <si>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</si>
  <si>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</si>
  <si>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</si>
  <si>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</si>
  <si>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</si>
  <si>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</si>
  <si>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</si>
  <si>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</si>
  <si>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</si>
  <si>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</si>
  <si>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</si>
  <si>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</si>
  <si>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</si>
  <si>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</si>
  <si>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</si>
  <si>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</si>
  <si>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</si>
  <si>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</si>
  <si>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</si>
  <si>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</si>
  <si>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</si>
  <si>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</si>
  <si>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</si>
  <si>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</si>
  <si>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</si>
  <si>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</si>
  <si>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</si>
  <si>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</si>
  <si>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</si>
  <si>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</si>
  <si>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</si>
  <si>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</si>
  <si>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</si>
  <si>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</si>
  <si>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</si>
  <si>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</si>
  <si>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</si>
  <si>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</si>
  <si>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</si>
  <si>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</si>
  <si>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</si>
  <si>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</si>
  <si>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</si>
  <si>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</si>
  <si>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</si>
  <si>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</si>
  <si>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</si>
  <si>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</si>
  <si>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</si>
  <si>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</si>
  <si>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</si>
  <si>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</si>
  <si>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</si>
  <si>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</si>
  <si>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</si>
  <si>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</si>
  <si>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</si>
  <si>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</si>
  <si>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</si>
  <si>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</si>
  <si>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</si>
  <si>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</si>
  <si>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</si>
  <si>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</si>
  <si>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</si>
  <si>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</si>
  <si>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</si>
  <si>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</si>
  <si>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</si>
  <si>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</si>
  <si>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</si>
  <si>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</si>
  <si>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</si>
  <si>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</si>
  <si>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</si>
  <si>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</si>
  <si>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</si>
  <si>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</si>
  <si>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</si>
  <si>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</si>
  <si>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</si>
  <si>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</si>
  <si>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</si>
  <si>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</si>
  <si>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</si>
  <si>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</si>
  <si>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</si>
  <si>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</si>
  <si>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</si>
  <si>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</si>
  <si>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</si>
  <si>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</si>
  <si>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</si>
  <si>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</si>
  <si>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</si>
  <si>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</si>
  <si>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</si>
  <si>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</si>
  <si>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</si>
  <si>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</si>
  <si>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</si>
  <si>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</si>
  <si>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</si>
  <si>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</si>
  <si>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</si>
  <si>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</si>
  <si>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</si>
  <si>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</si>
  <si>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</si>
  <si>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</si>
  <si>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</si>
  <si>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</si>
  <si>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</si>
  <si>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</si>
  <si>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</si>
  <si>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</si>
  <si>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</si>
  <si>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</si>
  <si>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</si>
  <si>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</si>
  <si>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</si>
  <si>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</si>
  <si>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</si>
  <si>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</si>
  <si>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</si>
  <si>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</si>
  <si>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</si>
  <si>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</si>
  <si>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</si>
  <si>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</si>
  <si>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</si>
  <si>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</si>
  <si>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</si>
  <si>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</si>
  <si>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</si>
  <si>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</si>
  <si>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</si>
  <si>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</si>
  <si>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</si>
  <si>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</si>
  <si>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</si>
  <si>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</si>
  <si>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</si>
  <si>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</si>
  <si>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</si>
  <si>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</si>
  <si>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</si>
  <si>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</si>
  <si>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</si>
  <si>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</si>
  <si>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</si>
  <si>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</si>
  <si>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</si>
  <si>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</si>
  <si>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</si>
  <si>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</si>
  <si>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</si>
  <si>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</si>
  <si>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</si>
  <si>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</si>
  <si>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</si>
  <si>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</si>
  <si>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</si>
  <si>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</si>
  <si>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</si>
  <si>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</si>
  <si>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</si>
  <si>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</si>
  <si>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</si>
  <si>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</si>
  <si>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</si>
  <si>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</si>
  <si>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</si>
  <si>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</si>
  <si>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</si>
  <si>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</si>
  <si>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</si>
  <si>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</si>
  <si>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</si>
  <si>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</si>
  <si>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</si>
  <si>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</si>
  <si>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</si>
  <si>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</si>
  <si>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</si>
  <si>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</si>
  <si>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</si>
  <si>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</si>
  <si>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</si>
  <si>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</si>
  <si>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</si>
  <si>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</si>
  <si>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</si>
  <si>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</si>
  <si>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</si>
  <si>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</si>
  <si>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</si>
  <si>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</si>
  <si>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</si>
  <si>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</si>
  <si>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</si>
  <si>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</si>
  <si>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</si>
  <si>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</si>
  <si>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</si>
  <si>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</si>
  <si>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</si>
  <si>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</si>
  <si>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</si>
  <si>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</si>
  <si>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</si>
  <si>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</si>
  <si>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</si>
  <si>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</si>
  <si>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</si>
  <si>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</si>
  <si>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</si>
  <si>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</si>
  <si>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</si>
  <si>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</si>
  <si>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</si>
  <si>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</si>
  <si>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</si>
  <si>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</si>
  <si>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</si>
  <si>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</si>
  <si>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</si>
  <si>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</si>
  <si>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</si>
  <si>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</si>
  <si>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</si>
  <si>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</si>
  <si>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</si>
  <si>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</si>
  <si>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</si>
  <si>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</si>
  <si>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</si>
  <si>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</si>
  <si>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</si>
  <si>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</si>
  <si>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</si>
  <si>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</si>
  <si>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</si>
  <si>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</si>
  <si>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</si>
  <si>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</si>
  <si>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</si>
  <si>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</si>
  <si>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</si>
  <si>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</si>
  <si>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</si>
  <si>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</si>
  <si>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</si>
  <si>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</si>
  <si>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</si>
  <si>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</si>
  <si>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</si>
  <si>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</si>
  <si>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</si>
  <si>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</si>
  <si>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</si>
  <si>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</si>
  <si>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</si>
  <si>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</si>
  <si>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</si>
  <si>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</si>
  <si>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</si>
  <si>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</si>
  <si>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</si>
  <si>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</si>
  <si>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</si>
  <si>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</si>
  <si>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</si>
  <si>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</si>
  <si>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</si>
  <si>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</si>
  <si>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</si>
  <si>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</si>
  <si>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</si>
  <si>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</si>
  <si>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</si>
  <si>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</si>
  <si>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</si>
  <si>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</si>
  <si>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</si>
  <si>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</si>
  <si>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</si>
  <si>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</si>
  <si>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</si>
  <si>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</si>
  <si>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</si>
  <si>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</si>
  <si>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</si>
  <si>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</si>
  <si>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</si>
  <si>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</si>
  <si>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</si>
  <si>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</si>
  <si>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</si>
  <si>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</si>
  <si>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</si>
  <si>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</si>
  <si>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</si>
  <si>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</si>
  <si>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</si>
  <si>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</si>
  <si>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</si>
  <si>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</si>
  <si>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</si>
  <si>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</si>
  <si>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</si>
  <si>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</si>
  <si>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</si>
  <si>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</si>
  <si>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</si>
  <si>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</si>
  <si>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</si>
  <si>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</si>
  <si>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</si>
  <si>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</si>
  <si>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</si>
  <si>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</si>
  <si>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</si>
  <si>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</si>
  <si>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</si>
  <si>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</si>
  <si>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</si>
  <si>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</si>
  <si>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</si>
  <si>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</si>
  <si>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</si>
  <si>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</si>
  <si>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</si>
  <si>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</si>
  <si>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</si>
  <si>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</si>
  <si>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</si>
  <si>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</si>
  <si>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</si>
  <si>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</si>
  <si>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</si>
  <si>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</si>
  <si>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</si>
  <si>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</si>
  <si>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</si>
  <si>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</si>
  <si>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</si>
  <si>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</si>
  <si>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</si>
  <si>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</si>
  <si>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</si>
  <si>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</si>
  <si>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</si>
  <si>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</si>
  <si>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</si>
  <si>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</si>
  <si>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</si>
  <si>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</si>
  <si>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</si>
  <si>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</si>
  <si>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</si>
  <si>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</si>
  <si>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</si>
  <si>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</si>
  <si>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</si>
  <si>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</si>
  <si>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</si>
  <si>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</si>
  <si>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</si>
  <si>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</si>
  <si>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</si>
  <si>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</si>
  <si>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</si>
  <si>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</si>
  <si>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</si>
  <si>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</si>
  <si>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</si>
  <si>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</si>
  <si>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</si>
  <si>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</si>
  <si>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</si>
  <si>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</si>
  <si>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</si>
  <si>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</si>
  <si>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</si>
  <si>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</si>
  <si>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</si>
  <si>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</si>
  <si>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</si>
  <si>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</si>
  <si>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</si>
  <si>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</si>
  <si>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</si>
  <si>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</si>
  <si>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</si>
  <si>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</si>
  <si>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</si>
  <si>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</si>
  <si>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</si>
  <si>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</si>
  <si>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</si>
  <si>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</si>
  <si>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</si>
  <si>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</si>
  <si>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</si>
  <si>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</si>
  <si>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</si>
  <si>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</si>
  <si>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</si>
  <si>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</si>
  <si>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</si>
  <si>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</si>
  <si>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</si>
  <si>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</si>
  <si>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</si>
  <si>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</si>
  <si>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</si>
  <si>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</si>
  <si>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</si>
  <si>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</si>
  <si>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</si>
  <si>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</si>
  <si>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</si>
  <si>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</si>
  <si>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</si>
  <si>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</si>
  <si>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</si>
  <si>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</si>
  <si>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</si>
  <si>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</si>
  <si>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</si>
  <si>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</si>
  <si>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</si>
  <si>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</si>
  <si>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</si>
  <si>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</si>
  <si>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</si>
  <si>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</si>
  <si>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</si>
  <si>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</si>
  <si>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</si>
  <si>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</si>
  <si>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</si>
  <si>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</si>
  <si>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</si>
  <si>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</si>
  <si>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</si>
  <si>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</si>
  <si>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</si>
  <si>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</si>
  <si>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</si>
  <si>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</si>
  <si>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</si>
  <si>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</si>
  <si>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</si>
  <si>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</si>
  <si>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</si>
  <si>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</si>
  <si>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</si>
  <si>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</si>
  <si>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</si>
  <si>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</si>
  <si>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</si>
  <si>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</si>
  <si>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</si>
  <si>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</si>
  <si>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</si>
  <si>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</si>
  <si>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</si>
  <si>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</si>
  <si>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</si>
  <si>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</si>
  <si>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</si>
  <si>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</si>
  <si>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</si>
  <si>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</si>
  <si>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</si>
  <si>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</si>
  <si>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</si>
  <si>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</si>
  <si>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</si>
  <si>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</si>
  <si>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</si>
  <si>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</si>
  <si>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</si>
  <si>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</si>
  <si>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</si>
  <si>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</si>
  <si>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</si>
  <si>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</si>
  <si>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</si>
  <si>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</si>
  <si>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</si>
  <si>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</si>
  <si>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</si>
  <si>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</si>
  <si>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</si>
  <si>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</si>
  <si>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</si>
  <si>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</si>
  <si>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</si>
  <si>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</si>
  <si>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</si>
  <si>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</si>
  <si>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</si>
  <si>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</si>
  <si>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</si>
  <si>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</si>
  <si>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</si>
  <si>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</si>
  <si>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</si>
  <si>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</si>
  <si>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</si>
  <si>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</si>
  <si>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</si>
  <si>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</si>
  <si>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</si>
  <si>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</si>
  <si>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</si>
  <si>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</si>
  <si>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</si>
  <si>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</si>
  <si>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</si>
  <si>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</si>
  <si>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</si>
  <si>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</si>
  <si>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</si>
  <si>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</si>
  <si>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</si>
  <si>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</si>
  <si>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</si>
  <si>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</si>
  <si>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</si>
  <si>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</si>
  <si>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</si>
  <si>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</si>
  <si>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</si>
  <si>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</si>
  <si>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</si>
  <si>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</si>
  <si>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</si>
  <si>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</si>
  <si>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</si>
  <si>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</si>
  <si>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</si>
  <si>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</si>
  <si>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</si>
  <si>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</si>
  <si>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</si>
  <si>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</si>
  <si>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</si>
  <si>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</si>
  <si>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</si>
  <si>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</si>
  <si>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</si>
  <si>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</si>
  <si>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</si>
  <si>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</si>
  <si>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</si>
  <si>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</si>
  <si>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</si>
  <si>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</si>
  <si>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</si>
  <si>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</si>
  <si>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</si>
  <si>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</si>
  <si>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</si>
  <si>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</si>
  <si>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</si>
  <si>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</si>
  <si>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</si>
  <si>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</si>
  <si>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</si>
  <si>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</si>
  <si>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</si>
  <si>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</si>
  <si>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</si>
  <si>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</si>
  <si>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</si>
  <si>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</si>
  <si>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</si>
  <si>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</si>
  <si>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</si>
  <si>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</si>
  <si>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</si>
  <si>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</si>
  <si>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</si>
  <si>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</si>
  <si>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</si>
  <si>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</si>
  <si>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</si>
  <si>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</si>
  <si>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</si>
  <si>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</si>
  <si>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</si>
  <si>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</si>
  <si>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</si>
  <si>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</si>
  <si>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</si>
  <si>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</si>
  <si>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</si>
  <si>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</si>
  <si>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</si>
  <si>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</si>
  <si>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</si>
  <si>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</si>
  <si>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</si>
  <si>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</si>
  <si>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</si>
  <si>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</si>
  <si>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</si>
  <si>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</si>
  <si>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</si>
  <si>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</si>
  <si>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</si>
  <si>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</si>
  <si>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</si>
  <si>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</si>
  <si>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</si>
  <si>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</si>
  <si>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</si>
  <si>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</si>
  <si>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</si>
  <si>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</si>
  <si>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</si>
  <si>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</si>
  <si>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</si>
  <si>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</si>
  <si>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</si>
  <si>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</si>
  <si>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</si>
  <si>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</si>
  <si>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</si>
  <si>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</si>
  <si>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</si>
  <si>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</si>
  <si>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</si>
  <si>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</si>
  <si>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</si>
  <si>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</si>
  <si>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</si>
  <si>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</si>
  <si>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</si>
  <si>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</si>
  <si>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</si>
  <si>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</si>
  <si>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</si>
  <si>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</si>
  <si>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</si>
  <si>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</si>
  <si>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</si>
  <si>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</si>
  <si>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</si>
  <si>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</si>
  <si>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</si>
  <si>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</si>
  <si>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</si>
  <si>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</si>
  <si>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</si>
  <si>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</si>
  <si>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</si>
  <si>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</si>
  <si>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</si>
  <si>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</si>
  <si>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</si>
  <si>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</si>
  <si>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</si>
  <si>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</si>
  <si>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</si>
  <si>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</si>
  <si>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</si>
  <si>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</si>
  <si>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</si>
  <si>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</si>
  <si>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</si>
  <si>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</si>
  <si>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</si>
  <si>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</si>
  <si>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</si>
  <si>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</si>
  <si>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</si>
  <si>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</si>
  <si>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</si>
  <si>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</si>
  <si>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</si>
  <si>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</si>
  <si>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</si>
  <si>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</si>
  <si>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</si>
  <si>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</si>
  <si>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</si>
  <si>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</si>
  <si>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</si>
  <si>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</si>
  <si>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</si>
  <si>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</si>
  <si>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</si>
  <si>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</si>
  <si>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</si>
  <si>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</si>
  <si>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</si>
  <si>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</si>
  <si>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</si>
  <si>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</si>
  <si>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</si>
  <si>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</si>
  <si>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</si>
  <si>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</si>
  <si>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</si>
  <si>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</si>
  <si>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</si>
  <si>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</si>
  <si>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</si>
  <si>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</si>
  <si>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</si>
  <si>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</si>
  <si>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</si>
  <si>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</si>
  <si>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</si>
  <si>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</si>
  <si>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</si>
  <si>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</si>
  <si>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</si>
  <si>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</si>
  <si>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</si>
  <si>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</si>
  <si>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</si>
  <si>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</si>
  <si>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</si>
  <si>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</si>
  <si>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</si>
  <si>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</si>
  <si>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</si>
  <si>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</si>
  <si>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</si>
  <si>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</si>
  <si>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</si>
  <si>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</si>
  <si>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</si>
  <si>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</si>
  <si>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</si>
  <si>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</si>
  <si>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</si>
  <si>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</si>
  <si>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</si>
  <si>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</si>
  <si>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</si>
  <si>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</si>
  <si>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</si>
  <si>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</si>
  <si>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</si>
  <si>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</si>
  <si>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</si>
  <si>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</si>
  <si>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</si>
  <si>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</si>
  <si>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</si>
  <si>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</si>
  <si>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</si>
  <si>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</si>
  <si>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</si>
  <si>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</si>
  <si>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</si>
  <si>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</si>
  <si>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</si>
  <si>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</si>
  <si>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</si>
  <si>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</si>
  <si>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</si>
  <si>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</si>
  <si>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</si>
  <si>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</si>
  <si>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</si>
  <si>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</si>
  <si>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</si>
  <si>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</si>
  <si>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</si>
  <si>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</si>
  <si>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</si>
  <si>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</si>
  <si>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</si>
  <si>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</si>
  <si>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</si>
  <si>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</si>
  <si>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</si>
  <si>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</si>
  <si>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</si>
  <si>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</si>
  <si>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</si>
  <si>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</si>
  <si>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</si>
  <si>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</si>
  <si>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</si>
  <si>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</si>
  <si>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</si>
  <si>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</si>
  <si>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</si>
  <si>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</si>
  <si>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</si>
  <si>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</si>
  <si>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</si>
  <si>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</si>
  <si>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</si>
  <si>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</si>
  <si>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</si>
  <si>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</si>
  <si>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</si>
  <si>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</si>
  <si>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</si>
  <si>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</si>
  <si>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</si>
  <si>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</si>
  <si>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</si>
  <si>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</si>
  <si>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</si>
  <si>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</si>
  <si>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</si>
  <si>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</si>
  <si>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</si>
  <si>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</si>
  <si>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</si>
  <si>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</si>
  <si>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</si>
  <si>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</si>
  <si>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</si>
  <si>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</si>
  <si>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</si>
  <si>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</si>
  <si>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</si>
  <si>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</si>
  <si>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</si>
  <si>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</si>
  <si>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</si>
  <si>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</si>
  <si>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</si>
  <si>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</si>
  <si>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</si>
  <si>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</si>
  <si>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</si>
  <si>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</si>
  <si>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</si>
  <si>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</si>
  <si>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</si>
  <si>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</si>
  <si>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</si>
  <si>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</si>
  <si>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</si>
  <si>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</si>
  <si>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</si>
  <si>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</si>
  <si>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</si>
  <si>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</si>
  <si>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</si>
  <si>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</si>
  <si>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</si>
  <si>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</si>
  <si>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</si>
  <si>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</si>
  <si>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</si>
  <si>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</si>
  <si>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</si>
  <si>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</si>
  <si>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</si>
  <si>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</si>
  <si>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</si>
  <si>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</si>
  <si>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</si>
  <si>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</si>
  <si>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</si>
  <si>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</si>
  <si>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</si>
  <si>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</si>
  <si>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</si>
  <si>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</si>
  <si>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</si>
  <si>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</si>
  <si>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</si>
  <si>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</si>
  <si>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</si>
  <si>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</si>
  <si>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</si>
  <si>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</si>
  <si>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</si>
  <si>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</si>
  <si>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</si>
  <si>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</si>
  <si>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</si>
  <si>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</si>
  <si>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</si>
  <si>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</si>
  <si>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</si>
  <si>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</si>
  <si>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</si>
  <si>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</si>
  <si>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</si>
  <si>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</si>
  <si>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</si>
  <si>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</si>
  <si>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</si>
  <si>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</si>
  <si>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</si>
  <si>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</si>
  <si>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</si>
  <si>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</si>
  <si>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</si>
  <si>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</si>
  <si>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</si>
  <si>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</si>
  <si>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</si>
  <si>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</si>
  <si>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</si>
  <si>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</si>
  <si>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</si>
  <si>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</si>
  <si>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</si>
  <si>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</si>
  <si>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</si>
  <si>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</si>
  <si>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</si>
  <si>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</si>
  <si>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</si>
  <si>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</si>
  <si>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</si>
  <si>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</si>
  <si>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</si>
  <si>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</si>
  <si>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</si>
  <si>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</si>
  <si>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</si>
  <si>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</si>
  <si>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</si>
  <si>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</si>
  <si>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</si>
  <si>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</si>
  <si>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</si>
  <si>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</si>
  <si>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</si>
  <si>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</si>
  <si>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</si>
  <si>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</si>
  <si>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</si>
  <si>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</si>
  <si>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</si>
  <si>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</si>
  <si>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</si>
  <si>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</si>
  <si>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</si>
  <si>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</si>
  <si>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</si>
  <si>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</si>
  <si>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</si>
  <si>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</si>
  <si>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</si>
  <si>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</si>
  <si>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</si>
  <si>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</si>
  <si>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</si>
  <si>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</si>
  <si>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</si>
  <si>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</si>
  <si>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</si>
  <si>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</si>
  <si>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</si>
  <si>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</si>
  <si>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</si>
  <si>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</si>
  <si>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</si>
  <si>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</si>
  <si>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</si>
  <si>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</si>
  <si>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</si>
  <si>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</si>
  <si>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</si>
  <si>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</si>
  <si>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</si>
  <si>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</si>
  <si>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</si>
  <si>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</si>
  <si>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</si>
  <si>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</si>
  <si>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</si>
  <si>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</si>
  <si>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</si>
  <si>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</si>
  <si>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</si>
  <si>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</si>
  <si>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</si>
  <si>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</si>
  <si>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</si>
  <si>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</si>
  <si>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</si>
  <si>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</si>
  <si>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</si>
  <si>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</si>
  <si>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</si>
  <si>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</si>
  <si>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</si>
  <si>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</si>
  <si>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</si>
  <si>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</si>
  <si>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</si>
  <si>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</si>
  <si>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</si>
  <si>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</si>
  <si>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</si>
  <si>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</si>
  <si>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</si>
  <si>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</si>
  <si>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</si>
  <si>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</si>
  <si>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</si>
  <si>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</si>
  <si>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</si>
  <si>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</si>
  <si>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</si>
  <si>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</si>
  <si>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</si>
  <si>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</si>
  <si>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</si>
  <si>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</si>
  <si>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</si>
  <si>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</si>
  <si>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</si>
  <si>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</si>
  <si>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</si>
  <si>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</si>
  <si>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</si>
  <si>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</si>
  <si>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</si>
  <si>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</si>
  <si>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</si>
  <si>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</si>
  <si>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</si>
  <si>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</si>
  <si>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</si>
  <si>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</si>
  <si>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</si>
  <si>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</si>
  <si>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</si>
  <si>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</si>
  <si>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</si>
  <si>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</si>
  <si>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</si>
  <si>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</si>
  <si>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</si>
  <si>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</si>
  <si>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</si>
  <si>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</si>
  <si>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</si>
  <si>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</si>
  <si>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</si>
  <si>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</si>
  <si>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</si>
  <si>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</si>
  <si>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</si>
  <si>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</si>
  <si>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</si>
  <si>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</si>
  <si>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</si>
  <si>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</si>
  <si>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</si>
  <si>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</si>
  <si>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</si>
  <si>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</si>
  <si>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</si>
  <si>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</si>
  <si>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</si>
  <si>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</si>
  <si>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</si>
  <si>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</si>
  <si>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</si>
  <si>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</si>
  <si>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</si>
  <si>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</si>
  <si>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</si>
  <si>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</si>
  <si>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</si>
  <si>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</si>
  <si>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</si>
  <si>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</si>
  <si>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</si>
  <si>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</si>
  <si>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</si>
  <si>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</si>
  <si>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</si>
  <si>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</si>
  <si>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</si>
  <si>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</si>
  <si>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</si>
  <si>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</si>
  <si>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</si>
  <si>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</si>
  <si>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</si>
  <si>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</si>
  <si>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</si>
  <si>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</si>
  <si>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</si>
  <si>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</si>
  <si>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</si>
  <si>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</si>
  <si>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</si>
  <si>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</si>
  <si>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</si>
  <si>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</si>
  <si>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</si>
  <si>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</si>
  <si>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</si>
  <si>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</si>
  <si>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</si>
  <si>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</si>
  <si>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</si>
  <si>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</si>
  <si>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</si>
  <si>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</si>
  <si>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</si>
  <si>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</si>
  <si>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</si>
  <si>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</si>
  <si>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</si>
  <si>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</si>
  <si>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</si>
  <si>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</si>
  <si>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</si>
  <si>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</si>
  <si>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</si>
  <si>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</si>
  <si>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</si>
  <si>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</si>
  <si>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</si>
  <si>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</si>
  <si>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</si>
  <si>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</si>
  <si>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</si>
  <si>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</si>
  <si>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</si>
  <si>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</si>
  <si>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</si>
  <si>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</si>
  <si>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</si>
  <si>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</si>
  <si>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</si>
  <si>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</si>
  <si>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</si>
  <si>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</si>
  <si>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</si>
  <si>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</si>
  <si>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</si>
  <si>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</si>
  <si>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</si>
  <si>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</si>
  <si>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</si>
  <si>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</si>
  <si>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</si>
  <si>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</si>
  <si>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</si>
  <si>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</si>
  <si>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</si>
  <si>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</si>
  <si>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</si>
  <si>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</si>
  <si>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</si>
  <si>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</si>
  <si>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</si>
  <si>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</si>
  <si>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</si>
  <si>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</si>
  <si>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</si>
  <si>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</si>
  <si>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</si>
  <si>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</si>
  <si>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</si>
  <si>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</si>
  <si>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</si>
  <si>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</si>
  <si>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</si>
  <si>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</si>
  <si>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</si>
  <si>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</si>
  <si>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</si>
  <si>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</si>
  <si>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</si>
  <si>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</si>
  <si>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</si>
  <si>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</si>
  <si>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</si>
  <si>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</si>
  <si>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</si>
  <si>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</si>
  <si>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</si>
  <si>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</si>
  <si>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</si>
  <si>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</si>
  <si>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</si>
  <si>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</si>
  <si>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</si>
  <si>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</si>
  <si>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</si>
  <si>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</si>
  <si>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</si>
  <si>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</si>
  <si>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</si>
  <si>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</si>
  <si>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</si>
  <si>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</si>
  <si>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</si>
  <si>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</si>
  <si>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</si>
  <si>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</si>
  <si>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</si>
  <si>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</si>
  <si>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</si>
  <si>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</si>
  <si>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</si>
  <si>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</si>
  <si>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</si>
  <si>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</si>
  <si>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</si>
  <si>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</si>
  <si>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</si>
  <si>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</si>
  <si>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</si>
  <si>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</si>
  <si>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</si>
  <si>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</si>
  <si>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</si>
  <si>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</si>
  <si>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</si>
  <si>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</si>
  <si>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</si>
  <si>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</si>
  <si>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</si>
  <si>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</si>
  <si>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</si>
  <si>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</si>
  <si>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</si>
  <si>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</si>
  <si>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</si>
  <si>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</si>
  <si>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</si>
  <si>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</si>
  <si>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</si>
  <si>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</si>
  <si>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</si>
  <si>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</si>
  <si>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</si>
  <si>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</si>
  <si>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</si>
  <si>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</si>
  <si>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</si>
  <si>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</si>
  <si>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</si>
  <si>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</si>
  <si>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</si>
  <si>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</si>
  <si>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</si>
  <si>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</si>
  <si>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</si>
  <si>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</si>
  <si>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</si>
  <si>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</si>
  <si>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</si>
  <si>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</si>
  <si>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</si>
  <si>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</si>
  <si>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</si>
  <si>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</si>
  <si>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</si>
  <si>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</si>
  <si>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</si>
  <si>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</si>
  <si>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</si>
  <si>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</si>
  <si>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</si>
  <si>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</si>
  <si>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</si>
  <si>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</si>
  <si>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</si>
  <si>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</si>
  <si>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</si>
  <si>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</si>
  <si>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</si>
  <si>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</si>
  <si>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</si>
  <si>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</si>
  <si>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</si>
  <si>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</si>
  <si>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</si>
  <si>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</si>
  <si>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</si>
  <si>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</si>
  <si>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</si>
  <si>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</si>
  <si>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</si>
  <si>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</si>
  <si>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</si>
  <si>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</si>
  <si>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</si>
  <si>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</si>
  <si>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</si>
  <si>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</si>
  <si>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</si>
  <si>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</si>
  <si>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</si>
  <si>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</si>
  <si>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</si>
  <si>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</si>
  <si>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</si>
  <si>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</si>
  <si>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</si>
  <si>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</si>
  <si>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</si>
  <si>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</si>
  <si>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</si>
  <si>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</si>
  <si>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</si>
  <si>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</si>
  <si>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</si>
  <si>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</si>
  <si>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</si>
  <si>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</si>
  <si>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</si>
  <si>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</si>
  <si>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</si>
  <si>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</si>
  <si>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</si>
  <si>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</si>
  <si>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</si>
  <si>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</si>
  <si>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</si>
  <si>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</si>
  <si>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</si>
  <si>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</si>
  <si>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</si>
  <si>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</si>
  <si>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</si>
  <si>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</si>
  <si>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</si>
  <si>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</si>
  <si>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</si>
  <si>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</si>
  <si>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</si>
  <si>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</si>
  <si>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</si>
  <si>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</si>
  <si>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</si>
  <si>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</si>
  <si>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</si>
  <si>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</si>
  <si>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</si>
  <si>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</si>
  <si>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</si>
  <si>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</si>
  <si>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</si>
  <si>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Gain "if X or all bosses were beaten without getting hit, Gain a [chest reward]"</t>
  </si>
  <si>
    <t>goal "{X} or all bosses were beaten without getting hit" -&gt; gain_chest reward {X}</t>
  </si>
  <si>
    <t>Gains "and you must beat X or all bosses without getting hit"</t>
  </si>
  <si>
    <t>clause "you must beat {X} or all bosses without getting hit"</t>
  </si>
  <si>
    <t>Gain "If the difficulty is increased X times or as much as possible, Gain a [chest reward] and 1 Bash"</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</si>
  <si>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</si>
  <si>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</si>
  <si>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</si>
  <si>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</si>
  <si>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</si>
  <si>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</si>
  <si>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</si>
  <si>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</si>
  <si>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</si>
  <si>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</si>
  <si>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</si>
  <si>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</si>
  <si>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</si>
  <si>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</si>
  <si>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</si>
  <si>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</si>
  <si>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</si>
  <si>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</si>
  <si>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</si>
  <si>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</si>
  <si>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</si>
  <si>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</si>
  <si>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</si>
  <si>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</si>
  <si>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</si>
  <si>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</si>
  <si>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</si>
  <si>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</si>
  <si>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</si>
  <si>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</si>
  <si>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</si>
  <si>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</si>
  <si>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</si>
  <si>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</si>
  <si>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</si>
  <si>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</si>
  <si>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</si>
  <si>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</si>
  <si>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</si>
  <si>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</si>
  <si>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</si>
  <si>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</si>
  <si>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</si>
  <si>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</si>
  <si>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</si>
  <si>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</si>
  <si>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</si>
  <si>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</si>
  <si>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</si>
  <si>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</si>
  <si>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</si>
  <si>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</si>
  <si>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</si>
  <si>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</si>
  <si>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</si>
  <si>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</si>
  <si>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</si>
  <si>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</si>
  <si>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</si>
  <si>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</si>
  <si>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</si>
  <si>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</si>
  <si>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</si>
  <si>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</si>
  <si>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</si>
  <si>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</si>
  <si>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</si>
  <si>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</si>
  <si>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</si>
  <si>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</si>
  <si>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</si>
  <si>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</si>
  <si>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</si>
  <si>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</si>
  <si>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</si>
  <si>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</si>
  <si>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</si>
  <si>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</si>
  <si>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</si>
  <si>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</si>
  <si>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</si>
  <si>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</si>
  <si>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</si>
  <si>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</si>
  <si>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</si>
  <si>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</si>
  <si>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</si>
  <si>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</si>
  <si>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</si>
  <si>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</si>
  <si>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</si>
  <si>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</si>
  <si>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</si>
  <si>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</si>
  <si>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</si>
  <si>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</si>
  <si>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</si>
  <si>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</si>
  <si>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</si>
  <si>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</si>
  <si>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</si>
  <si>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</si>
  <si>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</si>
  <si>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</si>
  <si>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</si>
  <si>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</si>
  <si>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</si>
  <si>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</si>
  <si>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</si>
  <si>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</si>
  <si>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</si>
  <si>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</si>
  <si>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</si>
  <si>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</si>
  <si>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</si>
  <si>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</si>
  <si>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</si>
  <si>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</si>
  <si>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</si>
  <si>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</si>
  <si>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</si>
  <si>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</si>
  <si>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</si>
  <si>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</si>
  <si>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</si>
  <si>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</si>
  <si>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</si>
  <si>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</si>
  <si>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</si>
  <si>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</si>
  <si>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</si>
  <si>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</si>
  <si>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</si>
  <si>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</si>
  <si>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</si>
  <si>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</si>
  <si>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</si>
  <si>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</si>
  <si>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</si>
  <si>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</si>
  <si>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</si>
  <si>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</si>
  <si>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</si>
  <si>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</si>
  <si>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</si>
  <si>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</si>
  <si>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</si>
  <si>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</si>
  <si>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</si>
  <si>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</si>
  <si>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</si>
  <si>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</si>
  <si>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</si>
  <si>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</si>
  <si>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</si>
  <si>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</si>
  <si>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</si>
  <si>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</si>
  <si>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</si>
  <si>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</si>
  <si>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</si>
  <si>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</si>
  <si>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</si>
  <si>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Apply +3 Burn to any Enemy on target Tile and apply the Fire Tile to this Tile</t>
  </si>
  <si>
    <t>Spawn 1 Random Enemy to the Board</t>
  </si>
  <si>
    <t>Wand of Create Monster</t>
  </si>
  <si>
    <t>item_acquired: gain_stat bombs 1; bomb_tile web</t>
  </si>
  <si>
    <t>Gain "You must not heal intentionally or take 3 Damage. This lasts for X games."</t>
  </si>
  <si>
    <t>demand "not heal intentionally" else -&gt; take_damage 3</t>
  </si>
  <si>
    <t>Gains "and if you didn't intentionally heal, Gain a [chest reward]"</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</si>
  <si>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</si>
  <si>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</si>
  <si>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</si>
  <si>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</si>
  <si>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Gains "and if you beat the game twice in a row, Gain a [chest reward]"</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</si>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</sst>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157</c:v>
                </c:pt>
                <c:pt idx="44">
                  <c:v>56</c:v>
                </c:pt>
                <c:pt idx="45">
                  <c:v>82</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203</c:v>
                </c:pt>
                <c:pt idx="3">
                  <c:v>105</c:v>
                </c:pt>
                <c:pt idx="4">
                  <c:v>46</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118</c:v>
                </c:pt>
                <c:pt idx="3">
                  <c:v>66</c:v>
                </c:pt>
                <c:pt idx="4">
                  <c:v>27</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149</c:v>
                </c:pt>
                <c:pt idx="4">
                  <c:v>138</c:v>
                </c:pt>
                <c:pt idx="5">
                  <c:v>118</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1.161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7" totalsRowShown="0">
  <autoFilter ref="A1:J857"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38" totalsRowShown="0">
  <autoFilter ref="A1:E123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5" totalsRowShown="0">
  <autoFilter ref="A1:I5" xr:uid="{516DD2D2-D2D6-406C-90FD-446DB475286A}"/>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table" Target="../tables/table1.xm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table" Target="../tables/table2.xm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7"/>
  <sheetViews>
    <sheetView tabSelected="1" topLeftCell="A813"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7526</v>
      </c>
    </row>
    <row r="107" spans="1:10" ht="15" customHeight="1" x14ac:dyDescent="0.25">
      <c r="A107" t="s">
        <v>536</v>
      </c>
      <c r="B107">
        <v>2013</v>
      </c>
      <c r="C107" t="s">
        <v>179</v>
      </c>
      <c r="D107" t="b">
        <f>TRUE()</f>
        <v>1</v>
      </c>
      <c r="E107" t="b">
        <f>COUNTIF(connections!A:A, A107) &gt; 0</f>
        <v>1</v>
      </c>
      <c r="F107" t="s">
        <v>458</v>
      </c>
      <c r="G107" t="s">
        <v>537</v>
      </c>
      <c r="H107" t="s">
        <v>187</v>
      </c>
      <c r="I107" t="s">
        <v>7527</v>
      </c>
    </row>
    <row r="108" spans="1:10" ht="15" customHeight="1" x14ac:dyDescent="0.25">
      <c r="A108" t="s">
        <v>538</v>
      </c>
      <c r="B108">
        <v>2025</v>
      </c>
      <c r="C108" t="s">
        <v>179</v>
      </c>
      <c r="D108" t="b">
        <f>TRUE()</f>
        <v>1</v>
      </c>
      <c r="E108" t="b">
        <f>COUNTIF(connections!A:A, A108) &gt; 0</f>
        <v>0</v>
      </c>
      <c r="F108" t="s">
        <v>458</v>
      </c>
      <c r="G108" t="s">
        <v>539</v>
      </c>
      <c r="H108" t="s">
        <v>187</v>
      </c>
      <c r="I108" t="s">
        <v>7528</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1</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row r="856" spans="1:10" x14ac:dyDescent="0.25">
      <c r="A856" t="s">
        <v>7720</v>
      </c>
      <c r="B856">
        <v>2026</v>
      </c>
      <c r="C856" t="s">
        <v>222</v>
      </c>
      <c r="D856" t="b">
        <f>TRUE()</f>
        <v>1</v>
      </c>
      <c r="E856" t="b">
        <f>COUNTIF(connections!A:A, A856) &gt; 0</f>
        <v>0</v>
      </c>
      <c r="G856" t="s">
        <v>7719</v>
      </c>
      <c r="J856" s="11" t="s">
        <v>7718</v>
      </c>
    </row>
    <row r="857" spans="1:10" x14ac:dyDescent="0.25">
      <c r="A857" t="s">
        <v>7721</v>
      </c>
      <c r="B857">
        <v>2026</v>
      </c>
      <c r="C857" t="s">
        <v>176</v>
      </c>
      <c r="D857" t="b">
        <f>TRUE()</f>
        <v>1</v>
      </c>
      <c r="E857" t="b">
        <f>COUNTIF(connections!A:A, A857) &gt; 0</f>
        <v>0</v>
      </c>
      <c r="G857" t="s">
        <v>7722</v>
      </c>
      <c r="J857" s="11" t="s">
        <v>7723</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 ref="J856" r:id="rId538" xr:uid="{08E49B8B-AB87-44CE-BD88-6A72072643F3}"/>
    <hyperlink ref="J857" r:id="rId539" xr:uid="{613E919C-99D5-4936-BD6E-E1B66FD364CC}"/>
  </hyperlinks>
  <pageMargins left="0.7" right="0.7" top="0.75" bottom="0.75" header="0.511811023622047" footer="0.511811023622047"/>
  <pageSetup orientation="portrait" horizontalDpi="300" verticalDpi="300"/>
  <tableParts count="1">
    <tablePart r:id="rId5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38"/>
  <sheetViews>
    <sheetView topLeftCell="A1190" zoomScaleNormal="100" workbookViewId="0">
      <selection activeCell="E1239" sqref="E1239"/>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7725</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3434</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3435</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3436</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3437</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3438</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3439</v>
      </c>
    </row>
    <row r="1194" spans="1:5" x14ac:dyDescent="0.25">
      <c r="A1194" t="s">
        <v>2805</v>
      </c>
      <c r="B1194" t="s">
        <v>2527</v>
      </c>
      <c r="C1194">
        <v>2021</v>
      </c>
      <c r="E1194" s="1" t="s">
        <v>3440</v>
      </c>
    </row>
    <row r="1195" spans="1:5" x14ac:dyDescent="0.25">
      <c r="A1195" t="s">
        <v>2805</v>
      </c>
      <c r="B1195" t="s">
        <v>2604</v>
      </c>
      <c r="C1195">
        <v>2021</v>
      </c>
      <c r="E1195" s="1" t="s">
        <v>3014</v>
      </c>
    </row>
    <row r="1196" spans="1:5" x14ac:dyDescent="0.25">
      <c r="A1196" t="s">
        <v>2805</v>
      </c>
      <c r="B1196" t="s">
        <v>2610</v>
      </c>
      <c r="C1196">
        <v>2021</v>
      </c>
      <c r="E1196" s="11" t="s">
        <v>3441</v>
      </c>
    </row>
    <row r="1197" spans="1:5" x14ac:dyDescent="0.25">
      <c r="A1197" t="s">
        <v>2805</v>
      </c>
      <c r="B1197" t="s">
        <v>2670</v>
      </c>
      <c r="C1197">
        <v>2021</v>
      </c>
      <c r="E1197" s="1" t="s">
        <v>3014</v>
      </c>
    </row>
    <row r="1198" spans="1:5" x14ac:dyDescent="0.25">
      <c r="A1198" t="s">
        <v>2805</v>
      </c>
      <c r="B1198" t="s">
        <v>2689</v>
      </c>
      <c r="C1198">
        <v>2021</v>
      </c>
      <c r="E1198" s="11" t="s">
        <v>3442</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3443</v>
      </c>
    </row>
    <row r="1207" spans="1:5" x14ac:dyDescent="0.25">
      <c r="A1207" t="s">
        <v>2805</v>
      </c>
      <c r="B1207" t="s">
        <v>2883</v>
      </c>
      <c r="C1207">
        <v>2021</v>
      </c>
      <c r="E1207" s="1" t="s">
        <v>3444</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3445</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3446</v>
      </c>
    </row>
    <row r="1223" spans="1:5" x14ac:dyDescent="0.25">
      <c r="A1223" t="s">
        <v>2948</v>
      </c>
      <c r="B1223" t="s">
        <v>698</v>
      </c>
      <c r="C1223">
        <v>1994</v>
      </c>
      <c r="E1223" s="11" t="s">
        <v>3447</v>
      </c>
    </row>
    <row r="1224" spans="1:5" x14ac:dyDescent="0.25">
      <c r="A1224" t="s">
        <v>2948</v>
      </c>
      <c r="B1224" t="s">
        <v>2572</v>
      </c>
      <c r="C1224">
        <v>1994</v>
      </c>
      <c r="E1224" s="1" t="s">
        <v>3448</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row r="1229" spans="1:5" x14ac:dyDescent="0.25">
      <c r="A1229" t="s">
        <v>7717</v>
      </c>
      <c r="B1229" t="s">
        <v>7720</v>
      </c>
      <c r="C1229">
        <v>2021</v>
      </c>
      <c r="E1229" s="11" t="s">
        <v>7716</v>
      </c>
    </row>
    <row r="1230" spans="1:5" x14ac:dyDescent="0.25">
      <c r="A1230" t="s">
        <v>353</v>
      </c>
      <c r="B1230" t="s">
        <v>7720</v>
      </c>
      <c r="C1230">
        <v>2023</v>
      </c>
      <c r="E1230" s="11" t="s">
        <v>7716</v>
      </c>
    </row>
    <row r="1231" spans="1:5" x14ac:dyDescent="0.25">
      <c r="A1231" t="s">
        <v>497</v>
      </c>
      <c r="B1231" t="s">
        <v>7721</v>
      </c>
      <c r="C1231">
        <v>2022</v>
      </c>
      <c r="E1231" s="11" t="s">
        <v>7724</v>
      </c>
    </row>
    <row r="1232" spans="1:5" x14ac:dyDescent="0.25">
      <c r="A1232" t="s">
        <v>185</v>
      </c>
      <c r="B1232" t="s">
        <v>7721</v>
      </c>
      <c r="C1232">
        <v>2022</v>
      </c>
      <c r="E1232" s="11" t="s">
        <v>7724</v>
      </c>
    </row>
    <row r="1233" spans="1:5" x14ac:dyDescent="0.25">
      <c r="A1233" t="s">
        <v>160</v>
      </c>
      <c r="B1233" t="s">
        <v>7721</v>
      </c>
      <c r="C1233">
        <v>2011</v>
      </c>
      <c r="E1233" s="11" t="s">
        <v>7724</v>
      </c>
    </row>
    <row r="1234" spans="1:5" x14ac:dyDescent="0.25">
      <c r="A1234" t="s">
        <v>606</v>
      </c>
      <c r="B1234" t="s">
        <v>7721</v>
      </c>
      <c r="C1234">
        <v>2025</v>
      </c>
      <c r="E1234" s="11" t="s">
        <v>7724</v>
      </c>
    </row>
    <row r="1235" spans="1:5" x14ac:dyDescent="0.25">
      <c r="A1235" t="s">
        <v>360</v>
      </c>
      <c r="B1235" t="s">
        <v>7721</v>
      </c>
      <c r="C1235">
        <v>2025</v>
      </c>
      <c r="E1235" s="11" t="s">
        <v>7724</v>
      </c>
    </row>
    <row r="1236" spans="1:5" x14ac:dyDescent="0.25">
      <c r="A1236" t="s">
        <v>1622</v>
      </c>
      <c r="B1236" t="s">
        <v>7721</v>
      </c>
      <c r="C1236">
        <v>2025</v>
      </c>
      <c r="E1236" s="11" t="s">
        <v>7724</v>
      </c>
    </row>
    <row r="1237" spans="1:5" x14ac:dyDescent="0.25">
      <c r="A1237" t="s">
        <v>811</v>
      </c>
      <c r="B1237" t="s">
        <v>7721</v>
      </c>
      <c r="C1237">
        <v>2024</v>
      </c>
      <c r="E1237" s="11" t="s">
        <v>7724</v>
      </c>
    </row>
    <row r="1238" spans="1:5" x14ac:dyDescent="0.25">
      <c r="A1238" t="s">
        <v>811</v>
      </c>
      <c r="B1238" t="s">
        <v>360</v>
      </c>
      <c r="C1238">
        <v>2024</v>
      </c>
      <c r="E1238" s="11" t="s">
        <v>7725</v>
      </c>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30" r:id="rId661" xr:uid="{00000000-0004-0000-0100-000095020000}"/>
    <hyperlink ref="E1132" r:id="rId662" xr:uid="{00000000-0004-0000-0100-000096020000}"/>
    <hyperlink ref="E1138" r:id="rId663" xr:uid="{00000000-0004-0000-0100-000097020000}"/>
    <hyperlink ref="E1141" r:id="rId664" location="c562532756309107833" xr:uid="{00000000-0004-0000-0100-000098020000}"/>
    <hyperlink ref="E1142" r:id="rId665" xr:uid="{00000000-0004-0000-0100-000099020000}"/>
    <hyperlink ref="E1144" r:id="rId666" xr:uid="{00000000-0004-0000-0100-00009A020000}"/>
    <hyperlink ref="E1150" r:id="rId667" xr:uid="{00000000-0004-0000-0100-00009B020000}"/>
    <hyperlink ref="E1153" r:id="rId668" xr:uid="{00000000-0004-0000-0100-00009C020000}"/>
    <hyperlink ref="E1156" r:id="rId669" xr:uid="{00000000-0004-0000-0100-00009D020000}"/>
    <hyperlink ref="E1161" r:id="rId670" xr:uid="{00000000-0004-0000-0100-00009E020000}"/>
    <hyperlink ref="E1170" r:id="rId671" xr:uid="{00000000-0004-0000-0100-00009F020000}"/>
    <hyperlink ref="E1180" r:id="rId672" xr:uid="{00000000-0004-0000-0100-0000A0020000}"/>
    <hyperlink ref="E1193" r:id="rId673" xr:uid="{00000000-0004-0000-0100-0000A1020000}"/>
    <hyperlink ref="E1194" r:id="rId674" xr:uid="{00000000-0004-0000-0100-0000A2020000}"/>
    <hyperlink ref="E1196" r:id="rId675" xr:uid="{00000000-0004-0000-0100-0000A3020000}"/>
    <hyperlink ref="E1198" r:id="rId676" xr:uid="{00000000-0004-0000-0100-0000A4020000}"/>
    <hyperlink ref="E1207" r:id="rId677" location=":~:text=Runs%20in%20Whisker%20Squadron:%20Survivor,to%20engage%20the%20boost%20thrusters." xr:uid="{00000000-0004-0000-0100-0000A5020000}"/>
    <hyperlink ref="E1217" r:id="rId678" xr:uid="{00000000-0004-0000-0100-0000A6020000}"/>
    <hyperlink ref="E1218" r:id="rId679" xr:uid="{00000000-0004-0000-0100-0000A7020000}"/>
    <hyperlink ref="E1219" r:id="rId680" xr:uid="{00000000-0004-0000-0100-0000A8020000}"/>
    <hyperlink ref="E1223" r:id="rId681" xr:uid="{00000000-0004-0000-0100-0000A9020000}"/>
    <hyperlink ref="E1224" r:id="rId682" xr:uid="{00000000-0004-0000-0100-0000AA020000}"/>
    <hyperlink ref="E1225" r:id="rId683" xr:uid="{00000000-0004-0000-0100-0000AB020000}"/>
    <hyperlink ref="E1226" r:id="rId684" location=":~:text=Vellum's%20Inspirations,chapter%20of%20the%20original%20series." xr:uid="{00000000-0004-0000-0100-0000AC020000}"/>
    <hyperlink ref="E1229" r:id="rId685" xr:uid="{DC257F92-B893-4A80-84AF-3BA7F10C76A1}"/>
    <hyperlink ref="E1230" r:id="rId686" xr:uid="{7306A171-7F4B-47C2-B91E-E6BB1E82D970}"/>
    <hyperlink ref="E1231" r:id="rId687" xr:uid="{9998D6E1-A959-4C80-BCA2-BE69C5A7A99B}"/>
    <hyperlink ref="E1232" r:id="rId688" xr:uid="{B9E4EED7-E892-464F-9EBD-AA4E7BD71993}"/>
    <hyperlink ref="E1233" r:id="rId689" xr:uid="{B56B3719-2C0F-4F11-9155-40E4DB5FD2F2}"/>
    <hyperlink ref="E1234" r:id="rId690" xr:uid="{3273FC85-56B0-4591-95CD-373A480AC68B}"/>
    <hyperlink ref="E1235" r:id="rId691" xr:uid="{3264C784-5E91-4DBF-993E-1FEF95430F6C}"/>
    <hyperlink ref="E1236" r:id="rId692" xr:uid="{8F547E23-D0FA-4AF7-B467-053D4459C3E3}"/>
    <hyperlink ref="E1237" r:id="rId693" xr:uid="{2EDB5F00-8479-4A8F-BB77-B6BDE0431C57}"/>
    <hyperlink ref="E1238" r:id="rId694" xr:uid="{D89045FC-4BEC-49BE-8903-287735AA0711}"/>
  </hyperlinks>
  <pageMargins left="0.7" right="0.7" top="0.75" bottom="0.75" header="0.511811023622047" footer="0.511811023622047"/>
  <pageSetup orientation="portrait" horizontalDpi="300" verticalDpi="300"/>
  <tableParts count="1">
    <tablePart r:id="rId6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A8" sqref="A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7537</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45" sqref="D4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7515</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7408</v>
      </c>
      <c r="B12" t="s">
        <v>3518</v>
      </c>
      <c r="C12" t="s">
        <v>3531</v>
      </c>
      <c r="D12" t="s">
        <v>7416</v>
      </c>
      <c r="E12" t="s">
        <v>7422</v>
      </c>
      <c r="F12" t="s">
        <v>90</v>
      </c>
      <c r="G12" t="s">
        <v>7409</v>
      </c>
      <c r="H12" t="s">
        <v>3687</v>
      </c>
      <c r="I12" t="s">
        <v>7408</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7675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4792</v>
      </c>
      <c r="B35" t="s">
        <v>3518</v>
      </c>
      <c r="C35" t="s">
        <v>3531</v>
      </c>
      <c r="D35" t="s">
        <v>7418</v>
      </c>
      <c r="E35" t="s">
        <v>7423</v>
      </c>
      <c r="F35" t="s">
        <v>90</v>
      </c>
      <c r="G35" t="s">
        <v>4700</v>
      </c>
      <c r="I35" t="s">
        <v>4795</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7410</v>
      </c>
      <c r="B40" t="s">
        <v>3530</v>
      </c>
      <c r="C40" t="s">
        <v>3525</v>
      </c>
      <c r="D40" t="s">
        <v>7411</v>
      </c>
      <c r="E40" t="s">
        <v>7424</v>
      </c>
      <c r="F40" t="s">
        <v>38</v>
      </c>
      <c r="I40" t="s">
        <v>7412</v>
      </c>
      <c r="J40" t="s">
        <v>3573</v>
      </c>
    </row>
    <row r="41" spans="1:10" x14ac:dyDescent="0.25">
      <c r="A41" t="s">
        <v>7419</v>
      </c>
      <c r="B41" t="s">
        <v>3530</v>
      </c>
      <c r="C41" t="s">
        <v>3525</v>
      </c>
      <c r="D41" t="s">
        <v>7421</v>
      </c>
      <c r="E41" t="s">
        <v>7425</v>
      </c>
      <c r="F41" t="s">
        <v>38</v>
      </c>
      <c r="I41" t="s">
        <v>7420</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7676</v>
      </c>
      <c r="E46" t="s">
        <v>7700</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7413</v>
      </c>
      <c r="B52" t="s">
        <v>3530</v>
      </c>
      <c r="C52" t="s">
        <v>3539</v>
      </c>
      <c r="D52" t="s">
        <v>7415</v>
      </c>
      <c r="E52" t="s">
        <v>7426</v>
      </c>
      <c r="F52" t="s">
        <v>90</v>
      </c>
      <c r="G52" t="s">
        <v>7417</v>
      </c>
      <c r="I52" t="s">
        <v>7414</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7403</v>
      </c>
      <c r="B4" t="s">
        <v>176</v>
      </c>
      <c r="C4" t="s">
        <v>3760</v>
      </c>
      <c r="D4" t="s">
        <v>3761</v>
      </c>
      <c r="E4" t="s">
        <v>2174</v>
      </c>
      <c r="F4">
        <v>1</v>
      </c>
      <c r="G4">
        <v>1</v>
      </c>
      <c r="H4" t="s">
        <v>3770</v>
      </c>
      <c r="I4" t="s">
        <v>7404</v>
      </c>
      <c r="J4" t="s">
        <v>3467</v>
      </c>
      <c r="K4" t="s">
        <v>7403</v>
      </c>
      <c r="L4" t="s">
        <v>7405</v>
      </c>
    </row>
    <row r="5" spans="1:12" x14ac:dyDescent="0.25">
      <c r="A5" t="s">
        <v>3769</v>
      </c>
      <c r="B5" t="s">
        <v>176</v>
      </c>
      <c r="C5" t="s">
        <v>3760</v>
      </c>
      <c r="D5" t="s">
        <v>3761</v>
      </c>
      <c r="E5" t="s">
        <v>2620</v>
      </c>
      <c r="F5">
        <v>1</v>
      </c>
      <c r="G5">
        <v>1</v>
      </c>
      <c r="H5" t="s">
        <v>3770</v>
      </c>
      <c r="I5" t="s">
        <v>3771</v>
      </c>
      <c r="J5" t="s">
        <v>7492</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7499</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7484</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7503</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7481</v>
      </c>
      <c r="J19" t="s">
        <v>7483</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7475</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5309</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7502</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7474</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7512</v>
      </c>
      <c r="K32" t="s">
        <v>3858</v>
      </c>
    </row>
    <row r="33" spans="1:12" x14ac:dyDescent="0.25">
      <c r="A33" t="s">
        <v>3859</v>
      </c>
      <c r="B33" t="s">
        <v>182</v>
      </c>
      <c r="C33" t="s">
        <v>3812</v>
      </c>
      <c r="D33" t="s">
        <v>3761</v>
      </c>
      <c r="E33" t="s">
        <v>90</v>
      </c>
      <c r="F33">
        <v>1</v>
      </c>
      <c r="G33">
        <v>3</v>
      </c>
      <c r="H33" t="s">
        <v>3854</v>
      </c>
      <c r="I33" t="s">
        <v>3860</v>
      </c>
      <c r="J33" t="s">
        <v>7457</v>
      </c>
      <c r="K33" t="s">
        <v>3859</v>
      </c>
    </row>
    <row r="34" spans="1:12" x14ac:dyDescent="0.25">
      <c r="A34" t="s">
        <v>3861</v>
      </c>
      <c r="B34" t="s">
        <v>182</v>
      </c>
      <c r="C34" t="s">
        <v>3812</v>
      </c>
      <c r="D34" t="s">
        <v>3814</v>
      </c>
      <c r="E34" t="s">
        <v>90</v>
      </c>
      <c r="F34">
        <v>1</v>
      </c>
      <c r="G34">
        <v>3</v>
      </c>
      <c r="H34" t="s">
        <v>3862</v>
      </c>
      <c r="I34" t="s">
        <v>3863</v>
      </c>
      <c r="J34" t="s">
        <v>7469</v>
      </c>
      <c r="K34" t="s">
        <v>3861</v>
      </c>
    </row>
    <row r="35" spans="1:12" x14ac:dyDescent="0.25">
      <c r="A35" t="s">
        <v>3864</v>
      </c>
      <c r="B35" t="s">
        <v>222</v>
      </c>
      <c r="C35" t="s">
        <v>3760</v>
      </c>
      <c r="D35" t="s">
        <v>3761</v>
      </c>
      <c r="E35" t="s">
        <v>1650</v>
      </c>
      <c r="F35">
        <v>1</v>
      </c>
      <c r="G35">
        <v>1</v>
      </c>
      <c r="H35" t="s">
        <v>3762</v>
      </c>
      <c r="I35" t="s">
        <v>3865</v>
      </c>
      <c r="J35" t="s">
        <v>7485</v>
      </c>
      <c r="K35" t="s">
        <v>3864</v>
      </c>
    </row>
    <row r="36" spans="1:12" x14ac:dyDescent="0.25">
      <c r="A36" t="s">
        <v>3866</v>
      </c>
      <c r="B36" t="s">
        <v>222</v>
      </c>
      <c r="C36" t="s">
        <v>3760</v>
      </c>
      <c r="D36" t="s">
        <v>3761</v>
      </c>
      <c r="E36" t="s">
        <v>1202</v>
      </c>
      <c r="F36">
        <v>1</v>
      </c>
      <c r="G36">
        <v>1</v>
      </c>
      <c r="H36" t="s">
        <v>3762</v>
      </c>
      <c r="I36" t="s">
        <v>3867</v>
      </c>
      <c r="J36" t="s">
        <v>3467</v>
      </c>
      <c r="K36" t="s">
        <v>3866</v>
      </c>
      <c r="L36" t="s">
        <v>3868</v>
      </c>
    </row>
    <row r="37" spans="1:12" x14ac:dyDescent="0.25">
      <c r="A37" t="s">
        <v>7486</v>
      </c>
      <c r="B37" t="s">
        <v>222</v>
      </c>
      <c r="C37" t="s">
        <v>3760</v>
      </c>
      <c r="D37" t="s">
        <v>3761</v>
      </c>
      <c r="E37" t="s">
        <v>1650</v>
      </c>
      <c r="F37">
        <v>1</v>
      </c>
      <c r="G37">
        <v>1</v>
      </c>
      <c r="H37" t="s">
        <v>3762</v>
      </c>
      <c r="I37" t="s">
        <v>7487</v>
      </c>
      <c r="J37" t="s">
        <v>3467</v>
      </c>
      <c r="K37" t="s">
        <v>7486</v>
      </c>
      <c r="L37" t="s">
        <v>7488</v>
      </c>
    </row>
    <row r="38" spans="1:12" x14ac:dyDescent="0.25">
      <c r="A38" t="s">
        <v>3869</v>
      </c>
      <c r="B38" t="s">
        <v>222</v>
      </c>
      <c r="C38" t="s">
        <v>3760</v>
      </c>
      <c r="D38" t="s">
        <v>3761</v>
      </c>
      <c r="E38" t="s">
        <v>501</v>
      </c>
      <c r="F38">
        <v>1</v>
      </c>
      <c r="G38">
        <v>1</v>
      </c>
      <c r="H38" t="s">
        <v>3774</v>
      </c>
      <c r="I38" t="s">
        <v>3870</v>
      </c>
      <c r="J38" t="s">
        <v>3467</v>
      </c>
      <c r="K38" t="s">
        <v>3869</v>
      </c>
      <c r="L38" t="s">
        <v>3871</v>
      </c>
    </row>
    <row r="39" spans="1:12" x14ac:dyDescent="0.25">
      <c r="A39" t="s">
        <v>3872</v>
      </c>
      <c r="B39" t="s">
        <v>222</v>
      </c>
      <c r="C39" t="s">
        <v>3797</v>
      </c>
      <c r="D39" t="s">
        <v>3761</v>
      </c>
      <c r="E39" t="s">
        <v>1650</v>
      </c>
      <c r="F39">
        <v>1</v>
      </c>
      <c r="G39">
        <v>2</v>
      </c>
      <c r="H39" t="s">
        <v>3770</v>
      </c>
      <c r="I39" t="s">
        <v>3873</v>
      </c>
      <c r="J39" t="s">
        <v>7456</v>
      </c>
      <c r="K39" t="s">
        <v>3872</v>
      </c>
    </row>
    <row r="40" spans="1:12" x14ac:dyDescent="0.25">
      <c r="A40" t="s">
        <v>3874</v>
      </c>
      <c r="B40" t="s">
        <v>222</v>
      </c>
      <c r="C40" t="s">
        <v>3797</v>
      </c>
      <c r="D40" t="s">
        <v>3761</v>
      </c>
      <c r="E40" t="s">
        <v>1650</v>
      </c>
      <c r="F40">
        <v>1</v>
      </c>
      <c r="G40">
        <v>2</v>
      </c>
      <c r="H40" t="s">
        <v>3770</v>
      </c>
      <c r="I40" t="s">
        <v>3875</v>
      </c>
      <c r="J40" t="s">
        <v>7452</v>
      </c>
      <c r="K40" t="s">
        <v>3876</v>
      </c>
      <c r="L40" t="s">
        <v>3841</v>
      </c>
    </row>
    <row r="41" spans="1:12" x14ac:dyDescent="0.25">
      <c r="A41" t="s">
        <v>3877</v>
      </c>
      <c r="B41" t="s">
        <v>222</v>
      </c>
      <c r="C41" t="s">
        <v>3797</v>
      </c>
      <c r="D41" t="s">
        <v>3809</v>
      </c>
      <c r="E41" t="s">
        <v>501</v>
      </c>
      <c r="F41">
        <v>1</v>
      </c>
      <c r="G41">
        <v>2</v>
      </c>
      <c r="H41" t="s">
        <v>3770</v>
      </c>
      <c r="I41" t="s">
        <v>3878</v>
      </c>
      <c r="J41" t="s">
        <v>7449</v>
      </c>
      <c r="K41" t="s">
        <v>3877</v>
      </c>
    </row>
    <row r="42" spans="1:12" x14ac:dyDescent="0.25">
      <c r="A42" t="s">
        <v>3879</v>
      </c>
      <c r="B42" t="s">
        <v>222</v>
      </c>
      <c r="C42" t="s">
        <v>3797</v>
      </c>
      <c r="D42" t="s">
        <v>3761</v>
      </c>
      <c r="E42" t="s">
        <v>1650</v>
      </c>
      <c r="F42">
        <v>1</v>
      </c>
      <c r="G42">
        <v>2</v>
      </c>
      <c r="H42" t="s">
        <v>3762</v>
      </c>
      <c r="I42" t="s">
        <v>3880</v>
      </c>
      <c r="J42" t="s">
        <v>3467</v>
      </c>
      <c r="K42" t="s">
        <v>3879</v>
      </c>
      <c r="L42" t="s">
        <v>3881</v>
      </c>
    </row>
    <row r="43" spans="1:12" x14ac:dyDescent="0.25">
      <c r="A43" t="s">
        <v>3882</v>
      </c>
      <c r="B43" t="s">
        <v>222</v>
      </c>
      <c r="C43" t="s">
        <v>3797</v>
      </c>
      <c r="D43" t="s">
        <v>3761</v>
      </c>
      <c r="E43" t="s">
        <v>1650</v>
      </c>
      <c r="F43">
        <v>1</v>
      </c>
      <c r="G43">
        <v>2</v>
      </c>
      <c r="H43" t="s">
        <v>3770</v>
      </c>
      <c r="I43" t="s">
        <v>3883</v>
      </c>
      <c r="J43" t="s">
        <v>7448</v>
      </c>
      <c r="K43" t="s">
        <v>3882</v>
      </c>
      <c r="L43" t="s">
        <v>3884</v>
      </c>
    </row>
    <row r="44" spans="1:12" x14ac:dyDescent="0.25">
      <c r="A44" t="s">
        <v>3885</v>
      </c>
      <c r="B44" t="s">
        <v>222</v>
      </c>
      <c r="C44" t="s">
        <v>3797</v>
      </c>
      <c r="D44" t="s">
        <v>3761</v>
      </c>
      <c r="E44" t="s">
        <v>1650</v>
      </c>
      <c r="F44">
        <v>1</v>
      </c>
      <c r="G44">
        <v>2</v>
      </c>
      <c r="H44" t="s">
        <v>3770</v>
      </c>
      <c r="I44" t="s">
        <v>3886</v>
      </c>
      <c r="J44" t="s">
        <v>3467</v>
      </c>
      <c r="K44" t="s">
        <v>3887</v>
      </c>
      <c r="L44" t="s">
        <v>3888</v>
      </c>
    </row>
    <row r="45" spans="1:12" x14ac:dyDescent="0.25">
      <c r="A45" t="s">
        <v>3889</v>
      </c>
      <c r="B45" t="s">
        <v>222</v>
      </c>
      <c r="C45" t="s">
        <v>3797</v>
      </c>
      <c r="D45" t="s">
        <v>3761</v>
      </c>
      <c r="E45" t="s">
        <v>1130</v>
      </c>
      <c r="F45">
        <v>1</v>
      </c>
      <c r="G45">
        <v>2</v>
      </c>
      <c r="H45" t="s">
        <v>3862</v>
      </c>
      <c r="I45" t="s">
        <v>3890</v>
      </c>
      <c r="J45" t="s">
        <v>3467</v>
      </c>
      <c r="K45" t="s">
        <v>3889</v>
      </c>
    </row>
    <row r="46" spans="1:12" x14ac:dyDescent="0.25">
      <c r="A46" t="s">
        <v>3891</v>
      </c>
      <c r="B46" t="s">
        <v>222</v>
      </c>
      <c r="C46" t="s">
        <v>3812</v>
      </c>
      <c r="D46" t="s">
        <v>3761</v>
      </c>
      <c r="E46" t="s">
        <v>501</v>
      </c>
      <c r="F46">
        <v>1</v>
      </c>
      <c r="G46">
        <v>3</v>
      </c>
      <c r="H46" t="s">
        <v>3862</v>
      </c>
      <c r="I46" t="s">
        <v>3892</v>
      </c>
      <c r="J46" t="s">
        <v>7513</v>
      </c>
      <c r="K46" t="s">
        <v>3893</v>
      </c>
    </row>
    <row r="47" spans="1:12" x14ac:dyDescent="0.25">
      <c r="A47" t="s">
        <v>3894</v>
      </c>
      <c r="B47" t="s">
        <v>222</v>
      </c>
      <c r="C47" t="s">
        <v>3812</v>
      </c>
      <c r="D47" t="s">
        <v>3761</v>
      </c>
      <c r="E47" t="s">
        <v>1650</v>
      </c>
      <c r="F47">
        <v>1</v>
      </c>
      <c r="G47">
        <v>3</v>
      </c>
      <c r="H47" t="s">
        <v>3770</v>
      </c>
      <c r="I47" t="s">
        <v>3895</v>
      </c>
      <c r="J47" t="s">
        <v>3467</v>
      </c>
      <c r="K47" t="s">
        <v>3896</v>
      </c>
      <c r="L47" t="s">
        <v>3897</v>
      </c>
    </row>
    <row r="48" spans="1:12" x14ac:dyDescent="0.25">
      <c r="A48" t="s">
        <v>3898</v>
      </c>
      <c r="B48" t="s">
        <v>179</v>
      </c>
      <c r="C48" t="s">
        <v>3760</v>
      </c>
      <c r="D48" t="s">
        <v>3761</v>
      </c>
      <c r="E48" t="s">
        <v>1796</v>
      </c>
      <c r="F48">
        <v>1</v>
      </c>
      <c r="G48">
        <v>1</v>
      </c>
      <c r="H48" t="s">
        <v>3862</v>
      </c>
      <c r="I48" t="s">
        <v>3899</v>
      </c>
      <c r="J48" t="s">
        <v>7514</v>
      </c>
      <c r="K48" t="s">
        <v>3898</v>
      </c>
    </row>
    <row r="49" spans="1:11" x14ac:dyDescent="0.25">
      <c r="A49" t="s">
        <v>3900</v>
      </c>
      <c r="B49" t="s">
        <v>179</v>
      </c>
      <c r="C49" t="s">
        <v>3797</v>
      </c>
      <c r="D49" t="s">
        <v>3761</v>
      </c>
      <c r="E49" t="s">
        <v>1796</v>
      </c>
      <c r="F49">
        <v>1</v>
      </c>
      <c r="G49">
        <v>2</v>
      </c>
      <c r="H49" t="s">
        <v>3854</v>
      </c>
      <c r="I49" t="s">
        <v>3901</v>
      </c>
      <c r="J49" t="s">
        <v>7444</v>
      </c>
      <c r="K49" t="s">
        <v>3902</v>
      </c>
    </row>
    <row r="50" spans="1:11" x14ac:dyDescent="0.25">
      <c r="A50" t="s">
        <v>3903</v>
      </c>
      <c r="B50" t="s">
        <v>179</v>
      </c>
      <c r="C50" t="s">
        <v>3797</v>
      </c>
      <c r="D50" t="s">
        <v>3761</v>
      </c>
      <c r="E50" t="s">
        <v>1796</v>
      </c>
      <c r="F50">
        <v>1</v>
      </c>
      <c r="G50">
        <v>2</v>
      </c>
      <c r="H50" t="s">
        <v>3770</v>
      </c>
      <c r="I50" t="s">
        <v>3904</v>
      </c>
      <c r="J50" t="s">
        <v>7445</v>
      </c>
      <c r="K50" t="s">
        <v>3903</v>
      </c>
    </row>
    <row r="51" spans="1:11" x14ac:dyDescent="0.25">
      <c r="A51" t="s">
        <v>3905</v>
      </c>
      <c r="B51" t="s">
        <v>179</v>
      </c>
      <c r="C51" t="s">
        <v>3812</v>
      </c>
      <c r="D51" t="s">
        <v>3761</v>
      </c>
      <c r="E51" t="s">
        <v>1796</v>
      </c>
      <c r="F51">
        <v>1</v>
      </c>
      <c r="G51">
        <v>3</v>
      </c>
      <c r="H51" t="s">
        <v>3770</v>
      </c>
      <c r="I51" t="s">
        <v>3906</v>
      </c>
      <c r="J51" t="s">
        <v>3467</v>
      </c>
      <c r="K51"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7516</v>
      </c>
    </row>
    <row r="2" spans="1:13" x14ac:dyDescent="0.25">
      <c r="A2" t="s">
        <v>3907</v>
      </c>
      <c r="B2" t="s">
        <v>176</v>
      </c>
      <c r="C2" t="s">
        <v>3760</v>
      </c>
      <c r="D2" t="s">
        <v>3814</v>
      </c>
      <c r="E2" t="s">
        <v>1047</v>
      </c>
      <c r="F2">
        <v>1</v>
      </c>
      <c r="G2">
        <v>3</v>
      </c>
      <c r="H2" t="s">
        <v>3774</v>
      </c>
      <c r="I2" t="s">
        <v>3908</v>
      </c>
      <c r="J2" t="s">
        <v>7497</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7427</v>
      </c>
      <c r="K4" t="s">
        <v>3914</v>
      </c>
    </row>
    <row r="5" spans="1:13" x14ac:dyDescent="0.25">
      <c r="A5" t="s">
        <v>3916</v>
      </c>
      <c r="B5" t="s">
        <v>176</v>
      </c>
      <c r="C5" t="s">
        <v>3760</v>
      </c>
      <c r="D5" t="s">
        <v>3761</v>
      </c>
      <c r="E5" t="s">
        <v>160</v>
      </c>
      <c r="F5">
        <v>1</v>
      </c>
      <c r="G5">
        <v>3</v>
      </c>
      <c r="H5" t="s">
        <v>3854</v>
      </c>
      <c r="I5" t="s">
        <v>3917</v>
      </c>
      <c r="J5" t="s">
        <v>7505</v>
      </c>
      <c r="K5" t="s">
        <v>3916</v>
      </c>
    </row>
    <row r="6" spans="1:13" x14ac:dyDescent="0.25">
      <c r="A6" t="s">
        <v>7406</v>
      </c>
      <c r="B6" t="s">
        <v>176</v>
      </c>
      <c r="C6" t="s">
        <v>3760</v>
      </c>
      <c r="D6" t="s">
        <v>3814</v>
      </c>
      <c r="E6" t="s">
        <v>2174</v>
      </c>
      <c r="F6">
        <v>1</v>
      </c>
      <c r="G6">
        <v>3</v>
      </c>
      <c r="H6" t="s">
        <v>3770</v>
      </c>
      <c r="I6" t="s">
        <v>7407</v>
      </c>
      <c r="J6" t="s">
        <v>3467</v>
      </c>
      <c r="K6" t="s">
        <v>7406</v>
      </c>
      <c r="L6" t="s">
        <v>4617</v>
      </c>
    </row>
    <row r="7" spans="1:13" x14ac:dyDescent="0.25">
      <c r="A7" t="s">
        <v>3918</v>
      </c>
      <c r="B7" t="s">
        <v>176</v>
      </c>
      <c r="C7" t="s">
        <v>3760</v>
      </c>
      <c r="D7" t="s">
        <v>3814</v>
      </c>
      <c r="E7" t="s">
        <v>2620</v>
      </c>
      <c r="F7">
        <v>1</v>
      </c>
      <c r="G7">
        <v>3</v>
      </c>
      <c r="H7" t="s">
        <v>3762</v>
      </c>
      <c r="I7" t="s">
        <v>3919</v>
      </c>
      <c r="J7" t="s">
        <v>7507</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7495</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7459</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7511</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7480</v>
      </c>
      <c r="K24" t="s">
        <v>3965</v>
      </c>
    </row>
    <row r="25" spans="1:12" x14ac:dyDescent="0.25">
      <c r="A25" t="s">
        <v>3966</v>
      </c>
      <c r="B25" t="s">
        <v>182</v>
      </c>
      <c r="C25" t="s">
        <v>3938</v>
      </c>
      <c r="D25" t="s">
        <v>3814</v>
      </c>
      <c r="E25" t="s">
        <v>90</v>
      </c>
      <c r="F25">
        <v>1</v>
      </c>
      <c r="G25">
        <v>9</v>
      </c>
      <c r="H25" t="s">
        <v>3770</v>
      </c>
      <c r="I25" t="s">
        <v>3967</v>
      </c>
      <c r="J25" t="s">
        <v>7508</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7502</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7494</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7476</v>
      </c>
      <c r="B33" t="s">
        <v>222</v>
      </c>
      <c r="C33" t="s">
        <v>3797</v>
      </c>
      <c r="D33" t="s">
        <v>3814</v>
      </c>
      <c r="E33" t="s">
        <v>1650</v>
      </c>
      <c r="F33">
        <v>1</v>
      </c>
      <c r="G33">
        <v>5</v>
      </c>
      <c r="H33" t="s">
        <v>7517</v>
      </c>
      <c r="I33" t="s">
        <v>7518</v>
      </c>
      <c r="J33" t="s">
        <v>7506</v>
      </c>
      <c r="K33" t="s">
        <v>7519</v>
      </c>
      <c r="L33" t="s">
        <v>3888</v>
      </c>
      <c r="M33">
        <v>3</v>
      </c>
    </row>
    <row r="34" spans="1:13" x14ac:dyDescent="0.25">
      <c r="A34" t="s">
        <v>3985</v>
      </c>
      <c r="B34" t="s">
        <v>222</v>
      </c>
      <c r="C34" t="s">
        <v>3797</v>
      </c>
      <c r="D34" t="s">
        <v>3926</v>
      </c>
      <c r="E34" t="s">
        <v>1650</v>
      </c>
      <c r="F34">
        <v>1</v>
      </c>
      <c r="G34">
        <v>5</v>
      </c>
      <c r="H34" t="s">
        <v>3774</v>
      </c>
      <c r="I34" t="s">
        <v>3986</v>
      </c>
      <c r="J34" t="s">
        <v>7511</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7427</v>
      </c>
      <c r="K36" t="s">
        <v>3993</v>
      </c>
    </row>
    <row r="37" spans="1:13" x14ac:dyDescent="0.25">
      <c r="A37" t="s">
        <v>3994</v>
      </c>
      <c r="B37" t="s">
        <v>222</v>
      </c>
      <c r="C37" t="s">
        <v>3812</v>
      </c>
      <c r="D37" t="s">
        <v>3814</v>
      </c>
      <c r="E37" t="s">
        <v>1650</v>
      </c>
      <c r="F37">
        <v>1</v>
      </c>
      <c r="G37">
        <v>7</v>
      </c>
      <c r="H37" t="s">
        <v>3774</v>
      </c>
      <c r="I37" t="s">
        <v>3995</v>
      </c>
      <c r="J37" t="s">
        <v>7498</v>
      </c>
      <c r="K37" t="s">
        <v>3996</v>
      </c>
    </row>
    <row r="38" spans="1:13" x14ac:dyDescent="0.25">
      <c r="A38" t="s">
        <v>3997</v>
      </c>
      <c r="B38" t="s">
        <v>222</v>
      </c>
      <c r="C38" t="s">
        <v>3938</v>
      </c>
      <c r="D38" t="s">
        <v>3814</v>
      </c>
      <c r="E38" t="s">
        <v>1650</v>
      </c>
      <c r="F38">
        <v>1</v>
      </c>
      <c r="G38">
        <v>9</v>
      </c>
      <c r="H38" t="s">
        <v>3762</v>
      </c>
      <c r="I38" t="s">
        <v>7493</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7504</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7430</v>
      </c>
      <c r="D1" t="s">
        <v>3461</v>
      </c>
      <c r="E1" t="s">
        <v>3512</v>
      </c>
    </row>
    <row r="2" spans="1:5" x14ac:dyDescent="0.25">
      <c r="A2" t="s">
        <v>7489</v>
      </c>
      <c r="B2" t="s">
        <v>7460</v>
      </c>
      <c r="C2" t="s">
        <v>7491</v>
      </c>
      <c r="D2" t="s">
        <v>7490</v>
      </c>
    </row>
    <row r="3" spans="1:5" x14ac:dyDescent="0.25">
      <c r="A3" t="s">
        <v>7520</v>
      </c>
      <c r="B3" t="s">
        <v>3698</v>
      </c>
      <c r="C3" t="s">
        <v>3467</v>
      </c>
      <c r="D3" t="s">
        <v>7521</v>
      </c>
    </row>
    <row r="4" spans="1:5" x14ac:dyDescent="0.25">
      <c r="A4" t="s">
        <v>7479</v>
      </c>
      <c r="B4" t="s">
        <v>4016</v>
      </c>
      <c r="C4" t="s">
        <v>7443</v>
      </c>
      <c r="D4" t="s">
        <v>7482</v>
      </c>
    </row>
    <row r="5" spans="1:5" x14ac:dyDescent="0.25">
      <c r="A5" t="s">
        <v>7449</v>
      </c>
      <c r="B5" t="s">
        <v>5333</v>
      </c>
      <c r="C5" t="s">
        <v>7438</v>
      </c>
      <c r="D5" t="s">
        <v>7451</v>
      </c>
    </row>
    <row r="6" spans="1:5" x14ac:dyDescent="0.25">
      <c r="A6" t="s">
        <v>7444</v>
      </c>
      <c r="B6" t="s">
        <v>5769</v>
      </c>
      <c r="C6" t="s">
        <v>7437</v>
      </c>
      <c r="D6" t="s">
        <v>7458</v>
      </c>
    </row>
    <row r="7" spans="1:5" x14ac:dyDescent="0.25">
      <c r="A7" t="s">
        <v>7496</v>
      </c>
      <c r="B7" t="s">
        <v>5769</v>
      </c>
      <c r="C7" t="s">
        <v>3467</v>
      </c>
      <c r="D7" t="s">
        <v>7510</v>
      </c>
    </row>
    <row r="8" spans="1:5" x14ac:dyDescent="0.25">
      <c r="A8" t="s">
        <v>5249</v>
      </c>
      <c r="B8" t="s">
        <v>7460</v>
      </c>
      <c r="C8" t="s">
        <v>7437</v>
      </c>
      <c r="D8" t="s">
        <v>7461</v>
      </c>
    </row>
    <row r="9" spans="1:5" x14ac:dyDescent="0.25">
      <c r="A9" t="s">
        <v>7435</v>
      </c>
      <c r="B9" t="s">
        <v>7436</v>
      </c>
      <c r="C9" t="s">
        <v>3467</v>
      </c>
      <c r="D9" t="s">
        <v>7468</v>
      </c>
    </row>
    <row r="10" spans="1:5" x14ac:dyDescent="0.25">
      <c r="A10" t="s">
        <v>1323</v>
      </c>
      <c r="B10" t="s">
        <v>4016</v>
      </c>
      <c r="C10" t="s">
        <v>7438</v>
      </c>
      <c r="D10" t="s">
        <v>7466</v>
      </c>
    </row>
    <row r="11" spans="1:5" x14ac:dyDescent="0.25">
      <c r="A11" t="s">
        <v>7457</v>
      </c>
      <c r="B11" t="s">
        <v>5769</v>
      </c>
      <c r="C11" t="s">
        <v>7437</v>
      </c>
      <c r="D11" t="s">
        <v>7522</v>
      </c>
    </row>
    <row r="12" spans="1:5" x14ac:dyDescent="0.25">
      <c r="A12" t="s">
        <v>7472</v>
      </c>
      <c r="B12" t="s">
        <v>7460</v>
      </c>
      <c r="C12" t="s">
        <v>3467</v>
      </c>
      <c r="D12" t="s">
        <v>7473</v>
      </c>
    </row>
    <row r="13" spans="1:5" x14ac:dyDescent="0.25">
      <c r="A13" t="s">
        <v>7470</v>
      </c>
      <c r="B13" t="s">
        <v>7431</v>
      </c>
      <c r="C13" t="s">
        <v>7433</v>
      </c>
      <c r="D13" t="s">
        <v>7471</v>
      </c>
    </row>
    <row r="14" spans="1:5" x14ac:dyDescent="0.25">
      <c r="A14" t="s">
        <v>7453</v>
      </c>
      <c r="B14" t="s">
        <v>3698</v>
      </c>
      <c r="C14" t="s">
        <v>3467</v>
      </c>
      <c r="D14" t="s">
        <v>7455</v>
      </c>
    </row>
    <row r="15" spans="1:5" x14ac:dyDescent="0.25">
      <c r="A15" t="s">
        <v>7500</v>
      </c>
      <c r="B15" t="s">
        <v>5769</v>
      </c>
      <c r="C15" t="s">
        <v>7443</v>
      </c>
      <c r="D15" t="s">
        <v>7501</v>
      </c>
    </row>
    <row r="16" spans="1:5" x14ac:dyDescent="0.25">
      <c r="A16" t="s">
        <v>7445</v>
      </c>
      <c r="B16" t="s">
        <v>4016</v>
      </c>
      <c r="C16" t="s">
        <v>3467</v>
      </c>
      <c r="D16" t="s">
        <v>7463</v>
      </c>
    </row>
    <row r="17" spans="1:4" x14ac:dyDescent="0.25">
      <c r="A17" t="s">
        <v>7459</v>
      </c>
      <c r="B17" t="s">
        <v>5769</v>
      </c>
      <c r="C17" t="s">
        <v>3467</v>
      </c>
      <c r="D17" t="s">
        <v>7523</v>
      </c>
    </row>
    <row r="18" spans="1:4" x14ac:dyDescent="0.25">
      <c r="A18" t="s">
        <v>7441</v>
      </c>
      <c r="B18" t="s">
        <v>5333</v>
      </c>
      <c r="C18" t="s">
        <v>7443</v>
      </c>
      <c r="D18" t="s">
        <v>7442</v>
      </c>
    </row>
    <row r="19" spans="1:4" x14ac:dyDescent="0.25">
      <c r="A19" t="s">
        <v>7434</v>
      </c>
      <c r="B19" t="s">
        <v>7431</v>
      </c>
      <c r="C19" t="s">
        <v>7437</v>
      </c>
      <c r="D19" t="s">
        <v>7465</v>
      </c>
    </row>
    <row r="20" spans="1:4" x14ac:dyDescent="0.25">
      <c r="A20" t="s">
        <v>7432</v>
      </c>
      <c r="B20" t="s">
        <v>7431</v>
      </c>
      <c r="C20" t="s">
        <v>7433</v>
      </c>
      <c r="D20" t="s">
        <v>7467</v>
      </c>
    </row>
    <row r="21" spans="1:4" x14ac:dyDescent="0.25">
      <c r="A21" t="s">
        <v>7448</v>
      </c>
      <c r="B21" t="s">
        <v>3698</v>
      </c>
      <c r="C21" t="s">
        <v>3467</v>
      </c>
      <c r="D21" t="s">
        <v>7462</v>
      </c>
    </row>
    <row r="22" spans="1:4" x14ac:dyDescent="0.25">
      <c r="A22" t="s">
        <v>5496</v>
      </c>
      <c r="B22" t="s">
        <v>5769</v>
      </c>
      <c r="C22" t="s">
        <v>7429</v>
      </c>
      <c r="D22" t="s">
        <v>7454</v>
      </c>
    </row>
    <row r="23" spans="1:4" x14ac:dyDescent="0.25">
      <c r="A23" t="s">
        <v>5309</v>
      </c>
      <c r="B23" t="s">
        <v>5333</v>
      </c>
      <c r="C23" t="s">
        <v>3467</v>
      </c>
      <c r="D23" t="s">
        <v>7450</v>
      </c>
    </row>
    <row r="24" spans="1:4" x14ac:dyDescent="0.25">
      <c r="A24" t="s">
        <v>7498</v>
      </c>
      <c r="B24" t="s">
        <v>5769</v>
      </c>
      <c r="C24" t="s">
        <v>3467</v>
      </c>
      <c r="D24" t="s">
        <v>7509</v>
      </c>
    </row>
    <row r="25" spans="1:4" x14ac:dyDescent="0.25">
      <c r="A25" t="s">
        <v>5323</v>
      </c>
      <c r="B25" t="s">
        <v>7460</v>
      </c>
      <c r="C25" t="s">
        <v>7433</v>
      </c>
      <c r="D25" t="s">
        <v>7440</v>
      </c>
    </row>
    <row r="26" spans="1:4" x14ac:dyDescent="0.25">
      <c r="A26" t="s">
        <v>7439</v>
      </c>
      <c r="B26" t="s">
        <v>4016</v>
      </c>
      <c r="C26" t="s">
        <v>7438</v>
      </c>
      <c r="D26" t="s">
        <v>7464</v>
      </c>
    </row>
    <row r="27" spans="1:4" x14ac:dyDescent="0.25">
      <c r="A27" t="s">
        <v>7447</v>
      </c>
      <c r="B27" t="s">
        <v>5333</v>
      </c>
      <c r="C27" t="s">
        <v>7446</v>
      </c>
      <c r="D27" t="s">
        <v>7524</v>
      </c>
    </row>
    <row r="28" spans="1:4" x14ac:dyDescent="0.25">
      <c r="A28" t="s">
        <v>7427</v>
      </c>
      <c r="B28" t="s">
        <v>3698</v>
      </c>
      <c r="C28" t="s">
        <v>3467</v>
      </c>
      <c r="D28" t="s">
        <v>7428</v>
      </c>
    </row>
    <row r="29" spans="1:4" x14ac:dyDescent="0.25">
      <c r="A29" t="s">
        <v>7477</v>
      </c>
      <c r="B29" t="s">
        <v>7460</v>
      </c>
      <c r="C29" t="s">
        <v>7437</v>
      </c>
      <c r="D29" t="s">
        <v>7478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90.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4040</v>
      </c>
      <c r="B2" t="s">
        <v>4028</v>
      </c>
      <c r="C2" t="s">
        <v>501</v>
      </c>
      <c r="D2" t="s">
        <v>4041</v>
      </c>
      <c r="E2" t="s">
        <v>4042</v>
      </c>
      <c r="F2" t="s">
        <v>4043</v>
      </c>
      <c r="G2" t="s">
        <v>4044</v>
      </c>
      <c r="H2" t="s">
        <v>4045</v>
      </c>
      <c r="I2" t="s">
        <v>4034</v>
      </c>
      <c r="J2" t="s">
        <v>187</v>
      </c>
      <c r="K2" t="s">
        <v>4046</v>
      </c>
      <c r="L2" t="s">
        <v>4047</v>
      </c>
      <c r="M2" t="s">
        <v>4040</v>
      </c>
    </row>
    <row r="3" spans="1:13" x14ac:dyDescent="0.25">
      <c r="A3" t="s">
        <v>4037</v>
      </c>
      <c r="B3" t="s">
        <v>4016</v>
      </c>
      <c r="C3" t="s">
        <v>90</v>
      </c>
      <c r="D3" t="s">
        <v>7529</v>
      </c>
      <c r="E3" t="s">
        <v>7530</v>
      </c>
      <c r="F3" t="s">
        <v>7531</v>
      </c>
      <c r="G3" t="s">
        <v>7532</v>
      </c>
      <c r="H3" t="s">
        <v>4038</v>
      </c>
      <c r="I3" t="s">
        <v>3467</v>
      </c>
      <c r="J3" t="s">
        <v>187</v>
      </c>
      <c r="K3" t="s">
        <v>4039</v>
      </c>
      <c r="L3" t="s">
        <v>4019</v>
      </c>
      <c r="M3" t="s">
        <v>4037</v>
      </c>
    </row>
    <row r="4" spans="1:13" x14ac:dyDescent="0.25">
      <c r="A4" t="s">
        <v>4027</v>
      </c>
      <c r="B4" t="s">
        <v>4028</v>
      </c>
      <c r="C4" t="s">
        <v>1650</v>
      </c>
      <c r="D4" t="s">
        <v>4029</v>
      </c>
      <c r="E4" t="s">
        <v>4030</v>
      </c>
      <c r="F4" t="s">
        <v>4031</v>
      </c>
      <c r="G4" t="s">
        <v>4032</v>
      </c>
      <c r="H4" t="s">
        <v>4033</v>
      </c>
      <c r="I4" t="s">
        <v>4034</v>
      </c>
      <c r="J4" t="s">
        <v>4035</v>
      </c>
      <c r="K4" t="s">
        <v>4036</v>
      </c>
      <c r="L4" t="s">
        <v>4019</v>
      </c>
      <c r="M4" t="s">
        <v>4027</v>
      </c>
    </row>
    <row r="5" spans="1:13" x14ac:dyDescent="0.25">
      <c r="A5" t="s">
        <v>4020</v>
      </c>
      <c r="B5" t="s">
        <v>4016</v>
      </c>
      <c r="C5" t="s">
        <v>1650</v>
      </c>
      <c r="D5" t="s">
        <v>4021</v>
      </c>
      <c r="E5" t="s">
        <v>4022</v>
      </c>
      <c r="F5" t="s">
        <v>4023</v>
      </c>
      <c r="G5" t="s">
        <v>4024</v>
      </c>
      <c r="H5" t="s">
        <v>4025</v>
      </c>
      <c r="I5" t="s">
        <v>3467</v>
      </c>
      <c r="J5" t="s">
        <v>187</v>
      </c>
      <c r="K5" t="s">
        <v>4026</v>
      </c>
      <c r="L5" t="s">
        <v>4019</v>
      </c>
      <c r="M5" t="s">
        <v>4020</v>
      </c>
    </row>
    <row r="6" spans="1:13" x14ac:dyDescent="0.25">
      <c r="A6" t="s">
        <v>4015</v>
      </c>
      <c r="B6" t="s">
        <v>4016</v>
      </c>
      <c r="C6" t="s">
        <v>90</v>
      </c>
      <c r="D6" t="s">
        <v>7533</v>
      </c>
      <c r="E6" t="s">
        <v>7534</v>
      </c>
      <c r="F6" t="s">
        <v>7535</v>
      </c>
      <c r="G6" t="s">
        <v>7536</v>
      </c>
      <c r="H6" t="s">
        <v>4017</v>
      </c>
      <c r="I6" t="s">
        <v>3467</v>
      </c>
      <c r="J6" t="s">
        <v>187</v>
      </c>
      <c r="K6" t="s">
        <v>4018</v>
      </c>
      <c r="L6" t="s">
        <v>4019</v>
      </c>
      <c r="M6" t="s">
        <v>4015</v>
      </c>
    </row>
    <row r="7" spans="1:13" x14ac:dyDescent="0.25">
      <c r="A7" t="s">
        <v>5198</v>
      </c>
      <c r="B7" t="s">
        <v>4028</v>
      </c>
      <c r="C7" t="s">
        <v>1650</v>
      </c>
      <c r="D7" t="s">
        <v>7701</v>
      </c>
      <c r="E7" t="s">
        <v>7702</v>
      </c>
      <c r="F7" t="s">
        <v>7703</v>
      </c>
      <c r="G7" t="s">
        <v>7704</v>
      </c>
      <c r="H7" t="s">
        <v>7682</v>
      </c>
      <c r="I7" t="s">
        <v>7683</v>
      </c>
      <c r="J7" t="s">
        <v>187</v>
      </c>
      <c r="K7" t="s">
        <v>7705</v>
      </c>
      <c r="L7" t="s">
        <v>4019</v>
      </c>
      <c r="M7" t="s">
        <v>5198</v>
      </c>
    </row>
    <row r="8" spans="1:13" x14ac:dyDescent="0.25">
      <c r="A8" t="s">
        <v>5327</v>
      </c>
      <c r="B8" t="s">
        <v>4028</v>
      </c>
      <c r="C8" t="s">
        <v>90</v>
      </c>
      <c r="D8" t="s">
        <v>7706</v>
      </c>
      <c r="E8" t="s">
        <v>7707</v>
      </c>
      <c r="F8" t="s">
        <v>7708</v>
      </c>
      <c r="G8" t="s">
        <v>7709</v>
      </c>
      <c r="H8" t="s">
        <v>7680</v>
      </c>
      <c r="I8" t="s">
        <v>7679</v>
      </c>
      <c r="J8" t="s">
        <v>187</v>
      </c>
      <c r="K8" t="s">
        <v>7710</v>
      </c>
      <c r="L8" t="s">
        <v>4019</v>
      </c>
      <c r="M8" t="s">
        <v>5327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7547</v>
      </c>
    </row>
    <row r="2" spans="1:6" x14ac:dyDescent="0.25">
      <c r="A2" t="s">
        <v>3537</v>
      </c>
      <c r="B2" t="s">
        <v>3518</v>
      </c>
      <c r="C2" t="s">
        <v>7548</v>
      </c>
      <c r="D2" t="s">
        <v>7583</v>
      </c>
      <c r="E2" t="s">
        <v>3537</v>
      </c>
      <c r="F2" t="s">
        <v>7549</v>
      </c>
    </row>
    <row r="3" spans="1:6" x14ac:dyDescent="0.25">
      <c r="A3" t="s">
        <v>3695</v>
      </c>
      <c r="B3" t="s">
        <v>3530</v>
      </c>
      <c r="C3" t="s">
        <v>3696</v>
      </c>
      <c r="D3" t="s">
        <v>7584</v>
      </c>
      <c r="E3" t="s">
        <v>3697</v>
      </c>
      <c r="F3" t="s">
        <v>7563</v>
      </c>
    </row>
    <row r="4" spans="1:6" x14ac:dyDescent="0.25">
      <c r="A4" t="s">
        <v>7551</v>
      </c>
      <c r="B4" t="s">
        <v>41</v>
      </c>
      <c r="C4" t="s">
        <v>4193</v>
      </c>
      <c r="D4" t="s">
        <v>4194</v>
      </c>
      <c r="E4" t="s">
        <v>7585</v>
      </c>
      <c r="F4" t="s">
        <v>7550</v>
      </c>
    </row>
    <row r="5" spans="1:6" x14ac:dyDescent="0.25">
      <c r="A5" t="s">
        <v>7552</v>
      </c>
      <c r="B5" t="s">
        <v>41</v>
      </c>
      <c r="C5" t="s">
        <v>4254</v>
      </c>
      <c r="D5" t="s">
        <v>4255</v>
      </c>
      <c r="E5" t="s">
        <v>7553</v>
      </c>
      <c r="F5" t="s">
        <v>7550</v>
      </c>
    </row>
    <row r="6" spans="1:6" x14ac:dyDescent="0.25">
      <c r="A6" t="s">
        <v>7554</v>
      </c>
      <c r="B6" t="s">
        <v>3530</v>
      </c>
      <c r="C6" t="s">
        <v>7555</v>
      </c>
      <c r="D6" t="s">
        <v>7586</v>
      </c>
      <c r="E6" t="s">
        <v>7556</v>
      </c>
      <c r="F6" t="s">
        <v>7550</v>
      </c>
    </row>
    <row r="7" spans="1:6" x14ac:dyDescent="0.25">
      <c r="A7" t="s">
        <v>7557</v>
      </c>
      <c r="B7" t="s">
        <v>41</v>
      </c>
      <c r="C7" t="s">
        <v>7559</v>
      </c>
      <c r="D7" t="s">
        <v>7587</v>
      </c>
      <c r="E7" t="s">
        <v>7558</v>
      </c>
      <c r="F7" t="s">
        <v>7550</v>
      </c>
    </row>
    <row r="8" spans="1:6" x14ac:dyDescent="0.25">
      <c r="A8" t="s">
        <v>7560</v>
      </c>
      <c r="B8" t="s">
        <v>3530</v>
      </c>
      <c r="C8" t="s">
        <v>7562</v>
      </c>
      <c r="D8" t="s">
        <v>7588</v>
      </c>
      <c r="E8" t="s">
        <v>7561</v>
      </c>
      <c r="F8" t="s">
        <v>7550</v>
      </c>
    </row>
    <row r="9" spans="1:6" x14ac:dyDescent="0.25">
      <c r="A9" t="s">
        <v>7565</v>
      </c>
      <c r="B9" t="s">
        <v>3518</v>
      </c>
      <c r="C9" t="s">
        <v>7566</v>
      </c>
      <c r="D9" t="s">
        <v>7589</v>
      </c>
      <c r="E9" t="s">
        <v>7570</v>
      </c>
      <c r="F9" t="s">
        <v>7564</v>
      </c>
    </row>
    <row r="10" spans="1:6" x14ac:dyDescent="0.25">
      <c r="A10" t="s">
        <v>7567</v>
      </c>
      <c r="B10" t="s">
        <v>3518</v>
      </c>
      <c r="C10" t="s">
        <v>7568</v>
      </c>
      <c r="D10" t="s">
        <v>7590</v>
      </c>
      <c r="E10" t="s">
        <v>7569</v>
      </c>
      <c r="F10" t="s">
        <v>7564</v>
      </c>
    </row>
    <row r="11" spans="1:6" x14ac:dyDescent="0.25">
      <c r="A11" t="s">
        <v>7571</v>
      </c>
      <c r="B11" t="s">
        <v>3518</v>
      </c>
      <c r="C11" t="s">
        <v>7573</v>
      </c>
      <c r="D11" t="s">
        <v>7591</v>
      </c>
      <c r="E11" t="s">
        <v>7572</v>
      </c>
      <c r="F11" t="s">
        <v>7564</v>
      </c>
    </row>
    <row r="12" spans="1:6" x14ac:dyDescent="0.25">
      <c r="A12" t="s">
        <v>7574</v>
      </c>
      <c r="B12" t="s">
        <v>3518</v>
      </c>
      <c r="C12" t="s">
        <v>7575</v>
      </c>
      <c r="D12" t="s">
        <v>7592</v>
      </c>
      <c r="E12" t="s">
        <v>7576</v>
      </c>
      <c r="F12" t="s">
        <v>7564</v>
      </c>
    </row>
    <row r="13" spans="1:6" x14ac:dyDescent="0.25">
      <c r="A13" t="s">
        <v>7577</v>
      </c>
      <c r="B13" t="s">
        <v>3518</v>
      </c>
      <c r="C13" t="s">
        <v>7578</v>
      </c>
      <c r="D13" t="s">
        <v>7593</v>
      </c>
      <c r="E13" t="s">
        <v>7579</v>
      </c>
      <c r="F13" t="s">
        <v>7580</v>
      </c>
    </row>
    <row r="14" spans="1:6" x14ac:dyDescent="0.25">
      <c r="A14" t="s">
        <v>7581</v>
      </c>
      <c r="B14" t="s">
        <v>3530</v>
      </c>
      <c r="C14" t="s">
        <v>7582</v>
      </c>
      <c r="D14" t="s">
        <v>7594</v>
      </c>
      <c r="E14" t="s">
        <v>7595</v>
      </c>
      <c r="F14" t="s">
        <v>7564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4048</v>
      </c>
      <c r="B1" t="s">
        <v>1</v>
      </c>
      <c r="C1" t="s">
        <v>4049</v>
      </c>
      <c r="D1" t="s">
        <v>6</v>
      </c>
      <c r="E1" t="s">
        <v>3461</v>
      </c>
      <c r="F1" t="s">
        <v>3512</v>
      </c>
      <c r="G1" t="s">
        <v>171</v>
      </c>
      <c r="H1" t="s">
        <v>4050</v>
      </c>
      <c r="J1" t="s">
        <v>4051</v>
      </c>
      <c r="K1" t="s">
        <v>1</v>
      </c>
      <c r="M1" t="s">
        <v>4052</v>
      </c>
      <c r="N1" t="s">
        <v>1</v>
      </c>
    </row>
    <row r="2" spans="1:14" x14ac:dyDescent="0.25">
      <c r="A2" t="s">
        <v>4053</v>
      </c>
      <c r="B2" t="s">
        <v>2155</v>
      </c>
      <c r="C2" t="s">
        <v>4054</v>
      </c>
      <c r="D2" t="s">
        <v>41</v>
      </c>
      <c r="E2" t="s">
        <v>4055</v>
      </c>
      <c r="F2" t="s">
        <v>4056</v>
      </c>
      <c r="J2" t="s">
        <v>4057</v>
      </c>
      <c r="K2" t="s">
        <v>1796</v>
      </c>
      <c r="M2" t="s">
        <v>4058</v>
      </c>
      <c r="N2" t="s">
        <v>2155</v>
      </c>
    </row>
    <row r="3" spans="1:14" x14ac:dyDescent="0.25">
      <c r="A3" t="s">
        <v>4059</v>
      </c>
      <c r="B3" t="s">
        <v>1285</v>
      </c>
      <c r="C3" t="s">
        <v>4054</v>
      </c>
      <c r="D3" t="s">
        <v>3530</v>
      </c>
      <c r="E3" t="s">
        <v>4060</v>
      </c>
      <c r="F3" t="s">
        <v>4061</v>
      </c>
      <c r="G3" t="s">
        <v>4062</v>
      </c>
      <c r="J3" t="s">
        <v>4063</v>
      </c>
      <c r="K3" t="s">
        <v>1796</v>
      </c>
      <c r="M3" t="s">
        <v>4064</v>
      </c>
      <c r="N3" t="s">
        <v>2155</v>
      </c>
    </row>
    <row r="4" spans="1:14" x14ac:dyDescent="0.25">
      <c r="A4" t="s">
        <v>4065</v>
      </c>
      <c r="B4" t="s">
        <v>2155</v>
      </c>
      <c r="C4" t="s">
        <v>4054</v>
      </c>
      <c r="D4" t="s">
        <v>3530</v>
      </c>
      <c r="E4" t="s">
        <v>4066</v>
      </c>
      <c r="F4" t="s">
        <v>4067</v>
      </c>
      <c r="J4" t="s">
        <v>4068</v>
      </c>
      <c r="K4" t="s">
        <v>1796</v>
      </c>
      <c r="M4" t="s">
        <v>4069</v>
      </c>
      <c r="N4" t="s">
        <v>2155</v>
      </c>
    </row>
    <row r="5" spans="1:14" x14ac:dyDescent="0.25">
      <c r="A5" t="s">
        <v>4070</v>
      </c>
      <c r="B5" t="s">
        <v>2155</v>
      </c>
      <c r="C5" t="s">
        <v>4071</v>
      </c>
      <c r="D5" t="s">
        <v>41</v>
      </c>
      <c r="E5" t="s">
        <v>4072</v>
      </c>
      <c r="F5" t="s">
        <v>4073</v>
      </c>
      <c r="G5" t="s">
        <v>4074</v>
      </c>
      <c r="H5" t="s">
        <v>7525</v>
      </c>
      <c r="J5" t="s">
        <v>4075</v>
      </c>
      <c r="K5" t="s">
        <v>1796</v>
      </c>
      <c r="M5" t="s">
        <v>4076</v>
      </c>
      <c r="N5" t="s">
        <v>2155</v>
      </c>
    </row>
    <row r="6" spans="1:14" x14ac:dyDescent="0.25">
      <c r="A6" t="s">
        <v>4077</v>
      </c>
      <c r="B6" t="s">
        <v>2155</v>
      </c>
      <c r="C6" t="s">
        <v>4071</v>
      </c>
      <c r="D6" t="s">
        <v>3530</v>
      </c>
      <c r="E6" t="s">
        <v>7681</v>
      </c>
      <c r="F6" t="s">
        <v>4078</v>
      </c>
      <c r="J6" t="s">
        <v>4079</v>
      </c>
      <c r="K6" t="s">
        <v>1796</v>
      </c>
      <c r="M6" t="s">
        <v>4080</v>
      </c>
      <c r="N6" t="s">
        <v>2155</v>
      </c>
    </row>
    <row r="7" spans="1:14" x14ac:dyDescent="0.25">
      <c r="A7" t="s">
        <v>4081</v>
      </c>
      <c r="B7" t="s">
        <v>2155</v>
      </c>
      <c r="C7" t="s">
        <v>4082</v>
      </c>
      <c r="D7" t="s">
        <v>41</v>
      </c>
      <c r="E7" t="s">
        <v>4083</v>
      </c>
      <c r="F7" t="s">
        <v>4084</v>
      </c>
      <c r="G7" t="s">
        <v>4085</v>
      </c>
      <c r="J7" t="s">
        <v>4086</v>
      </c>
      <c r="K7" t="s">
        <v>1796</v>
      </c>
      <c r="M7" t="s">
        <v>4087</v>
      </c>
      <c r="N7" t="s">
        <v>2155</v>
      </c>
    </row>
    <row r="8" spans="1:14" x14ac:dyDescent="0.25">
      <c r="A8" t="s">
        <v>4088</v>
      </c>
      <c r="B8" t="s">
        <v>1285</v>
      </c>
      <c r="C8" t="s">
        <v>4054</v>
      </c>
      <c r="D8" t="s">
        <v>3530</v>
      </c>
      <c r="E8" t="s">
        <v>4089</v>
      </c>
      <c r="F8" t="s">
        <v>4090</v>
      </c>
      <c r="J8" t="s">
        <v>4091</v>
      </c>
      <c r="K8" t="s">
        <v>1796</v>
      </c>
      <c r="M8" t="s">
        <v>4092</v>
      </c>
      <c r="N8" t="s">
        <v>2155</v>
      </c>
    </row>
    <row r="9" spans="1:14" x14ac:dyDescent="0.25">
      <c r="A9" t="s">
        <v>4093</v>
      </c>
      <c r="B9" t="s">
        <v>2155</v>
      </c>
      <c r="C9" t="s">
        <v>4071</v>
      </c>
      <c r="D9" t="s">
        <v>3518</v>
      </c>
      <c r="E9" t="s">
        <v>4094</v>
      </c>
      <c r="F9" t="s">
        <v>4095</v>
      </c>
      <c r="J9" t="s">
        <v>4096</v>
      </c>
      <c r="K9" t="s">
        <v>1796</v>
      </c>
      <c r="M9" t="s">
        <v>4097</v>
      </c>
      <c r="N9" t="s">
        <v>2155</v>
      </c>
    </row>
    <row r="10" spans="1:14" x14ac:dyDescent="0.25">
      <c r="J10" t="s">
        <v>4098</v>
      </c>
      <c r="K10" t="s">
        <v>1796</v>
      </c>
      <c r="M10" t="s">
        <v>4099</v>
      </c>
      <c r="N10" t="s">
        <v>2155</v>
      </c>
    </row>
    <row r="11" spans="1:14" x14ac:dyDescent="0.25">
      <c r="J11" t="s">
        <v>4100</v>
      </c>
      <c r="K11" t="s">
        <v>1796</v>
      </c>
      <c r="M11" t="s">
        <v>4101</v>
      </c>
      <c r="N11" t="s">
        <v>2155</v>
      </c>
    </row>
    <row r="12" spans="1:14" x14ac:dyDescent="0.25">
      <c r="J12" t="s">
        <v>4102</v>
      </c>
      <c r="K12" t="s">
        <v>1796</v>
      </c>
      <c r="M12" t="s">
        <v>4103</v>
      </c>
      <c r="N12" t="s">
        <v>2155</v>
      </c>
    </row>
    <row r="13" spans="1:14" x14ac:dyDescent="0.25">
      <c r="J13" t="s">
        <v>4104</v>
      </c>
      <c r="K13" t="s">
        <v>1796</v>
      </c>
      <c r="M13" t="s">
        <v>4105</v>
      </c>
      <c r="N13" t="s">
        <v>2155</v>
      </c>
    </row>
    <row r="14" spans="1:14" x14ac:dyDescent="0.25">
      <c r="J14" t="s">
        <v>4106</v>
      </c>
      <c r="K14" t="s">
        <v>1796</v>
      </c>
      <c r="M14" t="s">
        <v>4107</v>
      </c>
      <c r="N14" t="s">
        <v>2155</v>
      </c>
    </row>
    <row r="15" spans="1:14" x14ac:dyDescent="0.25">
      <c r="J15" t="s">
        <v>4108</v>
      </c>
      <c r="K15" t="s">
        <v>1796</v>
      </c>
      <c r="M15" t="s">
        <v>4109</v>
      </c>
      <c r="N15" t="s">
        <v>2155</v>
      </c>
    </row>
    <row r="16" spans="1:14" x14ac:dyDescent="0.25">
      <c r="J16" t="s">
        <v>4110</v>
      </c>
      <c r="K16" t="s">
        <v>1796</v>
      </c>
      <c r="M16" t="s">
        <v>4111</v>
      </c>
      <c r="N16" t="s">
        <v>2155</v>
      </c>
    </row>
    <row r="17" spans="10:14" x14ac:dyDescent="0.25">
      <c r="J17" t="s">
        <v>4112</v>
      </c>
      <c r="K17" t="s">
        <v>1796</v>
      </c>
      <c r="M17" t="s">
        <v>4113</v>
      </c>
      <c r="N17" t="s">
        <v>2155</v>
      </c>
    </row>
    <row r="18" spans="10:14" x14ac:dyDescent="0.25">
      <c r="J18" t="s">
        <v>4114</v>
      </c>
      <c r="K18" t="s">
        <v>1796</v>
      </c>
      <c r="M18" t="s">
        <v>4115</v>
      </c>
      <c r="N18" t="s">
        <v>2155</v>
      </c>
    </row>
    <row r="19" spans="10:14" x14ac:dyDescent="0.25">
      <c r="J19" t="s">
        <v>4116</v>
      </c>
      <c r="K19" t="s">
        <v>1796</v>
      </c>
      <c r="M19" t="s">
        <v>4117</v>
      </c>
      <c r="N19" t="s">
        <v>2155</v>
      </c>
    </row>
    <row r="20" spans="10:14" x14ac:dyDescent="0.25">
      <c r="J20" t="s">
        <v>4118</v>
      </c>
      <c r="K20" t="s">
        <v>1796</v>
      </c>
      <c r="M20" t="s">
        <v>4119</v>
      </c>
      <c r="N20" t="s">
        <v>2155</v>
      </c>
    </row>
    <row r="21" spans="10:14" x14ac:dyDescent="0.25">
      <c r="J21" t="s">
        <v>4120</v>
      </c>
      <c r="K21" t="s">
        <v>1796</v>
      </c>
      <c r="M21" t="s">
        <v>4121</v>
      </c>
      <c r="N21" t="s">
        <v>2155</v>
      </c>
    </row>
    <row r="22" spans="10:14" x14ac:dyDescent="0.25">
      <c r="J22" t="s">
        <v>4122</v>
      </c>
      <c r="K22" t="s">
        <v>1796</v>
      </c>
      <c r="M22" t="s">
        <v>4123</v>
      </c>
      <c r="N22" t="s">
        <v>2155</v>
      </c>
    </row>
    <row r="23" spans="10:14" x14ac:dyDescent="0.25">
      <c r="J23" t="s">
        <v>4124</v>
      </c>
      <c r="K23" t="s">
        <v>1796</v>
      </c>
      <c r="M23" t="s">
        <v>4125</v>
      </c>
      <c r="N23" t="s">
        <v>2155</v>
      </c>
    </row>
    <row r="24" spans="10:14" x14ac:dyDescent="0.25">
      <c r="J24" t="s">
        <v>4126</v>
      </c>
      <c r="K24" t="s">
        <v>1796</v>
      </c>
      <c r="M24" t="s">
        <v>4127</v>
      </c>
      <c r="N24" t="s">
        <v>2155</v>
      </c>
    </row>
    <row r="25" spans="10:14" x14ac:dyDescent="0.25">
      <c r="J25" t="s">
        <v>4128</v>
      </c>
      <c r="K25" t="s">
        <v>1796</v>
      </c>
      <c r="M25" t="s">
        <v>4129</v>
      </c>
      <c r="N25" t="s">
        <v>2155</v>
      </c>
    </row>
    <row r="26" spans="10:14" x14ac:dyDescent="0.25">
      <c r="J26" t="s">
        <v>4130</v>
      </c>
      <c r="K26" t="s">
        <v>1796</v>
      </c>
      <c r="M26" t="s">
        <v>4131</v>
      </c>
      <c r="N26" t="s">
        <v>2155</v>
      </c>
    </row>
    <row r="27" spans="10:14" x14ac:dyDescent="0.25">
      <c r="J27" t="s">
        <v>4132</v>
      </c>
      <c r="K27" t="s">
        <v>2867</v>
      </c>
      <c r="M27" t="s">
        <v>4133</v>
      </c>
      <c r="N27" t="s">
        <v>2155</v>
      </c>
    </row>
    <row r="28" spans="10:14" x14ac:dyDescent="0.25">
      <c r="J28" t="s">
        <v>4134</v>
      </c>
      <c r="K28" t="s">
        <v>2867</v>
      </c>
      <c r="M28" t="s">
        <v>4135</v>
      </c>
      <c r="N28" t="s">
        <v>2155</v>
      </c>
    </row>
    <row r="29" spans="10:14" x14ac:dyDescent="0.25">
      <c r="J29" t="s">
        <v>4136</v>
      </c>
      <c r="K29" t="s">
        <v>2867</v>
      </c>
      <c r="M29" t="s">
        <v>4137</v>
      </c>
      <c r="N29" t="s">
        <v>2155</v>
      </c>
    </row>
    <row r="30" spans="10:14" x14ac:dyDescent="0.25">
      <c r="J30" t="s">
        <v>4138</v>
      </c>
      <c r="K30" t="s">
        <v>2867</v>
      </c>
      <c r="M30" t="s">
        <v>4139</v>
      </c>
      <c r="N30" t="s">
        <v>2155</v>
      </c>
    </row>
    <row r="31" spans="10:14" x14ac:dyDescent="0.25">
      <c r="J31" t="s">
        <v>4140</v>
      </c>
      <c r="K31" t="s">
        <v>2867</v>
      </c>
      <c r="M31" t="s">
        <v>4141</v>
      </c>
      <c r="N31" t="s">
        <v>2155</v>
      </c>
    </row>
    <row r="32" spans="10:14" x14ac:dyDescent="0.25">
      <c r="J32" t="s">
        <v>4142</v>
      </c>
      <c r="K32" t="s">
        <v>2867</v>
      </c>
      <c r="M32" t="s">
        <v>4143</v>
      </c>
      <c r="N32" t="s">
        <v>2155</v>
      </c>
    </row>
    <row r="33" spans="10:14" x14ac:dyDescent="0.25">
      <c r="J33" t="s">
        <v>4144</v>
      </c>
      <c r="K33" t="s">
        <v>2867</v>
      </c>
      <c r="M33" t="s">
        <v>4145</v>
      </c>
      <c r="N33" t="s">
        <v>2155</v>
      </c>
    </row>
    <row r="34" spans="10:14" x14ac:dyDescent="0.25">
      <c r="J34" t="s">
        <v>4146</v>
      </c>
      <c r="K34" t="s">
        <v>2867</v>
      </c>
      <c r="M34" t="s">
        <v>4147</v>
      </c>
      <c r="N34" t="s">
        <v>2155</v>
      </c>
    </row>
    <row r="35" spans="10:14" x14ac:dyDescent="0.25">
      <c r="J35" t="s">
        <v>4148</v>
      </c>
      <c r="K35" t="s">
        <v>2867</v>
      </c>
      <c r="M35" t="s">
        <v>4149</v>
      </c>
      <c r="N35" t="s">
        <v>2155</v>
      </c>
    </row>
    <row r="36" spans="10:14" x14ac:dyDescent="0.25">
      <c r="J36" t="s">
        <v>4114</v>
      </c>
      <c r="K36" t="s">
        <v>2867</v>
      </c>
      <c r="M36" t="s">
        <v>4150</v>
      </c>
      <c r="N36" t="s">
        <v>2155</v>
      </c>
    </row>
    <row r="37" spans="10:14" x14ac:dyDescent="0.25">
      <c r="J37" t="s">
        <v>4151</v>
      </c>
      <c r="K37" t="s">
        <v>2867</v>
      </c>
      <c r="M37" t="s">
        <v>4152</v>
      </c>
      <c r="N37" t="s">
        <v>2155</v>
      </c>
    </row>
    <row r="38" spans="10:14" x14ac:dyDescent="0.25">
      <c r="M38" t="s">
        <v>4153</v>
      </c>
      <c r="N38" t="s">
        <v>2155</v>
      </c>
    </row>
    <row r="39" spans="10:14" x14ac:dyDescent="0.25">
      <c r="M39" t="s">
        <v>4154</v>
      </c>
      <c r="N39" t="s">
        <v>2155</v>
      </c>
    </row>
    <row r="40" spans="10:14" x14ac:dyDescent="0.25">
      <c r="M40" t="s">
        <v>4155</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4049</v>
      </c>
      <c r="C1" t="s">
        <v>3461</v>
      </c>
      <c r="D1" t="s">
        <v>3512</v>
      </c>
      <c r="E1" t="s">
        <v>4156</v>
      </c>
      <c r="F1" t="s">
        <v>4157</v>
      </c>
      <c r="G1" t="s">
        <v>4050</v>
      </c>
    </row>
    <row r="2" spans="1:7" x14ac:dyDescent="0.25">
      <c r="A2" t="s">
        <v>4170</v>
      </c>
      <c r="B2" t="s">
        <v>4071</v>
      </c>
      <c r="C2" t="s">
        <v>7711</v>
      </c>
      <c r="D2" t="s">
        <v>4171</v>
      </c>
      <c r="E2" t="s">
        <v>7712</v>
      </c>
      <c r="F2" t="s">
        <v>4172</v>
      </c>
    </row>
    <row r="3" spans="1:7" x14ac:dyDescent="0.25">
      <c r="A3" t="s">
        <v>4062</v>
      </c>
      <c r="B3" t="s">
        <v>4054</v>
      </c>
      <c r="C3" t="s">
        <v>4197</v>
      </c>
      <c r="D3" t="s">
        <v>4198</v>
      </c>
      <c r="E3" t="s">
        <v>4199</v>
      </c>
      <c r="F3" t="s">
        <v>4200</v>
      </c>
    </row>
    <row r="4" spans="1:7" x14ac:dyDescent="0.25">
      <c r="A4" t="s">
        <v>4181</v>
      </c>
      <c r="B4" t="s">
        <v>4054</v>
      </c>
      <c r="C4" t="s">
        <v>4182</v>
      </c>
      <c r="D4" t="s">
        <v>4183</v>
      </c>
      <c r="E4" t="s">
        <v>4184</v>
      </c>
      <c r="F4" t="s">
        <v>4185</v>
      </c>
      <c r="G4" t="s">
        <v>4186</v>
      </c>
    </row>
    <row r="5" spans="1:7" x14ac:dyDescent="0.25">
      <c r="A5" t="s">
        <v>4192</v>
      </c>
      <c r="B5" t="s">
        <v>4071</v>
      </c>
      <c r="C5" t="s">
        <v>4193</v>
      </c>
      <c r="D5" t="s">
        <v>4194</v>
      </c>
      <c r="E5" t="s">
        <v>4195</v>
      </c>
      <c r="F5" t="s">
        <v>4196</v>
      </c>
    </row>
    <row r="6" spans="1:7" x14ac:dyDescent="0.25">
      <c r="A6" t="s">
        <v>4187</v>
      </c>
      <c r="B6" t="s">
        <v>4071</v>
      </c>
      <c r="C6" t="s">
        <v>4188</v>
      </c>
      <c r="D6" t="s">
        <v>4189</v>
      </c>
      <c r="E6" t="s">
        <v>4190</v>
      </c>
      <c r="F6" t="s">
        <v>4191</v>
      </c>
    </row>
    <row r="7" spans="1:7" x14ac:dyDescent="0.25">
      <c r="A7" t="s">
        <v>4176</v>
      </c>
      <c r="B7" t="s">
        <v>4054</v>
      </c>
      <c r="C7" t="s">
        <v>4177</v>
      </c>
      <c r="D7" t="s">
        <v>4178</v>
      </c>
      <c r="E7" t="s">
        <v>4179</v>
      </c>
      <c r="F7" t="s">
        <v>4180</v>
      </c>
    </row>
    <row r="8" spans="1:7" x14ac:dyDescent="0.25">
      <c r="A8" t="s">
        <v>4173</v>
      </c>
      <c r="B8" t="s">
        <v>4071</v>
      </c>
      <c r="C8" t="s">
        <v>3647</v>
      </c>
      <c r="D8" t="s">
        <v>4174</v>
      </c>
      <c r="E8" t="s">
        <v>3650</v>
      </c>
      <c r="F8" t="s">
        <v>4175</v>
      </c>
    </row>
    <row r="9" spans="1:7" x14ac:dyDescent="0.25">
      <c r="A9" t="s">
        <v>4162</v>
      </c>
      <c r="B9" t="s">
        <v>4054</v>
      </c>
      <c r="C9" t="s">
        <v>4163</v>
      </c>
      <c r="D9" t="s">
        <v>4164</v>
      </c>
      <c r="E9" t="s">
        <v>4165</v>
      </c>
      <c r="F9" t="s">
        <v>4166</v>
      </c>
    </row>
    <row r="10" spans="1:7" x14ac:dyDescent="0.25">
      <c r="A10" t="s">
        <v>4158</v>
      </c>
      <c r="B10" t="s">
        <v>4071</v>
      </c>
      <c r="C10" t="s">
        <v>3587</v>
      </c>
      <c r="D10" t="s">
        <v>4159</v>
      </c>
      <c r="E10" t="s">
        <v>4160</v>
      </c>
      <c r="F10" t="s">
        <v>4161</v>
      </c>
    </row>
    <row r="11" spans="1:7" x14ac:dyDescent="0.25">
      <c r="A11" t="s">
        <v>4167</v>
      </c>
      <c r="B11" t="s">
        <v>4082</v>
      </c>
      <c r="C11" t="s">
        <v>4083</v>
      </c>
      <c r="D11" t="s">
        <v>4084</v>
      </c>
      <c r="E11" t="s">
        <v>4168</v>
      </c>
      <c r="F11" t="s">
        <v>4169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4049</v>
      </c>
      <c r="D1" t="s">
        <v>4006</v>
      </c>
      <c r="E1" t="s">
        <v>4007</v>
      </c>
      <c r="F1" t="s">
        <v>4201</v>
      </c>
      <c r="G1" t="s">
        <v>4202</v>
      </c>
      <c r="H1" t="s">
        <v>3513</v>
      </c>
      <c r="I1" t="s">
        <v>171</v>
      </c>
    </row>
    <row r="2" spans="1:9" x14ac:dyDescent="0.25">
      <c r="A2" t="s">
        <v>4203</v>
      </c>
      <c r="B2" t="s">
        <v>41</v>
      </c>
      <c r="C2" t="s">
        <v>4054</v>
      </c>
      <c r="D2" t="s">
        <v>4204</v>
      </c>
      <c r="E2" t="s">
        <v>4205</v>
      </c>
      <c r="F2" t="s">
        <v>4206</v>
      </c>
      <c r="G2" t="s">
        <v>4207</v>
      </c>
      <c r="H2" t="s">
        <v>90</v>
      </c>
      <c r="I2" t="s">
        <v>4208</v>
      </c>
    </row>
    <row r="3" spans="1:9" x14ac:dyDescent="0.25">
      <c r="A3" t="s">
        <v>4209</v>
      </c>
      <c r="B3" t="s">
        <v>41</v>
      </c>
      <c r="C3" t="s">
        <v>4071</v>
      </c>
      <c r="D3" t="s">
        <v>4193</v>
      </c>
      <c r="E3" t="s">
        <v>4194</v>
      </c>
      <c r="F3" t="s">
        <v>4210</v>
      </c>
      <c r="G3" t="s">
        <v>4211</v>
      </c>
      <c r="H3" t="s">
        <v>90</v>
      </c>
      <c r="I3" t="s">
        <v>4212</v>
      </c>
    </row>
    <row r="4" spans="1:9" x14ac:dyDescent="0.25">
      <c r="A4" t="s">
        <v>4213</v>
      </c>
      <c r="B4" t="s">
        <v>41</v>
      </c>
      <c r="C4" t="s">
        <v>4071</v>
      </c>
      <c r="D4" t="s">
        <v>4214</v>
      </c>
      <c r="E4" t="s">
        <v>4215</v>
      </c>
      <c r="F4" t="s">
        <v>4216</v>
      </c>
      <c r="G4" t="s">
        <v>4217</v>
      </c>
      <c r="H4" t="s">
        <v>90</v>
      </c>
      <c r="I4" t="s">
        <v>4218</v>
      </c>
    </row>
    <row r="5" spans="1:9" x14ac:dyDescent="0.25">
      <c r="A5" t="s">
        <v>4219</v>
      </c>
      <c r="B5" t="s">
        <v>41</v>
      </c>
      <c r="C5" t="s">
        <v>4071</v>
      </c>
      <c r="D5" t="s">
        <v>4220</v>
      </c>
      <c r="E5" t="s">
        <v>4221</v>
      </c>
      <c r="F5" t="s">
        <v>4222</v>
      </c>
      <c r="G5" t="s">
        <v>4223</v>
      </c>
      <c r="H5" t="s">
        <v>90</v>
      </c>
      <c r="I5" t="s">
        <v>4224</v>
      </c>
    </row>
    <row r="6" spans="1:9" x14ac:dyDescent="0.25">
      <c r="A6" t="s">
        <v>4225</v>
      </c>
      <c r="B6" t="s">
        <v>3518</v>
      </c>
      <c r="C6" t="s">
        <v>4071</v>
      </c>
      <c r="D6" t="s">
        <v>3647</v>
      </c>
      <c r="E6" t="s">
        <v>4174</v>
      </c>
      <c r="F6" t="s">
        <v>4226</v>
      </c>
      <c r="G6" t="s">
        <v>4227</v>
      </c>
      <c r="H6" t="s">
        <v>90</v>
      </c>
      <c r="I6" t="s">
        <v>4228</v>
      </c>
    </row>
    <row r="7" spans="1:9" x14ac:dyDescent="0.25">
      <c r="A7" t="s">
        <v>4229</v>
      </c>
      <c r="B7" t="s">
        <v>41</v>
      </c>
      <c r="C7" t="s">
        <v>4071</v>
      </c>
      <c r="D7" t="s">
        <v>4230</v>
      </c>
      <c r="E7" t="s">
        <v>4231</v>
      </c>
      <c r="F7" t="s">
        <v>4232</v>
      </c>
      <c r="G7" t="s">
        <v>4233</v>
      </c>
      <c r="H7" t="s">
        <v>90</v>
      </c>
      <c r="I7" t="s">
        <v>4234</v>
      </c>
    </row>
    <row r="8" spans="1:9" x14ac:dyDescent="0.25">
      <c r="A8" t="s">
        <v>4235</v>
      </c>
      <c r="B8" t="s">
        <v>41</v>
      </c>
      <c r="C8" t="s">
        <v>4071</v>
      </c>
      <c r="D8" t="s">
        <v>4236</v>
      </c>
      <c r="E8" t="s">
        <v>4237</v>
      </c>
      <c r="F8" t="s">
        <v>4238</v>
      </c>
      <c r="G8" t="s">
        <v>4239</v>
      </c>
      <c r="H8" t="s">
        <v>90</v>
      </c>
      <c r="I8" t="s">
        <v>4240</v>
      </c>
    </row>
    <row r="9" spans="1:9" x14ac:dyDescent="0.25">
      <c r="A9" t="s">
        <v>4241</v>
      </c>
      <c r="B9" t="s">
        <v>41</v>
      </c>
      <c r="C9" t="s">
        <v>4054</v>
      </c>
      <c r="D9" t="s">
        <v>4242</v>
      </c>
      <c r="E9" t="s">
        <v>4243</v>
      </c>
      <c r="F9" t="s">
        <v>4244</v>
      </c>
      <c r="G9" t="s">
        <v>4245</v>
      </c>
      <c r="H9" t="s">
        <v>90</v>
      </c>
      <c r="I9" t="s">
        <v>4246</v>
      </c>
    </row>
    <row r="10" spans="1:9" x14ac:dyDescent="0.25">
      <c r="A10" t="s">
        <v>4247</v>
      </c>
      <c r="B10" t="s">
        <v>3530</v>
      </c>
      <c r="C10" t="s">
        <v>4071</v>
      </c>
      <c r="D10" t="s">
        <v>4248</v>
      </c>
      <c r="E10" t="s">
        <v>4249</v>
      </c>
      <c r="F10" t="s">
        <v>4250</v>
      </c>
      <c r="G10" t="s">
        <v>4251</v>
      </c>
      <c r="H10" t="s">
        <v>38</v>
      </c>
      <c r="I10" t="s">
        <v>4252</v>
      </c>
    </row>
    <row r="11" spans="1:9" x14ac:dyDescent="0.25">
      <c r="A11" t="s">
        <v>4253</v>
      </c>
      <c r="B11" t="s">
        <v>41</v>
      </c>
      <c r="C11" t="s">
        <v>4071</v>
      </c>
      <c r="D11" t="s">
        <v>4254</v>
      </c>
      <c r="E11" t="s">
        <v>4255</v>
      </c>
      <c r="F11" t="s">
        <v>4256</v>
      </c>
      <c r="G11" t="s">
        <v>4257</v>
      </c>
      <c r="H11" t="s">
        <v>2155</v>
      </c>
      <c r="I11" t="s">
        <v>3467</v>
      </c>
    </row>
    <row r="12" spans="1:9" x14ac:dyDescent="0.25">
      <c r="A12" t="s">
        <v>4258</v>
      </c>
      <c r="B12" t="s">
        <v>3518</v>
      </c>
      <c r="C12" t="s">
        <v>4071</v>
      </c>
      <c r="D12" t="s">
        <v>4259</v>
      </c>
      <c r="E12" t="s">
        <v>4260</v>
      </c>
      <c r="F12" t="s">
        <v>3467</v>
      </c>
      <c r="G12" t="s">
        <v>4261</v>
      </c>
      <c r="H12" t="s">
        <v>2155</v>
      </c>
      <c r="I12" t="s">
        <v>3467</v>
      </c>
    </row>
    <row r="13" spans="1:9" x14ac:dyDescent="0.25">
      <c r="A13" t="s">
        <v>4262</v>
      </c>
      <c r="B13" t="s">
        <v>3518</v>
      </c>
      <c r="C13" t="s">
        <v>4071</v>
      </c>
      <c r="D13" t="s">
        <v>4263</v>
      </c>
      <c r="E13" t="s">
        <v>4264</v>
      </c>
      <c r="F13" t="s">
        <v>4265</v>
      </c>
      <c r="G13" t="s">
        <v>4266</v>
      </c>
      <c r="H13" t="s">
        <v>2155</v>
      </c>
      <c r="I13" t="s">
        <v>3467</v>
      </c>
    </row>
    <row r="14" spans="1:9" x14ac:dyDescent="0.25">
      <c r="A14" t="s">
        <v>4267</v>
      </c>
      <c r="B14" t="s">
        <v>3530</v>
      </c>
      <c r="C14" t="s">
        <v>4071</v>
      </c>
      <c r="D14" t="s">
        <v>4268</v>
      </c>
      <c r="E14" t="s">
        <v>4269</v>
      </c>
      <c r="F14" t="s">
        <v>4270</v>
      </c>
      <c r="G14" t="s">
        <v>4271</v>
      </c>
      <c r="H14" t="s">
        <v>2155</v>
      </c>
      <c r="I14" t="s">
        <v>3467</v>
      </c>
    </row>
    <row r="15" spans="1:9" x14ac:dyDescent="0.25">
      <c r="A15" t="s">
        <v>4272</v>
      </c>
      <c r="B15" t="s">
        <v>41</v>
      </c>
      <c r="C15" t="s">
        <v>4054</v>
      </c>
      <c r="D15" t="s">
        <v>4242</v>
      </c>
      <c r="E15" t="s">
        <v>4243</v>
      </c>
      <c r="F15" t="s">
        <v>4273</v>
      </c>
      <c r="G15" t="s">
        <v>4274</v>
      </c>
      <c r="H15" t="s">
        <v>256</v>
      </c>
      <c r="I15" t="s">
        <v>3467</v>
      </c>
    </row>
    <row r="16" spans="1:9" x14ac:dyDescent="0.25">
      <c r="A16" t="s">
        <v>4275</v>
      </c>
      <c r="B16" t="s">
        <v>3530</v>
      </c>
      <c r="C16" t="s">
        <v>4082</v>
      </c>
      <c r="D16" t="s">
        <v>4276</v>
      </c>
      <c r="E16" t="s">
        <v>4261</v>
      </c>
      <c r="F16" t="s">
        <v>4276</v>
      </c>
      <c r="G16" t="s">
        <v>4261</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5"/>
  <sheetViews>
    <sheetView workbookViewId="0">
      <selection activeCell="G20" sqref="G20"/>
    </sheetView>
  </sheetViews>
  <sheetFormatPr defaultRowHeight="15" x14ac:dyDescent="0.25"/>
  <cols>
    <col min="1" max="1" width="23" bestFit="1" customWidth="1"/>
    <col min="2" max="2" width="10.140625" bestFit="1" customWidth="1"/>
    <col min="3" max="3" width="8.5703125" bestFit="1" customWidth="1"/>
    <col min="4" max="4" width="13.140625" bestFit="1" customWidth="1"/>
    <col min="5" max="5" width="15.28515625" bestFit="1" customWidth="1"/>
    <col min="6" max="6" width="10.28515625" bestFit="1" customWidth="1"/>
    <col min="7" max="7" width="70.42578125" bestFit="1" customWidth="1"/>
    <col min="8" max="8" width="45.5703125" bestFit="1" customWidth="1"/>
  </cols>
  <sheetData>
    <row r="1" spans="1:9" x14ac:dyDescent="0.25">
      <c r="A1" t="s">
        <v>165</v>
      </c>
      <c r="B1" t="s">
        <v>6</v>
      </c>
      <c r="C1" t="s">
        <v>1</v>
      </c>
      <c r="D1" t="s">
        <v>4049</v>
      </c>
      <c r="E1" t="s">
        <v>167</v>
      </c>
      <c r="F1" t="s">
        <v>7689</v>
      </c>
      <c r="G1" t="s">
        <v>3461</v>
      </c>
      <c r="H1" t="s">
        <v>3512</v>
      </c>
      <c r="I1" t="s">
        <v>171</v>
      </c>
    </row>
    <row r="2" spans="1:9" x14ac:dyDescent="0.25">
      <c r="A2" t="s">
        <v>3742</v>
      </c>
      <c r="B2" t="s">
        <v>3743</v>
      </c>
      <c r="C2" t="s">
        <v>1796</v>
      </c>
      <c r="D2" t="s">
        <v>4071</v>
      </c>
      <c r="E2" t="s">
        <v>7694</v>
      </c>
      <c r="F2">
        <v>1</v>
      </c>
      <c r="G2" t="s">
        <v>3744</v>
      </c>
      <c r="H2" t="s">
        <v>7713</v>
      </c>
      <c r="I2" t="s">
        <v>3467</v>
      </c>
    </row>
    <row r="3" spans="1:9" x14ac:dyDescent="0.25">
      <c r="A3" t="s">
        <v>7693</v>
      </c>
      <c r="B3" t="s">
        <v>41</v>
      </c>
      <c r="C3" t="s">
        <v>2155</v>
      </c>
      <c r="D3" t="s">
        <v>4082</v>
      </c>
      <c r="E3" t="s">
        <v>3458</v>
      </c>
      <c r="F3">
        <v>6</v>
      </c>
      <c r="G3" t="s">
        <v>4276</v>
      </c>
      <c r="H3" t="s">
        <v>101</v>
      </c>
      <c r="I3" t="s">
        <v>3467</v>
      </c>
    </row>
    <row r="4" spans="1:9" x14ac:dyDescent="0.25">
      <c r="A4" t="s">
        <v>7696</v>
      </c>
      <c r="B4" t="s">
        <v>3518</v>
      </c>
      <c r="C4" t="s">
        <v>2155</v>
      </c>
      <c r="D4" t="s">
        <v>4071</v>
      </c>
      <c r="E4" t="s">
        <v>7695</v>
      </c>
      <c r="F4">
        <v>4</v>
      </c>
      <c r="G4" t="s">
        <v>7697</v>
      </c>
      <c r="H4" t="s">
        <v>7714</v>
      </c>
      <c r="I4" t="s">
        <v>3467</v>
      </c>
    </row>
    <row r="5" spans="1:9" x14ac:dyDescent="0.25">
      <c r="A5" t="s">
        <v>7699</v>
      </c>
      <c r="B5" t="s">
        <v>3530</v>
      </c>
      <c r="C5" t="s">
        <v>1796</v>
      </c>
      <c r="D5" t="s">
        <v>4054</v>
      </c>
      <c r="E5" t="s">
        <v>7694</v>
      </c>
      <c r="F5">
        <v>6</v>
      </c>
      <c r="G5" t="s">
        <v>7698</v>
      </c>
      <c r="H5" t="s">
        <v>4067</v>
      </c>
      <c r="I5"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4277</v>
      </c>
      <c r="G1" t="s">
        <v>4278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4279</v>
      </c>
      <c r="B2" t="s">
        <v>160</v>
      </c>
      <c r="C2" t="s">
        <v>4280</v>
      </c>
      <c r="D2" t="s">
        <v>4281</v>
      </c>
      <c r="E2" t="s">
        <v>41</v>
      </c>
      <c r="L2" t="s">
        <v>4282</v>
      </c>
      <c r="N2" t="s">
        <v>4283</v>
      </c>
      <c r="O2" t="s">
        <v>49</v>
      </c>
      <c r="Q2" t="s">
        <v>4284</v>
      </c>
      <c r="R2" t="s">
        <v>3554</v>
      </c>
      <c r="U2" t="s">
        <v>4285</v>
      </c>
    </row>
    <row r="3" spans="1:37" x14ac:dyDescent="0.25">
      <c r="A3" t="s">
        <v>4286</v>
      </c>
      <c r="B3" t="s">
        <v>2620</v>
      </c>
      <c r="C3" t="s">
        <v>4280</v>
      </c>
      <c r="D3" t="s">
        <v>4287</v>
      </c>
      <c r="E3" t="s">
        <v>41</v>
      </c>
      <c r="G3" t="s">
        <v>187</v>
      </c>
      <c r="N3" t="s">
        <v>4288</v>
      </c>
      <c r="O3" t="s">
        <v>49</v>
      </c>
      <c r="Q3" t="s">
        <v>4289</v>
      </c>
      <c r="R3" t="s">
        <v>3554</v>
      </c>
      <c r="U3" t="s">
        <v>4290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4291</v>
      </c>
      <c r="B1" t="s">
        <v>1</v>
      </c>
      <c r="C1" t="s">
        <v>4292</v>
      </c>
      <c r="D1" t="s">
        <v>4293</v>
      </c>
      <c r="E1" t="s">
        <v>4294</v>
      </c>
      <c r="F1" t="s">
        <v>7</v>
      </c>
    </row>
    <row r="2" spans="1:6" x14ac:dyDescent="0.25">
      <c r="A2" t="s">
        <v>4295</v>
      </c>
      <c r="B2" t="s">
        <v>90</v>
      </c>
      <c r="C2" t="s">
        <v>4296</v>
      </c>
      <c r="D2" t="s">
        <v>4297</v>
      </c>
      <c r="E2" t="s">
        <v>3467</v>
      </c>
      <c r="F2" t="s">
        <v>4298</v>
      </c>
    </row>
    <row r="3" spans="1:6" x14ac:dyDescent="0.25">
      <c r="A3" t="s">
        <v>4299</v>
      </c>
      <c r="B3" t="s">
        <v>38</v>
      </c>
      <c r="C3" t="s">
        <v>4300</v>
      </c>
      <c r="D3" t="s">
        <v>4297</v>
      </c>
      <c r="E3">
        <v>3</v>
      </c>
      <c r="F3" t="s">
        <v>4299</v>
      </c>
    </row>
    <row r="4" spans="1:6" x14ac:dyDescent="0.25">
      <c r="A4" t="s">
        <v>4301</v>
      </c>
      <c r="B4" t="s">
        <v>38</v>
      </c>
      <c r="C4" t="s">
        <v>4302</v>
      </c>
      <c r="D4" t="s">
        <v>4297</v>
      </c>
      <c r="E4">
        <v>3</v>
      </c>
      <c r="F4" t="s">
        <v>4303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4304</v>
      </c>
      <c r="E1" t="s">
        <v>4305</v>
      </c>
      <c r="F1" t="s">
        <v>4306</v>
      </c>
    </row>
    <row r="2" spans="1:6" x14ac:dyDescent="0.25">
      <c r="A2" t="s">
        <v>4307</v>
      </c>
      <c r="B2" t="s">
        <v>4308</v>
      </c>
      <c r="C2" t="s">
        <v>4309</v>
      </c>
      <c r="D2" t="s">
        <v>4310</v>
      </c>
      <c r="E2" t="s">
        <v>4311</v>
      </c>
      <c r="F2" t="s">
        <v>4307</v>
      </c>
    </row>
    <row r="3" spans="1:6" x14ac:dyDescent="0.25">
      <c r="A3" t="s">
        <v>7674</v>
      </c>
      <c r="B3" t="s">
        <v>7677</v>
      </c>
      <c r="C3" t="s">
        <v>7715</v>
      </c>
      <c r="E3" t="s">
        <v>7678</v>
      </c>
      <c r="F3" t="s">
        <v>7674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4304</v>
      </c>
      <c r="F1" t="s">
        <v>3449</v>
      </c>
      <c r="G1" t="s">
        <v>4306</v>
      </c>
    </row>
    <row r="2" spans="1:7" x14ac:dyDescent="0.25">
      <c r="A2" t="s">
        <v>4312</v>
      </c>
      <c r="B2" t="s">
        <v>4313</v>
      </c>
      <c r="C2" t="s">
        <v>4314</v>
      </c>
      <c r="D2" t="s">
        <v>4315</v>
      </c>
      <c r="E2" t="s">
        <v>4316</v>
      </c>
      <c r="F2">
        <v>1</v>
      </c>
      <c r="G2" t="s">
        <v>4312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4317</v>
      </c>
      <c r="F1" t="s">
        <v>3512</v>
      </c>
      <c r="G1" t="s">
        <v>4318</v>
      </c>
      <c r="H1" t="s">
        <v>7</v>
      </c>
    </row>
    <row r="2" spans="1:8" x14ac:dyDescent="0.25">
      <c r="B2" t="s">
        <v>4319</v>
      </c>
      <c r="C2" t="s">
        <v>3760</v>
      </c>
      <c r="D2" t="s">
        <v>41</v>
      </c>
      <c r="E2" t="s">
        <v>4320</v>
      </c>
      <c r="F2" t="s">
        <v>3467</v>
      </c>
      <c r="G2" t="s">
        <v>4321</v>
      </c>
    </row>
    <row r="3" spans="1:8" x14ac:dyDescent="0.25">
      <c r="B3" t="s">
        <v>4319</v>
      </c>
      <c r="C3" t="s">
        <v>3797</v>
      </c>
      <c r="D3" t="s">
        <v>41</v>
      </c>
      <c r="E3" t="s">
        <v>4322</v>
      </c>
      <c r="G3" t="s">
        <v>4323</v>
      </c>
    </row>
    <row r="4" spans="1:8" x14ac:dyDescent="0.25">
      <c r="B4" t="s">
        <v>4319</v>
      </c>
      <c r="C4" t="s">
        <v>3812</v>
      </c>
      <c r="D4" t="s">
        <v>41</v>
      </c>
      <c r="E4" t="s">
        <v>4324</v>
      </c>
      <c r="G4" t="s">
        <v>4325</v>
      </c>
    </row>
    <row r="5" spans="1:8" x14ac:dyDescent="0.25">
      <c r="B5" t="s">
        <v>4326</v>
      </c>
      <c r="C5" t="s">
        <v>3760</v>
      </c>
      <c r="D5" t="s">
        <v>41</v>
      </c>
      <c r="E5" t="s">
        <v>4327</v>
      </c>
      <c r="F5" t="s">
        <v>3467</v>
      </c>
      <c r="G5" t="s">
        <v>4328</v>
      </c>
    </row>
    <row r="6" spans="1:8" x14ac:dyDescent="0.25">
      <c r="B6" t="s">
        <v>4326</v>
      </c>
      <c r="C6" t="s">
        <v>3797</v>
      </c>
      <c r="D6" t="s">
        <v>41</v>
      </c>
      <c r="E6" t="s">
        <v>4329</v>
      </c>
      <c r="G6" t="s">
        <v>4330</v>
      </c>
    </row>
    <row r="7" spans="1:8" x14ac:dyDescent="0.25">
      <c r="B7" t="s">
        <v>4326</v>
      </c>
      <c r="C7" t="s">
        <v>3812</v>
      </c>
      <c r="D7" t="s">
        <v>41</v>
      </c>
      <c r="E7" t="s">
        <v>4331</v>
      </c>
      <c r="G7" t="s">
        <v>4332</v>
      </c>
    </row>
    <row r="8" spans="1:8" x14ac:dyDescent="0.25">
      <c r="B8" t="s">
        <v>4333</v>
      </c>
      <c r="C8" t="s">
        <v>3760</v>
      </c>
      <c r="D8" t="s">
        <v>41</v>
      </c>
      <c r="E8" t="s">
        <v>4334</v>
      </c>
      <c r="F8" t="s">
        <v>3467</v>
      </c>
    </row>
    <row r="9" spans="1:8" x14ac:dyDescent="0.25">
      <c r="B9" t="s">
        <v>4333</v>
      </c>
      <c r="C9" t="s">
        <v>3797</v>
      </c>
      <c r="D9" t="s">
        <v>41</v>
      </c>
      <c r="E9" t="s">
        <v>4335</v>
      </c>
    </row>
    <row r="10" spans="1:8" x14ac:dyDescent="0.25">
      <c r="B10" t="s">
        <v>4333</v>
      </c>
      <c r="C10" t="s">
        <v>3812</v>
      </c>
      <c r="D10" t="s">
        <v>41</v>
      </c>
      <c r="E10" t="s">
        <v>4336</v>
      </c>
    </row>
    <row r="11" spans="1:8" x14ac:dyDescent="0.25">
      <c r="B11" t="s">
        <v>4333</v>
      </c>
      <c r="C11" t="s">
        <v>3938</v>
      </c>
      <c r="D11" t="s">
        <v>41</v>
      </c>
      <c r="E11" t="s">
        <v>4337</v>
      </c>
      <c r="G11" t="s">
        <v>4338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4339</v>
      </c>
      <c r="G1" t="s">
        <v>4277</v>
      </c>
      <c r="H1" t="s">
        <v>4340</v>
      </c>
      <c r="I1" t="s">
        <v>4341</v>
      </c>
    </row>
    <row r="2" spans="1:9" x14ac:dyDescent="0.25">
      <c r="A2" t="s">
        <v>4342</v>
      </c>
      <c r="B2" t="s">
        <v>2620</v>
      </c>
      <c r="C2" t="s">
        <v>3760</v>
      </c>
      <c r="D2" t="s">
        <v>3770</v>
      </c>
      <c r="E2" t="s">
        <v>4343</v>
      </c>
      <c r="F2" t="s">
        <v>3476</v>
      </c>
      <c r="G2" t="s">
        <v>4344</v>
      </c>
      <c r="H2" t="s">
        <v>4345</v>
      </c>
      <c r="I2" t="s">
        <v>3693</v>
      </c>
    </row>
    <row r="3" spans="1:9" x14ac:dyDescent="0.25">
      <c r="A3" t="s">
        <v>4346</v>
      </c>
      <c r="B3" t="s">
        <v>2620</v>
      </c>
      <c r="C3" t="s">
        <v>3760</v>
      </c>
      <c r="D3" t="s">
        <v>3762</v>
      </c>
      <c r="E3" t="s">
        <v>4347</v>
      </c>
      <c r="F3" t="s">
        <v>3476</v>
      </c>
      <c r="G3" t="s">
        <v>4344</v>
      </c>
      <c r="I3" t="s">
        <v>4348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7610</v>
      </c>
      <c r="B1" t="s">
        <v>7611</v>
      </c>
      <c r="C1" t="s">
        <v>7630</v>
      </c>
      <c r="D1" t="s">
        <v>7538</v>
      </c>
      <c r="E1" t="s">
        <v>7539</v>
      </c>
      <c r="F1" t="s">
        <v>7597</v>
      </c>
      <c r="G1" t="s">
        <v>7639</v>
      </c>
      <c r="H1" t="s">
        <v>7540</v>
      </c>
      <c r="I1" t="s">
        <v>7541</v>
      </c>
      <c r="J1" t="s">
        <v>7598</v>
      </c>
      <c r="K1" t="s">
        <v>7640</v>
      </c>
      <c r="L1" t="s">
        <v>7542</v>
      </c>
      <c r="M1" t="s">
        <v>7543</v>
      </c>
      <c r="N1" t="s">
        <v>7600</v>
      </c>
      <c r="O1" t="s">
        <v>7641</v>
      </c>
      <c r="Q1" t="s">
        <v>7619</v>
      </c>
      <c r="R1" t="s">
        <v>7620</v>
      </c>
      <c r="T1" t="s">
        <v>7642</v>
      </c>
    </row>
    <row r="2" spans="1:20" x14ac:dyDescent="0.25">
      <c r="A2" t="s">
        <v>3517</v>
      </c>
      <c r="B2" t="s">
        <v>7612</v>
      </c>
      <c r="C2" t="s">
        <v>7645</v>
      </c>
      <c r="D2" t="s">
        <v>3449</v>
      </c>
      <c r="E2" t="s">
        <v>7546</v>
      </c>
      <c r="F2" t="s">
        <v>3531</v>
      </c>
      <c r="G2" t="s">
        <v>7622</v>
      </c>
      <c r="H2" t="s">
        <v>3449</v>
      </c>
      <c r="I2" t="s">
        <v>7604</v>
      </c>
      <c r="J2" t="s">
        <v>3531</v>
      </c>
      <c r="K2" t="s">
        <v>7622</v>
      </c>
      <c r="L2" t="s">
        <v>7658</v>
      </c>
      <c r="M2" t="s">
        <v>7633</v>
      </c>
      <c r="N2" t="s">
        <v>7599</v>
      </c>
      <c r="O2" t="s">
        <v>7622</v>
      </c>
      <c r="Q2" t="s">
        <v>3451</v>
      </c>
      <c r="R2" t="s">
        <v>7622</v>
      </c>
    </row>
    <row r="3" spans="1:20" x14ac:dyDescent="0.25">
      <c r="A3" t="s">
        <v>3524</v>
      </c>
      <c r="B3" t="s">
        <v>7612</v>
      </c>
      <c r="C3" t="s">
        <v>7645</v>
      </c>
      <c r="D3" t="s">
        <v>7656</v>
      </c>
      <c r="E3" t="s">
        <v>7545</v>
      </c>
      <c r="F3" t="s">
        <v>7601</v>
      </c>
      <c r="G3" t="s">
        <v>7622</v>
      </c>
      <c r="Q3" t="s">
        <v>7605</v>
      </c>
      <c r="R3" t="s">
        <v>7622</v>
      </c>
      <c r="T3" t="s">
        <v>7655</v>
      </c>
    </row>
    <row r="4" spans="1:20" x14ac:dyDescent="0.25">
      <c r="A4" t="s">
        <v>3529</v>
      </c>
      <c r="B4" t="s">
        <v>7612</v>
      </c>
      <c r="C4" t="s">
        <v>7645</v>
      </c>
      <c r="D4" t="s">
        <v>3536</v>
      </c>
      <c r="E4" t="s">
        <v>3451</v>
      </c>
      <c r="F4" t="s">
        <v>3531</v>
      </c>
      <c r="G4" t="s">
        <v>7622</v>
      </c>
      <c r="Q4" t="s">
        <v>7621</v>
      </c>
      <c r="R4" t="s">
        <v>7622</v>
      </c>
      <c r="T4" t="s">
        <v>3536</v>
      </c>
    </row>
    <row r="5" spans="1:20" x14ac:dyDescent="0.25">
      <c r="A5" t="s">
        <v>3538</v>
      </c>
      <c r="B5" t="s">
        <v>7612</v>
      </c>
      <c r="C5" t="s">
        <v>7645</v>
      </c>
      <c r="D5" t="s">
        <v>3536</v>
      </c>
      <c r="E5" t="s">
        <v>7686</v>
      </c>
      <c r="F5" t="s">
        <v>3539</v>
      </c>
      <c r="G5" t="s">
        <v>7622</v>
      </c>
      <c r="H5" t="s">
        <v>7544</v>
      </c>
      <c r="I5" t="s">
        <v>7614</v>
      </c>
      <c r="J5" t="s">
        <v>7602</v>
      </c>
      <c r="K5" t="s">
        <v>7623</v>
      </c>
      <c r="Q5" t="s">
        <v>4291</v>
      </c>
      <c r="R5" t="s">
        <v>7623</v>
      </c>
      <c r="T5" t="s">
        <v>3449</v>
      </c>
    </row>
    <row r="6" spans="1:20" x14ac:dyDescent="0.25">
      <c r="A6" t="s">
        <v>3544</v>
      </c>
      <c r="B6" t="s">
        <v>7628</v>
      </c>
      <c r="C6" t="s">
        <v>7645</v>
      </c>
      <c r="D6" t="s">
        <v>3449</v>
      </c>
      <c r="E6" t="s">
        <v>7546</v>
      </c>
      <c r="F6" t="s">
        <v>3531</v>
      </c>
      <c r="G6" t="s">
        <v>7622</v>
      </c>
      <c r="H6" t="s">
        <v>3449</v>
      </c>
      <c r="I6" t="s">
        <v>7604</v>
      </c>
      <c r="J6" t="s">
        <v>3531</v>
      </c>
      <c r="K6" t="s">
        <v>7622</v>
      </c>
      <c r="Q6" t="s">
        <v>7633</v>
      </c>
      <c r="R6" t="s">
        <v>7623</v>
      </c>
      <c r="T6" t="s">
        <v>3456</v>
      </c>
    </row>
    <row r="7" spans="1:20" x14ac:dyDescent="0.25">
      <c r="A7" t="s">
        <v>4279</v>
      </c>
      <c r="B7" t="s">
        <v>7648</v>
      </c>
      <c r="C7" t="s">
        <v>7632</v>
      </c>
      <c r="D7" t="s">
        <v>3536</v>
      </c>
      <c r="E7" t="s">
        <v>3450</v>
      </c>
      <c r="F7" t="s">
        <v>7654</v>
      </c>
      <c r="G7" t="s">
        <v>7622</v>
      </c>
      <c r="H7" t="s">
        <v>3449</v>
      </c>
      <c r="I7" t="s">
        <v>7604</v>
      </c>
      <c r="J7" t="s">
        <v>7649</v>
      </c>
      <c r="K7" t="s">
        <v>7623</v>
      </c>
      <c r="L7" t="s">
        <v>3449</v>
      </c>
      <c r="M7" t="s">
        <v>7604</v>
      </c>
      <c r="N7" t="s">
        <v>7603</v>
      </c>
      <c r="O7" t="s">
        <v>7622</v>
      </c>
      <c r="Q7" t="s">
        <v>7604</v>
      </c>
      <c r="R7" t="s">
        <v>7622</v>
      </c>
      <c r="T7" t="s">
        <v>7644</v>
      </c>
    </row>
    <row r="8" spans="1:20" x14ac:dyDescent="0.25">
      <c r="A8" t="s">
        <v>7650</v>
      </c>
      <c r="B8" t="s">
        <v>7651</v>
      </c>
      <c r="C8" t="s">
        <v>0</v>
      </c>
      <c r="D8" t="s">
        <v>7632</v>
      </c>
      <c r="E8" t="s">
        <v>7652</v>
      </c>
      <c r="F8" t="s">
        <v>7653</v>
      </c>
      <c r="G8" t="s">
        <v>7622</v>
      </c>
      <c r="Q8" t="s">
        <v>7614</v>
      </c>
      <c r="R8" t="s">
        <v>7622</v>
      </c>
      <c r="T8" t="s">
        <v>7656</v>
      </c>
    </row>
    <row r="9" spans="1:20" x14ac:dyDescent="0.25">
      <c r="A9" t="s">
        <v>3549</v>
      </c>
      <c r="B9" t="s">
        <v>7612</v>
      </c>
      <c r="C9" t="s">
        <v>7645</v>
      </c>
      <c r="D9" t="s">
        <v>3554</v>
      </c>
      <c r="E9" t="s">
        <v>7605</v>
      </c>
      <c r="F9" t="s">
        <v>3531</v>
      </c>
      <c r="G9" t="s">
        <v>7622</v>
      </c>
      <c r="H9" t="s">
        <v>3449</v>
      </c>
      <c r="I9" t="s">
        <v>7604</v>
      </c>
      <c r="J9" t="s">
        <v>7603</v>
      </c>
      <c r="K9" t="s">
        <v>7622</v>
      </c>
      <c r="Q9" t="s">
        <v>3459</v>
      </c>
      <c r="R9" t="s">
        <v>7622</v>
      </c>
    </row>
    <row r="10" spans="1:20" x14ac:dyDescent="0.25">
      <c r="A10" t="s">
        <v>7557</v>
      </c>
      <c r="B10" t="s">
        <v>7659</v>
      </c>
      <c r="C10" t="s">
        <v>4989</v>
      </c>
      <c r="D10" t="s">
        <v>7657</v>
      </c>
      <c r="E10" t="s">
        <v>7652</v>
      </c>
      <c r="F10" t="s">
        <v>7626</v>
      </c>
      <c r="G10" t="s">
        <v>7622</v>
      </c>
      <c r="Q10" t="s">
        <v>5725</v>
      </c>
      <c r="R10" t="s">
        <v>7622</v>
      </c>
      <c r="T10" t="s">
        <v>7644</v>
      </c>
    </row>
    <row r="11" spans="1:20" x14ac:dyDescent="0.25">
      <c r="A11" t="s">
        <v>3555</v>
      </c>
      <c r="B11" t="s">
        <v>7612</v>
      </c>
      <c r="C11" t="s">
        <v>7645</v>
      </c>
      <c r="D11" t="s">
        <v>3456</v>
      </c>
      <c r="E11" t="s">
        <v>7605</v>
      </c>
      <c r="F11" t="s">
        <v>3531</v>
      </c>
      <c r="G11" t="s">
        <v>7622</v>
      </c>
      <c r="H11" t="s">
        <v>3554</v>
      </c>
      <c r="I11" t="s">
        <v>7621</v>
      </c>
      <c r="J11" t="s">
        <v>3539</v>
      </c>
      <c r="K11" t="s">
        <v>7622</v>
      </c>
      <c r="Q11" t="s">
        <v>7546</v>
      </c>
      <c r="R11" t="s">
        <v>7622</v>
      </c>
      <c r="T11" t="s">
        <v>7645</v>
      </c>
    </row>
    <row r="12" spans="1:20" x14ac:dyDescent="0.25">
      <c r="A12" t="s">
        <v>3478</v>
      </c>
      <c r="B12" t="s">
        <v>3563</v>
      </c>
      <c r="C12" t="s">
        <v>7645</v>
      </c>
      <c r="D12" t="s">
        <v>3449</v>
      </c>
      <c r="E12" t="s">
        <v>7604</v>
      </c>
      <c r="F12" t="s">
        <v>7606</v>
      </c>
      <c r="G12" t="s">
        <v>7622</v>
      </c>
      <c r="Q12" t="s">
        <v>7608</v>
      </c>
      <c r="R12" t="s">
        <v>7622</v>
      </c>
      <c r="T12" t="s">
        <v>3605</v>
      </c>
    </row>
    <row r="13" spans="1:20" x14ac:dyDescent="0.25">
      <c r="A13" t="s">
        <v>3567</v>
      </c>
      <c r="B13" t="s">
        <v>7612</v>
      </c>
      <c r="C13" t="s">
        <v>7645</v>
      </c>
      <c r="D13" t="s">
        <v>3536</v>
      </c>
      <c r="E13" t="s">
        <v>7686</v>
      </c>
      <c r="F13" t="s">
        <v>3539</v>
      </c>
      <c r="G13" t="s">
        <v>7622</v>
      </c>
      <c r="H13" t="s">
        <v>7596</v>
      </c>
      <c r="I13" t="s">
        <v>7608</v>
      </c>
      <c r="J13" t="s">
        <v>3531</v>
      </c>
      <c r="K13" t="s">
        <v>7622</v>
      </c>
      <c r="Q13" t="s">
        <v>7615</v>
      </c>
      <c r="R13" t="s">
        <v>7622</v>
      </c>
    </row>
    <row r="14" spans="1:20" x14ac:dyDescent="0.25">
      <c r="A14" t="s">
        <v>3574</v>
      </c>
      <c r="B14" t="s">
        <v>7613</v>
      </c>
      <c r="C14" t="s">
        <v>7645</v>
      </c>
      <c r="D14" t="s">
        <v>7647</v>
      </c>
      <c r="E14" t="s">
        <v>4291</v>
      </c>
      <c r="F14" t="s">
        <v>3531</v>
      </c>
      <c r="G14" t="s">
        <v>7622</v>
      </c>
      <c r="H14" t="s">
        <v>7544</v>
      </c>
      <c r="I14" t="s">
        <v>7614</v>
      </c>
      <c r="J14" t="s">
        <v>3531</v>
      </c>
      <c r="K14" t="s">
        <v>7622</v>
      </c>
      <c r="Q14" t="s">
        <v>7686</v>
      </c>
      <c r="R14" t="s">
        <v>7622</v>
      </c>
      <c r="T14" t="s">
        <v>3605</v>
      </c>
    </row>
    <row r="15" spans="1:20" x14ac:dyDescent="0.25">
      <c r="A15" t="s">
        <v>7408</v>
      </c>
      <c r="B15" t="s">
        <v>7612</v>
      </c>
      <c r="C15" t="s">
        <v>7645</v>
      </c>
      <c r="D15" t="s">
        <v>7609</v>
      </c>
      <c r="E15" t="s">
        <v>7615</v>
      </c>
      <c r="F15" t="s">
        <v>3531</v>
      </c>
      <c r="G15" t="s">
        <v>7622</v>
      </c>
      <c r="Q15" t="s">
        <v>7545</v>
      </c>
      <c r="R15" t="s">
        <v>7622</v>
      </c>
      <c r="T15" t="s">
        <v>7607</v>
      </c>
    </row>
    <row r="16" spans="1:20" x14ac:dyDescent="0.25">
      <c r="A16" t="s">
        <v>3580</v>
      </c>
      <c r="B16" t="s">
        <v>7612</v>
      </c>
      <c r="C16" t="s">
        <v>7645</v>
      </c>
      <c r="D16" t="s">
        <v>3449</v>
      </c>
      <c r="E16" t="s">
        <v>7604</v>
      </c>
      <c r="F16" t="s">
        <v>7616</v>
      </c>
      <c r="G16" t="s">
        <v>7622</v>
      </c>
      <c r="Q16" t="s">
        <v>7625</v>
      </c>
      <c r="R16" t="s">
        <v>7622</v>
      </c>
      <c r="T16" t="s">
        <v>4048</v>
      </c>
    </row>
    <row r="17" spans="1:20" x14ac:dyDescent="0.25">
      <c r="A17" t="s">
        <v>3586</v>
      </c>
      <c r="B17" t="s">
        <v>7612</v>
      </c>
      <c r="C17" t="s">
        <v>7645</v>
      </c>
      <c r="D17" t="s">
        <v>3536</v>
      </c>
      <c r="E17" t="s">
        <v>5725</v>
      </c>
      <c r="F17" t="s">
        <v>3539</v>
      </c>
      <c r="G17" t="s">
        <v>7622</v>
      </c>
      <c r="Q17" t="s">
        <v>7634</v>
      </c>
      <c r="R17" t="s">
        <v>7622</v>
      </c>
      <c r="T17" t="s">
        <v>7609</v>
      </c>
    </row>
    <row r="18" spans="1:20" x14ac:dyDescent="0.25">
      <c r="A18" t="s">
        <v>3590</v>
      </c>
      <c r="B18" t="s">
        <v>7612</v>
      </c>
      <c r="C18" t="s">
        <v>7645</v>
      </c>
      <c r="D18" t="s">
        <v>7647</v>
      </c>
      <c r="E18" t="s">
        <v>3459</v>
      </c>
      <c r="F18" t="s">
        <v>7618</v>
      </c>
      <c r="G18" t="s">
        <v>7622</v>
      </c>
      <c r="Q18" t="s">
        <v>3450</v>
      </c>
      <c r="R18" t="s">
        <v>7622</v>
      </c>
      <c r="T18" t="s">
        <v>5471</v>
      </c>
    </row>
    <row r="19" spans="1:20" x14ac:dyDescent="0.25">
      <c r="A19" t="s">
        <v>3595</v>
      </c>
      <c r="B19" t="s">
        <v>7612</v>
      </c>
      <c r="C19" t="s">
        <v>7645</v>
      </c>
      <c r="D19" t="s">
        <v>7658</v>
      </c>
      <c r="E19" t="s">
        <v>7625</v>
      </c>
      <c r="F19" t="s">
        <v>7624</v>
      </c>
      <c r="G19" t="s">
        <v>7622</v>
      </c>
      <c r="Q19" t="s">
        <v>7636</v>
      </c>
      <c r="R19" t="s">
        <v>7622</v>
      </c>
      <c r="T19" t="s">
        <v>7690</v>
      </c>
    </row>
    <row r="20" spans="1:20" x14ac:dyDescent="0.25">
      <c r="A20" t="s">
        <v>3483</v>
      </c>
      <c r="B20" t="s">
        <v>7617</v>
      </c>
      <c r="C20" t="s">
        <v>7645</v>
      </c>
      <c r="D20" t="s">
        <v>3536</v>
      </c>
      <c r="E20" t="s">
        <v>3455</v>
      </c>
      <c r="F20" t="s">
        <v>7624</v>
      </c>
      <c r="G20" t="s">
        <v>7622</v>
      </c>
      <c r="Q20" t="s">
        <v>7638</v>
      </c>
      <c r="R20" t="s">
        <v>7622</v>
      </c>
    </row>
    <row r="21" spans="1:20" x14ac:dyDescent="0.25">
      <c r="A21" t="s">
        <v>3601</v>
      </c>
      <c r="B21" t="s">
        <v>7612</v>
      </c>
      <c r="C21" t="s">
        <v>7645</v>
      </c>
      <c r="D21" t="s">
        <v>3605</v>
      </c>
      <c r="E21" t="s">
        <v>7643</v>
      </c>
      <c r="F21" t="s">
        <v>7626</v>
      </c>
      <c r="G21" t="s">
        <v>7622</v>
      </c>
      <c r="Q21" t="s">
        <v>7643</v>
      </c>
      <c r="R21" t="s">
        <v>7622</v>
      </c>
    </row>
    <row r="22" spans="1:20" x14ac:dyDescent="0.25">
      <c r="A22" t="s">
        <v>3606</v>
      </c>
      <c r="B22" t="s">
        <v>7612</v>
      </c>
      <c r="C22" t="s">
        <v>7645</v>
      </c>
      <c r="D22" t="s">
        <v>3536</v>
      </c>
      <c r="E22" t="s">
        <v>5725</v>
      </c>
      <c r="F22" t="s">
        <v>3539</v>
      </c>
      <c r="G22" t="s">
        <v>7622</v>
      </c>
      <c r="H22" t="s">
        <v>7544</v>
      </c>
      <c r="I22" t="s">
        <v>7614</v>
      </c>
      <c r="J22" t="s">
        <v>7602</v>
      </c>
      <c r="K22" t="s">
        <v>7623</v>
      </c>
      <c r="Q22" t="s">
        <v>7646</v>
      </c>
      <c r="R22" t="s">
        <v>7622</v>
      </c>
    </row>
    <row r="23" spans="1:20" x14ac:dyDescent="0.25">
      <c r="A23" t="s">
        <v>131</v>
      </c>
      <c r="B23" t="s">
        <v>7627</v>
      </c>
      <c r="C23" t="s">
        <v>7645</v>
      </c>
      <c r="D23" t="s">
        <v>3536</v>
      </c>
      <c r="E23" t="s">
        <v>3450</v>
      </c>
      <c r="F23" t="s">
        <v>7616</v>
      </c>
      <c r="G23" t="s">
        <v>7622</v>
      </c>
      <c r="Q23" t="s">
        <v>7652</v>
      </c>
      <c r="R23" t="s">
        <v>7622</v>
      </c>
    </row>
    <row r="24" spans="1:20" x14ac:dyDescent="0.25">
      <c r="A24" t="s">
        <v>3614</v>
      </c>
      <c r="B24" t="s">
        <v>7612</v>
      </c>
      <c r="C24" t="s">
        <v>7645</v>
      </c>
      <c r="D24" t="s">
        <v>3449</v>
      </c>
      <c r="E24" t="s">
        <v>7546</v>
      </c>
      <c r="F24" t="s">
        <v>3531</v>
      </c>
      <c r="G24" t="s">
        <v>7622</v>
      </c>
      <c r="Q24" t="s">
        <v>3455</v>
      </c>
      <c r="R24" t="s">
        <v>7622</v>
      </c>
    </row>
    <row r="25" spans="1:20" x14ac:dyDescent="0.25">
      <c r="A25" t="s">
        <v>3619</v>
      </c>
      <c r="B25" t="s">
        <v>7612</v>
      </c>
      <c r="C25" t="s">
        <v>7645</v>
      </c>
      <c r="D25" t="s">
        <v>3456</v>
      </c>
      <c r="E25" t="s">
        <v>7605</v>
      </c>
      <c r="F25" t="s">
        <v>3531</v>
      </c>
      <c r="G25" t="s">
        <v>7622</v>
      </c>
      <c r="H25" t="s">
        <v>7629</v>
      </c>
      <c r="I25" t="s">
        <v>7634</v>
      </c>
      <c r="J25" t="s">
        <v>7603</v>
      </c>
      <c r="K25" t="s">
        <v>7622</v>
      </c>
      <c r="Q25" t="s">
        <v>4049</v>
      </c>
      <c r="R25" t="s">
        <v>7622</v>
      </c>
    </row>
    <row r="26" spans="1:20" x14ac:dyDescent="0.25">
      <c r="A26" t="s">
        <v>3623</v>
      </c>
      <c r="B26" t="s">
        <v>7628</v>
      </c>
      <c r="C26" t="s">
        <v>7645</v>
      </c>
      <c r="D26" t="s">
        <v>3449</v>
      </c>
      <c r="E26" t="s">
        <v>7604</v>
      </c>
      <c r="F26" t="s">
        <v>3531</v>
      </c>
      <c r="G26" t="s">
        <v>7623</v>
      </c>
      <c r="H26" t="s">
        <v>3536</v>
      </c>
      <c r="I26" t="s">
        <v>3450</v>
      </c>
      <c r="J26" t="s">
        <v>7624</v>
      </c>
      <c r="K26" t="s">
        <v>7622</v>
      </c>
      <c r="Q26" t="s">
        <v>7662</v>
      </c>
      <c r="R26" t="s">
        <v>7623</v>
      </c>
    </row>
    <row r="27" spans="1:20" x14ac:dyDescent="0.25">
      <c r="A27" t="s">
        <v>3628</v>
      </c>
      <c r="B27" t="s">
        <v>7612</v>
      </c>
      <c r="C27" t="s">
        <v>7645</v>
      </c>
      <c r="D27" t="s">
        <v>3599</v>
      </c>
      <c r="E27" t="s">
        <v>7636</v>
      </c>
      <c r="F27" t="s">
        <v>7606</v>
      </c>
      <c r="G27" t="s">
        <v>7622</v>
      </c>
      <c r="Q27" t="s">
        <v>7663</v>
      </c>
      <c r="R27" t="s">
        <v>7622</v>
      </c>
    </row>
    <row r="28" spans="1:20" x14ac:dyDescent="0.25">
      <c r="A28" t="s">
        <v>4312</v>
      </c>
      <c r="B28" t="s">
        <v>7631</v>
      </c>
      <c r="C28" t="s">
        <v>7635</v>
      </c>
      <c r="D28" t="s">
        <v>7658</v>
      </c>
      <c r="E28" t="s">
        <v>7638</v>
      </c>
      <c r="F28" t="s">
        <v>7637</v>
      </c>
      <c r="G28" t="s">
        <v>7622</v>
      </c>
      <c r="Q28" t="s">
        <v>7664</v>
      </c>
      <c r="R28" t="s">
        <v>7622</v>
      </c>
    </row>
    <row r="29" spans="1:20" x14ac:dyDescent="0.25">
      <c r="A29" t="s">
        <v>3456</v>
      </c>
      <c r="B29" t="s">
        <v>7685</v>
      </c>
      <c r="C29" t="s">
        <v>7227</v>
      </c>
      <c r="D29" t="s">
        <v>7658</v>
      </c>
      <c r="E29" t="s">
        <v>7638</v>
      </c>
      <c r="F29" t="s">
        <v>7603</v>
      </c>
      <c r="G29" t="s">
        <v>7622</v>
      </c>
      <c r="Q29" t="s">
        <v>7665</v>
      </c>
      <c r="R29" t="s">
        <v>7623</v>
      </c>
    </row>
    <row r="30" spans="1:20" x14ac:dyDescent="0.25">
      <c r="A30" t="s">
        <v>3631</v>
      </c>
      <c r="B30" t="s">
        <v>7613</v>
      </c>
      <c r="C30" t="s">
        <v>7645</v>
      </c>
      <c r="D30" t="s">
        <v>7544</v>
      </c>
      <c r="E30" t="s">
        <v>7614</v>
      </c>
      <c r="F30" t="s">
        <v>7660</v>
      </c>
      <c r="G30" t="s">
        <v>7622</v>
      </c>
      <c r="Q30" t="s">
        <v>7671</v>
      </c>
      <c r="R30" t="s">
        <v>7622</v>
      </c>
    </row>
    <row r="31" spans="1:20" x14ac:dyDescent="0.25">
      <c r="A31" t="s">
        <v>3636</v>
      </c>
      <c r="B31" t="s">
        <v>7612</v>
      </c>
      <c r="C31" t="s">
        <v>7645</v>
      </c>
      <c r="D31" t="s">
        <v>3536</v>
      </c>
      <c r="E31" t="s">
        <v>5725</v>
      </c>
      <c r="F31" t="s">
        <v>3539</v>
      </c>
      <c r="G31" t="s">
        <v>7622</v>
      </c>
      <c r="H31" t="s">
        <v>7596</v>
      </c>
      <c r="I31" t="s">
        <v>7661</v>
      </c>
      <c r="J31" t="s">
        <v>3539</v>
      </c>
      <c r="K31" t="s">
        <v>7622</v>
      </c>
      <c r="Q31" t="s">
        <v>7672</v>
      </c>
      <c r="R31" t="s">
        <v>7622</v>
      </c>
    </row>
    <row r="32" spans="1:20" x14ac:dyDescent="0.25">
      <c r="A32" t="s">
        <v>3641</v>
      </c>
      <c r="B32" t="s">
        <v>7612</v>
      </c>
      <c r="C32" t="s">
        <v>7645</v>
      </c>
      <c r="D32" t="s">
        <v>3536</v>
      </c>
      <c r="E32" t="s">
        <v>5725</v>
      </c>
      <c r="F32" t="s">
        <v>3539</v>
      </c>
      <c r="G32" t="s">
        <v>7622</v>
      </c>
      <c r="H32" t="s">
        <v>7544</v>
      </c>
      <c r="I32" t="s">
        <v>7614</v>
      </c>
      <c r="J32" t="s">
        <v>7602</v>
      </c>
      <c r="K32" t="s">
        <v>7623</v>
      </c>
      <c r="Q32" t="s">
        <v>3452</v>
      </c>
      <c r="R32" t="s">
        <v>7622</v>
      </c>
    </row>
    <row r="33" spans="1:18" x14ac:dyDescent="0.25">
      <c r="A33" t="s">
        <v>3646</v>
      </c>
      <c r="B33" t="s">
        <v>7612</v>
      </c>
      <c r="C33" t="s">
        <v>7645</v>
      </c>
      <c r="D33" t="s">
        <v>3449</v>
      </c>
      <c r="E33" t="s">
        <v>7546</v>
      </c>
      <c r="F33" t="s">
        <v>3531</v>
      </c>
      <c r="G33" t="s">
        <v>7622</v>
      </c>
      <c r="H33" t="s">
        <v>3449</v>
      </c>
      <c r="I33" t="s">
        <v>7604</v>
      </c>
      <c r="J33" t="s">
        <v>3531</v>
      </c>
      <c r="K33" t="s">
        <v>7622</v>
      </c>
      <c r="Q33" t="s">
        <v>3454</v>
      </c>
      <c r="R33" t="s">
        <v>7622</v>
      </c>
    </row>
    <row r="34" spans="1:18" x14ac:dyDescent="0.25">
      <c r="A34" t="s">
        <v>3649</v>
      </c>
      <c r="B34" t="s">
        <v>7612</v>
      </c>
      <c r="C34" t="s">
        <v>7645</v>
      </c>
      <c r="D34" t="s">
        <v>3449</v>
      </c>
      <c r="E34" t="s">
        <v>7546</v>
      </c>
      <c r="F34" t="s">
        <v>3531</v>
      </c>
      <c r="G34" t="s">
        <v>7622</v>
      </c>
      <c r="H34" t="s">
        <v>3449</v>
      </c>
      <c r="I34" t="s">
        <v>7604</v>
      </c>
      <c r="J34" t="s">
        <v>3531</v>
      </c>
      <c r="K34" t="s">
        <v>7622</v>
      </c>
      <c r="Q34" t="s">
        <v>7684</v>
      </c>
      <c r="R34" t="s">
        <v>7622</v>
      </c>
    </row>
    <row r="35" spans="1:18" x14ac:dyDescent="0.25">
      <c r="A35" t="s">
        <v>3653</v>
      </c>
      <c r="B35" t="s">
        <v>7612</v>
      </c>
      <c r="C35" t="s">
        <v>7645</v>
      </c>
      <c r="D35" t="s">
        <v>3449</v>
      </c>
      <c r="E35" t="s">
        <v>7604</v>
      </c>
      <c r="F35" t="s">
        <v>7606</v>
      </c>
      <c r="G35" t="s">
        <v>7622</v>
      </c>
      <c r="Q35" t="s">
        <v>7687</v>
      </c>
      <c r="R35" t="s">
        <v>7622</v>
      </c>
    </row>
    <row r="36" spans="1:18" x14ac:dyDescent="0.25">
      <c r="A36" t="s">
        <v>3658</v>
      </c>
      <c r="B36" t="s">
        <v>7612</v>
      </c>
      <c r="C36" t="s">
        <v>7645</v>
      </c>
      <c r="D36" t="s">
        <v>3599</v>
      </c>
      <c r="E36" t="s">
        <v>7662</v>
      </c>
      <c r="F36" t="s">
        <v>3531</v>
      </c>
      <c r="G36" t="s">
        <v>7622</v>
      </c>
      <c r="H36" t="s">
        <v>3599</v>
      </c>
      <c r="I36" t="s">
        <v>7663</v>
      </c>
      <c r="J36" t="s">
        <v>3531</v>
      </c>
      <c r="K36" t="s">
        <v>7622</v>
      </c>
      <c r="Q36" t="s">
        <v>7688</v>
      </c>
      <c r="R36" t="s">
        <v>7622</v>
      </c>
    </row>
    <row r="37" spans="1:18" x14ac:dyDescent="0.25">
      <c r="A37" t="s">
        <v>3663</v>
      </c>
      <c r="B37" t="s">
        <v>7612</v>
      </c>
      <c r="C37" t="s">
        <v>7645</v>
      </c>
      <c r="D37" t="s">
        <v>7596</v>
      </c>
      <c r="E37" t="s">
        <v>7608</v>
      </c>
      <c r="F37" t="s">
        <v>7624</v>
      </c>
      <c r="G37" t="s">
        <v>7622</v>
      </c>
      <c r="Q37" t="s">
        <v>7692</v>
      </c>
      <c r="R37" t="s">
        <v>7622</v>
      </c>
    </row>
    <row r="38" spans="1:18" x14ac:dyDescent="0.25">
      <c r="A38" t="s">
        <v>3668</v>
      </c>
      <c r="B38" t="s">
        <v>7612</v>
      </c>
      <c r="C38" t="s">
        <v>7645</v>
      </c>
      <c r="D38" t="s">
        <v>7596</v>
      </c>
      <c r="E38" t="s">
        <v>7608</v>
      </c>
      <c r="F38" t="s">
        <v>3531</v>
      </c>
      <c r="G38" t="s">
        <v>7622</v>
      </c>
    </row>
    <row r="39" spans="1:18" x14ac:dyDescent="0.25">
      <c r="A39" t="s">
        <v>3673</v>
      </c>
      <c r="B39" t="s">
        <v>7612</v>
      </c>
      <c r="C39" t="s">
        <v>7645</v>
      </c>
      <c r="D39" t="s">
        <v>5570</v>
      </c>
      <c r="E39" t="s">
        <v>7688</v>
      </c>
      <c r="F39" t="s">
        <v>3539</v>
      </c>
      <c r="G39" t="s">
        <v>7622</v>
      </c>
    </row>
    <row r="40" spans="1:18" x14ac:dyDescent="0.25">
      <c r="A40" t="s">
        <v>4792</v>
      </c>
      <c r="B40" t="s">
        <v>7612</v>
      </c>
      <c r="C40" t="s">
        <v>7645</v>
      </c>
      <c r="D40" t="s">
        <v>3536</v>
      </c>
      <c r="E40" t="s">
        <v>3450</v>
      </c>
      <c r="F40" t="s">
        <v>3531</v>
      </c>
      <c r="G40" t="s">
        <v>7622</v>
      </c>
    </row>
    <row r="41" spans="1:18" x14ac:dyDescent="0.25">
      <c r="A41" t="s">
        <v>3679</v>
      </c>
      <c r="B41" t="s">
        <v>7613</v>
      </c>
      <c r="C41" t="s">
        <v>7645</v>
      </c>
      <c r="D41" t="s">
        <v>5570</v>
      </c>
      <c r="E41" t="s">
        <v>7665</v>
      </c>
      <c r="F41" t="s">
        <v>3539</v>
      </c>
      <c r="G41" t="s">
        <v>7622</v>
      </c>
      <c r="H41" t="s">
        <v>3599</v>
      </c>
      <c r="I41" t="s">
        <v>7663</v>
      </c>
      <c r="J41" t="s">
        <v>3531</v>
      </c>
      <c r="K41" t="s">
        <v>7622</v>
      </c>
    </row>
    <row r="42" spans="1:18" x14ac:dyDescent="0.25">
      <c r="A42" t="s">
        <v>3683</v>
      </c>
      <c r="B42" t="s">
        <v>7612</v>
      </c>
      <c r="C42" t="s">
        <v>7645</v>
      </c>
      <c r="D42" t="s">
        <v>3536</v>
      </c>
      <c r="E42" t="s">
        <v>3450</v>
      </c>
      <c r="F42" t="s">
        <v>7666</v>
      </c>
      <c r="G42" t="s">
        <v>7622</v>
      </c>
    </row>
    <row r="43" spans="1:18" x14ac:dyDescent="0.25">
      <c r="A43" t="s">
        <v>3495</v>
      </c>
      <c r="B43" t="s">
        <v>7667</v>
      </c>
      <c r="C43" t="s">
        <v>7645</v>
      </c>
      <c r="D43" t="s">
        <v>3449</v>
      </c>
      <c r="E43" t="s">
        <v>7604</v>
      </c>
      <c r="F43" t="s">
        <v>7606</v>
      </c>
      <c r="G43" t="s">
        <v>7622</v>
      </c>
    </row>
    <row r="44" spans="1:18" x14ac:dyDescent="0.25">
      <c r="A44" t="s">
        <v>3689</v>
      </c>
      <c r="B44" t="s">
        <v>7612</v>
      </c>
      <c r="C44" t="s">
        <v>7645</v>
      </c>
      <c r="D44" t="s">
        <v>7629</v>
      </c>
      <c r="E44" t="s">
        <v>7634</v>
      </c>
      <c r="F44" t="s">
        <v>7624</v>
      </c>
      <c r="G44" t="s">
        <v>7622</v>
      </c>
    </row>
    <row r="45" spans="1:18" x14ac:dyDescent="0.25">
      <c r="A45" t="s">
        <v>7410</v>
      </c>
      <c r="B45" t="s">
        <v>7612</v>
      </c>
      <c r="C45" t="s">
        <v>7645</v>
      </c>
      <c r="D45" t="s">
        <v>5570</v>
      </c>
      <c r="E45" t="s">
        <v>7664</v>
      </c>
      <c r="F45" t="s">
        <v>7668</v>
      </c>
      <c r="G45" t="s">
        <v>7622</v>
      </c>
    </row>
    <row r="46" spans="1:18" x14ac:dyDescent="0.25">
      <c r="A46" t="s">
        <v>7419</v>
      </c>
      <c r="B46" t="s">
        <v>7612</v>
      </c>
      <c r="C46" t="s">
        <v>7645</v>
      </c>
      <c r="D46" t="s">
        <v>7656</v>
      </c>
      <c r="E46" t="s">
        <v>7545</v>
      </c>
      <c r="F46" t="s">
        <v>7669</v>
      </c>
      <c r="G46" t="s">
        <v>7622</v>
      </c>
    </row>
    <row r="47" spans="1:18" x14ac:dyDescent="0.25">
      <c r="A47" t="s">
        <v>3699</v>
      </c>
      <c r="B47" t="s">
        <v>7613</v>
      </c>
      <c r="C47" t="s">
        <v>7645</v>
      </c>
      <c r="D47" t="s">
        <v>7670</v>
      </c>
      <c r="E47" t="s">
        <v>7671</v>
      </c>
      <c r="F47" t="s">
        <v>3539</v>
      </c>
      <c r="G47" t="s">
        <v>7623</v>
      </c>
      <c r="H47" t="s">
        <v>3599</v>
      </c>
      <c r="I47" t="s">
        <v>7663</v>
      </c>
      <c r="J47" t="s">
        <v>3531</v>
      </c>
      <c r="K47" t="s">
        <v>7622</v>
      </c>
    </row>
    <row r="48" spans="1:18" x14ac:dyDescent="0.25">
      <c r="A48" t="s">
        <v>3703</v>
      </c>
      <c r="B48" t="s">
        <v>7613</v>
      </c>
      <c r="C48" t="s">
        <v>7645</v>
      </c>
      <c r="D48" t="s">
        <v>7609</v>
      </c>
      <c r="E48" t="s">
        <v>7672</v>
      </c>
      <c r="F48" t="s">
        <v>3539</v>
      </c>
      <c r="G48" t="s">
        <v>7622</v>
      </c>
    </row>
    <row r="49" spans="1:15" x14ac:dyDescent="0.25">
      <c r="A49" t="s">
        <v>3708</v>
      </c>
      <c r="B49" t="s">
        <v>7612</v>
      </c>
      <c r="C49" t="s">
        <v>7645</v>
      </c>
      <c r="D49" t="s">
        <v>3536</v>
      </c>
      <c r="E49" t="s">
        <v>3454</v>
      </c>
      <c r="F49" t="s">
        <v>7673</v>
      </c>
      <c r="G49" t="s">
        <v>7622</v>
      </c>
    </row>
    <row r="50" spans="1:15" x14ac:dyDescent="0.25">
      <c r="A50" t="s">
        <v>3712</v>
      </c>
      <c r="B50" t="s">
        <v>7612</v>
      </c>
      <c r="C50" t="s">
        <v>7645</v>
      </c>
      <c r="D50" t="s">
        <v>7629</v>
      </c>
      <c r="E50" t="s">
        <v>7634</v>
      </c>
      <c r="F50" t="s">
        <v>7624</v>
      </c>
      <c r="G50" t="s">
        <v>7622</v>
      </c>
    </row>
    <row r="51" spans="1:15" x14ac:dyDescent="0.25">
      <c r="A51" t="s">
        <v>3717</v>
      </c>
      <c r="B51" t="s">
        <v>7612</v>
      </c>
      <c r="C51" t="s">
        <v>7645</v>
      </c>
      <c r="D51" t="s">
        <v>3554</v>
      </c>
      <c r="E51" t="s">
        <v>7605</v>
      </c>
      <c r="F51" t="s">
        <v>3531</v>
      </c>
      <c r="G51" t="s">
        <v>7622</v>
      </c>
      <c r="H51" t="s">
        <v>7629</v>
      </c>
      <c r="I51" t="s">
        <v>7684</v>
      </c>
      <c r="J51" t="s">
        <v>7603</v>
      </c>
      <c r="K51" t="s">
        <v>7622</v>
      </c>
    </row>
    <row r="52" spans="1:15" x14ac:dyDescent="0.25">
      <c r="A52" t="s">
        <v>3720</v>
      </c>
      <c r="B52" t="s">
        <v>7612</v>
      </c>
      <c r="C52" t="s">
        <v>7645</v>
      </c>
      <c r="D52" t="s">
        <v>3449</v>
      </c>
      <c r="E52" t="s">
        <v>7546</v>
      </c>
      <c r="F52" t="s">
        <v>3531</v>
      </c>
      <c r="G52" t="s">
        <v>7622</v>
      </c>
      <c r="H52" t="s">
        <v>3449</v>
      </c>
      <c r="I52" t="s">
        <v>7604</v>
      </c>
      <c r="J52" t="s">
        <v>3531</v>
      </c>
      <c r="K52" t="s">
        <v>7622</v>
      </c>
      <c r="L52" t="s">
        <v>3536</v>
      </c>
      <c r="M52" t="s">
        <v>3451</v>
      </c>
      <c r="N52" t="s">
        <v>3531</v>
      </c>
      <c r="O52" t="s">
        <v>7622</v>
      </c>
    </row>
    <row r="53" spans="1:15" x14ac:dyDescent="0.25">
      <c r="A53" t="s">
        <v>3725</v>
      </c>
      <c r="B53" t="s">
        <v>7612</v>
      </c>
      <c r="C53" t="s">
        <v>7645</v>
      </c>
      <c r="D53" t="s">
        <v>3536</v>
      </c>
      <c r="E53" t="s">
        <v>3451</v>
      </c>
      <c r="F53" t="s">
        <v>3531</v>
      </c>
      <c r="G53" t="s">
        <v>7622</v>
      </c>
      <c r="H53" t="s">
        <v>3536</v>
      </c>
      <c r="I53" t="s">
        <v>7686</v>
      </c>
      <c r="J53" t="s">
        <v>3539</v>
      </c>
      <c r="K53" t="s">
        <v>7622</v>
      </c>
    </row>
    <row r="54" spans="1:15" x14ac:dyDescent="0.25">
      <c r="A54" t="s">
        <v>3730</v>
      </c>
      <c r="B54" t="s">
        <v>7612</v>
      </c>
      <c r="C54" t="s">
        <v>7645</v>
      </c>
      <c r="D54" t="s">
        <v>7612</v>
      </c>
      <c r="E54" t="s">
        <v>7687</v>
      </c>
      <c r="F54" t="s">
        <v>3539</v>
      </c>
      <c r="G54" t="s">
        <v>7622</v>
      </c>
    </row>
    <row r="55" spans="1:15" x14ac:dyDescent="0.25">
      <c r="A55" t="s">
        <v>3734</v>
      </c>
      <c r="B55" t="s">
        <v>7612</v>
      </c>
      <c r="C55" t="s">
        <v>7645</v>
      </c>
      <c r="D55" t="s">
        <v>7544</v>
      </c>
      <c r="E55" t="s">
        <v>7614</v>
      </c>
      <c r="F55" t="s">
        <v>7651</v>
      </c>
      <c r="G55" t="s">
        <v>7622</v>
      </c>
    </row>
    <row r="56" spans="1:15" x14ac:dyDescent="0.25">
      <c r="A56" t="s">
        <v>3739</v>
      </c>
      <c r="B56" t="s">
        <v>7612</v>
      </c>
      <c r="C56" t="s">
        <v>7645</v>
      </c>
      <c r="D56" t="s">
        <v>5570</v>
      </c>
      <c r="E56" t="s">
        <v>7664</v>
      </c>
      <c r="F56" t="s">
        <v>3539</v>
      </c>
      <c r="G56" t="s">
        <v>7622</v>
      </c>
    </row>
    <row r="57" spans="1:15" x14ac:dyDescent="0.25">
      <c r="A57" t="s">
        <v>3742</v>
      </c>
      <c r="B57" t="s">
        <v>7659</v>
      </c>
      <c r="C57" t="s">
        <v>7690</v>
      </c>
      <c r="D57" t="s">
        <v>7544</v>
      </c>
      <c r="E57" t="s">
        <v>7692</v>
      </c>
      <c r="F57" t="s">
        <v>7691</v>
      </c>
      <c r="G57" t="s">
        <v>7622</v>
      </c>
    </row>
    <row r="58" spans="1:15" x14ac:dyDescent="0.25">
      <c r="A58" t="s">
        <v>7413</v>
      </c>
      <c r="B58" t="s">
        <v>7612</v>
      </c>
      <c r="C58" t="s">
        <v>7645</v>
      </c>
      <c r="D58" t="s">
        <v>7609</v>
      </c>
      <c r="E58" t="s">
        <v>7615</v>
      </c>
      <c r="F58" t="s">
        <v>7651</v>
      </c>
      <c r="G58" t="s">
        <v>7622</v>
      </c>
    </row>
    <row r="59" spans="1:15" x14ac:dyDescent="0.25">
      <c r="A59" t="s">
        <v>3747</v>
      </c>
      <c r="B59" t="s">
        <v>7612</v>
      </c>
      <c r="C59" t="s">
        <v>7645</v>
      </c>
      <c r="D59" t="s">
        <v>3536</v>
      </c>
      <c r="E59" t="s">
        <v>3450</v>
      </c>
      <c r="F59" t="s">
        <v>7624</v>
      </c>
      <c r="G59" t="s">
        <v>7622</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4349</v>
      </c>
    </row>
    <row r="2" spans="1:28" x14ac:dyDescent="0.25">
      <c r="A2" s="15" t="s">
        <v>4350</v>
      </c>
    </row>
    <row r="4" spans="1:28" ht="25.5" customHeight="1" x14ac:dyDescent="0.25">
      <c r="A4" s="16" t="s">
        <v>4351</v>
      </c>
      <c r="B4" s="16" t="s">
        <v>4352</v>
      </c>
      <c r="C4" s="16" t="s">
        <v>4353</v>
      </c>
      <c r="E4" s="16" t="s">
        <v>4354</v>
      </c>
      <c r="F4" s="16" t="s">
        <v>4355</v>
      </c>
      <c r="G4" s="16" t="s">
        <v>172</v>
      </c>
      <c r="I4" s="16" t="s">
        <v>4356</v>
      </c>
      <c r="J4" s="16" t="s">
        <v>4355</v>
      </c>
      <c r="K4" s="16" t="s">
        <v>172</v>
      </c>
      <c r="L4" s="16" t="s">
        <v>4357</v>
      </c>
      <c r="N4" s="16" t="s">
        <v>4358</v>
      </c>
      <c r="O4" s="16" t="s">
        <v>1</v>
      </c>
      <c r="P4" s="16" t="s">
        <v>4354</v>
      </c>
      <c r="R4" s="16" t="s">
        <v>4358</v>
      </c>
      <c r="S4" s="16" t="s">
        <v>4359</v>
      </c>
      <c r="T4" s="16" t="s">
        <v>4354</v>
      </c>
      <c r="V4" s="16" t="s">
        <v>166</v>
      </c>
      <c r="W4" s="16" t="s">
        <v>4355</v>
      </c>
      <c r="X4" s="16" t="s">
        <v>172</v>
      </c>
      <c r="Y4" s="16" t="s">
        <v>4360</v>
      </c>
      <c r="AA4" s="16" t="s">
        <v>4361</v>
      </c>
      <c r="AB4" s="16" t="s">
        <v>4360</v>
      </c>
    </row>
    <row r="5" spans="1:28" x14ac:dyDescent="0.25">
      <c r="A5" s="17" t="s">
        <v>4355</v>
      </c>
      <c r="B5" s="18">
        <f>COUNTA(games!$A$2:$A$950)</f>
        <v>856</v>
      </c>
      <c r="C5" s="19" t="s">
        <v>4362</v>
      </c>
      <c r="E5" t="s">
        <v>4363</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4364</v>
      </c>
      <c r="B6" s="18">
        <f>COUNTIF(games!$H$2:$H$950,"Yes")</f>
        <v>523</v>
      </c>
      <c r="C6" s="19" t="s">
        <v>4365</v>
      </c>
      <c r="E6" t="s">
        <v>4366</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4367</v>
      </c>
      <c r="B7" s="21">
        <f>IF(B5=0,0,B6/B5)</f>
        <v>0.61098130841121501</v>
      </c>
      <c r="C7" s="19" t="s">
        <v>4368</v>
      </c>
      <c r="E7" t="s">
        <v>4369</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4360</v>
      </c>
      <c r="B8" s="18">
        <f>COUNTA(connections!$A$2:$A$1400)</f>
        <v>1237</v>
      </c>
      <c r="C8" s="19" t="s">
        <v>4370</v>
      </c>
      <c r="E8" t="s">
        <v>4371</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51</v>
      </c>
      <c r="R8">
        <v>4</v>
      </c>
      <c r="S8" t="str">
        <f>IFERROR(INDEX('Map Calc'!$A$2:$A$950,MATCH(LARGE('Map Calc'!$Q$2:$Q$950,4),'Map Calc'!$Q$2:$Q$950,0)),"")</f>
        <v>Balatro</v>
      </c>
      <c r="T8">
        <f>IFERROR(INDEX('Map Calc'!$D$2:$D$950,MATCH(LARGE('Map Calc'!$Q$2:$Q$950,4),'Map Calc'!$Q$2:$Q$950,0)),"")</f>
        <v>51</v>
      </c>
      <c r="V8">
        <v>1981</v>
      </c>
      <c r="W8">
        <f>COUNTIF(games!$B$2:$B$950,$V8)</f>
        <v>0</v>
      </c>
      <c r="X8">
        <f>COUNTIFS(games!$B$2:$B$950,$V8,games!$H$2:$H$950,"Yes")</f>
        <v>0</v>
      </c>
      <c r="Y8">
        <f>COUNTIF('Map Calc'!$T$2:$T$1400,$V8)</f>
        <v>0</v>
      </c>
      <c r="AA8">
        <v>3</v>
      </c>
      <c r="AB8">
        <f>COUNTIF('Map Calc'!$V$2:$V$1400,$AA8)</f>
        <v>149</v>
      </c>
    </row>
    <row r="9" spans="1:28" x14ac:dyDescent="0.25">
      <c r="A9" s="17" t="s">
        <v>4372</v>
      </c>
      <c r="B9" s="22">
        <f>IF(B5=0,0,2*B8/B5)</f>
        <v>2.8901869158878504</v>
      </c>
      <c r="C9" s="19" t="s">
        <v>4373</v>
      </c>
      <c r="E9" t="s">
        <v>4374</v>
      </c>
      <c r="F9">
        <f>COUNTIF('Map Calc'!$D$2:$D$950,4)</f>
        <v>46</v>
      </c>
      <c r="G9">
        <f>COUNTIFS('Map Calc'!$D$2:$D$950,4,'Map Calc'!$P$2:$P$950,"Yes")</f>
        <v>27</v>
      </c>
      <c r="I9" s="23" t="s">
        <v>39</v>
      </c>
      <c r="J9" s="23">
        <f>SUM(J5:J8)</f>
        <v>856</v>
      </c>
      <c r="K9" s="23">
        <f>SUM(K5:K8)</f>
        <v>523</v>
      </c>
      <c r="L9" s="24">
        <f>IF($J9=0,0,$K9/$J9)</f>
        <v>0.61098130841121501</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138</v>
      </c>
    </row>
    <row r="10" spans="1:28" x14ac:dyDescent="0.25">
      <c r="A10" s="17" t="s">
        <v>4375</v>
      </c>
      <c r="B10" s="22">
        <f>IFERROR(SUMIFS('Map Calc'!$D$2:$D$950,games!$H$2:$H$950,"Yes")/B6,0)</f>
        <v>3.5678776290630974</v>
      </c>
      <c r="C10" s="19" t="s">
        <v>4376</v>
      </c>
      <c r="E10" t="s">
        <v>4377</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118</v>
      </c>
    </row>
    <row r="11" spans="1:28" x14ac:dyDescent="0.25">
      <c r="A11" s="17" t="s">
        <v>4378</v>
      </c>
      <c r="B11" s="18">
        <f>MEDIAN('Map Calc'!$D$2:$D$950)</f>
        <v>2</v>
      </c>
      <c r="C11" s="19" t="s">
        <v>4379</v>
      </c>
      <c r="E11" t="s">
        <v>4380</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4381</v>
      </c>
      <c r="B12" s="18">
        <f>MAX('Map Calc'!$D$2:$D$950)</f>
        <v>146</v>
      </c>
      <c r="C12" s="19" t="s">
        <v>4382</v>
      </c>
      <c r="E12" t="s">
        <v>4383</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4384</v>
      </c>
      <c r="B13" s="18">
        <f>COUNTIF('Map Calc'!$D$2:$D$950,1)</f>
        <v>335</v>
      </c>
      <c r="C13" s="19" t="s">
        <v>4385</v>
      </c>
      <c r="E13" t="s">
        <v>4386</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4387</v>
      </c>
      <c r="B14" s="18">
        <f>COUNTIF('Map Calc'!$D$2:$D$950,0)</f>
        <v>81</v>
      </c>
      <c r="C14" s="19" t="s">
        <v>4388</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4389</v>
      </c>
      <c r="B15" s="18">
        <f>B13+B14</f>
        <v>416</v>
      </c>
      <c r="C15" s="19" t="s">
        <v>4390</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4391</v>
      </c>
      <c r="B16" s="18">
        <f>COUNTIFS(games!$H$2:$H$950,"Yes",'Map Calc'!$D$2:$D$950,"&gt;1")</f>
        <v>278</v>
      </c>
      <c r="C16" s="19" t="s">
        <v>4392</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4393</v>
      </c>
      <c r="AB16">
        <f>COUNTIFS('Map Calc'!$V$2:$V$1400,"&gt;=11",'Map Calc'!$V$2:$V$1400,"&lt;=20")</f>
        <v>146</v>
      </c>
    </row>
    <row r="17" spans="1:28" x14ac:dyDescent="0.25">
      <c r="A17" s="17" t="s">
        <v>4394</v>
      </c>
      <c r="B17" s="18">
        <f>COUNTIFS(games!$H$2:$H$950,"Yes",'Map Calc'!$D$2:$D$950,"&lt;=1")</f>
        <v>245</v>
      </c>
      <c r="C17" s="19" t="s">
        <v>4395</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4396</v>
      </c>
      <c r="AB17">
        <f>COUNTIF('Map Calc'!$V$2:$V$1400,"&gt;=21")</f>
        <v>84</v>
      </c>
    </row>
    <row r="18" spans="1:28" x14ac:dyDescent="0.25">
      <c r="A18" s="17" t="s">
        <v>4397</v>
      </c>
      <c r="B18" s="25">
        <f>SUMPRODUCT(('Map Calc'!$V$2:$V$1400&lt;&gt;"")*('Map Calc'!$V$2:$V$1400&lt;0))</f>
        <v>3</v>
      </c>
      <c r="C18" s="19" t="s">
        <v>4398</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4399</v>
      </c>
      <c r="B19" s="18">
        <f>SUMPRODUCT(('Map Calc'!$V$2:$V$1400&lt;&gt;"")*('Map Calc'!$V$2:$V$1400=0))</f>
        <v>11</v>
      </c>
      <c r="C19" s="19" t="s">
        <v>4400</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4401</v>
      </c>
      <c r="B20" s="26">
        <f>MEDIAN('Map Calc'!$V$2:$V$1400)</f>
        <v>5</v>
      </c>
      <c r="C20" s="19" t="s">
        <v>4402</v>
      </c>
      <c r="V20">
        <v>1993</v>
      </c>
      <c r="W20">
        <f>COUNTIF(games!$B$2:$B$950,$V20)</f>
        <v>2</v>
      </c>
      <c r="X20">
        <f>COUNTIFS(games!$B$2:$B$950,$V20,games!$H$2:$H$950,"Yes")</f>
        <v>1</v>
      </c>
      <c r="Y20">
        <f>COUNTIF('Map Calc'!$T$2:$T$1400,$V20)</f>
        <v>25</v>
      </c>
    </row>
    <row r="21" spans="1:28" x14ac:dyDescent="0.25">
      <c r="A21" s="17" t="s">
        <v>4403</v>
      </c>
      <c r="B21" s="18">
        <f>COUNTIF(connections!$D$2:$D$1400,"Yes")</f>
        <v>139</v>
      </c>
      <c r="C21" s="19" t="s">
        <v>4404</v>
      </c>
      <c r="V21">
        <v>1994</v>
      </c>
      <c r="W21">
        <f>COUNTIF(games!$B$2:$B$950,$V21)</f>
        <v>3</v>
      </c>
      <c r="X21">
        <f>COUNTIFS(games!$B$2:$B$950,$V21,games!$H$2:$H$950,"Yes")</f>
        <v>3</v>
      </c>
      <c r="Y21">
        <f>COUNTIF('Map Calc'!$T$2:$T$1400,$V21)</f>
        <v>22</v>
      </c>
    </row>
    <row r="22" spans="1:28" x14ac:dyDescent="0.25">
      <c r="A22" s="17" t="s">
        <v>4405</v>
      </c>
      <c r="B22" s="18">
        <f>COUNTA(connections!$E$2:$E$1400)</f>
        <v>1096</v>
      </c>
      <c r="C22" s="19" t="s">
        <v>4406</v>
      </c>
      <c r="V22">
        <v>1995</v>
      </c>
      <c r="W22">
        <f>COUNTIF(games!$B$2:$B$950,$V22)</f>
        <v>2</v>
      </c>
      <c r="X22">
        <f>COUNTIFS(games!$B$2:$B$950,$V22,games!$H$2:$H$950,"Yes")</f>
        <v>2</v>
      </c>
      <c r="Y22">
        <f>COUNTIF('Map Calc'!$T$2:$T$1400,$V22)</f>
        <v>12</v>
      </c>
    </row>
    <row r="23" spans="1:28" x14ac:dyDescent="0.25">
      <c r="A23" s="17" t="s">
        <v>4407</v>
      </c>
      <c r="B23" s="18">
        <f>COUNTIFS(games!$H$2:$H$950,"Yes",games!$J$2:$J$950,"")</f>
        <v>86</v>
      </c>
      <c r="C23" s="19" t="s">
        <v>4408</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157</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82</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84</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4409</v>
      </c>
      <c r="B2" t="s">
        <v>4410</v>
      </c>
      <c r="C2" t="s">
        <v>1047</v>
      </c>
      <c r="D2" t="s">
        <v>4411</v>
      </c>
      <c r="E2" t="s">
        <v>4412</v>
      </c>
    </row>
    <row r="3" spans="1:5" ht="15" customHeight="1" x14ac:dyDescent="0.25">
      <c r="A3" t="s">
        <v>4413</v>
      </c>
      <c r="B3" t="s">
        <v>4414</v>
      </c>
      <c r="C3" t="s">
        <v>1047</v>
      </c>
      <c r="D3" t="s">
        <v>4415</v>
      </c>
      <c r="E3" t="s">
        <v>4412</v>
      </c>
    </row>
    <row r="4" spans="1:5" ht="15" customHeight="1" x14ac:dyDescent="0.25">
      <c r="A4" t="s">
        <v>4416</v>
      </c>
      <c r="B4" t="s">
        <v>4414</v>
      </c>
      <c r="C4" t="s">
        <v>1047</v>
      </c>
      <c r="D4" t="s">
        <v>4417</v>
      </c>
      <c r="E4" t="s">
        <v>4412</v>
      </c>
    </row>
    <row r="5" spans="1:5" ht="15" customHeight="1" x14ac:dyDescent="0.25">
      <c r="A5" t="s">
        <v>4418</v>
      </c>
      <c r="B5" t="s">
        <v>4419</v>
      </c>
      <c r="C5" t="s">
        <v>1047</v>
      </c>
      <c r="D5" t="s">
        <v>4420</v>
      </c>
      <c r="E5" t="s">
        <v>4412</v>
      </c>
    </row>
    <row r="6" spans="1:5" ht="15" customHeight="1" x14ac:dyDescent="0.25">
      <c r="A6" t="s">
        <v>4421</v>
      </c>
      <c r="B6" t="s">
        <v>4419</v>
      </c>
      <c r="C6" t="s">
        <v>1047</v>
      </c>
      <c r="D6" t="s">
        <v>4422</v>
      </c>
      <c r="E6" t="s">
        <v>4412</v>
      </c>
    </row>
    <row r="7" spans="1:5" ht="15" customHeight="1" x14ac:dyDescent="0.25">
      <c r="A7" t="s">
        <v>4423</v>
      </c>
      <c r="B7" t="s">
        <v>4410</v>
      </c>
      <c r="C7" t="s">
        <v>160</v>
      </c>
      <c r="D7" t="s">
        <v>4411</v>
      </c>
      <c r="E7" t="s">
        <v>4424</v>
      </c>
    </row>
    <row r="8" spans="1:5" ht="15" customHeight="1" x14ac:dyDescent="0.25">
      <c r="A8" t="s">
        <v>4342</v>
      </c>
      <c r="B8" t="s">
        <v>4410</v>
      </c>
      <c r="C8" t="s">
        <v>160</v>
      </c>
      <c r="D8" t="s">
        <v>4425</v>
      </c>
      <c r="E8" t="s">
        <v>4424</v>
      </c>
    </row>
    <row r="9" spans="1:5" ht="15" customHeight="1" x14ac:dyDescent="0.25">
      <c r="A9" t="s">
        <v>4346</v>
      </c>
      <c r="B9" t="s">
        <v>4410</v>
      </c>
      <c r="C9" t="s">
        <v>160</v>
      </c>
      <c r="D9" t="s">
        <v>4426</v>
      </c>
      <c r="E9" t="s">
        <v>4424</v>
      </c>
    </row>
    <row r="10" spans="1:5" ht="15" customHeight="1" x14ac:dyDescent="0.25">
      <c r="A10" t="s">
        <v>4427</v>
      </c>
      <c r="B10" t="s">
        <v>4414</v>
      </c>
      <c r="C10" t="s">
        <v>160</v>
      </c>
      <c r="D10" t="s">
        <v>4415</v>
      </c>
      <c r="E10" t="s">
        <v>4424</v>
      </c>
    </row>
    <row r="11" spans="1:5" ht="15" customHeight="1" x14ac:dyDescent="0.25">
      <c r="A11" t="s">
        <v>4428</v>
      </c>
      <c r="B11" t="s">
        <v>4414</v>
      </c>
      <c r="C11" t="s">
        <v>160</v>
      </c>
      <c r="D11" t="s">
        <v>4429</v>
      </c>
      <c r="E11" t="s">
        <v>4424</v>
      </c>
    </row>
    <row r="12" spans="1:5" ht="15" customHeight="1" x14ac:dyDescent="0.25">
      <c r="A12" t="s">
        <v>4430</v>
      </c>
      <c r="B12" t="s">
        <v>4414</v>
      </c>
      <c r="C12" t="s">
        <v>160</v>
      </c>
      <c r="D12" t="s">
        <v>4422</v>
      </c>
      <c r="E12" t="s">
        <v>4424</v>
      </c>
    </row>
    <row r="13" spans="1:5" ht="15" customHeight="1" x14ac:dyDescent="0.25">
      <c r="A13" t="s">
        <v>4431</v>
      </c>
      <c r="B13" t="s">
        <v>4419</v>
      </c>
      <c r="C13" t="s">
        <v>160</v>
      </c>
      <c r="D13" t="s">
        <v>4432</v>
      </c>
      <c r="E13" t="s">
        <v>4424</v>
      </c>
    </row>
    <row r="14" spans="1:5" ht="15" customHeight="1" x14ac:dyDescent="0.25">
      <c r="A14" t="s">
        <v>4433</v>
      </c>
      <c r="B14" t="s">
        <v>4419</v>
      </c>
      <c r="C14" t="s">
        <v>160</v>
      </c>
      <c r="D14" t="s">
        <v>4434</v>
      </c>
      <c r="E14" t="s">
        <v>4424</v>
      </c>
    </row>
    <row r="15" spans="1:5" ht="15" customHeight="1" x14ac:dyDescent="0.25">
      <c r="A15" t="s">
        <v>4435</v>
      </c>
      <c r="B15" t="s">
        <v>4419</v>
      </c>
      <c r="C15" t="s">
        <v>160</v>
      </c>
      <c r="D15" t="s">
        <v>4436</v>
      </c>
      <c r="E15" t="s">
        <v>4424</v>
      </c>
    </row>
    <row r="16" spans="1:5" ht="15" customHeight="1" x14ac:dyDescent="0.25">
      <c r="A16" t="s">
        <v>4437</v>
      </c>
      <c r="B16" t="s">
        <v>4410</v>
      </c>
      <c r="C16" t="s">
        <v>1295</v>
      </c>
      <c r="D16" t="s">
        <v>4422</v>
      </c>
      <c r="E16" t="s">
        <v>4438</v>
      </c>
    </row>
    <row r="17" spans="1:5" ht="15" customHeight="1" x14ac:dyDescent="0.25">
      <c r="A17" t="s">
        <v>4439</v>
      </c>
      <c r="B17" t="s">
        <v>4410</v>
      </c>
      <c r="C17" t="s">
        <v>1295</v>
      </c>
      <c r="D17" t="s">
        <v>4425</v>
      </c>
      <c r="E17" t="s">
        <v>4438</v>
      </c>
    </row>
    <row r="18" spans="1:5" ht="15" customHeight="1" x14ac:dyDescent="0.25">
      <c r="A18" t="s">
        <v>4440</v>
      </c>
      <c r="B18" t="s">
        <v>4414</v>
      </c>
      <c r="C18" t="s">
        <v>1295</v>
      </c>
      <c r="D18" t="s">
        <v>4429</v>
      </c>
      <c r="E18" t="s">
        <v>4438</v>
      </c>
    </row>
    <row r="19" spans="1:5" ht="15" customHeight="1" x14ac:dyDescent="0.25">
      <c r="A19" t="s">
        <v>4436</v>
      </c>
      <c r="B19" t="s">
        <v>4414</v>
      </c>
      <c r="C19" t="s">
        <v>1295</v>
      </c>
      <c r="D19" t="s">
        <v>4436</v>
      </c>
      <c r="E19" t="s">
        <v>4438</v>
      </c>
    </row>
    <row r="20" spans="1:5" ht="15" customHeight="1" x14ac:dyDescent="0.25">
      <c r="A20" t="s">
        <v>4441</v>
      </c>
      <c r="B20" t="s">
        <v>4419</v>
      </c>
      <c r="C20" t="s">
        <v>1295</v>
      </c>
      <c r="D20" t="s">
        <v>4411</v>
      </c>
      <c r="E20" t="s">
        <v>4438</v>
      </c>
    </row>
    <row r="21" spans="1:5" ht="15" customHeight="1" x14ac:dyDescent="0.25">
      <c r="A21" t="s">
        <v>4442</v>
      </c>
      <c r="B21" t="s">
        <v>4410</v>
      </c>
      <c r="C21" t="s">
        <v>2137</v>
      </c>
      <c r="D21" t="s">
        <v>4443</v>
      </c>
      <c r="E21" t="s">
        <v>4444</v>
      </c>
    </row>
    <row r="22" spans="1:5" ht="15" customHeight="1" x14ac:dyDescent="0.25">
      <c r="A22" t="s">
        <v>4445</v>
      </c>
      <c r="B22" t="s">
        <v>4410</v>
      </c>
      <c r="C22" t="s">
        <v>2137</v>
      </c>
      <c r="D22" t="s">
        <v>4446</v>
      </c>
      <c r="E22" t="s">
        <v>4444</v>
      </c>
    </row>
    <row r="23" spans="1:5" ht="15" customHeight="1" x14ac:dyDescent="0.25">
      <c r="A23" t="s">
        <v>4447</v>
      </c>
      <c r="B23" t="s">
        <v>4410</v>
      </c>
      <c r="C23" t="s">
        <v>2137</v>
      </c>
      <c r="D23" t="s">
        <v>4417</v>
      </c>
      <c r="E23" t="s">
        <v>4444</v>
      </c>
    </row>
    <row r="24" spans="1:5" ht="15" customHeight="1" x14ac:dyDescent="0.25">
      <c r="A24" t="s">
        <v>4448</v>
      </c>
      <c r="B24" t="s">
        <v>4410</v>
      </c>
      <c r="C24" t="s">
        <v>2137</v>
      </c>
      <c r="D24" t="s">
        <v>4449</v>
      </c>
      <c r="E24" t="s">
        <v>4444</v>
      </c>
    </row>
    <row r="25" spans="1:5" ht="15" customHeight="1" x14ac:dyDescent="0.25">
      <c r="A25" t="s">
        <v>4450</v>
      </c>
      <c r="B25" t="s">
        <v>4414</v>
      </c>
      <c r="C25" t="s">
        <v>2137</v>
      </c>
      <c r="D25" t="s">
        <v>4417</v>
      </c>
      <c r="E25" t="s">
        <v>4444</v>
      </c>
    </row>
    <row r="26" spans="1:5" ht="15" customHeight="1" x14ac:dyDescent="0.25">
      <c r="A26" t="s">
        <v>4451</v>
      </c>
      <c r="B26" t="s">
        <v>4414</v>
      </c>
      <c r="C26" t="s">
        <v>2137</v>
      </c>
      <c r="D26" t="s">
        <v>4425</v>
      </c>
      <c r="E26" t="s">
        <v>4444</v>
      </c>
    </row>
    <row r="27" spans="1:5" ht="15" customHeight="1" x14ac:dyDescent="0.25">
      <c r="A27" t="s">
        <v>4452</v>
      </c>
      <c r="B27" t="s">
        <v>4414</v>
      </c>
      <c r="C27" t="s">
        <v>2137</v>
      </c>
      <c r="D27" t="s">
        <v>4443</v>
      </c>
      <c r="E27" t="s">
        <v>4444</v>
      </c>
    </row>
    <row r="28" spans="1:5" ht="15" customHeight="1" x14ac:dyDescent="0.25">
      <c r="A28" t="s">
        <v>4453</v>
      </c>
      <c r="B28" t="s">
        <v>4414</v>
      </c>
      <c r="C28" t="s">
        <v>2137</v>
      </c>
      <c r="D28" t="s">
        <v>4454</v>
      </c>
      <c r="E28" t="s">
        <v>4444</v>
      </c>
    </row>
    <row r="29" spans="1:5" ht="15" customHeight="1" x14ac:dyDescent="0.25">
      <c r="A29" t="s">
        <v>4455</v>
      </c>
      <c r="B29" t="s">
        <v>4419</v>
      </c>
      <c r="C29" t="s">
        <v>2137</v>
      </c>
      <c r="D29" t="s">
        <v>4456</v>
      </c>
      <c r="E29" t="s">
        <v>4444</v>
      </c>
    </row>
    <row r="30" spans="1:5" ht="15" customHeight="1" x14ac:dyDescent="0.25">
      <c r="A30" t="s">
        <v>4457</v>
      </c>
      <c r="B30" t="s">
        <v>4419</v>
      </c>
      <c r="C30" t="s">
        <v>2137</v>
      </c>
      <c r="D30" t="s">
        <v>4458</v>
      </c>
      <c r="E30" t="s">
        <v>4444</v>
      </c>
    </row>
    <row r="31" spans="1:5" ht="15" customHeight="1" x14ac:dyDescent="0.25">
      <c r="A31" t="s">
        <v>4459</v>
      </c>
      <c r="B31" t="s">
        <v>4410</v>
      </c>
      <c r="C31" t="s">
        <v>553</v>
      </c>
      <c r="D31" t="s">
        <v>4449</v>
      </c>
      <c r="E31" t="s">
        <v>4460</v>
      </c>
    </row>
    <row r="32" spans="1:5" ht="15" customHeight="1" x14ac:dyDescent="0.25">
      <c r="A32" t="s">
        <v>4461</v>
      </c>
      <c r="B32" t="s">
        <v>4419</v>
      </c>
      <c r="C32" t="s">
        <v>553</v>
      </c>
      <c r="D32" t="s">
        <v>4449</v>
      </c>
      <c r="E32" t="s">
        <v>4460</v>
      </c>
    </row>
    <row r="33" spans="1:5" ht="15" customHeight="1" x14ac:dyDescent="0.25">
      <c r="A33" t="s">
        <v>4462</v>
      </c>
      <c r="B33" t="s">
        <v>4414</v>
      </c>
      <c r="C33" t="s">
        <v>553</v>
      </c>
      <c r="D33" t="s">
        <v>4415</v>
      </c>
      <c r="E33" t="s">
        <v>4460</v>
      </c>
    </row>
    <row r="34" spans="1:5" ht="15" customHeight="1" x14ac:dyDescent="0.25">
      <c r="A34" t="s">
        <v>4463</v>
      </c>
      <c r="B34" t="s">
        <v>4419</v>
      </c>
      <c r="C34" t="s">
        <v>553</v>
      </c>
      <c r="D34" t="s">
        <v>4458</v>
      </c>
      <c r="E34" t="s">
        <v>4460</v>
      </c>
    </row>
    <row r="35" spans="1:5" ht="15" customHeight="1" x14ac:dyDescent="0.25">
      <c r="A35" t="s">
        <v>4464</v>
      </c>
      <c r="B35" t="s">
        <v>4414</v>
      </c>
      <c r="C35" t="s">
        <v>553</v>
      </c>
      <c r="D35" t="s">
        <v>4443</v>
      </c>
      <c r="E35" t="s">
        <v>4460</v>
      </c>
    </row>
    <row r="36" spans="1:5" ht="15" customHeight="1" x14ac:dyDescent="0.25">
      <c r="A36" t="s">
        <v>4465</v>
      </c>
      <c r="B36" t="s">
        <v>4410</v>
      </c>
      <c r="C36" t="s">
        <v>553</v>
      </c>
      <c r="D36" t="s">
        <v>4415</v>
      </c>
      <c r="E36" t="s">
        <v>4460</v>
      </c>
    </row>
    <row r="37" spans="1:5" ht="15" customHeight="1" x14ac:dyDescent="0.25">
      <c r="A37" t="s">
        <v>4466</v>
      </c>
      <c r="B37" t="s">
        <v>4410</v>
      </c>
      <c r="C37" t="s">
        <v>501</v>
      </c>
      <c r="D37" t="s">
        <v>4446</v>
      </c>
      <c r="E37" t="s">
        <v>4467</v>
      </c>
    </row>
    <row r="38" spans="1:5" ht="15" customHeight="1" x14ac:dyDescent="0.25">
      <c r="A38" t="s">
        <v>4468</v>
      </c>
      <c r="B38" t="s">
        <v>4414</v>
      </c>
      <c r="C38" t="s">
        <v>501</v>
      </c>
      <c r="D38" t="s">
        <v>4429</v>
      </c>
      <c r="E38" t="s">
        <v>4467</v>
      </c>
    </row>
    <row r="39" spans="1:5" ht="15" customHeight="1" x14ac:dyDescent="0.25">
      <c r="A39" t="s">
        <v>4469</v>
      </c>
      <c r="B39" t="s">
        <v>4419</v>
      </c>
      <c r="C39" t="s">
        <v>501</v>
      </c>
      <c r="D39" t="s">
        <v>4436</v>
      </c>
      <c r="E39" t="s">
        <v>4467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4470</v>
      </c>
      <c r="E2" t="s">
        <v>4471</v>
      </c>
      <c r="F2" t="s">
        <v>497</v>
      </c>
      <c r="G2" t="s">
        <v>3522</v>
      </c>
      <c r="H2" t="s">
        <v>3523</v>
      </c>
      <c r="I2" t="s">
        <v>3467</v>
      </c>
      <c r="J2" t="s">
        <v>3449</v>
      </c>
    </row>
    <row r="3" spans="1:10" ht="15" customHeight="1" x14ac:dyDescent="0.25">
      <c r="A3" t="s">
        <v>3524</v>
      </c>
      <c r="B3" t="s">
        <v>41</v>
      </c>
      <c r="C3" t="s">
        <v>3525</v>
      </c>
      <c r="D3" t="s">
        <v>4472</v>
      </c>
      <c r="E3" t="s">
        <v>4473</v>
      </c>
      <c r="F3" t="s">
        <v>90</v>
      </c>
      <c r="G3" t="s">
        <v>3527</v>
      </c>
      <c r="H3" t="s">
        <v>3524</v>
      </c>
      <c r="I3" t="s">
        <v>3467</v>
      </c>
      <c r="J3" t="s">
        <v>3528</v>
      </c>
    </row>
    <row r="4" spans="1:10" ht="15" customHeight="1" x14ac:dyDescent="0.25">
      <c r="A4" t="s">
        <v>4474</v>
      </c>
      <c r="B4" t="s">
        <v>3530</v>
      </c>
      <c r="C4" t="s">
        <v>4475</v>
      </c>
      <c r="D4" t="s">
        <v>4476</v>
      </c>
      <c r="E4" t="s">
        <v>4477</v>
      </c>
      <c r="F4" t="s">
        <v>1650</v>
      </c>
      <c r="G4" t="s">
        <v>4478</v>
      </c>
      <c r="H4" t="s">
        <v>4479</v>
      </c>
      <c r="I4" t="s">
        <v>3467</v>
      </c>
      <c r="J4" t="s">
        <v>3528</v>
      </c>
    </row>
    <row r="5" spans="1:10" ht="15" customHeight="1" x14ac:dyDescent="0.25">
      <c r="A5" t="s">
        <v>4480</v>
      </c>
      <c r="B5" t="s">
        <v>41</v>
      </c>
      <c r="C5" t="s">
        <v>3539</v>
      </c>
      <c r="D5" t="s">
        <v>4481</v>
      </c>
      <c r="E5" t="s">
        <v>4482</v>
      </c>
      <c r="F5" t="s">
        <v>1047</v>
      </c>
      <c r="G5" t="s">
        <v>4483</v>
      </c>
      <c r="H5" t="s">
        <v>4484</v>
      </c>
      <c r="I5" t="s">
        <v>3467</v>
      </c>
      <c r="J5" t="s">
        <v>3536</v>
      </c>
    </row>
    <row r="6" spans="1:10" ht="15" customHeight="1" x14ac:dyDescent="0.25">
      <c r="A6" t="s">
        <v>4485</v>
      </c>
      <c r="B6" t="s">
        <v>3530</v>
      </c>
      <c r="C6" t="s">
        <v>4475</v>
      </c>
      <c r="D6" t="s">
        <v>4486</v>
      </c>
      <c r="E6" t="s">
        <v>4487</v>
      </c>
      <c r="F6" t="s">
        <v>1047</v>
      </c>
      <c r="G6" t="s">
        <v>4488</v>
      </c>
      <c r="H6" t="s">
        <v>4485</v>
      </c>
      <c r="I6" t="s">
        <v>3467</v>
      </c>
      <c r="J6" t="s">
        <v>4489</v>
      </c>
    </row>
    <row r="7" spans="1:10" ht="15" customHeight="1" x14ac:dyDescent="0.25">
      <c r="A7" t="s">
        <v>4490</v>
      </c>
      <c r="B7" t="s">
        <v>3530</v>
      </c>
      <c r="C7" t="s">
        <v>3525</v>
      </c>
      <c r="D7" t="s">
        <v>4491</v>
      </c>
      <c r="E7" t="s">
        <v>4492</v>
      </c>
      <c r="F7" t="s">
        <v>1650</v>
      </c>
      <c r="G7" t="s">
        <v>4493</v>
      </c>
      <c r="H7" t="s">
        <v>4494</v>
      </c>
      <c r="I7" t="s">
        <v>3467</v>
      </c>
      <c r="J7" t="s">
        <v>3528</v>
      </c>
    </row>
    <row r="8" spans="1:10" ht="15" customHeight="1" x14ac:dyDescent="0.25">
      <c r="A8" t="s">
        <v>4495</v>
      </c>
      <c r="B8" t="s">
        <v>3518</v>
      </c>
      <c r="C8" t="s">
        <v>4496</v>
      </c>
      <c r="D8" t="s">
        <v>4497</v>
      </c>
      <c r="E8" t="s">
        <v>4498</v>
      </c>
      <c r="F8" t="s">
        <v>1622</v>
      </c>
      <c r="G8" t="s">
        <v>4499</v>
      </c>
      <c r="H8" t="s">
        <v>4500</v>
      </c>
      <c r="I8" t="s">
        <v>3467</v>
      </c>
      <c r="J8" t="s">
        <v>3536</v>
      </c>
    </row>
    <row r="9" spans="1:10" ht="15" customHeight="1" x14ac:dyDescent="0.25">
      <c r="A9" t="s">
        <v>4501</v>
      </c>
      <c r="B9" t="s">
        <v>3518</v>
      </c>
      <c r="C9" t="s">
        <v>3525</v>
      </c>
      <c r="D9" t="s">
        <v>4502</v>
      </c>
      <c r="E9" t="s">
        <v>4503</v>
      </c>
      <c r="F9" t="s">
        <v>1650</v>
      </c>
      <c r="G9" t="s">
        <v>4504</v>
      </c>
      <c r="H9" t="s">
        <v>4505</v>
      </c>
      <c r="I9" t="s">
        <v>3467</v>
      </c>
      <c r="J9" t="s">
        <v>4506</v>
      </c>
    </row>
    <row r="10" spans="1:10" ht="15" customHeight="1" x14ac:dyDescent="0.25">
      <c r="A10" t="s">
        <v>4507</v>
      </c>
      <c r="B10" t="s">
        <v>3518</v>
      </c>
      <c r="C10" t="s">
        <v>3525</v>
      </c>
      <c r="D10" t="s">
        <v>4508</v>
      </c>
      <c r="E10" t="s">
        <v>4509</v>
      </c>
      <c r="F10" t="s">
        <v>90</v>
      </c>
      <c r="G10" t="s">
        <v>4510</v>
      </c>
      <c r="H10" t="s">
        <v>4511</v>
      </c>
      <c r="I10" t="s">
        <v>3467</v>
      </c>
      <c r="J10" t="s">
        <v>3449</v>
      </c>
    </row>
    <row r="11" spans="1:10" ht="15" customHeight="1" x14ac:dyDescent="0.25">
      <c r="A11" t="s">
        <v>4512</v>
      </c>
      <c r="B11" t="s">
        <v>41</v>
      </c>
      <c r="C11" t="s">
        <v>4475</v>
      </c>
      <c r="D11" t="s">
        <v>4513</v>
      </c>
      <c r="E11" t="s">
        <v>4514</v>
      </c>
      <c r="F11" t="s">
        <v>1105</v>
      </c>
      <c r="G11" t="s">
        <v>3909</v>
      </c>
      <c r="H11" t="s">
        <v>4515</v>
      </c>
      <c r="I11" t="s">
        <v>3467</v>
      </c>
      <c r="J11" t="s">
        <v>4489</v>
      </c>
    </row>
    <row r="12" spans="1:10" ht="15" customHeight="1" x14ac:dyDescent="0.25">
      <c r="A12" t="s">
        <v>4516</v>
      </c>
      <c r="B12" t="s">
        <v>3518</v>
      </c>
      <c r="C12" t="s">
        <v>4475</v>
      </c>
      <c r="D12" t="s">
        <v>4517</v>
      </c>
      <c r="E12" t="s">
        <v>4518</v>
      </c>
      <c r="F12" t="s">
        <v>1622</v>
      </c>
      <c r="H12" t="s">
        <v>4519</v>
      </c>
      <c r="I12" t="s">
        <v>3467</v>
      </c>
      <c r="J12" t="s">
        <v>4520</v>
      </c>
    </row>
    <row r="13" spans="1:10" ht="15" customHeight="1" x14ac:dyDescent="0.25">
      <c r="A13" t="s">
        <v>4521</v>
      </c>
      <c r="B13" t="s">
        <v>41</v>
      </c>
      <c r="C13" t="s">
        <v>3525</v>
      </c>
      <c r="D13" t="s">
        <v>4522</v>
      </c>
      <c r="E13" t="s">
        <v>4523</v>
      </c>
      <c r="F13" t="s">
        <v>90</v>
      </c>
      <c r="G13" t="s">
        <v>3547</v>
      </c>
      <c r="H13" t="s">
        <v>4524</v>
      </c>
      <c r="I13" t="s">
        <v>3467</v>
      </c>
      <c r="J13" t="s">
        <v>3449</v>
      </c>
    </row>
    <row r="14" spans="1:10" ht="15" customHeight="1" x14ac:dyDescent="0.25">
      <c r="A14" t="s">
        <v>4525</v>
      </c>
      <c r="B14" t="s">
        <v>41</v>
      </c>
      <c r="C14" t="s">
        <v>3556</v>
      </c>
      <c r="D14" t="s">
        <v>4526</v>
      </c>
      <c r="E14" t="s">
        <v>4527</v>
      </c>
      <c r="F14" t="s">
        <v>497</v>
      </c>
      <c r="G14" t="s">
        <v>4528</v>
      </c>
      <c r="H14" t="s">
        <v>4529</v>
      </c>
      <c r="I14" t="s">
        <v>3467</v>
      </c>
      <c r="J14" t="s">
        <v>3536</v>
      </c>
    </row>
    <row r="15" spans="1:10" ht="15" customHeight="1" x14ac:dyDescent="0.25">
      <c r="A15" t="s">
        <v>4530</v>
      </c>
      <c r="B15" t="s">
        <v>3467</v>
      </c>
      <c r="C15" t="s">
        <v>4531</v>
      </c>
      <c r="D15" t="s">
        <v>4532</v>
      </c>
      <c r="F15" t="s">
        <v>1295</v>
      </c>
      <c r="H15" t="s">
        <v>4533</v>
      </c>
      <c r="I15" t="s">
        <v>3467</v>
      </c>
      <c r="J15" t="s">
        <v>4531</v>
      </c>
    </row>
    <row r="16" spans="1:10" ht="15" customHeight="1" x14ac:dyDescent="0.25">
      <c r="A16" t="s">
        <v>4534</v>
      </c>
      <c r="B16" t="s">
        <v>3467</v>
      </c>
      <c r="C16" t="s">
        <v>4531</v>
      </c>
      <c r="D16" t="s">
        <v>4535</v>
      </c>
      <c r="F16" t="s">
        <v>1295</v>
      </c>
      <c r="H16" t="s">
        <v>4536</v>
      </c>
      <c r="I16" t="s">
        <v>3467</v>
      </c>
      <c r="J16" t="s">
        <v>4531</v>
      </c>
    </row>
    <row r="17" spans="1:10" ht="15" customHeight="1" x14ac:dyDescent="0.25">
      <c r="A17" t="s">
        <v>4537</v>
      </c>
      <c r="B17" t="s">
        <v>3467</v>
      </c>
      <c r="C17" t="s">
        <v>4531</v>
      </c>
      <c r="D17" t="s">
        <v>4538</v>
      </c>
      <c r="F17" t="s">
        <v>1295</v>
      </c>
      <c r="H17" t="s">
        <v>4539</v>
      </c>
      <c r="I17" t="s">
        <v>3467</v>
      </c>
      <c r="J17" t="s">
        <v>4531</v>
      </c>
    </row>
    <row r="18" spans="1:10" ht="15" customHeight="1" x14ac:dyDescent="0.25">
      <c r="A18" t="s">
        <v>4540</v>
      </c>
      <c r="B18" t="s">
        <v>3467</v>
      </c>
      <c r="C18" t="s">
        <v>4531</v>
      </c>
      <c r="D18" t="s">
        <v>4541</v>
      </c>
      <c r="F18" t="s">
        <v>1295</v>
      </c>
      <c r="H18" t="s">
        <v>4542</v>
      </c>
      <c r="I18" t="s">
        <v>3467</v>
      </c>
      <c r="J18" t="s">
        <v>4531</v>
      </c>
    </row>
    <row r="19" spans="1:10" ht="15" customHeight="1" x14ac:dyDescent="0.25">
      <c r="A19" t="s">
        <v>4543</v>
      </c>
      <c r="B19" t="s">
        <v>3467</v>
      </c>
      <c r="C19" t="s">
        <v>4531</v>
      </c>
      <c r="D19" t="s">
        <v>4544</v>
      </c>
      <c r="F19" t="s">
        <v>1295</v>
      </c>
      <c r="H19" t="s">
        <v>4545</v>
      </c>
      <c r="I19" t="s">
        <v>3467</v>
      </c>
      <c r="J19" t="s">
        <v>4531</v>
      </c>
    </row>
    <row r="20" spans="1:10" ht="15" customHeight="1" x14ac:dyDescent="0.25">
      <c r="A20" t="s">
        <v>4546</v>
      </c>
      <c r="B20" t="s">
        <v>3467</v>
      </c>
      <c r="C20" t="s">
        <v>4531</v>
      </c>
      <c r="D20" t="s">
        <v>4547</v>
      </c>
      <c r="F20" t="s">
        <v>1295</v>
      </c>
      <c r="H20" t="s">
        <v>4548</v>
      </c>
      <c r="I20" t="s">
        <v>3467</v>
      </c>
      <c r="J20" t="s">
        <v>4531</v>
      </c>
    </row>
    <row r="21" spans="1:10" ht="15" customHeight="1" x14ac:dyDescent="0.25">
      <c r="A21" t="s">
        <v>4549</v>
      </c>
      <c r="B21" t="s">
        <v>3530</v>
      </c>
      <c r="C21" t="s">
        <v>3539</v>
      </c>
      <c r="D21" t="s">
        <v>4550</v>
      </c>
      <c r="E21" t="s">
        <v>4551</v>
      </c>
      <c r="F21" t="s">
        <v>497</v>
      </c>
      <c r="G21" t="s">
        <v>3644</v>
      </c>
      <c r="H21" t="s">
        <v>4552</v>
      </c>
      <c r="I21" t="s">
        <v>3467</v>
      </c>
      <c r="J21" t="s">
        <v>4553</v>
      </c>
    </row>
    <row r="22" spans="1:10" ht="15" customHeight="1" x14ac:dyDescent="0.25">
      <c r="A22" t="s">
        <v>4554</v>
      </c>
      <c r="B22" t="s">
        <v>41</v>
      </c>
      <c r="C22" t="s">
        <v>4555</v>
      </c>
      <c r="D22" t="s">
        <v>4556</v>
      </c>
      <c r="E22" t="s">
        <v>4557</v>
      </c>
      <c r="F22" t="s">
        <v>1650</v>
      </c>
      <c r="G22" t="s">
        <v>4558</v>
      </c>
      <c r="H22" t="s">
        <v>4559</v>
      </c>
      <c r="I22" t="s">
        <v>3467</v>
      </c>
      <c r="J22" t="s">
        <v>3536</v>
      </c>
    </row>
    <row r="23" spans="1:10" ht="15" customHeight="1" x14ac:dyDescent="0.25">
      <c r="A23" t="s">
        <v>4560</v>
      </c>
      <c r="B23" t="s">
        <v>3518</v>
      </c>
      <c r="C23" t="s">
        <v>3525</v>
      </c>
      <c r="D23" t="s">
        <v>4561</v>
      </c>
      <c r="E23" t="s">
        <v>4562</v>
      </c>
      <c r="F23" t="s">
        <v>1650</v>
      </c>
      <c r="H23" t="s">
        <v>4563</v>
      </c>
      <c r="I23" t="s">
        <v>3467</v>
      </c>
      <c r="J23" t="s">
        <v>4506</v>
      </c>
    </row>
    <row r="24" spans="1:10" ht="15" customHeight="1" x14ac:dyDescent="0.25">
      <c r="A24" t="s">
        <v>4564</v>
      </c>
      <c r="B24" t="s">
        <v>3518</v>
      </c>
      <c r="C24" t="s">
        <v>3525</v>
      </c>
      <c r="D24" t="s">
        <v>4565</v>
      </c>
      <c r="E24" t="s">
        <v>4566</v>
      </c>
      <c r="F24" t="s">
        <v>1650</v>
      </c>
      <c r="G24" t="s">
        <v>4567</v>
      </c>
      <c r="H24" t="s">
        <v>4568</v>
      </c>
      <c r="I24" t="s">
        <v>3467</v>
      </c>
      <c r="J24" t="s">
        <v>3528</v>
      </c>
    </row>
    <row r="25" spans="1:10" ht="15" customHeight="1" x14ac:dyDescent="0.25">
      <c r="A25" t="s">
        <v>4569</v>
      </c>
      <c r="B25" t="s">
        <v>3530</v>
      </c>
      <c r="C25" t="s">
        <v>3525</v>
      </c>
      <c r="D25" t="s">
        <v>4570</v>
      </c>
      <c r="E25" t="s">
        <v>4571</v>
      </c>
      <c r="F25" t="s">
        <v>90</v>
      </c>
      <c r="G25" t="s">
        <v>4572</v>
      </c>
      <c r="H25" t="s">
        <v>4573</v>
      </c>
      <c r="I25" t="s">
        <v>3467</v>
      </c>
      <c r="J25" t="s">
        <v>4506</v>
      </c>
    </row>
    <row r="26" spans="1:10" ht="15" customHeight="1" x14ac:dyDescent="0.25">
      <c r="A26" t="s">
        <v>3478</v>
      </c>
      <c r="B26" t="s">
        <v>3563</v>
      </c>
      <c r="C26" t="s">
        <v>3525</v>
      </c>
      <c r="D26" t="s">
        <v>4574</v>
      </c>
      <c r="E26" t="s">
        <v>4575</v>
      </c>
      <c r="F26" t="s">
        <v>90</v>
      </c>
      <c r="H26" t="s">
        <v>3566</v>
      </c>
      <c r="I26" t="s">
        <v>3467</v>
      </c>
      <c r="J26" t="s">
        <v>3449</v>
      </c>
    </row>
    <row r="27" spans="1:10" ht="15" customHeight="1" x14ac:dyDescent="0.25">
      <c r="A27" t="s">
        <v>4576</v>
      </c>
      <c r="B27" t="s">
        <v>3518</v>
      </c>
      <c r="C27" t="s">
        <v>3539</v>
      </c>
      <c r="D27" t="s">
        <v>4577</v>
      </c>
      <c r="E27" t="s">
        <v>4578</v>
      </c>
      <c r="F27" t="s">
        <v>90</v>
      </c>
      <c r="G27" t="s">
        <v>3593</v>
      </c>
      <c r="H27" t="s">
        <v>4579</v>
      </c>
      <c r="I27" t="s">
        <v>3467</v>
      </c>
      <c r="J27" t="s">
        <v>4580</v>
      </c>
    </row>
    <row r="28" spans="1:10" ht="15" customHeight="1" x14ac:dyDescent="0.25">
      <c r="A28" t="s">
        <v>4581</v>
      </c>
      <c r="B28" t="s">
        <v>3530</v>
      </c>
      <c r="C28" t="s">
        <v>3539</v>
      </c>
      <c r="D28" t="s">
        <v>4582</v>
      </c>
      <c r="E28" t="s">
        <v>4583</v>
      </c>
      <c r="F28" t="s">
        <v>497</v>
      </c>
      <c r="H28" t="s">
        <v>4581</v>
      </c>
      <c r="I28" t="s">
        <v>3467</v>
      </c>
      <c r="J28" t="s">
        <v>3536</v>
      </c>
    </row>
    <row r="29" spans="1:10" ht="15" customHeight="1" x14ac:dyDescent="0.25">
      <c r="A29" t="s">
        <v>4584</v>
      </c>
      <c r="B29" t="s">
        <v>3518</v>
      </c>
      <c r="C29" t="s">
        <v>3525</v>
      </c>
      <c r="D29" t="s">
        <v>4585</v>
      </c>
      <c r="E29" t="s">
        <v>4586</v>
      </c>
      <c r="F29" t="s">
        <v>90</v>
      </c>
      <c r="G29" t="s">
        <v>3527</v>
      </c>
      <c r="H29" t="s">
        <v>4587</v>
      </c>
      <c r="I29" t="s">
        <v>3467</v>
      </c>
      <c r="J29" t="s">
        <v>3528</v>
      </c>
    </row>
    <row r="30" spans="1:10" ht="15" customHeight="1" x14ac:dyDescent="0.25">
      <c r="A30" t="s">
        <v>3580</v>
      </c>
      <c r="B30" t="s">
        <v>3530</v>
      </c>
      <c r="C30" t="s">
        <v>3525</v>
      </c>
      <c r="D30" t="s">
        <v>4588</v>
      </c>
      <c r="E30" t="s">
        <v>4589</v>
      </c>
      <c r="F30" t="s">
        <v>160</v>
      </c>
      <c r="H30" t="s">
        <v>3585</v>
      </c>
      <c r="I30" t="s">
        <v>3467</v>
      </c>
      <c r="J30" t="s">
        <v>3449</v>
      </c>
    </row>
    <row r="31" spans="1:10" ht="15" customHeight="1" x14ac:dyDescent="0.25">
      <c r="A31" t="s">
        <v>3586</v>
      </c>
      <c r="B31" t="s">
        <v>41</v>
      </c>
      <c r="C31" t="s">
        <v>4555</v>
      </c>
      <c r="D31" t="s">
        <v>4590</v>
      </c>
      <c r="E31" t="s">
        <v>4591</v>
      </c>
      <c r="F31" t="s">
        <v>1650</v>
      </c>
      <c r="G31" t="s">
        <v>4558</v>
      </c>
      <c r="H31" t="s">
        <v>3586</v>
      </c>
      <c r="I31" t="s">
        <v>3467</v>
      </c>
      <c r="J31" t="s">
        <v>3536</v>
      </c>
    </row>
    <row r="32" spans="1:10" ht="15" customHeight="1" x14ac:dyDescent="0.25">
      <c r="A32" t="s">
        <v>4592</v>
      </c>
      <c r="B32" t="s">
        <v>3530</v>
      </c>
      <c r="C32" t="s">
        <v>3525</v>
      </c>
      <c r="D32" t="s">
        <v>4593</v>
      </c>
      <c r="E32" t="s">
        <v>4594</v>
      </c>
      <c r="F32" t="s">
        <v>1323</v>
      </c>
      <c r="G32" t="s">
        <v>4595</v>
      </c>
      <c r="H32" t="s">
        <v>4596</v>
      </c>
      <c r="I32" t="s">
        <v>3467</v>
      </c>
      <c r="J32" t="s">
        <v>4597</v>
      </c>
    </row>
    <row r="33" spans="1:10" ht="15" customHeight="1" x14ac:dyDescent="0.25">
      <c r="A33" t="s">
        <v>4598</v>
      </c>
      <c r="B33" t="s">
        <v>3518</v>
      </c>
      <c r="C33" t="s">
        <v>3539</v>
      </c>
      <c r="D33" t="s">
        <v>4599</v>
      </c>
      <c r="E33" t="s">
        <v>4600</v>
      </c>
      <c r="F33" t="s">
        <v>160</v>
      </c>
      <c r="G33" t="s">
        <v>4601</v>
      </c>
      <c r="H33" t="s">
        <v>4602</v>
      </c>
      <c r="I33" t="s">
        <v>3467</v>
      </c>
      <c r="J33" t="s">
        <v>3536</v>
      </c>
    </row>
    <row r="34" spans="1:10" ht="15" customHeight="1" x14ac:dyDescent="0.25">
      <c r="A34" t="s">
        <v>3590</v>
      </c>
      <c r="B34" t="s">
        <v>3530</v>
      </c>
      <c r="C34" t="s">
        <v>3525</v>
      </c>
      <c r="D34" t="s">
        <v>3591</v>
      </c>
      <c r="E34" t="s">
        <v>4603</v>
      </c>
      <c r="F34" t="s">
        <v>2805</v>
      </c>
      <c r="G34" t="s">
        <v>3593</v>
      </c>
      <c r="H34" t="s">
        <v>3590</v>
      </c>
      <c r="I34" t="s">
        <v>3467</v>
      </c>
      <c r="J34" t="s">
        <v>3594</v>
      </c>
    </row>
    <row r="35" spans="1:10" ht="15" customHeight="1" x14ac:dyDescent="0.25">
      <c r="A35" t="s">
        <v>3483</v>
      </c>
      <c r="B35" t="s">
        <v>3530</v>
      </c>
      <c r="C35" t="s">
        <v>4604</v>
      </c>
      <c r="D35" t="s">
        <v>4605</v>
      </c>
      <c r="E35" t="s">
        <v>4606</v>
      </c>
      <c r="F35" t="s">
        <v>160</v>
      </c>
      <c r="G35" t="s">
        <v>315</v>
      </c>
      <c r="H35" t="s">
        <v>3483</v>
      </c>
      <c r="I35" t="s">
        <v>3467</v>
      </c>
      <c r="J35" t="s">
        <v>3536</v>
      </c>
    </row>
    <row r="36" spans="1:10" ht="15" customHeight="1" x14ac:dyDescent="0.25">
      <c r="A36" t="s">
        <v>4607</v>
      </c>
      <c r="B36" t="s">
        <v>3530</v>
      </c>
      <c r="C36" t="s">
        <v>3525</v>
      </c>
      <c r="D36" t="s">
        <v>4608</v>
      </c>
      <c r="E36" t="s">
        <v>4609</v>
      </c>
      <c r="F36" t="s">
        <v>90</v>
      </c>
      <c r="G36" t="s">
        <v>4610</v>
      </c>
      <c r="H36" t="s">
        <v>4611</v>
      </c>
      <c r="I36" t="s">
        <v>3467</v>
      </c>
      <c r="J36" t="s">
        <v>4612</v>
      </c>
    </row>
    <row r="37" spans="1:10" ht="15" customHeight="1" x14ac:dyDescent="0.25">
      <c r="A37" t="s">
        <v>4613</v>
      </c>
      <c r="B37" t="s">
        <v>3518</v>
      </c>
      <c r="C37" t="s">
        <v>4614</v>
      </c>
      <c r="D37" t="s">
        <v>4615</v>
      </c>
      <c r="E37" t="s">
        <v>4616</v>
      </c>
      <c r="F37" t="s">
        <v>160</v>
      </c>
      <c r="G37" t="s">
        <v>4617</v>
      </c>
      <c r="H37" t="s">
        <v>4618</v>
      </c>
      <c r="I37" t="s">
        <v>3467</v>
      </c>
      <c r="J37" t="s">
        <v>4506</v>
      </c>
    </row>
    <row r="38" spans="1:10" ht="15" customHeight="1" x14ac:dyDescent="0.25">
      <c r="A38" t="s">
        <v>4619</v>
      </c>
      <c r="B38" t="s">
        <v>3530</v>
      </c>
      <c r="C38" t="s">
        <v>3596</v>
      </c>
      <c r="D38" t="s">
        <v>4620</v>
      </c>
      <c r="F38" t="s">
        <v>160</v>
      </c>
      <c r="G38" t="s">
        <v>4621</v>
      </c>
      <c r="H38" t="s">
        <v>4622</v>
      </c>
      <c r="I38" t="s">
        <v>3467</v>
      </c>
      <c r="J38" t="s">
        <v>3458</v>
      </c>
    </row>
    <row r="39" spans="1:10" ht="15" customHeight="1" x14ac:dyDescent="0.25">
      <c r="A39" t="s">
        <v>4623</v>
      </c>
      <c r="B39" t="s">
        <v>3530</v>
      </c>
      <c r="C39" t="s">
        <v>3525</v>
      </c>
      <c r="D39" t="s">
        <v>4624</v>
      </c>
      <c r="E39" t="s">
        <v>4625</v>
      </c>
      <c r="F39" t="s">
        <v>1130</v>
      </c>
      <c r="G39" t="s">
        <v>4626</v>
      </c>
      <c r="H39" t="s">
        <v>4627</v>
      </c>
      <c r="I39" t="s">
        <v>3467</v>
      </c>
      <c r="J39" t="s">
        <v>4628</v>
      </c>
    </row>
    <row r="40" spans="1:10" ht="15" customHeight="1" x14ac:dyDescent="0.25">
      <c r="A40" t="s">
        <v>4629</v>
      </c>
      <c r="B40" t="s">
        <v>3530</v>
      </c>
      <c r="C40" t="s">
        <v>4475</v>
      </c>
      <c r="D40" t="s">
        <v>4630</v>
      </c>
      <c r="E40" t="s">
        <v>4631</v>
      </c>
      <c r="F40" t="s">
        <v>1622</v>
      </c>
      <c r="H40" t="s">
        <v>4629</v>
      </c>
      <c r="I40" t="s">
        <v>3467</v>
      </c>
      <c r="J40" t="s">
        <v>4506</v>
      </c>
    </row>
    <row r="41" spans="1:10" ht="15" customHeight="1" x14ac:dyDescent="0.25">
      <c r="A41" t="s">
        <v>4632</v>
      </c>
      <c r="B41" t="s">
        <v>41</v>
      </c>
      <c r="C41" t="s">
        <v>4555</v>
      </c>
      <c r="D41" t="s">
        <v>4633</v>
      </c>
      <c r="E41" t="s">
        <v>4634</v>
      </c>
      <c r="F41" t="s">
        <v>1650</v>
      </c>
      <c r="G41" t="s">
        <v>4558</v>
      </c>
      <c r="H41" t="s">
        <v>4635</v>
      </c>
      <c r="I41" t="s">
        <v>3467</v>
      </c>
      <c r="J41" t="s">
        <v>3536</v>
      </c>
    </row>
    <row r="42" spans="1:10" ht="15" customHeight="1" x14ac:dyDescent="0.25">
      <c r="A42" t="s">
        <v>4636</v>
      </c>
      <c r="B42" t="s">
        <v>3518</v>
      </c>
      <c r="C42" t="s">
        <v>3525</v>
      </c>
      <c r="D42" t="s">
        <v>4637</v>
      </c>
      <c r="E42" t="s">
        <v>4638</v>
      </c>
      <c r="F42" t="s">
        <v>2805</v>
      </c>
      <c r="G42" t="s">
        <v>4499</v>
      </c>
      <c r="H42" t="s">
        <v>4636</v>
      </c>
      <c r="I42" t="s">
        <v>3467</v>
      </c>
      <c r="J42" t="s">
        <v>4506</v>
      </c>
    </row>
    <row r="43" spans="1:10" ht="15" customHeight="1" x14ac:dyDescent="0.25">
      <c r="A43" t="s">
        <v>4639</v>
      </c>
      <c r="B43" t="s">
        <v>3518</v>
      </c>
      <c r="C43" t="s">
        <v>3525</v>
      </c>
      <c r="D43" t="s">
        <v>4640</v>
      </c>
      <c r="E43" t="s">
        <v>4641</v>
      </c>
      <c r="F43" t="s">
        <v>90</v>
      </c>
      <c r="G43" t="s">
        <v>4642</v>
      </c>
      <c r="H43" t="s">
        <v>4643</v>
      </c>
      <c r="I43" t="s">
        <v>3467</v>
      </c>
      <c r="J43" t="s">
        <v>4644</v>
      </c>
    </row>
    <row r="44" spans="1:10" ht="15" customHeight="1" x14ac:dyDescent="0.25">
      <c r="A44" t="s">
        <v>4645</v>
      </c>
      <c r="B44" t="s">
        <v>3518</v>
      </c>
      <c r="C44" t="s">
        <v>3525</v>
      </c>
      <c r="D44" t="s">
        <v>4646</v>
      </c>
      <c r="E44" t="s">
        <v>4647</v>
      </c>
      <c r="F44" t="s">
        <v>1650</v>
      </c>
      <c r="G44" t="s">
        <v>4648</v>
      </c>
      <c r="H44" t="s">
        <v>4649</v>
      </c>
      <c r="I44" t="s">
        <v>3467</v>
      </c>
      <c r="J44" t="s">
        <v>4506</v>
      </c>
    </row>
    <row r="45" spans="1:10" ht="15" customHeight="1" x14ac:dyDescent="0.25">
      <c r="A45" t="s">
        <v>4650</v>
      </c>
      <c r="B45" t="s">
        <v>3530</v>
      </c>
      <c r="C45" t="s">
        <v>3525</v>
      </c>
      <c r="D45" t="s">
        <v>4651</v>
      </c>
      <c r="E45" t="s">
        <v>4652</v>
      </c>
      <c r="F45" t="s">
        <v>2805</v>
      </c>
      <c r="G45" t="s">
        <v>4653</v>
      </c>
      <c r="H45" t="s">
        <v>4654</v>
      </c>
      <c r="I45" t="s">
        <v>3467</v>
      </c>
      <c r="J45" t="s">
        <v>3536</v>
      </c>
    </row>
    <row r="46" spans="1:10" ht="15" customHeight="1" x14ac:dyDescent="0.25">
      <c r="A46" t="s">
        <v>4655</v>
      </c>
      <c r="B46" t="s">
        <v>41</v>
      </c>
      <c r="C46" t="s">
        <v>3539</v>
      </c>
      <c r="D46" t="s">
        <v>4656</v>
      </c>
      <c r="E46" t="s">
        <v>4657</v>
      </c>
      <c r="F46" t="s">
        <v>2137</v>
      </c>
      <c r="G46" t="s">
        <v>4658</v>
      </c>
      <c r="H46" t="s">
        <v>4659</v>
      </c>
      <c r="I46" t="s">
        <v>3467</v>
      </c>
      <c r="J46" t="s">
        <v>3536</v>
      </c>
    </row>
    <row r="47" spans="1:10" ht="15" customHeight="1" x14ac:dyDescent="0.25">
      <c r="A47" t="s">
        <v>4660</v>
      </c>
      <c r="B47" t="s">
        <v>3530</v>
      </c>
      <c r="C47" t="s">
        <v>3525</v>
      </c>
      <c r="D47" t="s">
        <v>4661</v>
      </c>
      <c r="E47" t="s">
        <v>4662</v>
      </c>
      <c r="F47" t="s">
        <v>90</v>
      </c>
      <c r="G47" t="s">
        <v>4663</v>
      </c>
      <c r="H47" t="s">
        <v>4664</v>
      </c>
      <c r="I47" t="s">
        <v>3467</v>
      </c>
      <c r="J47" t="s">
        <v>3594</v>
      </c>
    </row>
    <row r="48" spans="1:10" ht="15" customHeight="1" x14ac:dyDescent="0.25">
      <c r="A48" t="s">
        <v>4665</v>
      </c>
      <c r="B48" t="s">
        <v>3530</v>
      </c>
      <c r="C48" t="s">
        <v>3525</v>
      </c>
      <c r="D48" t="s">
        <v>4666</v>
      </c>
      <c r="E48" t="s">
        <v>4667</v>
      </c>
      <c r="F48" t="s">
        <v>2507</v>
      </c>
      <c r="G48" t="s">
        <v>4668</v>
      </c>
      <c r="H48" t="s">
        <v>4665</v>
      </c>
      <c r="I48" t="s">
        <v>3467</v>
      </c>
      <c r="J48" t="s">
        <v>3528</v>
      </c>
    </row>
    <row r="49" spans="1:10" ht="15" customHeight="1" x14ac:dyDescent="0.25">
      <c r="A49" t="s">
        <v>4669</v>
      </c>
      <c r="B49" t="s">
        <v>3518</v>
      </c>
      <c r="C49" t="s">
        <v>3525</v>
      </c>
      <c r="D49" t="s">
        <v>4670</v>
      </c>
      <c r="E49" t="s">
        <v>4671</v>
      </c>
      <c r="F49" t="s">
        <v>90</v>
      </c>
      <c r="G49" t="s">
        <v>264</v>
      </c>
      <c r="H49" t="s">
        <v>4669</v>
      </c>
      <c r="I49" t="s">
        <v>3467</v>
      </c>
      <c r="J49" t="s">
        <v>3528</v>
      </c>
    </row>
    <row r="50" spans="1:10" ht="15" customHeight="1" x14ac:dyDescent="0.25">
      <c r="A50" t="s">
        <v>4672</v>
      </c>
      <c r="B50" t="s">
        <v>41</v>
      </c>
      <c r="C50" t="s">
        <v>3539</v>
      </c>
      <c r="D50" t="s">
        <v>4673</v>
      </c>
      <c r="E50" t="s">
        <v>4674</v>
      </c>
      <c r="F50" t="s">
        <v>160</v>
      </c>
      <c r="G50" t="s">
        <v>4675</v>
      </c>
      <c r="H50" t="s">
        <v>4676</v>
      </c>
      <c r="I50" t="s">
        <v>3467</v>
      </c>
      <c r="J50" t="s">
        <v>3536</v>
      </c>
    </row>
    <row r="51" spans="1:10" ht="15" customHeight="1" x14ac:dyDescent="0.25">
      <c r="A51" t="s">
        <v>4677</v>
      </c>
      <c r="B51" t="s">
        <v>3518</v>
      </c>
      <c r="C51" t="s">
        <v>3525</v>
      </c>
      <c r="D51" t="s">
        <v>4678</v>
      </c>
      <c r="E51" t="s">
        <v>4679</v>
      </c>
      <c r="F51" t="s">
        <v>1130</v>
      </c>
      <c r="G51" t="s">
        <v>4680</v>
      </c>
      <c r="H51" t="s">
        <v>4681</v>
      </c>
      <c r="I51" t="s">
        <v>3467</v>
      </c>
      <c r="J51" t="s">
        <v>4682</v>
      </c>
    </row>
    <row r="52" spans="1:10" ht="15" customHeight="1" x14ac:dyDescent="0.25">
      <c r="A52" t="s">
        <v>4683</v>
      </c>
      <c r="B52" t="s">
        <v>3530</v>
      </c>
      <c r="C52" t="s">
        <v>3525</v>
      </c>
      <c r="D52" t="s">
        <v>4684</v>
      </c>
      <c r="E52" t="s">
        <v>4685</v>
      </c>
      <c r="F52" t="s">
        <v>90</v>
      </c>
      <c r="H52" t="s">
        <v>4686</v>
      </c>
      <c r="I52" t="s">
        <v>3467</v>
      </c>
      <c r="J52" t="s">
        <v>4687</v>
      </c>
    </row>
    <row r="53" spans="1:10" ht="15" customHeight="1" x14ac:dyDescent="0.25">
      <c r="A53" t="s">
        <v>4688</v>
      </c>
      <c r="B53" t="s">
        <v>3518</v>
      </c>
      <c r="C53" t="s">
        <v>3539</v>
      </c>
      <c r="D53" t="s">
        <v>4689</v>
      </c>
      <c r="E53" t="s">
        <v>4690</v>
      </c>
      <c r="F53" t="s">
        <v>497</v>
      </c>
      <c r="G53" t="s">
        <v>4691</v>
      </c>
      <c r="H53" t="s">
        <v>4688</v>
      </c>
      <c r="I53" t="s">
        <v>3467</v>
      </c>
      <c r="J53" t="s">
        <v>3536</v>
      </c>
    </row>
    <row r="54" spans="1:10" ht="15" customHeight="1" x14ac:dyDescent="0.25">
      <c r="A54" t="s">
        <v>4692</v>
      </c>
      <c r="B54" t="s">
        <v>41</v>
      </c>
      <c r="C54" t="s">
        <v>4614</v>
      </c>
      <c r="D54" t="s">
        <v>4693</v>
      </c>
      <c r="E54" t="s">
        <v>4694</v>
      </c>
      <c r="F54" t="s">
        <v>90</v>
      </c>
      <c r="G54" t="s">
        <v>4695</v>
      </c>
      <c r="H54" t="s">
        <v>4696</v>
      </c>
      <c r="I54" t="s">
        <v>3467</v>
      </c>
      <c r="J54" t="s">
        <v>4580</v>
      </c>
    </row>
    <row r="55" spans="1:10" ht="15" customHeight="1" x14ac:dyDescent="0.25">
      <c r="A55" t="s">
        <v>4697</v>
      </c>
      <c r="B55" t="s">
        <v>3530</v>
      </c>
      <c r="C55" t="s">
        <v>3525</v>
      </c>
      <c r="D55" t="s">
        <v>4698</v>
      </c>
      <c r="E55" t="s">
        <v>4699</v>
      </c>
      <c r="F55" t="s">
        <v>160</v>
      </c>
      <c r="G55" t="s">
        <v>4700</v>
      </c>
      <c r="H55" t="s">
        <v>4701</v>
      </c>
      <c r="I55" t="s">
        <v>3467</v>
      </c>
      <c r="J55" t="s">
        <v>3594</v>
      </c>
    </row>
    <row r="56" spans="1:10" ht="15" customHeight="1" x14ac:dyDescent="0.25">
      <c r="A56" t="s">
        <v>3614</v>
      </c>
      <c r="B56" t="s">
        <v>41</v>
      </c>
      <c r="C56" t="s">
        <v>3531</v>
      </c>
      <c r="D56" t="s">
        <v>4702</v>
      </c>
      <c r="E56" t="s">
        <v>4703</v>
      </c>
      <c r="F56" t="s">
        <v>2805</v>
      </c>
      <c r="G56" t="s">
        <v>3617</v>
      </c>
      <c r="H56" t="s">
        <v>3618</v>
      </c>
      <c r="I56" t="s">
        <v>3467</v>
      </c>
      <c r="J56" t="s">
        <v>3449</v>
      </c>
    </row>
    <row r="57" spans="1:10" ht="15" customHeight="1" x14ac:dyDescent="0.25">
      <c r="A57" t="s">
        <v>4704</v>
      </c>
      <c r="B57" t="s">
        <v>3743</v>
      </c>
      <c r="C57" t="s">
        <v>3525</v>
      </c>
      <c r="D57" t="s">
        <v>4705</v>
      </c>
      <c r="E57" t="s">
        <v>4706</v>
      </c>
      <c r="F57" t="s">
        <v>160</v>
      </c>
      <c r="G57" t="s">
        <v>4707</v>
      </c>
      <c r="H57" t="s">
        <v>4708</v>
      </c>
      <c r="I57" t="s">
        <v>3467</v>
      </c>
      <c r="J57" t="s">
        <v>3528</v>
      </c>
    </row>
    <row r="58" spans="1:10" ht="15" customHeight="1" x14ac:dyDescent="0.25">
      <c r="A58" t="s">
        <v>4709</v>
      </c>
      <c r="B58" t="s">
        <v>3530</v>
      </c>
      <c r="C58" t="s">
        <v>3525</v>
      </c>
      <c r="D58" t="s">
        <v>4710</v>
      </c>
      <c r="E58" t="s">
        <v>4711</v>
      </c>
      <c r="F58" t="s">
        <v>90</v>
      </c>
      <c r="G58" t="s">
        <v>3527</v>
      </c>
      <c r="H58" t="s">
        <v>4712</v>
      </c>
      <c r="I58" t="s">
        <v>3467</v>
      </c>
      <c r="J58" t="s">
        <v>3528</v>
      </c>
    </row>
    <row r="59" spans="1:10" ht="15" customHeight="1" x14ac:dyDescent="0.25">
      <c r="A59" t="s">
        <v>4713</v>
      </c>
      <c r="B59" t="s">
        <v>3518</v>
      </c>
      <c r="C59" t="s">
        <v>3525</v>
      </c>
      <c r="D59" t="s">
        <v>4714</v>
      </c>
      <c r="E59" t="s">
        <v>4715</v>
      </c>
      <c r="F59" t="s">
        <v>90</v>
      </c>
      <c r="G59" t="s">
        <v>264</v>
      </c>
      <c r="H59" t="s">
        <v>4716</v>
      </c>
      <c r="I59" t="s">
        <v>3467</v>
      </c>
      <c r="J59" t="s">
        <v>4580</v>
      </c>
    </row>
    <row r="60" spans="1:10" ht="15" customHeight="1" x14ac:dyDescent="0.25">
      <c r="A60" t="s">
        <v>4717</v>
      </c>
      <c r="B60" t="s">
        <v>3518</v>
      </c>
      <c r="C60" t="s">
        <v>3525</v>
      </c>
      <c r="D60" t="s">
        <v>4718</v>
      </c>
      <c r="E60" t="s">
        <v>4719</v>
      </c>
      <c r="F60" t="s">
        <v>1650</v>
      </c>
      <c r="G60" t="s">
        <v>4720</v>
      </c>
      <c r="H60" t="s">
        <v>4721</v>
      </c>
      <c r="I60" t="s">
        <v>3467</v>
      </c>
      <c r="J60" t="s">
        <v>4520</v>
      </c>
    </row>
    <row r="61" spans="1:10" ht="15" customHeight="1" x14ac:dyDescent="0.25">
      <c r="A61" t="s">
        <v>4722</v>
      </c>
      <c r="B61" t="s">
        <v>41</v>
      </c>
      <c r="C61" t="s">
        <v>4496</v>
      </c>
      <c r="D61" t="s">
        <v>4723</v>
      </c>
      <c r="E61" t="s">
        <v>4724</v>
      </c>
      <c r="F61" t="s">
        <v>497</v>
      </c>
      <c r="G61" t="s">
        <v>264</v>
      </c>
      <c r="H61" t="s">
        <v>4722</v>
      </c>
      <c r="I61" t="s">
        <v>3467</v>
      </c>
      <c r="J61" t="s">
        <v>3449</v>
      </c>
    </row>
    <row r="62" spans="1:10" ht="15" customHeight="1" x14ac:dyDescent="0.25">
      <c r="A62" t="s">
        <v>4725</v>
      </c>
      <c r="B62" t="s">
        <v>3518</v>
      </c>
      <c r="C62" t="s">
        <v>3525</v>
      </c>
      <c r="D62" t="s">
        <v>4726</v>
      </c>
      <c r="E62" t="s">
        <v>4727</v>
      </c>
      <c r="F62" t="s">
        <v>160</v>
      </c>
      <c r="H62" t="s">
        <v>4728</v>
      </c>
      <c r="I62" t="s">
        <v>3467</v>
      </c>
      <c r="J62" t="s">
        <v>4729</v>
      </c>
    </row>
    <row r="63" spans="1:10" ht="15" customHeight="1" x14ac:dyDescent="0.25">
      <c r="A63" t="s">
        <v>4730</v>
      </c>
      <c r="B63" t="s">
        <v>3518</v>
      </c>
      <c r="C63" t="s">
        <v>3525</v>
      </c>
      <c r="D63" t="s">
        <v>4731</v>
      </c>
      <c r="E63" t="s">
        <v>4732</v>
      </c>
      <c r="F63" t="s">
        <v>1650</v>
      </c>
      <c r="G63" t="s">
        <v>4733</v>
      </c>
      <c r="H63" t="s">
        <v>4734</v>
      </c>
      <c r="I63" t="s">
        <v>3467</v>
      </c>
      <c r="J63" t="s">
        <v>4520</v>
      </c>
    </row>
    <row r="64" spans="1:10" ht="15" customHeight="1" x14ac:dyDescent="0.25">
      <c r="A64" t="s">
        <v>4735</v>
      </c>
      <c r="B64" t="s">
        <v>3530</v>
      </c>
      <c r="C64" t="s">
        <v>3539</v>
      </c>
      <c r="D64" t="s">
        <v>4736</v>
      </c>
      <c r="E64" t="s">
        <v>4737</v>
      </c>
      <c r="F64" t="s">
        <v>2137</v>
      </c>
      <c r="G64" t="s">
        <v>4738</v>
      </c>
      <c r="H64" t="s">
        <v>4739</v>
      </c>
      <c r="I64" t="s">
        <v>3467</v>
      </c>
      <c r="J64" t="s">
        <v>3449</v>
      </c>
    </row>
    <row r="65" spans="1:10" ht="15" customHeight="1" x14ac:dyDescent="0.25">
      <c r="A65" t="s">
        <v>4740</v>
      </c>
      <c r="B65" t="s">
        <v>41</v>
      </c>
      <c r="C65" t="s">
        <v>4475</v>
      </c>
      <c r="D65" t="s">
        <v>4741</v>
      </c>
      <c r="E65" t="s">
        <v>4742</v>
      </c>
      <c r="F65" t="s">
        <v>1047</v>
      </c>
      <c r="G65" t="s">
        <v>3909</v>
      </c>
      <c r="H65" t="s">
        <v>4743</v>
      </c>
      <c r="I65" t="s">
        <v>3467</v>
      </c>
      <c r="J65" t="s">
        <v>4506</v>
      </c>
    </row>
    <row r="66" spans="1:10" ht="15" customHeight="1" x14ac:dyDescent="0.25">
      <c r="A66" t="s">
        <v>4744</v>
      </c>
      <c r="B66" t="s">
        <v>3530</v>
      </c>
      <c r="C66" t="s">
        <v>4496</v>
      </c>
      <c r="D66" t="s">
        <v>4745</v>
      </c>
      <c r="E66" t="s">
        <v>4746</v>
      </c>
      <c r="F66" t="s">
        <v>501</v>
      </c>
      <c r="G66" t="s">
        <v>4747</v>
      </c>
      <c r="H66" t="s">
        <v>4748</v>
      </c>
      <c r="I66" t="s">
        <v>3467</v>
      </c>
      <c r="J66" t="s">
        <v>4506</v>
      </c>
    </row>
    <row r="67" spans="1:10" ht="15" customHeight="1" x14ac:dyDescent="0.25">
      <c r="A67" t="s">
        <v>4749</v>
      </c>
      <c r="B67" t="s">
        <v>41</v>
      </c>
      <c r="C67" t="s">
        <v>4475</v>
      </c>
      <c r="D67" t="s">
        <v>4750</v>
      </c>
      <c r="E67" t="s">
        <v>4751</v>
      </c>
      <c r="F67" t="s">
        <v>1047</v>
      </c>
      <c r="G67" t="s">
        <v>3909</v>
      </c>
      <c r="H67" t="s">
        <v>4752</v>
      </c>
      <c r="I67" t="s">
        <v>3467</v>
      </c>
      <c r="J67" t="s">
        <v>4506</v>
      </c>
    </row>
    <row r="68" spans="1:10" ht="15" customHeight="1" x14ac:dyDescent="0.25">
      <c r="A68" t="s">
        <v>4753</v>
      </c>
      <c r="B68" t="s">
        <v>41</v>
      </c>
      <c r="C68" t="s">
        <v>3539</v>
      </c>
      <c r="D68" t="s">
        <v>4160</v>
      </c>
      <c r="E68" t="s">
        <v>4754</v>
      </c>
      <c r="F68" t="s">
        <v>160</v>
      </c>
      <c r="H68" t="s">
        <v>4755</v>
      </c>
      <c r="I68" t="s">
        <v>3467</v>
      </c>
      <c r="J68" t="s">
        <v>3536</v>
      </c>
    </row>
    <row r="69" spans="1:10" ht="15" customHeight="1" x14ac:dyDescent="0.25">
      <c r="A69" t="s">
        <v>3646</v>
      </c>
      <c r="B69" t="s">
        <v>41</v>
      </c>
      <c r="C69" t="s">
        <v>3531</v>
      </c>
      <c r="D69" t="s">
        <v>4756</v>
      </c>
      <c r="E69" t="s">
        <v>4757</v>
      </c>
      <c r="F69" t="s">
        <v>160</v>
      </c>
      <c r="G69" t="s">
        <v>264</v>
      </c>
      <c r="H69" t="s">
        <v>3646</v>
      </c>
      <c r="I69" t="s">
        <v>3467</v>
      </c>
      <c r="J69" t="s">
        <v>3449</v>
      </c>
    </row>
    <row r="70" spans="1:10" ht="15" customHeight="1" x14ac:dyDescent="0.25">
      <c r="A70" t="s">
        <v>3649</v>
      </c>
      <c r="B70" t="s">
        <v>3518</v>
      </c>
      <c r="C70" t="s">
        <v>3531</v>
      </c>
      <c r="D70" t="s">
        <v>4758</v>
      </c>
      <c r="E70" t="s">
        <v>4759</v>
      </c>
      <c r="F70" t="s">
        <v>90</v>
      </c>
      <c r="G70" t="s">
        <v>3652</v>
      </c>
      <c r="H70" t="s">
        <v>3649</v>
      </c>
      <c r="I70" t="s">
        <v>3467</v>
      </c>
      <c r="J70" t="s">
        <v>3449</v>
      </c>
    </row>
    <row r="71" spans="1:10" ht="15" customHeight="1" x14ac:dyDescent="0.25">
      <c r="A71" t="s">
        <v>3653</v>
      </c>
      <c r="B71" t="s">
        <v>3530</v>
      </c>
      <c r="C71" t="s">
        <v>3525</v>
      </c>
      <c r="D71" t="s">
        <v>4760</v>
      </c>
      <c r="E71" t="s">
        <v>4761</v>
      </c>
      <c r="F71" t="s">
        <v>90</v>
      </c>
      <c r="G71" t="s">
        <v>3656</v>
      </c>
      <c r="H71" t="s">
        <v>3657</v>
      </c>
      <c r="I71" t="s">
        <v>3467</v>
      </c>
      <c r="J71" t="s">
        <v>3449</v>
      </c>
    </row>
    <row r="72" spans="1:10" ht="15" customHeight="1" x14ac:dyDescent="0.25">
      <c r="A72" t="s">
        <v>4762</v>
      </c>
      <c r="B72" t="s">
        <v>3530</v>
      </c>
      <c r="C72" t="s">
        <v>3525</v>
      </c>
      <c r="D72" t="s">
        <v>4763</v>
      </c>
      <c r="E72" t="s">
        <v>4764</v>
      </c>
      <c r="F72" t="s">
        <v>90</v>
      </c>
      <c r="H72" t="s">
        <v>4765</v>
      </c>
      <c r="I72" t="s">
        <v>3467</v>
      </c>
      <c r="J72" t="s">
        <v>4506</v>
      </c>
    </row>
    <row r="73" spans="1:10" ht="15" customHeight="1" x14ac:dyDescent="0.25">
      <c r="A73" t="s">
        <v>4766</v>
      </c>
      <c r="B73" t="s">
        <v>3530</v>
      </c>
      <c r="C73" t="s">
        <v>3525</v>
      </c>
      <c r="D73" t="s">
        <v>4767</v>
      </c>
      <c r="E73" t="s">
        <v>4768</v>
      </c>
      <c r="F73" t="s">
        <v>1650</v>
      </c>
      <c r="G73" t="s">
        <v>4769</v>
      </c>
      <c r="H73" t="s">
        <v>4770</v>
      </c>
      <c r="I73" t="s">
        <v>3467</v>
      </c>
      <c r="J73" t="s">
        <v>3528</v>
      </c>
    </row>
    <row r="74" spans="1:10" ht="15" customHeight="1" x14ac:dyDescent="0.25">
      <c r="A74" t="s">
        <v>4771</v>
      </c>
      <c r="B74" t="s">
        <v>3530</v>
      </c>
      <c r="C74" t="s">
        <v>3525</v>
      </c>
      <c r="D74" t="s">
        <v>4772</v>
      </c>
      <c r="E74" t="s">
        <v>4773</v>
      </c>
      <c r="F74" t="s">
        <v>90</v>
      </c>
      <c r="G74" t="s">
        <v>4663</v>
      </c>
      <c r="H74" t="s">
        <v>4774</v>
      </c>
      <c r="I74" t="s">
        <v>3467</v>
      </c>
      <c r="J74" t="s">
        <v>3594</v>
      </c>
    </row>
    <row r="75" spans="1:10" ht="15" customHeight="1" x14ac:dyDescent="0.25">
      <c r="A75" t="s">
        <v>4775</v>
      </c>
      <c r="B75" t="s">
        <v>3530</v>
      </c>
      <c r="C75" t="s">
        <v>3539</v>
      </c>
      <c r="D75" t="s">
        <v>4776</v>
      </c>
      <c r="E75" t="s">
        <v>4777</v>
      </c>
      <c r="F75" t="s">
        <v>160</v>
      </c>
      <c r="H75" t="s">
        <v>4778</v>
      </c>
      <c r="I75" t="s">
        <v>3467</v>
      </c>
      <c r="J75" t="s">
        <v>3536</v>
      </c>
    </row>
    <row r="76" spans="1:10" ht="15" customHeight="1" x14ac:dyDescent="0.25">
      <c r="A76" t="s">
        <v>4779</v>
      </c>
      <c r="B76" t="s">
        <v>3518</v>
      </c>
      <c r="C76" t="s">
        <v>3525</v>
      </c>
      <c r="D76" t="s">
        <v>4780</v>
      </c>
      <c r="E76" t="s">
        <v>4781</v>
      </c>
      <c r="F76" t="s">
        <v>90</v>
      </c>
      <c r="G76" t="s">
        <v>4782</v>
      </c>
      <c r="H76" t="s">
        <v>4783</v>
      </c>
      <c r="I76" t="s">
        <v>3467</v>
      </c>
      <c r="J76" t="s">
        <v>4784</v>
      </c>
    </row>
    <row r="77" spans="1:10" ht="15" customHeight="1" x14ac:dyDescent="0.25">
      <c r="A77" t="s">
        <v>4785</v>
      </c>
      <c r="B77" t="s">
        <v>41</v>
      </c>
      <c r="C77" t="s">
        <v>4614</v>
      </c>
      <c r="D77" t="s">
        <v>4786</v>
      </c>
      <c r="E77" t="s">
        <v>4787</v>
      </c>
      <c r="F77" t="s">
        <v>90</v>
      </c>
      <c r="G77" t="s">
        <v>4788</v>
      </c>
      <c r="H77" t="s">
        <v>4785</v>
      </c>
      <c r="I77" t="s">
        <v>3467</v>
      </c>
      <c r="J77" t="s">
        <v>4789</v>
      </c>
    </row>
    <row r="78" spans="1:10" ht="15" customHeight="1" x14ac:dyDescent="0.25">
      <c r="A78" t="s">
        <v>3673</v>
      </c>
      <c r="B78" t="s">
        <v>41</v>
      </c>
      <c r="C78" t="s">
        <v>3539</v>
      </c>
      <c r="D78" t="s">
        <v>4790</v>
      </c>
      <c r="E78" t="s">
        <v>4791</v>
      </c>
      <c r="F78" t="s">
        <v>90</v>
      </c>
      <c r="G78" t="s">
        <v>3677</v>
      </c>
      <c r="H78" t="s">
        <v>3678</v>
      </c>
      <c r="I78" t="s">
        <v>3467</v>
      </c>
      <c r="J78" t="s">
        <v>3536</v>
      </c>
    </row>
    <row r="79" spans="1:10" ht="15" customHeight="1" x14ac:dyDescent="0.25">
      <c r="A79" t="s">
        <v>4792</v>
      </c>
      <c r="B79" t="s">
        <v>3518</v>
      </c>
      <c r="C79" t="s">
        <v>3531</v>
      </c>
      <c r="D79" t="s">
        <v>4793</v>
      </c>
      <c r="E79" t="s">
        <v>4794</v>
      </c>
      <c r="F79" t="s">
        <v>90</v>
      </c>
      <c r="G79" t="s">
        <v>4700</v>
      </c>
      <c r="H79" t="s">
        <v>4795</v>
      </c>
      <c r="I79" t="s">
        <v>3467</v>
      </c>
      <c r="J79" t="s">
        <v>3594</v>
      </c>
    </row>
    <row r="80" spans="1:10" ht="15" customHeight="1" x14ac:dyDescent="0.25">
      <c r="A80" t="s">
        <v>4796</v>
      </c>
      <c r="B80" t="s">
        <v>3530</v>
      </c>
      <c r="C80" t="s">
        <v>4614</v>
      </c>
      <c r="D80" t="s">
        <v>4797</v>
      </c>
      <c r="E80" t="s">
        <v>4798</v>
      </c>
      <c r="F80" t="s">
        <v>90</v>
      </c>
      <c r="G80" t="s">
        <v>4799</v>
      </c>
      <c r="H80" t="s">
        <v>4800</v>
      </c>
      <c r="I80" t="s">
        <v>3467</v>
      </c>
      <c r="J80" t="s">
        <v>3528</v>
      </c>
    </row>
    <row r="81" spans="1:10" ht="15" customHeight="1" x14ac:dyDescent="0.25">
      <c r="A81" t="s">
        <v>4801</v>
      </c>
      <c r="B81" t="s">
        <v>3518</v>
      </c>
      <c r="C81" t="s">
        <v>3556</v>
      </c>
      <c r="D81" t="s">
        <v>4802</v>
      </c>
      <c r="E81" t="s">
        <v>4803</v>
      </c>
      <c r="F81" t="s">
        <v>497</v>
      </c>
      <c r="H81" t="s">
        <v>4801</v>
      </c>
      <c r="I81" t="s">
        <v>3467</v>
      </c>
      <c r="J81" t="s">
        <v>3724</v>
      </c>
    </row>
    <row r="82" spans="1:10" ht="15" customHeight="1" x14ac:dyDescent="0.25">
      <c r="A82" t="s">
        <v>4804</v>
      </c>
      <c r="B82" t="s">
        <v>3518</v>
      </c>
      <c r="C82" t="s">
        <v>4496</v>
      </c>
      <c r="D82" t="s">
        <v>4805</v>
      </c>
      <c r="E82" t="s">
        <v>4806</v>
      </c>
      <c r="F82" t="s">
        <v>1650</v>
      </c>
      <c r="G82" t="s">
        <v>4807</v>
      </c>
      <c r="H82" t="s">
        <v>4808</v>
      </c>
      <c r="I82" t="s">
        <v>3467</v>
      </c>
      <c r="J82" t="s">
        <v>3536</v>
      </c>
    </row>
    <row r="83" spans="1:10" ht="15" customHeight="1" x14ac:dyDescent="0.25">
      <c r="A83" t="s">
        <v>4809</v>
      </c>
      <c r="B83" t="s">
        <v>41</v>
      </c>
      <c r="C83" t="s">
        <v>4614</v>
      </c>
      <c r="D83" t="s">
        <v>4810</v>
      </c>
      <c r="E83" t="s">
        <v>4811</v>
      </c>
      <c r="F83" t="s">
        <v>90</v>
      </c>
      <c r="H83" t="s">
        <v>4812</v>
      </c>
      <c r="I83" t="s">
        <v>3467</v>
      </c>
      <c r="J83" t="s">
        <v>4506</v>
      </c>
    </row>
    <row r="84" spans="1:10" ht="15" customHeight="1" x14ac:dyDescent="0.25">
      <c r="A84" t="s">
        <v>4813</v>
      </c>
      <c r="B84" t="s">
        <v>41</v>
      </c>
      <c r="C84" t="s">
        <v>4555</v>
      </c>
      <c r="D84" t="s">
        <v>4814</v>
      </c>
      <c r="E84" t="s">
        <v>4815</v>
      </c>
      <c r="F84" t="s">
        <v>1650</v>
      </c>
      <c r="G84" t="s">
        <v>4558</v>
      </c>
      <c r="H84" t="s">
        <v>4813</v>
      </c>
      <c r="I84" t="s">
        <v>3467</v>
      </c>
      <c r="J84" t="s">
        <v>3528</v>
      </c>
    </row>
    <row r="85" spans="1:10" ht="15" customHeight="1" x14ac:dyDescent="0.25">
      <c r="A85" t="s">
        <v>4816</v>
      </c>
      <c r="B85" t="s">
        <v>41</v>
      </c>
      <c r="C85" t="s">
        <v>3525</v>
      </c>
      <c r="D85" t="s">
        <v>4817</v>
      </c>
      <c r="E85" t="s">
        <v>4818</v>
      </c>
      <c r="F85" t="s">
        <v>1323</v>
      </c>
      <c r="H85" t="s">
        <v>4819</v>
      </c>
      <c r="I85" t="s">
        <v>3467</v>
      </c>
      <c r="J85" t="s">
        <v>4820</v>
      </c>
    </row>
    <row r="86" spans="1:10" ht="15" customHeight="1" x14ac:dyDescent="0.25">
      <c r="A86" t="s">
        <v>4821</v>
      </c>
      <c r="B86" t="s">
        <v>3518</v>
      </c>
      <c r="C86" t="s">
        <v>3539</v>
      </c>
      <c r="D86" t="s">
        <v>4822</v>
      </c>
      <c r="E86" t="s">
        <v>4823</v>
      </c>
      <c r="F86" t="s">
        <v>90</v>
      </c>
      <c r="G86" t="s">
        <v>3677</v>
      </c>
      <c r="H86" t="s">
        <v>3682</v>
      </c>
      <c r="I86" t="s">
        <v>3467</v>
      </c>
      <c r="J86" t="s">
        <v>4580</v>
      </c>
    </row>
    <row r="87" spans="1:10" ht="15" customHeight="1" x14ac:dyDescent="0.25">
      <c r="A87" t="s">
        <v>4824</v>
      </c>
      <c r="B87" t="s">
        <v>3518</v>
      </c>
      <c r="C87" t="s">
        <v>3525</v>
      </c>
      <c r="D87" t="s">
        <v>4825</v>
      </c>
      <c r="E87" t="s">
        <v>4826</v>
      </c>
      <c r="F87" t="s">
        <v>1650</v>
      </c>
      <c r="G87" t="s">
        <v>4827</v>
      </c>
      <c r="H87" t="s">
        <v>4828</v>
      </c>
      <c r="I87" t="s">
        <v>3467</v>
      </c>
      <c r="J87" t="s">
        <v>3528</v>
      </c>
    </row>
    <row r="88" spans="1:10" ht="15" customHeight="1" x14ac:dyDescent="0.25">
      <c r="A88" t="s">
        <v>4829</v>
      </c>
      <c r="B88" t="s">
        <v>3518</v>
      </c>
      <c r="C88" t="s">
        <v>3525</v>
      </c>
      <c r="D88" s="4" t="s">
        <v>4830</v>
      </c>
      <c r="E88" s="4" t="s">
        <v>4831</v>
      </c>
      <c r="F88" t="s">
        <v>1650</v>
      </c>
      <c r="G88" t="s">
        <v>4832</v>
      </c>
      <c r="H88" t="s">
        <v>4833</v>
      </c>
      <c r="I88" t="s">
        <v>3467</v>
      </c>
      <c r="J88" t="s">
        <v>3528</v>
      </c>
    </row>
    <row r="89" spans="1:10" ht="15" customHeight="1" x14ac:dyDescent="0.25">
      <c r="A89" t="s">
        <v>4834</v>
      </c>
      <c r="B89" t="s">
        <v>41</v>
      </c>
      <c r="C89" t="s">
        <v>3539</v>
      </c>
      <c r="D89" t="s">
        <v>4835</v>
      </c>
      <c r="E89" t="s">
        <v>4836</v>
      </c>
      <c r="F89" t="s">
        <v>497</v>
      </c>
      <c r="G89" t="s">
        <v>3644</v>
      </c>
      <c r="H89" t="s">
        <v>4837</v>
      </c>
      <c r="I89" t="s">
        <v>3467</v>
      </c>
      <c r="J89" t="s">
        <v>3536</v>
      </c>
    </row>
    <row r="90" spans="1:10" ht="15" customHeight="1" x14ac:dyDescent="0.25">
      <c r="A90" t="s">
        <v>3495</v>
      </c>
      <c r="B90" t="s">
        <v>41</v>
      </c>
      <c r="C90" t="s">
        <v>3525</v>
      </c>
      <c r="D90" t="s">
        <v>4838</v>
      </c>
      <c r="E90" t="s">
        <v>4839</v>
      </c>
      <c r="F90" t="s">
        <v>2805</v>
      </c>
      <c r="G90" t="s">
        <v>3617</v>
      </c>
      <c r="H90" t="s">
        <v>3495</v>
      </c>
      <c r="I90" t="s">
        <v>3467</v>
      </c>
      <c r="J90" t="s">
        <v>3449</v>
      </c>
    </row>
    <row r="91" spans="1:10" ht="15" customHeight="1" x14ac:dyDescent="0.25">
      <c r="A91" t="s">
        <v>4840</v>
      </c>
      <c r="B91" t="s">
        <v>3518</v>
      </c>
      <c r="C91" t="s">
        <v>3525</v>
      </c>
      <c r="D91" t="s">
        <v>4841</v>
      </c>
      <c r="E91" t="s">
        <v>4842</v>
      </c>
      <c r="F91" t="s">
        <v>1650</v>
      </c>
      <c r="G91" t="s">
        <v>4510</v>
      </c>
      <c r="H91" t="s">
        <v>4843</v>
      </c>
      <c r="I91" t="s">
        <v>3467</v>
      </c>
      <c r="J91" t="s">
        <v>4506</v>
      </c>
    </row>
    <row r="92" spans="1:10" ht="15" customHeight="1" x14ac:dyDescent="0.25">
      <c r="A92" t="s">
        <v>4844</v>
      </c>
      <c r="B92" t="s">
        <v>3518</v>
      </c>
      <c r="C92" t="s">
        <v>3525</v>
      </c>
      <c r="D92" t="s">
        <v>4845</v>
      </c>
      <c r="E92" t="s">
        <v>4846</v>
      </c>
      <c r="F92" t="s">
        <v>553</v>
      </c>
      <c r="G92" t="s">
        <v>3542</v>
      </c>
      <c r="H92" t="s">
        <v>4847</v>
      </c>
      <c r="I92" t="s">
        <v>3467</v>
      </c>
      <c r="J92" t="s">
        <v>3449</v>
      </c>
    </row>
    <row r="93" spans="1:10" ht="15" customHeight="1" x14ac:dyDescent="0.25">
      <c r="A93" t="s">
        <v>3695</v>
      </c>
      <c r="B93" t="s">
        <v>3530</v>
      </c>
      <c r="C93" t="s">
        <v>4555</v>
      </c>
      <c r="D93" t="s">
        <v>4848</v>
      </c>
      <c r="F93" t="s">
        <v>353</v>
      </c>
      <c r="H93" t="s">
        <v>3697</v>
      </c>
      <c r="I93" t="s">
        <v>3467</v>
      </c>
      <c r="J93" t="s">
        <v>3698</v>
      </c>
    </row>
    <row r="94" spans="1:10" ht="15" customHeight="1" x14ac:dyDescent="0.25">
      <c r="A94" t="s">
        <v>4849</v>
      </c>
      <c r="B94" t="s">
        <v>3563</v>
      </c>
      <c r="C94" t="s">
        <v>3525</v>
      </c>
      <c r="D94" t="s">
        <v>4850</v>
      </c>
      <c r="E94" t="s">
        <v>4851</v>
      </c>
      <c r="F94" t="s">
        <v>90</v>
      </c>
      <c r="G94" t="s">
        <v>4852</v>
      </c>
      <c r="H94" t="s">
        <v>4853</v>
      </c>
      <c r="I94" t="s">
        <v>3467</v>
      </c>
      <c r="J94" t="s">
        <v>4854</v>
      </c>
    </row>
    <row r="95" spans="1:10" ht="15" customHeight="1" x14ac:dyDescent="0.25">
      <c r="A95" t="s">
        <v>4855</v>
      </c>
      <c r="B95" t="s">
        <v>3518</v>
      </c>
      <c r="C95" t="s">
        <v>4496</v>
      </c>
      <c r="D95" t="s">
        <v>4856</v>
      </c>
      <c r="E95" t="s">
        <v>4857</v>
      </c>
      <c r="F95" t="s">
        <v>160</v>
      </c>
      <c r="G95" t="s">
        <v>3677</v>
      </c>
      <c r="H95" t="s">
        <v>4858</v>
      </c>
      <c r="I95" t="s">
        <v>3467</v>
      </c>
      <c r="J95" t="s">
        <v>3536</v>
      </c>
    </row>
    <row r="96" spans="1:10" ht="15" customHeight="1" x14ac:dyDescent="0.25">
      <c r="A96" t="s">
        <v>4859</v>
      </c>
      <c r="B96" t="s">
        <v>41</v>
      </c>
      <c r="C96" t="s">
        <v>4555</v>
      </c>
      <c r="D96" t="s">
        <v>4860</v>
      </c>
      <c r="E96" t="s">
        <v>4861</v>
      </c>
      <c r="F96" t="s">
        <v>1650</v>
      </c>
      <c r="G96" t="s">
        <v>4558</v>
      </c>
      <c r="H96" t="s">
        <v>4862</v>
      </c>
      <c r="I96" t="s">
        <v>3467</v>
      </c>
      <c r="J96" t="s">
        <v>3536</v>
      </c>
    </row>
    <row r="97" spans="1:10" ht="15" customHeight="1" x14ac:dyDescent="0.25">
      <c r="A97" t="s">
        <v>4863</v>
      </c>
      <c r="B97" t="s">
        <v>3530</v>
      </c>
      <c r="C97" t="s">
        <v>4475</v>
      </c>
      <c r="D97" t="s">
        <v>4864</v>
      </c>
      <c r="E97" t="s">
        <v>4865</v>
      </c>
      <c r="F97" t="s">
        <v>1650</v>
      </c>
      <c r="H97" t="s">
        <v>4866</v>
      </c>
      <c r="I97" t="s">
        <v>3467</v>
      </c>
      <c r="J97" t="s">
        <v>4506</v>
      </c>
    </row>
    <row r="98" spans="1:10" ht="15" customHeight="1" x14ac:dyDescent="0.25">
      <c r="A98" t="s">
        <v>4867</v>
      </c>
      <c r="B98" t="s">
        <v>3743</v>
      </c>
      <c r="C98" t="s">
        <v>3525</v>
      </c>
      <c r="D98" t="s">
        <v>4868</v>
      </c>
      <c r="E98" t="s">
        <v>4869</v>
      </c>
      <c r="F98" t="s">
        <v>160</v>
      </c>
      <c r="G98" t="s">
        <v>4707</v>
      </c>
      <c r="H98" t="s">
        <v>4870</v>
      </c>
      <c r="I98" t="s">
        <v>3467</v>
      </c>
      <c r="J98" t="s">
        <v>3594</v>
      </c>
    </row>
    <row r="99" spans="1:10" ht="15" customHeight="1" x14ac:dyDescent="0.25">
      <c r="A99" t="s">
        <v>4871</v>
      </c>
      <c r="B99" t="s">
        <v>3518</v>
      </c>
      <c r="C99" t="s">
        <v>3525</v>
      </c>
      <c r="D99" t="s">
        <v>4872</v>
      </c>
      <c r="E99" t="s">
        <v>4873</v>
      </c>
      <c r="F99" t="s">
        <v>1323</v>
      </c>
      <c r="G99" t="s">
        <v>4653</v>
      </c>
      <c r="H99" t="s">
        <v>4874</v>
      </c>
      <c r="I99" t="s">
        <v>3467</v>
      </c>
      <c r="J99" t="s">
        <v>4875</v>
      </c>
    </row>
    <row r="100" spans="1:10" ht="15" customHeight="1" x14ac:dyDescent="0.25">
      <c r="A100" t="s">
        <v>4876</v>
      </c>
      <c r="B100" t="s">
        <v>3530</v>
      </c>
      <c r="C100" t="s">
        <v>4614</v>
      </c>
      <c r="D100" t="s">
        <v>4877</v>
      </c>
      <c r="E100" t="s">
        <v>4878</v>
      </c>
      <c r="F100" t="s">
        <v>90</v>
      </c>
      <c r="G100" t="s">
        <v>4788</v>
      </c>
      <c r="H100" t="s">
        <v>4876</v>
      </c>
      <c r="I100" t="s">
        <v>3467</v>
      </c>
      <c r="J100" t="s">
        <v>4506</v>
      </c>
    </row>
    <row r="101" spans="1:10" ht="15" customHeight="1" x14ac:dyDescent="0.25">
      <c r="A101" t="s">
        <v>3708</v>
      </c>
      <c r="B101" t="s">
        <v>3530</v>
      </c>
      <c r="C101" t="s">
        <v>3525</v>
      </c>
      <c r="D101" t="s">
        <v>4879</v>
      </c>
      <c r="E101" t="s">
        <v>4880</v>
      </c>
      <c r="F101" t="s">
        <v>497</v>
      </c>
      <c r="G101" t="s">
        <v>3711</v>
      </c>
      <c r="H101" t="s">
        <v>3708</v>
      </c>
      <c r="I101" t="s">
        <v>3467</v>
      </c>
      <c r="J101" t="s">
        <v>3536</v>
      </c>
    </row>
    <row r="102" spans="1:10" ht="15" customHeight="1" x14ac:dyDescent="0.25">
      <c r="A102" t="s">
        <v>4881</v>
      </c>
      <c r="B102" t="s">
        <v>41</v>
      </c>
      <c r="C102" t="s">
        <v>4555</v>
      </c>
      <c r="D102" t="s">
        <v>4882</v>
      </c>
      <c r="E102" t="s">
        <v>4883</v>
      </c>
      <c r="F102" t="s">
        <v>1650</v>
      </c>
      <c r="G102" t="s">
        <v>4558</v>
      </c>
      <c r="H102" t="s">
        <v>4881</v>
      </c>
      <c r="I102" t="s">
        <v>3467</v>
      </c>
      <c r="J102" t="s">
        <v>3536</v>
      </c>
    </row>
    <row r="103" spans="1:10" ht="15" customHeight="1" x14ac:dyDescent="0.25">
      <c r="A103" t="s">
        <v>4884</v>
      </c>
      <c r="B103" t="s">
        <v>3518</v>
      </c>
      <c r="C103" t="s">
        <v>3539</v>
      </c>
      <c r="D103" t="s">
        <v>4885</v>
      </c>
      <c r="E103" t="s">
        <v>4886</v>
      </c>
      <c r="F103" t="s">
        <v>553</v>
      </c>
      <c r="G103" t="s">
        <v>3542</v>
      </c>
      <c r="H103" t="s">
        <v>4887</v>
      </c>
      <c r="I103" t="s">
        <v>3467</v>
      </c>
      <c r="J103" t="s">
        <v>3536</v>
      </c>
    </row>
    <row r="104" spans="1:10" ht="15" customHeight="1" x14ac:dyDescent="0.25">
      <c r="A104" t="s">
        <v>4888</v>
      </c>
      <c r="B104" t="s">
        <v>41</v>
      </c>
      <c r="C104" t="s">
        <v>3525</v>
      </c>
      <c r="D104" t="s">
        <v>4889</v>
      </c>
      <c r="E104" t="s">
        <v>4890</v>
      </c>
      <c r="F104" t="s">
        <v>1323</v>
      </c>
      <c r="H104" t="s">
        <v>4891</v>
      </c>
      <c r="I104" t="s">
        <v>3467</v>
      </c>
      <c r="J104" t="s">
        <v>4892</v>
      </c>
    </row>
    <row r="105" spans="1:10" ht="15" customHeight="1" x14ac:dyDescent="0.25">
      <c r="A105" t="s">
        <v>4893</v>
      </c>
      <c r="B105" t="s">
        <v>3530</v>
      </c>
      <c r="C105" t="s">
        <v>4555</v>
      </c>
      <c r="D105" t="s">
        <v>4894</v>
      </c>
      <c r="F105" t="s">
        <v>1650</v>
      </c>
      <c r="G105" t="s">
        <v>4895</v>
      </c>
      <c r="H105" t="s">
        <v>4896</v>
      </c>
      <c r="I105" t="s">
        <v>3467</v>
      </c>
      <c r="J105" t="s">
        <v>3449</v>
      </c>
    </row>
    <row r="106" spans="1:10" ht="15" customHeight="1" x14ac:dyDescent="0.25">
      <c r="A106" t="s">
        <v>4897</v>
      </c>
      <c r="B106" t="s">
        <v>3518</v>
      </c>
      <c r="C106" t="s">
        <v>3525</v>
      </c>
      <c r="D106" t="s">
        <v>4898</v>
      </c>
      <c r="E106" t="s">
        <v>4899</v>
      </c>
      <c r="F106" t="s">
        <v>90</v>
      </c>
      <c r="G106" t="s">
        <v>3677</v>
      </c>
      <c r="H106" t="s">
        <v>4900</v>
      </c>
      <c r="I106" t="s">
        <v>3467</v>
      </c>
      <c r="J106" t="s">
        <v>3528</v>
      </c>
    </row>
    <row r="107" spans="1:10" ht="15" customHeight="1" x14ac:dyDescent="0.25">
      <c r="A107" t="s">
        <v>4901</v>
      </c>
      <c r="B107" t="s">
        <v>41</v>
      </c>
      <c r="C107" t="s">
        <v>3525</v>
      </c>
      <c r="D107" t="s">
        <v>4902</v>
      </c>
      <c r="E107" t="s">
        <v>4903</v>
      </c>
      <c r="F107" t="s">
        <v>90</v>
      </c>
      <c r="G107" t="s">
        <v>3706</v>
      </c>
      <c r="H107" t="s">
        <v>4904</v>
      </c>
      <c r="I107" t="s">
        <v>3467</v>
      </c>
      <c r="J107" t="s">
        <v>4506</v>
      </c>
    </row>
    <row r="108" spans="1:10" ht="15" customHeight="1" x14ac:dyDescent="0.25">
      <c r="A108" t="s">
        <v>4905</v>
      </c>
      <c r="B108" t="s">
        <v>3530</v>
      </c>
      <c r="C108" t="s">
        <v>3525</v>
      </c>
      <c r="D108" t="s">
        <v>4906</v>
      </c>
      <c r="E108" t="s">
        <v>4907</v>
      </c>
      <c r="F108" t="s">
        <v>501</v>
      </c>
      <c r="G108" t="s">
        <v>4691</v>
      </c>
      <c r="H108" t="s">
        <v>4908</v>
      </c>
      <c r="I108" t="s">
        <v>3467</v>
      </c>
      <c r="J108" t="s">
        <v>3528</v>
      </c>
    </row>
    <row r="109" spans="1:10" ht="15" customHeight="1" x14ac:dyDescent="0.25">
      <c r="A109" t="s">
        <v>4909</v>
      </c>
      <c r="B109" t="s">
        <v>41</v>
      </c>
      <c r="C109" t="s">
        <v>3539</v>
      </c>
      <c r="D109" t="s">
        <v>4910</v>
      </c>
      <c r="E109" t="s">
        <v>4911</v>
      </c>
      <c r="F109" t="s">
        <v>1047</v>
      </c>
      <c r="G109" t="s">
        <v>4912</v>
      </c>
      <c r="H109" t="s">
        <v>4909</v>
      </c>
      <c r="I109" t="s">
        <v>3467</v>
      </c>
      <c r="J109" t="s">
        <v>3536</v>
      </c>
    </row>
    <row r="110" spans="1:10" ht="15" customHeight="1" x14ac:dyDescent="0.25">
      <c r="A110" t="s">
        <v>4913</v>
      </c>
      <c r="B110" t="s">
        <v>3530</v>
      </c>
      <c r="C110" t="s">
        <v>4604</v>
      </c>
      <c r="D110" t="s">
        <v>4914</v>
      </c>
      <c r="F110" t="s">
        <v>160</v>
      </c>
      <c r="G110" t="s">
        <v>4915</v>
      </c>
      <c r="H110" t="s">
        <v>4916</v>
      </c>
      <c r="I110" t="s">
        <v>3467</v>
      </c>
      <c r="J110" t="s">
        <v>4506</v>
      </c>
    </row>
    <row r="111" spans="1:10" ht="15" customHeight="1" x14ac:dyDescent="0.25">
      <c r="A111" t="s">
        <v>4917</v>
      </c>
      <c r="B111" t="s">
        <v>41</v>
      </c>
      <c r="C111" t="s">
        <v>3690</v>
      </c>
      <c r="D111" t="s">
        <v>4918</v>
      </c>
      <c r="F111" t="s">
        <v>160</v>
      </c>
      <c r="G111" t="s">
        <v>4919</v>
      </c>
      <c r="H111" t="s">
        <v>4920</v>
      </c>
      <c r="I111" t="s">
        <v>3467</v>
      </c>
      <c r="J111" t="s">
        <v>3698</v>
      </c>
    </row>
    <row r="112" spans="1:10" ht="15" customHeight="1" x14ac:dyDescent="0.25">
      <c r="A112" t="s">
        <v>4921</v>
      </c>
      <c r="B112" t="s">
        <v>3518</v>
      </c>
      <c r="C112" t="s">
        <v>3525</v>
      </c>
      <c r="D112" t="s">
        <v>4922</v>
      </c>
      <c r="E112" t="s">
        <v>4923</v>
      </c>
      <c r="F112" t="s">
        <v>90</v>
      </c>
      <c r="H112" t="s">
        <v>4924</v>
      </c>
      <c r="I112" t="s">
        <v>3467</v>
      </c>
      <c r="J112" t="s">
        <v>3528</v>
      </c>
    </row>
    <row r="113" spans="1:10" ht="15" customHeight="1" x14ac:dyDescent="0.25">
      <c r="A113" t="s">
        <v>4925</v>
      </c>
      <c r="B113" t="s">
        <v>3530</v>
      </c>
      <c r="C113" t="s">
        <v>3525</v>
      </c>
      <c r="D113" t="s">
        <v>4926</v>
      </c>
      <c r="E113" t="s">
        <v>4927</v>
      </c>
      <c r="F113" t="s">
        <v>90</v>
      </c>
      <c r="G113" t="s">
        <v>4663</v>
      </c>
      <c r="H113" t="s">
        <v>4928</v>
      </c>
      <c r="I113" t="s">
        <v>3467</v>
      </c>
      <c r="J113" t="s">
        <v>3594</v>
      </c>
    </row>
    <row r="114" spans="1:10" ht="15" customHeight="1" x14ac:dyDescent="0.25">
      <c r="A114" t="s">
        <v>4929</v>
      </c>
      <c r="B114" t="s">
        <v>41</v>
      </c>
      <c r="C114" t="s">
        <v>3525</v>
      </c>
      <c r="D114" t="s">
        <v>4930</v>
      </c>
      <c r="E114" t="s">
        <v>4931</v>
      </c>
      <c r="F114" t="s">
        <v>90</v>
      </c>
      <c r="G114" t="s">
        <v>4932</v>
      </c>
      <c r="H114" t="s">
        <v>4933</v>
      </c>
      <c r="I114" t="s">
        <v>3467</v>
      </c>
      <c r="J114" t="s">
        <v>3449</v>
      </c>
    </row>
    <row r="115" spans="1:10" ht="15" customHeight="1" x14ac:dyDescent="0.25">
      <c r="A115" t="s">
        <v>4934</v>
      </c>
      <c r="B115" t="s">
        <v>3518</v>
      </c>
      <c r="C115" t="s">
        <v>3525</v>
      </c>
      <c r="D115" t="s">
        <v>4935</v>
      </c>
      <c r="E115" t="s">
        <v>4936</v>
      </c>
      <c r="F115" t="s">
        <v>90</v>
      </c>
      <c r="G115" t="s">
        <v>4668</v>
      </c>
      <c r="H115" t="s">
        <v>4934</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4937</v>
      </c>
      <c r="B117" t="s">
        <v>41</v>
      </c>
      <c r="C117" t="s">
        <v>4555</v>
      </c>
      <c r="D117" t="s">
        <v>4938</v>
      </c>
      <c r="E117" t="s">
        <v>4939</v>
      </c>
      <c r="F117" t="s">
        <v>1650</v>
      </c>
      <c r="G117" t="s">
        <v>4558</v>
      </c>
      <c r="H117" t="s">
        <v>4937</v>
      </c>
      <c r="I117" t="s">
        <v>3467</v>
      </c>
      <c r="J117" t="s">
        <v>3536</v>
      </c>
    </row>
    <row r="118" spans="1:10" ht="15" customHeight="1" x14ac:dyDescent="0.25">
      <c r="A118" t="s">
        <v>3739</v>
      </c>
      <c r="B118" t="s">
        <v>41</v>
      </c>
      <c r="C118" t="s">
        <v>3539</v>
      </c>
      <c r="D118" t="s">
        <v>4940</v>
      </c>
      <c r="E118" t="s">
        <v>4941</v>
      </c>
      <c r="F118" t="s">
        <v>90</v>
      </c>
      <c r="H118" t="s">
        <v>3739</v>
      </c>
      <c r="I118" t="s">
        <v>3467</v>
      </c>
      <c r="J118" t="s">
        <v>3536</v>
      </c>
    </row>
    <row r="119" spans="1:10" ht="15" customHeight="1" x14ac:dyDescent="0.25">
      <c r="A119" t="s">
        <v>4942</v>
      </c>
      <c r="B119" t="s">
        <v>3518</v>
      </c>
      <c r="C119" t="s">
        <v>3596</v>
      </c>
      <c r="D119" t="s">
        <v>4943</v>
      </c>
      <c r="F119" t="s">
        <v>160</v>
      </c>
      <c r="H119" t="s">
        <v>4944</v>
      </c>
      <c r="I119" t="s">
        <v>3467</v>
      </c>
      <c r="J119" t="s">
        <v>3698</v>
      </c>
    </row>
    <row r="120" spans="1:10" ht="15" customHeight="1" x14ac:dyDescent="0.25">
      <c r="A120" t="s">
        <v>4945</v>
      </c>
      <c r="B120" t="s">
        <v>3518</v>
      </c>
      <c r="C120" t="s">
        <v>3525</v>
      </c>
      <c r="D120" t="s">
        <v>4946</v>
      </c>
      <c r="E120" t="s">
        <v>4947</v>
      </c>
      <c r="F120" t="s">
        <v>1130</v>
      </c>
      <c r="G120" t="s">
        <v>4948</v>
      </c>
      <c r="H120" t="s">
        <v>4949</v>
      </c>
      <c r="I120" t="s">
        <v>3467</v>
      </c>
      <c r="J120" t="s">
        <v>4612</v>
      </c>
    </row>
    <row r="121" spans="1:10" ht="15" customHeight="1" x14ac:dyDescent="0.25">
      <c r="A121" t="s">
        <v>3742</v>
      </c>
      <c r="B121" t="s">
        <v>3743</v>
      </c>
      <c r="C121" t="s">
        <v>4950</v>
      </c>
      <c r="D121" t="s">
        <v>4951</v>
      </c>
      <c r="F121" t="s">
        <v>1796</v>
      </c>
      <c r="G121" t="s">
        <v>3745</v>
      </c>
      <c r="H121" t="s">
        <v>3746</v>
      </c>
      <c r="I121" t="s">
        <v>3467</v>
      </c>
      <c r="J121" t="s">
        <v>3594</v>
      </c>
    </row>
    <row r="122" spans="1:10" ht="15" customHeight="1" x14ac:dyDescent="0.25">
      <c r="A122" t="s">
        <v>4952</v>
      </c>
      <c r="B122" t="s">
        <v>41</v>
      </c>
      <c r="C122" t="s">
        <v>3531</v>
      </c>
      <c r="D122" t="s">
        <v>4953</v>
      </c>
      <c r="E122" t="s">
        <v>4954</v>
      </c>
      <c r="F122" t="s">
        <v>90</v>
      </c>
      <c r="H122" t="s">
        <v>4955</v>
      </c>
      <c r="I122" t="s">
        <v>3467</v>
      </c>
      <c r="J122" t="s">
        <v>3528</v>
      </c>
    </row>
    <row r="123" spans="1:10" ht="15" customHeight="1" x14ac:dyDescent="0.25">
      <c r="A123" t="s">
        <v>4956</v>
      </c>
      <c r="B123" t="s">
        <v>3530</v>
      </c>
      <c r="C123" t="s">
        <v>3539</v>
      </c>
      <c r="D123" t="s">
        <v>4957</v>
      </c>
      <c r="E123" t="s">
        <v>4958</v>
      </c>
      <c r="F123" t="s">
        <v>497</v>
      </c>
      <c r="G123" t="s">
        <v>264</v>
      </c>
      <c r="H123" t="s">
        <v>4956</v>
      </c>
      <c r="I123" t="s">
        <v>3467</v>
      </c>
      <c r="J123" t="s">
        <v>3536</v>
      </c>
    </row>
    <row r="124" spans="1:10" ht="15" customHeight="1" x14ac:dyDescent="0.25">
      <c r="A124" t="s">
        <v>4959</v>
      </c>
      <c r="B124" t="s">
        <v>41</v>
      </c>
      <c r="C124" t="s">
        <v>3531</v>
      </c>
      <c r="D124" t="s">
        <v>4960</v>
      </c>
      <c r="E124" t="s">
        <v>4961</v>
      </c>
      <c r="F124" t="s">
        <v>90</v>
      </c>
      <c r="G124" t="s">
        <v>3677</v>
      </c>
      <c r="H124" t="s">
        <v>4959</v>
      </c>
      <c r="I124" t="s">
        <v>3467</v>
      </c>
      <c r="J124" t="s">
        <v>4506</v>
      </c>
    </row>
    <row r="125" spans="1:10" ht="15" customHeight="1" x14ac:dyDescent="0.25">
      <c r="A125" t="s">
        <v>4962</v>
      </c>
      <c r="B125" t="s">
        <v>3518</v>
      </c>
      <c r="C125" t="s">
        <v>4963</v>
      </c>
      <c r="D125" t="s">
        <v>4964</v>
      </c>
      <c r="E125" t="s">
        <v>4965</v>
      </c>
      <c r="F125" t="s">
        <v>90</v>
      </c>
      <c r="G125" t="s">
        <v>4483</v>
      </c>
      <c r="H125" t="s">
        <v>4966</v>
      </c>
      <c r="I125" t="s">
        <v>3467</v>
      </c>
      <c r="J125" t="s">
        <v>3698</v>
      </c>
    </row>
    <row r="126" spans="1:10" ht="15" customHeight="1" x14ac:dyDescent="0.25">
      <c r="A126" t="s">
        <v>4967</v>
      </c>
      <c r="B126" t="s">
        <v>3530</v>
      </c>
      <c r="C126" t="s">
        <v>3539</v>
      </c>
      <c r="D126" t="s">
        <v>4968</v>
      </c>
      <c r="E126" t="s">
        <v>4969</v>
      </c>
      <c r="F126" t="s">
        <v>497</v>
      </c>
      <c r="G126" t="s">
        <v>3737</v>
      </c>
      <c r="H126" t="s">
        <v>4967</v>
      </c>
      <c r="I126" t="s">
        <v>3467</v>
      </c>
      <c r="J126" t="s">
        <v>3536</v>
      </c>
    </row>
    <row r="127" spans="1:10" ht="15" customHeight="1" x14ac:dyDescent="0.25">
      <c r="A127" t="s">
        <v>3747</v>
      </c>
      <c r="B127" t="s">
        <v>41</v>
      </c>
      <c r="C127" t="s">
        <v>3690</v>
      </c>
      <c r="D127" t="s">
        <v>4970</v>
      </c>
      <c r="E127" t="s">
        <v>4971</v>
      </c>
      <c r="F127" t="s">
        <v>160</v>
      </c>
      <c r="G127" t="s">
        <v>4972</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4973</v>
      </c>
      <c r="B1" t="s">
        <v>1</v>
      </c>
      <c r="C1" t="s">
        <v>167</v>
      </c>
      <c r="D1" t="s">
        <v>3752</v>
      </c>
      <c r="E1" t="s">
        <v>4974</v>
      </c>
      <c r="F1" t="s">
        <v>6</v>
      </c>
      <c r="G1" t="s">
        <v>4975</v>
      </c>
      <c r="H1" t="s">
        <v>4976</v>
      </c>
      <c r="I1" t="s">
        <v>4977</v>
      </c>
      <c r="J1" t="s">
        <v>4306</v>
      </c>
      <c r="K1" t="s">
        <v>4978</v>
      </c>
      <c r="L1" t="s">
        <v>4</v>
      </c>
      <c r="M1" t="s">
        <v>170</v>
      </c>
    </row>
    <row r="2" spans="1:13" ht="15" customHeight="1" x14ac:dyDescent="0.25">
      <c r="A2" t="s">
        <v>4979</v>
      </c>
      <c r="B2" t="s">
        <v>1650</v>
      </c>
      <c r="C2" t="s">
        <v>222</v>
      </c>
      <c r="D2" t="s">
        <v>39</v>
      </c>
      <c r="E2">
        <v>0</v>
      </c>
      <c r="F2" t="s">
        <v>41</v>
      </c>
      <c r="G2" t="s">
        <v>4980</v>
      </c>
      <c r="H2" t="s">
        <v>4981</v>
      </c>
      <c r="I2" t="s">
        <v>4035</v>
      </c>
      <c r="J2" t="s">
        <v>4982</v>
      </c>
      <c r="K2" t="s">
        <v>3467</v>
      </c>
      <c r="L2" t="s">
        <v>4344</v>
      </c>
      <c r="M2" t="s">
        <v>4983</v>
      </c>
    </row>
    <row r="3" spans="1:13" ht="15" customHeight="1" x14ac:dyDescent="0.25">
      <c r="A3" t="s">
        <v>4984</v>
      </c>
      <c r="B3" t="s">
        <v>1650</v>
      </c>
      <c r="C3" t="s">
        <v>222</v>
      </c>
      <c r="D3" t="s">
        <v>39</v>
      </c>
      <c r="E3">
        <v>0</v>
      </c>
      <c r="F3" t="s">
        <v>41</v>
      </c>
      <c r="G3" t="s">
        <v>4985</v>
      </c>
      <c r="H3" t="s">
        <v>4986</v>
      </c>
      <c r="I3" t="s">
        <v>4035</v>
      </c>
      <c r="J3" t="s">
        <v>4987</v>
      </c>
      <c r="K3" t="s">
        <v>3467</v>
      </c>
      <c r="L3" t="s">
        <v>4344</v>
      </c>
      <c r="M3" t="s">
        <v>264</v>
      </c>
    </row>
    <row r="4" spans="1:13" ht="15" customHeight="1" x14ac:dyDescent="0.25">
      <c r="A4" t="s">
        <v>4988</v>
      </c>
      <c r="B4" t="s">
        <v>90</v>
      </c>
      <c r="C4" t="s">
        <v>182</v>
      </c>
      <c r="D4" t="s">
        <v>39</v>
      </c>
      <c r="E4">
        <v>0</v>
      </c>
      <c r="F4" t="s">
        <v>3530</v>
      </c>
      <c r="G4" t="s">
        <v>4989</v>
      </c>
      <c r="H4" t="s">
        <v>4989</v>
      </c>
      <c r="I4" t="s">
        <v>4035</v>
      </c>
      <c r="J4" t="s">
        <v>4990</v>
      </c>
      <c r="K4">
        <v>1</v>
      </c>
      <c r="L4" t="s">
        <v>4344</v>
      </c>
    </row>
    <row r="5" spans="1:13" ht="15" customHeight="1" x14ac:dyDescent="0.25">
      <c r="A5" t="s">
        <v>4991</v>
      </c>
      <c r="B5" t="s">
        <v>90</v>
      </c>
      <c r="C5" t="s">
        <v>182</v>
      </c>
      <c r="D5" t="s">
        <v>4992</v>
      </c>
      <c r="E5">
        <v>0</v>
      </c>
      <c r="F5" t="s">
        <v>41</v>
      </c>
      <c r="G5" t="s">
        <v>3467</v>
      </c>
      <c r="H5" t="s">
        <v>4993</v>
      </c>
      <c r="I5" t="s">
        <v>4035</v>
      </c>
      <c r="J5" t="s">
        <v>4994</v>
      </c>
      <c r="K5" t="s">
        <v>3467</v>
      </c>
      <c r="L5" t="s">
        <v>4344</v>
      </c>
      <c r="M5" t="s">
        <v>4995</v>
      </c>
    </row>
    <row r="9" spans="1:13" ht="15" customHeight="1" x14ac:dyDescent="0.25">
      <c r="A9" t="s">
        <v>4996</v>
      </c>
      <c r="B9" t="s">
        <v>4997</v>
      </c>
      <c r="C9" t="s">
        <v>4998</v>
      </c>
      <c r="F9" t="s">
        <v>4999</v>
      </c>
      <c r="G9" t="s">
        <v>5000</v>
      </c>
      <c r="J9" t="s">
        <v>3467</v>
      </c>
    </row>
    <row r="10" spans="1:13" ht="15" customHeight="1" x14ac:dyDescent="0.25">
      <c r="A10" t="s">
        <v>5001</v>
      </c>
      <c r="B10" t="s">
        <v>5002</v>
      </c>
      <c r="C10" t="s">
        <v>5003</v>
      </c>
      <c r="F10" t="s">
        <v>5004</v>
      </c>
      <c r="G10" t="s">
        <v>5005</v>
      </c>
      <c r="J10" t="s">
        <v>5006</v>
      </c>
    </row>
    <row r="11" spans="1:13" ht="15" customHeight="1" x14ac:dyDescent="0.25">
      <c r="A11" t="s">
        <v>5007</v>
      </c>
      <c r="B11" t="s">
        <v>5008</v>
      </c>
      <c r="C11" t="s">
        <v>5009</v>
      </c>
      <c r="F11" t="s">
        <v>5010</v>
      </c>
      <c r="J11" t="s">
        <v>3467</v>
      </c>
    </row>
    <row r="12" spans="1:13" ht="15" customHeight="1" x14ac:dyDescent="0.25">
      <c r="A12" t="s">
        <v>5011</v>
      </c>
      <c r="B12" t="s">
        <v>5012</v>
      </c>
      <c r="C12" t="s">
        <v>5013</v>
      </c>
      <c r="F12" t="s">
        <v>5014</v>
      </c>
    </row>
    <row r="13" spans="1:13" ht="15" customHeight="1" x14ac:dyDescent="0.25">
      <c r="A13" t="s">
        <v>5015</v>
      </c>
      <c r="B13" t="s">
        <v>5016</v>
      </c>
      <c r="C13" t="s">
        <v>5017</v>
      </c>
      <c r="F13" t="s">
        <v>5018</v>
      </c>
      <c r="G13" t="s">
        <v>5019</v>
      </c>
      <c r="I13" t="s">
        <v>4276</v>
      </c>
    </row>
    <row r="14" spans="1:13" ht="15" customHeight="1" x14ac:dyDescent="0.25">
      <c r="A14" t="s">
        <v>5020</v>
      </c>
      <c r="B14" t="s">
        <v>5021</v>
      </c>
      <c r="C14" t="s">
        <v>5022</v>
      </c>
      <c r="F14" t="s">
        <v>5023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5024</v>
      </c>
      <c r="G1" t="s">
        <v>3513</v>
      </c>
      <c r="H1" t="s">
        <v>5025</v>
      </c>
      <c r="I1" t="s">
        <v>5026</v>
      </c>
      <c r="J1" t="s">
        <v>4306</v>
      </c>
      <c r="K1" t="s">
        <v>170</v>
      </c>
    </row>
    <row r="2" spans="1:11" ht="15" customHeight="1" x14ac:dyDescent="0.25">
      <c r="A2" t="s">
        <v>5015</v>
      </c>
      <c r="B2" t="s">
        <v>5027</v>
      </c>
      <c r="C2" t="s">
        <v>3530</v>
      </c>
      <c r="D2" t="s">
        <v>5028</v>
      </c>
      <c r="E2" t="s">
        <v>5029</v>
      </c>
      <c r="F2" t="s">
        <v>5030</v>
      </c>
      <c r="G2" t="s">
        <v>160</v>
      </c>
      <c r="H2" t="s">
        <v>5031</v>
      </c>
      <c r="I2" t="s">
        <v>5032</v>
      </c>
      <c r="J2" t="s">
        <v>5033</v>
      </c>
    </row>
    <row r="3" spans="1:11" ht="15" customHeight="1" x14ac:dyDescent="0.25">
      <c r="A3" t="s">
        <v>5034</v>
      </c>
      <c r="B3" t="s">
        <v>5035</v>
      </c>
      <c r="C3" t="s">
        <v>41</v>
      </c>
      <c r="D3" t="s">
        <v>5036</v>
      </c>
      <c r="E3" t="s">
        <v>5037</v>
      </c>
      <c r="F3" t="s">
        <v>5038</v>
      </c>
      <c r="G3" t="s">
        <v>1650</v>
      </c>
      <c r="J3" t="s">
        <v>5039</v>
      </c>
    </row>
    <row r="4" spans="1:11" ht="15" customHeight="1" x14ac:dyDescent="0.25">
      <c r="A4" t="s">
        <v>5040</v>
      </c>
      <c r="B4" t="s">
        <v>5035</v>
      </c>
      <c r="C4" t="s">
        <v>41</v>
      </c>
      <c r="D4" t="s">
        <v>5041</v>
      </c>
      <c r="E4" t="s">
        <v>5042</v>
      </c>
      <c r="F4" t="s">
        <v>5043</v>
      </c>
      <c r="G4" t="s">
        <v>1047</v>
      </c>
      <c r="J4" t="s">
        <v>5044</v>
      </c>
    </row>
    <row r="5" spans="1:11" ht="15" customHeight="1" x14ac:dyDescent="0.25">
      <c r="A5" t="s">
        <v>5045</v>
      </c>
      <c r="B5" t="s">
        <v>3698</v>
      </c>
      <c r="C5" t="s">
        <v>41</v>
      </c>
      <c r="D5" t="s">
        <v>5046</v>
      </c>
      <c r="E5" t="s">
        <v>5047</v>
      </c>
      <c r="F5" t="s">
        <v>3467</v>
      </c>
      <c r="G5" t="s">
        <v>2133</v>
      </c>
      <c r="J5" t="s">
        <v>5048</v>
      </c>
    </row>
    <row r="6" spans="1:11" ht="15" customHeight="1" x14ac:dyDescent="0.25">
      <c r="A6" t="s">
        <v>5049</v>
      </c>
      <c r="B6" t="s">
        <v>3698</v>
      </c>
      <c r="C6" t="s">
        <v>3518</v>
      </c>
      <c r="D6" t="s">
        <v>5050</v>
      </c>
      <c r="E6" t="s">
        <v>5051</v>
      </c>
      <c r="F6" t="s">
        <v>3467</v>
      </c>
      <c r="G6" t="s">
        <v>2133</v>
      </c>
      <c r="J6" t="s">
        <v>5052</v>
      </c>
    </row>
    <row r="7" spans="1:11" ht="15" customHeight="1" x14ac:dyDescent="0.25">
      <c r="A7" t="s">
        <v>5053</v>
      </c>
      <c r="B7" t="s">
        <v>5054</v>
      </c>
      <c r="C7" t="s">
        <v>41</v>
      </c>
      <c r="D7" t="s">
        <v>5055</v>
      </c>
      <c r="E7" t="s">
        <v>5056</v>
      </c>
      <c r="F7" t="s">
        <v>3467</v>
      </c>
      <c r="G7" t="s">
        <v>759</v>
      </c>
      <c r="J7" t="s">
        <v>5057</v>
      </c>
    </row>
    <row r="8" spans="1:11" ht="15" customHeight="1" x14ac:dyDescent="0.25">
      <c r="A8" t="s">
        <v>5058</v>
      </c>
      <c r="B8" t="s">
        <v>5027</v>
      </c>
      <c r="C8" t="s">
        <v>3518</v>
      </c>
      <c r="D8" t="s">
        <v>5059</v>
      </c>
      <c r="E8" t="s">
        <v>5060</v>
      </c>
      <c r="F8" t="s">
        <v>3467</v>
      </c>
      <c r="G8" t="s">
        <v>160</v>
      </c>
      <c r="H8" t="s">
        <v>5061</v>
      </c>
      <c r="I8" t="s">
        <v>5062</v>
      </c>
      <c r="J8" t="s">
        <v>5063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5064</v>
      </c>
      <c r="E1" t="s">
        <v>5065</v>
      </c>
      <c r="F1" t="s">
        <v>5066</v>
      </c>
      <c r="G1" t="s">
        <v>3757</v>
      </c>
      <c r="H1" t="s">
        <v>1</v>
      </c>
      <c r="I1" t="s">
        <v>5067</v>
      </c>
      <c r="J1" t="s">
        <v>5068</v>
      </c>
      <c r="K1" t="s">
        <v>171</v>
      </c>
      <c r="L1" t="s">
        <v>5069</v>
      </c>
      <c r="M1" t="s">
        <v>3758</v>
      </c>
    </row>
    <row r="2" spans="1:13" ht="27.75" customHeight="1" x14ac:dyDescent="0.25">
      <c r="A2" t="s">
        <v>3824</v>
      </c>
      <c r="B2" t="s">
        <v>5070</v>
      </c>
      <c r="C2" t="s">
        <v>4410</v>
      </c>
      <c r="D2">
        <v>2</v>
      </c>
      <c r="E2">
        <v>48</v>
      </c>
      <c r="F2">
        <v>54</v>
      </c>
      <c r="G2" t="s">
        <v>3467</v>
      </c>
      <c r="H2" t="s">
        <v>90</v>
      </c>
      <c r="I2" t="s">
        <v>4443</v>
      </c>
      <c r="J2" s="4" t="s">
        <v>5071</v>
      </c>
      <c r="K2" t="s">
        <v>3824</v>
      </c>
      <c r="L2" t="s">
        <v>3467</v>
      </c>
    </row>
    <row r="3" spans="1:13" ht="41.25" customHeight="1" x14ac:dyDescent="0.25">
      <c r="A3" t="s">
        <v>3853</v>
      </c>
      <c r="B3" t="s">
        <v>5070</v>
      </c>
      <c r="C3" t="s">
        <v>4414</v>
      </c>
      <c r="D3">
        <v>6</v>
      </c>
      <c r="E3">
        <v>114</v>
      </c>
      <c r="F3">
        <v>120</v>
      </c>
      <c r="G3" t="s">
        <v>3467</v>
      </c>
      <c r="H3" t="s">
        <v>90</v>
      </c>
      <c r="I3" t="s">
        <v>4443</v>
      </c>
      <c r="J3" s="4" t="s">
        <v>5072</v>
      </c>
      <c r="K3" t="s">
        <v>3853</v>
      </c>
      <c r="L3" t="s">
        <v>3467</v>
      </c>
    </row>
    <row r="4" spans="1:13" ht="15" customHeight="1" x14ac:dyDescent="0.25">
      <c r="A4" t="s">
        <v>3861</v>
      </c>
      <c r="B4" t="s">
        <v>5070</v>
      </c>
      <c r="C4" t="s">
        <v>5073</v>
      </c>
      <c r="D4">
        <v>9</v>
      </c>
      <c r="E4">
        <v>999</v>
      </c>
      <c r="F4">
        <v>999</v>
      </c>
      <c r="G4" t="s">
        <v>5074</v>
      </c>
      <c r="H4" t="s">
        <v>90</v>
      </c>
      <c r="I4" t="s">
        <v>4443</v>
      </c>
      <c r="J4" t="s">
        <v>5075</v>
      </c>
      <c r="K4" t="s">
        <v>3861</v>
      </c>
      <c r="L4" t="s">
        <v>3467</v>
      </c>
    </row>
    <row r="5" spans="1:13" ht="54.75" customHeight="1" x14ac:dyDescent="0.25">
      <c r="A5" t="s">
        <v>5076</v>
      </c>
      <c r="B5" t="s">
        <v>5070</v>
      </c>
      <c r="C5" t="s">
        <v>4410</v>
      </c>
      <c r="D5">
        <v>3</v>
      </c>
      <c r="E5">
        <v>40</v>
      </c>
      <c r="F5">
        <v>44</v>
      </c>
      <c r="G5" t="s">
        <v>3467</v>
      </c>
      <c r="H5" t="s">
        <v>90</v>
      </c>
      <c r="I5" t="s">
        <v>4443</v>
      </c>
      <c r="J5" s="4" t="s">
        <v>5077</v>
      </c>
      <c r="K5" t="s">
        <v>5078</v>
      </c>
      <c r="L5" t="s">
        <v>3467</v>
      </c>
    </row>
    <row r="6" spans="1:13" ht="27.75" customHeight="1" x14ac:dyDescent="0.25">
      <c r="A6" t="s">
        <v>5079</v>
      </c>
      <c r="B6" t="s">
        <v>5070</v>
      </c>
      <c r="C6" t="s">
        <v>4410</v>
      </c>
      <c r="D6">
        <v>1</v>
      </c>
      <c r="E6">
        <v>10</v>
      </c>
      <c r="F6">
        <v>15</v>
      </c>
      <c r="G6" t="s">
        <v>5080</v>
      </c>
      <c r="H6" t="s">
        <v>90</v>
      </c>
      <c r="I6" t="s">
        <v>4443</v>
      </c>
      <c r="J6" s="4" t="s">
        <v>5081</v>
      </c>
      <c r="K6" t="s">
        <v>5082</v>
      </c>
      <c r="L6" t="s">
        <v>3467</v>
      </c>
      <c r="M6" t="s">
        <v>4680</v>
      </c>
    </row>
    <row r="7" spans="1:13" ht="27.75" customHeight="1" x14ac:dyDescent="0.25">
      <c r="A7" t="s">
        <v>5083</v>
      </c>
      <c r="B7" t="s">
        <v>5070</v>
      </c>
      <c r="C7" t="s">
        <v>4410</v>
      </c>
      <c r="D7">
        <v>1</v>
      </c>
      <c r="E7">
        <v>11</v>
      </c>
      <c r="F7">
        <v>17</v>
      </c>
      <c r="G7" t="s">
        <v>5080</v>
      </c>
      <c r="H7" t="s">
        <v>90</v>
      </c>
      <c r="I7" t="s">
        <v>4443</v>
      </c>
      <c r="J7" s="4" t="s">
        <v>5084</v>
      </c>
      <c r="K7" t="s">
        <v>5085</v>
      </c>
      <c r="L7" t="s">
        <v>3467</v>
      </c>
      <c r="M7" t="s">
        <v>4680</v>
      </c>
    </row>
    <row r="8" spans="1:13" ht="41.25" customHeight="1" x14ac:dyDescent="0.25">
      <c r="A8" t="s">
        <v>5086</v>
      </c>
      <c r="B8" t="s">
        <v>5070</v>
      </c>
      <c r="C8" t="s">
        <v>4410</v>
      </c>
      <c r="D8">
        <v>4</v>
      </c>
      <c r="E8">
        <v>65</v>
      </c>
      <c r="F8">
        <v>69</v>
      </c>
      <c r="G8" t="s">
        <v>5087</v>
      </c>
      <c r="H8" t="s">
        <v>90</v>
      </c>
      <c r="I8" t="s">
        <v>4443</v>
      </c>
      <c r="J8" s="4" t="s">
        <v>5088</v>
      </c>
      <c r="K8" t="s">
        <v>5089</v>
      </c>
      <c r="L8" t="s">
        <v>3467</v>
      </c>
      <c r="M8" t="s">
        <v>3849</v>
      </c>
    </row>
    <row r="9" spans="1:13" ht="41.25" customHeight="1" x14ac:dyDescent="0.25">
      <c r="A9" t="s">
        <v>5090</v>
      </c>
      <c r="B9" t="s">
        <v>5070</v>
      </c>
      <c r="C9" t="s">
        <v>4410</v>
      </c>
      <c r="D9">
        <v>2</v>
      </c>
      <c r="E9">
        <v>28</v>
      </c>
      <c r="F9">
        <v>32</v>
      </c>
      <c r="G9" t="s">
        <v>3467</v>
      </c>
      <c r="H9" t="s">
        <v>90</v>
      </c>
      <c r="I9" t="s">
        <v>4443</v>
      </c>
      <c r="J9" s="4" t="s">
        <v>5091</v>
      </c>
      <c r="K9" t="s">
        <v>5092</v>
      </c>
      <c r="L9" t="s">
        <v>3467</v>
      </c>
      <c r="M9" t="s">
        <v>3849</v>
      </c>
    </row>
    <row r="10" spans="1:13" ht="27.75" customHeight="1" x14ac:dyDescent="0.25">
      <c r="A10" t="s">
        <v>5093</v>
      </c>
      <c r="B10" t="s">
        <v>5070</v>
      </c>
      <c r="C10" t="s">
        <v>4410</v>
      </c>
      <c r="D10">
        <v>1</v>
      </c>
      <c r="E10">
        <v>8</v>
      </c>
      <c r="F10">
        <v>12</v>
      </c>
      <c r="G10" t="s">
        <v>3467</v>
      </c>
      <c r="H10" t="s">
        <v>90</v>
      </c>
      <c r="I10" t="s">
        <v>4443</v>
      </c>
      <c r="J10" s="4" t="s">
        <v>5094</v>
      </c>
      <c r="K10" t="s">
        <v>5095</v>
      </c>
      <c r="L10" t="s">
        <v>3467</v>
      </c>
      <c r="M10" t="s">
        <v>3849</v>
      </c>
    </row>
    <row r="11" spans="1:13" ht="27.75" customHeight="1" x14ac:dyDescent="0.25">
      <c r="A11" t="s">
        <v>3846</v>
      </c>
      <c r="B11" t="s">
        <v>5070</v>
      </c>
      <c r="C11" t="s">
        <v>4410</v>
      </c>
      <c r="D11">
        <v>4</v>
      </c>
      <c r="E11">
        <v>64</v>
      </c>
      <c r="F11">
        <v>70</v>
      </c>
      <c r="G11" t="s">
        <v>5096</v>
      </c>
      <c r="H11" t="s">
        <v>90</v>
      </c>
      <c r="I11" t="s">
        <v>4443</v>
      </c>
      <c r="J11" s="4" t="s">
        <v>5097</v>
      </c>
      <c r="K11" t="s">
        <v>3848</v>
      </c>
      <c r="L11" t="s">
        <v>3467</v>
      </c>
      <c r="M11" t="s">
        <v>3849</v>
      </c>
    </row>
    <row r="12" spans="1:13" ht="27.75" customHeight="1" x14ac:dyDescent="0.25">
      <c r="A12" t="s">
        <v>5098</v>
      </c>
      <c r="B12" t="s">
        <v>5070</v>
      </c>
      <c r="C12" t="s">
        <v>4410</v>
      </c>
      <c r="D12">
        <v>2</v>
      </c>
      <c r="E12">
        <v>28</v>
      </c>
      <c r="F12">
        <v>32</v>
      </c>
      <c r="G12" t="s">
        <v>3467</v>
      </c>
      <c r="H12" t="s">
        <v>90</v>
      </c>
      <c r="I12" t="s">
        <v>4443</v>
      </c>
      <c r="J12" s="4" t="s">
        <v>5099</v>
      </c>
      <c r="K12" t="s">
        <v>5100</v>
      </c>
      <c r="L12" t="s">
        <v>3467</v>
      </c>
      <c r="M12" t="s">
        <v>3849</v>
      </c>
    </row>
    <row r="13" spans="1:13" ht="15" customHeight="1" x14ac:dyDescent="0.25">
      <c r="A13" t="s">
        <v>5101</v>
      </c>
      <c r="B13" t="s">
        <v>5070</v>
      </c>
      <c r="C13" t="s">
        <v>4410</v>
      </c>
      <c r="D13">
        <v>1</v>
      </c>
      <c r="E13">
        <v>10</v>
      </c>
      <c r="F13">
        <v>14</v>
      </c>
      <c r="G13" t="s">
        <v>3467</v>
      </c>
      <c r="H13" t="s">
        <v>90</v>
      </c>
      <c r="I13" t="s">
        <v>4443</v>
      </c>
      <c r="J13" t="s">
        <v>5102</v>
      </c>
      <c r="K13" t="s">
        <v>5103</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5104</v>
      </c>
      <c r="C1" t="s">
        <v>3752</v>
      </c>
      <c r="D1" t="s">
        <v>5064</v>
      </c>
      <c r="E1" t="s">
        <v>1</v>
      </c>
      <c r="F1" t="s">
        <v>5065</v>
      </c>
      <c r="G1" t="s">
        <v>5066</v>
      </c>
      <c r="H1" t="s">
        <v>4020</v>
      </c>
      <c r="I1" t="s">
        <v>3753</v>
      </c>
      <c r="J1" t="s">
        <v>5105</v>
      </c>
      <c r="K1" t="s">
        <v>5106</v>
      </c>
      <c r="L1" t="s">
        <v>5107</v>
      </c>
      <c r="M1" t="s">
        <v>5108</v>
      </c>
      <c r="N1" t="s">
        <v>5109</v>
      </c>
      <c r="O1" t="s">
        <v>5110</v>
      </c>
      <c r="P1" t="s">
        <v>5111</v>
      </c>
      <c r="Q1" t="s">
        <v>5112</v>
      </c>
      <c r="R1" t="s">
        <v>5113</v>
      </c>
      <c r="S1" t="s">
        <v>3757</v>
      </c>
      <c r="T1" t="s">
        <v>3758</v>
      </c>
    </row>
    <row r="2" spans="1:20" ht="15" customHeight="1" x14ac:dyDescent="0.25">
      <c r="A2" t="s">
        <v>3766</v>
      </c>
      <c r="B2" t="s">
        <v>5114</v>
      </c>
      <c r="C2" t="s">
        <v>4410</v>
      </c>
      <c r="D2">
        <v>1</v>
      </c>
      <c r="E2" t="s">
        <v>497</v>
      </c>
      <c r="F2">
        <v>10</v>
      </c>
      <c r="G2">
        <v>15</v>
      </c>
      <c r="H2">
        <v>80</v>
      </c>
      <c r="I2">
        <v>1</v>
      </c>
      <c r="J2" t="s">
        <v>5115</v>
      </c>
      <c r="K2">
        <v>0</v>
      </c>
      <c r="L2" t="s">
        <v>5116</v>
      </c>
      <c r="M2" t="s">
        <v>5117</v>
      </c>
      <c r="N2" t="s">
        <v>4035</v>
      </c>
      <c r="O2" t="s">
        <v>5118</v>
      </c>
      <c r="R2" t="s">
        <v>5119</v>
      </c>
      <c r="T2" t="s">
        <v>3522</v>
      </c>
    </row>
    <row r="3" spans="1:20" ht="15" customHeight="1" x14ac:dyDescent="0.25">
      <c r="A3" t="s">
        <v>5120</v>
      </c>
      <c r="B3" t="s">
        <v>5121</v>
      </c>
      <c r="C3" t="s">
        <v>4410</v>
      </c>
      <c r="D3">
        <v>2</v>
      </c>
      <c r="E3" t="s">
        <v>160</v>
      </c>
      <c r="F3">
        <v>16</v>
      </c>
      <c r="G3">
        <v>20</v>
      </c>
      <c r="H3">
        <v>90</v>
      </c>
      <c r="I3">
        <v>1</v>
      </c>
      <c r="J3" t="s">
        <v>5115</v>
      </c>
      <c r="K3">
        <v>0</v>
      </c>
      <c r="L3" t="s">
        <v>5122</v>
      </c>
      <c r="M3" t="s">
        <v>5123</v>
      </c>
      <c r="N3" t="s">
        <v>4035</v>
      </c>
      <c r="Q3" t="s">
        <v>5124</v>
      </c>
      <c r="R3" t="s">
        <v>5125</v>
      </c>
      <c r="S3" t="s">
        <v>5126</v>
      </c>
    </row>
    <row r="4" spans="1:20" ht="15" customHeight="1" x14ac:dyDescent="0.25">
      <c r="A4" t="s">
        <v>5127</v>
      </c>
      <c r="B4" t="s">
        <v>5128</v>
      </c>
      <c r="C4" t="s">
        <v>4410</v>
      </c>
      <c r="D4">
        <v>0</v>
      </c>
      <c r="E4" t="s">
        <v>160</v>
      </c>
      <c r="F4">
        <v>16</v>
      </c>
      <c r="G4">
        <v>20</v>
      </c>
      <c r="H4">
        <v>60</v>
      </c>
      <c r="I4">
        <v>1</v>
      </c>
      <c r="J4" t="s">
        <v>5129</v>
      </c>
      <c r="K4">
        <v>0</v>
      </c>
      <c r="L4" t="s">
        <v>5130</v>
      </c>
      <c r="M4" t="s">
        <v>5131</v>
      </c>
      <c r="N4" t="s">
        <v>4035</v>
      </c>
      <c r="Q4" t="s">
        <v>5132</v>
      </c>
      <c r="R4" t="s">
        <v>5133</v>
      </c>
    </row>
    <row r="5" spans="1:20" ht="15" customHeight="1" x14ac:dyDescent="0.25">
      <c r="A5" t="s">
        <v>5134</v>
      </c>
      <c r="B5" t="s">
        <v>5135</v>
      </c>
      <c r="C5" t="s">
        <v>4410</v>
      </c>
      <c r="D5">
        <v>2</v>
      </c>
      <c r="E5" t="s">
        <v>160</v>
      </c>
      <c r="F5">
        <v>16</v>
      </c>
      <c r="G5">
        <v>20</v>
      </c>
      <c r="H5">
        <v>0</v>
      </c>
      <c r="I5">
        <v>1</v>
      </c>
      <c r="J5" t="s">
        <v>5136</v>
      </c>
      <c r="K5">
        <v>0</v>
      </c>
      <c r="L5" t="s">
        <v>5137</v>
      </c>
      <c r="M5" t="s">
        <v>5138</v>
      </c>
      <c r="N5" t="s">
        <v>4035</v>
      </c>
      <c r="R5" t="s">
        <v>5139</v>
      </c>
    </row>
    <row r="6" spans="1:20" ht="15" customHeight="1" x14ac:dyDescent="0.25">
      <c r="A6" t="s">
        <v>5129</v>
      </c>
      <c r="B6" t="s">
        <v>5140</v>
      </c>
      <c r="C6" t="s">
        <v>4410</v>
      </c>
      <c r="D6">
        <v>0</v>
      </c>
      <c r="E6" t="s">
        <v>160</v>
      </c>
      <c r="F6">
        <v>16</v>
      </c>
      <c r="G6">
        <v>20</v>
      </c>
      <c r="H6">
        <v>70</v>
      </c>
      <c r="I6">
        <v>1</v>
      </c>
      <c r="J6" t="s">
        <v>5129</v>
      </c>
      <c r="K6">
        <v>0</v>
      </c>
      <c r="L6" t="s">
        <v>5122</v>
      </c>
      <c r="M6" t="s">
        <v>5141</v>
      </c>
      <c r="N6" t="s">
        <v>4035</v>
      </c>
      <c r="Q6" t="s">
        <v>5142</v>
      </c>
      <c r="R6" t="s">
        <v>5143</v>
      </c>
    </row>
    <row r="7" spans="1:20" ht="15" customHeight="1" x14ac:dyDescent="0.25">
      <c r="A7" t="s">
        <v>5144</v>
      </c>
      <c r="B7" t="s">
        <v>5145</v>
      </c>
      <c r="C7" t="s">
        <v>4410</v>
      </c>
      <c r="D7">
        <v>2</v>
      </c>
      <c r="E7" t="s">
        <v>497</v>
      </c>
      <c r="F7">
        <v>12</v>
      </c>
      <c r="G7">
        <v>16</v>
      </c>
      <c r="H7">
        <v>70</v>
      </c>
      <c r="I7">
        <v>1</v>
      </c>
      <c r="J7" t="s">
        <v>5146</v>
      </c>
      <c r="K7">
        <v>6</v>
      </c>
      <c r="L7" t="s">
        <v>5147</v>
      </c>
      <c r="M7" t="s">
        <v>5148</v>
      </c>
      <c r="N7" t="s">
        <v>4035</v>
      </c>
      <c r="O7" t="s">
        <v>5118</v>
      </c>
      <c r="P7" t="s">
        <v>5149</v>
      </c>
      <c r="R7" t="s">
        <v>5119</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5054</v>
      </c>
      <c r="D1" t="s">
        <v>5150</v>
      </c>
      <c r="E1" t="s">
        <v>3512</v>
      </c>
    </row>
    <row r="2" spans="1:5" ht="15" customHeight="1" x14ac:dyDescent="0.25">
      <c r="A2" t="s">
        <v>5151</v>
      </c>
      <c r="B2" t="s">
        <v>3854</v>
      </c>
      <c r="C2" t="s">
        <v>5152</v>
      </c>
      <c r="D2" t="s">
        <v>3458</v>
      </c>
    </row>
    <row r="3" spans="1:5" ht="15" customHeight="1" x14ac:dyDescent="0.25">
      <c r="A3" t="s">
        <v>5153</v>
      </c>
      <c r="B3" t="s">
        <v>3854</v>
      </c>
      <c r="C3" t="s">
        <v>5154</v>
      </c>
      <c r="D3" t="s">
        <v>3458</v>
      </c>
    </row>
    <row r="4" spans="1:5" ht="15" customHeight="1" x14ac:dyDescent="0.25">
      <c r="A4" t="s">
        <v>5155</v>
      </c>
      <c r="B4" t="s">
        <v>3854</v>
      </c>
      <c r="C4" t="s">
        <v>3961</v>
      </c>
      <c r="D4" t="s">
        <v>5156</v>
      </c>
    </row>
    <row r="5" spans="1:5" ht="15" customHeight="1" x14ac:dyDescent="0.25">
      <c r="A5" t="s">
        <v>5157</v>
      </c>
      <c r="B5" t="s">
        <v>3854</v>
      </c>
      <c r="C5" t="s">
        <v>5158</v>
      </c>
      <c r="D5" t="s">
        <v>3458</v>
      </c>
    </row>
    <row r="6" spans="1:5" ht="15" customHeight="1" x14ac:dyDescent="0.25">
      <c r="A6" t="s">
        <v>5159</v>
      </c>
      <c r="B6" t="s">
        <v>3854</v>
      </c>
      <c r="C6" t="s">
        <v>5160</v>
      </c>
      <c r="D6" t="s">
        <v>3458</v>
      </c>
    </row>
    <row r="7" spans="1:5" ht="15" customHeight="1" x14ac:dyDescent="0.25">
      <c r="A7" t="s">
        <v>5161</v>
      </c>
      <c r="B7" t="s">
        <v>3854</v>
      </c>
      <c r="C7" t="s">
        <v>5162</v>
      </c>
      <c r="D7" t="s">
        <v>5163</v>
      </c>
    </row>
    <row r="8" spans="1:5" ht="15" customHeight="1" x14ac:dyDescent="0.25">
      <c r="A8" t="s">
        <v>5164</v>
      </c>
      <c r="B8" t="s">
        <v>3854</v>
      </c>
      <c r="C8" t="s">
        <v>5165</v>
      </c>
      <c r="D8" t="s">
        <v>5166</v>
      </c>
    </row>
    <row r="9" spans="1:5" ht="15" customHeight="1" x14ac:dyDescent="0.25">
      <c r="A9" t="s">
        <v>5167</v>
      </c>
      <c r="B9" t="s">
        <v>5168</v>
      </c>
      <c r="C9" t="s">
        <v>5169</v>
      </c>
      <c r="D9" t="s">
        <v>3467</v>
      </c>
      <c r="E9" t="s">
        <v>5170</v>
      </c>
    </row>
    <row r="10" spans="1:5" ht="15" customHeight="1" x14ac:dyDescent="0.25">
      <c r="A10" t="s">
        <v>5171</v>
      </c>
      <c r="B10" t="s">
        <v>5168</v>
      </c>
      <c r="C10" t="s">
        <v>5172</v>
      </c>
      <c r="D10" t="s">
        <v>3467</v>
      </c>
      <c r="E10" t="s">
        <v>5173</v>
      </c>
    </row>
    <row r="11" spans="1:5" ht="15" customHeight="1" x14ac:dyDescent="0.25">
      <c r="A11" t="s">
        <v>5174</v>
      </c>
      <c r="B11" t="s">
        <v>5168</v>
      </c>
      <c r="C11" t="s">
        <v>5175</v>
      </c>
      <c r="D11" t="s">
        <v>3467</v>
      </c>
      <c r="E11" t="s">
        <v>5176</v>
      </c>
    </row>
    <row r="12" spans="1:5" ht="15" customHeight="1" x14ac:dyDescent="0.25">
      <c r="A12" t="s">
        <v>5177</v>
      </c>
      <c r="B12" t="s">
        <v>3854</v>
      </c>
      <c r="C12" t="s">
        <v>5178</v>
      </c>
      <c r="D12" t="s">
        <v>5179</v>
      </c>
    </row>
    <row r="13" spans="1:5" ht="15" customHeight="1" x14ac:dyDescent="0.25">
      <c r="A13" t="s">
        <v>5180</v>
      </c>
      <c r="B13" t="s">
        <v>3854</v>
      </c>
      <c r="C13" t="s">
        <v>5181</v>
      </c>
      <c r="D13" t="s">
        <v>3458</v>
      </c>
    </row>
    <row r="14" spans="1:5" ht="15" customHeight="1" x14ac:dyDescent="0.25">
      <c r="A14" t="s">
        <v>5182</v>
      </c>
      <c r="B14" t="s">
        <v>3854</v>
      </c>
      <c r="C14" t="s">
        <v>5183</v>
      </c>
      <c r="D14" t="s">
        <v>4299</v>
      </c>
    </row>
    <row r="15" spans="1:5" ht="15" customHeight="1" x14ac:dyDescent="0.25">
      <c r="A15" t="s">
        <v>5184</v>
      </c>
      <c r="B15" t="s">
        <v>3854</v>
      </c>
      <c r="C15" t="s">
        <v>5185</v>
      </c>
      <c r="D15" t="s">
        <v>3458</v>
      </c>
    </row>
    <row r="16" spans="1:5" ht="15" customHeight="1" x14ac:dyDescent="0.25">
      <c r="A16" t="s">
        <v>5186</v>
      </c>
      <c r="B16" t="s">
        <v>5168</v>
      </c>
      <c r="C16" t="s">
        <v>5187</v>
      </c>
      <c r="D16" t="s">
        <v>3467</v>
      </c>
      <c r="E16" t="s">
        <v>5188</v>
      </c>
    </row>
    <row r="17" spans="1:4" ht="15" customHeight="1" x14ac:dyDescent="0.25">
      <c r="A17" t="s">
        <v>5189</v>
      </c>
      <c r="B17" t="s">
        <v>3854</v>
      </c>
      <c r="C17" t="s">
        <v>5190</v>
      </c>
      <c r="D17" t="s">
        <v>5191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5192</v>
      </c>
      <c r="F1" t="s">
        <v>4305</v>
      </c>
      <c r="G1" t="s">
        <v>5193</v>
      </c>
      <c r="H1" t="s">
        <v>4049</v>
      </c>
      <c r="I1" t="s">
        <v>171</v>
      </c>
      <c r="J1" t="s">
        <v>6</v>
      </c>
      <c r="K1" t="s">
        <v>5194</v>
      </c>
    </row>
    <row r="2" spans="1:11" ht="15" customHeight="1" x14ac:dyDescent="0.25">
      <c r="A2" t="s">
        <v>5195</v>
      </c>
      <c r="B2" t="s">
        <v>5196</v>
      </c>
      <c r="C2" t="s">
        <v>4016</v>
      </c>
      <c r="D2" t="s">
        <v>187</v>
      </c>
      <c r="E2" t="s">
        <v>3467</v>
      </c>
      <c r="F2" t="s">
        <v>4344</v>
      </c>
      <c r="G2" t="s">
        <v>39</v>
      </c>
      <c r="H2" t="s">
        <v>4071</v>
      </c>
      <c r="I2" t="s">
        <v>5195</v>
      </c>
      <c r="J2" t="s">
        <v>3530</v>
      </c>
      <c r="K2" t="s">
        <v>3467</v>
      </c>
    </row>
    <row r="3" spans="1:11" ht="15" customHeight="1" x14ac:dyDescent="0.25">
      <c r="A3" t="s">
        <v>3537</v>
      </c>
      <c r="B3" t="s">
        <v>5197</v>
      </c>
      <c r="C3" t="s">
        <v>3757</v>
      </c>
      <c r="D3" t="s">
        <v>4035</v>
      </c>
      <c r="E3" t="s">
        <v>3467</v>
      </c>
      <c r="F3" t="s">
        <v>4344</v>
      </c>
      <c r="G3" t="s">
        <v>39</v>
      </c>
      <c r="H3" t="s">
        <v>4071</v>
      </c>
      <c r="I3" t="s">
        <v>3537</v>
      </c>
      <c r="J3" t="s">
        <v>3518</v>
      </c>
      <c r="K3" t="s">
        <v>3467</v>
      </c>
    </row>
    <row r="4" spans="1:11" ht="15" customHeight="1" x14ac:dyDescent="0.25">
      <c r="A4" t="s">
        <v>5198</v>
      </c>
      <c r="B4" t="s">
        <v>5199</v>
      </c>
      <c r="C4" t="s">
        <v>4028</v>
      </c>
      <c r="D4" t="s">
        <v>187</v>
      </c>
      <c r="E4" t="s">
        <v>3467</v>
      </c>
      <c r="F4" t="s">
        <v>5200</v>
      </c>
      <c r="G4" t="s">
        <v>39</v>
      </c>
      <c r="H4" t="s">
        <v>4054</v>
      </c>
      <c r="I4" t="s">
        <v>5198</v>
      </c>
      <c r="J4" t="s">
        <v>3530</v>
      </c>
      <c r="K4" t="s">
        <v>3467</v>
      </c>
    </row>
    <row r="5" spans="1:11" ht="15" customHeight="1" x14ac:dyDescent="0.25">
      <c r="A5" t="s">
        <v>5201</v>
      </c>
      <c r="B5" t="s">
        <v>5202</v>
      </c>
      <c r="C5" t="s">
        <v>4016</v>
      </c>
      <c r="D5" t="s">
        <v>187</v>
      </c>
      <c r="E5" t="s">
        <v>3467</v>
      </c>
      <c r="F5" t="s">
        <v>4344</v>
      </c>
      <c r="G5" t="s">
        <v>39</v>
      </c>
      <c r="H5" t="s">
        <v>4071</v>
      </c>
      <c r="I5" t="s">
        <v>5203</v>
      </c>
      <c r="J5" t="s">
        <v>3518</v>
      </c>
      <c r="K5" t="s">
        <v>3467</v>
      </c>
    </row>
    <row r="6" spans="1:11" ht="15" customHeight="1" x14ac:dyDescent="0.25">
      <c r="A6" t="s">
        <v>5204</v>
      </c>
      <c r="B6" t="s">
        <v>5205</v>
      </c>
      <c r="C6" t="s">
        <v>4028</v>
      </c>
      <c r="D6" t="s">
        <v>187</v>
      </c>
      <c r="E6" t="s">
        <v>3467</v>
      </c>
      <c r="F6" t="s">
        <v>5206</v>
      </c>
      <c r="G6" t="s">
        <v>39</v>
      </c>
      <c r="H6" t="s">
        <v>4054</v>
      </c>
      <c r="I6" t="s">
        <v>5204</v>
      </c>
      <c r="J6" t="s">
        <v>41</v>
      </c>
      <c r="K6" t="s">
        <v>3467</v>
      </c>
    </row>
    <row r="7" spans="1:11" ht="15" customHeight="1" x14ac:dyDescent="0.25">
      <c r="A7" t="s">
        <v>5207</v>
      </c>
      <c r="B7" t="s">
        <v>5208</v>
      </c>
      <c r="C7" t="s">
        <v>4016</v>
      </c>
      <c r="D7" t="s">
        <v>187</v>
      </c>
      <c r="E7" t="s">
        <v>3467</v>
      </c>
      <c r="F7" t="s">
        <v>5206</v>
      </c>
      <c r="G7" t="s">
        <v>39</v>
      </c>
      <c r="H7" t="s">
        <v>4071</v>
      </c>
      <c r="I7" t="s">
        <v>5207</v>
      </c>
      <c r="J7" t="s">
        <v>3518</v>
      </c>
      <c r="K7" t="s">
        <v>3467</v>
      </c>
    </row>
    <row r="8" spans="1:11" ht="15" customHeight="1" x14ac:dyDescent="0.25">
      <c r="A8" t="s">
        <v>5209</v>
      </c>
      <c r="B8" t="s">
        <v>5210</v>
      </c>
      <c r="C8" t="s">
        <v>4016</v>
      </c>
      <c r="D8" t="s">
        <v>187</v>
      </c>
      <c r="E8" t="s">
        <v>3467</v>
      </c>
      <c r="F8" t="s">
        <v>4344</v>
      </c>
      <c r="G8" t="s">
        <v>39</v>
      </c>
      <c r="H8" t="s">
        <v>4071</v>
      </c>
      <c r="I8" t="s">
        <v>5209</v>
      </c>
      <c r="J8" t="s">
        <v>41</v>
      </c>
      <c r="K8" t="s">
        <v>3467</v>
      </c>
    </row>
    <row r="9" spans="1:11" ht="15" customHeight="1" x14ac:dyDescent="0.25">
      <c r="A9" t="s">
        <v>5211</v>
      </c>
      <c r="B9" t="s">
        <v>5212</v>
      </c>
      <c r="C9" t="s">
        <v>4028</v>
      </c>
      <c r="D9" t="s">
        <v>187</v>
      </c>
      <c r="E9" t="s">
        <v>3467</v>
      </c>
      <c r="F9" t="s">
        <v>4344</v>
      </c>
      <c r="G9" t="s">
        <v>39</v>
      </c>
      <c r="H9" t="s">
        <v>4054</v>
      </c>
      <c r="I9" t="s">
        <v>5211</v>
      </c>
      <c r="J9" t="s">
        <v>41</v>
      </c>
      <c r="K9" t="s">
        <v>3467</v>
      </c>
    </row>
    <row r="10" spans="1:11" ht="15" customHeight="1" x14ac:dyDescent="0.25">
      <c r="A10" t="s">
        <v>5213</v>
      </c>
      <c r="B10" t="s">
        <v>5214</v>
      </c>
      <c r="C10" t="s">
        <v>4016</v>
      </c>
      <c r="D10" t="s">
        <v>187</v>
      </c>
      <c r="E10" t="s">
        <v>3467</v>
      </c>
      <c r="F10" t="s">
        <v>5215</v>
      </c>
      <c r="G10" t="s">
        <v>39</v>
      </c>
      <c r="H10" t="s">
        <v>4071</v>
      </c>
      <c r="I10" t="s">
        <v>5213</v>
      </c>
      <c r="J10" t="s">
        <v>3518</v>
      </c>
      <c r="K10" t="s">
        <v>3467</v>
      </c>
    </row>
    <row r="11" spans="1:11" ht="15" customHeight="1" x14ac:dyDescent="0.25">
      <c r="A11" t="s">
        <v>4040</v>
      </c>
      <c r="B11" t="s">
        <v>5216</v>
      </c>
      <c r="C11" t="s">
        <v>4028</v>
      </c>
      <c r="D11" t="s">
        <v>187</v>
      </c>
      <c r="E11" t="s">
        <v>3467</v>
      </c>
      <c r="F11" t="s">
        <v>5206</v>
      </c>
      <c r="G11" t="s">
        <v>39</v>
      </c>
      <c r="H11" t="s">
        <v>4054</v>
      </c>
      <c r="I11" t="s">
        <v>4040</v>
      </c>
      <c r="J11" t="s">
        <v>41</v>
      </c>
      <c r="K11" t="s">
        <v>3467</v>
      </c>
    </row>
    <row r="12" spans="1:11" ht="15" customHeight="1" x14ac:dyDescent="0.25">
      <c r="A12" t="s">
        <v>5217</v>
      </c>
      <c r="B12" t="s">
        <v>5218</v>
      </c>
      <c r="C12" t="s">
        <v>4016</v>
      </c>
      <c r="D12" t="s">
        <v>187</v>
      </c>
      <c r="E12" t="s">
        <v>3467</v>
      </c>
      <c r="F12" t="s">
        <v>5219</v>
      </c>
      <c r="G12" t="s">
        <v>5220</v>
      </c>
      <c r="H12" t="s">
        <v>4071</v>
      </c>
      <c r="I12" t="s">
        <v>5217</v>
      </c>
      <c r="J12" t="s">
        <v>3518</v>
      </c>
      <c r="K12" t="s">
        <v>3467</v>
      </c>
    </row>
    <row r="13" spans="1:11" ht="15" customHeight="1" x14ac:dyDescent="0.25">
      <c r="A13" t="s">
        <v>5221</v>
      </c>
      <c r="B13" t="s">
        <v>5222</v>
      </c>
      <c r="C13" t="s">
        <v>4028</v>
      </c>
      <c r="D13" t="s">
        <v>187</v>
      </c>
      <c r="E13" t="s">
        <v>3467</v>
      </c>
      <c r="F13" t="s">
        <v>5219</v>
      </c>
      <c r="G13" t="s">
        <v>5223</v>
      </c>
      <c r="H13" t="s">
        <v>4054</v>
      </c>
      <c r="I13" t="s">
        <v>5221</v>
      </c>
      <c r="J13" t="s">
        <v>3467</v>
      </c>
      <c r="K13" t="s">
        <v>3467</v>
      </c>
    </row>
    <row r="14" spans="1:11" ht="15" customHeight="1" x14ac:dyDescent="0.25">
      <c r="A14" t="s">
        <v>5224</v>
      </c>
      <c r="B14" t="s">
        <v>5225</v>
      </c>
      <c r="C14" t="s">
        <v>4028</v>
      </c>
      <c r="D14" t="s">
        <v>187</v>
      </c>
      <c r="E14" t="s">
        <v>3467</v>
      </c>
      <c r="F14" t="s">
        <v>5206</v>
      </c>
      <c r="G14" t="s">
        <v>5220</v>
      </c>
      <c r="H14" t="s">
        <v>4054</v>
      </c>
      <c r="I14" t="s">
        <v>5224</v>
      </c>
      <c r="J14" t="s">
        <v>3467</v>
      </c>
      <c r="K14" t="s">
        <v>3467</v>
      </c>
    </row>
    <row r="15" spans="1:11" ht="15" customHeight="1" x14ac:dyDescent="0.25">
      <c r="A15" t="s">
        <v>5226</v>
      </c>
      <c r="B15" t="s">
        <v>5227</v>
      </c>
      <c r="C15" t="s">
        <v>4028</v>
      </c>
      <c r="D15" t="s">
        <v>187</v>
      </c>
      <c r="E15" t="s">
        <v>3467</v>
      </c>
      <c r="F15" t="s">
        <v>4344</v>
      </c>
      <c r="G15" t="s">
        <v>5223</v>
      </c>
      <c r="H15" t="s">
        <v>4054</v>
      </c>
      <c r="I15" t="s">
        <v>5228</v>
      </c>
      <c r="J15" t="s">
        <v>3467</v>
      </c>
      <c r="K15" t="s">
        <v>3467</v>
      </c>
    </row>
    <row r="16" spans="1:11" ht="15" customHeight="1" x14ac:dyDescent="0.25">
      <c r="A16" t="s">
        <v>5229</v>
      </c>
      <c r="B16" t="s">
        <v>5230</v>
      </c>
      <c r="C16" t="s">
        <v>3757</v>
      </c>
      <c r="D16" t="s">
        <v>4035</v>
      </c>
      <c r="E16" t="s">
        <v>3467</v>
      </c>
      <c r="F16" t="s">
        <v>4344</v>
      </c>
      <c r="G16" t="s">
        <v>39</v>
      </c>
      <c r="H16" t="s">
        <v>4071</v>
      </c>
      <c r="I16" t="s">
        <v>5231</v>
      </c>
      <c r="J16" t="s">
        <v>3467</v>
      </c>
      <c r="K16" t="s">
        <v>3467</v>
      </c>
    </row>
    <row r="17" spans="1:11" ht="15" customHeight="1" x14ac:dyDescent="0.25">
      <c r="A17" t="s">
        <v>3528</v>
      </c>
      <c r="B17" t="s">
        <v>5232</v>
      </c>
      <c r="C17" t="s">
        <v>4016</v>
      </c>
      <c r="D17" t="s">
        <v>187</v>
      </c>
      <c r="E17" t="s">
        <v>3467</v>
      </c>
      <c r="F17" t="s">
        <v>4344</v>
      </c>
      <c r="G17" t="s">
        <v>39</v>
      </c>
      <c r="H17" t="s">
        <v>4071</v>
      </c>
      <c r="I17" t="s">
        <v>3528</v>
      </c>
      <c r="J17" t="s">
        <v>3530</v>
      </c>
      <c r="K17" t="s">
        <v>3467</v>
      </c>
    </row>
    <row r="18" spans="1:11" ht="15" customHeight="1" x14ac:dyDescent="0.25">
      <c r="A18" t="s">
        <v>5233</v>
      </c>
      <c r="B18" t="s">
        <v>5234</v>
      </c>
      <c r="C18" t="s">
        <v>4016</v>
      </c>
      <c r="D18" t="s">
        <v>187</v>
      </c>
      <c r="E18" t="s">
        <v>3467</v>
      </c>
      <c r="F18" t="s">
        <v>5235</v>
      </c>
      <c r="G18" t="s">
        <v>39</v>
      </c>
      <c r="H18" t="s">
        <v>4071</v>
      </c>
      <c r="I18" t="s">
        <v>5233</v>
      </c>
      <c r="J18" t="s">
        <v>3518</v>
      </c>
      <c r="K18" t="s">
        <v>3467</v>
      </c>
    </row>
    <row r="19" spans="1:11" ht="15" customHeight="1" x14ac:dyDescent="0.25">
      <c r="A19" t="s">
        <v>5236</v>
      </c>
      <c r="B19" t="s">
        <v>5237</v>
      </c>
      <c r="C19" t="s">
        <v>4028</v>
      </c>
      <c r="D19" t="s">
        <v>187</v>
      </c>
      <c r="E19" t="s">
        <v>3467</v>
      </c>
      <c r="F19" t="s">
        <v>4344</v>
      </c>
      <c r="G19" t="s">
        <v>39</v>
      </c>
      <c r="H19" t="s">
        <v>4054</v>
      </c>
      <c r="I19" t="s">
        <v>5236</v>
      </c>
      <c r="J19" t="s">
        <v>3530</v>
      </c>
      <c r="K19" t="s">
        <v>3467</v>
      </c>
    </row>
    <row r="20" spans="1:11" ht="15" customHeight="1" x14ac:dyDescent="0.25">
      <c r="A20" t="s">
        <v>5238</v>
      </c>
      <c r="B20" t="s">
        <v>5239</v>
      </c>
      <c r="C20" t="s">
        <v>4016</v>
      </c>
      <c r="D20" t="s">
        <v>187</v>
      </c>
      <c r="E20" t="s">
        <v>3467</v>
      </c>
      <c r="F20" t="s">
        <v>5206</v>
      </c>
      <c r="G20" t="s">
        <v>5220</v>
      </c>
      <c r="H20" t="s">
        <v>4071</v>
      </c>
      <c r="I20" t="s">
        <v>5240</v>
      </c>
      <c r="J20" t="s">
        <v>3518</v>
      </c>
      <c r="K20" t="s">
        <v>3467</v>
      </c>
    </row>
    <row r="21" spans="1:11" ht="15" customHeight="1" x14ac:dyDescent="0.25">
      <c r="A21" t="s">
        <v>5241</v>
      </c>
      <c r="B21" t="s">
        <v>5242</v>
      </c>
      <c r="C21" t="s">
        <v>4028</v>
      </c>
      <c r="D21" t="s">
        <v>187</v>
      </c>
      <c r="E21" t="s">
        <v>3467</v>
      </c>
      <c r="F21" t="s">
        <v>5206</v>
      </c>
      <c r="G21" t="s">
        <v>39</v>
      </c>
      <c r="H21" t="s">
        <v>4054</v>
      </c>
      <c r="I21" t="s">
        <v>5241</v>
      </c>
      <c r="J21" t="s">
        <v>3518</v>
      </c>
      <c r="K21" t="s">
        <v>3467</v>
      </c>
    </row>
    <row r="22" spans="1:11" ht="15" customHeight="1" x14ac:dyDescent="0.25">
      <c r="A22" t="s">
        <v>5243</v>
      </c>
      <c r="B22" t="s">
        <v>5244</v>
      </c>
      <c r="C22" t="s">
        <v>3757</v>
      </c>
      <c r="D22" t="s">
        <v>187</v>
      </c>
      <c r="E22" t="s">
        <v>3467</v>
      </c>
      <c r="F22" t="s">
        <v>4344</v>
      </c>
      <c r="G22" t="s">
        <v>5220</v>
      </c>
      <c r="H22" t="s">
        <v>4071</v>
      </c>
      <c r="I22" t="s">
        <v>5243</v>
      </c>
      <c r="J22" t="s">
        <v>3467</v>
      </c>
      <c r="K22" t="s">
        <v>3467</v>
      </c>
    </row>
    <row r="23" spans="1:11" ht="15" customHeight="1" x14ac:dyDescent="0.25">
      <c r="A23" t="s">
        <v>5245</v>
      </c>
      <c r="B23" t="s">
        <v>5246</v>
      </c>
      <c r="C23" t="s">
        <v>3757</v>
      </c>
      <c r="D23" t="s">
        <v>187</v>
      </c>
      <c r="E23" t="s">
        <v>3467</v>
      </c>
      <c r="F23" t="s">
        <v>4344</v>
      </c>
      <c r="G23" t="s">
        <v>5220</v>
      </c>
      <c r="H23" t="s">
        <v>4071</v>
      </c>
      <c r="I23" t="s">
        <v>5245</v>
      </c>
      <c r="J23" t="s">
        <v>3467</v>
      </c>
      <c r="K23" t="s">
        <v>3467</v>
      </c>
    </row>
    <row r="24" spans="1:11" ht="15" customHeight="1" x14ac:dyDescent="0.25">
      <c r="A24" t="s">
        <v>5247</v>
      </c>
      <c r="B24" t="s">
        <v>5248</v>
      </c>
      <c r="C24" t="s">
        <v>4028</v>
      </c>
      <c r="D24" t="s">
        <v>187</v>
      </c>
      <c r="E24" t="s">
        <v>3467</v>
      </c>
      <c r="F24" t="s">
        <v>5206</v>
      </c>
      <c r="G24" t="s">
        <v>39</v>
      </c>
      <c r="H24" t="s">
        <v>4054</v>
      </c>
      <c r="I24" t="s">
        <v>5249</v>
      </c>
      <c r="J24" t="s">
        <v>3467</v>
      </c>
      <c r="K24" t="s">
        <v>3467</v>
      </c>
    </row>
    <row r="25" spans="1:11" ht="15" customHeight="1" x14ac:dyDescent="0.25">
      <c r="A25" t="s">
        <v>5250</v>
      </c>
      <c r="B25" t="s">
        <v>5251</v>
      </c>
      <c r="C25" t="s">
        <v>4028</v>
      </c>
      <c r="D25" t="s">
        <v>187</v>
      </c>
      <c r="E25" t="s">
        <v>3467</v>
      </c>
      <c r="F25" t="s">
        <v>5252</v>
      </c>
      <c r="G25" t="s">
        <v>5220</v>
      </c>
      <c r="H25" t="s">
        <v>4054</v>
      </c>
      <c r="I25" t="s">
        <v>5250</v>
      </c>
      <c r="J25" t="s">
        <v>3530</v>
      </c>
      <c r="K25" t="s">
        <v>3467</v>
      </c>
    </row>
    <row r="26" spans="1:11" ht="15" customHeight="1" x14ac:dyDescent="0.25">
      <c r="A26" t="s">
        <v>5253</v>
      </c>
      <c r="B26" t="s">
        <v>5254</v>
      </c>
      <c r="C26" t="s">
        <v>3757</v>
      </c>
      <c r="D26" t="s">
        <v>187</v>
      </c>
      <c r="E26" t="s">
        <v>3467</v>
      </c>
      <c r="F26" t="s">
        <v>4344</v>
      </c>
      <c r="G26" t="s">
        <v>5220</v>
      </c>
      <c r="H26" t="s">
        <v>4071</v>
      </c>
      <c r="I26" t="s">
        <v>5255</v>
      </c>
      <c r="J26" t="s">
        <v>3467</v>
      </c>
      <c r="K26" t="s">
        <v>3467</v>
      </c>
    </row>
    <row r="27" spans="1:11" ht="15" customHeight="1" x14ac:dyDescent="0.25">
      <c r="A27" t="s">
        <v>5256</v>
      </c>
      <c r="B27" t="s">
        <v>5257</v>
      </c>
      <c r="C27" t="s">
        <v>3757</v>
      </c>
      <c r="D27" t="s">
        <v>187</v>
      </c>
      <c r="E27" t="s">
        <v>3467</v>
      </c>
      <c r="F27" t="s">
        <v>4344</v>
      </c>
      <c r="G27" t="s">
        <v>5220</v>
      </c>
      <c r="H27" t="s">
        <v>4071</v>
      </c>
      <c r="I27" t="s">
        <v>5258</v>
      </c>
      <c r="J27" t="s">
        <v>3467</v>
      </c>
      <c r="K27" t="s">
        <v>3467</v>
      </c>
    </row>
    <row r="28" spans="1:11" ht="15" customHeight="1" x14ac:dyDescent="0.25">
      <c r="A28" t="s">
        <v>5259</v>
      </c>
      <c r="B28" t="s">
        <v>5260</v>
      </c>
      <c r="C28" t="s">
        <v>4016</v>
      </c>
      <c r="D28" t="s">
        <v>187</v>
      </c>
      <c r="E28" t="s">
        <v>3467</v>
      </c>
      <c r="F28" t="s">
        <v>5219</v>
      </c>
      <c r="G28" t="s">
        <v>39</v>
      </c>
      <c r="H28" t="s">
        <v>4071</v>
      </c>
      <c r="I28" t="s">
        <v>5261</v>
      </c>
      <c r="J28" t="s">
        <v>3530</v>
      </c>
      <c r="K28" t="s">
        <v>3467</v>
      </c>
    </row>
    <row r="29" spans="1:11" ht="15" customHeight="1" x14ac:dyDescent="0.25">
      <c r="A29" t="s">
        <v>5262</v>
      </c>
      <c r="B29" t="s">
        <v>5263</v>
      </c>
      <c r="C29" t="s">
        <v>3757</v>
      </c>
      <c r="D29" t="s">
        <v>4035</v>
      </c>
      <c r="E29" t="s">
        <v>3467</v>
      </c>
      <c r="F29" t="s">
        <v>5264</v>
      </c>
      <c r="G29" t="s">
        <v>5223</v>
      </c>
      <c r="H29" t="s">
        <v>4054</v>
      </c>
      <c r="I29" t="s">
        <v>5262</v>
      </c>
      <c r="J29" t="s">
        <v>3467</v>
      </c>
      <c r="K29" t="s">
        <v>3467</v>
      </c>
    </row>
    <row r="30" spans="1:11" ht="15" customHeight="1" x14ac:dyDescent="0.25">
      <c r="A30" t="s">
        <v>5265</v>
      </c>
      <c r="B30" t="s">
        <v>5266</v>
      </c>
      <c r="C30" t="s">
        <v>3757</v>
      </c>
      <c r="D30" t="s">
        <v>4035</v>
      </c>
      <c r="E30" t="s">
        <v>3467</v>
      </c>
      <c r="F30" t="s">
        <v>4344</v>
      </c>
      <c r="G30" t="s">
        <v>5223</v>
      </c>
      <c r="H30" t="s">
        <v>4082</v>
      </c>
      <c r="I30" t="s">
        <v>5265</v>
      </c>
      <c r="J30" t="s">
        <v>3467</v>
      </c>
      <c r="K30" t="s">
        <v>3467</v>
      </c>
    </row>
    <row r="31" spans="1:11" ht="15" customHeight="1" x14ac:dyDescent="0.25">
      <c r="A31" t="s">
        <v>5267</v>
      </c>
      <c r="B31" t="s">
        <v>5268</v>
      </c>
      <c r="C31" t="s">
        <v>4028</v>
      </c>
      <c r="D31" t="s">
        <v>187</v>
      </c>
      <c r="E31" t="s">
        <v>3467</v>
      </c>
      <c r="F31" t="s">
        <v>5206</v>
      </c>
      <c r="G31" t="s">
        <v>5220</v>
      </c>
      <c r="H31" t="s">
        <v>4054</v>
      </c>
      <c r="I31" t="s">
        <v>5267</v>
      </c>
      <c r="J31" t="s">
        <v>41</v>
      </c>
      <c r="K31" t="s">
        <v>3467</v>
      </c>
    </row>
    <row r="32" spans="1:11" ht="15" customHeight="1" x14ac:dyDescent="0.25">
      <c r="A32" t="s">
        <v>5269</v>
      </c>
      <c r="B32" t="s">
        <v>5270</v>
      </c>
      <c r="C32" t="s">
        <v>4016</v>
      </c>
      <c r="D32" t="s">
        <v>187</v>
      </c>
      <c r="E32" t="s">
        <v>3467</v>
      </c>
      <c r="F32" t="s">
        <v>5206</v>
      </c>
      <c r="G32" t="s">
        <v>39</v>
      </c>
      <c r="H32" t="s">
        <v>4071</v>
      </c>
      <c r="I32" t="s">
        <v>5269</v>
      </c>
      <c r="J32" t="s">
        <v>3518</v>
      </c>
      <c r="K32" t="s">
        <v>3467</v>
      </c>
    </row>
    <row r="33" spans="1:11" ht="15" customHeight="1" x14ac:dyDescent="0.25">
      <c r="A33" t="s">
        <v>5271</v>
      </c>
      <c r="B33" t="s">
        <v>5272</v>
      </c>
      <c r="C33" t="s">
        <v>4028</v>
      </c>
      <c r="D33" t="s">
        <v>187</v>
      </c>
      <c r="E33" t="s">
        <v>3467</v>
      </c>
      <c r="F33" t="s">
        <v>4344</v>
      </c>
      <c r="G33" t="s">
        <v>39</v>
      </c>
      <c r="H33" t="s">
        <v>4054</v>
      </c>
      <c r="I33" t="s">
        <v>5271</v>
      </c>
      <c r="J33" t="s">
        <v>3530</v>
      </c>
      <c r="K33" t="s">
        <v>3467</v>
      </c>
    </row>
    <row r="34" spans="1:11" ht="15" customHeight="1" x14ac:dyDescent="0.25">
      <c r="A34" t="s">
        <v>5273</v>
      </c>
      <c r="B34" t="s">
        <v>5274</v>
      </c>
      <c r="C34" t="s">
        <v>3757</v>
      </c>
      <c r="D34" t="s">
        <v>4035</v>
      </c>
      <c r="E34" t="s">
        <v>3467</v>
      </c>
      <c r="F34" t="s">
        <v>4344</v>
      </c>
      <c r="G34" t="s">
        <v>5223</v>
      </c>
      <c r="H34" t="s">
        <v>4071</v>
      </c>
      <c r="I34" t="s">
        <v>5275</v>
      </c>
      <c r="J34" t="s">
        <v>3467</v>
      </c>
      <c r="K34" t="s">
        <v>3467</v>
      </c>
    </row>
    <row r="35" spans="1:11" ht="15" customHeight="1" x14ac:dyDescent="0.25">
      <c r="A35" t="s">
        <v>5276</v>
      </c>
      <c r="B35" t="s">
        <v>5277</v>
      </c>
      <c r="C35" t="s">
        <v>4016</v>
      </c>
      <c r="D35" t="s">
        <v>5278</v>
      </c>
      <c r="E35" t="s">
        <v>3467</v>
      </c>
      <c r="F35" t="s">
        <v>5279</v>
      </c>
      <c r="G35" t="s">
        <v>5220</v>
      </c>
      <c r="H35" t="s">
        <v>4071</v>
      </c>
      <c r="I35" t="s">
        <v>5280</v>
      </c>
      <c r="J35" t="s">
        <v>41</v>
      </c>
      <c r="K35" t="s">
        <v>3467</v>
      </c>
    </row>
    <row r="36" spans="1:11" ht="15" customHeight="1" x14ac:dyDescent="0.25">
      <c r="A36" t="s">
        <v>5281</v>
      </c>
      <c r="B36" t="s">
        <v>5282</v>
      </c>
      <c r="C36" t="s">
        <v>4016</v>
      </c>
      <c r="D36" t="s">
        <v>5278</v>
      </c>
      <c r="E36" t="s">
        <v>3467</v>
      </c>
      <c r="F36" t="s">
        <v>5279</v>
      </c>
      <c r="G36" t="s">
        <v>5220</v>
      </c>
      <c r="H36" t="s">
        <v>4071</v>
      </c>
      <c r="I36" t="s">
        <v>5283</v>
      </c>
      <c r="J36" t="s">
        <v>3518</v>
      </c>
      <c r="K36" t="s">
        <v>3467</v>
      </c>
    </row>
    <row r="37" spans="1:11" ht="15" customHeight="1" x14ac:dyDescent="0.25">
      <c r="A37" t="s">
        <v>5284</v>
      </c>
      <c r="B37" t="s">
        <v>5285</v>
      </c>
      <c r="C37" t="s">
        <v>4016</v>
      </c>
      <c r="D37" t="s">
        <v>5278</v>
      </c>
      <c r="E37" t="s">
        <v>3467</v>
      </c>
      <c r="F37" t="s">
        <v>5279</v>
      </c>
      <c r="G37" t="s">
        <v>5220</v>
      </c>
      <c r="H37" t="s">
        <v>4071</v>
      </c>
      <c r="I37" t="s">
        <v>5286</v>
      </c>
      <c r="J37" t="s">
        <v>3518</v>
      </c>
      <c r="K37" t="s">
        <v>3467</v>
      </c>
    </row>
    <row r="38" spans="1:11" ht="15" customHeight="1" x14ac:dyDescent="0.25">
      <c r="A38" t="s">
        <v>5287</v>
      </c>
      <c r="B38" t="s">
        <v>5288</v>
      </c>
      <c r="C38" t="s">
        <v>4028</v>
      </c>
      <c r="D38" t="s">
        <v>4035</v>
      </c>
      <c r="E38" t="s">
        <v>3467</v>
      </c>
      <c r="F38" t="s">
        <v>5206</v>
      </c>
      <c r="G38" t="s">
        <v>5220</v>
      </c>
      <c r="H38" t="s">
        <v>4054</v>
      </c>
      <c r="I38" t="s">
        <v>5289</v>
      </c>
      <c r="J38" t="s">
        <v>3467</v>
      </c>
      <c r="K38" t="s">
        <v>3467</v>
      </c>
    </row>
    <row r="39" spans="1:11" ht="15" customHeight="1" x14ac:dyDescent="0.25">
      <c r="A39" t="s">
        <v>5290</v>
      </c>
      <c r="B39" t="s">
        <v>5291</v>
      </c>
      <c r="C39" t="s">
        <v>4028</v>
      </c>
      <c r="D39" t="s">
        <v>187</v>
      </c>
      <c r="E39" t="s">
        <v>3467</v>
      </c>
      <c r="F39" t="s">
        <v>5206</v>
      </c>
      <c r="G39" t="s">
        <v>39</v>
      </c>
      <c r="H39" t="s">
        <v>4054</v>
      </c>
      <c r="I39" t="s">
        <v>5290</v>
      </c>
      <c r="J39" t="s">
        <v>3467</v>
      </c>
      <c r="K39" t="s">
        <v>3467</v>
      </c>
    </row>
    <row r="40" spans="1:11" ht="15" customHeight="1" x14ac:dyDescent="0.25">
      <c r="A40" t="s">
        <v>5292</v>
      </c>
      <c r="B40" t="s">
        <v>5293</v>
      </c>
      <c r="C40" t="s">
        <v>4016</v>
      </c>
      <c r="D40" t="s">
        <v>187</v>
      </c>
      <c r="E40" t="s">
        <v>3467</v>
      </c>
      <c r="F40" t="s">
        <v>4344</v>
      </c>
      <c r="G40" t="s">
        <v>39</v>
      </c>
      <c r="H40" t="s">
        <v>4071</v>
      </c>
      <c r="I40" t="s">
        <v>5292</v>
      </c>
      <c r="J40" t="s">
        <v>3518</v>
      </c>
      <c r="K40" t="s">
        <v>3467</v>
      </c>
    </row>
    <row r="41" spans="1:11" ht="15" customHeight="1" x14ac:dyDescent="0.25">
      <c r="A41" t="s">
        <v>5294</v>
      </c>
      <c r="B41" t="s">
        <v>5295</v>
      </c>
      <c r="C41" t="s">
        <v>3757</v>
      </c>
      <c r="D41" t="s">
        <v>4035</v>
      </c>
      <c r="E41" t="s">
        <v>3467</v>
      </c>
      <c r="F41" t="s">
        <v>4344</v>
      </c>
      <c r="G41" t="s">
        <v>5223</v>
      </c>
      <c r="H41" t="s">
        <v>4082</v>
      </c>
      <c r="I41" t="s">
        <v>5296</v>
      </c>
      <c r="J41" t="s">
        <v>3467</v>
      </c>
      <c r="K41" t="s">
        <v>3467</v>
      </c>
    </row>
    <row r="42" spans="1:11" ht="15" customHeight="1" x14ac:dyDescent="0.25">
      <c r="A42" t="s">
        <v>5297</v>
      </c>
      <c r="B42" t="s">
        <v>5298</v>
      </c>
      <c r="C42" t="s">
        <v>4016</v>
      </c>
      <c r="D42" t="s">
        <v>187</v>
      </c>
      <c r="E42" t="s">
        <v>3467</v>
      </c>
      <c r="F42" t="s">
        <v>5299</v>
      </c>
      <c r="G42" t="s">
        <v>39</v>
      </c>
      <c r="H42" t="s">
        <v>4071</v>
      </c>
      <c r="I42" t="s">
        <v>5300</v>
      </c>
      <c r="J42" t="s">
        <v>3530</v>
      </c>
      <c r="K42" t="s">
        <v>3467</v>
      </c>
    </row>
    <row r="43" spans="1:11" ht="15" customHeight="1" x14ac:dyDescent="0.25">
      <c r="A43" t="s">
        <v>5301</v>
      </c>
      <c r="B43" t="s">
        <v>5302</v>
      </c>
      <c r="C43" t="s">
        <v>4028</v>
      </c>
      <c r="D43" t="s">
        <v>187</v>
      </c>
      <c r="E43" t="s">
        <v>3467</v>
      </c>
      <c r="F43" t="s">
        <v>5303</v>
      </c>
      <c r="G43" t="s">
        <v>39</v>
      </c>
      <c r="H43" t="s">
        <v>4054</v>
      </c>
      <c r="I43" t="s">
        <v>5301</v>
      </c>
      <c r="J43" t="s">
        <v>41</v>
      </c>
      <c r="K43" t="s">
        <v>3467</v>
      </c>
    </row>
    <row r="44" spans="1:11" ht="15" customHeight="1" x14ac:dyDescent="0.25">
      <c r="A44" t="s">
        <v>4644</v>
      </c>
      <c r="B44" t="s">
        <v>5304</v>
      </c>
      <c r="C44" t="s">
        <v>4016</v>
      </c>
      <c r="D44" t="s">
        <v>187</v>
      </c>
      <c r="E44" t="s">
        <v>3467</v>
      </c>
      <c r="F44" t="s">
        <v>4344</v>
      </c>
      <c r="G44" t="s">
        <v>39</v>
      </c>
      <c r="H44" t="s">
        <v>4071</v>
      </c>
      <c r="I44" t="s">
        <v>4644</v>
      </c>
      <c r="J44" t="s">
        <v>3530</v>
      </c>
      <c r="K44" t="s">
        <v>3467</v>
      </c>
    </row>
    <row r="45" spans="1:11" ht="15" customHeight="1" x14ac:dyDescent="0.25">
      <c r="A45" t="s">
        <v>5305</v>
      </c>
      <c r="B45" t="s">
        <v>5306</v>
      </c>
      <c r="C45" t="s">
        <v>4016</v>
      </c>
      <c r="D45" t="s">
        <v>187</v>
      </c>
      <c r="E45" t="s">
        <v>3467</v>
      </c>
      <c r="F45" t="s">
        <v>5206</v>
      </c>
      <c r="G45" t="s">
        <v>39</v>
      </c>
      <c r="H45" t="s">
        <v>4071</v>
      </c>
      <c r="I45" t="s">
        <v>5305</v>
      </c>
      <c r="J45" t="s">
        <v>3530</v>
      </c>
      <c r="K45" t="s">
        <v>3467</v>
      </c>
    </row>
    <row r="46" spans="1:11" ht="15" customHeight="1" x14ac:dyDescent="0.25">
      <c r="A46" t="s">
        <v>5307</v>
      </c>
      <c r="B46" t="s">
        <v>5308</v>
      </c>
      <c r="C46" t="s">
        <v>3757</v>
      </c>
      <c r="D46" t="s">
        <v>4035</v>
      </c>
      <c r="E46" t="s">
        <v>3467</v>
      </c>
      <c r="F46" t="s">
        <v>4344</v>
      </c>
      <c r="G46" t="s">
        <v>5223</v>
      </c>
      <c r="H46" t="s">
        <v>4082</v>
      </c>
      <c r="I46" t="s">
        <v>5307</v>
      </c>
      <c r="J46" t="s">
        <v>3467</v>
      </c>
      <c r="K46" t="s">
        <v>3467</v>
      </c>
    </row>
    <row r="47" spans="1:11" ht="15" customHeight="1" x14ac:dyDescent="0.25">
      <c r="A47" t="s">
        <v>5309</v>
      </c>
      <c r="B47" t="s">
        <v>5310</v>
      </c>
      <c r="C47" t="s">
        <v>4016</v>
      </c>
      <c r="D47" t="s">
        <v>187</v>
      </c>
      <c r="E47" t="s">
        <v>3467</v>
      </c>
      <c r="F47" t="s">
        <v>4344</v>
      </c>
      <c r="G47" t="s">
        <v>39</v>
      </c>
      <c r="H47" t="s">
        <v>4071</v>
      </c>
      <c r="I47" t="s">
        <v>5309</v>
      </c>
      <c r="J47" t="s">
        <v>3518</v>
      </c>
      <c r="K47" t="s">
        <v>3467</v>
      </c>
    </row>
    <row r="48" spans="1:11" ht="15" customHeight="1" x14ac:dyDescent="0.25">
      <c r="A48" t="s">
        <v>5311</v>
      </c>
      <c r="B48" t="s">
        <v>5312</v>
      </c>
      <c r="C48" t="s">
        <v>4028</v>
      </c>
      <c r="D48" t="s">
        <v>187</v>
      </c>
      <c r="E48" t="s">
        <v>3467</v>
      </c>
      <c r="F48" t="s">
        <v>5313</v>
      </c>
      <c r="G48" t="s">
        <v>39</v>
      </c>
      <c r="H48" t="s">
        <v>4054</v>
      </c>
      <c r="I48" t="s">
        <v>5311</v>
      </c>
      <c r="J48" t="s">
        <v>3467</v>
      </c>
      <c r="K48" t="s">
        <v>3467</v>
      </c>
    </row>
    <row r="49" spans="1:11" ht="15" customHeight="1" x14ac:dyDescent="0.25">
      <c r="A49" t="s">
        <v>5314</v>
      </c>
      <c r="B49" t="s">
        <v>5315</v>
      </c>
      <c r="C49" t="s">
        <v>3757</v>
      </c>
      <c r="D49" t="s">
        <v>4035</v>
      </c>
      <c r="E49" t="s">
        <v>3467</v>
      </c>
      <c r="F49" t="s">
        <v>4344</v>
      </c>
      <c r="G49" t="s">
        <v>5223</v>
      </c>
      <c r="H49" t="s">
        <v>4082</v>
      </c>
      <c r="I49" t="s">
        <v>5314</v>
      </c>
      <c r="J49" t="s">
        <v>3467</v>
      </c>
      <c r="K49" t="s">
        <v>3467</v>
      </c>
    </row>
    <row r="50" spans="1:11" ht="15" customHeight="1" x14ac:dyDescent="0.25">
      <c r="A50" t="s">
        <v>5316</v>
      </c>
      <c r="B50" t="s">
        <v>5317</v>
      </c>
      <c r="C50" t="s">
        <v>4016</v>
      </c>
      <c r="D50" t="s">
        <v>187</v>
      </c>
      <c r="E50" t="s">
        <v>3467</v>
      </c>
      <c r="F50" t="s">
        <v>5279</v>
      </c>
      <c r="G50" t="s">
        <v>39</v>
      </c>
      <c r="H50" t="s">
        <v>4071</v>
      </c>
      <c r="I50" t="s">
        <v>5316</v>
      </c>
      <c r="J50" t="s">
        <v>3467</v>
      </c>
      <c r="K50" t="s">
        <v>3467</v>
      </c>
    </row>
    <row r="51" spans="1:11" ht="15" customHeight="1" x14ac:dyDescent="0.25">
      <c r="A51" t="s">
        <v>5318</v>
      </c>
      <c r="B51" t="s">
        <v>5319</v>
      </c>
      <c r="C51" t="s">
        <v>4028</v>
      </c>
      <c r="D51" t="s">
        <v>4035</v>
      </c>
      <c r="E51" t="s">
        <v>3467</v>
      </c>
      <c r="F51" t="s">
        <v>4344</v>
      </c>
      <c r="G51" t="s">
        <v>39</v>
      </c>
      <c r="H51" t="s">
        <v>4054</v>
      </c>
      <c r="I51" t="s">
        <v>5318</v>
      </c>
      <c r="J51" t="s">
        <v>3467</v>
      </c>
      <c r="K51" t="s">
        <v>3467</v>
      </c>
    </row>
    <row r="52" spans="1:11" ht="15" customHeight="1" x14ac:dyDescent="0.25">
      <c r="A52" t="s">
        <v>5320</v>
      </c>
      <c r="B52" t="s">
        <v>5321</v>
      </c>
      <c r="C52" t="s">
        <v>4028</v>
      </c>
      <c r="D52" t="s">
        <v>4035</v>
      </c>
      <c r="E52" t="s">
        <v>3467</v>
      </c>
      <c r="F52" t="s">
        <v>4344</v>
      </c>
      <c r="G52" t="s">
        <v>39</v>
      </c>
      <c r="H52" t="s">
        <v>4054</v>
      </c>
      <c r="I52" t="s">
        <v>5322</v>
      </c>
      <c r="J52" t="s">
        <v>3518</v>
      </c>
      <c r="K52" t="s">
        <v>3467</v>
      </c>
    </row>
    <row r="53" spans="1:11" ht="15" customHeight="1" x14ac:dyDescent="0.25">
      <c r="A53" t="s">
        <v>5323</v>
      </c>
      <c r="B53" t="s">
        <v>5324</v>
      </c>
      <c r="C53" t="s">
        <v>3757</v>
      </c>
      <c r="D53" t="s">
        <v>4035</v>
      </c>
      <c r="E53" t="s">
        <v>3467</v>
      </c>
      <c r="F53" t="s">
        <v>4344</v>
      </c>
      <c r="G53" t="s">
        <v>5223</v>
      </c>
      <c r="H53" t="s">
        <v>4071</v>
      </c>
      <c r="I53" t="s">
        <v>5323</v>
      </c>
      <c r="J53" t="s">
        <v>3467</v>
      </c>
      <c r="K53" t="s">
        <v>3467</v>
      </c>
    </row>
    <row r="54" spans="1:11" ht="15" customHeight="1" x14ac:dyDescent="0.25">
      <c r="A54" t="s">
        <v>5325</v>
      </c>
      <c r="B54" t="s">
        <v>5326</v>
      </c>
      <c r="C54" t="s">
        <v>3757</v>
      </c>
      <c r="D54" t="s">
        <v>4035</v>
      </c>
      <c r="E54" t="s">
        <v>3467</v>
      </c>
      <c r="F54" t="s">
        <v>4344</v>
      </c>
      <c r="G54" t="s">
        <v>5223</v>
      </c>
      <c r="H54" t="s">
        <v>4054</v>
      </c>
      <c r="I54" t="s">
        <v>5327</v>
      </c>
      <c r="J54" t="s">
        <v>3467</v>
      </c>
      <c r="K54" t="s">
        <v>3467</v>
      </c>
    </row>
    <row r="55" spans="1:11" ht="15" customHeight="1" x14ac:dyDescent="0.25">
      <c r="A55" t="s">
        <v>5327</v>
      </c>
      <c r="B55" t="s">
        <v>5328</v>
      </c>
      <c r="C55" t="s">
        <v>4028</v>
      </c>
      <c r="D55" t="s">
        <v>4035</v>
      </c>
      <c r="E55">
        <v>1</v>
      </c>
      <c r="F55" t="s">
        <v>5206</v>
      </c>
      <c r="G55" t="s">
        <v>5223</v>
      </c>
      <c r="H55" t="s">
        <v>4054</v>
      </c>
      <c r="I55" t="s">
        <v>5327</v>
      </c>
      <c r="J55" t="s">
        <v>3467</v>
      </c>
      <c r="K55" t="s">
        <v>3467</v>
      </c>
    </row>
    <row r="56" spans="1:11" ht="15" customHeight="1" x14ac:dyDescent="0.25">
      <c r="A56" t="s">
        <v>5329</v>
      </c>
      <c r="B56" t="s">
        <v>5330</v>
      </c>
      <c r="C56" t="s">
        <v>4016</v>
      </c>
      <c r="D56" t="s">
        <v>187</v>
      </c>
      <c r="E56" t="s">
        <v>3467</v>
      </c>
      <c r="F56" t="s">
        <v>4344</v>
      </c>
      <c r="G56" t="s">
        <v>39</v>
      </c>
      <c r="H56" t="s">
        <v>4071</v>
      </c>
      <c r="I56" t="s">
        <v>5329</v>
      </c>
      <c r="J56" t="s">
        <v>3530</v>
      </c>
      <c r="K56" t="s">
        <v>3467</v>
      </c>
    </row>
    <row r="57" spans="1:11" ht="15" customHeight="1" x14ac:dyDescent="0.25">
      <c r="A57" t="s">
        <v>5331</v>
      </c>
      <c r="B57" t="s">
        <v>5332</v>
      </c>
      <c r="C57" t="s">
        <v>5333</v>
      </c>
      <c r="D57" t="s">
        <v>4035</v>
      </c>
      <c r="E57" t="s">
        <v>3467</v>
      </c>
      <c r="F57" t="s">
        <v>4344</v>
      </c>
      <c r="G57" t="s">
        <v>5223</v>
      </c>
      <c r="H57" t="s">
        <v>4082</v>
      </c>
      <c r="I57" t="s">
        <v>5331</v>
      </c>
      <c r="J57" t="s">
        <v>3467</v>
      </c>
      <c r="K57" t="s">
        <v>3467</v>
      </c>
    </row>
    <row r="58" spans="1:11" ht="15" customHeight="1" x14ac:dyDescent="0.25">
      <c r="A58" t="s">
        <v>5334</v>
      </c>
      <c r="B58" t="s">
        <v>5335</v>
      </c>
      <c r="C58" t="s">
        <v>4028</v>
      </c>
      <c r="D58" t="s">
        <v>187</v>
      </c>
      <c r="E58" t="s">
        <v>3467</v>
      </c>
      <c r="F58" t="s">
        <v>5206</v>
      </c>
      <c r="G58" t="s">
        <v>39</v>
      </c>
      <c r="H58" t="s">
        <v>4054</v>
      </c>
      <c r="I58" t="s">
        <v>5334</v>
      </c>
      <c r="J58" t="s">
        <v>41</v>
      </c>
      <c r="K58" t="s">
        <v>3467</v>
      </c>
    </row>
    <row r="59" spans="1:11" ht="15" customHeight="1" x14ac:dyDescent="0.25">
      <c r="A59" t="s">
        <v>5336</v>
      </c>
      <c r="B59" t="s">
        <v>5337</v>
      </c>
      <c r="C59" t="s">
        <v>4028</v>
      </c>
      <c r="D59" t="s">
        <v>187</v>
      </c>
      <c r="E59" t="s">
        <v>3467</v>
      </c>
      <c r="F59" t="s">
        <v>5206</v>
      </c>
      <c r="G59" t="s">
        <v>39</v>
      </c>
      <c r="H59" t="s">
        <v>4054</v>
      </c>
      <c r="I59" t="s">
        <v>5336</v>
      </c>
      <c r="J59" t="s">
        <v>41</v>
      </c>
      <c r="K59" t="s">
        <v>3467</v>
      </c>
    </row>
    <row r="60" spans="1:11" ht="15" customHeight="1" x14ac:dyDescent="0.25">
      <c r="A60" t="s">
        <v>5338</v>
      </c>
      <c r="B60" t="s">
        <v>5339</v>
      </c>
      <c r="C60" t="s">
        <v>3757</v>
      </c>
      <c r="D60" t="s">
        <v>187</v>
      </c>
      <c r="E60" t="s">
        <v>3467</v>
      </c>
      <c r="F60" t="s">
        <v>5219</v>
      </c>
      <c r="G60" t="s">
        <v>5220</v>
      </c>
      <c r="H60" t="s">
        <v>4071</v>
      </c>
      <c r="I60" t="s">
        <v>5340</v>
      </c>
      <c r="J60" t="s">
        <v>3467</v>
      </c>
      <c r="K60" t="s">
        <v>3467</v>
      </c>
    </row>
    <row r="61" spans="1:11" ht="15" customHeight="1" x14ac:dyDescent="0.25">
      <c r="A61" t="s">
        <v>5341</v>
      </c>
      <c r="B61" t="s">
        <v>5342</v>
      </c>
      <c r="C61" t="s">
        <v>3757</v>
      </c>
      <c r="D61" t="s">
        <v>187</v>
      </c>
      <c r="E61" t="s">
        <v>3467</v>
      </c>
      <c r="F61" t="s">
        <v>5206</v>
      </c>
      <c r="G61" t="s">
        <v>39</v>
      </c>
      <c r="H61" t="s">
        <v>4082</v>
      </c>
      <c r="I61" t="s">
        <v>5341</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5192</v>
      </c>
      <c r="G1" t="s">
        <v>4305</v>
      </c>
      <c r="H1" t="s">
        <v>5193</v>
      </c>
      <c r="I1" t="s">
        <v>4049</v>
      </c>
      <c r="J1" t="s">
        <v>5343</v>
      </c>
      <c r="K1" t="s">
        <v>6</v>
      </c>
      <c r="L1" t="s">
        <v>5344</v>
      </c>
      <c r="M1" t="s">
        <v>5345</v>
      </c>
    </row>
    <row r="2" spans="1:13" ht="15" customHeight="1" x14ac:dyDescent="0.25">
      <c r="A2" t="s">
        <v>5195</v>
      </c>
      <c r="B2" t="s">
        <v>5196</v>
      </c>
      <c r="C2" t="s">
        <v>5346</v>
      </c>
      <c r="D2" t="s">
        <v>4016</v>
      </c>
      <c r="E2" t="s">
        <v>187</v>
      </c>
      <c r="F2" t="s">
        <v>3467</v>
      </c>
      <c r="G2" t="s">
        <v>4344</v>
      </c>
      <c r="H2" t="s">
        <v>39</v>
      </c>
      <c r="I2" t="s">
        <v>4071</v>
      </c>
      <c r="J2" t="s">
        <v>5195</v>
      </c>
      <c r="K2" t="s">
        <v>3530</v>
      </c>
      <c r="L2" t="s">
        <v>187</v>
      </c>
      <c r="M2" t="s">
        <v>3467</v>
      </c>
    </row>
    <row r="3" spans="1:13" ht="15" customHeight="1" x14ac:dyDescent="0.25">
      <c r="A3" t="s">
        <v>5198</v>
      </c>
      <c r="B3" t="s">
        <v>5347</v>
      </c>
      <c r="C3" t="s">
        <v>5348</v>
      </c>
      <c r="D3" t="s">
        <v>4028</v>
      </c>
      <c r="E3" t="s">
        <v>187</v>
      </c>
      <c r="F3" t="s">
        <v>3467</v>
      </c>
      <c r="G3" t="s">
        <v>5349</v>
      </c>
      <c r="H3" t="s">
        <v>39</v>
      </c>
      <c r="I3" t="s">
        <v>4054</v>
      </c>
      <c r="J3" t="s">
        <v>5198</v>
      </c>
      <c r="K3" t="s">
        <v>3530</v>
      </c>
      <c r="L3" t="s">
        <v>4035</v>
      </c>
      <c r="M3" t="s">
        <v>5350</v>
      </c>
    </row>
    <row r="4" spans="1:13" ht="15" customHeight="1" x14ac:dyDescent="0.25">
      <c r="A4" t="s">
        <v>5201</v>
      </c>
      <c r="B4" t="s">
        <v>5351</v>
      </c>
      <c r="C4" t="s">
        <v>5352</v>
      </c>
      <c r="D4" t="s">
        <v>4016</v>
      </c>
      <c r="E4" t="s">
        <v>187</v>
      </c>
      <c r="F4" t="s">
        <v>3467</v>
      </c>
      <c r="G4" t="s">
        <v>4344</v>
      </c>
      <c r="H4" t="s">
        <v>39</v>
      </c>
      <c r="I4" t="s">
        <v>4071</v>
      </c>
      <c r="J4" t="s">
        <v>5203</v>
      </c>
      <c r="K4" t="s">
        <v>3518</v>
      </c>
      <c r="L4" t="s">
        <v>187</v>
      </c>
      <c r="M4" t="s">
        <v>3467</v>
      </c>
    </row>
    <row r="5" spans="1:13" ht="15" customHeight="1" x14ac:dyDescent="0.25">
      <c r="A5" s="5" t="s">
        <v>5204</v>
      </c>
      <c r="B5" s="5" t="s">
        <v>5353</v>
      </c>
      <c r="C5" s="5" t="s">
        <v>5354</v>
      </c>
      <c r="D5" s="5" t="s">
        <v>4028</v>
      </c>
      <c r="E5" s="5" t="s">
        <v>187</v>
      </c>
      <c r="F5" s="5" t="s">
        <v>3467</v>
      </c>
      <c r="G5" s="5" t="s">
        <v>5206</v>
      </c>
      <c r="H5" s="5" t="s">
        <v>39</v>
      </c>
      <c r="I5" s="5" t="s">
        <v>4054</v>
      </c>
      <c r="J5" s="5" t="s">
        <v>5204</v>
      </c>
      <c r="K5" s="5" t="s">
        <v>41</v>
      </c>
      <c r="L5" t="s">
        <v>187</v>
      </c>
      <c r="M5" t="s">
        <v>3467</v>
      </c>
    </row>
    <row r="6" spans="1:13" ht="15" customHeight="1" x14ac:dyDescent="0.25">
      <c r="A6" t="s">
        <v>5211</v>
      </c>
      <c r="B6" t="s">
        <v>5355</v>
      </c>
      <c r="C6" t="s">
        <v>5356</v>
      </c>
      <c r="D6" t="s">
        <v>4028</v>
      </c>
      <c r="E6" t="s">
        <v>187</v>
      </c>
      <c r="F6" t="s">
        <v>3467</v>
      </c>
      <c r="G6" t="s">
        <v>4344</v>
      </c>
      <c r="H6" t="s">
        <v>39</v>
      </c>
      <c r="I6" t="s">
        <v>4054</v>
      </c>
      <c r="J6" t="s">
        <v>5211</v>
      </c>
      <c r="K6" t="s">
        <v>41</v>
      </c>
      <c r="L6" t="s">
        <v>187</v>
      </c>
      <c r="M6" t="s">
        <v>3467</v>
      </c>
    </row>
    <row r="7" spans="1:13" ht="15" customHeight="1" x14ac:dyDescent="0.25">
      <c r="A7" s="6" t="s">
        <v>5213</v>
      </c>
      <c r="B7" s="7" t="s">
        <v>5214</v>
      </c>
      <c r="C7" s="7" t="s">
        <v>5357</v>
      </c>
      <c r="D7" s="7" t="s">
        <v>4016</v>
      </c>
      <c r="E7" s="7" t="s">
        <v>187</v>
      </c>
      <c r="F7" s="7" t="s">
        <v>3467</v>
      </c>
      <c r="G7" s="8" t="s">
        <v>5235</v>
      </c>
      <c r="H7" s="7" t="s">
        <v>39</v>
      </c>
      <c r="I7" s="7" t="s">
        <v>4071</v>
      </c>
      <c r="J7" s="7" t="s">
        <v>5213</v>
      </c>
      <c r="K7" s="7" t="s">
        <v>3518</v>
      </c>
      <c r="L7" t="s">
        <v>187</v>
      </c>
      <c r="M7" t="s">
        <v>3467</v>
      </c>
    </row>
    <row r="8" spans="1:13" ht="15" customHeight="1" x14ac:dyDescent="0.25">
      <c r="A8" t="s">
        <v>4040</v>
      </c>
      <c r="B8" t="s">
        <v>5216</v>
      </c>
      <c r="C8" t="s">
        <v>5358</v>
      </c>
      <c r="D8" t="s">
        <v>4028</v>
      </c>
      <c r="E8" t="s">
        <v>187</v>
      </c>
      <c r="F8" t="s">
        <v>3467</v>
      </c>
      <c r="G8" t="s">
        <v>5206</v>
      </c>
      <c r="H8" t="s">
        <v>39</v>
      </c>
      <c r="I8" t="s">
        <v>4054</v>
      </c>
      <c r="J8" t="s">
        <v>4040</v>
      </c>
      <c r="K8" t="s">
        <v>41</v>
      </c>
      <c r="L8" t="s">
        <v>187</v>
      </c>
      <c r="M8" t="s">
        <v>3467</v>
      </c>
    </row>
    <row r="9" spans="1:13" ht="15" customHeight="1" x14ac:dyDescent="0.25">
      <c r="A9" t="s">
        <v>5224</v>
      </c>
      <c r="B9" s="9" t="s">
        <v>5359</v>
      </c>
      <c r="C9" s="9" t="s">
        <v>5360</v>
      </c>
      <c r="D9" t="s">
        <v>4028</v>
      </c>
      <c r="E9" t="s">
        <v>187</v>
      </c>
      <c r="F9" t="s">
        <v>3467</v>
      </c>
      <c r="G9" t="s">
        <v>5206</v>
      </c>
      <c r="H9" t="s">
        <v>5220</v>
      </c>
      <c r="I9" t="s">
        <v>4054</v>
      </c>
      <c r="J9" t="s">
        <v>5224</v>
      </c>
      <c r="K9" t="s">
        <v>3467</v>
      </c>
      <c r="L9" t="s">
        <v>187</v>
      </c>
      <c r="M9" t="s">
        <v>3467</v>
      </c>
    </row>
    <row r="10" spans="1:13" ht="15" customHeight="1" x14ac:dyDescent="0.25">
      <c r="A10" t="s">
        <v>5361</v>
      </c>
      <c r="B10" t="s">
        <v>5362</v>
      </c>
      <c r="C10" t="s">
        <v>5363</v>
      </c>
      <c r="D10" t="s">
        <v>4016</v>
      </c>
      <c r="E10" t="s">
        <v>187</v>
      </c>
      <c r="F10" t="s">
        <v>3467</v>
      </c>
      <c r="G10" t="s">
        <v>4344</v>
      </c>
      <c r="H10" t="s">
        <v>39</v>
      </c>
      <c r="I10" t="s">
        <v>4071</v>
      </c>
      <c r="J10" t="s">
        <v>5364</v>
      </c>
      <c r="K10" t="s">
        <v>41</v>
      </c>
      <c r="L10" t="s">
        <v>187</v>
      </c>
      <c r="M10" t="s">
        <v>3467</v>
      </c>
    </row>
    <row r="11" spans="1:13" ht="15" customHeight="1" x14ac:dyDescent="0.25">
      <c r="A11" t="s">
        <v>5229</v>
      </c>
      <c r="B11" s="9" t="s">
        <v>5365</v>
      </c>
      <c r="C11" s="9" t="s">
        <v>5366</v>
      </c>
      <c r="D11" t="s">
        <v>3757</v>
      </c>
      <c r="E11" t="s">
        <v>4035</v>
      </c>
      <c r="F11" t="s">
        <v>3467</v>
      </c>
      <c r="G11" t="s">
        <v>4344</v>
      </c>
      <c r="H11" t="s">
        <v>39</v>
      </c>
      <c r="I11" t="s">
        <v>4071</v>
      </c>
      <c r="J11" t="s">
        <v>5231</v>
      </c>
      <c r="K11" t="s">
        <v>3467</v>
      </c>
      <c r="L11" t="s">
        <v>187</v>
      </c>
      <c r="M11" t="s">
        <v>3467</v>
      </c>
    </row>
    <row r="12" spans="1:13" ht="15" customHeight="1" x14ac:dyDescent="0.25">
      <c r="A12" t="s">
        <v>3528</v>
      </c>
      <c r="B12" t="s">
        <v>5232</v>
      </c>
      <c r="C12" t="s">
        <v>5367</v>
      </c>
      <c r="D12" t="s">
        <v>4016</v>
      </c>
      <c r="E12" t="s">
        <v>187</v>
      </c>
      <c r="F12" t="s">
        <v>3467</v>
      </c>
      <c r="G12" t="s">
        <v>4344</v>
      </c>
      <c r="H12" t="s">
        <v>39</v>
      </c>
      <c r="I12" t="s">
        <v>4071</v>
      </c>
      <c r="J12" t="s">
        <v>3528</v>
      </c>
      <c r="K12" t="s">
        <v>3530</v>
      </c>
      <c r="L12" t="s">
        <v>187</v>
      </c>
      <c r="M12" t="s">
        <v>3467</v>
      </c>
    </row>
    <row r="13" spans="1:13" ht="15" customHeight="1" x14ac:dyDescent="0.25">
      <c r="A13" t="s">
        <v>5233</v>
      </c>
      <c r="B13" t="s">
        <v>5234</v>
      </c>
      <c r="C13" t="s">
        <v>5357</v>
      </c>
      <c r="D13" t="s">
        <v>4016</v>
      </c>
      <c r="E13" t="s">
        <v>187</v>
      </c>
      <c r="F13" t="s">
        <v>3467</v>
      </c>
      <c r="G13" t="s">
        <v>5215</v>
      </c>
      <c r="H13" t="s">
        <v>39</v>
      </c>
      <c r="I13" t="s">
        <v>4071</v>
      </c>
      <c r="J13" t="s">
        <v>5233</v>
      </c>
      <c r="K13" t="s">
        <v>3518</v>
      </c>
      <c r="L13" t="s">
        <v>187</v>
      </c>
      <c r="M13" t="s">
        <v>3467</v>
      </c>
    </row>
    <row r="14" spans="1:13" ht="15" customHeight="1" x14ac:dyDescent="0.25">
      <c r="A14" t="s">
        <v>5249</v>
      </c>
      <c r="B14" s="9" t="s">
        <v>5248</v>
      </c>
      <c r="C14" s="9" t="s">
        <v>5368</v>
      </c>
      <c r="D14" t="s">
        <v>4028</v>
      </c>
      <c r="E14" t="s">
        <v>187</v>
      </c>
      <c r="F14" t="s">
        <v>3467</v>
      </c>
      <c r="G14" t="s">
        <v>5206</v>
      </c>
      <c r="H14" t="s">
        <v>39</v>
      </c>
      <c r="I14" t="s">
        <v>4054</v>
      </c>
      <c r="J14" t="s">
        <v>5249</v>
      </c>
      <c r="K14" t="s">
        <v>3467</v>
      </c>
      <c r="L14" t="s">
        <v>187</v>
      </c>
      <c r="M14" t="s">
        <v>3467</v>
      </c>
    </row>
    <row r="15" spans="1:13" ht="15" customHeight="1" x14ac:dyDescent="0.25">
      <c r="A15" t="s">
        <v>5250</v>
      </c>
      <c r="B15" t="s">
        <v>5251</v>
      </c>
      <c r="C15" t="s">
        <v>3467</v>
      </c>
      <c r="D15" t="s">
        <v>4028</v>
      </c>
      <c r="E15" t="s">
        <v>187</v>
      </c>
      <c r="F15" t="s">
        <v>3467</v>
      </c>
      <c r="G15" t="s">
        <v>5252</v>
      </c>
      <c r="H15" t="s">
        <v>5220</v>
      </c>
      <c r="I15" t="s">
        <v>4054</v>
      </c>
      <c r="J15" t="s">
        <v>5250</v>
      </c>
      <c r="K15" t="s">
        <v>3530</v>
      </c>
      <c r="L15" t="s">
        <v>4035</v>
      </c>
      <c r="M15" t="s">
        <v>5369</v>
      </c>
    </row>
    <row r="16" spans="1:13" ht="15" customHeight="1" x14ac:dyDescent="0.25">
      <c r="A16" t="s">
        <v>5267</v>
      </c>
      <c r="B16" t="s">
        <v>5268</v>
      </c>
      <c r="C16" t="s">
        <v>5370</v>
      </c>
      <c r="D16" t="s">
        <v>4028</v>
      </c>
      <c r="E16" t="s">
        <v>187</v>
      </c>
      <c r="F16" t="s">
        <v>3467</v>
      </c>
      <c r="G16" t="s">
        <v>5206</v>
      </c>
      <c r="H16" t="s">
        <v>39</v>
      </c>
      <c r="I16" t="s">
        <v>4054</v>
      </c>
      <c r="J16" t="s">
        <v>5267</v>
      </c>
      <c r="K16" t="s">
        <v>41</v>
      </c>
      <c r="L16" t="s">
        <v>187</v>
      </c>
      <c r="M16" t="s">
        <v>3467</v>
      </c>
    </row>
    <row r="17" spans="1:13" ht="15" customHeight="1" x14ac:dyDescent="0.25">
      <c r="A17" t="s">
        <v>5292</v>
      </c>
      <c r="B17" t="s">
        <v>5293</v>
      </c>
      <c r="C17" t="s">
        <v>5371</v>
      </c>
      <c r="D17" t="s">
        <v>4016</v>
      </c>
      <c r="E17" t="s">
        <v>187</v>
      </c>
      <c r="F17" t="s">
        <v>3467</v>
      </c>
      <c r="G17" t="s">
        <v>4344</v>
      </c>
      <c r="H17" t="s">
        <v>39</v>
      </c>
      <c r="I17" t="s">
        <v>4071</v>
      </c>
      <c r="J17" t="s">
        <v>5292</v>
      </c>
      <c r="K17" t="s">
        <v>3518</v>
      </c>
      <c r="L17" t="s">
        <v>187</v>
      </c>
      <c r="M17" t="s">
        <v>3467</v>
      </c>
    </row>
    <row r="18" spans="1:13" ht="15" customHeight="1" x14ac:dyDescent="0.25">
      <c r="A18" t="s">
        <v>5297</v>
      </c>
      <c r="B18" t="s">
        <v>5298</v>
      </c>
      <c r="C18" t="s">
        <v>5372</v>
      </c>
      <c r="D18" t="s">
        <v>4016</v>
      </c>
      <c r="E18" t="s">
        <v>187</v>
      </c>
      <c r="F18" t="s">
        <v>3467</v>
      </c>
      <c r="G18" s="3" t="s">
        <v>5299</v>
      </c>
      <c r="H18" t="s">
        <v>39</v>
      </c>
      <c r="I18" t="s">
        <v>4071</v>
      </c>
      <c r="J18" t="s">
        <v>5300</v>
      </c>
      <c r="K18" t="s">
        <v>3530</v>
      </c>
      <c r="L18" t="s">
        <v>3467</v>
      </c>
      <c r="M18" t="s">
        <v>3467</v>
      </c>
    </row>
    <row r="19" spans="1:13" ht="15" customHeight="1" x14ac:dyDescent="0.25">
      <c r="A19" t="s">
        <v>5301</v>
      </c>
      <c r="B19" t="s">
        <v>5302</v>
      </c>
      <c r="C19" t="s">
        <v>5373</v>
      </c>
      <c r="D19" t="s">
        <v>4028</v>
      </c>
      <c r="E19" t="s">
        <v>187</v>
      </c>
      <c r="F19" t="s">
        <v>3467</v>
      </c>
      <c r="G19" t="s">
        <v>5303</v>
      </c>
      <c r="H19" t="s">
        <v>39</v>
      </c>
      <c r="I19" t="s">
        <v>4054</v>
      </c>
      <c r="J19" t="s">
        <v>5301</v>
      </c>
      <c r="K19" t="s">
        <v>41</v>
      </c>
      <c r="L19" t="s">
        <v>187</v>
      </c>
      <c r="M19" t="s">
        <v>3467</v>
      </c>
    </row>
    <row r="20" spans="1:13" ht="15" customHeight="1" x14ac:dyDescent="0.25">
      <c r="A20" t="s">
        <v>4644</v>
      </c>
      <c r="B20" t="s">
        <v>5304</v>
      </c>
      <c r="C20" t="s">
        <v>5374</v>
      </c>
      <c r="D20" t="s">
        <v>4016</v>
      </c>
      <c r="E20" t="s">
        <v>187</v>
      </c>
      <c r="F20" t="s">
        <v>3467</v>
      </c>
      <c r="G20" t="s">
        <v>4344</v>
      </c>
      <c r="H20" t="s">
        <v>39</v>
      </c>
      <c r="I20" t="s">
        <v>4071</v>
      </c>
      <c r="J20" t="s">
        <v>4644</v>
      </c>
      <c r="K20" t="s">
        <v>3530</v>
      </c>
      <c r="L20" t="s">
        <v>187</v>
      </c>
      <c r="M20" t="s">
        <v>3467</v>
      </c>
    </row>
    <row r="21" spans="1:13" ht="15" customHeight="1" x14ac:dyDescent="0.25">
      <c r="A21" t="s">
        <v>5305</v>
      </c>
      <c r="B21" t="s">
        <v>5306</v>
      </c>
      <c r="C21" t="s">
        <v>5375</v>
      </c>
      <c r="D21" t="s">
        <v>4016</v>
      </c>
      <c r="E21" t="s">
        <v>187</v>
      </c>
      <c r="F21" t="s">
        <v>3467</v>
      </c>
      <c r="G21" t="s">
        <v>5206</v>
      </c>
      <c r="H21" t="s">
        <v>39</v>
      </c>
      <c r="I21" t="s">
        <v>4071</v>
      </c>
      <c r="J21" t="s">
        <v>5305</v>
      </c>
      <c r="K21" t="s">
        <v>3530</v>
      </c>
      <c r="L21" t="s">
        <v>187</v>
      </c>
      <c r="M21" t="s">
        <v>3467</v>
      </c>
    </row>
    <row r="22" spans="1:13" ht="15" customHeight="1" x14ac:dyDescent="0.25">
      <c r="A22" t="s">
        <v>5309</v>
      </c>
      <c r="B22" s="9" t="s">
        <v>5310</v>
      </c>
      <c r="C22" s="9" t="s">
        <v>5376</v>
      </c>
      <c r="D22" t="s">
        <v>4016</v>
      </c>
      <c r="E22" t="s">
        <v>187</v>
      </c>
      <c r="F22" t="s">
        <v>3467</v>
      </c>
      <c r="G22" t="s">
        <v>4344</v>
      </c>
      <c r="H22" t="s">
        <v>39</v>
      </c>
      <c r="I22" t="s">
        <v>4071</v>
      </c>
      <c r="J22" t="s">
        <v>5309</v>
      </c>
      <c r="K22" t="s">
        <v>3518</v>
      </c>
      <c r="L22" t="s">
        <v>187</v>
      </c>
      <c r="M22" t="s">
        <v>3467</v>
      </c>
    </row>
    <row r="23" spans="1:13" ht="15" customHeight="1" x14ac:dyDescent="0.25">
      <c r="A23" t="s">
        <v>5316</v>
      </c>
      <c r="B23" s="9" t="s">
        <v>5377</v>
      </c>
      <c r="C23" s="9" t="s">
        <v>5378</v>
      </c>
      <c r="D23" t="s">
        <v>4016</v>
      </c>
      <c r="E23" t="s">
        <v>187</v>
      </c>
      <c r="F23" t="s">
        <v>3467</v>
      </c>
      <c r="G23" t="s">
        <v>5279</v>
      </c>
      <c r="H23" t="s">
        <v>39</v>
      </c>
      <c r="I23" t="s">
        <v>4071</v>
      </c>
      <c r="J23" t="s">
        <v>5316</v>
      </c>
      <c r="K23" t="s">
        <v>3467</v>
      </c>
      <c r="L23" t="s">
        <v>187</v>
      </c>
      <c r="M23" t="s">
        <v>3467</v>
      </c>
    </row>
    <row r="24" spans="1:13" ht="15" customHeight="1" x14ac:dyDescent="0.25">
      <c r="A24" t="s">
        <v>5318</v>
      </c>
      <c r="B24" s="9" t="s">
        <v>5379</v>
      </c>
      <c r="C24" s="9" t="s">
        <v>5380</v>
      </c>
      <c r="D24" t="s">
        <v>4028</v>
      </c>
      <c r="E24" t="s">
        <v>4035</v>
      </c>
      <c r="F24" t="s">
        <v>3467</v>
      </c>
      <c r="G24" t="s">
        <v>4344</v>
      </c>
      <c r="H24" t="s">
        <v>39</v>
      </c>
      <c r="I24" t="s">
        <v>4054</v>
      </c>
      <c r="J24" t="s">
        <v>5318</v>
      </c>
      <c r="K24" t="s">
        <v>3467</v>
      </c>
      <c r="L24" t="s">
        <v>187</v>
      </c>
      <c r="M24" t="s">
        <v>3467</v>
      </c>
    </row>
    <row r="25" spans="1:13" ht="15" customHeight="1" x14ac:dyDescent="0.25">
      <c r="A25" t="s">
        <v>5320</v>
      </c>
      <c r="B25" t="s">
        <v>5321</v>
      </c>
      <c r="C25" t="s">
        <v>5381</v>
      </c>
      <c r="D25" t="s">
        <v>4028</v>
      </c>
      <c r="E25" t="s">
        <v>4035</v>
      </c>
      <c r="F25" t="s">
        <v>3467</v>
      </c>
      <c r="G25" t="s">
        <v>4344</v>
      </c>
      <c r="H25" t="s">
        <v>39</v>
      </c>
      <c r="I25" t="s">
        <v>4054</v>
      </c>
      <c r="J25" t="s">
        <v>5322</v>
      </c>
      <c r="K25" t="s">
        <v>3518</v>
      </c>
      <c r="L25" t="s">
        <v>187</v>
      </c>
      <c r="M25" t="s">
        <v>3467</v>
      </c>
    </row>
    <row r="26" spans="1:13" ht="15" customHeight="1" x14ac:dyDescent="0.25">
      <c r="A26" t="s">
        <v>5323</v>
      </c>
      <c r="B26" s="9" t="s">
        <v>5382</v>
      </c>
      <c r="C26" s="9" t="s">
        <v>5383</v>
      </c>
      <c r="D26" t="s">
        <v>3757</v>
      </c>
      <c r="E26" t="s">
        <v>4035</v>
      </c>
      <c r="F26" t="s">
        <v>3467</v>
      </c>
      <c r="G26" t="s">
        <v>4344</v>
      </c>
      <c r="H26" t="s">
        <v>5223</v>
      </c>
      <c r="I26" t="s">
        <v>4071</v>
      </c>
      <c r="J26" t="s">
        <v>5323</v>
      </c>
      <c r="K26" t="s">
        <v>3467</v>
      </c>
      <c r="L26" t="s">
        <v>187</v>
      </c>
      <c r="M26" t="s">
        <v>3467</v>
      </c>
    </row>
    <row r="27" spans="1:13" ht="15" customHeight="1" x14ac:dyDescent="0.25">
      <c r="A27" t="s">
        <v>5329</v>
      </c>
      <c r="B27" t="s">
        <v>5384</v>
      </c>
      <c r="C27" t="s">
        <v>5385</v>
      </c>
      <c r="D27" t="s">
        <v>4016</v>
      </c>
      <c r="E27" t="s">
        <v>187</v>
      </c>
      <c r="F27" t="s">
        <v>3467</v>
      </c>
      <c r="G27" t="s">
        <v>4344</v>
      </c>
      <c r="H27" t="s">
        <v>39</v>
      </c>
      <c r="I27" t="s">
        <v>4071</v>
      </c>
      <c r="J27" t="s">
        <v>5329</v>
      </c>
      <c r="K27" t="s">
        <v>3530</v>
      </c>
      <c r="L27" t="s">
        <v>187</v>
      </c>
      <c r="M27" t="s">
        <v>3467</v>
      </c>
    </row>
    <row r="28" spans="1:13" ht="15" customHeight="1" x14ac:dyDescent="0.25">
      <c r="A28" t="s">
        <v>5334</v>
      </c>
      <c r="B28" t="s">
        <v>5335</v>
      </c>
      <c r="C28" t="s">
        <v>5386</v>
      </c>
      <c r="D28" t="s">
        <v>4028</v>
      </c>
      <c r="E28" t="s">
        <v>187</v>
      </c>
      <c r="F28" t="s">
        <v>3467</v>
      </c>
      <c r="G28" t="s">
        <v>5206</v>
      </c>
      <c r="H28" t="s">
        <v>39</v>
      </c>
      <c r="I28" t="s">
        <v>4054</v>
      </c>
      <c r="J28" t="s">
        <v>5334</v>
      </c>
      <c r="K28" t="s">
        <v>41</v>
      </c>
      <c r="L28" t="s">
        <v>187</v>
      </c>
      <c r="M28" t="s">
        <v>3467</v>
      </c>
    </row>
    <row r="29" spans="1:13" ht="15" customHeight="1" x14ac:dyDescent="0.25">
      <c r="A29" t="s">
        <v>5336</v>
      </c>
      <c r="B29" t="s">
        <v>5337</v>
      </c>
      <c r="C29" t="s">
        <v>5387</v>
      </c>
      <c r="D29" t="s">
        <v>4028</v>
      </c>
      <c r="E29" t="s">
        <v>187</v>
      </c>
      <c r="F29" t="s">
        <v>3467</v>
      </c>
      <c r="G29" t="s">
        <v>5206</v>
      </c>
      <c r="H29" t="s">
        <v>39</v>
      </c>
      <c r="I29" t="s">
        <v>4054</v>
      </c>
      <c r="J29" t="s">
        <v>5336</v>
      </c>
      <c r="K29" t="s">
        <v>41</v>
      </c>
      <c r="L29" t="s">
        <v>187</v>
      </c>
      <c r="M29" t="s">
        <v>3467</v>
      </c>
    </row>
    <row r="30" spans="1:13" ht="15" customHeight="1" x14ac:dyDescent="0.25">
      <c r="A30" t="s">
        <v>5327</v>
      </c>
      <c r="B30" t="s">
        <v>5328</v>
      </c>
      <c r="C30" t="s">
        <v>5388</v>
      </c>
      <c r="D30" t="s">
        <v>4028</v>
      </c>
      <c r="E30" t="s">
        <v>4035</v>
      </c>
      <c r="F30">
        <v>1</v>
      </c>
      <c r="G30" t="s">
        <v>5206</v>
      </c>
      <c r="H30" t="s">
        <v>39</v>
      </c>
      <c r="I30" t="s">
        <v>4054</v>
      </c>
      <c r="J30" t="s">
        <v>5327</v>
      </c>
      <c r="K30" t="s">
        <v>3467</v>
      </c>
      <c r="L30" t="s">
        <v>187</v>
      </c>
      <c r="M30" t="s">
        <v>5389</v>
      </c>
    </row>
    <row r="31" spans="1:13" ht="60" customHeight="1" x14ac:dyDescent="0.25">
      <c r="A31" t="s">
        <v>5284</v>
      </c>
      <c r="B31" s="9" t="s">
        <v>5390</v>
      </c>
      <c r="C31" s="9" t="s">
        <v>5391</v>
      </c>
      <c r="D31" t="s">
        <v>4016</v>
      </c>
      <c r="E31" t="s">
        <v>187</v>
      </c>
      <c r="F31" t="s">
        <v>3467</v>
      </c>
      <c r="G31" t="s">
        <v>5279</v>
      </c>
      <c r="H31" t="s">
        <v>5220</v>
      </c>
      <c r="I31" t="s">
        <v>4071</v>
      </c>
      <c r="J31" t="s">
        <v>5286</v>
      </c>
      <c r="K31" t="s">
        <v>3530</v>
      </c>
      <c r="L31" t="s">
        <v>4035</v>
      </c>
      <c r="M31" s="9" t="s">
        <v>5392</v>
      </c>
    </row>
    <row r="32" spans="1:13" ht="45" customHeight="1" x14ac:dyDescent="0.25">
      <c r="A32" t="s">
        <v>5281</v>
      </c>
      <c r="B32" s="9" t="s">
        <v>5393</v>
      </c>
      <c r="C32" s="9" t="s">
        <v>5394</v>
      </c>
      <c r="D32" t="s">
        <v>4016</v>
      </c>
      <c r="E32" t="s">
        <v>187</v>
      </c>
      <c r="F32" t="s">
        <v>3467</v>
      </c>
      <c r="G32" t="s">
        <v>5279</v>
      </c>
      <c r="H32" t="s">
        <v>5220</v>
      </c>
      <c r="I32" t="s">
        <v>4071</v>
      </c>
      <c r="J32" t="s">
        <v>5283</v>
      </c>
      <c r="K32" t="s">
        <v>3530</v>
      </c>
      <c r="L32" t="s">
        <v>4035</v>
      </c>
      <c r="M32" s="9" t="s">
        <v>5395</v>
      </c>
    </row>
    <row r="33" spans="1:13" ht="60" customHeight="1" x14ac:dyDescent="0.25">
      <c r="A33" t="s">
        <v>5287</v>
      </c>
      <c r="B33" s="9" t="s">
        <v>5396</v>
      </c>
      <c r="C33" s="9" t="s">
        <v>5397</v>
      </c>
      <c r="D33" t="s">
        <v>4028</v>
      </c>
      <c r="E33" t="s">
        <v>187</v>
      </c>
      <c r="F33" t="s">
        <v>3467</v>
      </c>
      <c r="G33" t="s">
        <v>5206</v>
      </c>
      <c r="H33" t="s">
        <v>5220</v>
      </c>
      <c r="I33" t="s">
        <v>4054</v>
      </c>
      <c r="J33" t="s">
        <v>5289</v>
      </c>
      <c r="K33" t="s">
        <v>3467</v>
      </c>
      <c r="L33" t="s">
        <v>4035</v>
      </c>
      <c r="M33" s="9" t="s">
        <v>5398</v>
      </c>
    </row>
    <row r="34" spans="1:13" ht="45" customHeight="1" x14ac:dyDescent="0.25">
      <c r="A34" t="s">
        <v>5269</v>
      </c>
      <c r="B34" s="9" t="s">
        <v>5270</v>
      </c>
      <c r="C34" s="9" t="s">
        <v>5399</v>
      </c>
      <c r="D34" t="s">
        <v>4016</v>
      </c>
      <c r="E34" t="s">
        <v>187</v>
      </c>
      <c r="F34" t="s">
        <v>3467</v>
      </c>
      <c r="G34" t="s">
        <v>5206</v>
      </c>
      <c r="H34" t="s">
        <v>39</v>
      </c>
      <c r="I34" t="s">
        <v>4071</v>
      </c>
      <c r="J34" t="s">
        <v>5269</v>
      </c>
      <c r="K34" t="s">
        <v>3518</v>
      </c>
      <c r="L34" t="s">
        <v>187</v>
      </c>
      <c r="M34" s="9" t="s">
        <v>5400</v>
      </c>
    </row>
    <row r="35" spans="1:13" ht="45" customHeight="1" x14ac:dyDescent="0.25">
      <c r="A35" t="s">
        <v>5221</v>
      </c>
      <c r="B35" s="9" t="s">
        <v>5401</v>
      </c>
      <c r="C35" s="9" t="s">
        <v>5402</v>
      </c>
      <c r="D35" t="s">
        <v>4028</v>
      </c>
      <c r="E35" t="s">
        <v>187</v>
      </c>
      <c r="F35" t="s">
        <v>3467</v>
      </c>
      <c r="G35" t="s">
        <v>5403</v>
      </c>
      <c r="H35" t="s">
        <v>5223</v>
      </c>
      <c r="I35" t="s">
        <v>4054</v>
      </c>
      <c r="J35" t="s">
        <v>5221</v>
      </c>
      <c r="K35" t="s">
        <v>3467</v>
      </c>
      <c r="L35" t="s">
        <v>187</v>
      </c>
      <c r="M35" s="9" t="s">
        <v>5404</v>
      </c>
    </row>
    <row r="36" spans="1:13" x14ac:dyDescent="0.25">
      <c r="A36" t="s">
        <v>5259</v>
      </c>
      <c r="B36" s="9" t="s">
        <v>5405</v>
      </c>
      <c r="C36" s="9" t="s">
        <v>5406</v>
      </c>
      <c r="D36" t="s">
        <v>5407</v>
      </c>
      <c r="E36" t="s">
        <v>187</v>
      </c>
      <c r="F36" t="s">
        <v>3467</v>
      </c>
      <c r="G36" t="s">
        <v>5408</v>
      </c>
      <c r="H36" t="s">
        <v>5220</v>
      </c>
      <c r="I36" t="s">
        <v>4071</v>
      </c>
      <c r="J36" t="s">
        <v>5261</v>
      </c>
      <c r="K36" t="s">
        <v>3530</v>
      </c>
      <c r="L36" t="s">
        <v>4035</v>
      </c>
      <c r="M36" t="s">
        <v>3467</v>
      </c>
    </row>
    <row r="37" spans="1:13" x14ac:dyDescent="0.25">
      <c r="A37" t="s">
        <v>5409</v>
      </c>
      <c r="B37" s="9" t="s">
        <v>5410</v>
      </c>
      <c r="C37" s="9" t="s">
        <v>5406</v>
      </c>
      <c r="D37" t="s">
        <v>5407</v>
      </c>
      <c r="E37" t="s">
        <v>187</v>
      </c>
      <c r="F37" t="s">
        <v>3467</v>
      </c>
      <c r="G37" t="s">
        <v>5408</v>
      </c>
      <c r="H37" t="s">
        <v>5220</v>
      </c>
      <c r="I37" t="s">
        <v>4071</v>
      </c>
      <c r="J37" t="s">
        <v>5409</v>
      </c>
      <c r="K37" t="s">
        <v>3530</v>
      </c>
      <c r="L37" t="s">
        <v>4035</v>
      </c>
      <c r="M37" t="s">
        <v>3467</v>
      </c>
    </row>
    <row r="38" spans="1:13" x14ac:dyDescent="0.25">
      <c r="A38" t="s">
        <v>5411</v>
      </c>
      <c r="B38" s="9" t="s">
        <v>5412</v>
      </c>
      <c r="C38" s="9" t="s">
        <v>5406</v>
      </c>
      <c r="D38" t="s">
        <v>5407</v>
      </c>
      <c r="E38" t="s">
        <v>187</v>
      </c>
      <c r="F38" t="s">
        <v>3467</v>
      </c>
      <c r="G38" t="s">
        <v>5408</v>
      </c>
      <c r="H38" t="s">
        <v>5220</v>
      </c>
      <c r="I38" t="s">
        <v>4071</v>
      </c>
      <c r="J38" t="s">
        <v>5413</v>
      </c>
      <c r="K38" t="s">
        <v>3518</v>
      </c>
      <c r="L38" t="s">
        <v>4035</v>
      </c>
      <c r="M38" t="s">
        <v>3467</v>
      </c>
    </row>
    <row r="39" spans="1:13" x14ac:dyDescent="0.25">
      <c r="A39" t="s">
        <v>5207</v>
      </c>
      <c r="B39" s="9" t="s">
        <v>5414</v>
      </c>
      <c r="C39" s="9" t="s">
        <v>5415</v>
      </c>
      <c r="D39" t="s">
        <v>4016</v>
      </c>
      <c r="E39" t="s">
        <v>187</v>
      </c>
      <c r="F39" t="s">
        <v>3467</v>
      </c>
      <c r="G39" t="s">
        <v>5416</v>
      </c>
      <c r="H39" t="s">
        <v>5220</v>
      </c>
      <c r="I39" t="s">
        <v>4071</v>
      </c>
      <c r="J39" t="s">
        <v>5207</v>
      </c>
      <c r="K39" t="s">
        <v>3530</v>
      </c>
      <c r="L39" t="s">
        <v>4035</v>
      </c>
      <c r="M39" t="s">
        <v>5417</v>
      </c>
    </row>
    <row r="40" spans="1:13" x14ac:dyDescent="0.25">
      <c r="A40" t="s">
        <v>5217</v>
      </c>
      <c r="B40" s="9" t="s">
        <v>5418</v>
      </c>
      <c r="C40" s="9" t="s">
        <v>5406</v>
      </c>
      <c r="D40" t="s">
        <v>5407</v>
      </c>
      <c r="E40" t="s">
        <v>187</v>
      </c>
      <c r="F40" t="s">
        <v>3467</v>
      </c>
      <c r="G40" t="s">
        <v>5408</v>
      </c>
      <c r="H40" t="s">
        <v>5220</v>
      </c>
      <c r="I40" t="s">
        <v>4071</v>
      </c>
      <c r="J40" t="s">
        <v>5217</v>
      </c>
      <c r="K40" t="s">
        <v>3518</v>
      </c>
      <c r="L40" t="s">
        <v>4035</v>
      </c>
      <c r="M40" t="s">
        <v>3467</v>
      </c>
    </row>
    <row r="41" spans="1:13" x14ac:dyDescent="0.25">
      <c r="A41" t="s">
        <v>5276</v>
      </c>
      <c r="B41" s="9" t="s">
        <v>5419</v>
      </c>
      <c r="C41" s="9" t="s">
        <v>5420</v>
      </c>
      <c r="D41" t="s">
        <v>4016</v>
      </c>
      <c r="E41" t="s">
        <v>187</v>
      </c>
      <c r="F41" t="s">
        <v>3467</v>
      </c>
      <c r="G41" t="s">
        <v>5279</v>
      </c>
      <c r="H41" t="s">
        <v>5220</v>
      </c>
      <c r="I41" t="s">
        <v>4071</v>
      </c>
      <c r="J41" t="s">
        <v>5280</v>
      </c>
      <c r="K41" t="s">
        <v>3530</v>
      </c>
      <c r="L41" t="s">
        <v>4035</v>
      </c>
      <c r="M41" t="s">
        <v>5421</v>
      </c>
    </row>
    <row r="42" spans="1:13" x14ac:dyDescent="0.25">
      <c r="A42" t="s">
        <v>5238</v>
      </c>
      <c r="B42" s="9" t="s">
        <v>5422</v>
      </c>
      <c r="C42" s="9" t="s">
        <v>5423</v>
      </c>
      <c r="D42" t="s">
        <v>4016</v>
      </c>
      <c r="E42" t="s">
        <v>187</v>
      </c>
      <c r="F42" t="s">
        <v>3467</v>
      </c>
      <c r="G42" t="s">
        <v>5206</v>
      </c>
      <c r="H42" t="s">
        <v>39</v>
      </c>
      <c r="I42" t="s">
        <v>4071</v>
      </c>
      <c r="J42" t="s">
        <v>5240</v>
      </c>
      <c r="K42" t="s">
        <v>3518</v>
      </c>
      <c r="L42" t="s">
        <v>187</v>
      </c>
      <c r="M42" t="s">
        <v>3467</v>
      </c>
    </row>
    <row r="43" spans="1:13" x14ac:dyDescent="0.25">
      <c r="A43" t="s">
        <v>5226</v>
      </c>
      <c r="B43" s="9" t="s">
        <v>5424</v>
      </c>
      <c r="C43" s="9" t="s">
        <v>5425</v>
      </c>
      <c r="D43" t="s">
        <v>4028</v>
      </c>
      <c r="E43" t="s">
        <v>4035</v>
      </c>
      <c r="F43" t="s">
        <v>3467</v>
      </c>
      <c r="G43" t="s">
        <v>4344</v>
      </c>
      <c r="H43" t="s">
        <v>5223</v>
      </c>
      <c r="I43" t="s">
        <v>4054</v>
      </c>
      <c r="J43" t="s">
        <v>5228</v>
      </c>
      <c r="K43" t="s">
        <v>3518</v>
      </c>
      <c r="L43" t="s">
        <v>4035</v>
      </c>
      <c r="M43" t="s">
        <v>5426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5427</v>
      </c>
      <c r="C1" t="s">
        <v>5428</v>
      </c>
      <c r="D1" t="s">
        <v>5429</v>
      </c>
      <c r="E1" t="s">
        <v>5108</v>
      </c>
    </row>
    <row r="2" spans="1:5" ht="15" customHeight="1" x14ac:dyDescent="0.25">
      <c r="A2" t="s">
        <v>5430</v>
      </c>
      <c r="B2" t="s">
        <v>5431</v>
      </c>
      <c r="E2" t="s">
        <v>5432</v>
      </c>
    </row>
    <row r="3" spans="1:5" ht="15" customHeight="1" x14ac:dyDescent="0.25">
      <c r="A3" t="s">
        <v>5433</v>
      </c>
      <c r="B3" t="s">
        <v>5434</v>
      </c>
      <c r="E3" t="s">
        <v>5435</v>
      </c>
    </row>
    <row r="4" spans="1:5" ht="15" customHeight="1" x14ac:dyDescent="0.25">
      <c r="A4" t="s">
        <v>5436</v>
      </c>
      <c r="B4" t="s">
        <v>3467</v>
      </c>
      <c r="E4" t="s">
        <v>5437</v>
      </c>
    </row>
    <row r="5" spans="1:5" ht="15" customHeight="1" x14ac:dyDescent="0.25">
      <c r="A5" t="s">
        <v>5438</v>
      </c>
      <c r="B5" t="s">
        <v>5439</v>
      </c>
      <c r="E5" t="s">
        <v>5440</v>
      </c>
    </row>
    <row r="6" spans="1:5" ht="15" customHeight="1" x14ac:dyDescent="0.25">
      <c r="A6" t="s">
        <v>4307</v>
      </c>
      <c r="B6" t="s">
        <v>5441</v>
      </c>
      <c r="E6" t="s">
        <v>5442</v>
      </c>
    </row>
    <row r="7" spans="1:5" ht="15" customHeight="1" x14ac:dyDescent="0.25">
      <c r="A7" t="s">
        <v>5301</v>
      </c>
      <c r="B7" t="s">
        <v>5443</v>
      </c>
      <c r="E7" t="s">
        <v>5444</v>
      </c>
    </row>
    <row r="8" spans="1:5" ht="15" customHeight="1" x14ac:dyDescent="0.25">
      <c r="A8" t="s">
        <v>5445</v>
      </c>
      <c r="B8" t="s">
        <v>5446</v>
      </c>
      <c r="C8" t="s">
        <v>5447</v>
      </c>
      <c r="D8" t="s">
        <v>5448</v>
      </c>
      <c r="E8" t="s">
        <v>5449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5450</v>
      </c>
      <c r="D1" t="s">
        <v>5451</v>
      </c>
    </row>
    <row r="2" spans="1:4" ht="15" customHeight="1" x14ac:dyDescent="0.25">
      <c r="A2" t="s">
        <v>5452</v>
      </c>
      <c r="B2" t="s">
        <v>5453</v>
      </c>
      <c r="C2" t="s">
        <v>39</v>
      </c>
      <c r="D2" t="s">
        <v>3467</v>
      </c>
    </row>
    <row r="3" spans="1:4" ht="15" customHeight="1" x14ac:dyDescent="0.25">
      <c r="A3" t="s">
        <v>5454</v>
      </c>
      <c r="B3" t="s">
        <v>5455</v>
      </c>
      <c r="C3" t="s">
        <v>5456</v>
      </c>
      <c r="D3" t="s">
        <v>3467</v>
      </c>
    </row>
    <row r="4" spans="1:4" ht="15" customHeight="1" x14ac:dyDescent="0.25">
      <c r="A4" t="s">
        <v>5457</v>
      </c>
      <c r="B4" t="s">
        <v>5458</v>
      </c>
      <c r="C4" t="s">
        <v>39</v>
      </c>
      <c r="D4" t="s">
        <v>3467</v>
      </c>
    </row>
    <row r="5" spans="1:4" ht="15" customHeight="1" x14ac:dyDescent="0.25">
      <c r="A5" t="s">
        <v>5459</v>
      </c>
      <c r="B5" t="s">
        <v>5460</v>
      </c>
      <c r="C5" t="s">
        <v>5456</v>
      </c>
      <c r="D5" t="s">
        <v>3467</v>
      </c>
    </row>
    <row r="6" spans="1:4" ht="15" customHeight="1" x14ac:dyDescent="0.25">
      <c r="A6" t="s">
        <v>5461</v>
      </c>
      <c r="B6" t="s">
        <v>5462</v>
      </c>
      <c r="C6" t="s">
        <v>5456</v>
      </c>
      <c r="D6" t="s">
        <v>3467</v>
      </c>
    </row>
    <row r="7" spans="1:4" ht="15" customHeight="1" x14ac:dyDescent="0.25">
      <c r="A7" t="s">
        <v>5463</v>
      </c>
      <c r="B7" t="s">
        <v>5464</v>
      </c>
      <c r="C7" t="s">
        <v>39</v>
      </c>
      <c r="D7" t="s">
        <v>3467</v>
      </c>
    </row>
    <row r="8" spans="1:4" ht="15" customHeight="1" x14ac:dyDescent="0.25">
      <c r="A8" t="s">
        <v>5465</v>
      </c>
      <c r="B8" t="s">
        <v>5466</v>
      </c>
      <c r="C8" t="s">
        <v>39</v>
      </c>
      <c r="D8" t="s">
        <v>3467</v>
      </c>
    </row>
    <row r="9" spans="1:4" ht="15" customHeight="1" x14ac:dyDescent="0.25">
      <c r="A9" t="s">
        <v>5467</v>
      </c>
      <c r="B9" t="s">
        <v>5468</v>
      </c>
      <c r="C9" t="s">
        <v>39</v>
      </c>
      <c r="D9" t="s">
        <v>3467</v>
      </c>
    </row>
    <row r="10" spans="1:4" ht="15" customHeight="1" x14ac:dyDescent="0.25">
      <c r="A10" t="s">
        <v>5469</v>
      </c>
      <c r="B10" t="s">
        <v>5470</v>
      </c>
      <c r="C10" t="s">
        <v>5471</v>
      </c>
      <c r="D10" t="s">
        <v>3467</v>
      </c>
    </row>
    <row r="11" spans="1:4" ht="15" customHeight="1" x14ac:dyDescent="0.25">
      <c r="A11" t="s">
        <v>5472</v>
      </c>
      <c r="B11" t="s">
        <v>5473</v>
      </c>
      <c r="C11" t="s">
        <v>4475</v>
      </c>
      <c r="D11" t="s">
        <v>3467</v>
      </c>
    </row>
    <row r="12" spans="1:4" ht="15" customHeight="1" x14ac:dyDescent="0.25">
      <c r="A12" t="s">
        <v>5474</v>
      </c>
      <c r="B12" t="s">
        <v>5475</v>
      </c>
      <c r="C12" t="s">
        <v>4475</v>
      </c>
      <c r="D12" t="s">
        <v>3467</v>
      </c>
    </row>
    <row r="13" spans="1:4" ht="15" customHeight="1" x14ac:dyDescent="0.25">
      <c r="A13" t="s">
        <v>5476</v>
      </c>
      <c r="B13" t="s">
        <v>5477</v>
      </c>
      <c r="C13" t="s">
        <v>5456</v>
      </c>
      <c r="D13" t="s">
        <v>3467</v>
      </c>
    </row>
    <row r="14" spans="1:4" ht="15" customHeight="1" x14ac:dyDescent="0.25">
      <c r="A14" t="s">
        <v>5478</v>
      </c>
      <c r="B14" t="s">
        <v>5479</v>
      </c>
      <c r="C14" t="s">
        <v>39</v>
      </c>
      <c r="D14" t="s">
        <v>3467</v>
      </c>
    </row>
    <row r="15" spans="1:4" ht="15" customHeight="1" x14ac:dyDescent="0.25">
      <c r="A15" t="s">
        <v>5480</v>
      </c>
      <c r="B15" t="s">
        <v>5481</v>
      </c>
      <c r="C15" t="s">
        <v>39</v>
      </c>
      <c r="D15" t="s">
        <v>3467</v>
      </c>
    </row>
    <row r="16" spans="1:4" ht="15" customHeight="1" x14ac:dyDescent="0.25">
      <c r="A16" t="s">
        <v>5482</v>
      </c>
      <c r="B16" t="s">
        <v>5483</v>
      </c>
      <c r="C16" t="s">
        <v>5471</v>
      </c>
      <c r="D16" t="s">
        <v>3467</v>
      </c>
    </row>
    <row r="17" spans="1:4" ht="15" customHeight="1" x14ac:dyDescent="0.25">
      <c r="A17" t="s">
        <v>5484</v>
      </c>
      <c r="B17" t="s">
        <v>5485</v>
      </c>
      <c r="C17" t="s">
        <v>39</v>
      </c>
      <c r="D17" t="s">
        <v>3467</v>
      </c>
    </row>
    <row r="18" spans="1:4" ht="15" customHeight="1" x14ac:dyDescent="0.25">
      <c r="A18" t="s">
        <v>5486</v>
      </c>
      <c r="B18" t="s">
        <v>5487</v>
      </c>
      <c r="C18" t="s">
        <v>5488</v>
      </c>
      <c r="D18" t="s">
        <v>3467</v>
      </c>
    </row>
    <row r="19" spans="1:4" ht="15" customHeight="1" x14ac:dyDescent="0.25">
      <c r="A19" t="s">
        <v>5489</v>
      </c>
      <c r="B19" t="s">
        <v>5490</v>
      </c>
      <c r="C19" t="s">
        <v>39</v>
      </c>
      <c r="D19" t="s">
        <v>3467</v>
      </c>
    </row>
    <row r="20" spans="1:4" ht="15" customHeight="1" x14ac:dyDescent="0.25">
      <c r="A20" t="s">
        <v>5491</v>
      </c>
      <c r="B20" t="s">
        <v>5492</v>
      </c>
      <c r="C20" t="s">
        <v>39</v>
      </c>
      <c r="D20" t="s">
        <v>3467</v>
      </c>
    </row>
    <row r="21" spans="1:4" ht="15" customHeight="1" x14ac:dyDescent="0.25">
      <c r="A21" t="s">
        <v>5493</v>
      </c>
      <c r="B21" t="s">
        <v>5494</v>
      </c>
      <c r="C21" t="s">
        <v>39</v>
      </c>
      <c r="D21" t="s">
        <v>5495</v>
      </c>
    </row>
    <row r="22" spans="1:4" ht="15" customHeight="1" x14ac:dyDescent="0.25">
      <c r="A22" t="s">
        <v>5496</v>
      </c>
      <c r="B22" t="s">
        <v>5497</v>
      </c>
      <c r="C22" t="s">
        <v>5498</v>
      </c>
      <c r="D22" t="s">
        <v>3467</v>
      </c>
    </row>
    <row r="23" spans="1:4" ht="15" customHeight="1" x14ac:dyDescent="0.25">
      <c r="A23" t="s">
        <v>5499</v>
      </c>
      <c r="B23" t="s">
        <v>5500</v>
      </c>
      <c r="C23" t="s">
        <v>5471</v>
      </c>
      <c r="D23" t="s">
        <v>3467</v>
      </c>
    </row>
    <row r="24" spans="1:4" ht="15" customHeight="1" x14ac:dyDescent="0.25">
      <c r="A24" t="s">
        <v>5501</v>
      </c>
      <c r="B24" t="s">
        <v>5502</v>
      </c>
      <c r="C24" t="s">
        <v>5471</v>
      </c>
      <c r="D24" t="s">
        <v>5503</v>
      </c>
    </row>
    <row r="25" spans="1:4" ht="15" customHeight="1" x14ac:dyDescent="0.25">
      <c r="A25" t="s">
        <v>5504</v>
      </c>
      <c r="B25" t="s">
        <v>5505</v>
      </c>
      <c r="C25" t="s">
        <v>5488</v>
      </c>
      <c r="D25" t="s">
        <v>3467</v>
      </c>
    </row>
    <row r="26" spans="1:4" ht="15" customHeight="1" x14ac:dyDescent="0.25">
      <c r="A26" t="s">
        <v>5506</v>
      </c>
      <c r="B26" t="s">
        <v>5507</v>
      </c>
      <c r="C26" t="s">
        <v>5456</v>
      </c>
      <c r="D26" t="s">
        <v>3467</v>
      </c>
    </row>
    <row r="27" spans="1:4" ht="15" customHeight="1" x14ac:dyDescent="0.25">
      <c r="A27" t="s">
        <v>5508</v>
      </c>
      <c r="B27" t="s">
        <v>5509</v>
      </c>
      <c r="C27" t="s">
        <v>5471</v>
      </c>
      <c r="D27" t="s">
        <v>3467</v>
      </c>
    </row>
    <row r="28" spans="1:4" ht="15" customHeight="1" x14ac:dyDescent="0.25">
      <c r="A28" t="s">
        <v>5510</v>
      </c>
      <c r="B28" t="s">
        <v>5511</v>
      </c>
      <c r="C28" t="s">
        <v>5471</v>
      </c>
      <c r="D28" t="s">
        <v>3467</v>
      </c>
    </row>
    <row r="29" spans="1:4" ht="15" customHeight="1" x14ac:dyDescent="0.25">
      <c r="A29" t="s">
        <v>5512</v>
      </c>
      <c r="B29" t="s">
        <v>5513</v>
      </c>
      <c r="C29" t="s">
        <v>5514</v>
      </c>
      <c r="D29" t="s">
        <v>3467</v>
      </c>
    </row>
    <row r="30" spans="1:4" ht="15" customHeight="1" x14ac:dyDescent="0.25">
      <c r="A30" t="s">
        <v>5515</v>
      </c>
      <c r="B30" t="s">
        <v>5516</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5517</v>
      </c>
      <c r="F1" t="s">
        <v>5518</v>
      </c>
      <c r="G1" t="s">
        <v>5451</v>
      </c>
      <c r="H1" t="s">
        <v>5519</v>
      </c>
      <c r="I1" t="s">
        <v>5520</v>
      </c>
      <c r="J1" t="s">
        <v>5521</v>
      </c>
      <c r="K1" t="s">
        <v>5522</v>
      </c>
      <c r="L1" t="s">
        <v>5523</v>
      </c>
      <c r="M1" t="s">
        <v>5524</v>
      </c>
    </row>
    <row r="2" spans="1:13" ht="15" customHeight="1" x14ac:dyDescent="0.25">
      <c r="A2" t="s">
        <v>5457</v>
      </c>
      <c r="B2" t="s">
        <v>5458</v>
      </c>
      <c r="C2" t="s">
        <v>5525</v>
      </c>
      <c r="D2" t="s">
        <v>5526</v>
      </c>
      <c r="E2" t="s">
        <v>4035</v>
      </c>
      <c r="F2" t="s">
        <v>39</v>
      </c>
      <c r="G2" t="s">
        <v>3467</v>
      </c>
      <c r="H2" t="s">
        <v>5527</v>
      </c>
      <c r="I2" t="s">
        <v>5528</v>
      </c>
      <c r="J2" t="s">
        <v>5529</v>
      </c>
    </row>
    <row r="3" spans="1:13" ht="15" customHeight="1" x14ac:dyDescent="0.25">
      <c r="A3" t="s">
        <v>5463</v>
      </c>
      <c r="B3" t="s">
        <v>5464</v>
      </c>
      <c r="C3" t="s">
        <v>5464</v>
      </c>
      <c r="D3" t="s">
        <v>5464</v>
      </c>
      <c r="E3" t="s">
        <v>4035</v>
      </c>
      <c r="F3" t="s">
        <v>39</v>
      </c>
      <c r="G3" t="s">
        <v>3467</v>
      </c>
      <c r="H3" t="s">
        <v>5530</v>
      </c>
      <c r="I3" t="s">
        <v>5531</v>
      </c>
    </row>
    <row r="4" spans="1:13" ht="15" customHeight="1" x14ac:dyDescent="0.25">
      <c r="A4" t="s">
        <v>5532</v>
      </c>
      <c r="B4" s="9" t="s">
        <v>5533</v>
      </c>
      <c r="C4" s="9" t="s">
        <v>5533</v>
      </c>
      <c r="D4" s="9" t="s">
        <v>5533</v>
      </c>
      <c r="E4" t="s">
        <v>187</v>
      </c>
      <c r="F4" t="s">
        <v>39</v>
      </c>
      <c r="G4" t="s">
        <v>3467</v>
      </c>
      <c r="H4" t="s">
        <v>5534</v>
      </c>
      <c r="I4" t="s">
        <v>5535</v>
      </c>
    </row>
    <row r="5" spans="1:13" ht="15" customHeight="1" x14ac:dyDescent="0.25">
      <c r="A5" t="s">
        <v>5536</v>
      </c>
      <c r="B5" t="s">
        <v>5537</v>
      </c>
      <c r="C5" t="s">
        <v>5537</v>
      </c>
      <c r="D5" t="s">
        <v>5537</v>
      </c>
      <c r="E5" t="s">
        <v>4035</v>
      </c>
      <c r="F5" t="s">
        <v>5471</v>
      </c>
      <c r="G5" t="s">
        <v>3467</v>
      </c>
      <c r="H5" t="s">
        <v>5538</v>
      </c>
      <c r="I5" t="s">
        <v>5531</v>
      </c>
    </row>
    <row r="6" spans="1:13" ht="15" customHeight="1" x14ac:dyDescent="0.25">
      <c r="A6" t="s">
        <v>5469</v>
      </c>
      <c r="B6" t="s">
        <v>5470</v>
      </c>
      <c r="C6" t="s">
        <v>5539</v>
      </c>
      <c r="D6" t="s">
        <v>5470</v>
      </c>
      <c r="E6" t="s">
        <v>4035</v>
      </c>
      <c r="F6" t="s">
        <v>5471</v>
      </c>
      <c r="G6" t="s">
        <v>3467</v>
      </c>
      <c r="H6" t="s">
        <v>5540</v>
      </c>
      <c r="I6" t="s">
        <v>5531</v>
      </c>
      <c r="K6" t="s">
        <v>5541</v>
      </c>
      <c r="L6" t="s">
        <v>5542</v>
      </c>
    </row>
    <row r="7" spans="1:13" ht="15" customHeight="1" x14ac:dyDescent="0.25">
      <c r="A7" t="s">
        <v>5543</v>
      </c>
      <c r="B7" t="s">
        <v>5544</v>
      </c>
      <c r="C7" t="s">
        <v>5545</v>
      </c>
      <c r="D7" t="s">
        <v>5544</v>
      </c>
      <c r="E7" t="s">
        <v>4035</v>
      </c>
      <c r="F7" t="s">
        <v>5471</v>
      </c>
      <c r="G7" t="s">
        <v>3467</v>
      </c>
      <c r="H7" t="s">
        <v>5546</v>
      </c>
      <c r="I7" t="s">
        <v>5531</v>
      </c>
      <c r="K7" t="s">
        <v>5547</v>
      </c>
      <c r="L7" t="s">
        <v>5548</v>
      </c>
    </row>
    <row r="8" spans="1:13" ht="15" customHeight="1" x14ac:dyDescent="0.25">
      <c r="A8" t="s">
        <v>5472</v>
      </c>
      <c r="B8" t="s">
        <v>5549</v>
      </c>
      <c r="C8" t="s">
        <v>5550</v>
      </c>
      <c r="D8" t="s">
        <v>5550</v>
      </c>
      <c r="E8" t="s">
        <v>4035</v>
      </c>
      <c r="F8" t="s">
        <v>4475</v>
      </c>
      <c r="G8" t="s">
        <v>3467</v>
      </c>
      <c r="H8" t="s">
        <v>5551</v>
      </c>
      <c r="I8" t="s">
        <v>5552</v>
      </c>
      <c r="J8" t="s">
        <v>5551</v>
      </c>
    </row>
    <row r="9" spans="1:13" ht="15" customHeight="1" x14ac:dyDescent="0.25">
      <c r="A9" t="s">
        <v>5474</v>
      </c>
      <c r="B9" t="s">
        <v>5475</v>
      </c>
      <c r="C9" t="s">
        <v>5475</v>
      </c>
      <c r="D9" t="s">
        <v>5475</v>
      </c>
      <c r="E9" t="s">
        <v>4035</v>
      </c>
      <c r="F9" t="s">
        <v>39</v>
      </c>
      <c r="G9" t="s">
        <v>3467</v>
      </c>
      <c r="H9" t="s">
        <v>5553</v>
      </c>
      <c r="I9" t="s">
        <v>5554</v>
      </c>
      <c r="J9" t="s">
        <v>3871</v>
      </c>
    </row>
    <row r="10" spans="1:13" ht="15" customHeight="1" x14ac:dyDescent="0.25">
      <c r="A10" t="s">
        <v>5478</v>
      </c>
      <c r="B10" t="s">
        <v>5479</v>
      </c>
      <c r="C10" t="s">
        <v>5555</v>
      </c>
      <c r="D10" t="s">
        <v>5555</v>
      </c>
      <c r="E10" t="s">
        <v>4035</v>
      </c>
      <c r="F10" t="s">
        <v>39</v>
      </c>
      <c r="G10" t="s">
        <v>3467</v>
      </c>
      <c r="H10" t="s">
        <v>5556</v>
      </c>
      <c r="I10" t="s">
        <v>5552</v>
      </c>
      <c r="J10" t="s">
        <v>5556</v>
      </c>
    </row>
    <row r="11" spans="1:13" ht="15" customHeight="1" x14ac:dyDescent="0.25">
      <c r="A11" t="s">
        <v>5557</v>
      </c>
      <c r="B11" t="s">
        <v>5481</v>
      </c>
      <c r="C11" t="s">
        <v>5558</v>
      </c>
      <c r="D11" t="s">
        <v>5481</v>
      </c>
      <c r="E11" t="s">
        <v>187</v>
      </c>
      <c r="F11" t="s">
        <v>39</v>
      </c>
      <c r="G11" t="s">
        <v>3467</v>
      </c>
      <c r="H11" t="s">
        <v>5559</v>
      </c>
      <c r="I11" t="s">
        <v>5535</v>
      </c>
    </row>
    <row r="12" spans="1:13" ht="15" customHeight="1" x14ac:dyDescent="0.25">
      <c r="A12" t="s">
        <v>5482</v>
      </c>
      <c r="B12" t="s">
        <v>5483</v>
      </c>
      <c r="C12" t="s">
        <v>5560</v>
      </c>
      <c r="D12" t="s">
        <v>5483</v>
      </c>
      <c r="E12" t="s">
        <v>4035</v>
      </c>
      <c r="F12" t="s">
        <v>5471</v>
      </c>
      <c r="G12" t="s">
        <v>3467</v>
      </c>
      <c r="H12" t="s">
        <v>5561</v>
      </c>
      <c r="I12" t="s">
        <v>5531</v>
      </c>
      <c r="K12" t="s">
        <v>5562</v>
      </c>
      <c r="L12" t="s">
        <v>5563</v>
      </c>
    </row>
    <row r="13" spans="1:13" ht="15" customHeight="1" x14ac:dyDescent="0.25">
      <c r="A13" t="s">
        <v>5484</v>
      </c>
      <c r="B13" t="s">
        <v>5485</v>
      </c>
      <c r="C13" t="s">
        <v>5485</v>
      </c>
      <c r="D13" t="s">
        <v>5485</v>
      </c>
      <c r="E13" t="s">
        <v>4035</v>
      </c>
      <c r="F13" t="s">
        <v>39</v>
      </c>
      <c r="G13" t="s">
        <v>3467</v>
      </c>
      <c r="H13" t="s">
        <v>5564</v>
      </c>
      <c r="I13" t="s">
        <v>5552</v>
      </c>
      <c r="J13" t="s">
        <v>5564</v>
      </c>
    </row>
    <row r="14" spans="1:13" ht="15" customHeight="1" x14ac:dyDescent="0.25">
      <c r="A14" t="s">
        <v>5489</v>
      </c>
      <c r="B14" t="s">
        <v>5565</v>
      </c>
      <c r="C14" t="s">
        <v>5566</v>
      </c>
      <c r="D14" t="s">
        <v>5566</v>
      </c>
      <c r="E14" t="s">
        <v>4035</v>
      </c>
      <c r="F14" t="s">
        <v>39</v>
      </c>
      <c r="G14" t="s">
        <v>3467</v>
      </c>
      <c r="H14" t="s">
        <v>5567</v>
      </c>
      <c r="I14" t="s">
        <v>5531</v>
      </c>
    </row>
    <row r="15" spans="1:13" ht="15" customHeight="1" x14ac:dyDescent="0.25">
      <c r="A15" t="s">
        <v>5568</v>
      </c>
      <c r="B15" t="s">
        <v>5569</v>
      </c>
      <c r="C15" t="s">
        <v>5569</v>
      </c>
      <c r="D15" t="s">
        <v>5569</v>
      </c>
      <c r="E15" t="s">
        <v>4035</v>
      </c>
      <c r="F15" t="s">
        <v>5570</v>
      </c>
      <c r="G15" t="s">
        <v>3467</v>
      </c>
      <c r="H15" t="s">
        <v>5571</v>
      </c>
      <c r="I15" t="s">
        <v>5571</v>
      </c>
    </row>
    <row r="16" spans="1:13" ht="15" customHeight="1" x14ac:dyDescent="0.25">
      <c r="A16" t="s">
        <v>5572</v>
      </c>
      <c r="B16" t="s">
        <v>5573</v>
      </c>
      <c r="C16" t="s">
        <v>5573</v>
      </c>
      <c r="D16" t="s">
        <v>5573</v>
      </c>
      <c r="E16" t="s">
        <v>187</v>
      </c>
      <c r="F16" t="s">
        <v>5570</v>
      </c>
      <c r="G16" t="s">
        <v>3467</v>
      </c>
      <c r="H16" t="s">
        <v>5574</v>
      </c>
      <c r="I16" t="s">
        <v>5574</v>
      </c>
    </row>
    <row r="17" spans="1:12" ht="15" customHeight="1" x14ac:dyDescent="0.25">
      <c r="A17" t="s">
        <v>5496</v>
      </c>
      <c r="B17" t="s">
        <v>5497</v>
      </c>
      <c r="C17" t="s">
        <v>5575</v>
      </c>
      <c r="D17" t="s">
        <v>5575</v>
      </c>
      <c r="E17" t="s">
        <v>4035</v>
      </c>
      <c r="F17" t="s">
        <v>39</v>
      </c>
      <c r="G17" t="s">
        <v>3467</v>
      </c>
      <c r="H17" t="s">
        <v>5576</v>
      </c>
      <c r="I17" t="s">
        <v>5531</v>
      </c>
    </row>
    <row r="18" spans="1:12" ht="15" customHeight="1" x14ac:dyDescent="0.25">
      <c r="A18" t="s">
        <v>5577</v>
      </c>
      <c r="B18" t="s">
        <v>5578</v>
      </c>
      <c r="C18" t="s">
        <v>5578</v>
      </c>
      <c r="D18" t="s">
        <v>5579</v>
      </c>
      <c r="E18" t="s">
        <v>187</v>
      </c>
      <c r="F18" t="s">
        <v>5471</v>
      </c>
      <c r="G18" t="s">
        <v>3467</v>
      </c>
      <c r="H18" t="s">
        <v>5580</v>
      </c>
      <c r="I18" t="s">
        <v>5581</v>
      </c>
    </row>
    <row r="19" spans="1:12" ht="15" customHeight="1" x14ac:dyDescent="0.25">
      <c r="A19" t="s">
        <v>5499</v>
      </c>
      <c r="B19" t="s">
        <v>5500</v>
      </c>
      <c r="C19" t="s">
        <v>5582</v>
      </c>
      <c r="D19" t="s">
        <v>5500</v>
      </c>
      <c r="E19" t="s">
        <v>4035</v>
      </c>
      <c r="F19" t="s">
        <v>5471</v>
      </c>
      <c r="G19" t="s">
        <v>3467</v>
      </c>
      <c r="H19" t="s">
        <v>5583</v>
      </c>
      <c r="I19" t="s">
        <v>5531</v>
      </c>
    </row>
    <row r="20" spans="1:12" ht="15" customHeight="1" x14ac:dyDescent="0.25">
      <c r="A20" t="s">
        <v>5508</v>
      </c>
      <c r="B20" t="s">
        <v>5584</v>
      </c>
      <c r="C20" t="s">
        <v>5585</v>
      </c>
      <c r="D20" t="s">
        <v>5584</v>
      </c>
      <c r="E20" t="s">
        <v>4035</v>
      </c>
      <c r="F20" t="s">
        <v>5471</v>
      </c>
      <c r="G20" t="s">
        <v>3467</v>
      </c>
      <c r="H20" t="s">
        <v>5586</v>
      </c>
      <c r="I20" t="s">
        <v>5531</v>
      </c>
    </row>
    <row r="21" spans="1:12" ht="15" customHeight="1" x14ac:dyDescent="0.25">
      <c r="A21" t="s">
        <v>5510</v>
      </c>
      <c r="B21" t="s">
        <v>5587</v>
      </c>
      <c r="C21" t="s">
        <v>5539</v>
      </c>
      <c r="D21" t="s">
        <v>5587</v>
      </c>
      <c r="E21" t="s">
        <v>4035</v>
      </c>
      <c r="F21" t="s">
        <v>5471</v>
      </c>
      <c r="G21" t="s">
        <v>3467</v>
      </c>
      <c r="H21" t="s">
        <v>5588</v>
      </c>
      <c r="I21" t="s">
        <v>5531</v>
      </c>
      <c r="K21" t="s">
        <v>5589</v>
      </c>
      <c r="L21" t="s">
        <v>5542</v>
      </c>
    </row>
    <row r="22" spans="1:12" ht="15" customHeight="1" x14ac:dyDescent="0.25">
      <c r="A22" t="s">
        <v>5512</v>
      </c>
      <c r="B22" t="s">
        <v>5590</v>
      </c>
      <c r="C22" t="s">
        <v>5590</v>
      </c>
      <c r="D22" t="s">
        <v>5590</v>
      </c>
      <c r="E22" t="s">
        <v>4035</v>
      </c>
      <c r="F22" t="s">
        <v>4475</v>
      </c>
      <c r="G22" t="s">
        <v>3467</v>
      </c>
      <c r="H22" t="s">
        <v>5591</v>
      </c>
      <c r="I22" t="s">
        <v>5592</v>
      </c>
    </row>
    <row r="23" spans="1:12" ht="15" customHeight="1" x14ac:dyDescent="0.25">
      <c r="A23" t="s">
        <v>5515</v>
      </c>
      <c r="B23" t="s">
        <v>5516</v>
      </c>
      <c r="C23" t="s">
        <v>5516</v>
      </c>
      <c r="D23" t="s">
        <v>5516</v>
      </c>
      <c r="E23" t="s">
        <v>4035</v>
      </c>
      <c r="F23" t="s">
        <v>39</v>
      </c>
      <c r="G23" t="s">
        <v>3467</v>
      </c>
      <c r="H23" t="s">
        <v>5593</v>
      </c>
      <c r="I23" t="s">
        <v>5554</v>
      </c>
      <c r="J23" t="s">
        <v>5594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5595</v>
      </c>
      <c r="D1" t="s">
        <v>5596</v>
      </c>
      <c r="E1" t="s">
        <v>5597</v>
      </c>
      <c r="F1" t="s">
        <v>5598</v>
      </c>
      <c r="G1" t="s">
        <v>5599</v>
      </c>
      <c r="H1" t="s">
        <v>5600</v>
      </c>
      <c r="I1" t="s">
        <v>5601</v>
      </c>
      <c r="J1" t="s">
        <v>5602</v>
      </c>
      <c r="K1" t="s">
        <v>3513</v>
      </c>
      <c r="L1" t="s">
        <v>4049</v>
      </c>
      <c r="M1" t="s">
        <v>171</v>
      </c>
    </row>
    <row r="2" spans="1:13" ht="15" customHeight="1" x14ac:dyDescent="0.25">
      <c r="A2" t="s">
        <v>5603</v>
      </c>
      <c r="B2" t="s">
        <v>3530</v>
      </c>
      <c r="C2" t="s">
        <v>5604</v>
      </c>
      <c r="D2" t="s">
        <v>101</v>
      </c>
      <c r="E2" t="s">
        <v>5604</v>
      </c>
      <c r="F2" t="s">
        <v>101</v>
      </c>
      <c r="G2" t="s">
        <v>5604</v>
      </c>
      <c r="H2" t="s">
        <v>101</v>
      </c>
      <c r="I2" t="s">
        <v>5604</v>
      </c>
      <c r="J2" t="s">
        <v>101</v>
      </c>
      <c r="K2" t="s">
        <v>2155</v>
      </c>
      <c r="L2" t="s">
        <v>4082</v>
      </c>
    </row>
    <row r="3" spans="1:13" ht="15" customHeight="1" x14ac:dyDescent="0.25">
      <c r="A3" t="s">
        <v>4053</v>
      </c>
      <c r="B3" t="s">
        <v>3530</v>
      </c>
      <c r="C3" t="s">
        <v>5605</v>
      </c>
      <c r="D3" t="s">
        <v>5606</v>
      </c>
      <c r="E3" t="s">
        <v>5607</v>
      </c>
      <c r="F3" t="s">
        <v>5608</v>
      </c>
      <c r="G3" t="s">
        <v>5609</v>
      </c>
      <c r="H3" t="s">
        <v>5610</v>
      </c>
      <c r="I3" t="s">
        <v>5611</v>
      </c>
      <c r="J3" t="s">
        <v>5612</v>
      </c>
      <c r="K3" t="s">
        <v>2155</v>
      </c>
      <c r="L3" t="s">
        <v>4054</v>
      </c>
    </row>
    <row r="4" spans="1:13" ht="15" customHeight="1" x14ac:dyDescent="0.25">
      <c r="A4" t="s">
        <v>4059</v>
      </c>
      <c r="B4" t="s">
        <v>3530</v>
      </c>
      <c r="C4" t="s">
        <v>5613</v>
      </c>
      <c r="D4" t="s">
        <v>5614</v>
      </c>
      <c r="E4" t="s">
        <v>5615</v>
      </c>
      <c r="F4" t="s">
        <v>5616</v>
      </c>
      <c r="G4" t="s">
        <v>5617</v>
      </c>
      <c r="H4" t="s">
        <v>5618</v>
      </c>
      <c r="I4" t="s">
        <v>5619</v>
      </c>
      <c r="J4" t="s">
        <v>5620</v>
      </c>
      <c r="K4" t="s">
        <v>1285</v>
      </c>
      <c r="L4" t="s">
        <v>4054</v>
      </c>
      <c r="M4" t="s">
        <v>4062</v>
      </c>
    </row>
    <row r="5" spans="1:13" ht="15" customHeight="1" x14ac:dyDescent="0.25">
      <c r="A5" t="s">
        <v>5621</v>
      </c>
      <c r="B5" t="s">
        <v>3530</v>
      </c>
      <c r="C5" t="s">
        <v>5622</v>
      </c>
      <c r="D5" t="s">
        <v>5623</v>
      </c>
      <c r="E5" t="s">
        <v>5624</v>
      </c>
      <c r="F5" t="s">
        <v>5625</v>
      </c>
      <c r="G5" t="s">
        <v>5626</v>
      </c>
      <c r="H5" t="s">
        <v>5627</v>
      </c>
      <c r="I5" t="s">
        <v>5628</v>
      </c>
      <c r="J5" t="s">
        <v>5629</v>
      </c>
      <c r="K5" t="s">
        <v>1726</v>
      </c>
      <c r="L5" t="s">
        <v>4071</v>
      </c>
    </row>
    <row r="6" spans="1:13" ht="15" customHeight="1" x14ac:dyDescent="0.25">
      <c r="A6" t="s">
        <v>4065</v>
      </c>
      <c r="B6" t="s">
        <v>41</v>
      </c>
      <c r="C6" t="s">
        <v>5630</v>
      </c>
      <c r="D6" t="s">
        <v>5631</v>
      </c>
      <c r="E6" t="s">
        <v>5632</v>
      </c>
      <c r="F6" t="s">
        <v>5633</v>
      </c>
      <c r="G6" t="s">
        <v>5634</v>
      </c>
      <c r="H6" t="s">
        <v>5635</v>
      </c>
      <c r="I6" t="s">
        <v>5636</v>
      </c>
      <c r="J6" t="s">
        <v>5637</v>
      </c>
      <c r="K6" t="s">
        <v>2155</v>
      </c>
      <c r="L6" t="s">
        <v>4054</v>
      </c>
    </row>
    <row r="7" spans="1:13" ht="15" customHeight="1" x14ac:dyDescent="0.25">
      <c r="A7" t="s">
        <v>5638</v>
      </c>
      <c r="B7" t="s">
        <v>41</v>
      </c>
      <c r="C7" t="s">
        <v>5639</v>
      </c>
      <c r="D7" t="s">
        <v>5640</v>
      </c>
      <c r="E7" t="s">
        <v>5641</v>
      </c>
      <c r="F7" t="s">
        <v>5642</v>
      </c>
      <c r="G7" t="s">
        <v>5643</v>
      </c>
      <c r="H7" t="s">
        <v>5644</v>
      </c>
      <c r="I7" t="s">
        <v>5645</v>
      </c>
      <c r="J7" t="s">
        <v>5646</v>
      </c>
      <c r="K7" t="s">
        <v>2155</v>
      </c>
      <c r="L7" t="s">
        <v>4071</v>
      </c>
      <c r="M7" t="s">
        <v>5647</v>
      </c>
    </row>
    <row r="8" spans="1:13" ht="15" customHeight="1" x14ac:dyDescent="0.25">
      <c r="A8" t="s">
        <v>4088</v>
      </c>
      <c r="B8" t="s">
        <v>3530</v>
      </c>
      <c r="C8" t="s">
        <v>5648</v>
      </c>
      <c r="D8" t="s">
        <v>5649</v>
      </c>
      <c r="E8" t="s">
        <v>5650</v>
      </c>
      <c r="F8" t="s">
        <v>5651</v>
      </c>
      <c r="G8" t="s">
        <v>5652</v>
      </c>
      <c r="H8" t="s">
        <v>5653</v>
      </c>
      <c r="I8" t="s">
        <v>5654</v>
      </c>
      <c r="J8" t="s">
        <v>5655</v>
      </c>
      <c r="K8" t="s">
        <v>1285</v>
      </c>
      <c r="L8" t="s">
        <v>4054</v>
      </c>
    </row>
    <row r="9" spans="1:13" ht="15" customHeight="1" x14ac:dyDescent="0.25">
      <c r="A9" t="s">
        <v>4070</v>
      </c>
      <c r="B9" t="s">
        <v>41</v>
      </c>
      <c r="C9" t="s">
        <v>5656</v>
      </c>
      <c r="D9" t="s">
        <v>5657</v>
      </c>
      <c r="E9" t="s">
        <v>5658</v>
      </c>
      <c r="F9" t="s">
        <v>5659</v>
      </c>
      <c r="G9" t="s">
        <v>5660</v>
      </c>
      <c r="H9" t="s">
        <v>5661</v>
      </c>
      <c r="I9" t="s">
        <v>5662</v>
      </c>
      <c r="J9" t="s">
        <v>5663</v>
      </c>
      <c r="K9" t="s">
        <v>2155</v>
      </c>
      <c r="L9" t="s">
        <v>4071</v>
      </c>
      <c r="M9" t="s">
        <v>4074</v>
      </c>
    </row>
    <row r="10" spans="1:13" ht="15" customHeight="1" x14ac:dyDescent="0.25">
      <c r="A10" t="s">
        <v>4077</v>
      </c>
      <c r="B10" t="s">
        <v>3530</v>
      </c>
      <c r="C10" t="s">
        <v>5664</v>
      </c>
      <c r="D10" t="s">
        <v>5665</v>
      </c>
      <c r="E10" t="s">
        <v>5666</v>
      </c>
      <c r="F10" t="s">
        <v>5667</v>
      </c>
      <c r="G10" t="s">
        <v>5668</v>
      </c>
      <c r="H10" t="s">
        <v>4078</v>
      </c>
      <c r="I10" t="s">
        <v>5669</v>
      </c>
      <c r="J10" t="s">
        <v>5670</v>
      </c>
      <c r="K10" t="s">
        <v>2155</v>
      </c>
      <c r="L10" t="s">
        <v>4071</v>
      </c>
    </row>
    <row r="11" spans="1:13" ht="15" customHeight="1" x14ac:dyDescent="0.25">
      <c r="A11" t="s">
        <v>5671</v>
      </c>
      <c r="B11" t="s">
        <v>3530</v>
      </c>
      <c r="C11" t="s">
        <v>5672</v>
      </c>
      <c r="D11" t="s">
        <v>5673</v>
      </c>
      <c r="E11" t="s">
        <v>5674</v>
      </c>
      <c r="F11" t="s">
        <v>5675</v>
      </c>
      <c r="G11" t="s">
        <v>5676</v>
      </c>
      <c r="H11" t="s">
        <v>5677</v>
      </c>
      <c r="I11" t="s">
        <v>5678</v>
      </c>
      <c r="J11" t="s">
        <v>5679</v>
      </c>
      <c r="K11" t="s">
        <v>2155</v>
      </c>
      <c r="L11" t="s">
        <v>4054</v>
      </c>
    </row>
    <row r="12" spans="1:13" ht="15" customHeight="1" x14ac:dyDescent="0.25">
      <c r="A12" t="s">
        <v>5680</v>
      </c>
      <c r="B12" t="s">
        <v>41</v>
      </c>
      <c r="C12" t="s">
        <v>5681</v>
      </c>
      <c r="D12" t="s">
        <v>5682</v>
      </c>
      <c r="E12" t="s">
        <v>5683</v>
      </c>
      <c r="F12" t="s">
        <v>5684</v>
      </c>
      <c r="G12" t="s">
        <v>5685</v>
      </c>
      <c r="H12" t="s">
        <v>5686</v>
      </c>
      <c r="I12" t="s">
        <v>5687</v>
      </c>
      <c r="J12" t="s">
        <v>5688</v>
      </c>
      <c r="K12" t="s">
        <v>2155</v>
      </c>
      <c r="L12" t="s">
        <v>4082</v>
      </c>
      <c r="M12" t="s">
        <v>4085</v>
      </c>
    </row>
    <row r="13" spans="1:13" ht="15" customHeight="1" x14ac:dyDescent="0.25">
      <c r="A13" t="s">
        <v>5689</v>
      </c>
      <c r="B13" t="s">
        <v>3518</v>
      </c>
      <c r="C13" t="s">
        <v>5690</v>
      </c>
      <c r="D13" t="s">
        <v>5691</v>
      </c>
      <c r="E13" t="s">
        <v>5692</v>
      </c>
      <c r="F13" t="s">
        <v>5693</v>
      </c>
      <c r="G13" t="s">
        <v>5694</v>
      </c>
      <c r="H13" t="s">
        <v>5695</v>
      </c>
      <c r="I13" t="s">
        <v>5696</v>
      </c>
      <c r="J13" t="s">
        <v>5697</v>
      </c>
      <c r="K13" t="s">
        <v>2155</v>
      </c>
      <c r="L13" t="s">
        <v>4071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4203</v>
      </c>
      <c r="B2" t="s">
        <v>41</v>
      </c>
      <c r="C2" t="s">
        <v>5698</v>
      </c>
      <c r="D2" t="s">
        <v>90</v>
      </c>
      <c r="E2" t="s">
        <v>4208</v>
      </c>
    </row>
    <row r="3" spans="1:5" ht="15" customHeight="1" x14ac:dyDescent="0.25">
      <c r="A3" t="s">
        <v>4209</v>
      </c>
      <c r="B3" t="s">
        <v>41</v>
      </c>
      <c r="C3" t="s">
        <v>5699</v>
      </c>
      <c r="D3" t="s">
        <v>90</v>
      </c>
      <c r="E3" t="s">
        <v>4212</v>
      </c>
    </row>
    <row r="4" spans="1:5" ht="15" customHeight="1" x14ac:dyDescent="0.25">
      <c r="A4" t="s">
        <v>5700</v>
      </c>
      <c r="B4" t="s">
        <v>41</v>
      </c>
      <c r="C4" t="s">
        <v>5701</v>
      </c>
      <c r="D4" t="s">
        <v>90</v>
      </c>
      <c r="E4" t="s">
        <v>5702</v>
      </c>
    </row>
    <row r="5" spans="1:5" ht="15" customHeight="1" x14ac:dyDescent="0.25">
      <c r="A5" t="s">
        <v>5703</v>
      </c>
      <c r="B5" t="s">
        <v>41</v>
      </c>
      <c r="C5" t="s">
        <v>5704</v>
      </c>
      <c r="D5" t="s">
        <v>90</v>
      </c>
      <c r="E5" t="s">
        <v>5705</v>
      </c>
    </row>
    <row r="6" spans="1:5" ht="15" customHeight="1" x14ac:dyDescent="0.25">
      <c r="A6" t="s">
        <v>5706</v>
      </c>
      <c r="B6" t="s">
        <v>41</v>
      </c>
      <c r="C6" t="s">
        <v>5707</v>
      </c>
      <c r="D6" t="s">
        <v>90</v>
      </c>
      <c r="E6" t="s">
        <v>5708</v>
      </c>
    </row>
    <row r="7" spans="1:5" ht="15" customHeight="1" x14ac:dyDescent="0.25">
      <c r="A7" t="s">
        <v>4213</v>
      </c>
      <c r="B7" t="s">
        <v>41</v>
      </c>
      <c r="C7" t="s">
        <v>5709</v>
      </c>
      <c r="D7" t="s">
        <v>90</v>
      </c>
      <c r="E7" t="s">
        <v>4218</v>
      </c>
    </row>
    <row r="8" spans="1:5" ht="15" customHeight="1" x14ac:dyDescent="0.25">
      <c r="A8" t="s">
        <v>4219</v>
      </c>
      <c r="B8" t="s">
        <v>41</v>
      </c>
      <c r="C8" t="s">
        <v>5710</v>
      </c>
      <c r="D8" t="s">
        <v>90</v>
      </c>
      <c r="E8" t="s">
        <v>4224</v>
      </c>
    </row>
    <row r="9" spans="1:5" ht="15" customHeight="1" x14ac:dyDescent="0.25">
      <c r="A9" t="s">
        <v>4225</v>
      </c>
      <c r="B9" t="s">
        <v>3518</v>
      </c>
      <c r="C9" t="s">
        <v>5711</v>
      </c>
      <c r="D9" t="s">
        <v>90</v>
      </c>
      <c r="E9" t="s">
        <v>4228</v>
      </c>
    </row>
    <row r="10" spans="1:5" ht="15" customHeight="1" x14ac:dyDescent="0.25">
      <c r="A10" t="s">
        <v>4229</v>
      </c>
      <c r="B10" t="s">
        <v>41</v>
      </c>
      <c r="C10" t="s">
        <v>5712</v>
      </c>
      <c r="D10" t="s">
        <v>90</v>
      </c>
      <c r="E10" t="s">
        <v>4234</v>
      </c>
    </row>
    <row r="11" spans="1:5" ht="15" customHeight="1" x14ac:dyDescent="0.25">
      <c r="A11" t="s">
        <v>4235</v>
      </c>
      <c r="B11" t="s">
        <v>41</v>
      </c>
      <c r="C11" t="s">
        <v>5713</v>
      </c>
      <c r="D11" t="s">
        <v>90</v>
      </c>
      <c r="E11" t="s">
        <v>4240</v>
      </c>
    </row>
    <row r="12" spans="1:5" ht="15" customHeight="1" x14ac:dyDescent="0.25">
      <c r="A12" t="s">
        <v>4241</v>
      </c>
      <c r="B12" t="s">
        <v>41</v>
      </c>
      <c r="C12" t="s">
        <v>5714</v>
      </c>
      <c r="D12" t="s">
        <v>90</v>
      </c>
      <c r="E12" t="s">
        <v>4246</v>
      </c>
    </row>
    <row r="13" spans="1:5" ht="15" customHeight="1" x14ac:dyDescent="0.25">
      <c r="A13" t="s">
        <v>5715</v>
      </c>
      <c r="B13" t="s">
        <v>3530</v>
      </c>
      <c r="C13" t="s">
        <v>5716</v>
      </c>
      <c r="D13" t="s">
        <v>90</v>
      </c>
      <c r="E13" t="s">
        <v>5717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4580</v>
      </c>
      <c r="E1" t="s">
        <v>5718</v>
      </c>
      <c r="F1" t="s">
        <v>5719</v>
      </c>
      <c r="G1" t="s">
        <v>5720</v>
      </c>
      <c r="H1" t="s">
        <v>5721</v>
      </c>
      <c r="I1" t="s">
        <v>3458</v>
      </c>
      <c r="J1" t="s">
        <v>5722</v>
      </c>
      <c r="K1" t="s">
        <v>3452</v>
      </c>
      <c r="L1" t="s">
        <v>5723</v>
      </c>
      <c r="M1" t="s">
        <v>3862</v>
      </c>
      <c r="N1" t="s">
        <v>5724</v>
      </c>
      <c r="O1" t="s">
        <v>5725</v>
      </c>
      <c r="P1" t="s">
        <v>3459</v>
      </c>
      <c r="Q1" t="s">
        <v>3460</v>
      </c>
      <c r="R1" t="s">
        <v>3461</v>
      </c>
      <c r="S1" t="s">
        <v>5726</v>
      </c>
      <c r="T1" t="s">
        <v>5727</v>
      </c>
      <c r="U1" t="s">
        <v>5728</v>
      </c>
      <c r="V1" t="s">
        <v>5729</v>
      </c>
      <c r="W1" t="s">
        <v>5730</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5731</v>
      </c>
      <c r="R2" t="s">
        <v>3502</v>
      </c>
      <c r="S2" t="s">
        <v>5471</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5732</v>
      </c>
      <c r="Q3" t="s">
        <v>5733</v>
      </c>
      <c r="R3" t="s">
        <v>3482</v>
      </c>
      <c r="S3" t="s">
        <v>5488</v>
      </c>
      <c r="T3">
        <v>5</v>
      </c>
      <c r="U3">
        <v>4</v>
      </c>
      <c r="V3" t="s">
        <v>5734</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5735</v>
      </c>
      <c r="R4" t="s">
        <v>3510</v>
      </c>
      <c r="S4" t="s">
        <v>4597</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5736</v>
      </c>
      <c r="R5" t="s">
        <v>3491</v>
      </c>
      <c r="S5" t="s">
        <v>5737</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5738</v>
      </c>
      <c r="Q6" t="s">
        <v>5739</v>
      </c>
      <c r="R6" t="s">
        <v>3477</v>
      </c>
      <c r="S6" t="s">
        <v>5471</v>
      </c>
      <c r="T6">
        <v>5</v>
      </c>
      <c r="U6">
        <v>4</v>
      </c>
      <c r="V6" t="s">
        <v>3451</v>
      </c>
      <c r="X6" t="s">
        <v>3478</v>
      </c>
    </row>
    <row r="7" spans="1:24" ht="15" customHeight="1" x14ac:dyDescent="0.25">
      <c r="A7" t="s">
        <v>5740</v>
      </c>
      <c r="B7" t="s">
        <v>90</v>
      </c>
      <c r="C7">
        <v>70</v>
      </c>
      <c r="D7">
        <v>3</v>
      </c>
      <c r="E7">
        <v>0</v>
      </c>
      <c r="F7">
        <v>2</v>
      </c>
      <c r="G7">
        <v>0</v>
      </c>
      <c r="H7">
        <v>0</v>
      </c>
      <c r="I7">
        <v>0</v>
      </c>
      <c r="J7">
        <v>0</v>
      </c>
      <c r="K7">
        <v>0</v>
      </c>
      <c r="L7">
        <v>0</v>
      </c>
      <c r="M7">
        <v>0</v>
      </c>
      <c r="N7">
        <v>0</v>
      </c>
      <c r="O7">
        <v>0</v>
      </c>
      <c r="P7" t="s">
        <v>5738</v>
      </c>
      <c r="Q7" t="s">
        <v>5741</v>
      </c>
      <c r="R7" t="s">
        <v>5742</v>
      </c>
      <c r="S7" t="s">
        <v>5471</v>
      </c>
      <c r="T7">
        <v>5</v>
      </c>
      <c r="U7">
        <v>5</v>
      </c>
      <c r="V7" t="s">
        <v>5743</v>
      </c>
      <c r="W7" t="s">
        <v>5744</v>
      </c>
      <c r="X7" t="s">
        <v>4849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5745</v>
      </c>
      <c r="E1" t="s">
        <v>3461</v>
      </c>
      <c r="F1" t="s">
        <v>5746</v>
      </c>
      <c r="G1" t="s">
        <v>5747</v>
      </c>
      <c r="H1" t="s">
        <v>4306</v>
      </c>
      <c r="I1" t="s">
        <v>1</v>
      </c>
      <c r="J1" t="s">
        <v>170</v>
      </c>
    </row>
    <row r="2" spans="1:10" ht="15" customHeight="1" x14ac:dyDescent="0.25">
      <c r="A2" t="s">
        <v>5748</v>
      </c>
      <c r="B2" t="s">
        <v>3530</v>
      </c>
      <c r="C2" t="s">
        <v>4644</v>
      </c>
      <c r="D2">
        <v>1</v>
      </c>
      <c r="E2" t="s">
        <v>5749</v>
      </c>
      <c r="F2" t="s">
        <v>5750</v>
      </c>
      <c r="G2">
        <v>1</v>
      </c>
      <c r="H2" t="s">
        <v>5748</v>
      </c>
      <c r="I2" t="s">
        <v>90</v>
      </c>
      <c r="J2" t="s">
        <v>5751</v>
      </c>
    </row>
    <row r="3" spans="1:10" ht="15" customHeight="1" x14ac:dyDescent="0.25">
      <c r="A3" t="s">
        <v>5752</v>
      </c>
      <c r="B3" t="s">
        <v>41</v>
      </c>
      <c r="C3" t="s">
        <v>5407</v>
      </c>
      <c r="D3">
        <v>1</v>
      </c>
      <c r="E3" t="s">
        <v>5753</v>
      </c>
      <c r="F3" t="s">
        <v>5754</v>
      </c>
      <c r="G3">
        <v>1</v>
      </c>
      <c r="H3" t="s">
        <v>5752</v>
      </c>
      <c r="I3" t="s">
        <v>90</v>
      </c>
      <c r="J3" t="s">
        <v>5755</v>
      </c>
    </row>
    <row r="4" spans="1:10" ht="15" customHeight="1" x14ac:dyDescent="0.25">
      <c r="A4" t="s">
        <v>5756</v>
      </c>
      <c r="B4" t="s">
        <v>3518</v>
      </c>
      <c r="C4" t="s">
        <v>5407</v>
      </c>
      <c r="D4">
        <v>0</v>
      </c>
      <c r="E4" t="s">
        <v>5757</v>
      </c>
      <c r="F4" t="s">
        <v>5758</v>
      </c>
      <c r="G4">
        <v>0</v>
      </c>
      <c r="H4" t="s">
        <v>5756</v>
      </c>
      <c r="I4" t="s">
        <v>90</v>
      </c>
      <c r="J4" t="s">
        <v>5759</v>
      </c>
    </row>
    <row r="5" spans="1:10" ht="15" customHeight="1" x14ac:dyDescent="0.25">
      <c r="A5" t="s">
        <v>5760</v>
      </c>
      <c r="B5" t="s">
        <v>3518</v>
      </c>
      <c r="C5" t="s">
        <v>4644</v>
      </c>
      <c r="D5">
        <v>1</v>
      </c>
      <c r="E5" t="s">
        <v>5761</v>
      </c>
      <c r="F5" t="s">
        <v>5762</v>
      </c>
      <c r="G5">
        <v>1</v>
      </c>
      <c r="H5" t="s">
        <v>5763</v>
      </c>
      <c r="I5" t="s">
        <v>90</v>
      </c>
      <c r="J5" t="s">
        <v>5764</v>
      </c>
    </row>
    <row r="6" spans="1:10" ht="15" customHeight="1" x14ac:dyDescent="0.25">
      <c r="A6" t="s">
        <v>5765</v>
      </c>
      <c r="B6" t="s">
        <v>3518</v>
      </c>
      <c r="C6" t="s">
        <v>5407</v>
      </c>
      <c r="D6">
        <v>1</v>
      </c>
      <c r="E6" t="s">
        <v>5766</v>
      </c>
      <c r="F6" t="s">
        <v>5766</v>
      </c>
      <c r="G6">
        <v>0</v>
      </c>
      <c r="H6" t="s">
        <v>5765</v>
      </c>
      <c r="I6" t="s">
        <v>90</v>
      </c>
      <c r="J6" t="s">
        <v>5767</v>
      </c>
    </row>
    <row r="7" spans="1:10" ht="15" customHeight="1" x14ac:dyDescent="0.25">
      <c r="A7" t="s">
        <v>5768</v>
      </c>
      <c r="B7" t="s">
        <v>3518</v>
      </c>
      <c r="C7" t="s">
        <v>5769</v>
      </c>
      <c r="D7">
        <v>2</v>
      </c>
      <c r="E7" t="s">
        <v>5770</v>
      </c>
      <c r="F7" t="s">
        <v>5771</v>
      </c>
      <c r="G7">
        <v>2</v>
      </c>
      <c r="H7" t="s">
        <v>5772</v>
      </c>
      <c r="I7" t="s">
        <v>90</v>
      </c>
      <c r="J7" t="s">
        <v>5773</v>
      </c>
    </row>
    <row r="8" spans="1:10" ht="15" customHeight="1" x14ac:dyDescent="0.25">
      <c r="A8" t="s">
        <v>5774</v>
      </c>
      <c r="B8" t="s">
        <v>3530</v>
      </c>
      <c r="C8" t="s">
        <v>5769</v>
      </c>
      <c r="D8">
        <v>1</v>
      </c>
      <c r="E8" t="s">
        <v>5775</v>
      </c>
      <c r="F8" t="s">
        <v>5776</v>
      </c>
      <c r="G8">
        <v>1</v>
      </c>
      <c r="H8" t="s">
        <v>5777</v>
      </c>
      <c r="I8" t="s">
        <v>90</v>
      </c>
      <c r="J8" t="s">
        <v>5778</v>
      </c>
    </row>
    <row r="9" spans="1:10" ht="15" customHeight="1" x14ac:dyDescent="0.25">
      <c r="A9" t="s">
        <v>5779</v>
      </c>
      <c r="B9" t="s">
        <v>41</v>
      </c>
      <c r="C9" t="s">
        <v>5769</v>
      </c>
      <c r="D9">
        <v>0</v>
      </c>
      <c r="E9" t="s">
        <v>5780</v>
      </c>
      <c r="F9" t="s">
        <v>5781</v>
      </c>
      <c r="G9">
        <v>0</v>
      </c>
      <c r="H9" t="s">
        <v>5779</v>
      </c>
      <c r="I9" t="s">
        <v>90</v>
      </c>
      <c r="J9" t="s">
        <v>5782</v>
      </c>
    </row>
    <row r="10" spans="1:10" ht="15" customHeight="1" x14ac:dyDescent="0.25">
      <c r="A10" t="s">
        <v>5783</v>
      </c>
      <c r="B10" t="s">
        <v>41</v>
      </c>
      <c r="C10" t="s">
        <v>5407</v>
      </c>
      <c r="D10">
        <v>1</v>
      </c>
      <c r="E10" t="s">
        <v>5784</v>
      </c>
      <c r="F10" t="s">
        <v>5785</v>
      </c>
      <c r="G10">
        <v>1</v>
      </c>
      <c r="H10" t="s">
        <v>5783</v>
      </c>
      <c r="I10" t="s">
        <v>90</v>
      </c>
      <c r="J10" t="s">
        <v>5786</v>
      </c>
    </row>
    <row r="11" spans="1:10" ht="15" customHeight="1" x14ac:dyDescent="0.25">
      <c r="A11" t="s">
        <v>5787</v>
      </c>
      <c r="B11" t="s">
        <v>41</v>
      </c>
      <c r="C11" t="s">
        <v>5407</v>
      </c>
      <c r="D11">
        <v>1</v>
      </c>
      <c r="E11" t="s">
        <v>5788</v>
      </c>
      <c r="F11" t="s">
        <v>5789</v>
      </c>
      <c r="G11">
        <v>1</v>
      </c>
      <c r="H11" t="s">
        <v>5787</v>
      </c>
      <c r="I11" t="s">
        <v>90</v>
      </c>
      <c r="J11" t="s">
        <v>5790</v>
      </c>
    </row>
    <row r="12" spans="1:10" ht="15" customHeight="1" x14ac:dyDescent="0.25">
      <c r="A12" t="s">
        <v>5791</v>
      </c>
      <c r="B12" t="s">
        <v>3530</v>
      </c>
      <c r="C12" t="s">
        <v>5769</v>
      </c>
      <c r="D12">
        <v>0</v>
      </c>
      <c r="E12" t="s">
        <v>5792</v>
      </c>
      <c r="F12" t="s">
        <v>5793</v>
      </c>
      <c r="G12">
        <v>0</v>
      </c>
      <c r="H12" t="s">
        <v>5791</v>
      </c>
      <c r="I12" t="s">
        <v>90</v>
      </c>
      <c r="J12" t="s">
        <v>5794</v>
      </c>
    </row>
    <row r="13" spans="1:10" ht="15" customHeight="1" x14ac:dyDescent="0.25">
      <c r="A13" t="s">
        <v>4474</v>
      </c>
      <c r="B13" t="s">
        <v>3530</v>
      </c>
      <c r="C13" t="s">
        <v>5407</v>
      </c>
      <c r="D13">
        <v>1</v>
      </c>
      <c r="E13" t="s">
        <v>5795</v>
      </c>
      <c r="F13" t="s">
        <v>5795</v>
      </c>
      <c r="G13">
        <v>1</v>
      </c>
      <c r="H13" t="s">
        <v>4479</v>
      </c>
      <c r="I13" t="s">
        <v>1650</v>
      </c>
      <c r="J13" t="s">
        <v>5796</v>
      </c>
    </row>
    <row r="14" spans="1:10" ht="15" customHeight="1" x14ac:dyDescent="0.25">
      <c r="A14" t="s">
        <v>5797</v>
      </c>
      <c r="B14" t="s">
        <v>41</v>
      </c>
      <c r="C14" t="s">
        <v>5769</v>
      </c>
      <c r="D14">
        <v>1</v>
      </c>
      <c r="E14" t="s">
        <v>5798</v>
      </c>
      <c r="F14" t="s">
        <v>5799</v>
      </c>
      <c r="G14">
        <v>1</v>
      </c>
      <c r="H14" t="s">
        <v>5797</v>
      </c>
      <c r="I14" t="s">
        <v>90</v>
      </c>
      <c r="J14" t="s">
        <v>5800</v>
      </c>
    </row>
    <row r="15" spans="1:10" ht="15" customHeight="1" x14ac:dyDescent="0.25">
      <c r="A15" t="s">
        <v>4485</v>
      </c>
      <c r="B15" t="s">
        <v>3530</v>
      </c>
      <c r="C15" t="s">
        <v>5769</v>
      </c>
      <c r="D15">
        <v>1</v>
      </c>
      <c r="E15" t="s">
        <v>5801</v>
      </c>
      <c r="F15" t="s">
        <v>5801</v>
      </c>
      <c r="G15">
        <v>1</v>
      </c>
      <c r="H15" t="s">
        <v>4485</v>
      </c>
      <c r="I15" t="s">
        <v>1047</v>
      </c>
      <c r="J15" t="s">
        <v>5802</v>
      </c>
    </row>
    <row r="16" spans="1:10" ht="15" customHeight="1" x14ac:dyDescent="0.25">
      <c r="A16" t="s">
        <v>3537</v>
      </c>
      <c r="B16" t="s">
        <v>3518</v>
      </c>
      <c r="C16" t="s">
        <v>4644</v>
      </c>
      <c r="D16">
        <v>3</v>
      </c>
      <c r="E16" t="s">
        <v>5803</v>
      </c>
      <c r="F16" t="s">
        <v>5803</v>
      </c>
      <c r="G16">
        <v>2</v>
      </c>
      <c r="H16" t="s">
        <v>3537</v>
      </c>
      <c r="I16" t="s">
        <v>90</v>
      </c>
      <c r="J16" t="s">
        <v>5786</v>
      </c>
    </row>
    <row r="17" spans="1:10" ht="15" customHeight="1" x14ac:dyDescent="0.25">
      <c r="A17" t="s">
        <v>3451</v>
      </c>
      <c r="B17" t="s">
        <v>3563</v>
      </c>
      <c r="C17" t="s">
        <v>5769</v>
      </c>
      <c r="D17">
        <v>2</v>
      </c>
      <c r="E17" t="s">
        <v>5804</v>
      </c>
      <c r="F17" t="s">
        <v>5805</v>
      </c>
      <c r="G17">
        <v>2</v>
      </c>
      <c r="H17" t="s">
        <v>3451</v>
      </c>
      <c r="I17" t="s">
        <v>90</v>
      </c>
      <c r="J17" t="s">
        <v>5782</v>
      </c>
    </row>
    <row r="18" spans="1:10" ht="15" customHeight="1" x14ac:dyDescent="0.25">
      <c r="A18" t="s">
        <v>5806</v>
      </c>
      <c r="B18" t="s">
        <v>3530</v>
      </c>
      <c r="C18" t="s">
        <v>5407</v>
      </c>
      <c r="D18">
        <v>0</v>
      </c>
      <c r="E18" t="s">
        <v>5807</v>
      </c>
      <c r="F18" t="s">
        <v>5808</v>
      </c>
      <c r="G18">
        <v>0</v>
      </c>
      <c r="H18" t="s">
        <v>5809</v>
      </c>
      <c r="I18" t="s">
        <v>90</v>
      </c>
      <c r="J18" t="s">
        <v>5810</v>
      </c>
    </row>
    <row r="19" spans="1:10" ht="15" customHeight="1" x14ac:dyDescent="0.25">
      <c r="A19" t="s">
        <v>5811</v>
      </c>
      <c r="B19" t="s">
        <v>41</v>
      </c>
      <c r="C19" t="s">
        <v>5769</v>
      </c>
      <c r="D19">
        <v>0</v>
      </c>
      <c r="E19" t="s">
        <v>5812</v>
      </c>
      <c r="F19" t="s">
        <v>5813</v>
      </c>
      <c r="G19">
        <v>0</v>
      </c>
      <c r="H19" t="s">
        <v>5814</v>
      </c>
      <c r="I19" t="s">
        <v>90</v>
      </c>
      <c r="J19" t="s">
        <v>5815</v>
      </c>
    </row>
    <row r="20" spans="1:10" ht="15" customHeight="1" x14ac:dyDescent="0.25">
      <c r="A20" t="s">
        <v>5816</v>
      </c>
      <c r="B20" t="s">
        <v>3518</v>
      </c>
      <c r="C20" t="s">
        <v>4644</v>
      </c>
      <c r="D20">
        <v>0</v>
      </c>
      <c r="E20" t="s">
        <v>5817</v>
      </c>
      <c r="F20" t="s">
        <v>5818</v>
      </c>
      <c r="G20">
        <v>0</v>
      </c>
      <c r="H20" t="s">
        <v>5816</v>
      </c>
      <c r="I20" t="s">
        <v>90</v>
      </c>
      <c r="J20" t="s">
        <v>5819</v>
      </c>
    </row>
    <row r="21" spans="1:10" ht="15" customHeight="1" x14ac:dyDescent="0.25">
      <c r="A21" t="s">
        <v>5820</v>
      </c>
      <c r="B21" t="s">
        <v>41</v>
      </c>
      <c r="C21" t="s">
        <v>5407</v>
      </c>
      <c r="D21">
        <v>1</v>
      </c>
      <c r="E21" t="s">
        <v>5821</v>
      </c>
      <c r="F21" t="s">
        <v>5822</v>
      </c>
      <c r="G21">
        <v>1</v>
      </c>
      <c r="H21" t="s">
        <v>5823</v>
      </c>
      <c r="I21" t="s">
        <v>90</v>
      </c>
      <c r="J21" t="s">
        <v>5824</v>
      </c>
    </row>
    <row r="22" spans="1:10" ht="15" customHeight="1" x14ac:dyDescent="0.25">
      <c r="A22" t="s">
        <v>4512</v>
      </c>
      <c r="B22" t="s">
        <v>41</v>
      </c>
      <c r="C22" t="s">
        <v>5769</v>
      </c>
      <c r="D22">
        <v>1</v>
      </c>
      <c r="E22" t="s">
        <v>5825</v>
      </c>
      <c r="F22" t="s">
        <v>5825</v>
      </c>
      <c r="G22">
        <v>1</v>
      </c>
      <c r="H22" t="s">
        <v>4515</v>
      </c>
      <c r="I22" t="s">
        <v>1105</v>
      </c>
      <c r="J22" t="s">
        <v>5802</v>
      </c>
    </row>
    <row r="23" spans="1:10" ht="15" customHeight="1" x14ac:dyDescent="0.25">
      <c r="A23" t="s">
        <v>5826</v>
      </c>
      <c r="B23" t="s">
        <v>3530</v>
      </c>
      <c r="C23" t="s">
        <v>5769</v>
      </c>
      <c r="D23">
        <v>4</v>
      </c>
      <c r="E23" t="s">
        <v>5827</v>
      </c>
      <c r="F23" t="s">
        <v>5828</v>
      </c>
      <c r="G23">
        <v>3</v>
      </c>
      <c r="H23" t="s">
        <v>5829</v>
      </c>
      <c r="I23" t="s">
        <v>90</v>
      </c>
      <c r="J23" t="s">
        <v>5810</v>
      </c>
    </row>
    <row r="24" spans="1:10" ht="15" customHeight="1" x14ac:dyDescent="0.25">
      <c r="A24" t="s">
        <v>4516</v>
      </c>
      <c r="B24" t="s">
        <v>3518</v>
      </c>
      <c r="C24" t="s">
        <v>5769</v>
      </c>
      <c r="D24">
        <v>1</v>
      </c>
      <c r="E24" t="s">
        <v>5830</v>
      </c>
      <c r="F24" t="s">
        <v>5830</v>
      </c>
      <c r="G24">
        <v>1</v>
      </c>
      <c r="H24" t="s">
        <v>4519</v>
      </c>
      <c r="I24" t="s">
        <v>1622</v>
      </c>
      <c r="J24" t="s">
        <v>5802</v>
      </c>
    </row>
    <row r="25" spans="1:10" ht="15" customHeight="1" x14ac:dyDescent="0.25">
      <c r="A25" t="s">
        <v>5831</v>
      </c>
      <c r="B25" t="s">
        <v>3530</v>
      </c>
      <c r="C25" t="s">
        <v>5407</v>
      </c>
      <c r="D25">
        <v>0</v>
      </c>
      <c r="E25" t="s">
        <v>5832</v>
      </c>
      <c r="F25" t="s">
        <v>5833</v>
      </c>
      <c r="G25">
        <v>0</v>
      </c>
      <c r="H25" t="s">
        <v>5831</v>
      </c>
      <c r="I25" t="s">
        <v>90</v>
      </c>
      <c r="J25" t="s">
        <v>5819</v>
      </c>
    </row>
    <row r="26" spans="1:10" ht="15" customHeight="1" x14ac:dyDescent="0.25">
      <c r="A26" t="s">
        <v>5834</v>
      </c>
      <c r="B26" t="s">
        <v>3518</v>
      </c>
      <c r="C26" t="s">
        <v>5769</v>
      </c>
      <c r="D26">
        <v>3</v>
      </c>
      <c r="E26" t="s">
        <v>5835</v>
      </c>
      <c r="F26" t="s">
        <v>5836</v>
      </c>
      <c r="G26">
        <v>3</v>
      </c>
      <c r="H26" t="s">
        <v>5834</v>
      </c>
      <c r="I26" t="s">
        <v>90</v>
      </c>
      <c r="J26" t="s">
        <v>5782</v>
      </c>
    </row>
    <row r="27" spans="1:10" ht="15" customHeight="1" x14ac:dyDescent="0.25">
      <c r="A27" t="s">
        <v>5837</v>
      </c>
      <c r="B27" t="s">
        <v>4344</v>
      </c>
      <c r="C27" t="s">
        <v>3674</v>
      </c>
      <c r="D27">
        <v>1</v>
      </c>
      <c r="E27" t="s">
        <v>5838</v>
      </c>
      <c r="F27" t="s">
        <v>3467</v>
      </c>
      <c r="G27" t="s">
        <v>3467</v>
      </c>
      <c r="H27" t="s">
        <v>5839</v>
      </c>
      <c r="I27" t="s">
        <v>501</v>
      </c>
      <c r="J27" t="s">
        <v>5840</v>
      </c>
    </row>
    <row r="28" spans="1:10" ht="15" customHeight="1" x14ac:dyDescent="0.25">
      <c r="A28" t="s">
        <v>5207</v>
      </c>
      <c r="B28" t="s">
        <v>3530</v>
      </c>
      <c r="C28" t="s">
        <v>5407</v>
      </c>
      <c r="D28">
        <v>1</v>
      </c>
      <c r="E28" t="s">
        <v>5841</v>
      </c>
      <c r="F28" t="s">
        <v>5842</v>
      </c>
      <c r="G28">
        <v>1</v>
      </c>
      <c r="H28" t="s">
        <v>5207</v>
      </c>
      <c r="I28" t="s">
        <v>90</v>
      </c>
      <c r="J28" t="s">
        <v>5764</v>
      </c>
    </row>
    <row r="29" spans="1:10" ht="15" customHeight="1" x14ac:dyDescent="0.25">
      <c r="A29" t="s">
        <v>5843</v>
      </c>
      <c r="B29" t="s">
        <v>41</v>
      </c>
      <c r="C29" t="s">
        <v>5769</v>
      </c>
      <c r="D29">
        <v>1</v>
      </c>
      <c r="E29" t="s">
        <v>5844</v>
      </c>
      <c r="F29" t="s">
        <v>5844</v>
      </c>
      <c r="G29">
        <v>0</v>
      </c>
      <c r="H29" t="s">
        <v>5845</v>
      </c>
      <c r="I29" t="s">
        <v>90</v>
      </c>
      <c r="J29" t="s">
        <v>5782</v>
      </c>
    </row>
    <row r="30" spans="1:10" ht="15" customHeight="1" x14ac:dyDescent="0.25">
      <c r="A30" t="s">
        <v>5846</v>
      </c>
      <c r="B30" t="s">
        <v>3530</v>
      </c>
      <c r="C30" t="s">
        <v>5407</v>
      </c>
      <c r="D30">
        <v>0</v>
      </c>
      <c r="E30" t="s">
        <v>5847</v>
      </c>
      <c r="F30" t="s">
        <v>5848</v>
      </c>
      <c r="G30">
        <v>0</v>
      </c>
      <c r="H30" t="s">
        <v>5849</v>
      </c>
      <c r="I30" t="s">
        <v>90</v>
      </c>
      <c r="J30" t="s">
        <v>5850</v>
      </c>
    </row>
    <row r="31" spans="1:10" ht="15" customHeight="1" x14ac:dyDescent="0.25">
      <c r="A31" t="s">
        <v>5851</v>
      </c>
      <c r="B31" t="s">
        <v>3530</v>
      </c>
      <c r="C31" t="s">
        <v>5852</v>
      </c>
      <c r="D31">
        <v>3</v>
      </c>
      <c r="E31" t="s">
        <v>5853</v>
      </c>
      <c r="F31" t="s">
        <v>5854</v>
      </c>
      <c r="G31">
        <v>3</v>
      </c>
      <c r="H31" t="s">
        <v>5855</v>
      </c>
      <c r="I31" t="s">
        <v>1673</v>
      </c>
    </row>
    <row r="32" spans="1:10" ht="15" customHeight="1" x14ac:dyDescent="0.25">
      <c r="A32" t="s">
        <v>5856</v>
      </c>
      <c r="B32" t="s">
        <v>3530</v>
      </c>
      <c r="C32" t="s">
        <v>5407</v>
      </c>
      <c r="D32">
        <v>2</v>
      </c>
      <c r="E32" t="s">
        <v>5857</v>
      </c>
      <c r="F32" t="s">
        <v>5858</v>
      </c>
      <c r="G32">
        <v>2</v>
      </c>
      <c r="H32" t="s">
        <v>5859</v>
      </c>
      <c r="I32" t="s">
        <v>90</v>
      </c>
      <c r="J32" t="s">
        <v>5860</v>
      </c>
    </row>
    <row r="33" spans="1:10" ht="15" customHeight="1" x14ac:dyDescent="0.25">
      <c r="A33" t="s">
        <v>5861</v>
      </c>
      <c r="B33" t="s">
        <v>3518</v>
      </c>
      <c r="C33" t="s">
        <v>4644</v>
      </c>
      <c r="D33">
        <v>0</v>
      </c>
      <c r="E33" t="s">
        <v>5862</v>
      </c>
      <c r="F33" t="s">
        <v>5863</v>
      </c>
      <c r="G33">
        <v>0</v>
      </c>
      <c r="H33" t="s">
        <v>5861</v>
      </c>
      <c r="I33" t="s">
        <v>90</v>
      </c>
      <c r="J33" t="s">
        <v>5810</v>
      </c>
    </row>
    <row r="34" spans="1:10" ht="15" customHeight="1" x14ac:dyDescent="0.25">
      <c r="A34" t="s">
        <v>5213</v>
      </c>
      <c r="B34" t="s">
        <v>3518</v>
      </c>
      <c r="C34" t="s">
        <v>4644</v>
      </c>
      <c r="D34">
        <v>2</v>
      </c>
      <c r="E34" t="s">
        <v>5864</v>
      </c>
      <c r="F34" t="s">
        <v>5865</v>
      </c>
      <c r="G34">
        <v>2</v>
      </c>
      <c r="H34" t="s">
        <v>5213</v>
      </c>
      <c r="I34" t="s">
        <v>90</v>
      </c>
      <c r="J34" t="s">
        <v>5866</v>
      </c>
    </row>
    <row r="35" spans="1:10" ht="15" customHeight="1" x14ac:dyDescent="0.25">
      <c r="A35" t="s">
        <v>5867</v>
      </c>
      <c r="B35" t="s">
        <v>3518</v>
      </c>
      <c r="C35" t="s">
        <v>5407</v>
      </c>
      <c r="D35">
        <v>3</v>
      </c>
      <c r="E35" t="s">
        <v>5868</v>
      </c>
      <c r="F35" t="s">
        <v>5868</v>
      </c>
      <c r="G35">
        <v>2</v>
      </c>
      <c r="H35" t="s">
        <v>5869</v>
      </c>
      <c r="I35" t="s">
        <v>90</v>
      </c>
      <c r="J35" t="s">
        <v>5870</v>
      </c>
    </row>
    <row r="36" spans="1:10" ht="15" customHeight="1" x14ac:dyDescent="0.25">
      <c r="A36" t="s">
        <v>4040</v>
      </c>
      <c r="B36" t="s">
        <v>4344</v>
      </c>
      <c r="C36" t="s">
        <v>3674</v>
      </c>
      <c r="D36" t="s">
        <v>4035</v>
      </c>
      <c r="E36" t="s">
        <v>5871</v>
      </c>
      <c r="F36" t="s">
        <v>5872</v>
      </c>
      <c r="G36" t="s">
        <v>4035</v>
      </c>
      <c r="H36" t="s">
        <v>4040</v>
      </c>
      <c r="I36" t="s">
        <v>90</v>
      </c>
    </row>
    <row r="37" spans="1:10" ht="15" customHeight="1" x14ac:dyDescent="0.25">
      <c r="A37" t="s">
        <v>5873</v>
      </c>
      <c r="B37" t="s">
        <v>3530</v>
      </c>
      <c r="C37" t="s">
        <v>5407</v>
      </c>
      <c r="D37">
        <v>1</v>
      </c>
      <c r="E37" t="s">
        <v>5874</v>
      </c>
      <c r="F37" t="s">
        <v>5875</v>
      </c>
      <c r="G37">
        <v>1</v>
      </c>
      <c r="H37" t="s">
        <v>5876</v>
      </c>
      <c r="I37" t="s">
        <v>90</v>
      </c>
      <c r="J37" t="s">
        <v>5877</v>
      </c>
    </row>
    <row r="38" spans="1:10" ht="15" customHeight="1" x14ac:dyDescent="0.25">
      <c r="A38" t="s">
        <v>5217</v>
      </c>
      <c r="B38" t="s">
        <v>3518</v>
      </c>
      <c r="C38" t="s">
        <v>5407</v>
      </c>
      <c r="D38">
        <v>1</v>
      </c>
      <c r="E38" t="s">
        <v>5878</v>
      </c>
      <c r="F38" t="s">
        <v>5879</v>
      </c>
      <c r="G38">
        <v>1</v>
      </c>
      <c r="H38" t="s">
        <v>5217</v>
      </c>
      <c r="I38" t="s">
        <v>90</v>
      </c>
      <c r="J38" t="s">
        <v>5870</v>
      </c>
    </row>
    <row r="39" spans="1:10" ht="15" customHeight="1" x14ac:dyDescent="0.25">
      <c r="A39" t="s">
        <v>5880</v>
      </c>
      <c r="B39" t="s">
        <v>3530</v>
      </c>
      <c r="C39" t="s">
        <v>5407</v>
      </c>
      <c r="D39">
        <v>0</v>
      </c>
      <c r="E39" t="s">
        <v>5881</v>
      </c>
      <c r="F39" t="s">
        <v>5882</v>
      </c>
      <c r="G39">
        <v>0</v>
      </c>
      <c r="H39" t="s">
        <v>5883</v>
      </c>
      <c r="I39" t="s">
        <v>90</v>
      </c>
      <c r="J39" t="s">
        <v>5884</v>
      </c>
    </row>
    <row r="40" spans="1:10" ht="15" customHeight="1" x14ac:dyDescent="0.25">
      <c r="A40" t="s">
        <v>5885</v>
      </c>
      <c r="B40" t="s">
        <v>3530</v>
      </c>
      <c r="C40" t="s">
        <v>4644</v>
      </c>
      <c r="D40">
        <v>1</v>
      </c>
      <c r="E40" t="s">
        <v>5716</v>
      </c>
      <c r="F40" t="s">
        <v>5886</v>
      </c>
      <c r="G40">
        <v>1</v>
      </c>
      <c r="H40" t="s">
        <v>5885</v>
      </c>
      <c r="I40" t="s">
        <v>90</v>
      </c>
      <c r="J40" t="s">
        <v>5764</v>
      </c>
    </row>
    <row r="41" spans="1:10" ht="15" customHeight="1" x14ac:dyDescent="0.25">
      <c r="A41" t="s">
        <v>5887</v>
      </c>
      <c r="B41" t="s">
        <v>3530</v>
      </c>
      <c r="C41" t="s">
        <v>5769</v>
      </c>
      <c r="D41">
        <v>2</v>
      </c>
      <c r="E41" t="s">
        <v>5888</v>
      </c>
      <c r="F41" t="s">
        <v>5889</v>
      </c>
      <c r="G41">
        <v>2</v>
      </c>
      <c r="H41" t="s">
        <v>5887</v>
      </c>
      <c r="I41" t="s">
        <v>90</v>
      </c>
      <c r="J41" t="s">
        <v>5782</v>
      </c>
    </row>
    <row r="42" spans="1:10" ht="15" customHeight="1" x14ac:dyDescent="0.25">
      <c r="A42" t="s">
        <v>5890</v>
      </c>
      <c r="B42" t="s">
        <v>3530</v>
      </c>
      <c r="C42" t="s">
        <v>5407</v>
      </c>
      <c r="D42">
        <v>1</v>
      </c>
      <c r="E42" t="s">
        <v>5891</v>
      </c>
      <c r="F42" t="s">
        <v>5892</v>
      </c>
      <c r="G42">
        <v>1</v>
      </c>
      <c r="H42" t="s">
        <v>5890</v>
      </c>
      <c r="I42" t="s">
        <v>90</v>
      </c>
      <c r="J42" t="s">
        <v>5860</v>
      </c>
    </row>
    <row r="43" spans="1:10" ht="15" customHeight="1" x14ac:dyDescent="0.25">
      <c r="A43" t="s">
        <v>5893</v>
      </c>
      <c r="B43" t="s">
        <v>3530</v>
      </c>
      <c r="C43" t="s">
        <v>5769</v>
      </c>
      <c r="D43">
        <v>2</v>
      </c>
      <c r="E43" t="s">
        <v>5894</v>
      </c>
      <c r="F43" t="s">
        <v>5895</v>
      </c>
      <c r="G43">
        <v>2</v>
      </c>
      <c r="H43" t="s">
        <v>5893</v>
      </c>
      <c r="I43" t="s">
        <v>90</v>
      </c>
      <c r="J43" t="s">
        <v>5896</v>
      </c>
    </row>
    <row r="44" spans="1:10" ht="15" customHeight="1" x14ac:dyDescent="0.25">
      <c r="A44" t="s">
        <v>5897</v>
      </c>
      <c r="B44" t="s">
        <v>41</v>
      </c>
      <c r="C44" t="s">
        <v>5769</v>
      </c>
      <c r="D44">
        <v>0</v>
      </c>
      <c r="E44" t="s">
        <v>5898</v>
      </c>
      <c r="F44" t="s">
        <v>5899</v>
      </c>
      <c r="G44">
        <v>0</v>
      </c>
      <c r="H44" t="s">
        <v>5897</v>
      </c>
      <c r="I44" t="s">
        <v>90</v>
      </c>
      <c r="J44" t="s">
        <v>5782</v>
      </c>
    </row>
    <row r="45" spans="1:10" ht="15" customHeight="1" x14ac:dyDescent="0.25">
      <c r="A45" t="s">
        <v>5900</v>
      </c>
      <c r="B45" t="s">
        <v>41</v>
      </c>
      <c r="C45" t="s">
        <v>5769</v>
      </c>
      <c r="D45">
        <v>0</v>
      </c>
      <c r="E45" t="s">
        <v>5901</v>
      </c>
      <c r="F45" t="s">
        <v>5902</v>
      </c>
      <c r="G45">
        <v>0</v>
      </c>
      <c r="H45" t="s">
        <v>5900</v>
      </c>
      <c r="I45" t="s">
        <v>90</v>
      </c>
      <c r="J45" t="s">
        <v>5903</v>
      </c>
    </row>
    <row r="46" spans="1:10" ht="15" customHeight="1" x14ac:dyDescent="0.25">
      <c r="A46" t="s">
        <v>5457</v>
      </c>
      <c r="B46" t="s">
        <v>41</v>
      </c>
      <c r="C46" t="s">
        <v>5769</v>
      </c>
      <c r="D46">
        <v>1</v>
      </c>
      <c r="E46" t="s">
        <v>5904</v>
      </c>
      <c r="F46" t="s">
        <v>5905</v>
      </c>
      <c r="G46">
        <v>1</v>
      </c>
      <c r="H46" t="s">
        <v>5457</v>
      </c>
      <c r="I46" t="s">
        <v>90</v>
      </c>
      <c r="J46" t="s">
        <v>5906</v>
      </c>
    </row>
    <row r="47" spans="1:10" ht="15" customHeight="1" x14ac:dyDescent="0.25">
      <c r="A47" t="s">
        <v>5907</v>
      </c>
      <c r="B47" t="s">
        <v>41</v>
      </c>
      <c r="C47" t="s">
        <v>5407</v>
      </c>
      <c r="D47">
        <v>1</v>
      </c>
      <c r="E47" t="s">
        <v>5908</v>
      </c>
      <c r="F47" t="s">
        <v>5909</v>
      </c>
      <c r="G47">
        <v>1</v>
      </c>
      <c r="H47" t="s">
        <v>5910</v>
      </c>
      <c r="I47" t="s">
        <v>90</v>
      </c>
      <c r="J47" t="s">
        <v>5764</v>
      </c>
    </row>
    <row r="48" spans="1:10" ht="15" customHeight="1" x14ac:dyDescent="0.25">
      <c r="A48" t="s">
        <v>5911</v>
      </c>
      <c r="B48" t="s">
        <v>41</v>
      </c>
      <c r="C48" t="s">
        <v>5769</v>
      </c>
      <c r="D48">
        <v>2</v>
      </c>
      <c r="E48" t="s">
        <v>5912</v>
      </c>
      <c r="F48" t="s">
        <v>5913</v>
      </c>
      <c r="G48">
        <v>2</v>
      </c>
      <c r="H48" t="s">
        <v>5911</v>
      </c>
      <c r="I48" t="s">
        <v>90</v>
      </c>
      <c r="J48" t="s">
        <v>5914</v>
      </c>
    </row>
    <row r="49" spans="1:10" ht="15" customHeight="1" x14ac:dyDescent="0.25">
      <c r="A49" t="s">
        <v>5915</v>
      </c>
      <c r="B49" t="s">
        <v>4344</v>
      </c>
      <c r="C49" t="s">
        <v>4291</v>
      </c>
      <c r="D49" t="s">
        <v>4035</v>
      </c>
      <c r="E49" t="s">
        <v>5916</v>
      </c>
      <c r="F49" t="s">
        <v>3467</v>
      </c>
      <c r="G49" t="s">
        <v>3467</v>
      </c>
      <c r="H49" t="s">
        <v>5915</v>
      </c>
      <c r="I49" t="s">
        <v>90</v>
      </c>
      <c r="J49" t="s">
        <v>5917</v>
      </c>
    </row>
    <row r="50" spans="1:10" ht="15" customHeight="1" x14ac:dyDescent="0.25">
      <c r="A50" t="s">
        <v>5915</v>
      </c>
      <c r="B50" t="s">
        <v>41</v>
      </c>
      <c r="C50" t="s">
        <v>5488</v>
      </c>
      <c r="D50">
        <v>1</v>
      </c>
      <c r="E50" t="s">
        <v>5918</v>
      </c>
      <c r="F50" t="s">
        <v>5919</v>
      </c>
      <c r="G50">
        <v>1</v>
      </c>
      <c r="H50" t="s">
        <v>5915</v>
      </c>
      <c r="I50" t="s">
        <v>5920</v>
      </c>
      <c r="J50" t="s">
        <v>5921</v>
      </c>
    </row>
    <row r="51" spans="1:10" ht="15" customHeight="1" x14ac:dyDescent="0.25">
      <c r="A51" t="s">
        <v>5922</v>
      </c>
      <c r="B51" t="s">
        <v>3530</v>
      </c>
      <c r="C51" t="s">
        <v>4644</v>
      </c>
      <c r="D51">
        <v>1</v>
      </c>
      <c r="E51" t="s">
        <v>5923</v>
      </c>
      <c r="F51" t="s">
        <v>5924</v>
      </c>
      <c r="G51">
        <v>1</v>
      </c>
      <c r="H51" t="s">
        <v>5922</v>
      </c>
      <c r="I51" t="s">
        <v>90</v>
      </c>
      <c r="J51" t="s">
        <v>5782</v>
      </c>
    </row>
    <row r="52" spans="1:10" ht="15" customHeight="1" x14ac:dyDescent="0.25">
      <c r="A52" t="s">
        <v>5925</v>
      </c>
      <c r="B52" t="s">
        <v>3530</v>
      </c>
      <c r="C52" t="s">
        <v>5407</v>
      </c>
      <c r="D52">
        <v>0</v>
      </c>
      <c r="E52" t="s">
        <v>5926</v>
      </c>
      <c r="F52" t="s">
        <v>5927</v>
      </c>
      <c r="G52">
        <v>0</v>
      </c>
      <c r="H52" t="s">
        <v>5925</v>
      </c>
      <c r="I52" t="s">
        <v>90</v>
      </c>
      <c r="J52" t="s">
        <v>5928</v>
      </c>
    </row>
    <row r="53" spans="1:10" ht="15" customHeight="1" x14ac:dyDescent="0.25">
      <c r="A53" t="s">
        <v>5226</v>
      </c>
      <c r="B53" t="s">
        <v>3518</v>
      </c>
      <c r="C53" t="s">
        <v>5407</v>
      </c>
      <c r="D53">
        <v>2</v>
      </c>
      <c r="E53" t="s">
        <v>5929</v>
      </c>
      <c r="F53" t="s">
        <v>5930</v>
      </c>
      <c r="G53">
        <v>2</v>
      </c>
      <c r="H53" t="s">
        <v>5228</v>
      </c>
      <c r="I53" t="s">
        <v>90</v>
      </c>
      <c r="J53" t="s">
        <v>5931</v>
      </c>
    </row>
    <row r="54" spans="1:10" ht="15" customHeight="1" x14ac:dyDescent="0.25">
      <c r="A54" t="s">
        <v>5932</v>
      </c>
      <c r="B54" t="s">
        <v>3518</v>
      </c>
      <c r="C54" t="s">
        <v>4644</v>
      </c>
      <c r="D54">
        <v>3</v>
      </c>
      <c r="E54" t="s">
        <v>5933</v>
      </c>
      <c r="F54" t="s">
        <v>5933</v>
      </c>
      <c r="G54">
        <v>2</v>
      </c>
      <c r="H54" t="s">
        <v>5932</v>
      </c>
      <c r="I54" t="s">
        <v>90</v>
      </c>
      <c r="J54" t="s">
        <v>5819</v>
      </c>
    </row>
    <row r="55" spans="1:10" ht="15" customHeight="1" x14ac:dyDescent="0.25">
      <c r="A55" t="s">
        <v>5934</v>
      </c>
      <c r="B55" t="s">
        <v>3530</v>
      </c>
      <c r="C55" t="s">
        <v>5407</v>
      </c>
      <c r="D55">
        <v>2</v>
      </c>
      <c r="E55" t="s">
        <v>5935</v>
      </c>
      <c r="F55" t="s">
        <v>5936</v>
      </c>
      <c r="G55">
        <v>2</v>
      </c>
      <c r="H55" t="s">
        <v>5937</v>
      </c>
      <c r="I55" t="s">
        <v>90</v>
      </c>
      <c r="J55" t="s">
        <v>5931</v>
      </c>
    </row>
    <row r="56" spans="1:10" ht="15" customHeight="1" x14ac:dyDescent="0.25">
      <c r="A56" t="s">
        <v>5938</v>
      </c>
      <c r="B56" t="s">
        <v>3518</v>
      </c>
      <c r="C56" t="s">
        <v>5488</v>
      </c>
      <c r="D56">
        <v>1</v>
      </c>
      <c r="E56" t="s">
        <v>5918</v>
      </c>
      <c r="F56" t="s">
        <v>5919</v>
      </c>
      <c r="G56">
        <v>1</v>
      </c>
      <c r="H56" t="s">
        <v>5938</v>
      </c>
      <c r="I56" t="s">
        <v>5920</v>
      </c>
      <c r="J56" t="s">
        <v>5921</v>
      </c>
    </row>
    <row r="57" spans="1:10" ht="15" customHeight="1" x14ac:dyDescent="0.25">
      <c r="A57" t="s">
        <v>5939</v>
      </c>
      <c r="B57" t="s">
        <v>41</v>
      </c>
      <c r="C57" t="s">
        <v>5769</v>
      </c>
      <c r="D57">
        <v>1</v>
      </c>
      <c r="E57" t="s">
        <v>5940</v>
      </c>
      <c r="F57" t="s">
        <v>5941</v>
      </c>
      <c r="G57">
        <v>1</v>
      </c>
      <c r="H57" t="s">
        <v>5942</v>
      </c>
      <c r="I57" t="s">
        <v>90</v>
      </c>
      <c r="J57" t="s">
        <v>5943</v>
      </c>
    </row>
    <row r="58" spans="1:10" ht="15" customHeight="1" x14ac:dyDescent="0.25">
      <c r="A58" t="s">
        <v>5944</v>
      </c>
      <c r="B58" t="s">
        <v>41</v>
      </c>
      <c r="C58" t="s">
        <v>5769</v>
      </c>
      <c r="D58">
        <v>1</v>
      </c>
      <c r="E58" t="s">
        <v>5945</v>
      </c>
      <c r="F58" t="s">
        <v>5946</v>
      </c>
      <c r="G58">
        <v>1</v>
      </c>
      <c r="H58" t="s">
        <v>5947</v>
      </c>
      <c r="I58" t="s">
        <v>90</v>
      </c>
      <c r="J58" t="s">
        <v>5948</v>
      </c>
    </row>
    <row r="59" spans="1:10" ht="15" customHeight="1" x14ac:dyDescent="0.25">
      <c r="A59" t="s">
        <v>5949</v>
      </c>
      <c r="B59" t="s">
        <v>3530</v>
      </c>
      <c r="C59" t="s">
        <v>4644</v>
      </c>
      <c r="D59">
        <v>2</v>
      </c>
      <c r="E59" t="s">
        <v>5950</v>
      </c>
      <c r="F59" t="s">
        <v>5950</v>
      </c>
      <c r="G59">
        <v>1</v>
      </c>
      <c r="H59" t="s">
        <v>5951</v>
      </c>
      <c r="I59" t="s">
        <v>90</v>
      </c>
      <c r="J59" t="s">
        <v>5877</v>
      </c>
    </row>
    <row r="60" spans="1:10" ht="15" customHeight="1" x14ac:dyDescent="0.25">
      <c r="A60" t="s">
        <v>3452</v>
      </c>
      <c r="B60" t="s">
        <v>3530</v>
      </c>
      <c r="C60" t="s">
        <v>5769</v>
      </c>
      <c r="D60">
        <v>2</v>
      </c>
      <c r="E60" t="s">
        <v>5952</v>
      </c>
      <c r="F60" t="s">
        <v>5953</v>
      </c>
      <c r="G60">
        <v>2</v>
      </c>
      <c r="H60" t="s">
        <v>3452</v>
      </c>
      <c r="I60" t="s">
        <v>90</v>
      </c>
      <c r="J60" t="s">
        <v>5954</v>
      </c>
    </row>
    <row r="61" spans="1:10" ht="15" customHeight="1" x14ac:dyDescent="0.25">
      <c r="A61" t="s">
        <v>5955</v>
      </c>
      <c r="B61" t="s">
        <v>4344</v>
      </c>
      <c r="C61" t="s">
        <v>3674</v>
      </c>
      <c r="D61" t="s">
        <v>4035</v>
      </c>
      <c r="E61" t="s">
        <v>5956</v>
      </c>
      <c r="F61" t="s">
        <v>3467</v>
      </c>
      <c r="G61" t="s">
        <v>4035</v>
      </c>
      <c r="H61" t="s">
        <v>5955</v>
      </c>
      <c r="I61" t="s">
        <v>90</v>
      </c>
    </row>
    <row r="62" spans="1:10" ht="15" customHeight="1" x14ac:dyDescent="0.25">
      <c r="A62" t="s">
        <v>5957</v>
      </c>
      <c r="B62" t="s">
        <v>41</v>
      </c>
      <c r="C62" t="s">
        <v>5407</v>
      </c>
      <c r="D62">
        <v>1</v>
      </c>
      <c r="E62" t="s">
        <v>5958</v>
      </c>
      <c r="F62" t="s">
        <v>5959</v>
      </c>
      <c r="G62">
        <v>1</v>
      </c>
      <c r="H62" t="s">
        <v>5960</v>
      </c>
      <c r="I62" t="s">
        <v>90</v>
      </c>
      <c r="J62" t="s">
        <v>5860</v>
      </c>
    </row>
    <row r="63" spans="1:10" ht="15" customHeight="1" x14ac:dyDescent="0.25">
      <c r="A63" t="s">
        <v>4305</v>
      </c>
      <c r="B63" t="s">
        <v>4344</v>
      </c>
      <c r="C63" t="s">
        <v>4291</v>
      </c>
      <c r="D63" t="s">
        <v>4035</v>
      </c>
      <c r="E63" t="s">
        <v>5961</v>
      </c>
      <c r="F63" t="s">
        <v>3467</v>
      </c>
      <c r="G63" t="s">
        <v>3467</v>
      </c>
      <c r="H63" t="s">
        <v>4305</v>
      </c>
      <c r="I63" t="s">
        <v>90</v>
      </c>
      <c r="J63" t="s">
        <v>5917</v>
      </c>
    </row>
    <row r="64" spans="1:10" ht="15" customHeight="1" x14ac:dyDescent="0.25">
      <c r="A64" t="s">
        <v>5962</v>
      </c>
      <c r="B64" t="s">
        <v>3563</v>
      </c>
      <c r="C64" t="s">
        <v>5407</v>
      </c>
      <c r="D64">
        <v>1</v>
      </c>
      <c r="E64" t="s">
        <v>5963</v>
      </c>
      <c r="F64" t="s">
        <v>5964</v>
      </c>
      <c r="G64">
        <v>1</v>
      </c>
      <c r="H64" t="s">
        <v>3467</v>
      </c>
      <c r="I64" t="s">
        <v>3467</v>
      </c>
    </row>
    <row r="65" spans="1:10" ht="15" customHeight="1" x14ac:dyDescent="0.25">
      <c r="A65" t="s">
        <v>5965</v>
      </c>
      <c r="B65" t="s">
        <v>41</v>
      </c>
      <c r="C65" t="s">
        <v>5488</v>
      </c>
      <c r="D65">
        <v>1</v>
      </c>
      <c r="E65" t="s">
        <v>5918</v>
      </c>
      <c r="F65" t="s">
        <v>5919</v>
      </c>
      <c r="G65">
        <v>1</v>
      </c>
      <c r="H65" t="s">
        <v>5965</v>
      </c>
      <c r="I65" t="s">
        <v>5920</v>
      </c>
      <c r="J65" t="s">
        <v>5966</v>
      </c>
    </row>
    <row r="66" spans="1:10" ht="15" customHeight="1" x14ac:dyDescent="0.25">
      <c r="A66" t="s">
        <v>5967</v>
      </c>
      <c r="B66" t="s">
        <v>41</v>
      </c>
      <c r="C66" t="s">
        <v>5407</v>
      </c>
      <c r="D66">
        <v>0</v>
      </c>
      <c r="E66" t="s">
        <v>5968</v>
      </c>
      <c r="F66" t="s">
        <v>5969</v>
      </c>
      <c r="G66">
        <v>0</v>
      </c>
      <c r="H66" t="s">
        <v>5967</v>
      </c>
      <c r="I66" t="s">
        <v>90</v>
      </c>
      <c r="J66" t="s">
        <v>5764</v>
      </c>
    </row>
    <row r="67" spans="1:10" ht="15" customHeight="1" x14ac:dyDescent="0.25">
      <c r="A67" t="s">
        <v>5970</v>
      </c>
      <c r="B67" t="s">
        <v>3518</v>
      </c>
      <c r="C67" t="s">
        <v>4644</v>
      </c>
      <c r="D67">
        <v>3</v>
      </c>
      <c r="E67" t="s">
        <v>5971</v>
      </c>
      <c r="F67" t="s">
        <v>5972</v>
      </c>
      <c r="G67">
        <v>3</v>
      </c>
      <c r="H67" t="s">
        <v>5973</v>
      </c>
      <c r="I67" t="s">
        <v>90</v>
      </c>
      <c r="J67" t="s">
        <v>5974</v>
      </c>
    </row>
    <row r="68" spans="1:10" ht="15" customHeight="1" x14ac:dyDescent="0.25">
      <c r="A68" t="s">
        <v>4629</v>
      </c>
      <c r="B68" t="s">
        <v>3530</v>
      </c>
      <c r="C68" t="s">
        <v>5769</v>
      </c>
      <c r="D68">
        <v>0</v>
      </c>
      <c r="E68" t="s">
        <v>5975</v>
      </c>
      <c r="F68" t="s">
        <v>5975</v>
      </c>
      <c r="G68">
        <v>1</v>
      </c>
      <c r="H68" t="s">
        <v>4629</v>
      </c>
      <c r="I68" t="s">
        <v>1622</v>
      </c>
      <c r="J68" t="s">
        <v>5802</v>
      </c>
    </row>
    <row r="69" spans="1:10" ht="15" customHeight="1" x14ac:dyDescent="0.25">
      <c r="A69" t="s">
        <v>5976</v>
      </c>
      <c r="B69" t="s">
        <v>3518</v>
      </c>
      <c r="C69" t="s">
        <v>5769</v>
      </c>
      <c r="D69">
        <v>1</v>
      </c>
      <c r="E69" t="s">
        <v>5977</v>
      </c>
      <c r="F69" t="s">
        <v>5978</v>
      </c>
      <c r="G69">
        <v>1</v>
      </c>
      <c r="H69" t="s">
        <v>5979</v>
      </c>
      <c r="I69" t="s">
        <v>90</v>
      </c>
      <c r="J69" t="s">
        <v>5980</v>
      </c>
    </row>
    <row r="70" spans="1:10" ht="15" customHeight="1" x14ac:dyDescent="0.25">
      <c r="A70" t="s">
        <v>5981</v>
      </c>
      <c r="B70" t="s">
        <v>3530</v>
      </c>
      <c r="C70" t="s">
        <v>5407</v>
      </c>
      <c r="D70">
        <v>1</v>
      </c>
      <c r="E70" t="s">
        <v>5982</v>
      </c>
      <c r="F70" t="s">
        <v>5983</v>
      </c>
      <c r="G70">
        <v>1</v>
      </c>
      <c r="H70" t="s">
        <v>5981</v>
      </c>
      <c r="I70" t="s">
        <v>90</v>
      </c>
      <c r="J70" t="s">
        <v>5984</v>
      </c>
    </row>
    <row r="71" spans="1:10" ht="15" customHeight="1" x14ac:dyDescent="0.25">
      <c r="A71" t="s">
        <v>5985</v>
      </c>
      <c r="B71" t="s">
        <v>3530</v>
      </c>
      <c r="C71" t="s">
        <v>5407</v>
      </c>
      <c r="D71">
        <v>1</v>
      </c>
      <c r="E71" t="s">
        <v>5986</v>
      </c>
      <c r="F71" t="s">
        <v>5986</v>
      </c>
      <c r="G71">
        <v>0</v>
      </c>
      <c r="H71" t="s">
        <v>5985</v>
      </c>
      <c r="I71" t="s">
        <v>90</v>
      </c>
      <c r="J71" t="s">
        <v>5987</v>
      </c>
    </row>
    <row r="72" spans="1:10" ht="15" customHeight="1" x14ac:dyDescent="0.25">
      <c r="A72" t="s">
        <v>5988</v>
      </c>
      <c r="B72" t="s">
        <v>41</v>
      </c>
      <c r="C72" t="s">
        <v>5407</v>
      </c>
      <c r="D72">
        <v>1</v>
      </c>
      <c r="E72" t="s">
        <v>5989</v>
      </c>
      <c r="F72" t="s">
        <v>5990</v>
      </c>
      <c r="G72">
        <v>1</v>
      </c>
      <c r="H72" t="s">
        <v>5991</v>
      </c>
      <c r="I72" t="s">
        <v>90</v>
      </c>
      <c r="J72" t="s">
        <v>5764</v>
      </c>
    </row>
    <row r="73" spans="1:10" ht="15" customHeight="1" x14ac:dyDescent="0.25">
      <c r="A73" t="s">
        <v>5992</v>
      </c>
      <c r="B73" t="s">
        <v>3518</v>
      </c>
      <c r="C73" t="s">
        <v>5407</v>
      </c>
      <c r="D73" t="s">
        <v>5993</v>
      </c>
      <c r="E73" t="s">
        <v>5994</v>
      </c>
      <c r="F73" t="s">
        <v>5995</v>
      </c>
      <c r="G73" t="s">
        <v>5993</v>
      </c>
      <c r="H73" t="s">
        <v>5992</v>
      </c>
      <c r="I73" t="s">
        <v>90</v>
      </c>
      <c r="J73" t="s">
        <v>5996</v>
      </c>
    </row>
    <row r="74" spans="1:10" ht="15" customHeight="1" x14ac:dyDescent="0.25">
      <c r="A74" t="s">
        <v>5411</v>
      </c>
      <c r="B74" t="s">
        <v>3518</v>
      </c>
      <c r="C74" t="s">
        <v>5407</v>
      </c>
      <c r="D74">
        <v>1</v>
      </c>
      <c r="E74" t="s">
        <v>5997</v>
      </c>
      <c r="F74" t="s">
        <v>5998</v>
      </c>
      <c r="G74">
        <v>1</v>
      </c>
      <c r="H74" t="s">
        <v>5413</v>
      </c>
      <c r="I74" t="s">
        <v>90</v>
      </c>
      <c r="J74" t="s">
        <v>5999</v>
      </c>
    </row>
    <row r="75" spans="1:10" ht="15" customHeight="1" x14ac:dyDescent="0.25">
      <c r="A75" t="s">
        <v>6000</v>
      </c>
      <c r="B75" t="s">
        <v>4344</v>
      </c>
      <c r="C75" t="s">
        <v>4291</v>
      </c>
      <c r="D75" t="s">
        <v>4035</v>
      </c>
      <c r="E75" t="s">
        <v>6001</v>
      </c>
      <c r="F75" t="s">
        <v>3467</v>
      </c>
      <c r="G75" t="s">
        <v>3467</v>
      </c>
      <c r="H75" t="s">
        <v>6000</v>
      </c>
      <c r="I75" t="s">
        <v>90</v>
      </c>
      <c r="J75" t="s">
        <v>5917</v>
      </c>
    </row>
    <row r="76" spans="1:10" ht="15" customHeight="1" x14ac:dyDescent="0.25">
      <c r="A76" t="s">
        <v>6002</v>
      </c>
      <c r="B76" t="s">
        <v>3530</v>
      </c>
      <c r="C76" t="s">
        <v>5769</v>
      </c>
      <c r="D76">
        <v>1</v>
      </c>
      <c r="E76" t="s">
        <v>6003</v>
      </c>
      <c r="F76" t="s">
        <v>6004</v>
      </c>
      <c r="G76">
        <v>1</v>
      </c>
      <c r="H76" t="s">
        <v>6002</v>
      </c>
      <c r="I76" t="s">
        <v>90</v>
      </c>
      <c r="J76" t="s">
        <v>6005</v>
      </c>
    </row>
    <row r="77" spans="1:10" ht="15" customHeight="1" x14ac:dyDescent="0.25">
      <c r="A77" t="s">
        <v>6006</v>
      </c>
      <c r="B77" t="s">
        <v>3530</v>
      </c>
      <c r="C77" t="s">
        <v>5488</v>
      </c>
      <c r="D77">
        <v>1</v>
      </c>
      <c r="E77" t="s">
        <v>6007</v>
      </c>
      <c r="F77" t="s">
        <v>6008</v>
      </c>
      <c r="G77">
        <v>1</v>
      </c>
      <c r="H77" t="s">
        <v>6006</v>
      </c>
      <c r="I77" t="s">
        <v>5920</v>
      </c>
      <c r="J77" t="s">
        <v>6009</v>
      </c>
    </row>
    <row r="78" spans="1:10" ht="15" customHeight="1" x14ac:dyDescent="0.25">
      <c r="A78" t="s">
        <v>6010</v>
      </c>
      <c r="B78" t="s">
        <v>3530</v>
      </c>
      <c r="C78" t="s">
        <v>5407</v>
      </c>
      <c r="D78">
        <v>1</v>
      </c>
      <c r="E78" t="s">
        <v>6011</v>
      </c>
      <c r="F78" t="s">
        <v>6012</v>
      </c>
      <c r="G78">
        <v>1</v>
      </c>
      <c r="H78" t="s">
        <v>6013</v>
      </c>
      <c r="I78" t="s">
        <v>90</v>
      </c>
      <c r="J78" t="s">
        <v>5810</v>
      </c>
    </row>
    <row r="79" spans="1:10" ht="15" customHeight="1" x14ac:dyDescent="0.25">
      <c r="A79" t="s">
        <v>6014</v>
      </c>
      <c r="B79" t="s">
        <v>3530</v>
      </c>
      <c r="C79" t="s">
        <v>5769</v>
      </c>
      <c r="D79">
        <v>0</v>
      </c>
      <c r="E79" t="s">
        <v>6015</v>
      </c>
      <c r="F79" t="s">
        <v>6016</v>
      </c>
      <c r="G79">
        <v>0</v>
      </c>
      <c r="H79" t="s">
        <v>6017</v>
      </c>
      <c r="I79" t="s">
        <v>90</v>
      </c>
      <c r="J79" t="s">
        <v>5824</v>
      </c>
    </row>
    <row r="80" spans="1:10" ht="15" customHeight="1" x14ac:dyDescent="0.25">
      <c r="A80" t="s">
        <v>6018</v>
      </c>
      <c r="B80" t="s">
        <v>3530</v>
      </c>
      <c r="C80" t="s">
        <v>5407</v>
      </c>
      <c r="D80">
        <v>2</v>
      </c>
      <c r="E80" t="s">
        <v>6019</v>
      </c>
      <c r="F80" t="s">
        <v>6019</v>
      </c>
      <c r="G80">
        <v>1</v>
      </c>
      <c r="H80" t="s">
        <v>6018</v>
      </c>
      <c r="I80" t="s">
        <v>90</v>
      </c>
      <c r="J80" t="s">
        <v>5786</v>
      </c>
    </row>
    <row r="81" spans="1:10" ht="15" customHeight="1" x14ac:dyDescent="0.25">
      <c r="A81" t="s">
        <v>5243</v>
      </c>
      <c r="B81" t="s">
        <v>3518</v>
      </c>
      <c r="C81" t="s">
        <v>4644</v>
      </c>
      <c r="D81">
        <v>2</v>
      </c>
      <c r="E81" t="s">
        <v>6020</v>
      </c>
      <c r="F81" t="s">
        <v>6020</v>
      </c>
      <c r="G81">
        <v>1</v>
      </c>
      <c r="H81" t="s">
        <v>5243</v>
      </c>
      <c r="I81" t="s">
        <v>90</v>
      </c>
      <c r="J81" t="s">
        <v>5896</v>
      </c>
    </row>
    <row r="82" spans="1:10" ht="15" customHeight="1" x14ac:dyDescent="0.25">
      <c r="A82" t="s">
        <v>6021</v>
      </c>
      <c r="B82" t="s">
        <v>3530</v>
      </c>
      <c r="C82" t="s">
        <v>5407</v>
      </c>
      <c r="D82">
        <v>0</v>
      </c>
      <c r="E82" t="s">
        <v>6022</v>
      </c>
      <c r="F82" t="s">
        <v>6023</v>
      </c>
      <c r="G82">
        <v>0</v>
      </c>
      <c r="H82" t="s">
        <v>6024</v>
      </c>
      <c r="I82" t="s">
        <v>90</v>
      </c>
      <c r="J82" t="s">
        <v>6025</v>
      </c>
    </row>
    <row r="83" spans="1:10" ht="15" customHeight="1" x14ac:dyDescent="0.25">
      <c r="A83" t="s">
        <v>6026</v>
      </c>
      <c r="B83" t="s">
        <v>3530</v>
      </c>
      <c r="C83" t="s">
        <v>5769</v>
      </c>
      <c r="D83">
        <v>3</v>
      </c>
      <c r="E83" t="s">
        <v>6027</v>
      </c>
      <c r="F83" t="s">
        <v>6028</v>
      </c>
      <c r="G83">
        <v>3</v>
      </c>
      <c r="H83" t="s">
        <v>6026</v>
      </c>
      <c r="I83" t="s">
        <v>90</v>
      </c>
      <c r="J83" t="s">
        <v>6029</v>
      </c>
    </row>
    <row r="84" spans="1:10" ht="15" customHeight="1" x14ac:dyDescent="0.25">
      <c r="A84" t="s">
        <v>5245</v>
      </c>
      <c r="B84" t="s">
        <v>3530</v>
      </c>
      <c r="C84" t="s">
        <v>4644</v>
      </c>
      <c r="D84">
        <v>1</v>
      </c>
      <c r="E84" t="s">
        <v>6030</v>
      </c>
      <c r="F84" t="s">
        <v>6031</v>
      </c>
      <c r="G84">
        <v>1</v>
      </c>
      <c r="H84" t="s">
        <v>5245</v>
      </c>
      <c r="I84" t="s">
        <v>90</v>
      </c>
      <c r="J84" t="s">
        <v>6032</v>
      </c>
    </row>
    <row r="85" spans="1:10" ht="15" customHeight="1" x14ac:dyDescent="0.25">
      <c r="A85" t="s">
        <v>6033</v>
      </c>
      <c r="B85" t="s">
        <v>3518</v>
      </c>
      <c r="C85" t="s">
        <v>5407</v>
      </c>
      <c r="D85">
        <v>1</v>
      </c>
      <c r="E85" t="s">
        <v>6034</v>
      </c>
      <c r="F85" t="s">
        <v>6034</v>
      </c>
      <c r="G85">
        <v>0</v>
      </c>
      <c r="H85" t="s">
        <v>6033</v>
      </c>
      <c r="I85" t="s">
        <v>90</v>
      </c>
      <c r="J85" t="s">
        <v>6035</v>
      </c>
    </row>
    <row r="86" spans="1:10" ht="15" customHeight="1" x14ac:dyDescent="0.25">
      <c r="A86" t="s">
        <v>6036</v>
      </c>
      <c r="B86" t="s">
        <v>3530</v>
      </c>
      <c r="C86" t="s">
        <v>5407</v>
      </c>
      <c r="D86">
        <v>1</v>
      </c>
      <c r="E86" t="s">
        <v>6037</v>
      </c>
      <c r="F86" t="s">
        <v>6038</v>
      </c>
      <c r="G86">
        <v>1</v>
      </c>
      <c r="H86" t="s">
        <v>6036</v>
      </c>
      <c r="I86" t="s">
        <v>90</v>
      </c>
      <c r="J86" t="s">
        <v>6039</v>
      </c>
    </row>
    <row r="87" spans="1:10" ht="15" customHeight="1" x14ac:dyDescent="0.25">
      <c r="A87" t="s">
        <v>6040</v>
      </c>
      <c r="B87" t="s">
        <v>3518</v>
      </c>
      <c r="C87" t="s">
        <v>5769</v>
      </c>
      <c r="D87">
        <v>1</v>
      </c>
      <c r="E87" t="s">
        <v>6041</v>
      </c>
      <c r="F87" t="s">
        <v>6042</v>
      </c>
      <c r="G87">
        <v>1</v>
      </c>
      <c r="H87" t="s">
        <v>6040</v>
      </c>
      <c r="I87" t="s">
        <v>90</v>
      </c>
      <c r="J87" t="s">
        <v>6043</v>
      </c>
    </row>
    <row r="88" spans="1:10" ht="15" customHeight="1" x14ac:dyDescent="0.25">
      <c r="A88" t="s">
        <v>5253</v>
      </c>
      <c r="B88" t="s">
        <v>3530</v>
      </c>
      <c r="C88" t="s">
        <v>4644</v>
      </c>
      <c r="D88">
        <v>1</v>
      </c>
      <c r="E88" t="s">
        <v>6044</v>
      </c>
      <c r="F88" t="s">
        <v>6045</v>
      </c>
      <c r="G88">
        <v>1</v>
      </c>
      <c r="H88" t="s">
        <v>5255</v>
      </c>
      <c r="I88" t="s">
        <v>90</v>
      </c>
      <c r="J88" t="s">
        <v>6046</v>
      </c>
    </row>
    <row r="89" spans="1:10" ht="15" customHeight="1" x14ac:dyDescent="0.25">
      <c r="A89" t="s">
        <v>6047</v>
      </c>
      <c r="B89" t="s">
        <v>3518</v>
      </c>
      <c r="C89" t="s">
        <v>5769</v>
      </c>
      <c r="D89">
        <v>2</v>
      </c>
      <c r="E89" t="s">
        <v>6048</v>
      </c>
      <c r="F89" t="s">
        <v>6049</v>
      </c>
      <c r="G89">
        <v>2</v>
      </c>
      <c r="H89" t="s">
        <v>6050</v>
      </c>
      <c r="I89" t="s">
        <v>90</v>
      </c>
      <c r="J89" t="s">
        <v>6051</v>
      </c>
    </row>
    <row r="90" spans="1:10" ht="15" customHeight="1" x14ac:dyDescent="0.25">
      <c r="A90" t="s">
        <v>6052</v>
      </c>
      <c r="B90" t="s">
        <v>41</v>
      </c>
      <c r="C90" t="s">
        <v>5488</v>
      </c>
      <c r="D90">
        <v>1</v>
      </c>
      <c r="E90" t="s">
        <v>5918</v>
      </c>
      <c r="F90" t="s">
        <v>5919</v>
      </c>
      <c r="G90">
        <v>1</v>
      </c>
      <c r="H90" t="s">
        <v>6052</v>
      </c>
      <c r="I90" t="s">
        <v>2362</v>
      </c>
      <c r="J90" t="s">
        <v>6053</v>
      </c>
    </row>
    <row r="91" spans="1:10" ht="15" customHeight="1" x14ac:dyDescent="0.25">
      <c r="A91" t="s">
        <v>6054</v>
      </c>
      <c r="B91" t="s">
        <v>3530</v>
      </c>
      <c r="C91" t="s">
        <v>5769</v>
      </c>
      <c r="D91">
        <v>1</v>
      </c>
      <c r="E91" t="s">
        <v>6055</v>
      </c>
      <c r="F91" t="s">
        <v>6056</v>
      </c>
      <c r="G91">
        <v>1</v>
      </c>
      <c r="H91" t="s">
        <v>6054</v>
      </c>
      <c r="I91" t="s">
        <v>90</v>
      </c>
      <c r="J91" t="s">
        <v>5824</v>
      </c>
    </row>
    <row r="92" spans="1:10" ht="15" customHeight="1" x14ac:dyDescent="0.25">
      <c r="A92" t="s">
        <v>5256</v>
      </c>
      <c r="B92" t="s">
        <v>3530</v>
      </c>
      <c r="C92" t="s">
        <v>4644</v>
      </c>
      <c r="D92">
        <v>1</v>
      </c>
      <c r="E92" t="s">
        <v>6057</v>
      </c>
      <c r="F92" t="s">
        <v>6058</v>
      </c>
      <c r="G92">
        <v>1</v>
      </c>
      <c r="H92" t="s">
        <v>5258</v>
      </c>
      <c r="I92" t="s">
        <v>90</v>
      </c>
      <c r="J92" t="s">
        <v>6059</v>
      </c>
    </row>
    <row r="93" spans="1:10" ht="15" customHeight="1" x14ac:dyDescent="0.25">
      <c r="A93" t="s">
        <v>5259</v>
      </c>
      <c r="B93" t="s">
        <v>3530</v>
      </c>
      <c r="C93" t="s">
        <v>5407</v>
      </c>
      <c r="D93">
        <v>2</v>
      </c>
      <c r="E93" t="s">
        <v>6060</v>
      </c>
      <c r="F93" t="s">
        <v>6061</v>
      </c>
      <c r="G93">
        <v>2</v>
      </c>
      <c r="H93" t="s">
        <v>5261</v>
      </c>
      <c r="I93" t="s">
        <v>90</v>
      </c>
      <c r="J93" t="s">
        <v>5786</v>
      </c>
    </row>
    <row r="94" spans="1:10" ht="15" customHeight="1" x14ac:dyDescent="0.25">
      <c r="A94" t="s">
        <v>6062</v>
      </c>
      <c r="B94" t="s">
        <v>3530</v>
      </c>
      <c r="C94" t="s">
        <v>5769</v>
      </c>
      <c r="D94">
        <v>1</v>
      </c>
      <c r="E94" t="s">
        <v>6063</v>
      </c>
      <c r="F94" t="s">
        <v>6064</v>
      </c>
      <c r="G94">
        <v>1</v>
      </c>
      <c r="H94" t="s">
        <v>6062</v>
      </c>
      <c r="I94" t="s">
        <v>90</v>
      </c>
      <c r="J94" t="s">
        <v>5824</v>
      </c>
    </row>
    <row r="95" spans="1:10" ht="15" customHeight="1" x14ac:dyDescent="0.25">
      <c r="A95" t="s">
        <v>6065</v>
      </c>
      <c r="B95" t="s">
        <v>41</v>
      </c>
      <c r="C95" t="s">
        <v>5407</v>
      </c>
      <c r="D95">
        <v>0</v>
      </c>
      <c r="E95" t="s">
        <v>6066</v>
      </c>
      <c r="F95" t="s">
        <v>6067</v>
      </c>
      <c r="G95">
        <v>0</v>
      </c>
      <c r="H95" t="s">
        <v>6065</v>
      </c>
      <c r="I95" t="s">
        <v>90</v>
      </c>
      <c r="J95" t="s">
        <v>5782</v>
      </c>
    </row>
    <row r="96" spans="1:10" ht="15" customHeight="1" x14ac:dyDescent="0.25">
      <c r="A96" t="s">
        <v>6068</v>
      </c>
      <c r="B96" t="s">
        <v>41</v>
      </c>
      <c r="C96" t="s">
        <v>5769</v>
      </c>
      <c r="D96">
        <v>1</v>
      </c>
      <c r="E96" t="s">
        <v>6069</v>
      </c>
      <c r="F96" t="s">
        <v>6070</v>
      </c>
      <c r="G96">
        <v>1</v>
      </c>
      <c r="H96" t="s">
        <v>6071</v>
      </c>
      <c r="I96" t="s">
        <v>90</v>
      </c>
      <c r="J96" t="s">
        <v>6072</v>
      </c>
    </row>
    <row r="97" spans="1:10" ht="15" customHeight="1" x14ac:dyDescent="0.25">
      <c r="A97" t="s">
        <v>6073</v>
      </c>
      <c r="B97" t="s">
        <v>3530</v>
      </c>
      <c r="C97" t="s">
        <v>4644</v>
      </c>
      <c r="D97">
        <v>1</v>
      </c>
      <c r="E97" t="s">
        <v>5712</v>
      </c>
      <c r="F97" t="s">
        <v>6074</v>
      </c>
      <c r="G97">
        <v>1</v>
      </c>
      <c r="H97" t="s">
        <v>6073</v>
      </c>
      <c r="I97" t="s">
        <v>90</v>
      </c>
      <c r="J97" t="s">
        <v>5764</v>
      </c>
    </row>
    <row r="98" spans="1:10" ht="15" customHeight="1" x14ac:dyDescent="0.25">
      <c r="A98" t="s">
        <v>6075</v>
      </c>
      <c r="B98" t="s">
        <v>3530</v>
      </c>
      <c r="C98" t="s">
        <v>5488</v>
      </c>
      <c r="D98">
        <v>1</v>
      </c>
      <c r="E98" t="s">
        <v>5918</v>
      </c>
      <c r="F98" t="s">
        <v>5919</v>
      </c>
      <c r="G98">
        <v>1</v>
      </c>
      <c r="H98" t="s">
        <v>6075</v>
      </c>
      <c r="I98" t="s">
        <v>2362</v>
      </c>
      <c r="J98" t="s">
        <v>5921</v>
      </c>
    </row>
    <row r="99" spans="1:10" ht="15" customHeight="1" x14ac:dyDescent="0.25">
      <c r="A99" t="s">
        <v>6076</v>
      </c>
      <c r="B99" t="s">
        <v>3530</v>
      </c>
      <c r="C99" t="s">
        <v>5407</v>
      </c>
      <c r="D99">
        <v>1</v>
      </c>
      <c r="E99" t="s">
        <v>6077</v>
      </c>
      <c r="F99" t="s">
        <v>6078</v>
      </c>
      <c r="G99">
        <v>1</v>
      </c>
      <c r="H99" t="s">
        <v>6079</v>
      </c>
      <c r="I99" t="s">
        <v>90</v>
      </c>
      <c r="J99" t="s">
        <v>5786</v>
      </c>
    </row>
    <row r="100" spans="1:10" ht="15" customHeight="1" x14ac:dyDescent="0.25">
      <c r="A100" t="s">
        <v>6080</v>
      </c>
      <c r="B100" t="s">
        <v>3530</v>
      </c>
      <c r="C100" t="s">
        <v>5488</v>
      </c>
      <c r="D100">
        <v>1</v>
      </c>
      <c r="E100" t="s">
        <v>5918</v>
      </c>
      <c r="F100" t="s">
        <v>5919</v>
      </c>
      <c r="G100">
        <v>1</v>
      </c>
      <c r="H100" t="s">
        <v>6080</v>
      </c>
      <c r="I100" t="s">
        <v>2362</v>
      </c>
      <c r="J100" t="s">
        <v>6053</v>
      </c>
    </row>
    <row r="101" spans="1:10" ht="15" customHeight="1" x14ac:dyDescent="0.25">
      <c r="A101" t="s">
        <v>6081</v>
      </c>
      <c r="B101" t="s">
        <v>3518</v>
      </c>
      <c r="C101" t="s">
        <v>5769</v>
      </c>
      <c r="D101">
        <v>1</v>
      </c>
      <c r="E101" t="s">
        <v>6082</v>
      </c>
      <c r="F101" t="s">
        <v>6083</v>
      </c>
      <c r="G101">
        <v>1</v>
      </c>
      <c r="H101" t="s">
        <v>6084</v>
      </c>
      <c r="I101" t="s">
        <v>90</v>
      </c>
      <c r="J101" t="s">
        <v>5824</v>
      </c>
    </row>
    <row r="102" spans="1:10" ht="15" customHeight="1" x14ac:dyDescent="0.25">
      <c r="A102" t="s">
        <v>6085</v>
      </c>
      <c r="B102" t="s">
        <v>41</v>
      </c>
      <c r="C102" t="s">
        <v>5769</v>
      </c>
      <c r="D102">
        <v>0</v>
      </c>
      <c r="E102" t="s">
        <v>6086</v>
      </c>
      <c r="F102" t="s">
        <v>6087</v>
      </c>
      <c r="G102">
        <v>0</v>
      </c>
      <c r="H102" t="s">
        <v>6088</v>
      </c>
      <c r="I102" t="s">
        <v>90</v>
      </c>
      <c r="J102" t="s">
        <v>5815</v>
      </c>
    </row>
    <row r="103" spans="1:10" ht="15" customHeight="1" x14ac:dyDescent="0.25">
      <c r="A103" t="s">
        <v>6089</v>
      </c>
      <c r="B103" t="s">
        <v>3518</v>
      </c>
      <c r="C103" t="s">
        <v>5769</v>
      </c>
      <c r="D103">
        <v>0</v>
      </c>
      <c r="E103" t="s">
        <v>6090</v>
      </c>
      <c r="F103" t="s">
        <v>6091</v>
      </c>
      <c r="G103">
        <v>0</v>
      </c>
      <c r="H103" t="s">
        <v>6092</v>
      </c>
      <c r="I103" t="s">
        <v>90</v>
      </c>
      <c r="J103" t="s">
        <v>5824</v>
      </c>
    </row>
    <row r="104" spans="1:10" ht="15" customHeight="1" x14ac:dyDescent="0.25">
      <c r="A104" t="s">
        <v>5179</v>
      </c>
      <c r="B104" t="s">
        <v>4344</v>
      </c>
      <c r="C104" t="s">
        <v>4291</v>
      </c>
      <c r="D104" t="s">
        <v>4035</v>
      </c>
      <c r="E104" t="s">
        <v>6093</v>
      </c>
      <c r="F104" t="s">
        <v>3467</v>
      </c>
      <c r="G104" t="s">
        <v>3467</v>
      </c>
      <c r="H104" t="s">
        <v>5179</v>
      </c>
      <c r="I104" t="s">
        <v>38</v>
      </c>
      <c r="J104" t="s">
        <v>5917</v>
      </c>
    </row>
    <row r="105" spans="1:10" ht="15" customHeight="1" x14ac:dyDescent="0.25">
      <c r="A105" t="s">
        <v>6094</v>
      </c>
      <c r="B105" t="s">
        <v>41</v>
      </c>
      <c r="C105" t="s">
        <v>5407</v>
      </c>
      <c r="D105">
        <v>1</v>
      </c>
      <c r="E105" t="s">
        <v>6095</v>
      </c>
      <c r="F105" t="s">
        <v>6095</v>
      </c>
      <c r="G105">
        <v>0</v>
      </c>
      <c r="H105" t="s">
        <v>6094</v>
      </c>
      <c r="I105" t="s">
        <v>90</v>
      </c>
      <c r="J105" t="s">
        <v>6051</v>
      </c>
    </row>
    <row r="106" spans="1:10" ht="15" customHeight="1" x14ac:dyDescent="0.25">
      <c r="A106" t="s">
        <v>6096</v>
      </c>
      <c r="B106" t="s">
        <v>41</v>
      </c>
      <c r="C106" t="s">
        <v>5769</v>
      </c>
      <c r="D106">
        <v>1</v>
      </c>
      <c r="E106" t="s">
        <v>6097</v>
      </c>
      <c r="F106" t="s">
        <v>6098</v>
      </c>
      <c r="G106">
        <v>1</v>
      </c>
      <c r="H106" t="s">
        <v>6096</v>
      </c>
      <c r="I106" t="s">
        <v>90</v>
      </c>
      <c r="J106" t="s">
        <v>5782</v>
      </c>
    </row>
    <row r="107" spans="1:10" ht="15" customHeight="1" x14ac:dyDescent="0.25">
      <c r="A107" t="s">
        <v>6099</v>
      </c>
      <c r="B107" t="s">
        <v>41</v>
      </c>
      <c r="C107" t="s">
        <v>5488</v>
      </c>
      <c r="D107">
        <v>1</v>
      </c>
      <c r="E107" t="s">
        <v>6100</v>
      </c>
      <c r="F107" t="s">
        <v>6101</v>
      </c>
      <c r="G107">
        <v>1</v>
      </c>
      <c r="H107" t="s">
        <v>6099</v>
      </c>
      <c r="I107" t="s">
        <v>2362</v>
      </c>
      <c r="J107" t="s">
        <v>6009</v>
      </c>
    </row>
    <row r="108" spans="1:10" ht="15" customHeight="1" x14ac:dyDescent="0.25">
      <c r="A108" t="s">
        <v>6102</v>
      </c>
      <c r="B108" t="s">
        <v>41</v>
      </c>
      <c r="C108" t="s">
        <v>5769</v>
      </c>
      <c r="D108">
        <v>2</v>
      </c>
      <c r="E108" t="s">
        <v>6103</v>
      </c>
      <c r="F108" t="s">
        <v>6104</v>
      </c>
      <c r="G108">
        <v>2</v>
      </c>
      <c r="H108" t="s">
        <v>6105</v>
      </c>
      <c r="I108" t="s">
        <v>90</v>
      </c>
      <c r="J108" t="s">
        <v>6106</v>
      </c>
    </row>
    <row r="109" spans="1:10" ht="15" customHeight="1" x14ac:dyDescent="0.25">
      <c r="A109" t="s">
        <v>6107</v>
      </c>
      <c r="B109" t="s">
        <v>3530</v>
      </c>
      <c r="C109" t="s">
        <v>5769</v>
      </c>
      <c r="D109">
        <v>1</v>
      </c>
      <c r="E109" t="s">
        <v>6108</v>
      </c>
      <c r="F109" t="s">
        <v>6109</v>
      </c>
      <c r="G109">
        <v>1</v>
      </c>
      <c r="H109" t="s">
        <v>6110</v>
      </c>
      <c r="I109" t="s">
        <v>90</v>
      </c>
      <c r="J109" t="s">
        <v>5896</v>
      </c>
    </row>
    <row r="110" spans="1:10" ht="15" customHeight="1" x14ac:dyDescent="0.25">
      <c r="A110" t="s">
        <v>6111</v>
      </c>
      <c r="B110" t="s">
        <v>3530</v>
      </c>
      <c r="C110" t="s">
        <v>5769</v>
      </c>
      <c r="D110">
        <v>1</v>
      </c>
      <c r="E110" t="s">
        <v>6112</v>
      </c>
      <c r="F110" t="s">
        <v>6113</v>
      </c>
      <c r="G110">
        <v>1</v>
      </c>
      <c r="H110" t="s">
        <v>6111</v>
      </c>
      <c r="I110" t="s">
        <v>90</v>
      </c>
      <c r="J110" t="s">
        <v>5782</v>
      </c>
    </row>
    <row r="111" spans="1:10" ht="15" customHeight="1" x14ac:dyDescent="0.25">
      <c r="A111" t="s">
        <v>6114</v>
      </c>
      <c r="B111" t="s">
        <v>41</v>
      </c>
      <c r="C111" t="s">
        <v>5407</v>
      </c>
      <c r="D111">
        <v>1</v>
      </c>
      <c r="E111" t="s">
        <v>6115</v>
      </c>
      <c r="F111" t="s">
        <v>6116</v>
      </c>
      <c r="G111">
        <v>1</v>
      </c>
      <c r="H111" t="s">
        <v>6114</v>
      </c>
      <c r="I111" t="s">
        <v>90</v>
      </c>
      <c r="J111" t="s">
        <v>6117</v>
      </c>
    </row>
    <row r="112" spans="1:10" ht="15" customHeight="1" x14ac:dyDescent="0.25">
      <c r="A112" t="s">
        <v>6118</v>
      </c>
      <c r="B112" t="s">
        <v>3518</v>
      </c>
      <c r="C112" t="s">
        <v>5769</v>
      </c>
      <c r="D112">
        <v>2</v>
      </c>
      <c r="E112" t="s">
        <v>6119</v>
      </c>
      <c r="F112" t="s">
        <v>6120</v>
      </c>
      <c r="G112">
        <v>2</v>
      </c>
      <c r="H112" t="s">
        <v>6118</v>
      </c>
      <c r="I112" t="s">
        <v>90</v>
      </c>
      <c r="J112" t="s">
        <v>5782</v>
      </c>
    </row>
    <row r="113" spans="1:10" ht="15" customHeight="1" x14ac:dyDescent="0.25">
      <c r="A113" t="s">
        <v>6121</v>
      </c>
      <c r="B113" t="s">
        <v>3518</v>
      </c>
      <c r="C113" t="s">
        <v>5407</v>
      </c>
      <c r="D113">
        <v>2</v>
      </c>
      <c r="E113" t="s">
        <v>6122</v>
      </c>
      <c r="F113" t="s">
        <v>6123</v>
      </c>
      <c r="G113">
        <v>2</v>
      </c>
      <c r="H113" t="s">
        <v>6121</v>
      </c>
      <c r="I113" t="s">
        <v>90</v>
      </c>
      <c r="J113" t="s">
        <v>6046</v>
      </c>
    </row>
    <row r="114" spans="1:10" ht="15" customHeight="1" x14ac:dyDescent="0.25">
      <c r="A114" t="s">
        <v>6124</v>
      </c>
      <c r="B114" t="s">
        <v>3530</v>
      </c>
      <c r="C114" t="s">
        <v>5407</v>
      </c>
      <c r="D114">
        <v>1</v>
      </c>
      <c r="E114" t="s">
        <v>6125</v>
      </c>
      <c r="F114" t="s">
        <v>6125</v>
      </c>
      <c r="G114">
        <v>0</v>
      </c>
      <c r="H114" t="s">
        <v>6126</v>
      </c>
      <c r="I114" t="s">
        <v>90</v>
      </c>
      <c r="J114" t="s">
        <v>6127</v>
      </c>
    </row>
    <row r="115" spans="1:10" ht="15" customHeight="1" x14ac:dyDescent="0.25">
      <c r="A115" t="s">
        <v>6128</v>
      </c>
      <c r="B115" t="s">
        <v>3530</v>
      </c>
      <c r="C115" t="s">
        <v>4644</v>
      </c>
      <c r="D115">
        <v>1</v>
      </c>
      <c r="E115" t="s">
        <v>6129</v>
      </c>
      <c r="F115" t="s">
        <v>6130</v>
      </c>
      <c r="G115">
        <v>1</v>
      </c>
      <c r="H115" t="s">
        <v>6131</v>
      </c>
      <c r="I115" t="s">
        <v>90</v>
      </c>
      <c r="J115" t="s">
        <v>5824</v>
      </c>
    </row>
    <row r="116" spans="1:10" ht="15" customHeight="1" x14ac:dyDescent="0.25">
      <c r="A116" t="s">
        <v>6132</v>
      </c>
      <c r="B116" t="s">
        <v>3530</v>
      </c>
      <c r="C116" t="s">
        <v>4644</v>
      </c>
      <c r="D116">
        <v>1</v>
      </c>
      <c r="E116" t="s">
        <v>6133</v>
      </c>
      <c r="F116" t="s">
        <v>6134</v>
      </c>
      <c r="G116">
        <v>1</v>
      </c>
      <c r="H116" t="s">
        <v>6132</v>
      </c>
      <c r="I116" t="s">
        <v>90</v>
      </c>
      <c r="J116" t="s">
        <v>5974</v>
      </c>
    </row>
    <row r="117" spans="1:10" ht="15" customHeight="1" x14ac:dyDescent="0.25">
      <c r="A117" t="s">
        <v>4299</v>
      </c>
      <c r="B117" t="s">
        <v>4344</v>
      </c>
      <c r="C117" t="s">
        <v>4291</v>
      </c>
      <c r="D117" t="s">
        <v>4035</v>
      </c>
      <c r="E117" t="s">
        <v>6135</v>
      </c>
      <c r="F117" t="s">
        <v>3467</v>
      </c>
      <c r="G117" t="s">
        <v>3467</v>
      </c>
      <c r="H117" t="s">
        <v>4299</v>
      </c>
      <c r="I117" t="s">
        <v>90</v>
      </c>
      <c r="J117" t="s">
        <v>5917</v>
      </c>
    </row>
    <row r="118" spans="1:10" ht="15" customHeight="1" x14ac:dyDescent="0.25">
      <c r="A118" t="s">
        <v>6136</v>
      </c>
      <c r="B118" t="s">
        <v>3530</v>
      </c>
      <c r="C118" t="s">
        <v>5407</v>
      </c>
      <c r="D118">
        <v>0</v>
      </c>
      <c r="E118" t="s">
        <v>6137</v>
      </c>
      <c r="F118" t="s">
        <v>6138</v>
      </c>
      <c r="G118">
        <v>0</v>
      </c>
      <c r="H118" t="s">
        <v>6136</v>
      </c>
      <c r="I118" t="s">
        <v>90</v>
      </c>
      <c r="J118" t="s">
        <v>5984</v>
      </c>
    </row>
    <row r="119" spans="1:10" ht="15" customHeight="1" x14ac:dyDescent="0.25">
      <c r="A119" t="s">
        <v>6139</v>
      </c>
      <c r="B119" t="s">
        <v>41</v>
      </c>
      <c r="C119" t="s">
        <v>5769</v>
      </c>
      <c r="D119">
        <v>1</v>
      </c>
      <c r="E119" t="s">
        <v>6140</v>
      </c>
      <c r="F119" t="s">
        <v>6141</v>
      </c>
      <c r="G119">
        <v>1</v>
      </c>
      <c r="H119" t="s">
        <v>6142</v>
      </c>
      <c r="I119" t="s">
        <v>90</v>
      </c>
      <c r="J119" t="s">
        <v>6143</v>
      </c>
    </row>
    <row r="120" spans="1:10" ht="15" customHeight="1" x14ac:dyDescent="0.25">
      <c r="A120" t="s">
        <v>5734</v>
      </c>
      <c r="B120" t="s">
        <v>3563</v>
      </c>
      <c r="C120" t="s">
        <v>5488</v>
      </c>
      <c r="D120">
        <v>1</v>
      </c>
      <c r="E120" s="4" t="s">
        <v>6144</v>
      </c>
      <c r="F120" s="4" t="s">
        <v>6144</v>
      </c>
      <c r="G120" s="4">
        <v>0</v>
      </c>
      <c r="H120" t="s">
        <v>3467</v>
      </c>
      <c r="I120" t="s">
        <v>160</v>
      </c>
    </row>
    <row r="121" spans="1:10" ht="15" customHeight="1" x14ac:dyDescent="0.25">
      <c r="A121" t="s">
        <v>6145</v>
      </c>
      <c r="B121" t="s">
        <v>3530</v>
      </c>
      <c r="C121" t="s">
        <v>5488</v>
      </c>
      <c r="D121">
        <v>1</v>
      </c>
      <c r="E121" t="s">
        <v>6146</v>
      </c>
      <c r="F121" t="s">
        <v>6147</v>
      </c>
      <c r="G121">
        <v>1</v>
      </c>
      <c r="H121" t="s">
        <v>6145</v>
      </c>
      <c r="I121" t="s">
        <v>2362</v>
      </c>
      <c r="J121" t="s">
        <v>6148</v>
      </c>
    </row>
    <row r="122" spans="1:10" ht="15" customHeight="1" x14ac:dyDescent="0.25">
      <c r="A122" t="s">
        <v>6149</v>
      </c>
      <c r="B122" t="s">
        <v>3518</v>
      </c>
      <c r="C122" t="s">
        <v>4644</v>
      </c>
      <c r="D122">
        <v>2</v>
      </c>
      <c r="E122" t="s">
        <v>6150</v>
      </c>
      <c r="F122" t="s">
        <v>6151</v>
      </c>
      <c r="G122">
        <v>2</v>
      </c>
      <c r="H122" t="s">
        <v>6149</v>
      </c>
      <c r="I122" t="s">
        <v>90</v>
      </c>
      <c r="J122" t="s">
        <v>6143</v>
      </c>
    </row>
    <row r="123" spans="1:10" ht="15" customHeight="1" x14ac:dyDescent="0.25">
      <c r="A123" t="s">
        <v>6152</v>
      </c>
      <c r="B123" t="s">
        <v>3530</v>
      </c>
      <c r="C123" t="s">
        <v>5488</v>
      </c>
      <c r="D123">
        <v>1</v>
      </c>
      <c r="E123" t="s">
        <v>5918</v>
      </c>
      <c r="F123" t="s">
        <v>5919</v>
      </c>
      <c r="G123">
        <v>1</v>
      </c>
      <c r="H123" t="s">
        <v>6152</v>
      </c>
      <c r="I123" t="s">
        <v>2362</v>
      </c>
      <c r="J123" t="s">
        <v>5921</v>
      </c>
    </row>
    <row r="124" spans="1:10" ht="15" customHeight="1" x14ac:dyDescent="0.25">
      <c r="A124" t="s">
        <v>6153</v>
      </c>
      <c r="B124" t="s">
        <v>41</v>
      </c>
      <c r="C124" t="s">
        <v>5488</v>
      </c>
      <c r="D124">
        <v>1</v>
      </c>
      <c r="E124" t="s">
        <v>5918</v>
      </c>
      <c r="F124" t="s">
        <v>5919</v>
      </c>
      <c r="G124">
        <v>1</v>
      </c>
      <c r="H124" t="s">
        <v>6153</v>
      </c>
      <c r="I124" t="s">
        <v>2362</v>
      </c>
      <c r="J124" t="s">
        <v>6053</v>
      </c>
    </row>
    <row r="125" spans="1:10" ht="15" customHeight="1" x14ac:dyDescent="0.25">
      <c r="A125" t="s">
        <v>6154</v>
      </c>
      <c r="B125" t="s">
        <v>41</v>
      </c>
      <c r="C125" t="s">
        <v>5407</v>
      </c>
      <c r="D125">
        <v>1</v>
      </c>
      <c r="E125" t="s">
        <v>6155</v>
      </c>
      <c r="F125" t="s">
        <v>6156</v>
      </c>
      <c r="G125">
        <v>1</v>
      </c>
      <c r="H125" t="s">
        <v>6154</v>
      </c>
      <c r="I125" t="s">
        <v>90</v>
      </c>
      <c r="J125" t="s">
        <v>5866</v>
      </c>
    </row>
    <row r="126" spans="1:10" ht="15" customHeight="1" x14ac:dyDescent="0.25">
      <c r="A126" t="s">
        <v>6157</v>
      </c>
      <c r="B126" t="s">
        <v>3530</v>
      </c>
      <c r="C126" t="s">
        <v>5407</v>
      </c>
      <c r="D126">
        <v>2</v>
      </c>
      <c r="E126" t="s">
        <v>6158</v>
      </c>
      <c r="F126" t="s">
        <v>6159</v>
      </c>
      <c r="G126">
        <v>2</v>
      </c>
      <c r="H126" t="s">
        <v>6160</v>
      </c>
      <c r="I126" t="s">
        <v>90</v>
      </c>
      <c r="J126" t="s">
        <v>6161</v>
      </c>
    </row>
    <row r="127" spans="1:10" ht="15" customHeight="1" x14ac:dyDescent="0.25">
      <c r="A127" t="s">
        <v>4740</v>
      </c>
      <c r="B127" t="s">
        <v>41</v>
      </c>
      <c r="C127" t="s">
        <v>5769</v>
      </c>
      <c r="D127">
        <v>1</v>
      </c>
      <c r="E127" t="s">
        <v>6162</v>
      </c>
      <c r="F127" t="s">
        <v>6162</v>
      </c>
      <c r="G127">
        <v>1</v>
      </c>
      <c r="H127" t="s">
        <v>4743</v>
      </c>
      <c r="I127" t="s">
        <v>1047</v>
      </c>
      <c r="J127" t="s">
        <v>5802</v>
      </c>
    </row>
    <row r="128" spans="1:10" ht="15" customHeight="1" x14ac:dyDescent="0.25">
      <c r="A128" t="s">
        <v>6163</v>
      </c>
      <c r="B128" t="s">
        <v>3518</v>
      </c>
      <c r="C128" t="s">
        <v>5407</v>
      </c>
      <c r="D128">
        <v>1</v>
      </c>
      <c r="E128" t="s">
        <v>6164</v>
      </c>
      <c r="F128" t="s">
        <v>6165</v>
      </c>
      <c r="G128">
        <v>1</v>
      </c>
      <c r="H128" t="s">
        <v>6166</v>
      </c>
      <c r="I128" t="s">
        <v>90</v>
      </c>
      <c r="J128" t="s">
        <v>5974</v>
      </c>
    </row>
    <row r="129" spans="1:10" ht="15" customHeight="1" x14ac:dyDescent="0.25">
      <c r="A129" t="s">
        <v>6167</v>
      </c>
      <c r="B129" t="s">
        <v>3518</v>
      </c>
      <c r="C129" t="s">
        <v>4644</v>
      </c>
      <c r="D129">
        <v>1</v>
      </c>
      <c r="E129" t="s">
        <v>6168</v>
      </c>
      <c r="F129" t="s">
        <v>6169</v>
      </c>
      <c r="G129">
        <v>1</v>
      </c>
      <c r="H129" t="s">
        <v>6170</v>
      </c>
      <c r="I129" t="s">
        <v>90</v>
      </c>
      <c r="J129" t="s">
        <v>6171</v>
      </c>
    </row>
    <row r="130" spans="1:10" ht="15" customHeight="1" x14ac:dyDescent="0.25">
      <c r="A130" t="s">
        <v>6172</v>
      </c>
      <c r="B130" t="s">
        <v>41</v>
      </c>
      <c r="C130" t="s">
        <v>5488</v>
      </c>
      <c r="D130">
        <v>1</v>
      </c>
      <c r="E130" t="s">
        <v>6173</v>
      </c>
      <c r="F130" t="s">
        <v>6174</v>
      </c>
      <c r="G130">
        <v>1</v>
      </c>
      <c r="H130" t="s">
        <v>6172</v>
      </c>
      <c r="I130" t="s">
        <v>2362</v>
      </c>
      <c r="J130" t="s">
        <v>6148</v>
      </c>
    </row>
    <row r="131" spans="1:10" ht="15" customHeight="1" x14ac:dyDescent="0.25">
      <c r="A131" t="s">
        <v>6175</v>
      </c>
      <c r="B131" t="s">
        <v>3518</v>
      </c>
      <c r="C131" t="s">
        <v>5407</v>
      </c>
      <c r="D131" t="s">
        <v>5993</v>
      </c>
      <c r="E131" t="s">
        <v>6176</v>
      </c>
      <c r="F131" t="s">
        <v>6177</v>
      </c>
      <c r="G131" t="s">
        <v>5993</v>
      </c>
      <c r="H131" t="s">
        <v>6175</v>
      </c>
      <c r="I131" t="s">
        <v>90</v>
      </c>
      <c r="J131" t="s">
        <v>6178</v>
      </c>
    </row>
    <row r="132" spans="1:10" ht="15" customHeight="1" x14ac:dyDescent="0.25">
      <c r="A132" t="s">
        <v>6179</v>
      </c>
      <c r="B132" t="s">
        <v>3530</v>
      </c>
      <c r="C132" t="s">
        <v>5769</v>
      </c>
      <c r="D132">
        <v>0</v>
      </c>
      <c r="E132" t="s">
        <v>6180</v>
      </c>
      <c r="F132" t="s">
        <v>6181</v>
      </c>
      <c r="G132">
        <v>0</v>
      </c>
      <c r="H132" t="s">
        <v>6182</v>
      </c>
      <c r="I132" t="s">
        <v>90</v>
      </c>
      <c r="J132" t="s">
        <v>5824</v>
      </c>
    </row>
    <row r="133" spans="1:10" ht="15" customHeight="1" x14ac:dyDescent="0.25">
      <c r="A133" t="s">
        <v>6183</v>
      </c>
      <c r="B133" t="s">
        <v>3530</v>
      </c>
      <c r="C133" t="s">
        <v>4644</v>
      </c>
      <c r="D133">
        <v>1</v>
      </c>
      <c r="E133" t="s">
        <v>6184</v>
      </c>
      <c r="F133" t="s">
        <v>6185</v>
      </c>
      <c r="G133">
        <v>1</v>
      </c>
      <c r="H133" t="s">
        <v>6183</v>
      </c>
      <c r="I133" t="s">
        <v>90</v>
      </c>
      <c r="J133" t="s">
        <v>5786</v>
      </c>
    </row>
    <row r="134" spans="1:10" ht="15" customHeight="1" x14ac:dyDescent="0.25">
      <c r="A134" t="s">
        <v>6186</v>
      </c>
      <c r="B134" t="s">
        <v>3518</v>
      </c>
      <c r="C134" t="s">
        <v>5852</v>
      </c>
      <c r="D134">
        <v>5</v>
      </c>
      <c r="E134" t="s">
        <v>6187</v>
      </c>
      <c r="F134" t="s">
        <v>6187</v>
      </c>
      <c r="G134">
        <v>4</v>
      </c>
      <c r="H134" t="s">
        <v>6188</v>
      </c>
      <c r="I134" t="s">
        <v>1673</v>
      </c>
    </row>
    <row r="135" spans="1:10" ht="15" customHeight="1" x14ac:dyDescent="0.25">
      <c r="A135" t="s">
        <v>6189</v>
      </c>
      <c r="B135" t="s">
        <v>41</v>
      </c>
      <c r="C135" t="s">
        <v>5488</v>
      </c>
      <c r="D135">
        <v>1</v>
      </c>
      <c r="E135" t="s">
        <v>6190</v>
      </c>
      <c r="F135" t="s">
        <v>6191</v>
      </c>
      <c r="G135">
        <v>1</v>
      </c>
      <c r="H135" t="s">
        <v>6189</v>
      </c>
      <c r="I135" t="s">
        <v>2362</v>
      </c>
      <c r="J135" t="s">
        <v>6009</v>
      </c>
    </row>
    <row r="136" spans="1:10" ht="15" customHeight="1" x14ac:dyDescent="0.25">
      <c r="A136" t="s">
        <v>5744</v>
      </c>
      <c r="B136" t="s">
        <v>3563</v>
      </c>
      <c r="C136" t="s">
        <v>5769</v>
      </c>
      <c r="D136">
        <v>0</v>
      </c>
      <c r="E136" t="s">
        <v>6192</v>
      </c>
      <c r="F136" t="s">
        <v>6193</v>
      </c>
      <c r="G136">
        <v>0</v>
      </c>
      <c r="H136" t="s">
        <v>5744</v>
      </c>
      <c r="I136" t="s">
        <v>90</v>
      </c>
      <c r="J136" t="s">
        <v>5800</v>
      </c>
    </row>
    <row r="137" spans="1:10" ht="15" customHeight="1" x14ac:dyDescent="0.25">
      <c r="A137" t="s">
        <v>6194</v>
      </c>
      <c r="B137" t="s">
        <v>3518</v>
      </c>
      <c r="C137" t="s">
        <v>5407</v>
      </c>
      <c r="D137">
        <v>3</v>
      </c>
      <c r="E137" t="s">
        <v>6195</v>
      </c>
      <c r="F137" t="s">
        <v>6195</v>
      </c>
      <c r="G137">
        <v>2</v>
      </c>
      <c r="H137" t="s">
        <v>6194</v>
      </c>
      <c r="I137" t="s">
        <v>90</v>
      </c>
      <c r="J137" t="s">
        <v>6039</v>
      </c>
    </row>
    <row r="138" spans="1:10" ht="15" customHeight="1" x14ac:dyDescent="0.25">
      <c r="A138" t="s">
        <v>6196</v>
      </c>
      <c r="B138" t="s">
        <v>3530</v>
      </c>
      <c r="C138" t="s">
        <v>4644</v>
      </c>
      <c r="D138">
        <v>1</v>
      </c>
      <c r="E138" t="s">
        <v>6197</v>
      </c>
      <c r="F138" t="s">
        <v>6198</v>
      </c>
      <c r="G138">
        <v>1</v>
      </c>
      <c r="H138" t="s">
        <v>6199</v>
      </c>
      <c r="I138" t="s">
        <v>90</v>
      </c>
      <c r="J138" t="s">
        <v>5931</v>
      </c>
    </row>
    <row r="139" spans="1:10" ht="15" customHeight="1" x14ac:dyDescent="0.25">
      <c r="A139" t="s">
        <v>6200</v>
      </c>
      <c r="B139" t="s">
        <v>3518</v>
      </c>
      <c r="C139" t="s">
        <v>5407</v>
      </c>
      <c r="D139">
        <v>0</v>
      </c>
      <c r="E139" t="s">
        <v>6201</v>
      </c>
      <c r="F139" t="s">
        <v>6202</v>
      </c>
      <c r="G139">
        <v>0</v>
      </c>
      <c r="H139" t="s">
        <v>6200</v>
      </c>
      <c r="I139" t="s">
        <v>90</v>
      </c>
      <c r="J139" t="s">
        <v>6203</v>
      </c>
    </row>
    <row r="140" spans="1:10" ht="15" customHeight="1" x14ac:dyDescent="0.25">
      <c r="A140" t="s">
        <v>6204</v>
      </c>
      <c r="B140" t="s">
        <v>41</v>
      </c>
      <c r="C140" t="s">
        <v>5407</v>
      </c>
      <c r="D140">
        <v>1</v>
      </c>
      <c r="E140" t="s">
        <v>6205</v>
      </c>
      <c r="F140" t="s">
        <v>6206</v>
      </c>
      <c r="G140">
        <v>1</v>
      </c>
      <c r="H140" t="s">
        <v>6204</v>
      </c>
      <c r="I140" t="s">
        <v>90</v>
      </c>
      <c r="J140" t="s">
        <v>5870</v>
      </c>
    </row>
    <row r="141" spans="1:10" ht="15" customHeight="1" x14ac:dyDescent="0.25">
      <c r="A141" t="s">
        <v>6207</v>
      </c>
      <c r="B141" t="s">
        <v>4344</v>
      </c>
      <c r="C141" t="s">
        <v>4291</v>
      </c>
      <c r="D141" t="s">
        <v>4035</v>
      </c>
      <c r="E141" t="s">
        <v>6208</v>
      </c>
      <c r="F141" t="s">
        <v>3467</v>
      </c>
      <c r="G141" t="s">
        <v>3467</v>
      </c>
      <c r="H141" t="s">
        <v>6207</v>
      </c>
      <c r="I141" t="s">
        <v>90</v>
      </c>
      <c r="J141" t="s">
        <v>5917</v>
      </c>
    </row>
    <row r="142" spans="1:10" ht="15" customHeight="1" x14ac:dyDescent="0.25">
      <c r="A142" t="s">
        <v>6209</v>
      </c>
      <c r="B142" t="s">
        <v>41</v>
      </c>
      <c r="C142" t="s">
        <v>5769</v>
      </c>
      <c r="D142">
        <v>2</v>
      </c>
      <c r="E142" t="s">
        <v>6210</v>
      </c>
      <c r="F142" t="s">
        <v>6211</v>
      </c>
      <c r="G142">
        <v>2</v>
      </c>
      <c r="H142" t="s">
        <v>6212</v>
      </c>
      <c r="I142" t="s">
        <v>90</v>
      </c>
      <c r="J142" t="s">
        <v>5782</v>
      </c>
    </row>
    <row r="143" spans="1:10" ht="15" customHeight="1" x14ac:dyDescent="0.25">
      <c r="A143" t="s">
        <v>6213</v>
      </c>
      <c r="B143" t="s">
        <v>3518</v>
      </c>
      <c r="C143" t="s">
        <v>5407</v>
      </c>
      <c r="D143">
        <v>1</v>
      </c>
      <c r="E143" t="s">
        <v>6214</v>
      </c>
      <c r="F143" t="s">
        <v>6214</v>
      </c>
      <c r="G143">
        <v>0</v>
      </c>
      <c r="H143" t="s">
        <v>6215</v>
      </c>
      <c r="I143" t="s">
        <v>90</v>
      </c>
      <c r="J143" t="s">
        <v>5824</v>
      </c>
    </row>
    <row r="144" spans="1:10" ht="15" customHeight="1" x14ac:dyDescent="0.25">
      <c r="A144" t="s">
        <v>6216</v>
      </c>
      <c r="B144" t="s">
        <v>41</v>
      </c>
      <c r="C144" t="s">
        <v>5407</v>
      </c>
      <c r="D144">
        <v>1</v>
      </c>
      <c r="E144" t="s">
        <v>6217</v>
      </c>
      <c r="F144" t="s">
        <v>6218</v>
      </c>
      <c r="G144">
        <v>1</v>
      </c>
      <c r="H144" t="s">
        <v>6219</v>
      </c>
      <c r="I144" t="s">
        <v>90</v>
      </c>
      <c r="J144" t="s">
        <v>6178</v>
      </c>
    </row>
    <row r="145" spans="1:10" ht="15" customHeight="1" x14ac:dyDescent="0.25">
      <c r="A145" t="s">
        <v>6220</v>
      </c>
      <c r="B145" t="s">
        <v>41</v>
      </c>
      <c r="C145" t="s">
        <v>5769</v>
      </c>
      <c r="D145">
        <v>1</v>
      </c>
      <c r="E145" t="s">
        <v>6221</v>
      </c>
      <c r="F145" t="s">
        <v>6222</v>
      </c>
      <c r="G145">
        <v>1</v>
      </c>
      <c r="H145" t="s">
        <v>6223</v>
      </c>
      <c r="I145" t="s">
        <v>90</v>
      </c>
      <c r="J145" t="s">
        <v>5800</v>
      </c>
    </row>
    <row r="146" spans="1:10" ht="15" customHeight="1" x14ac:dyDescent="0.25">
      <c r="A146" t="s">
        <v>6224</v>
      </c>
      <c r="B146" t="s">
        <v>41</v>
      </c>
      <c r="C146" t="s">
        <v>5769</v>
      </c>
      <c r="D146">
        <v>1</v>
      </c>
      <c r="E146" t="s">
        <v>6225</v>
      </c>
      <c r="F146" t="s">
        <v>6226</v>
      </c>
      <c r="G146">
        <v>1</v>
      </c>
      <c r="H146" t="s">
        <v>6227</v>
      </c>
      <c r="I146" t="s">
        <v>90</v>
      </c>
      <c r="J146" t="s">
        <v>6228</v>
      </c>
    </row>
    <row r="147" spans="1:10" ht="15" customHeight="1" x14ac:dyDescent="0.25">
      <c r="A147" t="s">
        <v>6229</v>
      </c>
      <c r="B147" t="s">
        <v>3530</v>
      </c>
      <c r="C147" t="s">
        <v>5407</v>
      </c>
      <c r="D147">
        <v>1</v>
      </c>
      <c r="E147" t="s">
        <v>6230</v>
      </c>
      <c r="F147" t="s">
        <v>6231</v>
      </c>
      <c r="G147">
        <v>1</v>
      </c>
      <c r="H147" t="s">
        <v>6232</v>
      </c>
      <c r="I147" t="s">
        <v>90</v>
      </c>
      <c r="J147" t="s">
        <v>6233</v>
      </c>
    </row>
    <row r="148" spans="1:10" ht="15" customHeight="1" x14ac:dyDescent="0.25">
      <c r="A148" t="s">
        <v>6234</v>
      </c>
      <c r="B148" t="s">
        <v>3530</v>
      </c>
      <c r="C148" t="s">
        <v>5769</v>
      </c>
      <c r="D148">
        <v>2</v>
      </c>
      <c r="E148" t="s">
        <v>6235</v>
      </c>
      <c r="F148" t="s">
        <v>6236</v>
      </c>
      <c r="G148">
        <v>2</v>
      </c>
      <c r="H148" t="s">
        <v>6234</v>
      </c>
      <c r="I148" t="s">
        <v>90</v>
      </c>
      <c r="J148" t="s">
        <v>6072</v>
      </c>
    </row>
    <row r="149" spans="1:10" ht="15" customHeight="1" x14ac:dyDescent="0.25">
      <c r="A149" t="s">
        <v>6237</v>
      </c>
      <c r="B149" t="s">
        <v>41</v>
      </c>
      <c r="C149" t="s">
        <v>5407</v>
      </c>
      <c r="D149">
        <v>0</v>
      </c>
      <c r="E149" t="s">
        <v>6238</v>
      </c>
      <c r="F149" t="s">
        <v>6239</v>
      </c>
      <c r="G149">
        <v>0</v>
      </c>
      <c r="H149" t="s">
        <v>6237</v>
      </c>
      <c r="I149" t="s">
        <v>90</v>
      </c>
      <c r="J149" t="s">
        <v>5755</v>
      </c>
    </row>
    <row r="150" spans="1:10" ht="15" customHeight="1" x14ac:dyDescent="0.25">
      <c r="A150" t="s">
        <v>6240</v>
      </c>
      <c r="B150" t="s">
        <v>3530</v>
      </c>
      <c r="C150" t="s">
        <v>5769</v>
      </c>
      <c r="D150">
        <v>1</v>
      </c>
      <c r="E150" t="s">
        <v>6241</v>
      </c>
      <c r="F150" t="s">
        <v>6242</v>
      </c>
      <c r="G150">
        <v>1</v>
      </c>
      <c r="H150" t="s">
        <v>6240</v>
      </c>
      <c r="I150" t="s">
        <v>90</v>
      </c>
      <c r="J150" t="s">
        <v>6051</v>
      </c>
    </row>
    <row r="151" spans="1:10" ht="15" customHeight="1" x14ac:dyDescent="0.25">
      <c r="A151" t="s">
        <v>5191</v>
      </c>
      <c r="B151" t="s">
        <v>4344</v>
      </c>
      <c r="C151" t="s">
        <v>4291</v>
      </c>
      <c r="D151" t="s">
        <v>4035</v>
      </c>
      <c r="E151" t="s">
        <v>6243</v>
      </c>
      <c r="F151" t="s">
        <v>3467</v>
      </c>
      <c r="G151" t="s">
        <v>4035</v>
      </c>
      <c r="H151" t="s">
        <v>6244</v>
      </c>
      <c r="I151" t="s">
        <v>1650</v>
      </c>
    </row>
    <row r="152" spans="1:10" ht="15" customHeight="1" x14ac:dyDescent="0.25">
      <c r="A152" t="s">
        <v>6245</v>
      </c>
      <c r="B152" t="s">
        <v>4344</v>
      </c>
      <c r="C152" t="s">
        <v>3674</v>
      </c>
      <c r="D152">
        <v>1</v>
      </c>
      <c r="E152" t="s">
        <v>6246</v>
      </c>
      <c r="F152" t="s">
        <v>3467</v>
      </c>
      <c r="G152" t="s">
        <v>3467</v>
      </c>
      <c r="H152" t="s">
        <v>6247</v>
      </c>
      <c r="I152" t="s">
        <v>501</v>
      </c>
      <c r="J152" t="s">
        <v>5840</v>
      </c>
    </row>
    <row r="153" spans="1:10" ht="15" customHeight="1" x14ac:dyDescent="0.25">
      <c r="A153" t="s">
        <v>6248</v>
      </c>
      <c r="B153" t="s">
        <v>41</v>
      </c>
      <c r="C153" t="s">
        <v>5769</v>
      </c>
      <c r="D153">
        <v>1</v>
      </c>
      <c r="E153" t="s">
        <v>6249</v>
      </c>
      <c r="F153" t="s">
        <v>6250</v>
      </c>
      <c r="G153">
        <v>1</v>
      </c>
      <c r="H153" t="s">
        <v>6251</v>
      </c>
      <c r="I153" t="s">
        <v>90</v>
      </c>
      <c r="J153" t="s">
        <v>6252</v>
      </c>
    </row>
    <row r="154" spans="1:10" ht="15" customHeight="1" x14ac:dyDescent="0.25">
      <c r="A154" t="s">
        <v>5409</v>
      </c>
      <c r="B154" t="s">
        <v>3530</v>
      </c>
      <c r="C154" t="s">
        <v>5407</v>
      </c>
      <c r="D154">
        <v>0</v>
      </c>
      <c r="E154" t="s">
        <v>6253</v>
      </c>
      <c r="F154" t="s">
        <v>6254</v>
      </c>
      <c r="G154">
        <v>0</v>
      </c>
      <c r="H154" t="s">
        <v>5409</v>
      </c>
      <c r="I154" t="s">
        <v>90</v>
      </c>
      <c r="J154" t="s">
        <v>5786</v>
      </c>
    </row>
    <row r="155" spans="1:10" ht="15" customHeight="1" x14ac:dyDescent="0.25">
      <c r="A155" t="s">
        <v>6255</v>
      </c>
      <c r="B155" t="s">
        <v>3530</v>
      </c>
      <c r="C155" t="s">
        <v>5769</v>
      </c>
      <c r="D155">
        <v>1</v>
      </c>
      <c r="E155" t="s">
        <v>6256</v>
      </c>
      <c r="F155" t="s">
        <v>6257</v>
      </c>
      <c r="G155">
        <v>1</v>
      </c>
      <c r="H155" t="s">
        <v>6255</v>
      </c>
      <c r="I155" t="s">
        <v>90</v>
      </c>
      <c r="J155" t="s">
        <v>6106</v>
      </c>
    </row>
    <row r="156" spans="1:10" ht="15" customHeight="1" x14ac:dyDescent="0.25">
      <c r="A156" t="s">
        <v>6258</v>
      </c>
      <c r="B156" t="s">
        <v>3530</v>
      </c>
      <c r="C156" t="s">
        <v>5488</v>
      </c>
      <c r="D156">
        <v>1</v>
      </c>
      <c r="E156" t="s">
        <v>5918</v>
      </c>
      <c r="F156" t="s">
        <v>5919</v>
      </c>
      <c r="G156">
        <v>1</v>
      </c>
      <c r="H156" t="s">
        <v>6258</v>
      </c>
      <c r="I156" t="s">
        <v>2362</v>
      </c>
      <c r="J156" t="s">
        <v>5921</v>
      </c>
    </row>
    <row r="157" spans="1:10" ht="15" customHeight="1" x14ac:dyDescent="0.25">
      <c r="A157" t="s">
        <v>6259</v>
      </c>
      <c r="B157" t="s">
        <v>3518</v>
      </c>
      <c r="C157" t="s">
        <v>5769</v>
      </c>
      <c r="D157">
        <v>2</v>
      </c>
      <c r="E157" t="s">
        <v>6260</v>
      </c>
      <c r="F157" t="s">
        <v>6261</v>
      </c>
      <c r="G157">
        <v>2</v>
      </c>
      <c r="H157" t="s">
        <v>6259</v>
      </c>
      <c r="I157" t="s">
        <v>90</v>
      </c>
      <c r="J157" t="s">
        <v>6043</v>
      </c>
    </row>
    <row r="158" spans="1:10" ht="15" customHeight="1" x14ac:dyDescent="0.25">
      <c r="A158" t="s">
        <v>6262</v>
      </c>
      <c r="B158" t="s">
        <v>3530</v>
      </c>
      <c r="C158" t="s">
        <v>5769</v>
      </c>
      <c r="D158">
        <v>0</v>
      </c>
      <c r="E158" t="s">
        <v>6263</v>
      </c>
      <c r="F158" t="s">
        <v>6264</v>
      </c>
      <c r="G158">
        <v>0</v>
      </c>
      <c r="H158" t="s">
        <v>6265</v>
      </c>
      <c r="I158" t="s">
        <v>90</v>
      </c>
      <c r="J158" t="s">
        <v>6266</v>
      </c>
    </row>
    <row r="159" spans="1:10" ht="15" customHeight="1" x14ac:dyDescent="0.25">
      <c r="A159" t="s">
        <v>6267</v>
      </c>
      <c r="B159" t="s">
        <v>4344</v>
      </c>
      <c r="C159" t="s">
        <v>3674</v>
      </c>
      <c r="D159">
        <v>1</v>
      </c>
      <c r="E159" t="s">
        <v>6268</v>
      </c>
      <c r="F159" t="s">
        <v>3467</v>
      </c>
      <c r="G159" t="s">
        <v>3467</v>
      </c>
      <c r="H159" t="s">
        <v>6269</v>
      </c>
      <c r="I159" t="s">
        <v>501</v>
      </c>
      <c r="J159" t="s">
        <v>5840</v>
      </c>
    </row>
    <row r="160" spans="1:10" ht="15" customHeight="1" x14ac:dyDescent="0.25">
      <c r="A160" t="s">
        <v>6270</v>
      </c>
      <c r="B160" t="s">
        <v>3530</v>
      </c>
      <c r="C160" t="s">
        <v>5407</v>
      </c>
      <c r="D160" t="s">
        <v>4035</v>
      </c>
      <c r="E160" t="s">
        <v>6271</v>
      </c>
      <c r="F160" t="s">
        <v>6272</v>
      </c>
      <c r="G160" t="s">
        <v>4035</v>
      </c>
      <c r="H160" t="s">
        <v>6270</v>
      </c>
      <c r="I160" t="s">
        <v>90</v>
      </c>
      <c r="J160" t="s">
        <v>5884</v>
      </c>
    </row>
    <row r="161" spans="1:10" ht="15" customHeight="1" x14ac:dyDescent="0.25">
      <c r="A161" t="s">
        <v>5156</v>
      </c>
      <c r="B161" t="s">
        <v>4344</v>
      </c>
      <c r="C161" t="s">
        <v>4291</v>
      </c>
      <c r="D161" t="s">
        <v>4035</v>
      </c>
      <c r="E161" t="s">
        <v>6273</v>
      </c>
      <c r="F161" t="s">
        <v>3467</v>
      </c>
      <c r="G161" t="s">
        <v>3467</v>
      </c>
      <c r="H161" t="s">
        <v>5156</v>
      </c>
      <c r="I161" t="s">
        <v>90</v>
      </c>
      <c r="J161" t="s">
        <v>5917</v>
      </c>
    </row>
    <row r="162" spans="1:10" ht="15" customHeight="1" x14ac:dyDescent="0.25">
      <c r="A162" t="s">
        <v>6274</v>
      </c>
      <c r="B162" t="s">
        <v>3530</v>
      </c>
      <c r="C162" t="s">
        <v>5769</v>
      </c>
      <c r="D162">
        <v>2</v>
      </c>
      <c r="E162" t="s">
        <v>6275</v>
      </c>
      <c r="F162" t="s">
        <v>6276</v>
      </c>
      <c r="G162">
        <v>2</v>
      </c>
      <c r="H162" t="s">
        <v>6277</v>
      </c>
      <c r="I162" t="s">
        <v>90</v>
      </c>
      <c r="J162" t="s">
        <v>5824</v>
      </c>
    </row>
    <row r="163" spans="1:10" ht="15" customHeight="1" x14ac:dyDescent="0.25">
      <c r="A163" t="s">
        <v>6278</v>
      </c>
      <c r="B163" t="s">
        <v>3530</v>
      </c>
      <c r="C163" t="s">
        <v>5852</v>
      </c>
      <c r="D163">
        <v>2</v>
      </c>
      <c r="E163" t="s">
        <v>6279</v>
      </c>
      <c r="F163" t="s">
        <v>6280</v>
      </c>
      <c r="G163">
        <v>2</v>
      </c>
      <c r="H163" t="s">
        <v>6281</v>
      </c>
      <c r="I163" t="s">
        <v>1673</v>
      </c>
    </row>
    <row r="164" spans="1:10" ht="15" customHeight="1" x14ac:dyDescent="0.25">
      <c r="A164" t="s">
        <v>6282</v>
      </c>
      <c r="B164" t="s">
        <v>3530</v>
      </c>
      <c r="C164" t="s">
        <v>4644</v>
      </c>
      <c r="D164">
        <v>1</v>
      </c>
      <c r="E164" t="s">
        <v>6283</v>
      </c>
      <c r="F164" t="s">
        <v>6284</v>
      </c>
      <c r="G164">
        <v>1</v>
      </c>
      <c r="H164" t="s">
        <v>6282</v>
      </c>
      <c r="I164" t="s">
        <v>90</v>
      </c>
      <c r="J164" t="s">
        <v>5974</v>
      </c>
    </row>
    <row r="165" spans="1:10" ht="15" customHeight="1" x14ac:dyDescent="0.25">
      <c r="A165" t="s">
        <v>4863</v>
      </c>
      <c r="B165" t="s">
        <v>3530</v>
      </c>
      <c r="C165" t="s">
        <v>5407</v>
      </c>
      <c r="D165">
        <v>1</v>
      </c>
      <c r="E165" t="s">
        <v>6285</v>
      </c>
      <c r="F165" t="s">
        <v>6285</v>
      </c>
      <c r="G165">
        <v>1</v>
      </c>
      <c r="H165" t="s">
        <v>4866</v>
      </c>
      <c r="I165" t="s">
        <v>1650</v>
      </c>
      <c r="J165" t="s">
        <v>5802</v>
      </c>
    </row>
    <row r="166" spans="1:10" ht="15" customHeight="1" x14ac:dyDescent="0.25">
      <c r="A166" t="s">
        <v>6286</v>
      </c>
      <c r="B166" t="s">
        <v>3530</v>
      </c>
      <c r="C166" t="s">
        <v>5769</v>
      </c>
      <c r="D166">
        <v>2</v>
      </c>
      <c r="E166" t="s">
        <v>6287</v>
      </c>
      <c r="F166" t="s">
        <v>3467</v>
      </c>
      <c r="G166">
        <v>2</v>
      </c>
      <c r="H166" t="s">
        <v>6288</v>
      </c>
      <c r="I166" t="s">
        <v>90</v>
      </c>
      <c r="J166" t="s">
        <v>6106</v>
      </c>
    </row>
    <row r="167" spans="1:10" ht="15" customHeight="1" x14ac:dyDescent="0.25">
      <c r="A167" t="s">
        <v>6289</v>
      </c>
      <c r="B167" t="s">
        <v>3530</v>
      </c>
      <c r="C167" t="s">
        <v>5407</v>
      </c>
      <c r="D167">
        <v>1</v>
      </c>
      <c r="E167" t="s">
        <v>6290</v>
      </c>
      <c r="F167" t="s">
        <v>6291</v>
      </c>
      <c r="G167">
        <v>1</v>
      </c>
      <c r="H167" t="s">
        <v>6292</v>
      </c>
      <c r="I167" t="s">
        <v>90</v>
      </c>
      <c r="J167" t="s">
        <v>6046</v>
      </c>
    </row>
    <row r="168" spans="1:10" ht="15" customHeight="1" x14ac:dyDescent="0.25">
      <c r="A168" t="s">
        <v>6293</v>
      </c>
      <c r="B168" t="s">
        <v>3530</v>
      </c>
      <c r="C168" t="s">
        <v>5407</v>
      </c>
      <c r="D168">
        <v>1</v>
      </c>
      <c r="E168" t="s">
        <v>6294</v>
      </c>
      <c r="F168" t="s">
        <v>6294</v>
      </c>
      <c r="G168">
        <v>0</v>
      </c>
      <c r="H168" t="s">
        <v>6295</v>
      </c>
      <c r="I168" t="s">
        <v>90</v>
      </c>
      <c r="J168" t="s">
        <v>6296</v>
      </c>
    </row>
    <row r="169" spans="1:10" ht="15" customHeight="1" x14ac:dyDescent="0.25">
      <c r="A169" t="s">
        <v>6297</v>
      </c>
      <c r="B169" t="s">
        <v>3518</v>
      </c>
      <c r="C169" t="s">
        <v>5407</v>
      </c>
      <c r="D169">
        <v>0</v>
      </c>
      <c r="E169" t="s">
        <v>6298</v>
      </c>
      <c r="F169" t="s">
        <v>6299</v>
      </c>
      <c r="G169">
        <v>0</v>
      </c>
      <c r="H169" t="s">
        <v>6297</v>
      </c>
      <c r="I169" t="s">
        <v>90</v>
      </c>
      <c r="J169" t="s">
        <v>6300</v>
      </c>
    </row>
    <row r="170" spans="1:10" ht="15" customHeight="1" x14ac:dyDescent="0.25">
      <c r="A170" t="s">
        <v>6301</v>
      </c>
      <c r="B170" t="s">
        <v>3530</v>
      </c>
      <c r="C170" t="s">
        <v>5407</v>
      </c>
      <c r="D170">
        <v>1</v>
      </c>
      <c r="E170" t="s">
        <v>6302</v>
      </c>
      <c r="F170" t="s">
        <v>6303</v>
      </c>
      <c r="G170">
        <v>1</v>
      </c>
      <c r="H170" t="s">
        <v>6301</v>
      </c>
      <c r="I170" t="s">
        <v>90</v>
      </c>
      <c r="J170" t="s">
        <v>6046</v>
      </c>
    </row>
    <row r="171" spans="1:10" ht="15" customHeight="1" x14ac:dyDescent="0.25">
      <c r="A171" t="s">
        <v>6304</v>
      </c>
      <c r="B171" t="s">
        <v>3530</v>
      </c>
      <c r="C171" t="s">
        <v>5407</v>
      </c>
      <c r="D171">
        <v>1</v>
      </c>
      <c r="E171" t="s">
        <v>6305</v>
      </c>
      <c r="F171" t="s">
        <v>6305</v>
      </c>
      <c r="G171">
        <v>0</v>
      </c>
      <c r="H171" t="s">
        <v>6304</v>
      </c>
      <c r="I171" t="s">
        <v>90</v>
      </c>
      <c r="J171" t="s">
        <v>5870</v>
      </c>
    </row>
    <row r="172" spans="1:10" ht="15" customHeight="1" x14ac:dyDescent="0.25">
      <c r="A172" t="s">
        <v>6306</v>
      </c>
      <c r="B172" t="s">
        <v>3530</v>
      </c>
      <c r="C172" t="s">
        <v>5769</v>
      </c>
      <c r="D172">
        <v>2</v>
      </c>
      <c r="E172" t="s">
        <v>6307</v>
      </c>
      <c r="F172" t="s">
        <v>6308</v>
      </c>
      <c r="G172">
        <v>2</v>
      </c>
      <c r="H172" t="s">
        <v>6309</v>
      </c>
      <c r="I172" t="s">
        <v>90</v>
      </c>
      <c r="J172" t="s">
        <v>6051</v>
      </c>
    </row>
    <row r="173" spans="1:10" ht="15" customHeight="1" x14ac:dyDescent="0.25">
      <c r="A173" t="s">
        <v>6310</v>
      </c>
      <c r="B173" t="s">
        <v>4344</v>
      </c>
      <c r="C173" t="s">
        <v>4291</v>
      </c>
      <c r="D173" t="s">
        <v>4035</v>
      </c>
      <c r="E173" t="s">
        <v>6311</v>
      </c>
      <c r="F173" t="s">
        <v>3467</v>
      </c>
      <c r="G173" t="s">
        <v>3467</v>
      </c>
      <c r="H173" t="s">
        <v>6310</v>
      </c>
      <c r="I173" t="s">
        <v>90</v>
      </c>
      <c r="J173" t="s">
        <v>5917</v>
      </c>
    </row>
    <row r="174" spans="1:10" ht="15" customHeight="1" x14ac:dyDescent="0.25">
      <c r="A174" t="s">
        <v>6312</v>
      </c>
      <c r="B174" t="s">
        <v>4344</v>
      </c>
      <c r="C174" t="s">
        <v>5769</v>
      </c>
      <c r="D174">
        <v>0</v>
      </c>
      <c r="E174" t="s">
        <v>6313</v>
      </c>
      <c r="F174" t="s">
        <v>6314</v>
      </c>
      <c r="G174">
        <v>0</v>
      </c>
      <c r="H174" t="s">
        <v>6312</v>
      </c>
      <c r="I174" t="s">
        <v>90</v>
      </c>
    </row>
    <row r="175" spans="1:10" ht="15" customHeight="1" x14ac:dyDescent="0.25">
      <c r="A175" t="s">
        <v>6315</v>
      </c>
      <c r="B175" t="s">
        <v>3530</v>
      </c>
      <c r="C175" t="s">
        <v>5407</v>
      </c>
      <c r="D175">
        <v>2</v>
      </c>
      <c r="E175" t="s">
        <v>6316</v>
      </c>
      <c r="F175" t="s">
        <v>6317</v>
      </c>
      <c r="G175">
        <v>2</v>
      </c>
      <c r="H175" t="s">
        <v>6315</v>
      </c>
      <c r="I175" t="s">
        <v>90</v>
      </c>
      <c r="J175" t="s">
        <v>5984</v>
      </c>
    </row>
    <row r="176" spans="1:10" ht="15" customHeight="1" x14ac:dyDescent="0.25">
      <c r="A176" t="s">
        <v>6318</v>
      </c>
      <c r="B176" t="s">
        <v>41</v>
      </c>
      <c r="C176" t="s">
        <v>5407</v>
      </c>
      <c r="D176">
        <v>1</v>
      </c>
      <c r="E176" t="s">
        <v>6319</v>
      </c>
      <c r="F176" t="s">
        <v>6320</v>
      </c>
      <c r="G176">
        <v>1</v>
      </c>
      <c r="H176" t="s">
        <v>6321</v>
      </c>
      <c r="I176" t="s">
        <v>90</v>
      </c>
      <c r="J176" t="s">
        <v>6322</v>
      </c>
    </row>
    <row r="177" spans="1:10" ht="15" customHeight="1" x14ac:dyDescent="0.25">
      <c r="A177" t="s">
        <v>6323</v>
      </c>
      <c r="B177" t="s">
        <v>3530</v>
      </c>
      <c r="C177" t="s">
        <v>5769</v>
      </c>
      <c r="D177" t="s">
        <v>5993</v>
      </c>
      <c r="E177" t="s">
        <v>6324</v>
      </c>
      <c r="F177" t="s">
        <v>6325</v>
      </c>
      <c r="G177" t="s">
        <v>5993</v>
      </c>
      <c r="H177" t="s">
        <v>6323</v>
      </c>
      <c r="I177" t="s">
        <v>90</v>
      </c>
      <c r="J177" t="s">
        <v>5824</v>
      </c>
    </row>
    <row r="178" spans="1:10" ht="15" customHeight="1" x14ac:dyDescent="0.25">
      <c r="A178" t="s">
        <v>6326</v>
      </c>
      <c r="B178" t="s">
        <v>41</v>
      </c>
      <c r="C178" t="s">
        <v>5769</v>
      </c>
      <c r="D178">
        <v>0</v>
      </c>
      <c r="E178" t="s">
        <v>6327</v>
      </c>
      <c r="F178" t="s">
        <v>6328</v>
      </c>
      <c r="G178">
        <v>0</v>
      </c>
      <c r="H178" t="s">
        <v>6326</v>
      </c>
      <c r="I178" t="s">
        <v>90</v>
      </c>
      <c r="J178" t="s">
        <v>5824</v>
      </c>
    </row>
    <row r="179" spans="1:10" ht="15" customHeight="1" x14ac:dyDescent="0.25">
      <c r="A179" t="s">
        <v>6329</v>
      </c>
      <c r="B179" t="s">
        <v>4344</v>
      </c>
      <c r="C179" t="s">
        <v>3674</v>
      </c>
      <c r="D179">
        <v>1</v>
      </c>
      <c r="E179" t="s">
        <v>6330</v>
      </c>
      <c r="F179" t="s">
        <v>3467</v>
      </c>
      <c r="G179" t="s">
        <v>3467</v>
      </c>
      <c r="H179" t="s">
        <v>6329</v>
      </c>
      <c r="I179" t="s">
        <v>90</v>
      </c>
    </row>
    <row r="180" spans="1:10" ht="15" customHeight="1" x14ac:dyDescent="0.25">
      <c r="A180" t="s">
        <v>6331</v>
      </c>
      <c r="B180" t="s">
        <v>41</v>
      </c>
      <c r="C180" t="s">
        <v>5769</v>
      </c>
      <c r="D180">
        <v>2</v>
      </c>
      <c r="E180" t="s">
        <v>6332</v>
      </c>
      <c r="F180" t="s">
        <v>6333</v>
      </c>
      <c r="G180">
        <v>2</v>
      </c>
      <c r="H180" t="s">
        <v>6334</v>
      </c>
      <c r="I180" t="s">
        <v>90</v>
      </c>
      <c r="J180" t="s">
        <v>6072</v>
      </c>
    </row>
    <row r="181" spans="1:10" ht="15" customHeight="1" x14ac:dyDescent="0.25">
      <c r="A181" t="s">
        <v>6335</v>
      </c>
      <c r="B181" t="s">
        <v>3530</v>
      </c>
      <c r="C181" t="s">
        <v>5488</v>
      </c>
      <c r="D181">
        <v>1</v>
      </c>
      <c r="E181" t="s">
        <v>5918</v>
      </c>
      <c r="F181" t="s">
        <v>5919</v>
      </c>
      <c r="G181">
        <v>1</v>
      </c>
      <c r="H181" t="s">
        <v>6335</v>
      </c>
      <c r="I181" t="s">
        <v>2362</v>
      </c>
      <c r="J181" t="s">
        <v>6053</v>
      </c>
    </row>
    <row r="182" spans="1:10" ht="15" customHeight="1" x14ac:dyDescent="0.25">
      <c r="A182" t="s">
        <v>6336</v>
      </c>
      <c r="B182" t="s">
        <v>3530</v>
      </c>
      <c r="C182" t="s">
        <v>5407</v>
      </c>
      <c r="D182">
        <v>1</v>
      </c>
      <c r="E182" t="s">
        <v>6337</v>
      </c>
      <c r="F182" t="s">
        <v>6338</v>
      </c>
      <c r="G182">
        <v>1</v>
      </c>
      <c r="H182" t="s">
        <v>6339</v>
      </c>
      <c r="I182" t="s">
        <v>90</v>
      </c>
      <c r="J182" t="s">
        <v>5974</v>
      </c>
    </row>
    <row r="183" spans="1:10" ht="15" customHeight="1" x14ac:dyDescent="0.25">
      <c r="A183" t="s">
        <v>6340</v>
      </c>
      <c r="B183" t="s">
        <v>3518</v>
      </c>
      <c r="C183" t="s">
        <v>5407</v>
      </c>
      <c r="D183">
        <v>1</v>
      </c>
      <c r="E183" t="s">
        <v>6341</v>
      </c>
      <c r="F183" t="s">
        <v>6342</v>
      </c>
      <c r="G183">
        <v>1</v>
      </c>
      <c r="H183" t="s">
        <v>6343</v>
      </c>
      <c r="I183" t="s">
        <v>90</v>
      </c>
      <c r="J183" t="s">
        <v>6344</v>
      </c>
    </row>
    <row r="184" spans="1:10" ht="15" customHeight="1" x14ac:dyDescent="0.25">
      <c r="A184" t="s">
        <v>6345</v>
      </c>
      <c r="B184" t="s">
        <v>3563</v>
      </c>
      <c r="C184" t="s">
        <v>5769</v>
      </c>
      <c r="D184">
        <v>1</v>
      </c>
      <c r="E184" t="s">
        <v>6327</v>
      </c>
      <c r="F184" t="s">
        <v>6328</v>
      </c>
      <c r="G184">
        <v>1</v>
      </c>
      <c r="H184" t="s">
        <v>3467</v>
      </c>
      <c r="I184" t="s">
        <v>3467</v>
      </c>
    </row>
    <row r="185" spans="1:10" ht="15" customHeight="1" x14ac:dyDescent="0.25">
      <c r="A185" t="s">
        <v>6346</v>
      </c>
      <c r="B185" t="s">
        <v>41</v>
      </c>
      <c r="C185" t="s">
        <v>5769</v>
      </c>
      <c r="D185">
        <v>1</v>
      </c>
      <c r="E185" t="s">
        <v>6347</v>
      </c>
      <c r="F185" t="s">
        <v>6348</v>
      </c>
      <c r="G185">
        <v>1</v>
      </c>
      <c r="H185" t="s">
        <v>6349</v>
      </c>
      <c r="I185" t="s">
        <v>90</v>
      </c>
      <c r="J185" t="s">
        <v>5800</v>
      </c>
    </row>
    <row r="186" spans="1:10" ht="15" customHeight="1" x14ac:dyDescent="0.25">
      <c r="A186" t="s">
        <v>5743</v>
      </c>
      <c r="B186" t="s">
        <v>3563</v>
      </c>
      <c r="C186" t="s">
        <v>5407</v>
      </c>
      <c r="D186">
        <v>1</v>
      </c>
      <c r="E186" t="s">
        <v>6350</v>
      </c>
      <c r="F186" t="s">
        <v>6351</v>
      </c>
      <c r="G186">
        <v>1</v>
      </c>
      <c r="H186" t="s">
        <v>5743</v>
      </c>
      <c r="I186" t="s">
        <v>90</v>
      </c>
      <c r="J186" t="s">
        <v>6352</v>
      </c>
    </row>
    <row r="187" spans="1:10" ht="15" customHeight="1" x14ac:dyDescent="0.25">
      <c r="A187" t="s">
        <v>6353</v>
      </c>
      <c r="B187" t="s">
        <v>41</v>
      </c>
      <c r="C187" t="s">
        <v>5769</v>
      </c>
      <c r="D187">
        <v>1</v>
      </c>
      <c r="E187" t="s">
        <v>6354</v>
      </c>
      <c r="F187" t="s">
        <v>6355</v>
      </c>
      <c r="G187">
        <v>1</v>
      </c>
      <c r="H187" t="s">
        <v>6356</v>
      </c>
      <c r="I187" t="s">
        <v>90</v>
      </c>
      <c r="J187" t="s">
        <v>6357</v>
      </c>
    </row>
    <row r="188" spans="1:10" ht="15" customHeight="1" x14ac:dyDescent="0.25">
      <c r="A188" t="s">
        <v>6358</v>
      </c>
      <c r="B188" t="s">
        <v>41</v>
      </c>
      <c r="C188" t="s">
        <v>5769</v>
      </c>
      <c r="D188">
        <v>1</v>
      </c>
      <c r="E188" t="s">
        <v>6359</v>
      </c>
      <c r="F188" t="s">
        <v>6360</v>
      </c>
      <c r="G188">
        <v>1</v>
      </c>
      <c r="H188" t="s">
        <v>6361</v>
      </c>
      <c r="I188" t="s">
        <v>90</v>
      </c>
      <c r="J188" t="s">
        <v>5782</v>
      </c>
    </row>
    <row r="189" spans="1:10" ht="15" customHeight="1" x14ac:dyDescent="0.25">
      <c r="A189" t="s">
        <v>6362</v>
      </c>
      <c r="B189" t="s">
        <v>3530</v>
      </c>
      <c r="C189" t="s">
        <v>5407</v>
      </c>
      <c r="D189" t="s">
        <v>4035</v>
      </c>
      <c r="E189" t="s">
        <v>6363</v>
      </c>
      <c r="F189" t="s">
        <v>6364</v>
      </c>
      <c r="G189" t="s">
        <v>4035</v>
      </c>
      <c r="H189" t="s">
        <v>6362</v>
      </c>
      <c r="I189" t="s">
        <v>90</v>
      </c>
      <c r="J189" t="s">
        <v>6365</v>
      </c>
    </row>
    <row r="190" spans="1:10" ht="15" customHeight="1" x14ac:dyDescent="0.25">
      <c r="A190" t="s">
        <v>6366</v>
      </c>
      <c r="B190" t="s">
        <v>3530</v>
      </c>
      <c r="C190" t="s">
        <v>5852</v>
      </c>
      <c r="D190">
        <v>3</v>
      </c>
      <c r="E190" t="s">
        <v>6367</v>
      </c>
      <c r="F190" t="s">
        <v>6368</v>
      </c>
      <c r="G190">
        <v>3</v>
      </c>
      <c r="H190" t="s">
        <v>6369</v>
      </c>
      <c r="I190" t="s">
        <v>1673</v>
      </c>
    </row>
    <row r="191" spans="1:10" ht="15" customHeight="1" x14ac:dyDescent="0.25">
      <c r="A191" t="s">
        <v>6370</v>
      </c>
      <c r="B191" t="s">
        <v>3530</v>
      </c>
      <c r="C191" t="s">
        <v>5407</v>
      </c>
      <c r="D191">
        <v>1</v>
      </c>
      <c r="E191" t="s">
        <v>6371</v>
      </c>
      <c r="F191" t="s">
        <v>6371</v>
      </c>
      <c r="G191">
        <v>0</v>
      </c>
      <c r="H191" t="s">
        <v>6370</v>
      </c>
      <c r="I191" t="s">
        <v>90</v>
      </c>
      <c r="J191" t="s">
        <v>6178</v>
      </c>
    </row>
    <row r="192" spans="1:10" ht="15" customHeight="1" x14ac:dyDescent="0.25">
      <c r="A192" t="s">
        <v>6372</v>
      </c>
      <c r="B192" t="s">
        <v>41</v>
      </c>
      <c r="C192" t="s">
        <v>5769</v>
      </c>
      <c r="D192">
        <v>1</v>
      </c>
      <c r="E192" t="s">
        <v>6373</v>
      </c>
      <c r="F192" t="s">
        <v>6374</v>
      </c>
      <c r="G192">
        <v>1</v>
      </c>
      <c r="H192" t="s">
        <v>6372</v>
      </c>
      <c r="I192" t="s">
        <v>90</v>
      </c>
      <c r="J192" t="s">
        <v>5914</v>
      </c>
    </row>
    <row r="193" spans="1:10" ht="15" customHeight="1" x14ac:dyDescent="0.25">
      <c r="A193" t="s">
        <v>6375</v>
      </c>
      <c r="B193" t="s">
        <v>3518</v>
      </c>
      <c r="C193" t="s">
        <v>4644</v>
      </c>
      <c r="D193">
        <v>1</v>
      </c>
      <c r="E193" t="s">
        <v>6376</v>
      </c>
      <c r="F193" t="s">
        <v>6376</v>
      </c>
      <c r="G193">
        <v>0</v>
      </c>
      <c r="H193" t="s">
        <v>6377</v>
      </c>
      <c r="I193" t="s">
        <v>90</v>
      </c>
      <c r="J193" t="s">
        <v>5755</v>
      </c>
    </row>
    <row r="194" spans="1:10" ht="15" customHeight="1" x14ac:dyDescent="0.25">
      <c r="A194" t="s">
        <v>6378</v>
      </c>
      <c r="B194" t="s">
        <v>41</v>
      </c>
      <c r="C194" t="s">
        <v>5407</v>
      </c>
      <c r="D194">
        <v>1</v>
      </c>
      <c r="E194" t="s">
        <v>6379</v>
      </c>
      <c r="F194" t="s">
        <v>6380</v>
      </c>
      <c r="G194">
        <v>1</v>
      </c>
      <c r="H194" t="s">
        <v>6381</v>
      </c>
      <c r="I194" t="s">
        <v>90</v>
      </c>
      <c r="J194" t="s">
        <v>6046</v>
      </c>
    </row>
    <row r="195" spans="1:10" ht="15" customHeight="1" x14ac:dyDescent="0.25">
      <c r="A195" t="s">
        <v>6382</v>
      </c>
      <c r="B195" t="s">
        <v>41</v>
      </c>
      <c r="C195" t="s">
        <v>5769</v>
      </c>
      <c r="D195">
        <v>1</v>
      </c>
      <c r="E195" t="s">
        <v>6383</v>
      </c>
      <c r="F195" t="s">
        <v>6384</v>
      </c>
      <c r="G195">
        <v>1</v>
      </c>
      <c r="H195" t="s">
        <v>6385</v>
      </c>
      <c r="I195" t="s">
        <v>90</v>
      </c>
      <c r="J195" t="s">
        <v>5782</v>
      </c>
    </row>
    <row r="196" spans="1:10" ht="15" customHeight="1" x14ac:dyDescent="0.25">
      <c r="A196" t="s">
        <v>6386</v>
      </c>
      <c r="B196" t="s">
        <v>3518</v>
      </c>
      <c r="C196" t="s">
        <v>5769</v>
      </c>
      <c r="D196">
        <v>1</v>
      </c>
      <c r="E196" t="s">
        <v>6387</v>
      </c>
      <c r="F196" t="s">
        <v>6388</v>
      </c>
      <c r="G196">
        <v>1</v>
      </c>
      <c r="H196" t="s">
        <v>6386</v>
      </c>
      <c r="I196" t="s">
        <v>90</v>
      </c>
      <c r="J196" t="s">
        <v>6029</v>
      </c>
    </row>
    <row r="197" spans="1:10" ht="15" customHeight="1" x14ac:dyDescent="0.25">
      <c r="A197" t="s">
        <v>6389</v>
      </c>
      <c r="B197" t="s">
        <v>3530</v>
      </c>
      <c r="C197" t="s">
        <v>5769</v>
      </c>
      <c r="D197">
        <v>2</v>
      </c>
      <c r="E197" t="s">
        <v>6390</v>
      </c>
      <c r="F197" t="s">
        <v>6391</v>
      </c>
      <c r="G197">
        <v>2</v>
      </c>
      <c r="H197" t="s">
        <v>6389</v>
      </c>
      <c r="I197" t="s">
        <v>90</v>
      </c>
      <c r="J197" t="s">
        <v>5914</v>
      </c>
    </row>
    <row r="198" spans="1:10" ht="15" customHeight="1" x14ac:dyDescent="0.25">
      <c r="A198" t="s">
        <v>6392</v>
      </c>
      <c r="B198" t="s">
        <v>3518</v>
      </c>
      <c r="C198" t="s">
        <v>5488</v>
      </c>
      <c r="D198">
        <v>1</v>
      </c>
      <c r="E198" t="s">
        <v>5918</v>
      </c>
      <c r="F198" t="s">
        <v>5919</v>
      </c>
      <c r="G198">
        <v>1</v>
      </c>
      <c r="H198" t="s">
        <v>6392</v>
      </c>
      <c r="I198" t="s">
        <v>2362</v>
      </c>
      <c r="J198" t="s">
        <v>6053</v>
      </c>
    </row>
    <row r="199" spans="1:10" ht="15" customHeight="1" x14ac:dyDescent="0.25">
      <c r="A199" t="s">
        <v>6393</v>
      </c>
      <c r="B199" t="s">
        <v>41</v>
      </c>
      <c r="C199" t="s">
        <v>5407</v>
      </c>
      <c r="D199">
        <v>0</v>
      </c>
      <c r="E199" t="s">
        <v>6394</v>
      </c>
      <c r="F199" t="s">
        <v>6395</v>
      </c>
      <c r="G199">
        <v>0</v>
      </c>
      <c r="H199" t="s">
        <v>6393</v>
      </c>
      <c r="I199" t="s">
        <v>90</v>
      </c>
      <c r="J199" t="s">
        <v>5810</v>
      </c>
    </row>
    <row r="200" spans="1:10" ht="15" customHeight="1" x14ac:dyDescent="0.25">
      <c r="A200" t="s">
        <v>6396</v>
      </c>
      <c r="B200" t="s">
        <v>3530</v>
      </c>
      <c r="C200" t="s">
        <v>5488</v>
      </c>
      <c r="D200">
        <v>1</v>
      </c>
      <c r="E200" t="s">
        <v>5918</v>
      </c>
      <c r="F200" t="s">
        <v>5919</v>
      </c>
      <c r="G200">
        <v>1</v>
      </c>
      <c r="H200" t="s">
        <v>6396</v>
      </c>
      <c r="I200" t="s">
        <v>2362</v>
      </c>
      <c r="J200" t="s">
        <v>5966</v>
      </c>
    </row>
    <row r="201" spans="1:10" ht="15" customHeight="1" x14ac:dyDescent="0.25">
      <c r="A201" t="s">
        <v>5338</v>
      </c>
      <c r="B201" t="s">
        <v>3530</v>
      </c>
      <c r="C201" t="s">
        <v>4644</v>
      </c>
      <c r="D201">
        <v>1</v>
      </c>
      <c r="E201" t="s">
        <v>6397</v>
      </c>
      <c r="F201" t="s">
        <v>6398</v>
      </c>
      <c r="G201">
        <v>1</v>
      </c>
      <c r="H201" t="s">
        <v>5340</v>
      </c>
      <c r="I201" t="s">
        <v>90</v>
      </c>
      <c r="J201" t="s">
        <v>6039</v>
      </c>
    </row>
    <row r="202" spans="1:10" ht="15" customHeight="1" x14ac:dyDescent="0.25">
      <c r="A202" t="s">
        <v>6399</v>
      </c>
      <c r="B202" t="s">
        <v>3530</v>
      </c>
      <c r="C202" t="s">
        <v>5769</v>
      </c>
      <c r="D202" t="s">
        <v>5993</v>
      </c>
      <c r="E202" t="s">
        <v>6400</v>
      </c>
      <c r="F202" t="s">
        <v>6401</v>
      </c>
      <c r="G202" t="s">
        <v>5993</v>
      </c>
      <c r="H202" t="s">
        <v>6399</v>
      </c>
      <c r="I202" t="s">
        <v>90</v>
      </c>
      <c r="J202" t="s">
        <v>5782</v>
      </c>
    </row>
    <row r="203" spans="1:10" ht="15" customHeight="1" x14ac:dyDescent="0.25">
      <c r="A203" t="s">
        <v>6402</v>
      </c>
      <c r="B203" t="s">
        <v>3530</v>
      </c>
      <c r="C203" t="s">
        <v>5407</v>
      </c>
      <c r="D203">
        <v>1</v>
      </c>
      <c r="E203" t="s">
        <v>6403</v>
      </c>
      <c r="F203" t="s">
        <v>6403</v>
      </c>
      <c r="G203">
        <v>0</v>
      </c>
      <c r="H203" t="s">
        <v>6404</v>
      </c>
      <c r="I203" t="s">
        <v>90</v>
      </c>
      <c r="J203" t="s">
        <v>6405</v>
      </c>
    </row>
    <row r="204" spans="1:10" ht="15" customHeight="1" x14ac:dyDescent="0.25">
      <c r="A204" t="s">
        <v>6406</v>
      </c>
      <c r="B204" t="s">
        <v>41</v>
      </c>
      <c r="C204" t="s">
        <v>5769</v>
      </c>
      <c r="D204">
        <v>1</v>
      </c>
      <c r="E204" t="s">
        <v>6407</v>
      </c>
      <c r="F204" t="s">
        <v>6408</v>
      </c>
      <c r="G204">
        <v>1</v>
      </c>
      <c r="H204" t="s">
        <v>6409</v>
      </c>
      <c r="I204" t="s">
        <v>90</v>
      </c>
      <c r="J204" t="s">
        <v>6032</v>
      </c>
    </row>
    <row r="205" spans="1:10" ht="15" customHeight="1" x14ac:dyDescent="0.25">
      <c r="A205" t="s">
        <v>6410</v>
      </c>
      <c r="B205" t="s">
        <v>4344</v>
      </c>
      <c r="C205" t="s">
        <v>3674</v>
      </c>
      <c r="D205" t="s">
        <v>4035</v>
      </c>
      <c r="E205" t="s">
        <v>6135</v>
      </c>
      <c r="F205" t="s">
        <v>3467</v>
      </c>
      <c r="G205" t="s">
        <v>4035</v>
      </c>
      <c r="H205" t="s">
        <v>6410</v>
      </c>
      <c r="I205" t="s">
        <v>90</v>
      </c>
    </row>
    <row r="206" spans="1:10" ht="15" customHeight="1" x14ac:dyDescent="0.25">
      <c r="A206" t="s">
        <v>6411</v>
      </c>
      <c r="B206" t="s">
        <v>3518</v>
      </c>
      <c r="C206" t="s">
        <v>4644</v>
      </c>
      <c r="D206">
        <v>3</v>
      </c>
      <c r="E206" t="s">
        <v>6412</v>
      </c>
      <c r="F206" t="s">
        <v>6413</v>
      </c>
      <c r="G206">
        <v>3</v>
      </c>
      <c r="H206" t="s">
        <v>6414</v>
      </c>
      <c r="I206" t="s">
        <v>90</v>
      </c>
      <c r="J206" t="s">
        <v>5764</v>
      </c>
    </row>
    <row r="207" spans="1:10" ht="15" customHeight="1" x14ac:dyDescent="0.25">
      <c r="A207" t="s">
        <v>6415</v>
      </c>
      <c r="B207" t="s">
        <v>4344</v>
      </c>
      <c r="C207" t="s">
        <v>4291</v>
      </c>
      <c r="D207" t="s">
        <v>4035</v>
      </c>
      <c r="E207" t="s">
        <v>6416</v>
      </c>
      <c r="F207" t="s">
        <v>3467</v>
      </c>
      <c r="G207" t="s">
        <v>3467</v>
      </c>
      <c r="H207" t="s">
        <v>6415</v>
      </c>
      <c r="I207" t="s">
        <v>90</v>
      </c>
      <c r="J207" t="s">
        <v>5917</v>
      </c>
    </row>
    <row r="208" spans="1:10" ht="15" customHeight="1" x14ac:dyDescent="0.25">
      <c r="A208" t="s">
        <v>6417</v>
      </c>
      <c r="B208" t="s">
        <v>4344</v>
      </c>
      <c r="C208" t="s">
        <v>3674</v>
      </c>
      <c r="D208">
        <v>1</v>
      </c>
      <c r="E208" t="s">
        <v>6418</v>
      </c>
      <c r="F208" t="s">
        <v>3467</v>
      </c>
      <c r="G208" t="s">
        <v>3467</v>
      </c>
      <c r="H208" t="s">
        <v>6419</v>
      </c>
      <c r="I208" t="s">
        <v>501</v>
      </c>
      <c r="J208" t="s">
        <v>5840</v>
      </c>
    </row>
    <row r="209" spans="1:10" ht="15" customHeight="1" x14ac:dyDescent="0.25">
      <c r="A209" t="s">
        <v>4749</v>
      </c>
      <c r="B209" t="s">
        <v>41</v>
      </c>
      <c r="C209" t="s">
        <v>5769</v>
      </c>
      <c r="D209">
        <v>1</v>
      </c>
      <c r="E209" t="s">
        <v>6162</v>
      </c>
      <c r="F209" t="s">
        <v>6162</v>
      </c>
      <c r="G209">
        <v>1</v>
      </c>
      <c r="H209" t="s">
        <v>4752</v>
      </c>
      <c r="I209" t="s">
        <v>1047</v>
      </c>
      <c r="J209" t="s">
        <v>5802</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5745</v>
      </c>
      <c r="E1" t="s">
        <v>3461</v>
      </c>
      <c r="F1" t="s">
        <v>6420</v>
      </c>
      <c r="G1" t="s">
        <v>6421</v>
      </c>
      <c r="H1" t="s">
        <v>6422</v>
      </c>
      <c r="I1" t="s">
        <v>6423</v>
      </c>
      <c r="J1" t="s">
        <v>5769</v>
      </c>
      <c r="K1" t="s">
        <v>4306</v>
      </c>
      <c r="L1" t="s">
        <v>1</v>
      </c>
      <c r="M1" t="s">
        <v>6424</v>
      </c>
      <c r="N1" t="s">
        <v>6425</v>
      </c>
      <c r="O1" t="s">
        <v>170</v>
      </c>
    </row>
    <row r="2" spans="1:15" ht="15" customHeight="1" x14ac:dyDescent="0.25">
      <c r="A2" t="s">
        <v>5748</v>
      </c>
      <c r="B2" t="s">
        <v>3530</v>
      </c>
      <c r="C2" t="s">
        <v>4644</v>
      </c>
      <c r="D2">
        <v>1</v>
      </c>
      <c r="E2" t="s">
        <v>5749</v>
      </c>
      <c r="F2" t="s">
        <v>6426</v>
      </c>
      <c r="G2" t="s">
        <v>5750</v>
      </c>
      <c r="H2" t="s">
        <v>6427</v>
      </c>
      <c r="I2">
        <v>1</v>
      </c>
      <c r="J2" t="s">
        <v>3467</v>
      </c>
      <c r="K2" t="s">
        <v>5748</v>
      </c>
      <c r="L2" t="s">
        <v>90</v>
      </c>
      <c r="M2" t="s">
        <v>3467</v>
      </c>
      <c r="N2" t="s">
        <v>3467</v>
      </c>
      <c r="O2" t="s">
        <v>5751</v>
      </c>
    </row>
    <row r="3" spans="1:15" ht="15" customHeight="1" x14ac:dyDescent="0.25">
      <c r="A3" t="s">
        <v>5752</v>
      </c>
      <c r="B3" t="s">
        <v>41</v>
      </c>
      <c r="C3" t="s">
        <v>5407</v>
      </c>
      <c r="D3">
        <v>1</v>
      </c>
      <c r="E3" t="s">
        <v>5753</v>
      </c>
      <c r="F3" t="s">
        <v>6428</v>
      </c>
      <c r="G3" t="s">
        <v>5754</v>
      </c>
      <c r="H3" t="s">
        <v>6429</v>
      </c>
      <c r="I3">
        <v>1</v>
      </c>
      <c r="J3" t="s">
        <v>3467</v>
      </c>
      <c r="K3" t="s">
        <v>5752</v>
      </c>
      <c r="L3" t="s">
        <v>90</v>
      </c>
      <c r="M3" t="s">
        <v>3467</v>
      </c>
      <c r="N3" t="s">
        <v>3467</v>
      </c>
      <c r="O3" t="s">
        <v>5755</v>
      </c>
    </row>
    <row r="4" spans="1:15" ht="15" customHeight="1" x14ac:dyDescent="0.25">
      <c r="A4" t="s">
        <v>5756</v>
      </c>
      <c r="B4" t="s">
        <v>3518</v>
      </c>
      <c r="C4" t="s">
        <v>5407</v>
      </c>
      <c r="D4">
        <v>0</v>
      </c>
      <c r="E4" t="s">
        <v>5757</v>
      </c>
      <c r="F4" t="s">
        <v>6430</v>
      </c>
      <c r="G4" t="s">
        <v>5758</v>
      </c>
      <c r="H4" t="s">
        <v>6431</v>
      </c>
      <c r="I4">
        <v>0</v>
      </c>
      <c r="J4" t="s">
        <v>3467</v>
      </c>
      <c r="K4" t="s">
        <v>5756</v>
      </c>
      <c r="L4" t="s">
        <v>90</v>
      </c>
      <c r="M4" t="s">
        <v>5543</v>
      </c>
      <c r="N4" t="s">
        <v>3467</v>
      </c>
      <c r="O4" t="s">
        <v>5759</v>
      </c>
    </row>
    <row r="5" spans="1:15" ht="15" customHeight="1" x14ac:dyDescent="0.25">
      <c r="A5" t="s">
        <v>5760</v>
      </c>
      <c r="B5" t="s">
        <v>3518</v>
      </c>
      <c r="C5" t="s">
        <v>4644</v>
      </c>
      <c r="D5">
        <v>1</v>
      </c>
      <c r="E5" t="s">
        <v>5761</v>
      </c>
      <c r="F5" t="s">
        <v>6432</v>
      </c>
      <c r="G5" t="s">
        <v>5762</v>
      </c>
      <c r="H5" t="s">
        <v>6432</v>
      </c>
      <c r="I5">
        <v>1</v>
      </c>
      <c r="J5" t="s">
        <v>3467</v>
      </c>
      <c r="K5" t="s">
        <v>5763</v>
      </c>
      <c r="L5" t="s">
        <v>90</v>
      </c>
      <c r="M5" t="s">
        <v>5482</v>
      </c>
      <c r="N5" t="s">
        <v>3467</v>
      </c>
      <c r="O5" t="s">
        <v>5764</v>
      </c>
    </row>
    <row r="6" spans="1:15" ht="15" customHeight="1" x14ac:dyDescent="0.25">
      <c r="A6" t="s">
        <v>5765</v>
      </c>
      <c r="B6" t="s">
        <v>3518</v>
      </c>
      <c r="C6" t="s">
        <v>5407</v>
      </c>
      <c r="D6">
        <v>1</v>
      </c>
      <c r="E6" t="s">
        <v>5766</v>
      </c>
      <c r="F6" t="s">
        <v>6433</v>
      </c>
      <c r="G6" t="s">
        <v>5766</v>
      </c>
      <c r="H6" t="s">
        <v>6433</v>
      </c>
      <c r="I6">
        <v>0</v>
      </c>
      <c r="J6" t="s">
        <v>3467</v>
      </c>
      <c r="K6" t="s">
        <v>5765</v>
      </c>
      <c r="L6" t="s">
        <v>90</v>
      </c>
      <c r="M6" t="s">
        <v>5543</v>
      </c>
      <c r="N6" t="s">
        <v>3467</v>
      </c>
      <c r="O6" t="s">
        <v>6434</v>
      </c>
    </row>
    <row r="7" spans="1:15" ht="15" customHeight="1" x14ac:dyDescent="0.25">
      <c r="A7" t="s">
        <v>5768</v>
      </c>
      <c r="B7" t="s">
        <v>3518</v>
      </c>
      <c r="C7" t="s">
        <v>5769</v>
      </c>
      <c r="D7">
        <v>2</v>
      </c>
      <c r="E7" t="s">
        <v>6435</v>
      </c>
      <c r="F7" t="s">
        <v>6436</v>
      </c>
      <c r="G7" t="s">
        <v>6437</v>
      </c>
      <c r="H7" t="s">
        <v>6438</v>
      </c>
      <c r="I7">
        <v>2</v>
      </c>
      <c r="J7" t="s">
        <v>6439</v>
      </c>
      <c r="K7" t="s">
        <v>5772</v>
      </c>
      <c r="L7" t="s">
        <v>90</v>
      </c>
      <c r="M7" t="s">
        <v>3467</v>
      </c>
      <c r="N7" t="s">
        <v>3467</v>
      </c>
      <c r="O7" t="s">
        <v>5773</v>
      </c>
    </row>
    <row r="8" spans="1:15" ht="15" customHeight="1" x14ac:dyDescent="0.25">
      <c r="A8" t="s">
        <v>5774</v>
      </c>
      <c r="B8" t="s">
        <v>3530</v>
      </c>
      <c r="C8" t="s">
        <v>5769</v>
      </c>
      <c r="D8">
        <v>1</v>
      </c>
      <c r="E8" t="s">
        <v>6440</v>
      </c>
      <c r="F8" t="s">
        <v>6441</v>
      </c>
      <c r="G8" t="s">
        <v>6442</v>
      </c>
      <c r="H8" t="s">
        <v>6443</v>
      </c>
      <c r="I8">
        <v>1</v>
      </c>
      <c r="J8" t="s">
        <v>6444</v>
      </c>
      <c r="K8" t="s">
        <v>5777</v>
      </c>
      <c r="L8" t="s">
        <v>90</v>
      </c>
      <c r="M8" t="s">
        <v>3467</v>
      </c>
      <c r="N8" t="s">
        <v>3467</v>
      </c>
      <c r="O8" t="s">
        <v>5778</v>
      </c>
    </row>
    <row r="9" spans="1:15" ht="15" customHeight="1" x14ac:dyDescent="0.25">
      <c r="A9" t="s">
        <v>5779</v>
      </c>
      <c r="B9" t="s">
        <v>41</v>
      </c>
      <c r="C9" t="s">
        <v>5769</v>
      </c>
      <c r="D9">
        <v>0</v>
      </c>
      <c r="E9" t="s">
        <v>5780</v>
      </c>
      <c r="F9" t="s">
        <v>6445</v>
      </c>
      <c r="G9" t="s">
        <v>5781</v>
      </c>
      <c r="H9" t="s">
        <v>6446</v>
      </c>
      <c r="I9">
        <v>0</v>
      </c>
      <c r="J9" t="s">
        <v>6447</v>
      </c>
      <c r="K9" t="s">
        <v>5779</v>
      </c>
      <c r="L9" t="s">
        <v>90</v>
      </c>
      <c r="M9" t="s">
        <v>3467</v>
      </c>
      <c r="N9" t="s">
        <v>3467</v>
      </c>
      <c r="O9" t="s">
        <v>5782</v>
      </c>
    </row>
    <row r="10" spans="1:15" ht="15" customHeight="1" x14ac:dyDescent="0.25">
      <c r="A10" t="s">
        <v>5783</v>
      </c>
      <c r="B10" t="s">
        <v>41</v>
      </c>
      <c r="C10" t="s">
        <v>5407</v>
      </c>
      <c r="D10">
        <v>1</v>
      </c>
      <c r="E10" t="s">
        <v>5784</v>
      </c>
      <c r="F10" t="s">
        <v>6448</v>
      </c>
      <c r="G10" t="s">
        <v>5785</v>
      </c>
      <c r="H10" t="s">
        <v>6449</v>
      </c>
      <c r="I10">
        <v>1</v>
      </c>
      <c r="J10" t="s">
        <v>3467</v>
      </c>
      <c r="K10" t="s">
        <v>5783</v>
      </c>
      <c r="L10" t="s">
        <v>90</v>
      </c>
      <c r="M10" t="s">
        <v>3467</v>
      </c>
      <c r="N10" t="s">
        <v>3467</v>
      </c>
      <c r="O10" t="s">
        <v>5786</v>
      </c>
    </row>
    <row r="11" spans="1:15" ht="15" customHeight="1" x14ac:dyDescent="0.25">
      <c r="A11" t="s">
        <v>5787</v>
      </c>
      <c r="B11" t="s">
        <v>41</v>
      </c>
      <c r="C11" t="s">
        <v>5407</v>
      </c>
      <c r="D11">
        <v>1</v>
      </c>
      <c r="E11" t="s">
        <v>5788</v>
      </c>
      <c r="F11" t="s">
        <v>6450</v>
      </c>
      <c r="G11" t="s">
        <v>5789</v>
      </c>
      <c r="H11" t="s">
        <v>6451</v>
      </c>
      <c r="I11">
        <v>1</v>
      </c>
      <c r="J11" t="s">
        <v>3467</v>
      </c>
      <c r="K11" t="s">
        <v>5787</v>
      </c>
      <c r="L11" t="s">
        <v>90</v>
      </c>
      <c r="M11" t="s">
        <v>3467</v>
      </c>
      <c r="N11" t="s">
        <v>3467</v>
      </c>
      <c r="O11" t="s">
        <v>5790</v>
      </c>
    </row>
    <row r="12" spans="1:15" ht="15" customHeight="1" x14ac:dyDescent="0.25">
      <c r="A12" t="s">
        <v>5791</v>
      </c>
      <c r="B12" t="s">
        <v>3530</v>
      </c>
      <c r="C12" t="s">
        <v>5769</v>
      </c>
      <c r="D12">
        <v>0</v>
      </c>
      <c r="E12" t="s">
        <v>5792</v>
      </c>
      <c r="F12" t="s">
        <v>6452</v>
      </c>
      <c r="G12" t="s">
        <v>5793</v>
      </c>
      <c r="H12" t="s">
        <v>6453</v>
      </c>
      <c r="I12">
        <v>0</v>
      </c>
      <c r="J12" t="s">
        <v>6439</v>
      </c>
      <c r="K12" t="s">
        <v>5791</v>
      </c>
      <c r="L12" t="s">
        <v>90</v>
      </c>
      <c r="M12" t="s">
        <v>6454</v>
      </c>
      <c r="N12" t="s">
        <v>3467</v>
      </c>
      <c r="O12" t="s">
        <v>5794</v>
      </c>
    </row>
    <row r="13" spans="1:15" ht="15" customHeight="1" x14ac:dyDescent="0.25">
      <c r="A13" t="s">
        <v>4474</v>
      </c>
      <c r="B13" t="s">
        <v>3530</v>
      </c>
      <c r="C13" t="s">
        <v>5407</v>
      </c>
      <c r="D13">
        <v>1</v>
      </c>
      <c r="E13" t="s">
        <v>5795</v>
      </c>
      <c r="F13" t="s">
        <v>6455</v>
      </c>
      <c r="G13" t="s">
        <v>5795</v>
      </c>
      <c r="H13" t="s">
        <v>6455</v>
      </c>
      <c r="I13">
        <v>1</v>
      </c>
      <c r="J13" t="s">
        <v>6456</v>
      </c>
      <c r="K13" t="s">
        <v>4479</v>
      </c>
      <c r="L13" t="s">
        <v>1650</v>
      </c>
      <c r="M13" t="s">
        <v>3467</v>
      </c>
      <c r="N13" t="s">
        <v>3467</v>
      </c>
      <c r="O13" t="s">
        <v>6457</v>
      </c>
    </row>
    <row r="14" spans="1:15" ht="15" customHeight="1" x14ac:dyDescent="0.25">
      <c r="A14" t="s">
        <v>5797</v>
      </c>
      <c r="B14" t="s">
        <v>41</v>
      </c>
      <c r="C14" t="s">
        <v>5769</v>
      </c>
      <c r="D14">
        <v>1</v>
      </c>
      <c r="E14" t="s">
        <v>6458</v>
      </c>
      <c r="F14" t="s">
        <v>6459</v>
      </c>
      <c r="G14" t="s">
        <v>6460</v>
      </c>
      <c r="H14" t="s">
        <v>6461</v>
      </c>
      <c r="I14">
        <v>1</v>
      </c>
      <c r="J14" t="s">
        <v>6456</v>
      </c>
      <c r="K14" t="s">
        <v>5797</v>
      </c>
      <c r="L14" t="s">
        <v>90</v>
      </c>
      <c r="M14" t="s">
        <v>3467</v>
      </c>
      <c r="N14" t="s">
        <v>3467</v>
      </c>
      <c r="O14" t="s">
        <v>6462</v>
      </c>
    </row>
    <row r="15" spans="1:15" ht="15" customHeight="1" x14ac:dyDescent="0.25">
      <c r="A15" t="s">
        <v>4485</v>
      </c>
      <c r="B15" t="s">
        <v>3530</v>
      </c>
      <c r="C15" t="s">
        <v>5769</v>
      </c>
      <c r="D15">
        <v>1</v>
      </c>
      <c r="E15" t="s">
        <v>5801</v>
      </c>
      <c r="F15" t="s">
        <v>6463</v>
      </c>
      <c r="G15" t="s">
        <v>5801</v>
      </c>
      <c r="H15" t="s">
        <v>6463</v>
      </c>
      <c r="I15">
        <v>1</v>
      </c>
      <c r="J15" t="s">
        <v>6464</v>
      </c>
      <c r="K15" t="s">
        <v>4485</v>
      </c>
      <c r="L15" t="s">
        <v>1047</v>
      </c>
      <c r="M15" t="s">
        <v>5474</v>
      </c>
      <c r="N15" t="s">
        <v>3467</v>
      </c>
      <c r="O15" t="s">
        <v>5802</v>
      </c>
    </row>
    <row r="16" spans="1:15" ht="15" customHeight="1" x14ac:dyDescent="0.25">
      <c r="A16" t="s">
        <v>3537</v>
      </c>
      <c r="B16" t="s">
        <v>3518</v>
      </c>
      <c r="C16" t="s">
        <v>4644</v>
      </c>
      <c r="D16">
        <v>3</v>
      </c>
      <c r="E16" s="9" t="s">
        <v>6465</v>
      </c>
      <c r="F16" t="s">
        <v>6466</v>
      </c>
      <c r="G16" s="9" t="s">
        <v>6465</v>
      </c>
      <c r="H16" t="s">
        <v>6466</v>
      </c>
      <c r="I16">
        <v>2</v>
      </c>
      <c r="J16" t="s">
        <v>3467</v>
      </c>
      <c r="K16" t="s">
        <v>3537</v>
      </c>
      <c r="L16" t="s">
        <v>90</v>
      </c>
      <c r="M16" t="s">
        <v>3467</v>
      </c>
      <c r="N16" t="s">
        <v>3467</v>
      </c>
      <c r="O16" t="s">
        <v>6467</v>
      </c>
    </row>
    <row r="17" spans="1:15" ht="15" customHeight="1" x14ac:dyDescent="0.25">
      <c r="A17" t="s">
        <v>3451</v>
      </c>
      <c r="B17" t="s">
        <v>3563</v>
      </c>
      <c r="C17" t="s">
        <v>5769</v>
      </c>
      <c r="D17">
        <v>2</v>
      </c>
      <c r="E17" t="s">
        <v>5804</v>
      </c>
      <c r="F17" t="s">
        <v>6468</v>
      </c>
      <c r="G17" t="s">
        <v>5805</v>
      </c>
      <c r="H17" t="s">
        <v>6469</v>
      </c>
      <c r="I17">
        <v>2</v>
      </c>
      <c r="J17" t="s">
        <v>6470</v>
      </c>
      <c r="K17" t="s">
        <v>3451</v>
      </c>
      <c r="L17" t="s">
        <v>90</v>
      </c>
      <c r="M17" t="s">
        <v>3467</v>
      </c>
      <c r="N17" t="s">
        <v>3467</v>
      </c>
      <c r="O17" t="s">
        <v>5782</v>
      </c>
    </row>
    <row r="18" spans="1:15" ht="15" customHeight="1" x14ac:dyDescent="0.25">
      <c r="A18" t="s">
        <v>5806</v>
      </c>
      <c r="B18" t="s">
        <v>3530</v>
      </c>
      <c r="C18" t="s">
        <v>5407</v>
      </c>
      <c r="D18">
        <v>0</v>
      </c>
      <c r="E18" s="9" t="s">
        <v>6471</v>
      </c>
      <c r="F18" t="s">
        <v>6472</v>
      </c>
      <c r="G18" s="9" t="s">
        <v>6473</v>
      </c>
      <c r="H18" t="s">
        <v>6474</v>
      </c>
      <c r="I18" t="s">
        <v>3467</v>
      </c>
      <c r="J18" t="s">
        <v>3467</v>
      </c>
      <c r="K18" t="s">
        <v>5809</v>
      </c>
      <c r="L18" t="s">
        <v>90</v>
      </c>
      <c r="M18" t="s">
        <v>3467</v>
      </c>
      <c r="N18" t="s">
        <v>3467</v>
      </c>
      <c r="O18" t="s">
        <v>5810</v>
      </c>
    </row>
    <row r="19" spans="1:15" ht="15" customHeight="1" x14ac:dyDescent="0.25">
      <c r="A19" t="s">
        <v>5811</v>
      </c>
      <c r="B19" t="s">
        <v>41</v>
      </c>
      <c r="C19" t="s">
        <v>5769</v>
      </c>
      <c r="D19">
        <v>0</v>
      </c>
      <c r="E19" t="s">
        <v>5812</v>
      </c>
      <c r="F19" t="s">
        <v>6475</v>
      </c>
      <c r="G19" t="s">
        <v>5813</v>
      </c>
      <c r="H19" t="s">
        <v>6476</v>
      </c>
      <c r="I19">
        <v>0</v>
      </c>
      <c r="J19" t="s">
        <v>6477</v>
      </c>
      <c r="K19" t="s">
        <v>5814</v>
      </c>
      <c r="L19" t="s">
        <v>90</v>
      </c>
      <c r="M19" t="s">
        <v>3467</v>
      </c>
      <c r="N19" t="s">
        <v>3467</v>
      </c>
      <c r="O19" t="s">
        <v>5815</v>
      </c>
    </row>
    <row r="20" spans="1:15" ht="15" customHeight="1" x14ac:dyDescent="0.25">
      <c r="A20" t="s">
        <v>5820</v>
      </c>
      <c r="B20" t="s">
        <v>41</v>
      </c>
      <c r="C20" t="s">
        <v>5407</v>
      </c>
      <c r="D20">
        <v>1</v>
      </c>
      <c r="E20" t="s">
        <v>5821</v>
      </c>
      <c r="F20" t="s">
        <v>6478</v>
      </c>
      <c r="G20" t="s">
        <v>5822</v>
      </c>
      <c r="H20" t="s">
        <v>6479</v>
      </c>
      <c r="I20">
        <v>1</v>
      </c>
      <c r="J20" t="s">
        <v>3467</v>
      </c>
      <c r="K20" t="s">
        <v>5823</v>
      </c>
      <c r="L20" t="s">
        <v>90</v>
      </c>
      <c r="M20" t="s">
        <v>3467</v>
      </c>
      <c r="N20" t="s">
        <v>3467</v>
      </c>
      <c r="O20" t="s">
        <v>5824</v>
      </c>
    </row>
    <row r="21" spans="1:15" ht="15" customHeight="1" x14ac:dyDescent="0.25">
      <c r="A21" t="s">
        <v>4512</v>
      </c>
      <c r="B21" t="s">
        <v>41</v>
      </c>
      <c r="C21" t="s">
        <v>5769</v>
      </c>
      <c r="D21">
        <v>1</v>
      </c>
      <c r="E21" t="s">
        <v>5825</v>
      </c>
      <c r="F21" t="s">
        <v>6480</v>
      </c>
      <c r="G21" t="s">
        <v>5825</v>
      </c>
      <c r="H21" t="s">
        <v>6480</v>
      </c>
      <c r="I21">
        <v>1</v>
      </c>
      <c r="J21" t="s">
        <v>6464</v>
      </c>
      <c r="K21" t="s">
        <v>4515</v>
      </c>
      <c r="L21" t="s">
        <v>1105</v>
      </c>
      <c r="M21" t="s">
        <v>5515</v>
      </c>
      <c r="N21" t="s">
        <v>3467</v>
      </c>
      <c r="O21" t="s">
        <v>5802</v>
      </c>
    </row>
    <row r="22" spans="1:15" ht="15" customHeight="1" x14ac:dyDescent="0.25">
      <c r="A22" t="s">
        <v>5826</v>
      </c>
      <c r="B22" t="s">
        <v>3530</v>
      </c>
      <c r="C22" t="s">
        <v>5769</v>
      </c>
      <c r="D22">
        <v>4</v>
      </c>
      <c r="E22" s="9" t="s">
        <v>5827</v>
      </c>
      <c r="F22" t="s">
        <v>6481</v>
      </c>
      <c r="G22" s="9" t="s">
        <v>5828</v>
      </c>
      <c r="H22" t="s">
        <v>6482</v>
      </c>
      <c r="I22">
        <v>3</v>
      </c>
      <c r="J22" t="s">
        <v>6447</v>
      </c>
      <c r="K22" t="s">
        <v>5829</v>
      </c>
      <c r="L22" t="s">
        <v>90</v>
      </c>
      <c r="M22" t="s">
        <v>3467</v>
      </c>
      <c r="N22" t="s">
        <v>3467</v>
      </c>
      <c r="O22" t="s">
        <v>5810</v>
      </c>
    </row>
    <row r="23" spans="1:15" ht="15" customHeight="1" x14ac:dyDescent="0.25">
      <c r="A23" t="s">
        <v>4516</v>
      </c>
      <c r="B23" t="s">
        <v>3518</v>
      </c>
      <c r="C23" t="s">
        <v>5769</v>
      </c>
      <c r="D23">
        <v>1</v>
      </c>
      <c r="E23" t="s">
        <v>6483</v>
      </c>
      <c r="F23" t="s">
        <v>6484</v>
      </c>
      <c r="G23" t="s">
        <v>6483</v>
      </c>
      <c r="H23" t="s">
        <v>6484</v>
      </c>
      <c r="I23">
        <v>1</v>
      </c>
      <c r="J23" t="s">
        <v>6485</v>
      </c>
      <c r="K23" t="s">
        <v>4519</v>
      </c>
      <c r="L23" t="s">
        <v>1622</v>
      </c>
      <c r="M23" t="s">
        <v>5478</v>
      </c>
      <c r="N23" t="s">
        <v>5430</v>
      </c>
      <c r="O23" t="s">
        <v>5802</v>
      </c>
    </row>
    <row r="24" spans="1:15" ht="15" customHeight="1" x14ac:dyDescent="0.25">
      <c r="A24" t="s">
        <v>5831</v>
      </c>
      <c r="B24" t="s">
        <v>41</v>
      </c>
      <c r="C24" t="s">
        <v>5407</v>
      </c>
      <c r="D24">
        <v>0</v>
      </c>
      <c r="E24" t="s">
        <v>5832</v>
      </c>
      <c r="F24" t="s">
        <v>6486</v>
      </c>
      <c r="G24" t="s">
        <v>5833</v>
      </c>
      <c r="H24" t="s">
        <v>6487</v>
      </c>
      <c r="I24">
        <v>0</v>
      </c>
      <c r="J24" t="s">
        <v>3467</v>
      </c>
      <c r="K24" t="s">
        <v>5831</v>
      </c>
      <c r="L24" t="s">
        <v>90</v>
      </c>
      <c r="M24" t="s">
        <v>3467</v>
      </c>
      <c r="N24" t="s">
        <v>3467</v>
      </c>
      <c r="O24" t="s">
        <v>5819</v>
      </c>
    </row>
    <row r="25" spans="1:15" ht="15" customHeight="1" x14ac:dyDescent="0.25">
      <c r="A25" t="s">
        <v>5834</v>
      </c>
      <c r="B25" t="s">
        <v>3518</v>
      </c>
      <c r="C25" t="s">
        <v>5769</v>
      </c>
      <c r="D25">
        <v>3</v>
      </c>
      <c r="E25" t="s">
        <v>5835</v>
      </c>
      <c r="F25" t="s">
        <v>6488</v>
      </c>
      <c r="G25" t="s">
        <v>5836</v>
      </c>
      <c r="H25" t="s">
        <v>6489</v>
      </c>
      <c r="I25">
        <v>3</v>
      </c>
      <c r="J25" t="s">
        <v>6490</v>
      </c>
      <c r="K25" t="s">
        <v>5834</v>
      </c>
      <c r="L25" t="s">
        <v>90</v>
      </c>
      <c r="M25" t="s">
        <v>3467</v>
      </c>
      <c r="N25" t="s">
        <v>3467</v>
      </c>
      <c r="O25" t="s">
        <v>5782</v>
      </c>
    </row>
    <row r="26" spans="1:15" ht="15" customHeight="1" x14ac:dyDescent="0.25">
      <c r="A26" t="s">
        <v>5207</v>
      </c>
      <c r="B26" t="s">
        <v>3530</v>
      </c>
      <c r="C26" t="s">
        <v>5407</v>
      </c>
      <c r="D26">
        <v>1</v>
      </c>
      <c r="E26" s="9" t="s">
        <v>6491</v>
      </c>
      <c r="F26" t="s">
        <v>6492</v>
      </c>
      <c r="G26" s="9" t="s">
        <v>6493</v>
      </c>
      <c r="H26" t="s">
        <v>6494</v>
      </c>
      <c r="I26">
        <v>1</v>
      </c>
      <c r="J26" t="s">
        <v>3467</v>
      </c>
      <c r="K26" t="s">
        <v>5207</v>
      </c>
      <c r="L26" t="s">
        <v>90</v>
      </c>
      <c r="M26" t="s">
        <v>3467</v>
      </c>
      <c r="N26" t="s">
        <v>3467</v>
      </c>
      <c r="O26" t="s">
        <v>5764</v>
      </c>
    </row>
    <row r="27" spans="1:15" ht="15" customHeight="1" x14ac:dyDescent="0.25">
      <c r="A27" t="s">
        <v>5843</v>
      </c>
      <c r="B27" t="s">
        <v>41</v>
      </c>
      <c r="C27" t="s">
        <v>5769</v>
      </c>
      <c r="D27">
        <v>1</v>
      </c>
      <c r="E27" t="s">
        <v>6495</v>
      </c>
      <c r="F27" t="s">
        <v>6496</v>
      </c>
      <c r="G27" t="s">
        <v>6495</v>
      </c>
      <c r="H27" t="s">
        <v>6496</v>
      </c>
      <c r="I27">
        <v>0</v>
      </c>
      <c r="J27" t="s">
        <v>6497</v>
      </c>
      <c r="K27" t="s">
        <v>5845</v>
      </c>
      <c r="L27" t="s">
        <v>90</v>
      </c>
      <c r="M27" t="s">
        <v>3467</v>
      </c>
      <c r="N27" t="s">
        <v>3467</v>
      </c>
      <c r="O27" t="s">
        <v>5782</v>
      </c>
    </row>
    <row r="28" spans="1:15" ht="15" customHeight="1" x14ac:dyDescent="0.25">
      <c r="A28" t="s">
        <v>5846</v>
      </c>
      <c r="B28" t="s">
        <v>3530</v>
      </c>
      <c r="C28" t="s">
        <v>5407</v>
      </c>
      <c r="D28">
        <v>0</v>
      </c>
      <c r="E28" t="s">
        <v>5847</v>
      </c>
      <c r="F28" t="s">
        <v>6498</v>
      </c>
      <c r="G28" t="s">
        <v>5848</v>
      </c>
      <c r="H28" t="s">
        <v>6499</v>
      </c>
      <c r="I28">
        <v>0</v>
      </c>
      <c r="J28" t="s">
        <v>3467</v>
      </c>
      <c r="K28" t="s">
        <v>5849</v>
      </c>
      <c r="L28" t="s">
        <v>90</v>
      </c>
      <c r="M28" t="s">
        <v>6454</v>
      </c>
      <c r="N28" t="s">
        <v>3467</v>
      </c>
      <c r="O28" t="s">
        <v>5850</v>
      </c>
    </row>
    <row r="29" spans="1:15" ht="15" customHeight="1" x14ac:dyDescent="0.25">
      <c r="A29" t="s">
        <v>5856</v>
      </c>
      <c r="B29" t="s">
        <v>3530</v>
      </c>
      <c r="C29" t="s">
        <v>5407</v>
      </c>
      <c r="D29">
        <v>2</v>
      </c>
      <c r="E29" t="s">
        <v>5857</v>
      </c>
      <c r="F29" t="s">
        <v>6500</v>
      </c>
      <c r="G29" t="s">
        <v>5858</v>
      </c>
      <c r="H29" t="s">
        <v>6501</v>
      </c>
      <c r="I29">
        <v>2</v>
      </c>
      <c r="J29" t="s">
        <v>6502</v>
      </c>
      <c r="K29" t="s">
        <v>5859</v>
      </c>
      <c r="L29" t="s">
        <v>90</v>
      </c>
      <c r="M29" t="s">
        <v>5478</v>
      </c>
      <c r="N29" t="s">
        <v>5301</v>
      </c>
      <c r="O29" t="s">
        <v>6503</v>
      </c>
    </row>
    <row r="30" spans="1:15" ht="15" customHeight="1" x14ac:dyDescent="0.25">
      <c r="A30" t="s">
        <v>5867</v>
      </c>
      <c r="B30" t="s">
        <v>3518</v>
      </c>
      <c r="C30" t="s">
        <v>5407</v>
      </c>
      <c r="D30">
        <v>3</v>
      </c>
      <c r="E30" s="9" t="s">
        <v>5868</v>
      </c>
      <c r="F30" t="s">
        <v>6504</v>
      </c>
      <c r="G30" s="9" t="s">
        <v>5868</v>
      </c>
      <c r="H30" t="s">
        <v>6504</v>
      </c>
      <c r="I30">
        <v>2</v>
      </c>
      <c r="J30" t="s">
        <v>3467</v>
      </c>
      <c r="K30" t="s">
        <v>5869</v>
      </c>
      <c r="L30" t="s">
        <v>90</v>
      </c>
      <c r="M30" t="s">
        <v>3467</v>
      </c>
      <c r="N30" t="s">
        <v>3467</v>
      </c>
      <c r="O30" t="s">
        <v>5870</v>
      </c>
    </row>
    <row r="31" spans="1:15" ht="15" customHeight="1" x14ac:dyDescent="0.25">
      <c r="A31" t="s">
        <v>4040</v>
      </c>
      <c r="B31" t="s">
        <v>4344</v>
      </c>
      <c r="C31" t="s">
        <v>3674</v>
      </c>
      <c r="D31" t="s">
        <v>4035</v>
      </c>
      <c r="E31" s="9" t="s">
        <v>5871</v>
      </c>
      <c r="F31" t="s">
        <v>6505</v>
      </c>
      <c r="G31" s="9" t="s">
        <v>3467</v>
      </c>
      <c r="H31" t="s">
        <v>3467</v>
      </c>
      <c r="I31" t="s">
        <v>3467</v>
      </c>
      <c r="J31" t="s">
        <v>3467</v>
      </c>
      <c r="K31" t="s">
        <v>4040</v>
      </c>
      <c r="L31" t="s">
        <v>90</v>
      </c>
      <c r="M31" t="s">
        <v>5510</v>
      </c>
      <c r="N31" t="s">
        <v>3467</v>
      </c>
      <c r="O31" t="s">
        <v>6506</v>
      </c>
    </row>
    <row r="32" spans="1:15" ht="15" customHeight="1" x14ac:dyDescent="0.25">
      <c r="A32" t="s">
        <v>5873</v>
      </c>
      <c r="B32" t="s">
        <v>3530</v>
      </c>
      <c r="C32" t="s">
        <v>5407</v>
      </c>
      <c r="D32">
        <v>1</v>
      </c>
      <c r="E32" t="s">
        <v>5874</v>
      </c>
      <c r="F32" t="s">
        <v>6507</v>
      </c>
      <c r="G32" t="s">
        <v>5875</v>
      </c>
      <c r="H32" t="s">
        <v>6508</v>
      </c>
      <c r="I32">
        <v>1</v>
      </c>
      <c r="J32" t="s">
        <v>3467</v>
      </c>
      <c r="K32" t="s">
        <v>5876</v>
      </c>
      <c r="L32" t="s">
        <v>90</v>
      </c>
      <c r="M32" t="s">
        <v>5543</v>
      </c>
      <c r="N32" t="s">
        <v>3467</v>
      </c>
      <c r="O32" t="s">
        <v>5877</v>
      </c>
    </row>
    <row r="33" spans="1:15" ht="15" customHeight="1" x14ac:dyDescent="0.25">
      <c r="A33" t="s">
        <v>5217</v>
      </c>
      <c r="B33" t="s">
        <v>3518</v>
      </c>
      <c r="C33" t="s">
        <v>5407</v>
      </c>
      <c r="D33">
        <v>1</v>
      </c>
      <c r="E33" s="9" t="s">
        <v>6509</v>
      </c>
      <c r="F33" t="s">
        <v>6510</v>
      </c>
      <c r="G33" s="9" t="s">
        <v>6511</v>
      </c>
      <c r="H33" t="s">
        <v>6512</v>
      </c>
      <c r="I33">
        <v>1</v>
      </c>
      <c r="J33" t="s">
        <v>3467</v>
      </c>
      <c r="K33" t="s">
        <v>5217</v>
      </c>
      <c r="L33" t="s">
        <v>90</v>
      </c>
      <c r="M33" t="s">
        <v>3467</v>
      </c>
      <c r="N33" t="s">
        <v>3467</v>
      </c>
      <c r="O33" t="s">
        <v>5870</v>
      </c>
    </row>
    <row r="34" spans="1:15" ht="15" customHeight="1" x14ac:dyDescent="0.25">
      <c r="A34" t="s">
        <v>5880</v>
      </c>
      <c r="B34" t="s">
        <v>3530</v>
      </c>
      <c r="C34" t="s">
        <v>5407</v>
      </c>
      <c r="D34">
        <v>0</v>
      </c>
      <c r="E34" s="9" t="s">
        <v>6513</v>
      </c>
      <c r="F34" t="s">
        <v>6514</v>
      </c>
      <c r="G34" s="9" t="s">
        <v>6515</v>
      </c>
      <c r="H34" t="s">
        <v>6516</v>
      </c>
      <c r="I34">
        <v>0</v>
      </c>
      <c r="J34" t="s">
        <v>3467</v>
      </c>
      <c r="K34" t="s">
        <v>5883</v>
      </c>
      <c r="L34" t="s">
        <v>90</v>
      </c>
      <c r="M34" t="s">
        <v>3467</v>
      </c>
      <c r="N34" t="s">
        <v>3467</v>
      </c>
      <c r="O34" t="s">
        <v>5884</v>
      </c>
    </row>
    <row r="35" spans="1:15" ht="15" customHeight="1" x14ac:dyDescent="0.25">
      <c r="A35" t="s">
        <v>5887</v>
      </c>
      <c r="B35" t="s">
        <v>3530</v>
      </c>
      <c r="C35" t="s">
        <v>5769</v>
      </c>
      <c r="D35">
        <v>2</v>
      </c>
      <c r="E35" t="s">
        <v>6517</v>
      </c>
      <c r="F35" t="s">
        <v>6518</v>
      </c>
      <c r="G35" t="s">
        <v>5889</v>
      </c>
      <c r="H35" t="s">
        <v>6519</v>
      </c>
      <c r="I35">
        <v>2</v>
      </c>
      <c r="J35" t="s">
        <v>6470</v>
      </c>
      <c r="K35" t="s">
        <v>5887</v>
      </c>
      <c r="L35" t="s">
        <v>90</v>
      </c>
      <c r="M35" t="s">
        <v>5469</v>
      </c>
      <c r="N35" t="s">
        <v>3467</v>
      </c>
      <c r="O35" t="s">
        <v>5782</v>
      </c>
    </row>
    <row r="36" spans="1:15" ht="15" customHeight="1" x14ac:dyDescent="0.25">
      <c r="A36" t="s">
        <v>5890</v>
      </c>
      <c r="B36" t="s">
        <v>3530</v>
      </c>
      <c r="C36" t="s">
        <v>5407</v>
      </c>
      <c r="D36">
        <v>1</v>
      </c>
      <c r="E36" s="9" t="s">
        <v>6520</v>
      </c>
      <c r="F36" t="s">
        <v>6521</v>
      </c>
      <c r="G36" s="9" t="s">
        <v>6522</v>
      </c>
      <c r="H36" t="s">
        <v>6523</v>
      </c>
      <c r="I36">
        <v>1</v>
      </c>
      <c r="J36" t="s">
        <v>3467</v>
      </c>
      <c r="K36" t="s">
        <v>5890</v>
      </c>
      <c r="L36" t="s">
        <v>90</v>
      </c>
      <c r="M36" t="s">
        <v>5543</v>
      </c>
      <c r="N36" t="s">
        <v>3467</v>
      </c>
      <c r="O36" t="s">
        <v>6524</v>
      </c>
    </row>
    <row r="37" spans="1:15" ht="15" customHeight="1" x14ac:dyDescent="0.25">
      <c r="A37" t="s">
        <v>5893</v>
      </c>
      <c r="B37" t="s">
        <v>3530</v>
      </c>
      <c r="C37" t="s">
        <v>5769</v>
      </c>
      <c r="D37">
        <v>2</v>
      </c>
      <c r="E37" s="9" t="s">
        <v>5894</v>
      </c>
      <c r="F37" t="s">
        <v>6525</v>
      </c>
      <c r="G37" s="9" t="s">
        <v>5895</v>
      </c>
      <c r="H37" t="s">
        <v>6526</v>
      </c>
      <c r="I37">
        <v>2</v>
      </c>
      <c r="J37" t="s">
        <v>6447</v>
      </c>
      <c r="K37" t="s">
        <v>5893</v>
      </c>
      <c r="L37" t="s">
        <v>90</v>
      </c>
      <c r="M37" t="s">
        <v>3467</v>
      </c>
      <c r="N37" t="s">
        <v>3467</v>
      </c>
      <c r="O37" t="s">
        <v>5896</v>
      </c>
    </row>
    <row r="38" spans="1:15" ht="15" customHeight="1" x14ac:dyDescent="0.25">
      <c r="A38" t="s">
        <v>5897</v>
      </c>
      <c r="B38" t="s">
        <v>41</v>
      </c>
      <c r="C38" t="s">
        <v>5769</v>
      </c>
      <c r="D38">
        <v>0</v>
      </c>
      <c r="E38" s="9" t="s">
        <v>6527</v>
      </c>
      <c r="F38" t="s">
        <v>6528</v>
      </c>
      <c r="G38" s="9" t="s">
        <v>6529</v>
      </c>
      <c r="H38" t="s">
        <v>6530</v>
      </c>
      <c r="I38">
        <v>0</v>
      </c>
      <c r="J38" t="s">
        <v>6531</v>
      </c>
      <c r="K38" t="s">
        <v>5897</v>
      </c>
      <c r="L38" t="s">
        <v>90</v>
      </c>
      <c r="M38" t="s">
        <v>3467</v>
      </c>
      <c r="N38" t="s">
        <v>3467</v>
      </c>
      <c r="O38" t="s">
        <v>5782</v>
      </c>
    </row>
    <row r="39" spans="1:15" ht="15" customHeight="1" x14ac:dyDescent="0.25">
      <c r="A39" t="s">
        <v>5900</v>
      </c>
      <c r="B39" t="s">
        <v>41</v>
      </c>
      <c r="C39" t="s">
        <v>5769</v>
      </c>
      <c r="D39">
        <v>0</v>
      </c>
      <c r="E39" t="s">
        <v>5901</v>
      </c>
      <c r="F39" t="s">
        <v>6532</v>
      </c>
      <c r="G39" t="s">
        <v>5902</v>
      </c>
      <c r="H39" t="s">
        <v>6533</v>
      </c>
      <c r="I39">
        <v>0</v>
      </c>
      <c r="J39" t="s">
        <v>6531</v>
      </c>
      <c r="K39" t="s">
        <v>5900</v>
      </c>
      <c r="L39" t="s">
        <v>90</v>
      </c>
      <c r="M39" t="s">
        <v>3467</v>
      </c>
      <c r="N39" t="s">
        <v>3467</v>
      </c>
      <c r="O39" t="s">
        <v>5903</v>
      </c>
    </row>
    <row r="40" spans="1:15" ht="15" customHeight="1" x14ac:dyDescent="0.25">
      <c r="A40" t="s">
        <v>5457</v>
      </c>
      <c r="B40" t="s">
        <v>41</v>
      </c>
      <c r="C40" t="s">
        <v>5769</v>
      </c>
      <c r="D40">
        <v>1</v>
      </c>
      <c r="E40" t="s">
        <v>5904</v>
      </c>
      <c r="F40" t="s">
        <v>6534</v>
      </c>
      <c r="G40" t="s">
        <v>5905</v>
      </c>
      <c r="H40" t="s">
        <v>6535</v>
      </c>
      <c r="I40">
        <v>1</v>
      </c>
      <c r="J40" t="s">
        <v>6536</v>
      </c>
      <c r="K40" t="s">
        <v>5457</v>
      </c>
      <c r="L40" t="s">
        <v>90</v>
      </c>
      <c r="M40" t="s">
        <v>3467</v>
      </c>
      <c r="N40" t="s">
        <v>3467</v>
      </c>
      <c r="O40" t="s">
        <v>6537</v>
      </c>
    </row>
    <row r="41" spans="1:15" ht="15" customHeight="1" x14ac:dyDescent="0.25">
      <c r="A41" t="s">
        <v>5907</v>
      </c>
      <c r="B41" t="s">
        <v>41</v>
      </c>
      <c r="C41" t="s">
        <v>5407</v>
      </c>
      <c r="D41">
        <v>1</v>
      </c>
      <c r="E41" t="s">
        <v>5908</v>
      </c>
      <c r="F41" t="s">
        <v>6538</v>
      </c>
      <c r="G41" t="s">
        <v>5909</v>
      </c>
      <c r="H41" t="s">
        <v>6539</v>
      </c>
      <c r="I41">
        <v>1</v>
      </c>
      <c r="J41" t="s">
        <v>3467</v>
      </c>
      <c r="K41" t="s">
        <v>5910</v>
      </c>
      <c r="L41" t="s">
        <v>90</v>
      </c>
      <c r="M41" t="s">
        <v>3467</v>
      </c>
      <c r="N41" t="s">
        <v>3467</v>
      </c>
      <c r="O41" t="s">
        <v>5764</v>
      </c>
    </row>
    <row r="42" spans="1:15" ht="15" customHeight="1" x14ac:dyDescent="0.25">
      <c r="A42" t="s">
        <v>5911</v>
      </c>
      <c r="B42" t="s">
        <v>41</v>
      </c>
      <c r="C42" t="s">
        <v>5769</v>
      </c>
      <c r="D42">
        <v>2</v>
      </c>
      <c r="E42" s="9" t="s">
        <v>6540</v>
      </c>
      <c r="F42" t="s">
        <v>6541</v>
      </c>
      <c r="G42" s="9" t="s">
        <v>6542</v>
      </c>
      <c r="H42" t="s">
        <v>6543</v>
      </c>
      <c r="I42" t="s">
        <v>3467</v>
      </c>
      <c r="J42" t="s">
        <v>6456</v>
      </c>
      <c r="K42" t="s">
        <v>5911</v>
      </c>
      <c r="L42" t="s">
        <v>90</v>
      </c>
      <c r="M42" t="s">
        <v>3467</v>
      </c>
      <c r="N42" t="s">
        <v>3467</v>
      </c>
      <c r="O42" t="s">
        <v>5914</v>
      </c>
    </row>
    <row r="43" spans="1:15" ht="15" customHeight="1" x14ac:dyDescent="0.25">
      <c r="A43" t="s">
        <v>5915</v>
      </c>
      <c r="B43" t="s">
        <v>4344</v>
      </c>
      <c r="C43" t="s">
        <v>4291</v>
      </c>
      <c r="D43" t="s">
        <v>4035</v>
      </c>
      <c r="E43" t="s">
        <v>5916</v>
      </c>
      <c r="F43" t="s">
        <v>4261</v>
      </c>
      <c r="G43" t="s">
        <v>3467</v>
      </c>
      <c r="H43" t="s">
        <v>3467</v>
      </c>
      <c r="I43" t="s">
        <v>3467</v>
      </c>
      <c r="J43" t="s">
        <v>3467</v>
      </c>
      <c r="K43" t="s">
        <v>5915</v>
      </c>
      <c r="L43" t="s">
        <v>90</v>
      </c>
      <c r="M43" t="s">
        <v>6544</v>
      </c>
      <c r="N43" t="s">
        <v>3467</v>
      </c>
      <c r="O43" t="s">
        <v>5917</v>
      </c>
    </row>
    <row r="44" spans="1:15" ht="15" customHeight="1" x14ac:dyDescent="0.25">
      <c r="A44" t="s">
        <v>5925</v>
      </c>
      <c r="B44" t="s">
        <v>3530</v>
      </c>
      <c r="C44" t="s">
        <v>5407</v>
      </c>
      <c r="D44">
        <v>0</v>
      </c>
      <c r="E44" s="9" t="s">
        <v>6545</v>
      </c>
      <c r="F44" t="s">
        <v>6546</v>
      </c>
      <c r="G44" s="9" t="s">
        <v>6547</v>
      </c>
      <c r="H44" t="s">
        <v>6548</v>
      </c>
      <c r="I44" t="s">
        <v>3467</v>
      </c>
      <c r="J44" t="s">
        <v>3467</v>
      </c>
      <c r="K44" t="s">
        <v>5925</v>
      </c>
      <c r="L44" t="s">
        <v>90</v>
      </c>
      <c r="M44" t="s">
        <v>3467</v>
      </c>
      <c r="N44" t="s">
        <v>3467</v>
      </c>
      <c r="O44" t="s">
        <v>6549</v>
      </c>
    </row>
    <row r="45" spans="1:15" ht="15" customHeight="1" x14ac:dyDescent="0.25">
      <c r="A45" t="s">
        <v>5226</v>
      </c>
      <c r="B45" t="s">
        <v>3518</v>
      </c>
      <c r="C45" t="s">
        <v>5407</v>
      </c>
      <c r="D45">
        <v>2</v>
      </c>
      <c r="E45" s="9" t="s">
        <v>5929</v>
      </c>
      <c r="F45" t="s">
        <v>6550</v>
      </c>
      <c r="G45" s="9" t="s">
        <v>5930</v>
      </c>
      <c r="H45" t="s">
        <v>6551</v>
      </c>
      <c r="I45">
        <v>2</v>
      </c>
      <c r="J45" t="s">
        <v>6552</v>
      </c>
      <c r="K45" t="s">
        <v>5228</v>
      </c>
      <c r="L45" t="s">
        <v>90</v>
      </c>
      <c r="M45" t="s">
        <v>3467</v>
      </c>
      <c r="N45" t="s">
        <v>3467</v>
      </c>
      <c r="O45" t="s">
        <v>6553</v>
      </c>
    </row>
    <row r="46" spans="1:15" ht="15" customHeight="1" x14ac:dyDescent="0.25">
      <c r="A46" t="s">
        <v>5934</v>
      </c>
      <c r="B46" t="s">
        <v>3530</v>
      </c>
      <c r="C46" t="s">
        <v>5407</v>
      </c>
      <c r="D46">
        <v>0</v>
      </c>
      <c r="E46" s="9" t="s">
        <v>6554</v>
      </c>
      <c r="F46" t="s">
        <v>6555</v>
      </c>
      <c r="G46" s="9" t="s">
        <v>6556</v>
      </c>
      <c r="H46" t="s">
        <v>6557</v>
      </c>
      <c r="I46" t="s">
        <v>3467</v>
      </c>
      <c r="J46" t="s">
        <v>6558</v>
      </c>
      <c r="K46" t="s">
        <v>5937</v>
      </c>
      <c r="L46" t="s">
        <v>90</v>
      </c>
      <c r="M46" t="s">
        <v>5543</v>
      </c>
      <c r="N46" t="s">
        <v>3467</v>
      </c>
      <c r="O46" t="s">
        <v>6559</v>
      </c>
    </row>
    <row r="47" spans="1:15" ht="15" customHeight="1" x14ac:dyDescent="0.25">
      <c r="A47" t="s">
        <v>5939</v>
      </c>
      <c r="B47" t="s">
        <v>41</v>
      </c>
      <c r="C47" t="s">
        <v>5769</v>
      </c>
      <c r="D47">
        <v>1</v>
      </c>
      <c r="E47" t="s">
        <v>5940</v>
      </c>
      <c r="F47" t="s">
        <v>6560</v>
      </c>
      <c r="G47" t="s">
        <v>5941</v>
      </c>
      <c r="H47" t="s">
        <v>6561</v>
      </c>
      <c r="I47">
        <v>1</v>
      </c>
      <c r="J47" t="s">
        <v>6562</v>
      </c>
      <c r="K47" t="s">
        <v>5942</v>
      </c>
      <c r="L47" t="s">
        <v>90</v>
      </c>
      <c r="M47" t="s">
        <v>3467</v>
      </c>
      <c r="N47" t="s">
        <v>3467</v>
      </c>
      <c r="O47" t="s">
        <v>5943</v>
      </c>
    </row>
    <row r="48" spans="1:15" ht="15" customHeight="1" x14ac:dyDescent="0.25">
      <c r="A48" t="s">
        <v>5944</v>
      </c>
      <c r="B48" t="s">
        <v>41</v>
      </c>
      <c r="C48" t="s">
        <v>5769</v>
      </c>
      <c r="D48">
        <v>1</v>
      </c>
      <c r="E48" t="s">
        <v>5945</v>
      </c>
      <c r="F48" t="s">
        <v>6563</v>
      </c>
      <c r="G48" t="s">
        <v>5946</v>
      </c>
      <c r="H48" t="s">
        <v>6564</v>
      </c>
      <c r="I48">
        <v>1</v>
      </c>
      <c r="J48" t="s">
        <v>6464</v>
      </c>
      <c r="K48" t="s">
        <v>5947</v>
      </c>
      <c r="L48" t="s">
        <v>90</v>
      </c>
      <c r="M48" t="s">
        <v>3467</v>
      </c>
      <c r="N48" t="s">
        <v>3467</v>
      </c>
      <c r="O48" t="s">
        <v>5948</v>
      </c>
    </row>
    <row r="49" spans="1:15" ht="15" customHeight="1" x14ac:dyDescent="0.25">
      <c r="A49" t="s">
        <v>3452</v>
      </c>
      <c r="B49" t="s">
        <v>3530</v>
      </c>
      <c r="C49" t="s">
        <v>5769</v>
      </c>
      <c r="D49">
        <v>2</v>
      </c>
      <c r="E49" s="9" t="s">
        <v>5952</v>
      </c>
      <c r="F49" t="s">
        <v>6565</v>
      </c>
      <c r="G49" s="9" t="s">
        <v>5953</v>
      </c>
      <c r="H49" t="s">
        <v>6566</v>
      </c>
      <c r="I49">
        <v>2</v>
      </c>
      <c r="J49" t="s">
        <v>6439</v>
      </c>
      <c r="K49" t="s">
        <v>3452</v>
      </c>
      <c r="L49" t="s">
        <v>90</v>
      </c>
      <c r="M49" t="s">
        <v>3467</v>
      </c>
      <c r="N49" t="s">
        <v>3467</v>
      </c>
      <c r="O49" t="s">
        <v>5954</v>
      </c>
    </row>
    <row r="50" spans="1:15" ht="15" customHeight="1" x14ac:dyDescent="0.25">
      <c r="A50" t="s">
        <v>5955</v>
      </c>
      <c r="B50" t="s">
        <v>4344</v>
      </c>
      <c r="C50" t="s">
        <v>3674</v>
      </c>
      <c r="D50" t="s">
        <v>4035</v>
      </c>
      <c r="E50" s="9" t="s">
        <v>6567</v>
      </c>
      <c r="F50" t="s">
        <v>4261</v>
      </c>
      <c r="G50" s="9" t="s">
        <v>3467</v>
      </c>
      <c r="H50" t="s">
        <v>3467</v>
      </c>
      <c r="I50" t="s">
        <v>3467</v>
      </c>
      <c r="J50" t="s">
        <v>3467</v>
      </c>
      <c r="K50" t="s">
        <v>5955</v>
      </c>
      <c r="L50" t="s">
        <v>90</v>
      </c>
      <c r="M50" t="s">
        <v>5469</v>
      </c>
      <c r="N50" t="s">
        <v>3467</v>
      </c>
      <c r="O50" t="s">
        <v>6506</v>
      </c>
    </row>
    <row r="51" spans="1:15" ht="15" customHeight="1" x14ac:dyDescent="0.25">
      <c r="A51" t="s">
        <v>5957</v>
      </c>
      <c r="B51" t="s">
        <v>41</v>
      </c>
      <c r="C51" t="s">
        <v>5407</v>
      </c>
      <c r="D51">
        <v>1</v>
      </c>
      <c r="E51" s="9" t="s">
        <v>5958</v>
      </c>
      <c r="F51" t="s">
        <v>6568</v>
      </c>
      <c r="G51" s="9" t="s">
        <v>5959</v>
      </c>
      <c r="H51" t="s">
        <v>6569</v>
      </c>
      <c r="I51">
        <v>1</v>
      </c>
      <c r="J51" t="s">
        <v>3467</v>
      </c>
      <c r="K51" t="s">
        <v>5960</v>
      </c>
      <c r="L51" t="s">
        <v>90</v>
      </c>
      <c r="M51" t="s">
        <v>3467</v>
      </c>
      <c r="N51" t="s">
        <v>3467</v>
      </c>
      <c r="O51" t="s">
        <v>6503</v>
      </c>
    </row>
    <row r="52" spans="1:15" ht="15" customHeight="1" x14ac:dyDescent="0.25">
      <c r="A52" t="s">
        <v>4305</v>
      </c>
      <c r="B52" t="s">
        <v>4344</v>
      </c>
      <c r="C52" t="s">
        <v>4291</v>
      </c>
      <c r="D52" t="s">
        <v>4035</v>
      </c>
      <c r="E52" t="s">
        <v>5961</v>
      </c>
      <c r="F52" t="s">
        <v>6505</v>
      </c>
      <c r="G52" t="s">
        <v>3467</v>
      </c>
      <c r="H52" t="s">
        <v>3467</v>
      </c>
      <c r="I52" t="s">
        <v>3467</v>
      </c>
      <c r="J52" t="s">
        <v>3467</v>
      </c>
      <c r="K52" t="s">
        <v>4305</v>
      </c>
      <c r="L52" t="s">
        <v>90</v>
      </c>
      <c r="M52" t="s">
        <v>5510</v>
      </c>
      <c r="N52" t="s">
        <v>3467</v>
      </c>
      <c r="O52" t="s">
        <v>5917</v>
      </c>
    </row>
    <row r="53" spans="1:15" ht="15" customHeight="1" x14ac:dyDescent="0.25">
      <c r="A53" t="s">
        <v>6570</v>
      </c>
      <c r="B53" t="s">
        <v>3563</v>
      </c>
      <c r="C53" t="s">
        <v>5407</v>
      </c>
      <c r="D53">
        <v>1</v>
      </c>
      <c r="E53" t="s">
        <v>5963</v>
      </c>
      <c r="F53" t="s">
        <v>6571</v>
      </c>
      <c r="G53" t="s">
        <v>5964</v>
      </c>
      <c r="H53" t="s">
        <v>6572</v>
      </c>
      <c r="I53">
        <v>1</v>
      </c>
      <c r="J53" t="s">
        <v>3467</v>
      </c>
      <c r="K53" t="s">
        <v>6573</v>
      </c>
      <c r="L53" t="s">
        <v>90</v>
      </c>
      <c r="M53" t="s">
        <v>3467</v>
      </c>
      <c r="N53" t="s">
        <v>3467</v>
      </c>
      <c r="O53" t="s">
        <v>6574</v>
      </c>
    </row>
    <row r="54" spans="1:15" ht="15" customHeight="1" x14ac:dyDescent="0.25">
      <c r="A54" t="s">
        <v>6575</v>
      </c>
      <c r="B54" t="s">
        <v>3563</v>
      </c>
      <c r="C54" t="s">
        <v>5407</v>
      </c>
      <c r="D54">
        <v>1</v>
      </c>
      <c r="E54" t="s">
        <v>5963</v>
      </c>
      <c r="F54" t="s">
        <v>6571</v>
      </c>
      <c r="G54" t="s">
        <v>5964</v>
      </c>
      <c r="H54" t="s">
        <v>6572</v>
      </c>
      <c r="I54">
        <v>1</v>
      </c>
      <c r="J54" t="s">
        <v>3467</v>
      </c>
      <c r="K54" t="s">
        <v>6576</v>
      </c>
      <c r="L54" t="s">
        <v>90</v>
      </c>
      <c r="M54" t="s">
        <v>3467</v>
      </c>
      <c r="N54" t="s">
        <v>3467</v>
      </c>
      <c r="O54" t="s">
        <v>6574</v>
      </c>
    </row>
    <row r="55" spans="1:15" ht="15" customHeight="1" x14ac:dyDescent="0.25">
      <c r="A55" t="s">
        <v>5967</v>
      </c>
      <c r="B55" t="s">
        <v>41</v>
      </c>
      <c r="C55" t="s">
        <v>5407</v>
      </c>
      <c r="D55">
        <v>0</v>
      </c>
      <c r="E55" s="9" t="s">
        <v>5968</v>
      </c>
      <c r="F55" t="s">
        <v>6577</v>
      </c>
      <c r="G55" s="9" t="s">
        <v>6578</v>
      </c>
      <c r="H55" t="s">
        <v>6579</v>
      </c>
      <c r="I55">
        <v>0</v>
      </c>
      <c r="J55" t="s">
        <v>3467</v>
      </c>
      <c r="K55" t="s">
        <v>5967</v>
      </c>
      <c r="L55" t="s">
        <v>90</v>
      </c>
      <c r="M55" t="s">
        <v>3467</v>
      </c>
      <c r="N55" t="s">
        <v>3467</v>
      </c>
      <c r="O55" t="s">
        <v>5764</v>
      </c>
    </row>
    <row r="56" spans="1:15" ht="15" customHeight="1" x14ac:dyDescent="0.25">
      <c r="A56" t="s">
        <v>4629</v>
      </c>
      <c r="B56" t="s">
        <v>3530</v>
      </c>
      <c r="C56" t="s">
        <v>5769</v>
      </c>
      <c r="D56">
        <v>1</v>
      </c>
      <c r="E56" t="s">
        <v>6580</v>
      </c>
      <c r="F56" t="s">
        <v>6581</v>
      </c>
      <c r="G56" t="s">
        <v>6580</v>
      </c>
      <c r="H56" t="s">
        <v>6581</v>
      </c>
      <c r="I56">
        <v>1</v>
      </c>
      <c r="J56" t="s">
        <v>6439</v>
      </c>
      <c r="K56" t="s">
        <v>4629</v>
      </c>
      <c r="L56" t="s">
        <v>1622</v>
      </c>
      <c r="M56" t="s">
        <v>5472</v>
      </c>
      <c r="N56" t="s">
        <v>3467</v>
      </c>
      <c r="O56" t="s">
        <v>5802</v>
      </c>
    </row>
    <row r="57" spans="1:15" ht="15" customHeight="1" x14ac:dyDescent="0.25">
      <c r="A57" t="s">
        <v>5976</v>
      </c>
      <c r="B57" t="s">
        <v>3518</v>
      </c>
      <c r="C57" t="s">
        <v>5769</v>
      </c>
      <c r="D57">
        <v>1</v>
      </c>
      <c r="E57" t="s">
        <v>5977</v>
      </c>
      <c r="F57" t="s">
        <v>6582</v>
      </c>
      <c r="G57" t="s">
        <v>5978</v>
      </c>
      <c r="H57" t="s">
        <v>6583</v>
      </c>
      <c r="I57">
        <v>1</v>
      </c>
      <c r="J57" t="s">
        <v>6584</v>
      </c>
      <c r="K57" t="s">
        <v>5979</v>
      </c>
      <c r="L57" t="s">
        <v>90</v>
      </c>
      <c r="M57" t="s">
        <v>5543</v>
      </c>
      <c r="N57" t="s">
        <v>3467</v>
      </c>
      <c r="O57" t="s">
        <v>5980</v>
      </c>
    </row>
    <row r="58" spans="1:15" ht="15" customHeight="1" x14ac:dyDescent="0.25">
      <c r="A58" t="s">
        <v>5981</v>
      </c>
      <c r="B58" t="s">
        <v>3530</v>
      </c>
      <c r="C58" t="s">
        <v>5407</v>
      </c>
      <c r="D58">
        <v>1</v>
      </c>
      <c r="E58" s="9" t="s">
        <v>5982</v>
      </c>
      <c r="F58" t="s">
        <v>6585</v>
      </c>
      <c r="G58" s="9" t="s">
        <v>5983</v>
      </c>
      <c r="H58" t="s">
        <v>6586</v>
      </c>
      <c r="I58">
        <v>1</v>
      </c>
      <c r="J58" t="s">
        <v>3467</v>
      </c>
      <c r="K58" t="s">
        <v>5981</v>
      </c>
      <c r="L58" t="s">
        <v>90</v>
      </c>
      <c r="M58" t="s">
        <v>5543</v>
      </c>
      <c r="N58" t="s">
        <v>3467</v>
      </c>
      <c r="O58" t="s">
        <v>5984</v>
      </c>
    </row>
    <row r="59" spans="1:15" ht="15" customHeight="1" x14ac:dyDescent="0.25">
      <c r="A59" t="s">
        <v>5985</v>
      </c>
      <c r="B59" t="s">
        <v>3530</v>
      </c>
      <c r="C59" t="s">
        <v>5407</v>
      </c>
      <c r="D59">
        <v>1</v>
      </c>
      <c r="E59" s="9" t="s">
        <v>5986</v>
      </c>
      <c r="F59" t="s">
        <v>6587</v>
      </c>
      <c r="G59" s="9" t="s">
        <v>5986</v>
      </c>
      <c r="H59" t="s">
        <v>6587</v>
      </c>
      <c r="I59">
        <v>0</v>
      </c>
      <c r="J59" t="s">
        <v>3467</v>
      </c>
      <c r="K59" t="s">
        <v>5985</v>
      </c>
      <c r="L59" t="s">
        <v>90</v>
      </c>
      <c r="M59" t="s">
        <v>5543</v>
      </c>
      <c r="N59" t="s">
        <v>3467</v>
      </c>
      <c r="O59" t="s">
        <v>5987</v>
      </c>
    </row>
    <row r="60" spans="1:15" ht="15" customHeight="1" x14ac:dyDescent="0.25">
      <c r="A60" t="s">
        <v>5988</v>
      </c>
      <c r="B60" t="s">
        <v>41</v>
      </c>
      <c r="C60" t="s">
        <v>5407</v>
      </c>
      <c r="D60">
        <v>1</v>
      </c>
      <c r="E60" s="9" t="s">
        <v>6588</v>
      </c>
      <c r="F60" t="s">
        <v>6589</v>
      </c>
      <c r="G60" s="9" t="s">
        <v>6590</v>
      </c>
      <c r="H60" t="s">
        <v>6591</v>
      </c>
      <c r="I60">
        <v>1</v>
      </c>
      <c r="J60" t="s">
        <v>3467</v>
      </c>
      <c r="K60" t="s">
        <v>5991</v>
      </c>
      <c r="L60" t="s">
        <v>90</v>
      </c>
      <c r="M60" t="s">
        <v>3467</v>
      </c>
      <c r="N60" t="s">
        <v>3467</v>
      </c>
      <c r="O60" t="s">
        <v>5764</v>
      </c>
    </row>
    <row r="61" spans="1:15" ht="15" customHeight="1" x14ac:dyDescent="0.25">
      <c r="A61" t="s">
        <v>5992</v>
      </c>
      <c r="B61" t="s">
        <v>3518</v>
      </c>
      <c r="C61" t="s">
        <v>5407</v>
      </c>
      <c r="D61" t="s">
        <v>5993</v>
      </c>
      <c r="E61" s="9" t="s">
        <v>6592</v>
      </c>
      <c r="F61" t="s">
        <v>6593</v>
      </c>
      <c r="G61" s="9" t="s">
        <v>6594</v>
      </c>
      <c r="H61" t="s">
        <v>6595</v>
      </c>
      <c r="I61" t="s">
        <v>3467</v>
      </c>
      <c r="J61" t="s">
        <v>3467</v>
      </c>
      <c r="K61" t="s">
        <v>5992</v>
      </c>
      <c r="L61" t="s">
        <v>90</v>
      </c>
      <c r="M61" t="s">
        <v>5543</v>
      </c>
      <c r="N61" t="s">
        <v>3467</v>
      </c>
      <c r="O61" t="s">
        <v>5996</v>
      </c>
    </row>
    <row r="62" spans="1:15" ht="15" customHeight="1" x14ac:dyDescent="0.25">
      <c r="A62" t="s">
        <v>5411</v>
      </c>
      <c r="B62" t="s">
        <v>3518</v>
      </c>
      <c r="C62" t="s">
        <v>5407</v>
      </c>
      <c r="D62">
        <v>1</v>
      </c>
      <c r="E62" s="9" t="s">
        <v>5997</v>
      </c>
      <c r="F62" t="s">
        <v>6596</v>
      </c>
      <c r="G62" s="9" t="s">
        <v>5998</v>
      </c>
      <c r="H62" t="s">
        <v>6597</v>
      </c>
      <c r="I62">
        <v>1</v>
      </c>
      <c r="J62" t="s">
        <v>3467</v>
      </c>
      <c r="K62" t="s">
        <v>5413</v>
      </c>
      <c r="L62" t="s">
        <v>90</v>
      </c>
      <c r="M62" t="s">
        <v>3467</v>
      </c>
      <c r="N62" t="s">
        <v>3467</v>
      </c>
      <c r="O62" t="s">
        <v>5782</v>
      </c>
    </row>
    <row r="63" spans="1:15" ht="15" customHeight="1" x14ac:dyDescent="0.25">
      <c r="A63" t="s">
        <v>6000</v>
      </c>
      <c r="B63" t="s">
        <v>4344</v>
      </c>
      <c r="C63" t="s">
        <v>4291</v>
      </c>
      <c r="D63" t="s">
        <v>4035</v>
      </c>
      <c r="E63" t="s">
        <v>6001</v>
      </c>
      <c r="F63" t="s">
        <v>6598</v>
      </c>
      <c r="G63" t="s">
        <v>3467</v>
      </c>
      <c r="H63" t="s">
        <v>3467</v>
      </c>
      <c r="I63" t="s">
        <v>3467</v>
      </c>
      <c r="J63" t="s">
        <v>3467</v>
      </c>
      <c r="K63" t="s">
        <v>6000</v>
      </c>
      <c r="L63" t="s">
        <v>90</v>
      </c>
      <c r="M63" t="s">
        <v>5510</v>
      </c>
      <c r="N63" t="s">
        <v>3467</v>
      </c>
      <c r="O63" t="s">
        <v>5917</v>
      </c>
    </row>
    <row r="64" spans="1:15" ht="15" customHeight="1" x14ac:dyDescent="0.25">
      <c r="A64" t="s">
        <v>6002</v>
      </c>
      <c r="B64" t="s">
        <v>3530</v>
      </c>
      <c r="C64" t="s">
        <v>5769</v>
      </c>
      <c r="D64">
        <v>1</v>
      </c>
      <c r="E64" s="9" t="s">
        <v>6599</v>
      </c>
      <c r="F64" t="s">
        <v>6600</v>
      </c>
      <c r="G64" s="9" t="s">
        <v>6601</v>
      </c>
      <c r="H64" t="s">
        <v>6602</v>
      </c>
      <c r="I64">
        <v>1</v>
      </c>
      <c r="J64" t="s">
        <v>6439</v>
      </c>
      <c r="K64" t="s">
        <v>6002</v>
      </c>
      <c r="L64" t="s">
        <v>90</v>
      </c>
      <c r="M64" t="s">
        <v>3467</v>
      </c>
      <c r="N64" t="s">
        <v>3467</v>
      </c>
      <c r="O64" t="s">
        <v>6005</v>
      </c>
    </row>
    <row r="65" spans="1:15" ht="15" customHeight="1" x14ac:dyDescent="0.25">
      <c r="A65" t="s">
        <v>6010</v>
      </c>
      <c r="B65" t="s">
        <v>3530</v>
      </c>
      <c r="C65" t="s">
        <v>5407</v>
      </c>
      <c r="D65">
        <v>1</v>
      </c>
      <c r="E65" s="9" t="s">
        <v>6011</v>
      </c>
      <c r="F65" t="s">
        <v>6603</v>
      </c>
      <c r="G65" s="9" t="s">
        <v>6012</v>
      </c>
      <c r="H65" t="s">
        <v>6604</v>
      </c>
      <c r="I65">
        <v>1</v>
      </c>
      <c r="J65" t="s">
        <v>3467</v>
      </c>
      <c r="K65" t="s">
        <v>6013</v>
      </c>
      <c r="L65" t="s">
        <v>90</v>
      </c>
      <c r="M65" t="s">
        <v>3467</v>
      </c>
      <c r="N65" t="s">
        <v>3467</v>
      </c>
      <c r="O65" t="s">
        <v>5810</v>
      </c>
    </row>
    <row r="66" spans="1:15" ht="15" customHeight="1" x14ac:dyDescent="0.25">
      <c r="A66" t="s">
        <v>6014</v>
      </c>
      <c r="B66" t="s">
        <v>3530</v>
      </c>
      <c r="C66" t="s">
        <v>5769</v>
      </c>
      <c r="D66">
        <v>0</v>
      </c>
      <c r="E66" s="9" t="s">
        <v>6605</v>
      </c>
      <c r="F66" t="s">
        <v>6606</v>
      </c>
      <c r="G66" s="9" t="s">
        <v>6607</v>
      </c>
      <c r="H66" t="s">
        <v>6608</v>
      </c>
      <c r="I66">
        <v>0</v>
      </c>
      <c r="J66" t="s">
        <v>6497</v>
      </c>
      <c r="K66" t="s">
        <v>6017</v>
      </c>
      <c r="L66" t="s">
        <v>90</v>
      </c>
      <c r="M66" t="s">
        <v>5543</v>
      </c>
      <c r="N66" t="s">
        <v>3467</v>
      </c>
      <c r="O66" t="s">
        <v>5824</v>
      </c>
    </row>
    <row r="67" spans="1:15" x14ac:dyDescent="0.25">
      <c r="A67" t="s">
        <v>6018</v>
      </c>
      <c r="B67" t="s">
        <v>3530</v>
      </c>
      <c r="C67" t="s">
        <v>5407</v>
      </c>
      <c r="D67">
        <v>2</v>
      </c>
      <c r="E67" s="9" t="s">
        <v>6019</v>
      </c>
      <c r="F67" t="s">
        <v>6609</v>
      </c>
      <c r="G67" s="9" t="s">
        <v>6019</v>
      </c>
      <c r="H67" t="s">
        <v>6609</v>
      </c>
      <c r="I67">
        <v>1</v>
      </c>
      <c r="J67" t="s">
        <v>3467</v>
      </c>
      <c r="K67" t="s">
        <v>6018</v>
      </c>
      <c r="L67" t="s">
        <v>90</v>
      </c>
      <c r="M67" t="s">
        <v>3467</v>
      </c>
      <c r="N67" t="s">
        <v>3467</v>
      </c>
      <c r="O67" t="s">
        <v>5786</v>
      </c>
    </row>
    <row r="68" spans="1:15" x14ac:dyDescent="0.25">
      <c r="A68" t="s">
        <v>5243</v>
      </c>
      <c r="B68" t="s">
        <v>3518</v>
      </c>
      <c r="C68" t="s">
        <v>4644</v>
      </c>
      <c r="D68">
        <v>2</v>
      </c>
      <c r="E68" s="9" t="s">
        <v>6610</v>
      </c>
      <c r="F68" t="s">
        <v>6611</v>
      </c>
      <c r="G68" s="9" t="s">
        <v>6610</v>
      </c>
      <c r="H68" t="s">
        <v>6611</v>
      </c>
      <c r="I68">
        <v>1</v>
      </c>
      <c r="J68" t="s">
        <v>3467</v>
      </c>
      <c r="K68" t="s">
        <v>5243</v>
      </c>
      <c r="L68" t="s">
        <v>90</v>
      </c>
      <c r="M68" t="s">
        <v>3467</v>
      </c>
      <c r="N68" t="s">
        <v>3467</v>
      </c>
      <c r="O68" t="s">
        <v>6612</v>
      </c>
    </row>
    <row r="69" spans="1:15" x14ac:dyDescent="0.25">
      <c r="A69" t="s">
        <v>6021</v>
      </c>
      <c r="B69" t="s">
        <v>3530</v>
      </c>
      <c r="C69" t="s">
        <v>5407</v>
      </c>
      <c r="D69">
        <v>0</v>
      </c>
      <c r="E69" s="9" t="s">
        <v>6022</v>
      </c>
      <c r="F69" t="s">
        <v>6613</v>
      </c>
      <c r="G69" s="9" t="s">
        <v>6023</v>
      </c>
      <c r="H69" t="s">
        <v>6614</v>
      </c>
      <c r="I69">
        <v>0</v>
      </c>
      <c r="J69" t="s">
        <v>3467</v>
      </c>
      <c r="K69" t="s">
        <v>6024</v>
      </c>
      <c r="L69" t="s">
        <v>90</v>
      </c>
      <c r="M69" t="s">
        <v>3467</v>
      </c>
      <c r="N69" t="s">
        <v>3467</v>
      </c>
      <c r="O69" t="s">
        <v>6025</v>
      </c>
    </row>
    <row r="70" spans="1:15" x14ac:dyDescent="0.25">
      <c r="A70" t="s">
        <v>6026</v>
      </c>
      <c r="B70" t="s">
        <v>3530</v>
      </c>
      <c r="C70" t="s">
        <v>5769</v>
      </c>
      <c r="D70">
        <v>3</v>
      </c>
      <c r="E70" s="9" t="s">
        <v>6615</v>
      </c>
      <c r="F70" t="s">
        <v>6616</v>
      </c>
      <c r="G70" s="9" t="s">
        <v>6617</v>
      </c>
      <c r="H70" t="s">
        <v>6618</v>
      </c>
      <c r="I70">
        <v>3</v>
      </c>
      <c r="J70" t="s">
        <v>6447</v>
      </c>
      <c r="K70" t="s">
        <v>6026</v>
      </c>
      <c r="L70" t="s">
        <v>90</v>
      </c>
      <c r="M70" t="s">
        <v>3467</v>
      </c>
      <c r="N70" t="s">
        <v>3467</v>
      </c>
      <c r="O70" t="s">
        <v>6029</v>
      </c>
    </row>
    <row r="71" spans="1:15" x14ac:dyDescent="0.25">
      <c r="A71" t="s">
        <v>5245</v>
      </c>
      <c r="B71" t="s">
        <v>3530</v>
      </c>
      <c r="C71" t="s">
        <v>4644</v>
      </c>
      <c r="D71">
        <v>1</v>
      </c>
      <c r="E71" s="9" t="s">
        <v>6619</v>
      </c>
      <c r="F71" t="s">
        <v>6620</v>
      </c>
      <c r="G71" s="9" t="s">
        <v>6621</v>
      </c>
      <c r="H71" t="s">
        <v>6622</v>
      </c>
      <c r="I71">
        <v>1</v>
      </c>
      <c r="J71" t="s">
        <v>3467</v>
      </c>
      <c r="K71" t="s">
        <v>5245</v>
      </c>
      <c r="L71" t="s">
        <v>90</v>
      </c>
      <c r="M71" t="s">
        <v>3467</v>
      </c>
      <c r="N71" t="s">
        <v>3467</v>
      </c>
      <c r="O71" t="s">
        <v>6032</v>
      </c>
    </row>
    <row r="72" spans="1:15" x14ac:dyDescent="0.25">
      <c r="A72" t="s">
        <v>6033</v>
      </c>
      <c r="B72" t="s">
        <v>3518</v>
      </c>
      <c r="C72" t="s">
        <v>5407</v>
      </c>
      <c r="D72">
        <v>1</v>
      </c>
      <c r="E72" s="9" t="s">
        <v>6034</v>
      </c>
      <c r="F72" t="s">
        <v>6623</v>
      </c>
      <c r="G72" s="9" t="s">
        <v>6034</v>
      </c>
      <c r="H72" t="s">
        <v>6623</v>
      </c>
      <c r="I72">
        <v>0</v>
      </c>
      <c r="J72" t="s">
        <v>3467</v>
      </c>
      <c r="K72" t="s">
        <v>6033</v>
      </c>
      <c r="L72" t="s">
        <v>90</v>
      </c>
      <c r="M72" t="s">
        <v>5543</v>
      </c>
      <c r="N72" t="s">
        <v>3467</v>
      </c>
      <c r="O72" t="s">
        <v>6035</v>
      </c>
    </row>
    <row r="73" spans="1:15" x14ac:dyDescent="0.25">
      <c r="A73" t="s">
        <v>6036</v>
      </c>
      <c r="B73" t="s">
        <v>3530</v>
      </c>
      <c r="C73" t="s">
        <v>5407</v>
      </c>
      <c r="D73">
        <v>1</v>
      </c>
      <c r="E73" s="9" t="s">
        <v>6624</v>
      </c>
      <c r="F73" t="s">
        <v>6625</v>
      </c>
      <c r="G73" s="9" t="s">
        <v>6626</v>
      </c>
      <c r="H73" t="s">
        <v>6627</v>
      </c>
      <c r="I73">
        <v>1</v>
      </c>
      <c r="J73" t="s">
        <v>3467</v>
      </c>
      <c r="K73" t="s">
        <v>6036</v>
      </c>
      <c r="L73" t="s">
        <v>90</v>
      </c>
      <c r="M73" t="s">
        <v>3467</v>
      </c>
      <c r="N73" t="s">
        <v>3467</v>
      </c>
      <c r="O73" t="s">
        <v>6039</v>
      </c>
    </row>
    <row r="74" spans="1:15" x14ac:dyDescent="0.25">
      <c r="A74" t="s">
        <v>6040</v>
      </c>
      <c r="B74" t="s">
        <v>3518</v>
      </c>
      <c r="C74" t="s">
        <v>5769</v>
      </c>
      <c r="D74">
        <v>1</v>
      </c>
      <c r="E74" s="9" t="s">
        <v>6628</v>
      </c>
      <c r="F74" t="s">
        <v>6629</v>
      </c>
      <c r="G74" s="9" t="s">
        <v>6630</v>
      </c>
      <c r="H74" t="s">
        <v>6631</v>
      </c>
      <c r="I74" t="s">
        <v>3467</v>
      </c>
      <c r="J74" t="s">
        <v>6447</v>
      </c>
      <c r="K74" t="s">
        <v>6040</v>
      </c>
      <c r="L74" t="s">
        <v>90</v>
      </c>
      <c r="M74" t="s">
        <v>5543</v>
      </c>
      <c r="N74" t="s">
        <v>3467</v>
      </c>
      <c r="O74" t="s">
        <v>6043</v>
      </c>
    </row>
    <row r="75" spans="1:15" x14ac:dyDescent="0.25">
      <c r="A75" t="s">
        <v>5253</v>
      </c>
      <c r="B75" t="s">
        <v>3530</v>
      </c>
      <c r="C75" t="s">
        <v>4644</v>
      </c>
      <c r="D75">
        <v>1</v>
      </c>
      <c r="E75" s="9" t="s">
        <v>6632</v>
      </c>
      <c r="F75" t="s">
        <v>6633</v>
      </c>
      <c r="G75" s="9" t="s">
        <v>6634</v>
      </c>
      <c r="H75" t="s">
        <v>6635</v>
      </c>
      <c r="I75">
        <v>1</v>
      </c>
      <c r="J75" t="s">
        <v>3467</v>
      </c>
      <c r="K75" t="s">
        <v>5255</v>
      </c>
      <c r="L75" t="s">
        <v>90</v>
      </c>
      <c r="M75" t="s">
        <v>3467</v>
      </c>
      <c r="N75" t="s">
        <v>3467</v>
      </c>
      <c r="O75" t="s">
        <v>6046</v>
      </c>
    </row>
    <row r="76" spans="1:15" x14ac:dyDescent="0.25">
      <c r="A76" t="s">
        <v>6047</v>
      </c>
      <c r="B76" t="s">
        <v>3518</v>
      </c>
      <c r="C76" t="s">
        <v>5769</v>
      </c>
      <c r="D76">
        <v>2</v>
      </c>
      <c r="E76" s="9" t="s">
        <v>6636</v>
      </c>
      <c r="F76" t="s">
        <v>6637</v>
      </c>
      <c r="G76" s="9" t="s">
        <v>6638</v>
      </c>
      <c r="H76" t="s">
        <v>6639</v>
      </c>
      <c r="I76">
        <v>2</v>
      </c>
      <c r="J76" t="s">
        <v>6464</v>
      </c>
      <c r="K76" t="s">
        <v>6050</v>
      </c>
      <c r="L76" t="s">
        <v>90</v>
      </c>
      <c r="M76" t="s">
        <v>5543</v>
      </c>
      <c r="N76" t="s">
        <v>4307</v>
      </c>
      <c r="O76" t="s">
        <v>6051</v>
      </c>
    </row>
    <row r="77" spans="1:15" x14ac:dyDescent="0.25">
      <c r="A77" t="s">
        <v>6054</v>
      </c>
      <c r="B77" t="s">
        <v>3530</v>
      </c>
      <c r="C77" t="s">
        <v>5769</v>
      </c>
      <c r="D77">
        <v>1</v>
      </c>
      <c r="E77" s="9" t="s">
        <v>6640</v>
      </c>
      <c r="F77" t="s">
        <v>6641</v>
      </c>
      <c r="G77" s="9" t="s">
        <v>6642</v>
      </c>
      <c r="H77" t="s">
        <v>6643</v>
      </c>
      <c r="I77" t="s">
        <v>3467</v>
      </c>
      <c r="J77" t="s">
        <v>6439</v>
      </c>
      <c r="K77" t="s">
        <v>6054</v>
      </c>
      <c r="L77" t="s">
        <v>90</v>
      </c>
      <c r="M77" t="s">
        <v>3467</v>
      </c>
      <c r="N77" t="s">
        <v>3467</v>
      </c>
      <c r="O77" t="s">
        <v>6644</v>
      </c>
    </row>
    <row r="78" spans="1:15" x14ac:dyDescent="0.25">
      <c r="A78" t="s">
        <v>5256</v>
      </c>
      <c r="B78" t="s">
        <v>3530</v>
      </c>
      <c r="C78" t="s">
        <v>4644</v>
      </c>
      <c r="D78">
        <v>1</v>
      </c>
      <c r="E78" s="9" t="s">
        <v>6645</v>
      </c>
      <c r="F78" t="s">
        <v>6646</v>
      </c>
      <c r="G78" s="9" t="s">
        <v>6647</v>
      </c>
      <c r="H78" t="s">
        <v>6648</v>
      </c>
      <c r="I78">
        <v>1</v>
      </c>
      <c r="J78" t="s">
        <v>3467</v>
      </c>
      <c r="K78" t="s">
        <v>5258</v>
      </c>
      <c r="L78" t="s">
        <v>90</v>
      </c>
      <c r="M78" t="s">
        <v>3467</v>
      </c>
      <c r="N78" t="s">
        <v>3467</v>
      </c>
      <c r="O78" t="s">
        <v>6059</v>
      </c>
    </row>
    <row r="79" spans="1:15" x14ac:dyDescent="0.25">
      <c r="A79" t="s">
        <v>5259</v>
      </c>
      <c r="B79" t="s">
        <v>3530</v>
      </c>
      <c r="C79" t="s">
        <v>5407</v>
      </c>
      <c r="D79">
        <v>2</v>
      </c>
      <c r="E79" s="9" t="s">
        <v>6649</v>
      </c>
      <c r="F79" t="s">
        <v>6650</v>
      </c>
      <c r="G79" s="9" t="s">
        <v>6651</v>
      </c>
      <c r="H79" t="s">
        <v>6652</v>
      </c>
      <c r="I79">
        <v>2</v>
      </c>
      <c r="J79" t="s">
        <v>3467</v>
      </c>
      <c r="K79" t="s">
        <v>5261</v>
      </c>
      <c r="L79" t="s">
        <v>90</v>
      </c>
      <c r="M79" t="s">
        <v>3467</v>
      </c>
      <c r="N79" t="s">
        <v>4307</v>
      </c>
      <c r="O79" t="s">
        <v>5786</v>
      </c>
    </row>
    <row r="80" spans="1:15" x14ac:dyDescent="0.25">
      <c r="A80" t="s">
        <v>6062</v>
      </c>
      <c r="B80" t="s">
        <v>3530</v>
      </c>
      <c r="C80" t="s">
        <v>5769</v>
      </c>
      <c r="D80">
        <v>1</v>
      </c>
      <c r="E80" s="9" t="s">
        <v>6653</v>
      </c>
      <c r="F80" t="s">
        <v>6654</v>
      </c>
      <c r="G80" s="9" t="s">
        <v>6655</v>
      </c>
      <c r="H80" t="s">
        <v>6656</v>
      </c>
      <c r="I80">
        <v>1</v>
      </c>
      <c r="J80" t="s">
        <v>6464</v>
      </c>
      <c r="K80" t="s">
        <v>6062</v>
      </c>
      <c r="L80" t="s">
        <v>90</v>
      </c>
      <c r="M80" t="s">
        <v>3467</v>
      </c>
      <c r="N80" t="s">
        <v>3467</v>
      </c>
      <c r="O80" t="s">
        <v>6644</v>
      </c>
    </row>
    <row r="81" spans="1:15" x14ac:dyDescent="0.25">
      <c r="A81" t="s">
        <v>6065</v>
      </c>
      <c r="B81" t="s">
        <v>41</v>
      </c>
      <c r="C81" t="s">
        <v>5407</v>
      </c>
      <c r="D81">
        <v>0</v>
      </c>
      <c r="E81" s="9" t="s">
        <v>6657</v>
      </c>
      <c r="F81" t="s">
        <v>6658</v>
      </c>
      <c r="G81" s="9" t="s">
        <v>6659</v>
      </c>
      <c r="H81" t="s">
        <v>6660</v>
      </c>
      <c r="I81" t="s">
        <v>3467</v>
      </c>
      <c r="J81" t="s">
        <v>3467</v>
      </c>
      <c r="K81" t="s">
        <v>6065</v>
      </c>
      <c r="L81" t="s">
        <v>90</v>
      </c>
      <c r="M81" t="s">
        <v>3467</v>
      </c>
      <c r="N81" t="s">
        <v>3467</v>
      </c>
      <c r="O81" t="s">
        <v>6106</v>
      </c>
    </row>
    <row r="82" spans="1:15" x14ac:dyDescent="0.25">
      <c r="A82" t="s">
        <v>6068</v>
      </c>
      <c r="B82" t="s">
        <v>41</v>
      </c>
      <c r="C82" t="s">
        <v>5769</v>
      </c>
      <c r="D82">
        <v>1</v>
      </c>
      <c r="E82" s="9" t="s">
        <v>6661</v>
      </c>
      <c r="F82" t="s">
        <v>6662</v>
      </c>
      <c r="G82" s="9" t="s">
        <v>6663</v>
      </c>
      <c r="H82" t="s">
        <v>6664</v>
      </c>
      <c r="I82" t="s">
        <v>3467</v>
      </c>
      <c r="J82" t="s">
        <v>6439</v>
      </c>
      <c r="K82" t="s">
        <v>6071</v>
      </c>
      <c r="L82" t="s">
        <v>90</v>
      </c>
      <c r="M82" t="s">
        <v>3467</v>
      </c>
      <c r="N82" t="s">
        <v>3467</v>
      </c>
      <c r="O82" t="s">
        <v>6072</v>
      </c>
    </row>
    <row r="83" spans="1:15" x14ac:dyDescent="0.25">
      <c r="A83" t="s">
        <v>6076</v>
      </c>
      <c r="B83" t="s">
        <v>3530</v>
      </c>
      <c r="C83" t="s">
        <v>5407</v>
      </c>
      <c r="D83">
        <v>1</v>
      </c>
      <c r="E83" s="9" t="s">
        <v>6665</v>
      </c>
      <c r="F83" t="s">
        <v>6498</v>
      </c>
      <c r="G83" s="9" t="s">
        <v>6666</v>
      </c>
      <c r="H83" t="s">
        <v>6499</v>
      </c>
      <c r="I83" t="s">
        <v>3467</v>
      </c>
      <c r="J83" t="s">
        <v>3467</v>
      </c>
      <c r="K83" t="s">
        <v>6079</v>
      </c>
      <c r="L83" t="s">
        <v>90</v>
      </c>
      <c r="M83" t="s">
        <v>5469</v>
      </c>
      <c r="N83" t="s">
        <v>3467</v>
      </c>
      <c r="O83" t="s">
        <v>5786</v>
      </c>
    </row>
    <row r="84" spans="1:15" x14ac:dyDescent="0.25">
      <c r="A84" t="s">
        <v>6081</v>
      </c>
      <c r="B84" t="s">
        <v>3518</v>
      </c>
      <c r="C84" t="s">
        <v>5769</v>
      </c>
      <c r="D84">
        <v>1</v>
      </c>
      <c r="E84" s="9" t="s">
        <v>6667</v>
      </c>
      <c r="F84" t="s">
        <v>6668</v>
      </c>
      <c r="G84" s="9" t="s">
        <v>6669</v>
      </c>
      <c r="H84" t="s">
        <v>6670</v>
      </c>
      <c r="I84" t="s">
        <v>3467</v>
      </c>
      <c r="J84" t="s">
        <v>6464</v>
      </c>
      <c r="K84" t="s">
        <v>6084</v>
      </c>
      <c r="L84" t="s">
        <v>90</v>
      </c>
      <c r="M84" t="s">
        <v>3467</v>
      </c>
      <c r="N84" t="s">
        <v>3467</v>
      </c>
      <c r="O84" t="s">
        <v>5824</v>
      </c>
    </row>
    <row r="85" spans="1:15" x14ac:dyDescent="0.25">
      <c r="A85" t="s">
        <v>6085</v>
      </c>
      <c r="B85" t="s">
        <v>41</v>
      </c>
      <c r="C85" t="s">
        <v>5769</v>
      </c>
      <c r="D85">
        <v>0</v>
      </c>
      <c r="E85" s="9" t="s">
        <v>6671</v>
      </c>
      <c r="F85" t="s">
        <v>6672</v>
      </c>
      <c r="G85" s="9" t="s">
        <v>6673</v>
      </c>
      <c r="H85" t="s">
        <v>6674</v>
      </c>
      <c r="I85">
        <v>0</v>
      </c>
      <c r="J85" t="s">
        <v>6531</v>
      </c>
      <c r="K85" t="s">
        <v>6088</v>
      </c>
      <c r="L85" t="s">
        <v>90</v>
      </c>
      <c r="M85" t="s">
        <v>3467</v>
      </c>
      <c r="N85" t="s">
        <v>3467</v>
      </c>
      <c r="O85" t="s">
        <v>5815</v>
      </c>
    </row>
    <row r="86" spans="1:15" x14ac:dyDescent="0.25">
      <c r="A86" t="s">
        <v>6089</v>
      </c>
      <c r="B86" t="s">
        <v>3518</v>
      </c>
      <c r="C86" t="s">
        <v>5769</v>
      </c>
      <c r="D86">
        <v>0</v>
      </c>
      <c r="E86" s="9" t="s">
        <v>6675</v>
      </c>
      <c r="F86" t="s">
        <v>6676</v>
      </c>
      <c r="G86" s="9" t="s">
        <v>6677</v>
      </c>
      <c r="H86" t="s">
        <v>6678</v>
      </c>
      <c r="I86">
        <v>0</v>
      </c>
      <c r="J86" t="s">
        <v>6679</v>
      </c>
      <c r="K86" t="s">
        <v>6092</v>
      </c>
      <c r="L86" t="s">
        <v>90</v>
      </c>
      <c r="M86" t="s">
        <v>3467</v>
      </c>
      <c r="N86" t="s">
        <v>3467</v>
      </c>
      <c r="O86" t="s">
        <v>5943</v>
      </c>
    </row>
    <row r="87" spans="1:15" x14ac:dyDescent="0.25">
      <c r="A87" t="s">
        <v>5163</v>
      </c>
      <c r="B87" t="s">
        <v>4344</v>
      </c>
      <c r="C87" t="s">
        <v>4291</v>
      </c>
      <c r="D87" t="s">
        <v>4035</v>
      </c>
      <c r="E87" t="s">
        <v>6680</v>
      </c>
      <c r="F87" t="s">
        <v>4261</v>
      </c>
      <c r="G87" t="s">
        <v>3467</v>
      </c>
      <c r="H87" t="s">
        <v>3467</v>
      </c>
      <c r="I87" t="s">
        <v>3467</v>
      </c>
      <c r="J87" t="s">
        <v>3467</v>
      </c>
      <c r="K87" t="s">
        <v>5163</v>
      </c>
      <c r="L87" t="s">
        <v>38</v>
      </c>
      <c r="M87" t="s">
        <v>6681</v>
      </c>
      <c r="N87" t="s">
        <v>3467</v>
      </c>
    </row>
    <row r="88" spans="1:15" x14ac:dyDescent="0.25">
      <c r="A88" t="s">
        <v>5179</v>
      </c>
      <c r="B88" t="s">
        <v>4344</v>
      </c>
      <c r="C88" t="s">
        <v>4291</v>
      </c>
      <c r="D88" t="s">
        <v>4035</v>
      </c>
      <c r="E88" t="s">
        <v>6682</v>
      </c>
      <c r="F88" t="s">
        <v>6683</v>
      </c>
      <c r="G88" t="s">
        <v>3467</v>
      </c>
      <c r="H88" t="s">
        <v>3467</v>
      </c>
      <c r="I88" t="s">
        <v>3467</v>
      </c>
      <c r="J88" t="s">
        <v>3467</v>
      </c>
      <c r="K88" t="s">
        <v>5179</v>
      </c>
      <c r="L88" t="s">
        <v>38</v>
      </c>
      <c r="M88" t="s">
        <v>5510</v>
      </c>
      <c r="N88" t="s">
        <v>3467</v>
      </c>
      <c r="O88" t="s">
        <v>5917</v>
      </c>
    </row>
    <row r="89" spans="1:15" x14ac:dyDescent="0.25">
      <c r="A89" t="s">
        <v>6094</v>
      </c>
      <c r="B89" t="s">
        <v>41</v>
      </c>
      <c r="C89" t="s">
        <v>5407</v>
      </c>
      <c r="D89">
        <v>1</v>
      </c>
      <c r="E89" s="9" t="s">
        <v>6095</v>
      </c>
      <c r="F89" t="s">
        <v>6684</v>
      </c>
      <c r="G89" s="9" t="s">
        <v>6095</v>
      </c>
      <c r="H89" t="s">
        <v>6684</v>
      </c>
      <c r="I89">
        <v>0</v>
      </c>
      <c r="J89" t="s">
        <v>3467</v>
      </c>
      <c r="K89" t="s">
        <v>6094</v>
      </c>
      <c r="L89" t="s">
        <v>90</v>
      </c>
      <c r="M89" t="s">
        <v>3467</v>
      </c>
      <c r="N89" t="s">
        <v>3467</v>
      </c>
      <c r="O89" t="s">
        <v>6051</v>
      </c>
    </row>
    <row r="90" spans="1:15" x14ac:dyDescent="0.25">
      <c r="A90" t="s">
        <v>6096</v>
      </c>
      <c r="B90" t="s">
        <v>41</v>
      </c>
      <c r="C90" t="s">
        <v>5769</v>
      </c>
      <c r="D90">
        <v>1</v>
      </c>
      <c r="E90" s="9" t="s">
        <v>6097</v>
      </c>
      <c r="F90" t="s">
        <v>6685</v>
      </c>
      <c r="G90" s="9" t="s">
        <v>6098</v>
      </c>
      <c r="H90" t="s">
        <v>6686</v>
      </c>
      <c r="I90">
        <v>1</v>
      </c>
      <c r="J90" t="s">
        <v>6447</v>
      </c>
      <c r="K90" t="s">
        <v>6096</v>
      </c>
      <c r="L90" t="s">
        <v>90</v>
      </c>
      <c r="M90" t="s">
        <v>3467</v>
      </c>
      <c r="N90" t="s">
        <v>3467</v>
      </c>
      <c r="O90" t="s">
        <v>5782</v>
      </c>
    </row>
    <row r="91" spans="1:15" x14ac:dyDescent="0.25">
      <c r="A91" t="s">
        <v>6102</v>
      </c>
      <c r="B91" t="s">
        <v>41</v>
      </c>
      <c r="C91" t="s">
        <v>5769</v>
      </c>
      <c r="D91">
        <v>2</v>
      </c>
      <c r="E91" t="s">
        <v>6103</v>
      </c>
      <c r="F91" t="s">
        <v>6687</v>
      </c>
      <c r="G91" t="s">
        <v>6104</v>
      </c>
      <c r="H91" t="s">
        <v>6688</v>
      </c>
      <c r="I91">
        <v>2</v>
      </c>
      <c r="J91" t="s">
        <v>6470</v>
      </c>
      <c r="K91" t="s">
        <v>6105</v>
      </c>
      <c r="L91" t="s">
        <v>90</v>
      </c>
      <c r="M91" t="s">
        <v>3467</v>
      </c>
      <c r="N91" t="s">
        <v>3467</v>
      </c>
      <c r="O91" t="s">
        <v>6106</v>
      </c>
    </row>
    <row r="92" spans="1:15" x14ac:dyDescent="0.25">
      <c r="A92" t="s">
        <v>6107</v>
      </c>
      <c r="B92" t="s">
        <v>3530</v>
      </c>
      <c r="C92" t="s">
        <v>5769</v>
      </c>
      <c r="D92">
        <v>1</v>
      </c>
      <c r="E92" s="9" t="s">
        <v>6689</v>
      </c>
      <c r="F92" t="s">
        <v>6690</v>
      </c>
      <c r="G92" s="9" t="s">
        <v>6691</v>
      </c>
      <c r="H92" t="s">
        <v>6692</v>
      </c>
      <c r="I92">
        <v>1</v>
      </c>
      <c r="J92" t="s">
        <v>6447</v>
      </c>
      <c r="K92" t="s">
        <v>6110</v>
      </c>
      <c r="L92" t="s">
        <v>90</v>
      </c>
      <c r="M92" t="s">
        <v>3467</v>
      </c>
      <c r="N92" t="s">
        <v>3467</v>
      </c>
      <c r="O92" t="s">
        <v>6693</v>
      </c>
    </row>
    <row r="93" spans="1:15" x14ac:dyDescent="0.25">
      <c r="A93" t="s">
        <v>6111</v>
      </c>
      <c r="B93" t="s">
        <v>3530</v>
      </c>
      <c r="C93" t="s">
        <v>5769</v>
      </c>
      <c r="D93">
        <v>1</v>
      </c>
      <c r="E93" s="9" t="s">
        <v>6112</v>
      </c>
      <c r="F93" t="s">
        <v>6694</v>
      </c>
      <c r="G93" s="9" t="s">
        <v>6113</v>
      </c>
      <c r="H93" t="s">
        <v>6695</v>
      </c>
      <c r="I93">
        <v>1</v>
      </c>
      <c r="J93" t="s">
        <v>6464</v>
      </c>
      <c r="K93" t="s">
        <v>6111</v>
      </c>
      <c r="L93" t="s">
        <v>90</v>
      </c>
      <c r="M93" t="s">
        <v>3467</v>
      </c>
      <c r="N93" t="s">
        <v>5430</v>
      </c>
      <c r="O93" t="s">
        <v>6696</v>
      </c>
    </row>
    <row r="94" spans="1:15" x14ac:dyDescent="0.25">
      <c r="A94" t="s">
        <v>6114</v>
      </c>
      <c r="B94" t="s">
        <v>41</v>
      </c>
      <c r="C94" t="s">
        <v>5407</v>
      </c>
      <c r="D94">
        <v>1</v>
      </c>
      <c r="E94" s="9" t="s">
        <v>6697</v>
      </c>
      <c r="F94" t="s">
        <v>6698</v>
      </c>
      <c r="G94" s="9" t="s">
        <v>6699</v>
      </c>
      <c r="H94" t="s">
        <v>6700</v>
      </c>
      <c r="I94">
        <v>1</v>
      </c>
      <c r="J94" t="s">
        <v>3467</v>
      </c>
      <c r="K94" t="s">
        <v>6114</v>
      </c>
      <c r="L94" t="s">
        <v>90</v>
      </c>
      <c r="M94" t="s">
        <v>3467</v>
      </c>
      <c r="N94" t="s">
        <v>3467</v>
      </c>
      <c r="O94" t="s">
        <v>6117</v>
      </c>
    </row>
    <row r="95" spans="1:15" x14ac:dyDescent="0.25">
      <c r="A95" t="s">
        <v>6118</v>
      </c>
      <c r="B95" t="s">
        <v>3518</v>
      </c>
      <c r="C95" t="s">
        <v>5769</v>
      </c>
      <c r="D95">
        <v>2</v>
      </c>
      <c r="E95" s="9" t="s">
        <v>6119</v>
      </c>
      <c r="F95" t="s">
        <v>6701</v>
      </c>
      <c r="G95" s="9" t="s">
        <v>6120</v>
      </c>
      <c r="H95" t="s">
        <v>6702</v>
      </c>
      <c r="I95">
        <v>2</v>
      </c>
      <c r="J95" t="s">
        <v>6703</v>
      </c>
      <c r="K95" t="s">
        <v>6118</v>
      </c>
      <c r="L95" t="s">
        <v>90</v>
      </c>
      <c r="M95" t="s">
        <v>3467</v>
      </c>
      <c r="N95" t="s">
        <v>4307</v>
      </c>
      <c r="O95" t="s">
        <v>5906</v>
      </c>
    </row>
    <row r="96" spans="1:15" x14ac:dyDescent="0.25">
      <c r="A96" t="s">
        <v>6121</v>
      </c>
      <c r="B96" t="s">
        <v>3518</v>
      </c>
      <c r="C96" t="s">
        <v>5407</v>
      </c>
      <c r="D96">
        <v>2</v>
      </c>
      <c r="E96" s="9" t="s">
        <v>6122</v>
      </c>
      <c r="F96" t="s">
        <v>6704</v>
      </c>
      <c r="G96" s="9" t="s">
        <v>6123</v>
      </c>
      <c r="H96" t="s">
        <v>6705</v>
      </c>
      <c r="I96">
        <v>2</v>
      </c>
      <c r="J96" t="s">
        <v>3467</v>
      </c>
      <c r="K96" t="s">
        <v>6121</v>
      </c>
      <c r="L96" t="s">
        <v>90</v>
      </c>
      <c r="M96" t="s">
        <v>5543</v>
      </c>
      <c r="N96" t="s">
        <v>3467</v>
      </c>
      <c r="O96" t="s">
        <v>6046</v>
      </c>
    </row>
    <row r="97" spans="1:15" x14ac:dyDescent="0.25">
      <c r="A97" t="s">
        <v>6124</v>
      </c>
      <c r="B97" t="s">
        <v>3530</v>
      </c>
      <c r="C97" t="s">
        <v>5407</v>
      </c>
      <c r="D97">
        <v>1</v>
      </c>
      <c r="E97" s="9" t="s">
        <v>6125</v>
      </c>
      <c r="F97" t="s">
        <v>6706</v>
      </c>
      <c r="G97" s="9" t="s">
        <v>6125</v>
      </c>
      <c r="H97" t="s">
        <v>6706</v>
      </c>
      <c r="I97">
        <v>0</v>
      </c>
      <c r="J97" t="s">
        <v>3467</v>
      </c>
      <c r="K97" t="s">
        <v>6126</v>
      </c>
      <c r="L97" t="s">
        <v>90</v>
      </c>
      <c r="M97" t="s">
        <v>5543</v>
      </c>
      <c r="N97" t="s">
        <v>3467</v>
      </c>
      <c r="O97" t="s">
        <v>6127</v>
      </c>
    </row>
    <row r="98" spans="1:15" x14ac:dyDescent="0.25">
      <c r="A98" t="s">
        <v>6132</v>
      </c>
      <c r="B98" t="s">
        <v>3530</v>
      </c>
      <c r="C98" t="s">
        <v>4644</v>
      </c>
      <c r="D98">
        <v>1</v>
      </c>
      <c r="E98" t="s">
        <v>6133</v>
      </c>
      <c r="F98" t="s">
        <v>6707</v>
      </c>
      <c r="G98" t="s">
        <v>6134</v>
      </c>
      <c r="H98" t="s">
        <v>6708</v>
      </c>
      <c r="I98">
        <v>1</v>
      </c>
      <c r="J98" t="s">
        <v>3467</v>
      </c>
      <c r="K98" t="s">
        <v>6132</v>
      </c>
      <c r="L98" t="s">
        <v>90</v>
      </c>
      <c r="M98" t="s">
        <v>3467</v>
      </c>
      <c r="N98" t="s">
        <v>3467</v>
      </c>
      <c r="O98" t="s">
        <v>5974</v>
      </c>
    </row>
    <row r="99" spans="1:15" x14ac:dyDescent="0.25">
      <c r="A99" t="s">
        <v>4299</v>
      </c>
      <c r="B99" t="s">
        <v>4344</v>
      </c>
      <c r="C99" t="s">
        <v>4291</v>
      </c>
      <c r="D99" t="s">
        <v>4035</v>
      </c>
      <c r="E99" t="s">
        <v>6135</v>
      </c>
      <c r="F99" t="s">
        <v>4261</v>
      </c>
      <c r="G99" t="s">
        <v>3467</v>
      </c>
      <c r="H99" t="s">
        <v>3467</v>
      </c>
      <c r="I99" t="s">
        <v>3467</v>
      </c>
      <c r="J99" t="s">
        <v>3467</v>
      </c>
      <c r="K99" t="s">
        <v>4299</v>
      </c>
      <c r="L99" t="s">
        <v>90</v>
      </c>
      <c r="M99" t="s">
        <v>5510</v>
      </c>
      <c r="N99" t="s">
        <v>3467</v>
      </c>
      <c r="O99" t="s">
        <v>5917</v>
      </c>
    </row>
    <row r="100" spans="1:15" x14ac:dyDescent="0.25">
      <c r="A100" t="s">
        <v>6136</v>
      </c>
      <c r="B100" t="s">
        <v>3530</v>
      </c>
      <c r="C100" t="s">
        <v>5407</v>
      </c>
      <c r="D100">
        <v>0</v>
      </c>
      <c r="E100" s="9" t="s">
        <v>6137</v>
      </c>
      <c r="F100" t="s">
        <v>6709</v>
      </c>
      <c r="G100" s="9" t="s">
        <v>6138</v>
      </c>
      <c r="H100" t="s">
        <v>6710</v>
      </c>
      <c r="I100">
        <v>0</v>
      </c>
      <c r="J100" t="s">
        <v>3467</v>
      </c>
      <c r="K100" t="s">
        <v>6136</v>
      </c>
      <c r="L100" t="s">
        <v>90</v>
      </c>
      <c r="M100" t="s">
        <v>5543</v>
      </c>
      <c r="N100" t="s">
        <v>3467</v>
      </c>
      <c r="O100" t="s">
        <v>5984</v>
      </c>
    </row>
    <row r="101" spans="1:15" x14ac:dyDescent="0.25">
      <c r="A101" t="s">
        <v>6139</v>
      </c>
      <c r="B101" t="s">
        <v>41</v>
      </c>
      <c r="C101" t="s">
        <v>5769</v>
      </c>
      <c r="D101">
        <v>1</v>
      </c>
      <c r="E101" t="s">
        <v>6140</v>
      </c>
      <c r="F101" t="s">
        <v>6711</v>
      </c>
      <c r="G101" t="s">
        <v>6141</v>
      </c>
      <c r="H101" t="s">
        <v>6712</v>
      </c>
      <c r="I101">
        <v>1</v>
      </c>
      <c r="J101" t="s">
        <v>6713</v>
      </c>
      <c r="K101" t="s">
        <v>6142</v>
      </c>
      <c r="L101" t="s">
        <v>90</v>
      </c>
      <c r="M101" t="s">
        <v>3467</v>
      </c>
      <c r="N101" t="s">
        <v>3467</v>
      </c>
      <c r="O101" t="s">
        <v>6143</v>
      </c>
    </row>
    <row r="102" spans="1:15" x14ac:dyDescent="0.25">
      <c r="A102" t="s">
        <v>6154</v>
      </c>
      <c r="B102" t="s">
        <v>41</v>
      </c>
      <c r="C102" t="s">
        <v>5407</v>
      </c>
      <c r="D102">
        <v>1</v>
      </c>
      <c r="E102" t="s">
        <v>6155</v>
      </c>
      <c r="F102" t="s">
        <v>6714</v>
      </c>
      <c r="G102" t="s">
        <v>6156</v>
      </c>
      <c r="H102" t="s">
        <v>6715</v>
      </c>
      <c r="I102">
        <v>1</v>
      </c>
      <c r="J102" t="s">
        <v>3467</v>
      </c>
      <c r="K102" t="s">
        <v>6154</v>
      </c>
      <c r="L102" t="s">
        <v>90</v>
      </c>
      <c r="M102" t="s">
        <v>3467</v>
      </c>
      <c r="N102" t="s">
        <v>3467</v>
      </c>
      <c r="O102" t="s">
        <v>5866</v>
      </c>
    </row>
    <row r="103" spans="1:15" x14ac:dyDescent="0.25">
      <c r="A103" t="s">
        <v>6157</v>
      </c>
      <c r="B103" t="s">
        <v>3530</v>
      </c>
      <c r="C103" t="s">
        <v>5407</v>
      </c>
      <c r="D103">
        <v>2</v>
      </c>
      <c r="E103" s="9" t="s">
        <v>6716</v>
      </c>
      <c r="F103" t="s">
        <v>6717</v>
      </c>
      <c r="G103" s="9" t="s">
        <v>6718</v>
      </c>
      <c r="H103" t="s">
        <v>6719</v>
      </c>
      <c r="I103">
        <v>2</v>
      </c>
      <c r="J103" t="s">
        <v>3467</v>
      </c>
      <c r="K103" t="s">
        <v>6160</v>
      </c>
      <c r="L103" t="s">
        <v>90</v>
      </c>
      <c r="M103" t="s">
        <v>3467</v>
      </c>
      <c r="N103" t="s">
        <v>3467</v>
      </c>
      <c r="O103" t="s">
        <v>6161</v>
      </c>
    </row>
    <row r="104" spans="1:15" x14ac:dyDescent="0.25">
      <c r="A104" t="s">
        <v>4740</v>
      </c>
      <c r="B104" t="s">
        <v>41</v>
      </c>
      <c r="C104" t="s">
        <v>5769</v>
      </c>
      <c r="D104">
        <v>2</v>
      </c>
      <c r="E104" t="s">
        <v>6720</v>
      </c>
      <c r="F104" t="s">
        <v>6721</v>
      </c>
      <c r="G104" t="s">
        <v>6720</v>
      </c>
      <c r="H104" t="s">
        <v>6721</v>
      </c>
      <c r="I104">
        <v>2</v>
      </c>
      <c r="J104" t="s">
        <v>6722</v>
      </c>
      <c r="K104" t="s">
        <v>4743</v>
      </c>
      <c r="L104" t="s">
        <v>1047</v>
      </c>
      <c r="M104" t="s">
        <v>3467</v>
      </c>
      <c r="N104" t="s">
        <v>4307</v>
      </c>
      <c r="O104" t="s">
        <v>5802</v>
      </c>
    </row>
    <row r="105" spans="1:15" x14ac:dyDescent="0.25">
      <c r="A105" t="s">
        <v>6163</v>
      </c>
      <c r="B105" t="s">
        <v>3518</v>
      </c>
      <c r="C105" t="s">
        <v>5407</v>
      </c>
      <c r="D105">
        <v>1</v>
      </c>
      <c r="E105" s="9" t="s">
        <v>6164</v>
      </c>
      <c r="F105" t="s">
        <v>6723</v>
      </c>
      <c r="G105" s="9" t="s">
        <v>6165</v>
      </c>
      <c r="H105" t="s">
        <v>6724</v>
      </c>
      <c r="I105">
        <v>1</v>
      </c>
      <c r="J105" t="s">
        <v>3467</v>
      </c>
      <c r="K105" t="s">
        <v>6166</v>
      </c>
      <c r="L105" t="s">
        <v>90</v>
      </c>
      <c r="M105" t="s">
        <v>3467</v>
      </c>
      <c r="N105" t="s">
        <v>3467</v>
      </c>
      <c r="O105" t="s">
        <v>5974</v>
      </c>
    </row>
    <row r="106" spans="1:15" x14ac:dyDescent="0.25">
      <c r="A106" t="s">
        <v>4749</v>
      </c>
      <c r="B106" t="s">
        <v>41</v>
      </c>
      <c r="C106" t="s">
        <v>5769</v>
      </c>
      <c r="D106">
        <v>1</v>
      </c>
      <c r="E106" s="9" t="s">
        <v>6725</v>
      </c>
      <c r="F106" t="s">
        <v>6726</v>
      </c>
      <c r="G106" s="9" t="s">
        <v>6725</v>
      </c>
      <c r="H106" t="s">
        <v>6726</v>
      </c>
      <c r="I106">
        <v>1</v>
      </c>
      <c r="J106" t="s">
        <v>6464</v>
      </c>
      <c r="K106" t="s">
        <v>4752</v>
      </c>
      <c r="L106" t="s">
        <v>1047</v>
      </c>
      <c r="M106" t="s">
        <v>3467</v>
      </c>
      <c r="N106" t="s">
        <v>3467</v>
      </c>
      <c r="O106" t="s">
        <v>5802</v>
      </c>
    </row>
    <row r="107" spans="1:15" x14ac:dyDescent="0.25">
      <c r="A107" t="s">
        <v>6175</v>
      </c>
      <c r="B107" t="s">
        <v>3518</v>
      </c>
      <c r="C107" t="s">
        <v>5407</v>
      </c>
      <c r="D107" t="s">
        <v>5993</v>
      </c>
      <c r="E107" s="9" t="s">
        <v>6727</v>
      </c>
      <c r="F107" t="s">
        <v>6728</v>
      </c>
      <c r="G107" s="9" t="s">
        <v>6729</v>
      </c>
      <c r="H107" t="s">
        <v>6730</v>
      </c>
      <c r="I107" t="s">
        <v>5993</v>
      </c>
      <c r="J107" t="s">
        <v>3467</v>
      </c>
      <c r="K107" t="s">
        <v>6175</v>
      </c>
      <c r="L107" t="s">
        <v>90</v>
      </c>
      <c r="M107" t="s">
        <v>5543</v>
      </c>
      <c r="N107" t="s">
        <v>3467</v>
      </c>
      <c r="O107" t="s">
        <v>6178</v>
      </c>
    </row>
    <row r="108" spans="1:15" x14ac:dyDescent="0.25">
      <c r="A108" t="s">
        <v>6179</v>
      </c>
      <c r="B108" t="s">
        <v>3530</v>
      </c>
      <c r="C108" t="s">
        <v>5769</v>
      </c>
      <c r="D108">
        <v>0</v>
      </c>
      <c r="E108" s="9" t="s">
        <v>6180</v>
      </c>
      <c r="F108" t="s">
        <v>6731</v>
      </c>
      <c r="G108" s="9" t="s">
        <v>6181</v>
      </c>
      <c r="H108" t="s">
        <v>6732</v>
      </c>
      <c r="I108">
        <v>0</v>
      </c>
      <c r="J108" t="s">
        <v>6439</v>
      </c>
      <c r="K108" t="s">
        <v>6182</v>
      </c>
      <c r="L108" t="s">
        <v>90</v>
      </c>
      <c r="M108" t="s">
        <v>3467</v>
      </c>
      <c r="N108" t="s">
        <v>3467</v>
      </c>
      <c r="O108" t="s">
        <v>5824</v>
      </c>
    </row>
    <row r="109" spans="1:15" x14ac:dyDescent="0.25">
      <c r="A109" t="s">
        <v>5744</v>
      </c>
      <c r="B109" t="s">
        <v>3563</v>
      </c>
      <c r="C109" t="s">
        <v>5769</v>
      </c>
      <c r="D109">
        <v>0</v>
      </c>
      <c r="E109" t="s">
        <v>6192</v>
      </c>
      <c r="F109" t="s">
        <v>6733</v>
      </c>
      <c r="G109" t="s">
        <v>6193</v>
      </c>
      <c r="H109" t="s">
        <v>6734</v>
      </c>
      <c r="I109">
        <v>0</v>
      </c>
      <c r="J109" t="s">
        <v>6447</v>
      </c>
      <c r="K109" t="s">
        <v>5744</v>
      </c>
      <c r="L109" t="s">
        <v>90</v>
      </c>
      <c r="M109" t="s">
        <v>3467</v>
      </c>
      <c r="N109" t="s">
        <v>3467</v>
      </c>
      <c r="O109" t="s">
        <v>5800</v>
      </c>
    </row>
    <row r="110" spans="1:15" x14ac:dyDescent="0.25">
      <c r="A110" t="s">
        <v>6194</v>
      </c>
      <c r="B110" t="s">
        <v>3518</v>
      </c>
      <c r="C110" t="s">
        <v>5407</v>
      </c>
      <c r="D110">
        <v>3</v>
      </c>
      <c r="E110" s="9" t="s">
        <v>6735</v>
      </c>
      <c r="F110" t="s">
        <v>6736</v>
      </c>
      <c r="G110" s="9" t="s">
        <v>6735</v>
      </c>
      <c r="H110" t="s">
        <v>6736</v>
      </c>
      <c r="I110">
        <v>2</v>
      </c>
      <c r="J110" t="s">
        <v>3467</v>
      </c>
      <c r="K110" t="s">
        <v>6194</v>
      </c>
      <c r="L110" t="s">
        <v>90</v>
      </c>
      <c r="M110" t="s">
        <v>3467</v>
      </c>
      <c r="N110" t="s">
        <v>3467</v>
      </c>
      <c r="O110" t="s">
        <v>6039</v>
      </c>
    </row>
    <row r="111" spans="1:15" x14ac:dyDescent="0.25">
      <c r="A111" t="s">
        <v>6200</v>
      </c>
      <c r="B111" t="s">
        <v>3518</v>
      </c>
      <c r="C111" t="s">
        <v>5407</v>
      </c>
      <c r="D111">
        <v>0</v>
      </c>
      <c r="E111" s="9" t="s">
        <v>6201</v>
      </c>
      <c r="F111" t="s">
        <v>6737</v>
      </c>
      <c r="G111" s="9" t="s">
        <v>6202</v>
      </c>
      <c r="H111" t="s">
        <v>6738</v>
      </c>
      <c r="I111">
        <v>0</v>
      </c>
      <c r="J111" t="s">
        <v>3467</v>
      </c>
      <c r="K111" t="s">
        <v>6200</v>
      </c>
      <c r="L111" t="s">
        <v>90</v>
      </c>
      <c r="M111" t="s">
        <v>5543</v>
      </c>
      <c r="N111" t="s">
        <v>3467</v>
      </c>
      <c r="O111" t="s">
        <v>6203</v>
      </c>
    </row>
    <row r="112" spans="1:15" x14ac:dyDescent="0.25">
      <c r="A112" t="s">
        <v>6204</v>
      </c>
      <c r="B112" t="s">
        <v>41</v>
      </c>
      <c r="C112" t="s">
        <v>5407</v>
      </c>
      <c r="D112">
        <v>1</v>
      </c>
      <c r="E112" s="9" t="s">
        <v>6205</v>
      </c>
      <c r="F112" t="s">
        <v>6739</v>
      </c>
      <c r="G112" s="9" t="s">
        <v>6206</v>
      </c>
      <c r="H112" t="s">
        <v>6740</v>
      </c>
      <c r="I112">
        <v>1</v>
      </c>
      <c r="J112" t="s">
        <v>3467</v>
      </c>
      <c r="K112" t="s">
        <v>6204</v>
      </c>
      <c r="L112" t="s">
        <v>90</v>
      </c>
      <c r="M112" t="s">
        <v>3467</v>
      </c>
      <c r="N112" t="s">
        <v>3467</v>
      </c>
      <c r="O112" t="s">
        <v>5870</v>
      </c>
    </row>
    <row r="113" spans="1:15" x14ac:dyDescent="0.25">
      <c r="A113" t="s">
        <v>6207</v>
      </c>
      <c r="B113" t="s">
        <v>4344</v>
      </c>
      <c r="C113" t="s">
        <v>4291</v>
      </c>
      <c r="D113" t="s">
        <v>4035</v>
      </c>
      <c r="E113" t="s">
        <v>6208</v>
      </c>
      <c r="F113" t="s">
        <v>6741</v>
      </c>
      <c r="G113" t="s">
        <v>3467</v>
      </c>
      <c r="H113" t="s">
        <v>3467</v>
      </c>
      <c r="I113" t="s">
        <v>3467</v>
      </c>
      <c r="J113" t="s">
        <v>3467</v>
      </c>
      <c r="K113" t="s">
        <v>6207</v>
      </c>
      <c r="L113" t="s">
        <v>90</v>
      </c>
      <c r="M113" t="s">
        <v>5510</v>
      </c>
      <c r="N113" t="s">
        <v>3467</v>
      </c>
      <c r="O113" t="s">
        <v>5917</v>
      </c>
    </row>
    <row r="114" spans="1:15" x14ac:dyDescent="0.25">
      <c r="A114" t="s">
        <v>6209</v>
      </c>
      <c r="B114" t="s">
        <v>41</v>
      </c>
      <c r="C114" t="s">
        <v>5769</v>
      </c>
      <c r="D114">
        <v>2</v>
      </c>
      <c r="E114" s="9" t="s">
        <v>6210</v>
      </c>
      <c r="F114" t="s">
        <v>6742</v>
      </c>
      <c r="G114" s="9" t="s">
        <v>6211</v>
      </c>
      <c r="H114" t="s">
        <v>6743</v>
      </c>
      <c r="I114">
        <v>2</v>
      </c>
      <c r="J114" t="s">
        <v>6456</v>
      </c>
      <c r="K114" t="s">
        <v>6212</v>
      </c>
      <c r="L114" t="s">
        <v>90</v>
      </c>
      <c r="M114" t="s">
        <v>3467</v>
      </c>
      <c r="N114" t="s">
        <v>3467</v>
      </c>
      <c r="O114" t="s">
        <v>6106</v>
      </c>
    </row>
    <row r="115" spans="1:15" x14ac:dyDescent="0.25">
      <c r="A115" t="s">
        <v>6213</v>
      </c>
      <c r="B115" t="s">
        <v>3518</v>
      </c>
      <c r="C115" t="s">
        <v>5407</v>
      </c>
      <c r="D115">
        <v>1</v>
      </c>
      <c r="E115" s="9" t="s">
        <v>6214</v>
      </c>
      <c r="F115" t="s">
        <v>6744</v>
      </c>
      <c r="G115" s="9" t="s">
        <v>6214</v>
      </c>
      <c r="H115" t="s">
        <v>6744</v>
      </c>
      <c r="I115">
        <v>0</v>
      </c>
      <c r="J115" t="s">
        <v>3467</v>
      </c>
      <c r="K115" t="s">
        <v>6215</v>
      </c>
      <c r="L115" t="s">
        <v>90</v>
      </c>
      <c r="M115" t="s">
        <v>3467</v>
      </c>
      <c r="N115" t="s">
        <v>3467</v>
      </c>
      <c r="O115" t="s">
        <v>5824</v>
      </c>
    </row>
    <row r="116" spans="1:15" x14ac:dyDescent="0.25">
      <c r="A116" t="s">
        <v>6216</v>
      </c>
      <c r="B116" t="s">
        <v>41</v>
      </c>
      <c r="C116" t="s">
        <v>5407</v>
      </c>
      <c r="D116">
        <v>1</v>
      </c>
      <c r="E116" s="9" t="s">
        <v>6745</v>
      </c>
      <c r="F116" t="s">
        <v>6746</v>
      </c>
      <c r="G116" s="9" t="s">
        <v>6747</v>
      </c>
      <c r="H116" t="s">
        <v>6748</v>
      </c>
      <c r="I116">
        <v>1</v>
      </c>
      <c r="J116" t="s">
        <v>3467</v>
      </c>
      <c r="K116" t="s">
        <v>6219</v>
      </c>
      <c r="L116" t="s">
        <v>90</v>
      </c>
      <c r="M116" t="s">
        <v>5543</v>
      </c>
      <c r="N116" t="s">
        <v>3467</v>
      </c>
      <c r="O116" t="s">
        <v>6178</v>
      </c>
    </row>
    <row r="117" spans="1:15" x14ac:dyDescent="0.25">
      <c r="A117" t="s">
        <v>6220</v>
      </c>
      <c r="B117" t="s">
        <v>41</v>
      </c>
      <c r="C117" t="s">
        <v>5769</v>
      </c>
      <c r="D117">
        <v>1</v>
      </c>
      <c r="E117" s="9" t="s">
        <v>6221</v>
      </c>
      <c r="F117" t="s">
        <v>6749</v>
      </c>
      <c r="G117" s="9" t="s">
        <v>6222</v>
      </c>
      <c r="H117" t="s">
        <v>6750</v>
      </c>
      <c r="I117">
        <v>1</v>
      </c>
      <c r="J117" t="s">
        <v>6447</v>
      </c>
      <c r="K117" t="s">
        <v>6223</v>
      </c>
      <c r="L117" t="s">
        <v>90</v>
      </c>
      <c r="M117" t="s">
        <v>3467</v>
      </c>
      <c r="N117" t="s">
        <v>5301</v>
      </c>
      <c r="O117" t="s">
        <v>5800</v>
      </c>
    </row>
    <row r="118" spans="1:15" x14ac:dyDescent="0.25">
      <c r="A118" t="s">
        <v>6224</v>
      </c>
      <c r="B118" t="s">
        <v>41</v>
      </c>
      <c r="C118" t="s">
        <v>5769</v>
      </c>
      <c r="D118">
        <v>1</v>
      </c>
      <c r="E118" t="s">
        <v>6225</v>
      </c>
      <c r="F118" t="s">
        <v>6751</v>
      </c>
      <c r="G118" t="s">
        <v>6226</v>
      </c>
      <c r="H118" t="s">
        <v>6752</v>
      </c>
      <c r="I118">
        <v>1</v>
      </c>
      <c r="J118" t="s">
        <v>6456</v>
      </c>
      <c r="K118" t="s">
        <v>6227</v>
      </c>
      <c r="L118" t="s">
        <v>90</v>
      </c>
      <c r="M118" t="s">
        <v>3467</v>
      </c>
      <c r="N118" t="s">
        <v>3467</v>
      </c>
      <c r="O118" t="s">
        <v>6753</v>
      </c>
    </row>
    <row r="119" spans="1:15" x14ac:dyDescent="0.25">
      <c r="A119" t="s">
        <v>6229</v>
      </c>
      <c r="B119" t="s">
        <v>3530</v>
      </c>
      <c r="C119" t="s">
        <v>5407</v>
      </c>
      <c r="D119">
        <v>1</v>
      </c>
      <c r="E119" s="9" t="s">
        <v>6230</v>
      </c>
      <c r="F119" t="s">
        <v>6754</v>
      </c>
      <c r="G119" s="9" t="s">
        <v>6231</v>
      </c>
      <c r="H119" t="s">
        <v>6755</v>
      </c>
      <c r="I119">
        <v>1</v>
      </c>
      <c r="J119" t="s">
        <v>3467</v>
      </c>
      <c r="K119" t="s">
        <v>6232</v>
      </c>
      <c r="L119" t="s">
        <v>90</v>
      </c>
      <c r="M119" t="s">
        <v>3467</v>
      </c>
      <c r="N119" t="s">
        <v>3467</v>
      </c>
      <c r="O119" t="s">
        <v>6233</v>
      </c>
    </row>
    <row r="120" spans="1:15" x14ac:dyDescent="0.25">
      <c r="A120" t="s">
        <v>6234</v>
      </c>
      <c r="B120" t="s">
        <v>41</v>
      </c>
      <c r="C120" t="s">
        <v>5769</v>
      </c>
      <c r="D120">
        <v>2</v>
      </c>
      <c r="E120" s="9" t="s">
        <v>6756</v>
      </c>
      <c r="F120" t="s">
        <v>6757</v>
      </c>
      <c r="G120" s="9" t="s">
        <v>6758</v>
      </c>
      <c r="H120" t="s">
        <v>6759</v>
      </c>
      <c r="I120" t="s">
        <v>3467</v>
      </c>
      <c r="J120" t="s">
        <v>6439</v>
      </c>
      <c r="K120" t="s">
        <v>6234</v>
      </c>
      <c r="L120" t="s">
        <v>90</v>
      </c>
      <c r="M120" t="s">
        <v>3467</v>
      </c>
      <c r="N120" t="s">
        <v>3467</v>
      </c>
      <c r="O120" t="s">
        <v>6252</v>
      </c>
    </row>
    <row r="121" spans="1:15" x14ac:dyDescent="0.25">
      <c r="A121" t="s">
        <v>6237</v>
      </c>
      <c r="B121" t="s">
        <v>41</v>
      </c>
      <c r="C121" t="s">
        <v>5407</v>
      </c>
      <c r="D121">
        <v>0</v>
      </c>
      <c r="E121" s="9" t="s">
        <v>6238</v>
      </c>
      <c r="F121" t="s">
        <v>6760</v>
      </c>
      <c r="G121" s="9" t="s">
        <v>6239</v>
      </c>
      <c r="H121" t="s">
        <v>6761</v>
      </c>
      <c r="I121" t="s">
        <v>3467</v>
      </c>
      <c r="J121" t="s">
        <v>3467</v>
      </c>
      <c r="K121" t="s">
        <v>6237</v>
      </c>
      <c r="L121" t="s">
        <v>90</v>
      </c>
      <c r="M121" t="s">
        <v>3467</v>
      </c>
      <c r="N121" t="s">
        <v>3467</v>
      </c>
      <c r="O121" t="s">
        <v>5755</v>
      </c>
    </row>
    <row r="122" spans="1:15" x14ac:dyDescent="0.25">
      <c r="A122" t="s">
        <v>5166</v>
      </c>
      <c r="B122" t="s">
        <v>4344</v>
      </c>
      <c r="C122" t="s">
        <v>4291</v>
      </c>
      <c r="D122">
        <v>1</v>
      </c>
      <c r="E122" s="4" t="s">
        <v>6762</v>
      </c>
      <c r="F122" t="s">
        <v>6763</v>
      </c>
      <c r="G122" t="s">
        <v>3467</v>
      </c>
      <c r="H122" t="s">
        <v>3467</v>
      </c>
      <c r="I122" t="s">
        <v>3467</v>
      </c>
      <c r="J122" t="s">
        <v>3467</v>
      </c>
      <c r="K122" t="s">
        <v>5166</v>
      </c>
      <c r="L122" t="s">
        <v>90</v>
      </c>
      <c r="M122" t="s">
        <v>6454</v>
      </c>
      <c r="N122" t="s">
        <v>3467</v>
      </c>
      <c r="O122" t="s">
        <v>5917</v>
      </c>
    </row>
    <row r="123" spans="1:15" x14ac:dyDescent="0.25">
      <c r="A123" t="s">
        <v>6240</v>
      </c>
      <c r="B123" t="s">
        <v>3530</v>
      </c>
      <c r="C123" t="s">
        <v>5769</v>
      </c>
      <c r="D123">
        <v>1</v>
      </c>
      <c r="E123" s="9" t="s">
        <v>6241</v>
      </c>
      <c r="F123" t="s">
        <v>6764</v>
      </c>
      <c r="G123" s="9" t="s">
        <v>6242</v>
      </c>
      <c r="H123" t="s">
        <v>6765</v>
      </c>
      <c r="I123">
        <v>1</v>
      </c>
      <c r="J123" t="s">
        <v>6447</v>
      </c>
      <c r="K123" t="s">
        <v>6240</v>
      </c>
      <c r="L123" t="s">
        <v>90</v>
      </c>
      <c r="M123" t="s">
        <v>5543</v>
      </c>
      <c r="N123" t="s">
        <v>3467</v>
      </c>
      <c r="O123" t="s">
        <v>6051</v>
      </c>
    </row>
    <row r="124" spans="1:15" x14ac:dyDescent="0.25">
      <c r="A124" t="s">
        <v>5191</v>
      </c>
      <c r="B124" t="s">
        <v>4344</v>
      </c>
      <c r="C124" t="s">
        <v>4291</v>
      </c>
      <c r="D124" t="s">
        <v>4035</v>
      </c>
      <c r="E124" t="s">
        <v>6243</v>
      </c>
      <c r="F124" t="s">
        <v>6766</v>
      </c>
      <c r="G124" t="s">
        <v>3467</v>
      </c>
      <c r="H124" t="s">
        <v>3467</v>
      </c>
      <c r="I124" t="s">
        <v>3467</v>
      </c>
      <c r="J124" t="s">
        <v>3467</v>
      </c>
      <c r="K124" t="s">
        <v>6244</v>
      </c>
      <c r="L124" t="s">
        <v>1650</v>
      </c>
      <c r="M124" t="s">
        <v>5510</v>
      </c>
      <c r="N124" t="s">
        <v>3467</v>
      </c>
    </row>
    <row r="125" spans="1:15" x14ac:dyDescent="0.25">
      <c r="A125" t="s">
        <v>6248</v>
      </c>
      <c r="B125" t="s">
        <v>41</v>
      </c>
      <c r="C125" t="s">
        <v>5769</v>
      </c>
      <c r="D125">
        <v>1</v>
      </c>
      <c r="E125" s="9" t="s">
        <v>6249</v>
      </c>
      <c r="F125" t="s">
        <v>6767</v>
      </c>
      <c r="G125" s="9" t="s">
        <v>6250</v>
      </c>
      <c r="H125" t="s">
        <v>6768</v>
      </c>
      <c r="I125">
        <v>1</v>
      </c>
      <c r="J125" t="s">
        <v>6531</v>
      </c>
      <c r="K125" t="s">
        <v>6251</v>
      </c>
      <c r="L125" t="s">
        <v>90</v>
      </c>
      <c r="M125" t="s">
        <v>3467</v>
      </c>
      <c r="N125" t="s">
        <v>3467</v>
      </c>
      <c r="O125" t="s">
        <v>6252</v>
      </c>
    </row>
    <row r="126" spans="1:15" x14ac:dyDescent="0.25">
      <c r="A126" t="s">
        <v>5409</v>
      </c>
      <c r="B126" t="s">
        <v>3530</v>
      </c>
      <c r="C126" t="s">
        <v>5407</v>
      </c>
      <c r="D126">
        <v>0</v>
      </c>
      <c r="E126" s="9" t="s">
        <v>6253</v>
      </c>
      <c r="F126" t="s">
        <v>6769</v>
      </c>
      <c r="G126" s="9" t="s">
        <v>6254</v>
      </c>
      <c r="H126" t="s">
        <v>6770</v>
      </c>
      <c r="I126">
        <v>0</v>
      </c>
      <c r="J126" t="s">
        <v>3467</v>
      </c>
      <c r="K126" t="s">
        <v>5409</v>
      </c>
      <c r="L126" t="s">
        <v>90</v>
      </c>
      <c r="M126" t="s">
        <v>3467</v>
      </c>
      <c r="N126" t="s">
        <v>3467</v>
      </c>
      <c r="O126" t="s">
        <v>5786</v>
      </c>
    </row>
    <row r="127" spans="1:15" x14ac:dyDescent="0.25">
      <c r="A127" t="s">
        <v>6255</v>
      </c>
      <c r="B127" t="s">
        <v>3530</v>
      </c>
      <c r="C127" t="s">
        <v>5769</v>
      </c>
      <c r="D127">
        <v>1</v>
      </c>
      <c r="E127" s="9" t="s">
        <v>6256</v>
      </c>
      <c r="F127" t="s">
        <v>6771</v>
      </c>
      <c r="G127" s="9" t="s">
        <v>6257</v>
      </c>
      <c r="H127" t="s">
        <v>6772</v>
      </c>
      <c r="I127">
        <v>1</v>
      </c>
      <c r="J127" t="s">
        <v>6531</v>
      </c>
      <c r="K127" t="s">
        <v>6255</v>
      </c>
      <c r="L127" t="s">
        <v>90</v>
      </c>
      <c r="M127" t="s">
        <v>3467</v>
      </c>
      <c r="N127" t="s">
        <v>3467</v>
      </c>
      <c r="O127" t="s">
        <v>6106</v>
      </c>
    </row>
    <row r="128" spans="1:15" x14ac:dyDescent="0.25">
      <c r="A128" t="s">
        <v>6259</v>
      </c>
      <c r="B128" t="s">
        <v>3518</v>
      </c>
      <c r="C128" t="s">
        <v>5769</v>
      </c>
      <c r="D128">
        <v>2</v>
      </c>
      <c r="E128" t="s">
        <v>6260</v>
      </c>
      <c r="F128" t="s">
        <v>6773</v>
      </c>
      <c r="G128" t="s">
        <v>6261</v>
      </c>
      <c r="H128" t="s">
        <v>6774</v>
      </c>
      <c r="I128">
        <v>2</v>
      </c>
      <c r="J128" t="s">
        <v>6536</v>
      </c>
      <c r="K128" t="s">
        <v>6259</v>
      </c>
      <c r="L128" t="s">
        <v>90</v>
      </c>
      <c r="M128" t="s">
        <v>6775</v>
      </c>
      <c r="N128" t="s">
        <v>3467</v>
      </c>
      <c r="O128" t="s">
        <v>6043</v>
      </c>
    </row>
    <row r="129" spans="1:15" x14ac:dyDescent="0.25">
      <c r="A129" t="s">
        <v>6262</v>
      </c>
      <c r="B129" t="s">
        <v>3530</v>
      </c>
      <c r="C129" t="s">
        <v>5769</v>
      </c>
      <c r="D129">
        <v>0</v>
      </c>
      <c r="E129" s="9" t="s">
        <v>6776</v>
      </c>
      <c r="F129" t="s">
        <v>6777</v>
      </c>
      <c r="G129" s="9" t="s">
        <v>6778</v>
      </c>
      <c r="H129" t="s">
        <v>6779</v>
      </c>
      <c r="I129">
        <v>0</v>
      </c>
      <c r="J129" t="s">
        <v>6497</v>
      </c>
      <c r="K129" t="s">
        <v>6265</v>
      </c>
      <c r="L129" t="s">
        <v>90</v>
      </c>
      <c r="M129" t="s">
        <v>3467</v>
      </c>
      <c r="N129" t="s">
        <v>3467</v>
      </c>
      <c r="O129" t="s">
        <v>6266</v>
      </c>
    </row>
    <row r="130" spans="1:15" x14ac:dyDescent="0.25">
      <c r="A130" t="s">
        <v>6270</v>
      </c>
      <c r="B130" t="s">
        <v>3530</v>
      </c>
      <c r="C130" t="s">
        <v>5407</v>
      </c>
      <c r="D130" t="s">
        <v>4035</v>
      </c>
      <c r="E130" t="s">
        <v>6271</v>
      </c>
      <c r="F130" t="s">
        <v>6780</v>
      </c>
      <c r="G130" t="s">
        <v>6272</v>
      </c>
      <c r="H130" t="s">
        <v>6781</v>
      </c>
      <c r="I130" t="s">
        <v>4035</v>
      </c>
      <c r="J130" t="s">
        <v>3467</v>
      </c>
      <c r="K130" t="s">
        <v>6270</v>
      </c>
      <c r="L130" t="s">
        <v>90</v>
      </c>
      <c r="M130" t="s">
        <v>5508</v>
      </c>
      <c r="N130" t="s">
        <v>3467</v>
      </c>
      <c r="O130" t="s">
        <v>5884</v>
      </c>
    </row>
    <row r="131" spans="1:15" x14ac:dyDescent="0.25">
      <c r="A131" t="s">
        <v>5156</v>
      </c>
      <c r="B131" t="s">
        <v>4344</v>
      </c>
      <c r="C131" t="s">
        <v>4291</v>
      </c>
      <c r="D131" t="s">
        <v>4035</v>
      </c>
      <c r="E131" t="s">
        <v>6273</v>
      </c>
      <c r="F131" t="s">
        <v>6782</v>
      </c>
      <c r="G131" t="s">
        <v>3467</v>
      </c>
      <c r="H131" t="s">
        <v>3467</v>
      </c>
      <c r="I131" t="s">
        <v>3467</v>
      </c>
      <c r="J131" t="s">
        <v>3467</v>
      </c>
      <c r="K131" t="s">
        <v>5156</v>
      </c>
      <c r="L131" t="s">
        <v>90</v>
      </c>
      <c r="M131" t="s">
        <v>5510</v>
      </c>
      <c r="N131" t="s">
        <v>3467</v>
      </c>
      <c r="O131" t="s">
        <v>5917</v>
      </c>
    </row>
    <row r="132" spans="1:15" x14ac:dyDescent="0.25">
      <c r="A132" t="s">
        <v>6274</v>
      </c>
      <c r="B132" t="s">
        <v>3530</v>
      </c>
      <c r="C132" t="s">
        <v>5769</v>
      </c>
      <c r="D132">
        <v>2</v>
      </c>
      <c r="E132" s="9" t="s">
        <v>6275</v>
      </c>
      <c r="F132" t="s">
        <v>6783</v>
      </c>
      <c r="G132" s="9" t="s">
        <v>6276</v>
      </c>
      <c r="H132" t="s">
        <v>6784</v>
      </c>
      <c r="I132" t="s">
        <v>3467</v>
      </c>
      <c r="J132" t="s">
        <v>6447</v>
      </c>
      <c r="K132" t="s">
        <v>6277</v>
      </c>
      <c r="L132" t="s">
        <v>90</v>
      </c>
      <c r="M132" t="s">
        <v>3467</v>
      </c>
      <c r="N132" t="s">
        <v>3467</v>
      </c>
      <c r="O132" t="s">
        <v>5824</v>
      </c>
    </row>
    <row r="133" spans="1:15" x14ac:dyDescent="0.25">
      <c r="A133" t="s">
        <v>4863</v>
      </c>
      <c r="B133" t="s">
        <v>3530</v>
      </c>
      <c r="C133" t="s">
        <v>5407</v>
      </c>
      <c r="D133">
        <v>1</v>
      </c>
      <c r="E133" s="9" t="s">
        <v>6285</v>
      </c>
      <c r="F133" t="s">
        <v>6785</v>
      </c>
      <c r="G133" s="9" t="s">
        <v>6285</v>
      </c>
      <c r="H133" t="s">
        <v>6785</v>
      </c>
      <c r="I133">
        <v>1</v>
      </c>
      <c r="J133" t="s">
        <v>6531</v>
      </c>
      <c r="K133" t="s">
        <v>4866</v>
      </c>
      <c r="L133" t="s">
        <v>1650</v>
      </c>
      <c r="M133" t="s">
        <v>3467</v>
      </c>
      <c r="N133" t="s">
        <v>3467</v>
      </c>
      <c r="O133" t="s">
        <v>6786</v>
      </c>
    </row>
    <row r="134" spans="1:15" x14ac:dyDescent="0.25">
      <c r="A134" t="s">
        <v>6286</v>
      </c>
      <c r="B134" t="s">
        <v>3530</v>
      </c>
      <c r="C134" t="s">
        <v>5769</v>
      </c>
      <c r="D134">
        <v>2</v>
      </c>
      <c r="E134" s="9" t="s">
        <v>6787</v>
      </c>
      <c r="F134" t="s">
        <v>6788</v>
      </c>
      <c r="G134" s="9" t="s">
        <v>3467</v>
      </c>
      <c r="H134" t="s">
        <v>3467</v>
      </c>
      <c r="I134" t="s">
        <v>3467</v>
      </c>
      <c r="J134" t="s">
        <v>6456</v>
      </c>
      <c r="K134" t="s">
        <v>6288</v>
      </c>
      <c r="L134" t="s">
        <v>90</v>
      </c>
      <c r="M134" t="s">
        <v>3467</v>
      </c>
      <c r="N134" t="s">
        <v>4307</v>
      </c>
      <c r="O134" t="s">
        <v>6106</v>
      </c>
    </row>
    <row r="135" spans="1:15" x14ac:dyDescent="0.25">
      <c r="A135" t="s">
        <v>6289</v>
      </c>
      <c r="B135" t="s">
        <v>3530</v>
      </c>
      <c r="C135" t="s">
        <v>5407</v>
      </c>
      <c r="D135">
        <v>1</v>
      </c>
      <c r="E135" s="9" t="s">
        <v>6290</v>
      </c>
      <c r="F135" t="s">
        <v>6789</v>
      </c>
      <c r="G135" s="9" t="s">
        <v>6291</v>
      </c>
      <c r="H135" t="s">
        <v>6790</v>
      </c>
      <c r="I135">
        <v>1</v>
      </c>
      <c r="J135" t="s">
        <v>3467</v>
      </c>
      <c r="K135" t="s">
        <v>6292</v>
      </c>
      <c r="L135" t="s">
        <v>90</v>
      </c>
      <c r="M135" t="s">
        <v>3467</v>
      </c>
      <c r="N135" t="s">
        <v>3467</v>
      </c>
      <c r="O135" t="s">
        <v>6046</v>
      </c>
    </row>
    <row r="136" spans="1:15" x14ac:dyDescent="0.25">
      <c r="A136" t="s">
        <v>6293</v>
      </c>
      <c r="B136" t="s">
        <v>3530</v>
      </c>
      <c r="C136" t="s">
        <v>5407</v>
      </c>
      <c r="D136">
        <v>1</v>
      </c>
      <c r="E136" s="9" t="s">
        <v>6294</v>
      </c>
      <c r="F136" t="s">
        <v>6791</v>
      </c>
      <c r="G136" s="9" t="s">
        <v>6294</v>
      </c>
      <c r="H136" t="s">
        <v>6791</v>
      </c>
      <c r="I136">
        <v>0</v>
      </c>
      <c r="J136" t="s">
        <v>3467</v>
      </c>
      <c r="K136" t="s">
        <v>6295</v>
      </c>
      <c r="L136" t="s">
        <v>90</v>
      </c>
      <c r="M136" t="s">
        <v>5543</v>
      </c>
      <c r="N136" t="s">
        <v>3467</v>
      </c>
      <c r="O136" t="s">
        <v>6296</v>
      </c>
    </row>
    <row r="137" spans="1:15" x14ac:dyDescent="0.25">
      <c r="A137" t="s">
        <v>6297</v>
      </c>
      <c r="B137" t="s">
        <v>3518</v>
      </c>
      <c r="C137" t="s">
        <v>5407</v>
      </c>
      <c r="D137">
        <v>0</v>
      </c>
      <c r="E137" s="9" t="s">
        <v>6792</v>
      </c>
      <c r="F137" t="s">
        <v>6793</v>
      </c>
      <c r="G137" s="9" t="s">
        <v>6794</v>
      </c>
      <c r="H137" t="s">
        <v>6795</v>
      </c>
      <c r="I137">
        <v>0</v>
      </c>
      <c r="J137" t="s">
        <v>3467</v>
      </c>
      <c r="K137" t="s">
        <v>6297</v>
      </c>
      <c r="L137" t="s">
        <v>90</v>
      </c>
      <c r="M137" t="s">
        <v>5543</v>
      </c>
      <c r="N137" t="s">
        <v>3467</v>
      </c>
      <c r="O137" t="s">
        <v>6300</v>
      </c>
    </row>
    <row r="138" spans="1:15" x14ac:dyDescent="0.25">
      <c r="A138" t="s">
        <v>6301</v>
      </c>
      <c r="B138" t="s">
        <v>3530</v>
      </c>
      <c r="C138" t="s">
        <v>5407</v>
      </c>
      <c r="D138">
        <v>1</v>
      </c>
      <c r="E138" s="9" t="s">
        <v>6302</v>
      </c>
      <c r="F138" t="s">
        <v>6796</v>
      </c>
      <c r="G138" s="9" t="s">
        <v>6303</v>
      </c>
      <c r="H138" t="s">
        <v>6797</v>
      </c>
      <c r="I138">
        <v>1</v>
      </c>
      <c r="J138" t="s">
        <v>3467</v>
      </c>
      <c r="K138" t="s">
        <v>6301</v>
      </c>
      <c r="L138" t="s">
        <v>90</v>
      </c>
      <c r="M138" t="s">
        <v>3467</v>
      </c>
      <c r="N138" t="s">
        <v>3467</v>
      </c>
      <c r="O138" t="s">
        <v>6046</v>
      </c>
    </row>
    <row r="139" spans="1:15" x14ac:dyDescent="0.25">
      <c r="A139" t="s">
        <v>6304</v>
      </c>
      <c r="B139" t="s">
        <v>3530</v>
      </c>
      <c r="C139" t="s">
        <v>5407</v>
      </c>
      <c r="D139">
        <v>1</v>
      </c>
      <c r="E139" s="9" t="s">
        <v>6798</v>
      </c>
      <c r="F139" t="s">
        <v>6799</v>
      </c>
      <c r="G139" s="9" t="s">
        <v>6798</v>
      </c>
      <c r="H139" t="s">
        <v>6799</v>
      </c>
      <c r="I139">
        <v>0</v>
      </c>
      <c r="J139" t="s">
        <v>3467</v>
      </c>
      <c r="K139" t="s">
        <v>6304</v>
      </c>
      <c r="L139" t="s">
        <v>90</v>
      </c>
      <c r="M139" t="s">
        <v>3467</v>
      </c>
      <c r="N139" t="s">
        <v>3467</v>
      </c>
      <c r="O139" t="s">
        <v>5870</v>
      </c>
    </row>
    <row r="140" spans="1:15" x14ac:dyDescent="0.25">
      <c r="A140" t="s">
        <v>6306</v>
      </c>
      <c r="B140" t="s">
        <v>3530</v>
      </c>
      <c r="C140" t="s">
        <v>5769</v>
      </c>
      <c r="D140">
        <v>2</v>
      </c>
      <c r="E140" s="9" t="s">
        <v>6800</v>
      </c>
      <c r="F140" t="s">
        <v>6801</v>
      </c>
      <c r="G140" s="9" t="s">
        <v>6802</v>
      </c>
      <c r="H140" t="s">
        <v>6803</v>
      </c>
      <c r="I140">
        <v>2</v>
      </c>
      <c r="J140" t="s">
        <v>6531</v>
      </c>
      <c r="K140" t="s">
        <v>6309</v>
      </c>
      <c r="L140" t="s">
        <v>90</v>
      </c>
      <c r="M140" t="s">
        <v>3467</v>
      </c>
      <c r="N140" t="s">
        <v>3467</v>
      </c>
      <c r="O140" t="s">
        <v>6051</v>
      </c>
    </row>
    <row r="141" spans="1:15" x14ac:dyDescent="0.25">
      <c r="A141" t="s">
        <v>6310</v>
      </c>
      <c r="B141" t="s">
        <v>4344</v>
      </c>
      <c r="C141" t="s">
        <v>4291</v>
      </c>
      <c r="D141" t="s">
        <v>4035</v>
      </c>
      <c r="E141" t="s">
        <v>6311</v>
      </c>
      <c r="F141" t="s">
        <v>6804</v>
      </c>
      <c r="G141" t="s">
        <v>3467</v>
      </c>
      <c r="H141" t="s">
        <v>3467</v>
      </c>
      <c r="I141" t="s">
        <v>3467</v>
      </c>
      <c r="J141" t="s">
        <v>3467</v>
      </c>
      <c r="K141" t="s">
        <v>6310</v>
      </c>
      <c r="L141" t="s">
        <v>90</v>
      </c>
      <c r="M141" t="s">
        <v>5510</v>
      </c>
      <c r="N141" t="s">
        <v>3467</v>
      </c>
      <c r="O141" t="s">
        <v>5917</v>
      </c>
    </row>
    <row r="142" spans="1:15" x14ac:dyDescent="0.25">
      <c r="A142" t="s">
        <v>6312</v>
      </c>
      <c r="B142" t="s">
        <v>4344</v>
      </c>
      <c r="C142" t="s">
        <v>5769</v>
      </c>
      <c r="D142">
        <v>0</v>
      </c>
      <c r="E142" t="s">
        <v>6313</v>
      </c>
      <c r="F142" t="s">
        <v>6805</v>
      </c>
      <c r="G142" t="s">
        <v>6314</v>
      </c>
      <c r="H142" t="s">
        <v>6463</v>
      </c>
      <c r="I142">
        <v>0</v>
      </c>
      <c r="J142" t="s">
        <v>6464</v>
      </c>
      <c r="K142" t="s">
        <v>6312</v>
      </c>
      <c r="L142" t="s">
        <v>90</v>
      </c>
      <c r="M142" t="s">
        <v>5543</v>
      </c>
      <c r="N142" t="s">
        <v>3467</v>
      </c>
      <c r="O142" t="s">
        <v>6806</v>
      </c>
    </row>
    <row r="143" spans="1:15" x14ac:dyDescent="0.25">
      <c r="A143" t="s">
        <v>6315</v>
      </c>
      <c r="B143" t="s">
        <v>3530</v>
      </c>
      <c r="C143" t="s">
        <v>5407</v>
      </c>
      <c r="D143">
        <v>2</v>
      </c>
      <c r="E143" s="9" t="s">
        <v>6316</v>
      </c>
      <c r="F143" t="s">
        <v>6807</v>
      </c>
      <c r="G143" s="9" t="s">
        <v>6317</v>
      </c>
      <c r="H143" t="s">
        <v>6808</v>
      </c>
      <c r="I143">
        <v>2</v>
      </c>
      <c r="J143" t="s">
        <v>3467</v>
      </c>
      <c r="K143" t="s">
        <v>6315</v>
      </c>
      <c r="L143" t="s">
        <v>90</v>
      </c>
      <c r="M143" t="s">
        <v>5543</v>
      </c>
      <c r="N143" t="s">
        <v>3467</v>
      </c>
      <c r="O143" t="s">
        <v>5984</v>
      </c>
    </row>
    <row r="144" spans="1:15" x14ac:dyDescent="0.25">
      <c r="A144" t="s">
        <v>6318</v>
      </c>
      <c r="B144" t="s">
        <v>41</v>
      </c>
      <c r="C144" t="s">
        <v>5407</v>
      </c>
      <c r="D144">
        <v>1</v>
      </c>
      <c r="E144" t="s">
        <v>6319</v>
      </c>
      <c r="F144" t="s">
        <v>6809</v>
      </c>
      <c r="G144" t="s">
        <v>6320</v>
      </c>
      <c r="H144" t="s">
        <v>6810</v>
      </c>
      <c r="I144">
        <v>1</v>
      </c>
      <c r="J144" t="s">
        <v>3467</v>
      </c>
      <c r="K144" t="s">
        <v>6321</v>
      </c>
      <c r="L144" t="s">
        <v>90</v>
      </c>
      <c r="M144" t="s">
        <v>3467</v>
      </c>
      <c r="N144" t="s">
        <v>3467</v>
      </c>
      <c r="O144" t="s">
        <v>6322</v>
      </c>
    </row>
    <row r="145" spans="1:15" x14ac:dyDescent="0.25">
      <c r="A145" t="s">
        <v>6323</v>
      </c>
      <c r="B145" t="s">
        <v>3530</v>
      </c>
      <c r="C145" t="s">
        <v>5769</v>
      </c>
      <c r="D145" t="s">
        <v>5993</v>
      </c>
      <c r="E145" t="s">
        <v>6324</v>
      </c>
      <c r="F145" t="s">
        <v>6811</v>
      </c>
      <c r="G145" t="s">
        <v>6325</v>
      </c>
      <c r="H145" t="s">
        <v>6812</v>
      </c>
      <c r="I145" t="s">
        <v>5993</v>
      </c>
      <c r="J145" t="s">
        <v>6813</v>
      </c>
      <c r="K145" t="s">
        <v>6323</v>
      </c>
      <c r="L145" t="s">
        <v>90</v>
      </c>
      <c r="M145" t="s">
        <v>3467</v>
      </c>
      <c r="N145" t="s">
        <v>3467</v>
      </c>
      <c r="O145" t="s">
        <v>5824</v>
      </c>
    </row>
    <row r="146" spans="1:15" x14ac:dyDescent="0.25">
      <c r="A146" t="s">
        <v>6326</v>
      </c>
      <c r="B146" t="s">
        <v>41</v>
      </c>
      <c r="C146" t="s">
        <v>5769</v>
      </c>
      <c r="D146">
        <v>0</v>
      </c>
      <c r="E146" s="9" t="s">
        <v>6327</v>
      </c>
      <c r="F146" t="s">
        <v>6814</v>
      </c>
      <c r="G146" s="9" t="s">
        <v>6328</v>
      </c>
      <c r="H146" t="s">
        <v>6815</v>
      </c>
      <c r="I146">
        <v>0</v>
      </c>
      <c r="J146" t="s">
        <v>6531</v>
      </c>
      <c r="K146" t="s">
        <v>6326</v>
      </c>
      <c r="L146" t="s">
        <v>90</v>
      </c>
      <c r="M146" t="s">
        <v>3467</v>
      </c>
      <c r="N146" t="s">
        <v>3467</v>
      </c>
      <c r="O146" t="s">
        <v>5824</v>
      </c>
    </row>
    <row r="147" spans="1:15" x14ac:dyDescent="0.25">
      <c r="A147" t="s">
        <v>6329</v>
      </c>
      <c r="B147" t="s">
        <v>4344</v>
      </c>
      <c r="C147" t="s">
        <v>3674</v>
      </c>
      <c r="D147">
        <v>1</v>
      </c>
      <c r="E147" t="s">
        <v>6330</v>
      </c>
      <c r="F147" t="s">
        <v>6816</v>
      </c>
      <c r="G147" t="s">
        <v>3467</v>
      </c>
      <c r="H147" t="s">
        <v>3467</v>
      </c>
      <c r="I147" t="s">
        <v>3467</v>
      </c>
      <c r="J147" t="s">
        <v>3467</v>
      </c>
      <c r="K147" t="s">
        <v>6329</v>
      </c>
      <c r="L147" t="s">
        <v>90</v>
      </c>
      <c r="M147" t="s">
        <v>5543</v>
      </c>
      <c r="N147" t="s">
        <v>3467</v>
      </c>
      <c r="O147" t="s">
        <v>6506</v>
      </c>
    </row>
    <row r="148" spans="1:15" x14ac:dyDescent="0.25">
      <c r="A148" t="s">
        <v>6331</v>
      </c>
      <c r="B148" t="s">
        <v>41</v>
      </c>
      <c r="C148" t="s">
        <v>5769</v>
      </c>
      <c r="D148">
        <v>2</v>
      </c>
      <c r="E148" s="9" t="s">
        <v>6332</v>
      </c>
      <c r="F148" t="s">
        <v>6817</v>
      </c>
      <c r="G148" s="9" t="s">
        <v>6333</v>
      </c>
      <c r="H148" t="s">
        <v>6818</v>
      </c>
      <c r="I148">
        <v>2</v>
      </c>
      <c r="J148" t="s">
        <v>6447</v>
      </c>
      <c r="K148" t="s">
        <v>6334</v>
      </c>
      <c r="L148" t="s">
        <v>90</v>
      </c>
      <c r="M148" t="s">
        <v>3467</v>
      </c>
      <c r="N148" t="s">
        <v>3467</v>
      </c>
      <c r="O148" t="s">
        <v>6072</v>
      </c>
    </row>
    <row r="149" spans="1:15" x14ac:dyDescent="0.25">
      <c r="A149" t="s">
        <v>6336</v>
      </c>
      <c r="B149" t="s">
        <v>3530</v>
      </c>
      <c r="C149" t="s">
        <v>5407</v>
      </c>
      <c r="D149">
        <v>1</v>
      </c>
      <c r="E149" s="9" t="s">
        <v>6337</v>
      </c>
      <c r="F149" t="s">
        <v>6819</v>
      </c>
      <c r="G149" s="9" t="s">
        <v>6338</v>
      </c>
      <c r="H149" t="s">
        <v>6820</v>
      </c>
      <c r="I149">
        <v>1</v>
      </c>
      <c r="J149" t="s">
        <v>3467</v>
      </c>
      <c r="K149" t="s">
        <v>6339</v>
      </c>
      <c r="L149" t="s">
        <v>90</v>
      </c>
      <c r="M149" t="s">
        <v>3467</v>
      </c>
      <c r="N149" t="s">
        <v>3467</v>
      </c>
      <c r="O149" t="s">
        <v>5974</v>
      </c>
    </row>
    <row r="150" spans="1:15" x14ac:dyDescent="0.25">
      <c r="A150" t="s">
        <v>6340</v>
      </c>
      <c r="B150" t="s">
        <v>3518</v>
      </c>
      <c r="C150" t="s">
        <v>5407</v>
      </c>
      <c r="D150">
        <v>1</v>
      </c>
      <c r="E150" t="s">
        <v>6341</v>
      </c>
      <c r="F150" t="s">
        <v>6821</v>
      </c>
      <c r="G150" t="s">
        <v>6342</v>
      </c>
      <c r="H150" t="s">
        <v>6822</v>
      </c>
      <c r="I150">
        <v>1</v>
      </c>
      <c r="J150" t="s">
        <v>3467</v>
      </c>
      <c r="K150" t="s">
        <v>6343</v>
      </c>
      <c r="L150" t="s">
        <v>90</v>
      </c>
      <c r="M150" t="s">
        <v>3467</v>
      </c>
      <c r="N150" t="s">
        <v>3467</v>
      </c>
      <c r="O150" t="s">
        <v>6344</v>
      </c>
    </row>
    <row r="151" spans="1:15" x14ac:dyDescent="0.25">
      <c r="A151" t="s">
        <v>6823</v>
      </c>
      <c r="B151" t="s">
        <v>3563</v>
      </c>
      <c r="C151" t="s">
        <v>5769</v>
      </c>
      <c r="D151">
        <v>1</v>
      </c>
      <c r="E151" t="s">
        <v>6327</v>
      </c>
      <c r="F151" t="s">
        <v>6814</v>
      </c>
      <c r="G151" t="s">
        <v>6328</v>
      </c>
      <c r="H151" t="s">
        <v>6815</v>
      </c>
      <c r="I151">
        <v>1</v>
      </c>
      <c r="J151" t="s">
        <v>6456</v>
      </c>
      <c r="K151" t="s">
        <v>6824</v>
      </c>
      <c r="L151" t="s">
        <v>90</v>
      </c>
      <c r="M151" t="s">
        <v>3467</v>
      </c>
      <c r="N151" t="s">
        <v>3467</v>
      </c>
      <c r="O151" t="s">
        <v>6825</v>
      </c>
    </row>
    <row r="152" spans="1:15" x14ac:dyDescent="0.25">
      <c r="A152" t="s">
        <v>6826</v>
      </c>
      <c r="B152" t="s">
        <v>3563</v>
      </c>
      <c r="C152" t="s">
        <v>5769</v>
      </c>
      <c r="D152">
        <v>1</v>
      </c>
      <c r="E152" t="s">
        <v>6327</v>
      </c>
      <c r="F152" t="s">
        <v>6814</v>
      </c>
      <c r="G152" t="s">
        <v>6328</v>
      </c>
      <c r="H152" t="s">
        <v>6815</v>
      </c>
      <c r="I152">
        <v>1</v>
      </c>
      <c r="J152" t="s">
        <v>6439</v>
      </c>
      <c r="K152" t="s">
        <v>6827</v>
      </c>
      <c r="L152" t="s">
        <v>90</v>
      </c>
      <c r="M152" t="s">
        <v>3467</v>
      </c>
      <c r="N152" t="s">
        <v>3467</v>
      </c>
      <c r="O152" t="s">
        <v>6825</v>
      </c>
    </row>
    <row r="153" spans="1:15" x14ac:dyDescent="0.25">
      <c r="A153" t="s">
        <v>6346</v>
      </c>
      <c r="B153" t="s">
        <v>41</v>
      </c>
      <c r="C153" t="s">
        <v>5769</v>
      </c>
      <c r="D153">
        <v>1</v>
      </c>
      <c r="E153" t="s">
        <v>6347</v>
      </c>
      <c r="F153" t="s">
        <v>6828</v>
      </c>
      <c r="G153" t="s">
        <v>6348</v>
      </c>
      <c r="H153" t="s">
        <v>6829</v>
      </c>
      <c r="I153">
        <v>1</v>
      </c>
      <c r="J153" t="s">
        <v>6439</v>
      </c>
      <c r="K153" t="s">
        <v>6349</v>
      </c>
      <c r="L153" t="s">
        <v>90</v>
      </c>
      <c r="M153" t="s">
        <v>3467</v>
      </c>
      <c r="N153" t="s">
        <v>3467</v>
      </c>
      <c r="O153" t="s">
        <v>5800</v>
      </c>
    </row>
    <row r="154" spans="1:15" x14ac:dyDescent="0.25">
      <c r="A154" t="s">
        <v>5743</v>
      </c>
      <c r="B154" t="s">
        <v>3563</v>
      </c>
      <c r="C154" t="s">
        <v>5407</v>
      </c>
      <c r="D154">
        <v>1</v>
      </c>
      <c r="E154" t="s">
        <v>6350</v>
      </c>
      <c r="F154" t="s">
        <v>6830</v>
      </c>
      <c r="G154" t="s">
        <v>6351</v>
      </c>
      <c r="H154" t="s">
        <v>6831</v>
      </c>
      <c r="I154">
        <v>1</v>
      </c>
      <c r="J154" t="s">
        <v>3467</v>
      </c>
      <c r="K154" t="s">
        <v>5743</v>
      </c>
      <c r="L154" t="s">
        <v>90</v>
      </c>
      <c r="M154" t="s">
        <v>3467</v>
      </c>
      <c r="N154" t="s">
        <v>3467</v>
      </c>
      <c r="O154" t="s">
        <v>6352</v>
      </c>
    </row>
    <row r="155" spans="1:15" x14ac:dyDescent="0.25">
      <c r="A155" t="s">
        <v>6353</v>
      </c>
      <c r="B155" t="s">
        <v>41</v>
      </c>
      <c r="C155" t="s">
        <v>5769</v>
      </c>
      <c r="D155">
        <v>1</v>
      </c>
      <c r="E155" t="s">
        <v>6354</v>
      </c>
      <c r="F155" t="s">
        <v>6832</v>
      </c>
      <c r="G155" t="s">
        <v>6355</v>
      </c>
      <c r="H155" t="s">
        <v>6833</v>
      </c>
      <c r="I155">
        <v>1</v>
      </c>
      <c r="J155" t="s">
        <v>6834</v>
      </c>
      <c r="K155" t="s">
        <v>6356</v>
      </c>
      <c r="L155" t="s">
        <v>90</v>
      </c>
      <c r="M155" t="s">
        <v>3467</v>
      </c>
      <c r="N155" t="s">
        <v>3467</v>
      </c>
      <c r="O155" t="s">
        <v>6357</v>
      </c>
    </row>
    <row r="156" spans="1:15" x14ac:dyDescent="0.25">
      <c r="A156" t="s">
        <v>6358</v>
      </c>
      <c r="B156" t="s">
        <v>41</v>
      </c>
      <c r="C156" t="s">
        <v>5769</v>
      </c>
      <c r="D156">
        <v>1</v>
      </c>
      <c r="E156" t="s">
        <v>6835</v>
      </c>
      <c r="F156" t="s">
        <v>6836</v>
      </c>
      <c r="G156" t="s">
        <v>6837</v>
      </c>
      <c r="H156" t="s">
        <v>6838</v>
      </c>
      <c r="I156">
        <v>1</v>
      </c>
      <c r="J156" t="s">
        <v>6839</v>
      </c>
      <c r="K156" t="s">
        <v>6361</v>
      </c>
      <c r="L156" t="s">
        <v>90</v>
      </c>
      <c r="M156" t="s">
        <v>5478</v>
      </c>
      <c r="N156" t="s">
        <v>3467</v>
      </c>
      <c r="O156" t="s">
        <v>5782</v>
      </c>
    </row>
    <row r="157" spans="1:15" x14ac:dyDescent="0.25">
      <c r="A157" t="s">
        <v>6362</v>
      </c>
      <c r="B157" t="s">
        <v>3530</v>
      </c>
      <c r="C157" t="s">
        <v>5407</v>
      </c>
      <c r="D157" t="s">
        <v>4035</v>
      </c>
      <c r="E157" t="s">
        <v>6363</v>
      </c>
      <c r="F157" t="s">
        <v>6840</v>
      </c>
      <c r="G157" t="s">
        <v>6364</v>
      </c>
      <c r="H157" t="s">
        <v>6791</v>
      </c>
      <c r="I157" t="s">
        <v>4035</v>
      </c>
      <c r="J157" t="s">
        <v>3467</v>
      </c>
      <c r="K157" t="s">
        <v>6362</v>
      </c>
      <c r="L157" t="s">
        <v>90</v>
      </c>
      <c r="M157" t="s">
        <v>5508</v>
      </c>
      <c r="N157" t="s">
        <v>3467</v>
      </c>
      <c r="O157" t="s">
        <v>6365</v>
      </c>
    </row>
    <row r="158" spans="1:15" x14ac:dyDescent="0.25">
      <c r="A158" t="s">
        <v>6370</v>
      </c>
      <c r="B158" t="s">
        <v>3530</v>
      </c>
      <c r="C158" t="s">
        <v>5407</v>
      </c>
      <c r="D158">
        <v>1</v>
      </c>
      <c r="E158" t="s">
        <v>6371</v>
      </c>
      <c r="F158" t="s">
        <v>6841</v>
      </c>
      <c r="G158" t="s">
        <v>6371</v>
      </c>
      <c r="H158" t="s">
        <v>6841</v>
      </c>
      <c r="I158">
        <v>0</v>
      </c>
      <c r="J158" t="s">
        <v>6497</v>
      </c>
      <c r="K158" t="s">
        <v>6370</v>
      </c>
      <c r="L158" t="s">
        <v>90</v>
      </c>
      <c r="M158" t="s">
        <v>5543</v>
      </c>
      <c r="N158" t="s">
        <v>3467</v>
      </c>
      <c r="O158" t="s">
        <v>6178</v>
      </c>
    </row>
    <row r="159" spans="1:15" x14ac:dyDescent="0.25">
      <c r="A159" t="s">
        <v>6372</v>
      </c>
      <c r="B159" t="s">
        <v>41</v>
      </c>
      <c r="C159" t="s">
        <v>5769</v>
      </c>
      <c r="D159">
        <v>1</v>
      </c>
      <c r="E159" t="s">
        <v>6842</v>
      </c>
      <c r="F159" t="s">
        <v>6843</v>
      </c>
      <c r="G159" t="s">
        <v>6844</v>
      </c>
      <c r="H159" t="s">
        <v>6845</v>
      </c>
      <c r="I159">
        <v>1</v>
      </c>
      <c r="J159" t="s">
        <v>6846</v>
      </c>
      <c r="K159" t="s">
        <v>6372</v>
      </c>
      <c r="L159" t="s">
        <v>90</v>
      </c>
      <c r="M159" t="s">
        <v>3467</v>
      </c>
      <c r="N159" t="s">
        <v>5438</v>
      </c>
      <c r="O159" t="s">
        <v>6847</v>
      </c>
    </row>
    <row r="160" spans="1:15" x14ac:dyDescent="0.25">
      <c r="A160" t="s">
        <v>6378</v>
      </c>
      <c r="B160" t="s">
        <v>41</v>
      </c>
      <c r="C160" t="s">
        <v>5407</v>
      </c>
      <c r="D160">
        <v>1</v>
      </c>
      <c r="E160" s="9" t="s">
        <v>6379</v>
      </c>
      <c r="F160" t="s">
        <v>6848</v>
      </c>
      <c r="G160" s="9" t="s">
        <v>6380</v>
      </c>
      <c r="H160" t="s">
        <v>6849</v>
      </c>
      <c r="I160">
        <v>1</v>
      </c>
      <c r="J160" t="s">
        <v>3467</v>
      </c>
      <c r="K160" t="s">
        <v>6381</v>
      </c>
      <c r="L160" t="s">
        <v>90</v>
      </c>
      <c r="M160" t="s">
        <v>3467</v>
      </c>
      <c r="N160" t="s">
        <v>3467</v>
      </c>
      <c r="O160" t="s">
        <v>6046</v>
      </c>
    </row>
    <row r="161" spans="1:15" x14ac:dyDescent="0.25">
      <c r="A161" t="s">
        <v>6382</v>
      </c>
      <c r="B161" t="s">
        <v>41</v>
      </c>
      <c r="C161" t="s">
        <v>5769</v>
      </c>
      <c r="D161">
        <v>1</v>
      </c>
      <c r="E161" t="s">
        <v>6383</v>
      </c>
      <c r="F161" t="s">
        <v>6850</v>
      </c>
      <c r="G161" t="s">
        <v>6384</v>
      </c>
      <c r="H161" t="s">
        <v>6851</v>
      </c>
      <c r="I161">
        <v>1</v>
      </c>
      <c r="J161" t="s">
        <v>6456</v>
      </c>
      <c r="K161" t="s">
        <v>6385</v>
      </c>
      <c r="L161" t="s">
        <v>90</v>
      </c>
      <c r="M161" t="s">
        <v>3467</v>
      </c>
      <c r="N161" t="s">
        <v>3467</v>
      </c>
      <c r="O161" t="s">
        <v>6852</v>
      </c>
    </row>
    <row r="162" spans="1:15" x14ac:dyDescent="0.25">
      <c r="A162" t="s">
        <v>6386</v>
      </c>
      <c r="B162" t="s">
        <v>3518</v>
      </c>
      <c r="C162" t="s">
        <v>5769</v>
      </c>
      <c r="D162">
        <v>1</v>
      </c>
      <c r="E162" s="9" t="s">
        <v>6387</v>
      </c>
      <c r="F162" t="s">
        <v>6853</v>
      </c>
      <c r="G162" s="9" t="s">
        <v>6388</v>
      </c>
      <c r="H162" t="s">
        <v>6854</v>
      </c>
      <c r="I162">
        <v>1</v>
      </c>
      <c r="J162" t="s">
        <v>6562</v>
      </c>
      <c r="K162" t="s">
        <v>6386</v>
      </c>
      <c r="L162" t="s">
        <v>90</v>
      </c>
      <c r="M162" t="s">
        <v>3467</v>
      </c>
      <c r="N162" t="s">
        <v>3467</v>
      </c>
      <c r="O162" t="s">
        <v>6029</v>
      </c>
    </row>
    <row r="163" spans="1:15" x14ac:dyDescent="0.25">
      <c r="A163" t="s">
        <v>6389</v>
      </c>
      <c r="B163" t="s">
        <v>3530</v>
      </c>
      <c r="C163" t="s">
        <v>5769</v>
      </c>
      <c r="D163">
        <v>2</v>
      </c>
      <c r="E163" t="s">
        <v>6390</v>
      </c>
      <c r="F163" t="s">
        <v>6855</v>
      </c>
      <c r="G163" t="s">
        <v>6391</v>
      </c>
      <c r="H163" t="s">
        <v>6856</v>
      </c>
      <c r="I163">
        <v>2</v>
      </c>
      <c r="J163" t="s">
        <v>6439</v>
      </c>
      <c r="K163" t="s">
        <v>6389</v>
      </c>
      <c r="L163" t="s">
        <v>90</v>
      </c>
      <c r="M163" t="s">
        <v>3467</v>
      </c>
      <c r="N163" t="s">
        <v>3467</v>
      </c>
      <c r="O163" t="s">
        <v>5914</v>
      </c>
    </row>
    <row r="164" spans="1:15" x14ac:dyDescent="0.25">
      <c r="A164" t="s">
        <v>6393</v>
      </c>
      <c r="B164" t="s">
        <v>41</v>
      </c>
      <c r="C164" t="s">
        <v>5407</v>
      </c>
      <c r="D164">
        <v>0</v>
      </c>
      <c r="E164" t="s">
        <v>6394</v>
      </c>
      <c r="F164" t="s">
        <v>6857</v>
      </c>
      <c r="G164" t="s">
        <v>6395</v>
      </c>
      <c r="H164" t="s">
        <v>6858</v>
      </c>
      <c r="I164">
        <v>0</v>
      </c>
      <c r="J164" t="s">
        <v>3467</v>
      </c>
      <c r="K164" t="s">
        <v>6393</v>
      </c>
      <c r="L164" t="s">
        <v>90</v>
      </c>
      <c r="M164" t="s">
        <v>5543</v>
      </c>
      <c r="N164" t="s">
        <v>3467</v>
      </c>
      <c r="O164" t="s">
        <v>5810</v>
      </c>
    </row>
    <row r="165" spans="1:15" x14ac:dyDescent="0.25">
      <c r="A165" t="s">
        <v>5338</v>
      </c>
      <c r="B165" t="s">
        <v>3530</v>
      </c>
      <c r="C165" t="s">
        <v>4644</v>
      </c>
      <c r="D165">
        <v>1</v>
      </c>
      <c r="E165" s="9" t="s">
        <v>6859</v>
      </c>
      <c r="F165" t="s">
        <v>6860</v>
      </c>
      <c r="G165" s="9" t="s">
        <v>6861</v>
      </c>
      <c r="H165" t="s">
        <v>6862</v>
      </c>
      <c r="I165">
        <v>1</v>
      </c>
      <c r="J165" t="s">
        <v>3467</v>
      </c>
      <c r="K165" t="s">
        <v>5340</v>
      </c>
      <c r="L165" t="s">
        <v>90</v>
      </c>
      <c r="M165" t="s">
        <v>3467</v>
      </c>
      <c r="N165" t="s">
        <v>3467</v>
      </c>
      <c r="O165" t="s">
        <v>6863</v>
      </c>
    </row>
    <row r="166" spans="1:15" x14ac:dyDescent="0.25">
      <c r="A166" t="s">
        <v>6399</v>
      </c>
      <c r="B166" t="s">
        <v>3530</v>
      </c>
      <c r="C166" t="s">
        <v>5769</v>
      </c>
      <c r="D166" t="s">
        <v>5993</v>
      </c>
      <c r="E166" t="s">
        <v>6864</v>
      </c>
      <c r="F166" t="s">
        <v>6865</v>
      </c>
      <c r="G166" t="s">
        <v>6866</v>
      </c>
      <c r="H166" t="s">
        <v>6867</v>
      </c>
      <c r="I166" t="s">
        <v>5993</v>
      </c>
      <c r="J166" t="s">
        <v>6536</v>
      </c>
      <c r="K166" t="s">
        <v>6399</v>
      </c>
      <c r="L166" t="s">
        <v>90</v>
      </c>
      <c r="M166" t="s">
        <v>3467</v>
      </c>
      <c r="N166" t="s">
        <v>3467</v>
      </c>
      <c r="O166" t="s">
        <v>5906</v>
      </c>
    </row>
    <row r="167" spans="1:15" x14ac:dyDescent="0.25">
      <c r="A167" t="s">
        <v>6402</v>
      </c>
      <c r="B167" t="s">
        <v>3530</v>
      </c>
      <c r="C167" t="s">
        <v>5407</v>
      </c>
      <c r="D167">
        <v>1</v>
      </c>
      <c r="E167" s="9" t="s">
        <v>6403</v>
      </c>
      <c r="F167" t="s">
        <v>6868</v>
      </c>
      <c r="G167" s="9" t="s">
        <v>6403</v>
      </c>
      <c r="H167" t="s">
        <v>6868</v>
      </c>
      <c r="I167">
        <v>0</v>
      </c>
      <c r="J167" t="s">
        <v>3467</v>
      </c>
      <c r="K167" t="s">
        <v>6404</v>
      </c>
      <c r="L167" t="s">
        <v>90</v>
      </c>
      <c r="M167" t="s">
        <v>5543</v>
      </c>
      <c r="N167" t="s">
        <v>3467</v>
      </c>
      <c r="O167" t="s">
        <v>6869</v>
      </c>
    </row>
    <row r="168" spans="1:15" x14ac:dyDescent="0.25">
      <c r="A168" t="s">
        <v>6406</v>
      </c>
      <c r="B168" t="s">
        <v>41</v>
      </c>
      <c r="C168" t="s">
        <v>5769</v>
      </c>
      <c r="D168">
        <v>1</v>
      </c>
      <c r="E168" s="9" t="s">
        <v>6407</v>
      </c>
      <c r="F168" t="s">
        <v>6870</v>
      </c>
      <c r="G168" s="9" t="s">
        <v>6408</v>
      </c>
      <c r="H168" t="s">
        <v>6871</v>
      </c>
      <c r="I168">
        <v>1</v>
      </c>
      <c r="J168" t="s">
        <v>6497</v>
      </c>
      <c r="K168" t="s">
        <v>6409</v>
      </c>
      <c r="L168" t="s">
        <v>90</v>
      </c>
      <c r="M168" t="s">
        <v>3467</v>
      </c>
      <c r="N168" t="s">
        <v>3467</v>
      </c>
      <c r="O168" t="s">
        <v>6266</v>
      </c>
    </row>
    <row r="169" spans="1:15" x14ac:dyDescent="0.25">
      <c r="A169" t="s">
        <v>6410</v>
      </c>
      <c r="B169" t="s">
        <v>4344</v>
      </c>
      <c r="C169" t="s">
        <v>3674</v>
      </c>
      <c r="D169" t="s">
        <v>4035</v>
      </c>
      <c r="E169" s="9" t="s">
        <v>6135</v>
      </c>
      <c r="F169" t="s">
        <v>4261</v>
      </c>
      <c r="G169" s="9" t="s">
        <v>3467</v>
      </c>
      <c r="H169" t="s">
        <v>3467</v>
      </c>
      <c r="I169" t="s">
        <v>3467</v>
      </c>
      <c r="J169" t="s">
        <v>3467</v>
      </c>
      <c r="K169" t="s">
        <v>6410</v>
      </c>
      <c r="L169" t="s">
        <v>90</v>
      </c>
      <c r="M169" t="s">
        <v>3467</v>
      </c>
      <c r="N169" t="s">
        <v>3467</v>
      </c>
      <c r="O169" t="s">
        <v>6506</v>
      </c>
    </row>
    <row r="170" spans="1:15" x14ac:dyDescent="0.25">
      <c r="A170" t="s">
        <v>6411</v>
      </c>
      <c r="B170" t="s">
        <v>3518</v>
      </c>
      <c r="C170" t="s">
        <v>4644</v>
      </c>
      <c r="D170">
        <v>3</v>
      </c>
      <c r="E170" s="9" t="s">
        <v>6872</v>
      </c>
      <c r="F170" t="s">
        <v>6873</v>
      </c>
      <c r="G170" s="9" t="s">
        <v>6874</v>
      </c>
      <c r="H170" t="s">
        <v>6875</v>
      </c>
      <c r="I170" t="s">
        <v>3467</v>
      </c>
      <c r="J170" t="s">
        <v>3467</v>
      </c>
      <c r="K170" t="s">
        <v>6414</v>
      </c>
      <c r="L170" t="s">
        <v>90</v>
      </c>
      <c r="M170" t="s">
        <v>3467</v>
      </c>
      <c r="N170" t="s">
        <v>3467</v>
      </c>
      <c r="O170" t="s">
        <v>5764</v>
      </c>
    </row>
    <row r="171" spans="1:15" x14ac:dyDescent="0.25">
      <c r="A171" t="s">
        <v>6415</v>
      </c>
      <c r="B171" t="s">
        <v>4344</v>
      </c>
      <c r="C171" t="s">
        <v>4291</v>
      </c>
      <c r="D171" t="s">
        <v>4035</v>
      </c>
      <c r="E171" t="s">
        <v>6416</v>
      </c>
      <c r="F171" t="s">
        <v>4261</v>
      </c>
      <c r="G171" t="s">
        <v>3467</v>
      </c>
      <c r="H171" t="s">
        <v>3467</v>
      </c>
      <c r="I171" t="s">
        <v>3467</v>
      </c>
      <c r="J171" t="s">
        <v>3467</v>
      </c>
      <c r="K171" t="s">
        <v>6415</v>
      </c>
      <c r="L171" t="s">
        <v>90</v>
      </c>
      <c r="M171" t="s">
        <v>5510</v>
      </c>
      <c r="N171" t="s">
        <v>3467</v>
      </c>
      <c r="O171" t="s">
        <v>5917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6876</v>
      </c>
      <c r="C1" t="s">
        <v>6877</v>
      </c>
      <c r="D1" t="s">
        <v>3461</v>
      </c>
      <c r="E1" t="s">
        <v>3512</v>
      </c>
      <c r="F1" t="s">
        <v>6878</v>
      </c>
    </row>
    <row r="2" spans="1:6" ht="15" customHeight="1" x14ac:dyDescent="0.25">
      <c r="A2" t="s">
        <v>6879</v>
      </c>
      <c r="B2" t="s">
        <v>4740</v>
      </c>
      <c r="C2" t="s">
        <v>6880</v>
      </c>
      <c r="D2" t="s">
        <v>6881</v>
      </c>
      <c r="E2" t="s">
        <v>6882</v>
      </c>
      <c r="F2" t="s">
        <v>6883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6884</v>
      </c>
      <c r="D1" t="s">
        <v>171</v>
      </c>
      <c r="E1" t="s">
        <v>4496</v>
      </c>
      <c r="F1" t="s">
        <v>6</v>
      </c>
    </row>
    <row r="2" spans="1:6" ht="15" customHeight="1" x14ac:dyDescent="0.25">
      <c r="A2" t="s">
        <v>6885</v>
      </c>
      <c r="B2" t="s">
        <v>6886</v>
      </c>
      <c r="C2" t="s">
        <v>5220</v>
      </c>
      <c r="D2" t="s">
        <v>3674</v>
      </c>
      <c r="E2" t="s">
        <v>3467</v>
      </c>
      <c r="F2" t="s">
        <v>3467</v>
      </c>
    </row>
    <row r="3" spans="1:6" ht="15" customHeight="1" x14ac:dyDescent="0.25">
      <c r="A3" t="s">
        <v>6887</v>
      </c>
      <c r="B3" t="s">
        <v>6888</v>
      </c>
      <c r="C3" t="s">
        <v>6889</v>
      </c>
      <c r="D3" t="s">
        <v>3674</v>
      </c>
      <c r="E3" t="s">
        <v>3467</v>
      </c>
      <c r="F3" t="s">
        <v>3467</v>
      </c>
    </row>
    <row r="4" spans="1:6" ht="15" customHeight="1" x14ac:dyDescent="0.25">
      <c r="A4" t="s">
        <v>6890</v>
      </c>
      <c r="B4" t="s">
        <v>6891</v>
      </c>
      <c r="C4" t="s">
        <v>5223</v>
      </c>
      <c r="D4" t="s">
        <v>6890</v>
      </c>
      <c r="E4" t="s">
        <v>4015</v>
      </c>
      <c r="F4" t="s">
        <v>3518</v>
      </c>
    </row>
    <row r="5" spans="1:6" ht="15" customHeight="1" x14ac:dyDescent="0.25">
      <c r="A5" t="s">
        <v>6892</v>
      </c>
      <c r="B5" t="s">
        <v>6893</v>
      </c>
      <c r="C5" t="s">
        <v>6894</v>
      </c>
      <c r="D5" t="s">
        <v>3528</v>
      </c>
      <c r="E5" t="s">
        <v>4037</v>
      </c>
      <c r="F5" t="s">
        <v>41</v>
      </c>
    </row>
    <row r="6" spans="1:6" ht="15" customHeight="1" x14ac:dyDescent="0.25">
      <c r="A6" t="s">
        <v>6895</v>
      </c>
      <c r="B6" t="s">
        <v>6896</v>
      </c>
      <c r="C6" t="s">
        <v>6894</v>
      </c>
      <c r="D6" t="s">
        <v>3674</v>
      </c>
      <c r="E6" t="s">
        <v>3467</v>
      </c>
      <c r="F6" t="s">
        <v>3530</v>
      </c>
    </row>
    <row r="7" spans="1:6" ht="15" customHeight="1" x14ac:dyDescent="0.25">
      <c r="A7" t="s">
        <v>6897</v>
      </c>
      <c r="B7" t="s">
        <v>6898</v>
      </c>
      <c r="C7" t="s">
        <v>6889</v>
      </c>
      <c r="D7" t="s">
        <v>3674</v>
      </c>
      <c r="E7" t="s">
        <v>3467</v>
      </c>
    </row>
    <row r="8" spans="1:6" ht="15" customHeight="1" x14ac:dyDescent="0.25">
      <c r="A8" t="s">
        <v>6899</v>
      </c>
      <c r="B8" t="s">
        <v>6900</v>
      </c>
      <c r="C8" t="s">
        <v>5220</v>
      </c>
      <c r="D8" t="s">
        <v>3674</v>
      </c>
      <c r="E8" t="s">
        <v>3467</v>
      </c>
      <c r="F8" t="s">
        <v>3467</v>
      </c>
    </row>
    <row r="9" spans="1:6" ht="15" customHeight="1" x14ac:dyDescent="0.25">
      <c r="A9" t="s">
        <v>6901</v>
      </c>
      <c r="B9" t="s">
        <v>6902</v>
      </c>
      <c r="C9" t="s">
        <v>5223</v>
      </c>
      <c r="D9" t="s">
        <v>5769</v>
      </c>
      <c r="E9" t="s">
        <v>4015</v>
      </c>
      <c r="F9" t="s">
        <v>41</v>
      </c>
    </row>
    <row r="10" spans="1:6" ht="15" customHeight="1" x14ac:dyDescent="0.25">
      <c r="A10" t="s">
        <v>6903</v>
      </c>
      <c r="B10" t="s">
        <v>6904</v>
      </c>
      <c r="C10" t="s">
        <v>6889</v>
      </c>
      <c r="D10" t="s">
        <v>3674</v>
      </c>
      <c r="E10" t="s">
        <v>5070</v>
      </c>
      <c r="F10" t="s">
        <v>41</v>
      </c>
    </row>
    <row r="11" spans="1:6" ht="15" customHeight="1" x14ac:dyDescent="0.25">
      <c r="A11" t="s">
        <v>6905</v>
      </c>
      <c r="B11" t="s">
        <v>6906</v>
      </c>
      <c r="C11" t="s">
        <v>6894</v>
      </c>
      <c r="D11" t="s">
        <v>3449</v>
      </c>
      <c r="E11" t="s">
        <v>3467</v>
      </c>
      <c r="F11" t="s">
        <v>3530</v>
      </c>
    </row>
    <row r="12" spans="1:6" ht="15" customHeight="1" x14ac:dyDescent="0.25">
      <c r="A12" t="s">
        <v>6907</v>
      </c>
      <c r="B12" t="s">
        <v>6908</v>
      </c>
      <c r="C12" t="s">
        <v>5223</v>
      </c>
      <c r="D12" t="s">
        <v>3674</v>
      </c>
      <c r="E12" t="s">
        <v>5070</v>
      </c>
      <c r="F12" t="s">
        <v>41</v>
      </c>
    </row>
    <row r="13" spans="1:6" ht="15" customHeight="1" x14ac:dyDescent="0.25">
      <c r="A13" t="s">
        <v>6909</v>
      </c>
      <c r="B13" t="s">
        <v>6910</v>
      </c>
      <c r="C13" t="s">
        <v>6889</v>
      </c>
      <c r="D13" t="s">
        <v>3674</v>
      </c>
      <c r="E13" t="s">
        <v>3467</v>
      </c>
      <c r="F13" t="s">
        <v>3467</v>
      </c>
    </row>
    <row r="14" spans="1:6" ht="15" customHeight="1" x14ac:dyDescent="0.25">
      <c r="A14" t="s">
        <v>6911</v>
      </c>
      <c r="B14" t="s">
        <v>6912</v>
      </c>
      <c r="C14" t="s">
        <v>6889</v>
      </c>
      <c r="D14" t="s">
        <v>3674</v>
      </c>
      <c r="E14" t="s">
        <v>3467</v>
      </c>
      <c r="F14" t="s">
        <v>3467</v>
      </c>
    </row>
    <row r="15" spans="1:6" ht="15" customHeight="1" x14ac:dyDescent="0.25">
      <c r="A15" t="s">
        <v>6913</v>
      </c>
      <c r="B15" t="s">
        <v>6914</v>
      </c>
      <c r="C15" t="s">
        <v>5223</v>
      </c>
      <c r="D15" t="s">
        <v>5769</v>
      </c>
      <c r="E15" t="s">
        <v>6915</v>
      </c>
      <c r="F15" t="s">
        <v>3518</v>
      </c>
    </row>
    <row r="16" spans="1:6" ht="15" customHeight="1" x14ac:dyDescent="0.25">
      <c r="A16" t="s">
        <v>6916</v>
      </c>
      <c r="B16" t="s">
        <v>6917</v>
      </c>
      <c r="C16" t="s">
        <v>6889</v>
      </c>
      <c r="D16" t="s">
        <v>6916</v>
      </c>
      <c r="E16" t="s">
        <v>3467</v>
      </c>
      <c r="F16" t="s">
        <v>41</v>
      </c>
    </row>
    <row r="17" spans="1:6" ht="15" customHeight="1" x14ac:dyDescent="0.25">
      <c r="A17" t="s">
        <v>6207</v>
      </c>
      <c r="B17" t="s">
        <v>6918</v>
      </c>
      <c r="C17" t="s">
        <v>6889</v>
      </c>
      <c r="D17" t="s">
        <v>3674</v>
      </c>
      <c r="E17" t="s">
        <v>4015</v>
      </c>
      <c r="F17" t="s">
        <v>3467</v>
      </c>
    </row>
    <row r="18" spans="1:6" ht="15" customHeight="1" x14ac:dyDescent="0.25">
      <c r="A18" t="s">
        <v>5722</v>
      </c>
      <c r="B18" t="s">
        <v>6919</v>
      </c>
      <c r="C18" t="s">
        <v>6889</v>
      </c>
      <c r="D18" t="s">
        <v>3674</v>
      </c>
      <c r="E18" t="s">
        <v>5070</v>
      </c>
      <c r="F18" t="s">
        <v>3518</v>
      </c>
    </row>
    <row r="19" spans="1:6" ht="15" customHeight="1" x14ac:dyDescent="0.25">
      <c r="A19" t="s">
        <v>6920</v>
      </c>
      <c r="B19" t="s">
        <v>6921</v>
      </c>
      <c r="C19" t="s">
        <v>6889</v>
      </c>
      <c r="D19" t="s">
        <v>3674</v>
      </c>
      <c r="E19" t="s">
        <v>3467</v>
      </c>
      <c r="F19" t="s">
        <v>3467</v>
      </c>
    </row>
    <row r="20" spans="1:6" ht="15" customHeight="1" x14ac:dyDescent="0.25">
      <c r="A20" t="s">
        <v>6922</v>
      </c>
      <c r="B20" t="s">
        <v>6923</v>
      </c>
      <c r="C20" t="s">
        <v>5220</v>
      </c>
      <c r="D20" t="s">
        <v>3674</v>
      </c>
      <c r="E20" t="s">
        <v>3467</v>
      </c>
      <c r="F20" t="s">
        <v>3467</v>
      </c>
    </row>
    <row r="21" spans="1:6" ht="15" customHeight="1" x14ac:dyDescent="0.25">
      <c r="A21" t="s">
        <v>6924</v>
      </c>
      <c r="B21" t="s">
        <v>6925</v>
      </c>
      <c r="C21" t="s">
        <v>6894</v>
      </c>
      <c r="D21" t="s">
        <v>6924</v>
      </c>
      <c r="E21" t="s">
        <v>6915</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5745</v>
      </c>
      <c r="C1" t="s">
        <v>6</v>
      </c>
      <c r="D1" t="s">
        <v>3461</v>
      </c>
      <c r="E1" t="s">
        <v>6424</v>
      </c>
      <c r="F1" t="s">
        <v>6926</v>
      </c>
      <c r="G1" t="s">
        <v>1</v>
      </c>
      <c r="H1" t="s">
        <v>6425</v>
      </c>
      <c r="I1" t="s">
        <v>171</v>
      </c>
    </row>
    <row r="2" spans="1:9" ht="15" customHeight="1" x14ac:dyDescent="0.25">
      <c r="A2" t="s">
        <v>6927</v>
      </c>
      <c r="B2">
        <v>6</v>
      </c>
      <c r="C2" t="s">
        <v>3518</v>
      </c>
      <c r="D2" t="s">
        <v>6928</v>
      </c>
      <c r="E2" t="s">
        <v>3467</v>
      </c>
      <c r="F2" t="s">
        <v>4035</v>
      </c>
      <c r="G2" t="s">
        <v>2362</v>
      </c>
      <c r="H2" t="s">
        <v>5433</v>
      </c>
      <c r="I2" t="s">
        <v>6927</v>
      </c>
    </row>
    <row r="3" spans="1:9" ht="15" customHeight="1" x14ac:dyDescent="0.25">
      <c r="A3" t="s">
        <v>6929</v>
      </c>
      <c r="B3">
        <v>3</v>
      </c>
      <c r="C3" t="s">
        <v>3530</v>
      </c>
      <c r="D3" t="s">
        <v>6930</v>
      </c>
      <c r="E3" t="s">
        <v>3467</v>
      </c>
      <c r="F3" t="s">
        <v>187</v>
      </c>
      <c r="G3" t="s">
        <v>2362</v>
      </c>
      <c r="H3" t="s">
        <v>3467</v>
      </c>
      <c r="I3" t="s">
        <v>6929</v>
      </c>
    </row>
    <row r="4" spans="1:9" ht="15" customHeight="1" x14ac:dyDescent="0.25">
      <c r="A4" t="s">
        <v>6931</v>
      </c>
      <c r="B4">
        <v>3</v>
      </c>
      <c r="C4" t="s">
        <v>3518</v>
      </c>
      <c r="D4" t="s">
        <v>6932</v>
      </c>
      <c r="E4" t="s">
        <v>5461</v>
      </c>
      <c r="F4" t="s">
        <v>187</v>
      </c>
      <c r="G4" t="s">
        <v>2362</v>
      </c>
      <c r="H4" t="s">
        <v>3467</v>
      </c>
      <c r="I4" t="s">
        <v>6931</v>
      </c>
    </row>
    <row r="5" spans="1:9" ht="15" customHeight="1" x14ac:dyDescent="0.25">
      <c r="A5" t="s">
        <v>6933</v>
      </c>
      <c r="B5">
        <v>6</v>
      </c>
      <c r="C5" t="s">
        <v>3518</v>
      </c>
      <c r="D5" t="s">
        <v>6934</v>
      </c>
      <c r="E5" t="s">
        <v>3467</v>
      </c>
      <c r="F5" t="s">
        <v>187</v>
      </c>
      <c r="G5" t="s">
        <v>2362</v>
      </c>
      <c r="H5" t="s">
        <v>4307</v>
      </c>
      <c r="I5" t="s">
        <v>6933</v>
      </c>
    </row>
    <row r="6" spans="1:9" ht="15" customHeight="1" x14ac:dyDescent="0.25">
      <c r="A6" t="s">
        <v>4040</v>
      </c>
      <c r="B6">
        <v>1</v>
      </c>
      <c r="C6" t="s">
        <v>3530</v>
      </c>
      <c r="D6" t="s">
        <v>6935</v>
      </c>
      <c r="E6" t="s">
        <v>3467</v>
      </c>
      <c r="F6" t="s">
        <v>187</v>
      </c>
      <c r="G6" t="s">
        <v>2362</v>
      </c>
      <c r="H6" t="s">
        <v>4307</v>
      </c>
      <c r="I6" t="s">
        <v>4040</v>
      </c>
    </row>
    <row r="7" spans="1:9" ht="15" customHeight="1" x14ac:dyDescent="0.25">
      <c r="A7" t="s">
        <v>6936</v>
      </c>
      <c r="B7">
        <v>3</v>
      </c>
      <c r="C7" t="s">
        <v>3518</v>
      </c>
      <c r="D7" t="s">
        <v>6937</v>
      </c>
      <c r="E7" t="s">
        <v>3467</v>
      </c>
      <c r="F7" t="s">
        <v>187</v>
      </c>
      <c r="G7" t="s">
        <v>2362</v>
      </c>
      <c r="H7" t="s">
        <v>3467</v>
      </c>
      <c r="I7" t="s">
        <v>6936</v>
      </c>
    </row>
    <row r="8" spans="1:9" ht="15" customHeight="1" x14ac:dyDescent="0.25">
      <c r="A8" t="s">
        <v>6938</v>
      </c>
      <c r="B8">
        <v>1</v>
      </c>
      <c r="C8" t="s">
        <v>3530</v>
      </c>
      <c r="D8" t="s">
        <v>6939</v>
      </c>
      <c r="E8" t="s">
        <v>5459</v>
      </c>
      <c r="F8" t="s">
        <v>187</v>
      </c>
      <c r="G8" t="s">
        <v>2362</v>
      </c>
      <c r="H8" t="s">
        <v>3467</v>
      </c>
      <c r="I8" t="s">
        <v>6938</v>
      </c>
    </row>
    <row r="9" spans="1:9" ht="15" customHeight="1" x14ac:dyDescent="0.25">
      <c r="A9" t="s">
        <v>6940</v>
      </c>
      <c r="B9">
        <v>2</v>
      </c>
      <c r="C9" t="s">
        <v>41</v>
      </c>
      <c r="D9" t="s">
        <v>4605</v>
      </c>
      <c r="E9" t="s">
        <v>5476</v>
      </c>
      <c r="F9" t="s">
        <v>4035</v>
      </c>
      <c r="G9" t="s">
        <v>2362</v>
      </c>
      <c r="H9" t="s">
        <v>3467</v>
      </c>
      <c r="I9" t="s">
        <v>6940</v>
      </c>
    </row>
    <row r="10" spans="1:9" ht="15" customHeight="1" x14ac:dyDescent="0.25">
      <c r="A10" t="s">
        <v>6941</v>
      </c>
      <c r="B10">
        <v>1</v>
      </c>
      <c r="C10" t="s">
        <v>3518</v>
      </c>
      <c r="D10" t="s">
        <v>6942</v>
      </c>
      <c r="E10" t="s">
        <v>5459</v>
      </c>
      <c r="F10" t="s">
        <v>4035</v>
      </c>
      <c r="G10" t="s">
        <v>2362</v>
      </c>
      <c r="H10" t="s">
        <v>5430</v>
      </c>
      <c r="I10" t="s">
        <v>6941</v>
      </c>
    </row>
    <row r="11" spans="1:9" ht="15" customHeight="1" x14ac:dyDescent="0.25">
      <c r="A11" t="s">
        <v>6943</v>
      </c>
      <c r="B11">
        <v>15</v>
      </c>
      <c r="C11" t="s">
        <v>3518</v>
      </c>
      <c r="D11" t="s">
        <v>6944</v>
      </c>
      <c r="E11" t="s">
        <v>3467</v>
      </c>
      <c r="F11" t="s">
        <v>4035</v>
      </c>
      <c r="G11" t="s">
        <v>2362</v>
      </c>
      <c r="H11" t="s">
        <v>5433</v>
      </c>
      <c r="I11" t="s">
        <v>6943</v>
      </c>
    </row>
    <row r="12" spans="1:9" ht="15" customHeight="1" x14ac:dyDescent="0.25">
      <c r="A12" t="s">
        <v>6945</v>
      </c>
      <c r="B12">
        <v>2</v>
      </c>
      <c r="C12" t="s">
        <v>41</v>
      </c>
      <c r="D12" t="s">
        <v>6946</v>
      </c>
      <c r="E12" t="s">
        <v>3467</v>
      </c>
      <c r="F12" t="s">
        <v>4035</v>
      </c>
      <c r="G12" t="s">
        <v>2362</v>
      </c>
      <c r="H12" t="s">
        <v>5430</v>
      </c>
      <c r="I12" t="s">
        <v>6945</v>
      </c>
    </row>
    <row r="13" spans="1:9" ht="15" customHeight="1" x14ac:dyDescent="0.25">
      <c r="A13" t="s">
        <v>6947</v>
      </c>
      <c r="B13">
        <v>3</v>
      </c>
      <c r="C13" t="s">
        <v>3518</v>
      </c>
      <c r="D13" t="s">
        <v>6948</v>
      </c>
      <c r="E13" t="s">
        <v>3467</v>
      </c>
      <c r="F13" t="s">
        <v>187</v>
      </c>
      <c r="G13" t="s">
        <v>2362</v>
      </c>
      <c r="H13" t="s">
        <v>5301</v>
      </c>
      <c r="I13" t="s">
        <v>6947</v>
      </c>
    </row>
    <row r="14" spans="1:9" ht="15" customHeight="1" x14ac:dyDescent="0.25">
      <c r="A14" t="s">
        <v>6949</v>
      </c>
      <c r="B14">
        <v>1</v>
      </c>
      <c r="C14" t="s">
        <v>41</v>
      </c>
      <c r="D14" t="s">
        <v>6950</v>
      </c>
      <c r="E14" t="s">
        <v>5459</v>
      </c>
      <c r="F14" t="s">
        <v>187</v>
      </c>
      <c r="G14" t="s">
        <v>2362</v>
      </c>
      <c r="H14" t="s">
        <v>3467</v>
      </c>
      <c r="I14" t="s">
        <v>6949</v>
      </c>
    </row>
    <row r="15" spans="1:9" ht="15" customHeight="1" x14ac:dyDescent="0.25">
      <c r="A15" t="s">
        <v>6951</v>
      </c>
      <c r="B15">
        <v>2</v>
      </c>
      <c r="C15" t="s">
        <v>41</v>
      </c>
      <c r="D15" t="s">
        <v>6952</v>
      </c>
      <c r="E15" t="s">
        <v>5506</v>
      </c>
      <c r="F15" t="s">
        <v>187</v>
      </c>
      <c r="G15" t="s">
        <v>2362</v>
      </c>
      <c r="H15" t="s">
        <v>5436</v>
      </c>
      <c r="I15" t="s">
        <v>6951</v>
      </c>
    </row>
    <row r="16" spans="1:9" ht="15" customHeight="1" x14ac:dyDescent="0.25">
      <c r="A16" t="s">
        <v>6953</v>
      </c>
      <c r="B16">
        <v>2</v>
      </c>
      <c r="C16" t="s">
        <v>41</v>
      </c>
      <c r="D16" t="s">
        <v>6954</v>
      </c>
      <c r="E16" t="s">
        <v>5506</v>
      </c>
      <c r="F16" t="s">
        <v>187</v>
      </c>
      <c r="G16" t="s">
        <v>2362</v>
      </c>
      <c r="H16" t="s">
        <v>5436</v>
      </c>
      <c r="I16" t="s">
        <v>6953</v>
      </c>
    </row>
    <row r="17" spans="1:9" ht="15" customHeight="1" x14ac:dyDescent="0.25">
      <c r="A17" t="s">
        <v>6955</v>
      </c>
      <c r="B17">
        <v>3</v>
      </c>
      <c r="C17" t="s">
        <v>3530</v>
      </c>
      <c r="D17" t="s">
        <v>6956</v>
      </c>
      <c r="E17" t="s">
        <v>3467</v>
      </c>
      <c r="F17" t="s">
        <v>187</v>
      </c>
      <c r="G17" t="s">
        <v>2362</v>
      </c>
      <c r="H17" t="s">
        <v>5445</v>
      </c>
      <c r="I17" t="s">
        <v>6955</v>
      </c>
    </row>
    <row r="18" spans="1:9" ht="15" customHeight="1" x14ac:dyDescent="0.25">
      <c r="A18" t="s">
        <v>6957</v>
      </c>
      <c r="B18">
        <v>3</v>
      </c>
      <c r="C18" t="s">
        <v>41</v>
      </c>
      <c r="D18" t="s">
        <v>6958</v>
      </c>
      <c r="E18" t="s">
        <v>5506</v>
      </c>
      <c r="F18" t="s">
        <v>187</v>
      </c>
      <c r="G18" t="s">
        <v>2362</v>
      </c>
      <c r="H18" t="s">
        <v>4307</v>
      </c>
      <c r="I18" t="s">
        <v>6957</v>
      </c>
    </row>
    <row r="19" spans="1:9" ht="15" customHeight="1" x14ac:dyDescent="0.25">
      <c r="A19" t="s">
        <v>6959</v>
      </c>
      <c r="B19">
        <v>4</v>
      </c>
      <c r="C19" t="s">
        <v>41</v>
      </c>
      <c r="D19" t="s">
        <v>6960</v>
      </c>
      <c r="E19" t="s">
        <v>5454</v>
      </c>
      <c r="F19" t="s">
        <v>187</v>
      </c>
      <c r="G19" t="s">
        <v>2362</v>
      </c>
      <c r="H19" t="s">
        <v>5436</v>
      </c>
      <c r="I19" t="s">
        <v>6959</v>
      </c>
    </row>
    <row r="20" spans="1:9" ht="15" customHeight="1" x14ac:dyDescent="0.25">
      <c r="A20" t="s">
        <v>6961</v>
      </c>
      <c r="B20">
        <v>2</v>
      </c>
      <c r="C20" t="s">
        <v>3530</v>
      </c>
      <c r="D20" t="s">
        <v>6962</v>
      </c>
      <c r="E20" t="s">
        <v>5459</v>
      </c>
      <c r="F20" t="s">
        <v>4035</v>
      </c>
      <c r="G20" t="s">
        <v>2362</v>
      </c>
      <c r="H20" t="s">
        <v>5438</v>
      </c>
      <c r="I20" t="s">
        <v>6961</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6963</v>
      </c>
      <c r="D1" t="s">
        <v>1</v>
      </c>
      <c r="E1" t="s">
        <v>7</v>
      </c>
    </row>
    <row r="2" spans="1:5" ht="15" customHeight="1" x14ac:dyDescent="0.25">
      <c r="A2" t="s">
        <v>6964</v>
      </c>
      <c r="B2" t="s">
        <v>41</v>
      </c>
      <c r="C2" t="s">
        <v>4422</v>
      </c>
      <c r="D2" t="s">
        <v>1295</v>
      </c>
      <c r="E2" t="s">
        <v>6965</v>
      </c>
    </row>
    <row r="3" spans="1:5" ht="15" customHeight="1" x14ac:dyDescent="0.25">
      <c r="A3" t="s">
        <v>6966</v>
      </c>
      <c r="B3" t="s">
        <v>3530</v>
      </c>
      <c r="C3" t="s">
        <v>4422</v>
      </c>
      <c r="D3" t="s">
        <v>1295</v>
      </c>
      <c r="E3" t="s">
        <v>6967</v>
      </c>
    </row>
    <row r="4" spans="1:5" ht="15" customHeight="1" x14ac:dyDescent="0.25">
      <c r="A4" t="s">
        <v>6968</v>
      </c>
      <c r="B4" t="s">
        <v>3518</v>
      </c>
      <c r="C4" t="s">
        <v>4422</v>
      </c>
      <c r="D4" t="s">
        <v>1295</v>
      </c>
      <c r="E4" t="s">
        <v>6969</v>
      </c>
    </row>
    <row r="5" spans="1:5" ht="15" customHeight="1" x14ac:dyDescent="0.25">
      <c r="A5" t="s">
        <v>6970</v>
      </c>
      <c r="B5" t="s">
        <v>41</v>
      </c>
      <c r="C5" t="s">
        <v>4420</v>
      </c>
      <c r="D5" t="s">
        <v>1295</v>
      </c>
      <c r="E5" t="s">
        <v>6971</v>
      </c>
    </row>
    <row r="6" spans="1:5" ht="15" customHeight="1" x14ac:dyDescent="0.25">
      <c r="A6" t="s">
        <v>6972</v>
      </c>
      <c r="B6" t="s">
        <v>3530</v>
      </c>
      <c r="C6" t="s">
        <v>4420</v>
      </c>
      <c r="D6" t="s">
        <v>1295</v>
      </c>
      <c r="E6" t="s">
        <v>6973</v>
      </c>
    </row>
    <row r="7" spans="1:5" ht="15" customHeight="1" x14ac:dyDescent="0.25">
      <c r="A7" t="s">
        <v>6974</v>
      </c>
      <c r="B7" t="s">
        <v>3518</v>
      </c>
      <c r="C7" t="s">
        <v>4420</v>
      </c>
      <c r="D7" t="s">
        <v>1295</v>
      </c>
      <c r="E7" t="s">
        <v>6975</v>
      </c>
    </row>
    <row r="8" spans="1:5" ht="15" customHeight="1" x14ac:dyDescent="0.25">
      <c r="A8" t="s">
        <v>6976</v>
      </c>
      <c r="B8" t="s">
        <v>41</v>
      </c>
      <c r="C8" t="s">
        <v>4429</v>
      </c>
      <c r="D8" t="s">
        <v>1295</v>
      </c>
      <c r="E8" t="s">
        <v>6977</v>
      </c>
    </row>
    <row r="9" spans="1:5" ht="15" customHeight="1" x14ac:dyDescent="0.25">
      <c r="A9" t="s">
        <v>6978</v>
      </c>
      <c r="B9" t="s">
        <v>3530</v>
      </c>
      <c r="C9" t="s">
        <v>4429</v>
      </c>
      <c r="D9" t="s">
        <v>1295</v>
      </c>
      <c r="E9" t="s">
        <v>6979</v>
      </c>
    </row>
    <row r="10" spans="1:5" ht="15" customHeight="1" x14ac:dyDescent="0.25">
      <c r="A10" t="s">
        <v>6980</v>
      </c>
      <c r="B10" t="s">
        <v>3518</v>
      </c>
      <c r="C10" t="s">
        <v>4429</v>
      </c>
      <c r="D10" t="s">
        <v>1295</v>
      </c>
      <c r="E10" t="s">
        <v>6981</v>
      </c>
    </row>
    <row r="11" spans="1:5" ht="15" customHeight="1" x14ac:dyDescent="0.25">
      <c r="A11" t="s">
        <v>6982</v>
      </c>
      <c r="B11" t="s">
        <v>41</v>
      </c>
      <c r="C11" t="s">
        <v>4411</v>
      </c>
      <c r="D11" t="s">
        <v>1295</v>
      </c>
      <c r="E11" t="s">
        <v>6983</v>
      </c>
    </row>
    <row r="12" spans="1:5" ht="15" customHeight="1" x14ac:dyDescent="0.25">
      <c r="A12" t="s">
        <v>6984</v>
      </c>
      <c r="B12" t="s">
        <v>3530</v>
      </c>
      <c r="C12" t="s">
        <v>4411</v>
      </c>
      <c r="D12" t="s">
        <v>1295</v>
      </c>
      <c r="E12" t="s">
        <v>6985</v>
      </c>
    </row>
    <row r="13" spans="1:5" ht="15" customHeight="1" x14ac:dyDescent="0.25">
      <c r="A13" t="s">
        <v>6986</v>
      </c>
      <c r="B13" t="s">
        <v>3518</v>
      </c>
      <c r="C13" t="s">
        <v>4411</v>
      </c>
      <c r="D13" t="s">
        <v>1295</v>
      </c>
      <c r="E13" t="s">
        <v>6987</v>
      </c>
    </row>
    <row r="14" spans="1:5" ht="15" customHeight="1" x14ac:dyDescent="0.25">
      <c r="A14" t="s">
        <v>6988</v>
      </c>
      <c r="B14" t="s">
        <v>41</v>
      </c>
      <c r="C14" t="s">
        <v>4436</v>
      </c>
      <c r="D14" t="s">
        <v>1295</v>
      </c>
      <c r="E14" t="s">
        <v>6989</v>
      </c>
    </row>
    <row r="15" spans="1:5" ht="15" customHeight="1" x14ac:dyDescent="0.25">
      <c r="A15" t="s">
        <v>6990</v>
      </c>
      <c r="B15" t="s">
        <v>3530</v>
      </c>
      <c r="C15" t="s">
        <v>4436</v>
      </c>
      <c r="D15" t="s">
        <v>1295</v>
      </c>
      <c r="E15" t="s">
        <v>6991</v>
      </c>
    </row>
    <row r="16" spans="1:5" ht="15" customHeight="1" x14ac:dyDescent="0.25">
      <c r="A16" t="s">
        <v>6992</v>
      </c>
      <c r="B16" t="s">
        <v>3518</v>
      </c>
      <c r="C16" t="s">
        <v>4436</v>
      </c>
      <c r="D16" t="s">
        <v>1295</v>
      </c>
      <c r="E16" t="s">
        <v>6993</v>
      </c>
    </row>
    <row r="17" spans="1:5" ht="15" customHeight="1" x14ac:dyDescent="0.25">
      <c r="A17" t="s">
        <v>6994</v>
      </c>
      <c r="B17" t="s">
        <v>41</v>
      </c>
      <c r="C17" t="s">
        <v>4443</v>
      </c>
      <c r="D17" t="s">
        <v>1295</v>
      </c>
      <c r="E17" t="s">
        <v>6995</v>
      </c>
    </row>
    <row r="18" spans="1:5" ht="15" customHeight="1" x14ac:dyDescent="0.25">
      <c r="A18" t="s">
        <v>6996</v>
      </c>
      <c r="B18" t="s">
        <v>3530</v>
      </c>
      <c r="C18" t="s">
        <v>4443</v>
      </c>
      <c r="D18" t="s">
        <v>1295</v>
      </c>
      <c r="E18" t="s">
        <v>6997</v>
      </c>
    </row>
    <row r="19" spans="1:5" ht="15" customHeight="1" x14ac:dyDescent="0.25">
      <c r="A19" t="s">
        <v>6998</v>
      </c>
      <c r="B19" t="s">
        <v>3518</v>
      </c>
      <c r="C19" t="s">
        <v>4443</v>
      </c>
      <c r="D19" t="s">
        <v>1295</v>
      </c>
      <c r="E19" t="s">
        <v>6999</v>
      </c>
    </row>
    <row r="20" spans="1:5" ht="15" customHeight="1" x14ac:dyDescent="0.25">
      <c r="A20" t="s">
        <v>7000</v>
      </c>
      <c r="B20" t="s">
        <v>41</v>
      </c>
      <c r="C20" t="s">
        <v>4443</v>
      </c>
      <c r="D20" t="s">
        <v>709</v>
      </c>
      <c r="E20" t="s">
        <v>7001</v>
      </c>
    </row>
    <row r="21" spans="1:5" ht="15" customHeight="1" x14ac:dyDescent="0.25">
      <c r="A21" t="s">
        <v>7002</v>
      </c>
      <c r="B21" t="s">
        <v>41</v>
      </c>
      <c r="C21" t="s">
        <v>4443</v>
      </c>
      <c r="D21" t="s">
        <v>709</v>
      </c>
      <c r="E21" t="s">
        <v>7003</v>
      </c>
    </row>
    <row r="22" spans="1:5" ht="15" customHeight="1" x14ac:dyDescent="0.25">
      <c r="A22" t="s">
        <v>7004</v>
      </c>
      <c r="B22" t="s">
        <v>3530</v>
      </c>
      <c r="C22" t="s">
        <v>4443</v>
      </c>
      <c r="D22" t="s">
        <v>709</v>
      </c>
      <c r="E22" t="s">
        <v>7005</v>
      </c>
    </row>
    <row r="23" spans="1:5" ht="15" customHeight="1" x14ac:dyDescent="0.25">
      <c r="A23" t="s">
        <v>7006</v>
      </c>
      <c r="B23" t="s">
        <v>3530</v>
      </c>
      <c r="C23" t="s">
        <v>4443</v>
      </c>
      <c r="D23" t="s">
        <v>709</v>
      </c>
      <c r="E23" t="s">
        <v>7007</v>
      </c>
    </row>
    <row r="24" spans="1:5" ht="15" customHeight="1" x14ac:dyDescent="0.25">
      <c r="A24" t="s">
        <v>7008</v>
      </c>
      <c r="B24" t="s">
        <v>3518</v>
      </c>
      <c r="C24" t="s">
        <v>4443</v>
      </c>
      <c r="D24" t="s">
        <v>709</v>
      </c>
      <c r="E24" t="s">
        <v>7009</v>
      </c>
    </row>
    <row r="25" spans="1:5" ht="15" customHeight="1" x14ac:dyDescent="0.25">
      <c r="A25" t="s">
        <v>7010</v>
      </c>
      <c r="B25" t="s">
        <v>3518</v>
      </c>
      <c r="C25" t="s">
        <v>4443</v>
      </c>
      <c r="D25" t="s">
        <v>709</v>
      </c>
      <c r="E25" t="s">
        <v>7011</v>
      </c>
    </row>
    <row r="26" spans="1:5" ht="15" customHeight="1" x14ac:dyDescent="0.25">
      <c r="A26" t="s">
        <v>7012</v>
      </c>
      <c r="B26" t="s">
        <v>3518</v>
      </c>
      <c r="C26" t="s">
        <v>4443</v>
      </c>
      <c r="D26" t="s">
        <v>709</v>
      </c>
      <c r="E26" t="s">
        <v>7013</v>
      </c>
    </row>
    <row r="27" spans="1:5" ht="15" customHeight="1" x14ac:dyDescent="0.25">
      <c r="A27" t="s">
        <v>7014</v>
      </c>
      <c r="B27" t="s">
        <v>3518</v>
      </c>
      <c r="C27" t="s">
        <v>4443</v>
      </c>
      <c r="D27" t="s">
        <v>709</v>
      </c>
      <c r="E27" t="s">
        <v>7015</v>
      </c>
    </row>
    <row r="28" spans="1:5" ht="15" customHeight="1" x14ac:dyDescent="0.25">
      <c r="A28" t="s">
        <v>7016</v>
      </c>
      <c r="B28" t="s">
        <v>3518</v>
      </c>
      <c r="C28" t="s">
        <v>4443</v>
      </c>
      <c r="D28" t="s">
        <v>709</v>
      </c>
      <c r="E28" t="s">
        <v>7017</v>
      </c>
    </row>
    <row r="29" spans="1:5" ht="15" customHeight="1" x14ac:dyDescent="0.25">
      <c r="A29" t="s">
        <v>7018</v>
      </c>
      <c r="B29" t="s">
        <v>3530</v>
      </c>
      <c r="C29" t="s">
        <v>4420</v>
      </c>
      <c r="D29" t="s">
        <v>919</v>
      </c>
      <c r="E29" t="s">
        <v>7019</v>
      </c>
    </row>
    <row r="30" spans="1:5" ht="15" customHeight="1" x14ac:dyDescent="0.25">
      <c r="A30" t="s">
        <v>7020</v>
      </c>
      <c r="B30" t="s">
        <v>3530</v>
      </c>
      <c r="C30" t="s">
        <v>7021</v>
      </c>
      <c r="D30" t="s">
        <v>919</v>
      </c>
      <c r="E30" t="s">
        <v>7022</v>
      </c>
    </row>
    <row r="31" spans="1:5" ht="15" customHeight="1" x14ac:dyDescent="0.25">
      <c r="A31" t="s">
        <v>7023</v>
      </c>
      <c r="B31" t="s">
        <v>41</v>
      </c>
      <c r="C31" t="s">
        <v>4449</v>
      </c>
      <c r="D31" t="s">
        <v>919</v>
      </c>
      <c r="E31" t="s">
        <v>7024</v>
      </c>
    </row>
    <row r="32" spans="1:5" ht="15" customHeight="1" x14ac:dyDescent="0.25">
      <c r="A32" t="s">
        <v>7025</v>
      </c>
      <c r="B32" t="s">
        <v>3518</v>
      </c>
      <c r="C32" t="s">
        <v>4443</v>
      </c>
      <c r="D32" t="s">
        <v>919</v>
      </c>
      <c r="E32" t="s">
        <v>7026</v>
      </c>
    </row>
    <row r="33" spans="1:5" ht="15" customHeight="1" x14ac:dyDescent="0.25">
      <c r="A33" t="s">
        <v>7027</v>
      </c>
      <c r="B33" t="s">
        <v>41</v>
      </c>
      <c r="C33" t="s">
        <v>4449</v>
      </c>
      <c r="D33" t="s">
        <v>919</v>
      </c>
      <c r="E33" t="s">
        <v>7028</v>
      </c>
    </row>
    <row r="34" spans="1:5" ht="15" customHeight="1" x14ac:dyDescent="0.25">
      <c r="A34" t="s">
        <v>7029</v>
      </c>
      <c r="B34" t="s">
        <v>3530</v>
      </c>
      <c r="C34" t="s">
        <v>4443</v>
      </c>
      <c r="D34" t="s">
        <v>919</v>
      </c>
      <c r="E34" t="s">
        <v>7030</v>
      </c>
    </row>
    <row r="35" spans="1:5" ht="15" customHeight="1" x14ac:dyDescent="0.25">
      <c r="A35" t="s">
        <v>7031</v>
      </c>
      <c r="B35" t="s">
        <v>41</v>
      </c>
      <c r="C35" t="s">
        <v>4443</v>
      </c>
      <c r="D35" t="s">
        <v>919</v>
      </c>
      <c r="E35" t="s">
        <v>7032</v>
      </c>
    </row>
    <row r="36" spans="1:5" ht="15" customHeight="1" x14ac:dyDescent="0.25">
      <c r="A36" t="s">
        <v>7033</v>
      </c>
      <c r="B36" t="s">
        <v>41</v>
      </c>
      <c r="C36" t="s">
        <v>4443</v>
      </c>
      <c r="D36" t="s">
        <v>919</v>
      </c>
      <c r="E36" t="s">
        <v>7034</v>
      </c>
    </row>
    <row r="37" spans="1:5" ht="15" customHeight="1" x14ac:dyDescent="0.25">
      <c r="A37" t="s">
        <v>7035</v>
      </c>
      <c r="B37" t="s">
        <v>41</v>
      </c>
      <c r="C37" t="s">
        <v>4422</v>
      </c>
      <c r="D37" t="s">
        <v>1299</v>
      </c>
      <c r="E37" t="s">
        <v>7036</v>
      </c>
    </row>
    <row r="38" spans="1:5" ht="15" customHeight="1" x14ac:dyDescent="0.25">
      <c r="A38" t="s">
        <v>7037</v>
      </c>
      <c r="B38" t="s">
        <v>3530</v>
      </c>
      <c r="C38" t="s">
        <v>4422</v>
      </c>
      <c r="D38" t="s">
        <v>1299</v>
      </c>
      <c r="E38" t="s">
        <v>7038</v>
      </c>
    </row>
    <row r="39" spans="1:5" ht="15" customHeight="1" x14ac:dyDescent="0.25">
      <c r="A39" t="s">
        <v>7039</v>
      </c>
      <c r="B39" t="s">
        <v>3518</v>
      </c>
      <c r="C39" t="s">
        <v>4422</v>
      </c>
      <c r="D39" t="s">
        <v>1299</v>
      </c>
      <c r="E39" t="s">
        <v>7040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5064</v>
      </c>
      <c r="E1" s="10" t="s">
        <v>5065</v>
      </c>
      <c r="F1" s="10" t="s">
        <v>5066</v>
      </c>
      <c r="G1" t="s">
        <v>3757</v>
      </c>
      <c r="H1" t="s">
        <v>1</v>
      </c>
      <c r="I1" t="s">
        <v>5067</v>
      </c>
      <c r="J1" t="s">
        <v>7041</v>
      </c>
      <c r="K1" t="s">
        <v>171</v>
      </c>
      <c r="L1" t="s">
        <v>5069</v>
      </c>
      <c r="M1" t="s">
        <v>3758</v>
      </c>
    </row>
    <row r="2" spans="1:13" ht="15" customHeight="1" x14ac:dyDescent="0.25">
      <c r="A2" t="s">
        <v>7042</v>
      </c>
      <c r="B2" t="s">
        <v>4015</v>
      </c>
      <c r="C2" t="s">
        <v>4410</v>
      </c>
      <c r="D2">
        <v>2</v>
      </c>
      <c r="E2" s="10">
        <v>30</v>
      </c>
      <c r="F2" s="10">
        <v>34</v>
      </c>
      <c r="G2" t="s">
        <v>7043</v>
      </c>
      <c r="H2" t="s">
        <v>2133</v>
      </c>
      <c r="I2" t="s">
        <v>4443</v>
      </c>
      <c r="J2" t="s">
        <v>7044</v>
      </c>
      <c r="K2" t="s">
        <v>7042</v>
      </c>
      <c r="L2" t="s">
        <v>3467</v>
      </c>
    </row>
    <row r="3" spans="1:13" ht="15" customHeight="1" x14ac:dyDescent="0.25">
      <c r="A3" t="s">
        <v>7045</v>
      </c>
      <c r="B3" t="s">
        <v>4015</v>
      </c>
      <c r="C3" t="s">
        <v>4414</v>
      </c>
      <c r="D3">
        <v>2</v>
      </c>
      <c r="E3" s="10">
        <v>64</v>
      </c>
      <c r="F3" s="10">
        <v>70</v>
      </c>
      <c r="G3" t="s">
        <v>7043</v>
      </c>
      <c r="H3" t="s">
        <v>2133</v>
      </c>
      <c r="I3" t="s">
        <v>4443</v>
      </c>
      <c r="J3" t="s">
        <v>7046</v>
      </c>
      <c r="K3" t="s">
        <v>7047</v>
      </c>
      <c r="L3" t="s">
        <v>3467</v>
      </c>
    </row>
    <row r="4" spans="1:13" ht="15" customHeight="1" x14ac:dyDescent="0.25">
      <c r="A4" t="s">
        <v>7048</v>
      </c>
      <c r="B4" t="s">
        <v>4015</v>
      </c>
      <c r="C4" t="s">
        <v>5073</v>
      </c>
      <c r="D4">
        <v>7</v>
      </c>
      <c r="E4" s="10">
        <v>150</v>
      </c>
      <c r="F4" s="10">
        <v>160</v>
      </c>
      <c r="G4" t="s">
        <v>7043</v>
      </c>
      <c r="H4" t="s">
        <v>2133</v>
      </c>
      <c r="I4" t="s">
        <v>4443</v>
      </c>
      <c r="J4" t="s">
        <v>7049</v>
      </c>
      <c r="K4" t="s">
        <v>7050</v>
      </c>
      <c r="L4" t="s">
        <v>3467</v>
      </c>
    </row>
    <row r="5" spans="1:13" ht="15" customHeight="1" x14ac:dyDescent="0.25">
      <c r="A5" t="s">
        <v>5129</v>
      </c>
      <c r="B5" t="s">
        <v>4015</v>
      </c>
      <c r="C5" t="s">
        <v>4410</v>
      </c>
      <c r="D5" t="s">
        <v>3467</v>
      </c>
      <c r="E5" s="10">
        <v>20</v>
      </c>
      <c r="F5" s="10">
        <v>24</v>
      </c>
      <c r="G5" t="s">
        <v>3467</v>
      </c>
      <c r="H5" t="s">
        <v>160</v>
      </c>
      <c r="I5" t="s">
        <v>4443</v>
      </c>
      <c r="J5" t="s">
        <v>7051</v>
      </c>
      <c r="K5" t="s">
        <v>5129</v>
      </c>
      <c r="L5" t="s">
        <v>3467</v>
      </c>
    </row>
    <row r="6" spans="1:13" ht="15" customHeight="1" x14ac:dyDescent="0.25">
      <c r="A6" t="s">
        <v>5120</v>
      </c>
      <c r="B6" t="s">
        <v>4015</v>
      </c>
      <c r="C6" t="s">
        <v>4410</v>
      </c>
      <c r="D6">
        <v>2</v>
      </c>
      <c r="E6" s="10">
        <v>20</v>
      </c>
      <c r="F6" s="10">
        <v>24</v>
      </c>
      <c r="G6" t="s">
        <v>7052</v>
      </c>
      <c r="H6" t="s">
        <v>160</v>
      </c>
      <c r="I6" t="s">
        <v>4443</v>
      </c>
      <c r="J6" t="s">
        <v>7053</v>
      </c>
      <c r="K6" t="s">
        <v>5120</v>
      </c>
      <c r="L6" t="s">
        <v>3467</v>
      </c>
    </row>
    <row r="7" spans="1:13" ht="15" customHeight="1" x14ac:dyDescent="0.25">
      <c r="A7" t="s">
        <v>5127</v>
      </c>
      <c r="B7" t="s">
        <v>4015</v>
      </c>
      <c r="C7" t="s">
        <v>4410</v>
      </c>
      <c r="D7" t="s">
        <v>3467</v>
      </c>
      <c r="E7" s="10">
        <v>20</v>
      </c>
      <c r="F7" s="10">
        <v>24</v>
      </c>
      <c r="G7" t="s">
        <v>3467</v>
      </c>
      <c r="H7" t="s">
        <v>160</v>
      </c>
      <c r="I7" t="s">
        <v>4443</v>
      </c>
      <c r="J7" t="s">
        <v>7054</v>
      </c>
      <c r="K7" t="s">
        <v>5127</v>
      </c>
      <c r="L7" t="s">
        <v>3467</v>
      </c>
    </row>
    <row r="8" spans="1:13" ht="15" customHeight="1" x14ac:dyDescent="0.25">
      <c r="A8" t="s">
        <v>7055</v>
      </c>
      <c r="B8" t="s">
        <v>4015</v>
      </c>
      <c r="C8" t="s">
        <v>4414</v>
      </c>
      <c r="D8">
        <v>3</v>
      </c>
      <c r="E8" s="10">
        <v>48</v>
      </c>
      <c r="F8" s="10">
        <v>54</v>
      </c>
      <c r="G8" t="s">
        <v>3467</v>
      </c>
      <c r="H8" t="s">
        <v>160</v>
      </c>
      <c r="I8" t="s">
        <v>4443</v>
      </c>
      <c r="J8" t="s">
        <v>7056</v>
      </c>
      <c r="K8" t="s">
        <v>7057</v>
      </c>
      <c r="L8" t="s">
        <v>3467</v>
      </c>
    </row>
    <row r="9" spans="1:13" ht="15" customHeight="1" x14ac:dyDescent="0.25">
      <c r="A9" t="s">
        <v>7058</v>
      </c>
      <c r="B9" t="s">
        <v>4015</v>
      </c>
      <c r="C9" t="s">
        <v>5073</v>
      </c>
      <c r="D9">
        <v>7</v>
      </c>
      <c r="E9" s="10">
        <v>130</v>
      </c>
      <c r="F9" s="10">
        <v>140</v>
      </c>
      <c r="G9" t="s">
        <v>7059</v>
      </c>
      <c r="H9" t="s">
        <v>160</v>
      </c>
      <c r="I9" t="s">
        <v>4443</v>
      </c>
      <c r="J9" t="s">
        <v>7060</v>
      </c>
      <c r="K9" t="s">
        <v>7061</v>
      </c>
      <c r="L9" t="s">
        <v>3467</v>
      </c>
      <c r="M9" t="s">
        <v>4680</v>
      </c>
    </row>
    <row r="10" spans="1:13" ht="15" customHeight="1" x14ac:dyDescent="0.25">
      <c r="A10" t="s">
        <v>3869</v>
      </c>
      <c r="B10" t="s">
        <v>6915</v>
      </c>
      <c r="C10" t="s">
        <v>4410</v>
      </c>
      <c r="D10">
        <v>1</v>
      </c>
      <c r="E10" s="10">
        <v>20</v>
      </c>
      <c r="F10" s="10">
        <v>24</v>
      </c>
      <c r="G10" t="s">
        <v>5294</v>
      </c>
      <c r="H10" t="s">
        <v>501</v>
      </c>
      <c r="I10" t="s">
        <v>4446</v>
      </c>
      <c r="J10" t="s">
        <v>7062</v>
      </c>
      <c r="K10" t="s">
        <v>3869</v>
      </c>
      <c r="L10" t="s">
        <v>3467</v>
      </c>
    </row>
    <row r="11" spans="1:13" ht="15" customHeight="1" x14ac:dyDescent="0.25">
      <c r="A11" t="s">
        <v>7063</v>
      </c>
      <c r="B11" t="s">
        <v>6915</v>
      </c>
      <c r="C11" t="s">
        <v>4410</v>
      </c>
      <c r="D11">
        <v>2</v>
      </c>
      <c r="E11" s="10">
        <v>30</v>
      </c>
      <c r="F11" s="10">
        <v>34</v>
      </c>
      <c r="G11" t="s">
        <v>5294</v>
      </c>
      <c r="H11" t="s">
        <v>501</v>
      </c>
      <c r="I11" t="s">
        <v>4446</v>
      </c>
      <c r="J11" t="s">
        <v>7064</v>
      </c>
      <c r="K11" t="s">
        <v>7065</v>
      </c>
      <c r="L11" t="s">
        <v>3467</v>
      </c>
    </row>
    <row r="12" spans="1:13" ht="15" customHeight="1" x14ac:dyDescent="0.25">
      <c r="A12" t="s">
        <v>7066</v>
      </c>
      <c r="B12" t="s">
        <v>6915</v>
      </c>
      <c r="C12" t="s">
        <v>4410</v>
      </c>
      <c r="D12">
        <v>3</v>
      </c>
      <c r="E12" s="10">
        <v>40</v>
      </c>
      <c r="F12" s="10">
        <v>44</v>
      </c>
      <c r="G12" t="s">
        <v>7067</v>
      </c>
      <c r="H12" t="s">
        <v>501</v>
      </c>
      <c r="I12" t="s">
        <v>4446</v>
      </c>
      <c r="J12" t="s">
        <v>7068</v>
      </c>
      <c r="K12" t="s">
        <v>7069</v>
      </c>
      <c r="L12" t="s">
        <v>3467</v>
      </c>
    </row>
    <row r="13" spans="1:13" ht="15" customHeight="1" x14ac:dyDescent="0.25">
      <c r="A13" t="s">
        <v>7070</v>
      </c>
      <c r="B13" t="s">
        <v>6915</v>
      </c>
      <c r="C13" t="s">
        <v>4410</v>
      </c>
      <c r="D13" t="s">
        <v>3467</v>
      </c>
      <c r="E13" s="10">
        <v>12</v>
      </c>
      <c r="F13" s="10">
        <v>14</v>
      </c>
      <c r="G13" t="s">
        <v>5294</v>
      </c>
      <c r="H13" t="s">
        <v>501</v>
      </c>
      <c r="I13" t="s">
        <v>4446</v>
      </c>
      <c r="J13" t="s">
        <v>7071</v>
      </c>
      <c r="K13" t="s">
        <v>7070</v>
      </c>
      <c r="L13" t="s">
        <v>3467</v>
      </c>
    </row>
    <row r="14" spans="1:13" ht="15" customHeight="1" x14ac:dyDescent="0.25">
      <c r="A14" t="s">
        <v>3877</v>
      </c>
      <c r="B14" t="s">
        <v>6915</v>
      </c>
      <c r="C14" t="s">
        <v>4414</v>
      </c>
      <c r="D14">
        <v>3</v>
      </c>
      <c r="E14" s="10">
        <v>130</v>
      </c>
      <c r="F14" s="10">
        <v>140</v>
      </c>
      <c r="G14" t="s">
        <v>7072</v>
      </c>
      <c r="H14" t="s">
        <v>501</v>
      </c>
      <c r="I14" t="s">
        <v>4429</v>
      </c>
      <c r="J14" t="s">
        <v>7073</v>
      </c>
      <c r="K14" t="s">
        <v>3877</v>
      </c>
      <c r="L14" t="s">
        <v>3467</v>
      </c>
    </row>
    <row r="15" spans="1:13" ht="15" customHeight="1" x14ac:dyDescent="0.25">
      <c r="A15" t="s">
        <v>7074</v>
      </c>
      <c r="B15" t="s">
        <v>6915</v>
      </c>
      <c r="C15" t="s">
        <v>4414</v>
      </c>
      <c r="D15" t="s">
        <v>3467</v>
      </c>
      <c r="E15" s="10">
        <v>130</v>
      </c>
      <c r="F15" s="10">
        <v>140</v>
      </c>
      <c r="G15" t="s">
        <v>7072</v>
      </c>
      <c r="H15" t="s">
        <v>501</v>
      </c>
      <c r="I15" t="s">
        <v>4429</v>
      </c>
      <c r="J15" t="s">
        <v>7075</v>
      </c>
      <c r="K15" t="s">
        <v>7076</v>
      </c>
      <c r="L15" t="s">
        <v>3877</v>
      </c>
    </row>
    <row r="16" spans="1:13" ht="15" customHeight="1" x14ac:dyDescent="0.25">
      <c r="A16" t="s">
        <v>7077</v>
      </c>
      <c r="B16" t="s">
        <v>6915</v>
      </c>
      <c r="C16" t="s">
        <v>5073</v>
      </c>
      <c r="D16">
        <v>5</v>
      </c>
      <c r="E16" s="10">
        <v>100</v>
      </c>
      <c r="F16" s="10">
        <v>110</v>
      </c>
      <c r="G16" t="s">
        <v>7078</v>
      </c>
      <c r="H16" t="s">
        <v>501</v>
      </c>
      <c r="I16" t="s">
        <v>4436</v>
      </c>
      <c r="J16" t="s">
        <v>7079</v>
      </c>
      <c r="K16" t="s">
        <v>7080</v>
      </c>
      <c r="L16" t="s">
        <v>3467</v>
      </c>
    </row>
    <row r="17" spans="1:13" ht="15" customHeight="1" x14ac:dyDescent="0.25">
      <c r="A17" t="s">
        <v>7081</v>
      </c>
      <c r="B17" t="s">
        <v>4037</v>
      </c>
      <c r="C17" t="s">
        <v>4410</v>
      </c>
      <c r="D17">
        <v>1</v>
      </c>
      <c r="E17" s="10">
        <v>30</v>
      </c>
      <c r="F17" s="10">
        <v>34</v>
      </c>
      <c r="G17" t="s">
        <v>5307</v>
      </c>
      <c r="H17" t="s">
        <v>2155</v>
      </c>
      <c r="I17" t="s">
        <v>4443</v>
      </c>
      <c r="J17" t="s">
        <v>7082</v>
      </c>
      <c r="K17" t="s">
        <v>7081</v>
      </c>
      <c r="L17" t="s">
        <v>3467</v>
      </c>
      <c r="M17" t="s">
        <v>3868</v>
      </c>
    </row>
    <row r="18" spans="1:13" ht="15" customHeight="1" x14ac:dyDescent="0.25">
      <c r="A18" t="s">
        <v>7083</v>
      </c>
      <c r="B18" t="s">
        <v>4037</v>
      </c>
      <c r="C18" t="s">
        <v>4414</v>
      </c>
      <c r="D18">
        <v>3</v>
      </c>
      <c r="E18" s="10">
        <v>40</v>
      </c>
      <c r="F18" s="10">
        <v>46</v>
      </c>
      <c r="G18" t="s">
        <v>7084</v>
      </c>
      <c r="H18" t="s">
        <v>2155</v>
      </c>
      <c r="I18" t="s">
        <v>4443</v>
      </c>
      <c r="J18" t="s">
        <v>7085</v>
      </c>
      <c r="K18" t="s">
        <v>7083</v>
      </c>
      <c r="L18" t="s">
        <v>3467</v>
      </c>
    </row>
    <row r="19" spans="1:13" ht="15" customHeight="1" x14ac:dyDescent="0.25">
      <c r="A19" t="s">
        <v>7086</v>
      </c>
      <c r="B19" t="s">
        <v>4037</v>
      </c>
      <c r="C19" t="s">
        <v>4414</v>
      </c>
      <c r="D19">
        <v>4</v>
      </c>
      <c r="E19" s="10">
        <v>60</v>
      </c>
      <c r="F19" s="10">
        <v>66</v>
      </c>
      <c r="G19" t="s">
        <v>5307</v>
      </c>
      <c r="H19" t="s">
        <v>2155</v>
      </c>
      <c r="I19" t="s">
        <v>4443</v>
      </c>
      <c r="J19" t="s">
        <v>7087</v>
      </c>
      <c r="K19" t="s">
        <v>7086</v>
      </c>
      <c r="L19" t="s">
        <v>3467</v>
      </c>
    </row>
    <row r="20" spans="1:13" ht="15" customHeight="1" x14ac:dyDescent="0.25">
      <c r="A20" t="s">
        <v>4004</v>
      </c>
      <c r="B20" t="s">
        <v>4037</v>
      </c>
      <c r="C20" t="s">
        <v>5073</v>
      </c>
      <c r="D20">
        <v>9</v>
      </c>
      <c r="E20" s="10">
        <v>250</v>
      </c>
      <c r="F20" s="10">
        <v>270</v>
      </c>
      <c r="G20" t="s">
        <v>7088</v>
      </c>
      <c r="H20" t="s">
        <v>2155</v>
      </c>
      <c r="I20" t="s">
        <v>4443</v>
      </c>
      <c r="J20" t="s">
        <v>7089</v>
      </c>
      <c r="K20" t="s">
        <v>4004</v>
      </c>
      <c r="L20" t="s">
        <v>3467</v>
      </c>
      <c r="M20" t="s">
        <v>7090</v>
      </c>
    </row>
    <row r="21" spans="1:13" ht="15" customHeight="1" x14ac:dyDescent="0.25">
      <c r="A21" t="s">
        <v>3824</v>
      </c>
      <c r="B21" t="s">
        <v>5070</v>
      </c>
      <c r="C21" t="s">
        <v>4410</v>
      </c>
      <c r="D21">
        <v>2</v>
      </c>
      <c r="E21" s="10">
        <v>48</v>
      </c>
      <c r="F21" s="10">
        <v>54</v>
      </c>
      <c r="G21" t="s">
        <v>3467</v>
      </c>
      <c r="H21" t="s">
        <v>90</v>
      </c>
      <c r="I21" t="s">
        <v>4443</v>
      </c>
      <c r="J21" t="s">
        <v>7091</v>
      </c>
      <c r="K21" t="s">
        <v>3824</v>
      </c>
      <c r="L21" t="s">
        <v>3467</v>
      </c>
    </row>
    <row r="22" spans="1:13" ht="15" customHeight="1" x14ac:dyDescent="0.25">
      <c r="A22" t="s">
        <v>3853</v>
      </c>
      <c r="B22" t="s">
        <v>5070</v>
      </c>
      <c r="C22" t="s">
        <v>4414</v>
      </c>
      <c r="D22">
        <v>6</v>
      </c>
      <c r="E22" s="10">
        <v>114</v>
      </c>
      <c r="F22" s="10">
        <v>120</v>
      </c>
      <c r="G22" t="s">
        <v>3467</v>
      </c>
      <c r="H22" t="s">
        <v>90</v>
      </c>
      <c r="I22" t="s">
        <v>4443</v>
      </c>
      <c r="J22" t="s">
        <v>7092</v>
      </c>
      <c r="K22" t="s">
        <v>3853</v>
      </c>
      <c r="L22" t="s">
        <v>3467</v>
      </c>
    </row>
    <row r="23" spans="1:13" ht="15" customHeight="1" x14ac:dyDescent="0.25">
      <c r="A23" t="s">
        <v>3861</v>
      </c>
      <c r="B23" t="s">
        <v>5070</v>
      </c>
      <c r="C23" t="s">
        <v>5073</v>
      </c>
      <c r="D23">
        <v>9</v>
      </c>
      <c r="E23" s="10">
        <v>999</v>
      </c>
      <c r="F23" s="10">
        <v>999</v>
      </c>
      <c r="G23" t="s">
        <v>5074</v>
      </c>
      <c r="H23" t="s">
        <v>90</v>
      </c>
      <c r="I23" t="s">
        <v>4443</v>
      </c>
      <c r="J23" t="s">
        <v>7093</v>
      </c>
      <c r="K23" t="s">
        <v>3861</v>
      </c>
      <c r="L23" t="s">
        <v>3467</v>
      </c>
    </row>
    <row r="24" spans="1:13" ht="15" customHeight="1" x14ac:dyDescent="0.25">
      <c r="A24" t="s">
        <v>7094</v>
      </c>
      <c r="B24" t="s">
        <v>6915</v>
      </c>
      <c r="C24" t="s">
        <v>4410</v>
      </c>
      <c r="D24">
        <v>1</v>
      </c>
      <c r="E24" s="10">
        <v>20</v>
      </c>
      <c r="F24" s="10">
        <v>24</v>
      </c>
      <c r="G24" t="s">
        <v>7095</v>
      </c>
      <c r="H24" t="s">
        <v>2362</v>
      </c>
      <c r="I24" t="s">
        <v>4422</v>
      </c>
      <c r="J24" t="s">
        <v>7096</v>
      </c>
      <c r="K24" t="s">
        <v>7094</v>
      </c>
      <c r="L24" t="s">
        <v>3467</v>
      </c>
      <c r="M24" t="s">
        <v>3782</v>
      </c>
    </row>
    <row r="25" spans="1:13" ht="15" customHeight="1" x14ac:dyDescent="0.25">
      <c r="A25" t="s">
        <v>7097</v>
      </c>
      <c r="B25" t="s">
        <v>6915</v>
      </c>
      <c r="C25" t="s">
        <v>4414</v>
      </c>
      <c r="D25">
        <v>3</v>
      </c>
      <c r="E25" s="10">
        <v>48</v>
      </c>
      <c r="F25" s="10">
        <v>54</v>
      </c>
      <c r="G25" t="s">
        <v>3467</v>
      </c>
      <c r="H25" t="s">
        <v>2362</v>
      </c>
      <c r="I25" t="s">
        <v>4443</v>
      </c>
      <c r="J25" t="s">
        <v>7098</v>
      </c>
      <c r="K25" t="s">
        <v>7097</v>
      </c>
      <c r="L25" t="s">
        <v>3467</v>
      </c>
    </row>
    <row r="26" spans="1:13" ht="15" customHeight="1" x14ac:dyDescent="0.25">
      <c r="A26" t="s">
        <v>7099</v>
      </c>
      <c r="B26" t="s">
        <v>6915</v>
      </c>
      <c r="C26" t="s">
        <v>5073</v>
      </c>
      <c r="D26">
        <v>3</v>
      </c>
      <c r="E26" s="10">
        <v>60</v>
      </c>
      <c r="F26" s="10">
        <v>66</v>
      </c>
      <c r="G26" t="s">
        <v>7100</v>
      </c>
      <c r="H26" t="s">
        <v>2362</v>
      </c>
      <c r="I26" t="s">
        <v>4443</v>
      </c>
      <c r="J26" t="s">
        <v>7101</v>
      </c>
      <c r="K26" t="s">
        <v>7099</v>
      </c>
      <c r="L26" t="s">
        <v>3467</v>
      </c>
    </row>
    <row r="27" spans="1:13" ht="15" customHeight="1" x14ac:dyDescent="0.25">
      <c r="A27" t="s">
        <v>5076</v>
      </c>
      <c r="B27" t="s">
        <v>5070</v>
      </c>
      <c r="C27" t="s">
        <v>4410</v>
      </c>
      <c r="D27">
        <v>3</v>
      </c>
      <c r="E27" s="10">
        <v>40</v>
      </c>
      <c r="F27" s="10">
        <v>44</v>
      </c>
      <c r="G27" t="s">
        <v>3467</v>
      </c>
      <c r="H27" t="s">
        <v>90</v>
      </c>
      <c r="I27" t="s">
        <v>4443</v>
      </c>
      <c r="J27" t="s">
        <v>7102</v>
      </c>
      <c r="K27" t="s">
        <v>5078</v>
      </c>
      <c r="L27" t="s">
        <v>3467</v>
      </c>
    </row>
    <row r="28" spans="1:13" ht="15" customHeight="1" x14ac:dyDescent="0.25">
      <c r="A28" t="s">
        <v>5079</v>
      </c>
      <c r="B28" t="s">
        <v>5070</v>
      </c>
      <c r="C28" t="s">
        <v>4410</v>
      </c>
      <c r="D28">
        <v>1</v>
      </c>
      <c r="E28" s="10">
        <v>10</v>
      </c>
      <c r="F28" s="10">
        <v>15</v>
      </c>
      <c r="G28" t="s">
        <v>5080</v>
      </c>
      <c r="H28" t="s">
        <v>90</v>
      </c>
      <c r="I28" t="s">
        <v>4443</v>
      </c>
      <c r="J28" t="s">
        <v>7103</v>
      </c>
      <c r="K28" t="s">
        <v>5082</v>
      </c>
      <c r="L28" t="s">
        <v>3467</v>
      </c>
      <c r="M28" t="s">
        <v>4680</v>
      </c>
    </row>
    <row r="29" spans="1:13" ht="15" customHeight="1" x14ac:dyDescent="0.25">
      <c r="A29" t="s">
        <v>5083</v>
      </c>
      <c r="B29" t="s">
        <v>5070</v>
      </c>
      <c r="C29" t="s">
        <v>4410</v>
      </c>
      <c r="D29">
        <v>1</v>
      </c>
      <c r="E29" s="10">
        <v>11</v>
      </c>
      <c r="F29" s="10">
        <v>17</v>
      </c>
      <c r="G29" t="s">
        <v>5080</v>
      </c>
      <c r="H29" t="s">
        <v>90</v>
      </c>
      <c r="I29" t="s">
        <v>4443</v>
      </c>
      <c r="J29" t="s">
        <v>7104</v>
      </c>
      <c r="K29" t="s">
        <v>5085</v>
      </c>
      <c r="L29" t="s">
        <v>3467</v>
      </c>
      <c r="M29" t="s">
        <v>4680</v>
      </c>
    </row>
    <row r="30" spans="1:13" ht="15" customHeight="1" x14ac:dyDescent="0.25">
      <c r="A30" t="s">
        <v>5086</v>
      </c>
      <c r="B30" t="s">
        <v>5070</v>
      </c>
      <c r="C30" t="s">
        <v>4410</v>
      </c>
      <c r="D30">
        <v>4</v>
      </c>
      <c r="E30" s="10">
        <v>65</v>
      </c>
      <c r="F30" s="10">
        <v>69</v>
      </c>
      <c r="G30" t="s">
        <v>5087</v>
      </c>
      <c r="H30" t="s">
        <v>90</v>
      </c>
      <c r="I30" t="s">
        <v>4443</v>
      </c>
      <c r="J30" t="s">
        <v>7105</v>
      </c>
      <c r="K30" t="s">
        <v>5089</v>
      </c>
      <c r="L30" t="s">
        <v>3467</v>
      </c>
      <c r="M30" t="s">
        <v>3849</v>
      </c>
    </row>
    <row r="31" spans="1:13" ht="15" customHeight="1" x14ac:dyDescent="0.25">
      <c r="A31" t="s">
        <v>5090</v>
      </c>
      <c r="B31" t="s">
        <v>5070</v>
      </c>
      <c r="C31" t="s">
        <v>4410</v>
      </c>
      <c r="D31">
        <v>2</v>
      </c>
      <c r="E31" s="10">
        <v>28</v>
      </c>
      <c r="F31" s="10">
        <v>32</v>
      </c>
      <c r="G31" t="s">
        <v>3467</v>
      </c>
      <c r="H31" t="s">
        <v>90</v>
      </c>
      <c r="I31" t="s">
        <v>4443</v>
      </c>
      <c r="J31" t="s">
        <v>7106</v>
      </c>
      <c r="K31" t="s">
        <v>5092</v>
      </c>
      <c r="L31" t="s">
        <v>3467</v>
      </c>
      <c r="M31" t="s">
        <v>3849</v>
      </c>
    </row>
    <row r="32" spans="1:13" ht="15" customHeight="1" x14ac:dyDescent="0.25">
      <c r="A32" t="s">
        <v>5093</v>
      </c>
      <c r="B32" t="s">
        <v>5070</v>
      </c>
      <c r="C32" t="s">
        <v>4410</v>
      </c>
      <c r="D32">
        <v>1</v>
      </c>
      <c r="E32" s="10">
        <v>8</v>
      </c>
      <c r="F32" s="10">
        <v>12</v>
      </c>
      <c r="G32" t="s">
        <v>3467</v>
      </c>
      <c r="H32" t="s">
        <v>90</v>
      </c>
      <c r="I32" t="s">
        <v>4443</v>
      </c>
      <c r="J32" t="s">
        <v>7107</v>
      </c>
      <c r="K32" t="s">
        <v>5095</v>
      </c>
      <c r="L32" t="s">
        <v>3467</v>
      </c>
      <c r="M32" t="s">
        <v>3849</v>
      </c>
    </row>
    <row r="33" spans="1:13" ht="15" customHeight="1" x14ac:dyDescent="0.25">
      <c r="A33" t="s">
        <v>3846</v>
      </c>
      <c r="B33" t="s">
        <v>5070</v>
      </c>
      <c r="C33" t="s">
        <v>4410</v>
      </c>
      <c r="D33">
        <v>4</v>
      </c>
      <c r="E33" s="10">
        <v>64</v>
      </c>
      <c r="F33" s="10">
        <v>70</v>
      </c>
      <c r="G33" t="s">
        <v>5096</v>
      </c>
      <c r="H33" t="s">
        <v>90</v>
      </c>
      <c r="I33" t="s">
        <v>4443</v>
      </c>
      <c r="J33" t="s">
        <v>7108</v>
      </c>
      <c r="K33" t="s">
        <v>3848</v>
      </c>
      <c r="L33" t="s">
        <v>3467</v>
      </c>
      <c r="M33" t="s">
        <v>3849</v>
      </c>
    </row>
    <row r="34" spans="1:13" ht="15" customHeight="1" x14ac:dyDescent="0.25">
      <c r="A34" t="s">
        <v>5098</v>
      </c>
      <c r="B34" t="s">
        <v>5070</v>
      </c>
      <c r="C34" t="s">
        <v>4410</v>
      </c>
      <c r="D34">
        <v>2</v>
      </c>
      <c r="E34" s="10">
        <v>28</v>
      </c>
      <c r="F34" s="10">
        <v>32</v>
      </c>
      <c r="G34" t="s">
        <v>3467</v>
      </c>
      <c r="H34" t="s">
        <v>90</v>
      </c>
      <c r="I34" t="s">
        <v>4443</v>
      </c>
      <c r="J34" t="s">
        <v>7109</v>
      </c>
      <c r="K34" t="s">
        <v>5100</v>
      </c>
      <c r="L34" t="s">
        <v>3467</v>
      </c>
      <c r="M34" t="s">
        <v>3849</v>
      </c>
    </row>
    <row r="35" spans="1:13" ht="15" customHeight="1" x14ac:dyDescent="0.25">
      <c r="A35" t="s">
        <v>5101</v>
      </c>
      <c r="B35" t="s">
        <v>5070</v>
      </c>
      <c r="C35" t="s">
        <v>4410</v>
      </c>
      <c r="D35">
        <v>1</v>
      </c>
      <c r="E35" s="10">
        <v>10</v>
      </c>
      <c r="F35" s="10">
        <v>14</v>
      </c>
      <c r="G35" t="s">
        <v>3467</v>
      </c>
      <c r="H35" t="s">
        <v>90</v>
      </c>
      <c r="I35" t="s">
        <v>4443</v>
      </c>
      <c r="J35" t="s">
        <v>7110</v>
      </c>
      <c r="K35" t="s">
        <v>5103</v>
      </c>
      <c r="L35" t="s">
        <v>3467</v>
      </c>
      <c r="M35" t="s">
        <v>3849</v>
      </c>
    </row>
    <row r="36" spans="1:13" ht="15" customHeight="1" x14ac:dyDescent="0.25">
      <c r="A36" t="s">
        <v>7111</v>
      </c>
      <c r="B36" t="s">
        <v>6915</v>
      </c>
      <c r="C36" t="s">
        <v>5073</v>
      </c>
      <c r="D36">
        <v>1</v>
      </c>
      <c r="E36" s="10">
        <v>20</v>
      </c>
      <c r="F36" s="10">
        <v>24</v>
      </c>
      <c r="G36" t="s">
        <v>3467</v>
      </c>
      <c r="H36" t="s">
        <v>1650</v>
      </c>
      <c r="I36" t="s">
        <v>4422</v>
      </c>
      <c r="J36" t="s">
        <v>7112</v>
      </c>
      <c r="K36" t="s">
        <v>7111</v>
      </c>
      <c r="L36" t="s">
        <v>3467</v>
      </c>
      <c r="M36" t="s">
        <v>7113</v>
      </c>
    </row>
    <row r="37" spans="1:13" ht="15" customHeight="1" x14ac:dyDescent="0.25">
      <c r="A37" t="s">
        <v>7114</v>
      </c>
      <c r="B37" t="s">
        <v>6915</v>
      </c>
      <c r="C37" t="s">
        <v>4410</v>
      </c>
      <c r="D37">
        <v>0.5</v>
      </c>
      <c r="E37" s="10">
        <v>4</v>
      </c>
      <c r="F37" s="10">
        <v>6</v>
      </c>
      <c r="G37" t="s">
        <v>3467</v>
      </c>
      <c r="H37" t="s">
        <v>1650</v>
      </c>
      <c r="I37" t="s">
        <v>3467</v>
      </c>
      <c r="J37" t="s">
        <v>7115</v>
      </c>
      <c r="K37" t="s">
        <v>7114</v>
      </c>
      <c r="L37" t="s">
        <v>3467</v>
      </c>
      <c r="M37" t="s">
        <v>4680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5104</v>
      </c>
      <c r="C1" t="s">
        <v>3752</v>
      </c>
      <c r="D1" t="s">
        <v>5064</v>
      </c>
      <c r="E1" t="s">
        <v>1</v>
      </c>
      <c r="F1" t="s">
        <v>3758</v>
      </c>
      <c r="G1" t="s">
        <v>5065</v>
      </c>
      <c r="H1" t="s">
        <v>5066</v>
      </c>
      <c r="I1" t="s">
        <v>4020</v>
      </c>
      <c r="J1" t="s">
        <v>7116</v>
      </c>
      <c r="K1" t="s">
        <v>5108</v>
      </c>
      <c r="L1" t="s">
        <v>171</v>
      </c>
      <c r="M1" t="s">
        <v>7117</v>
      </c>
      <c r="N1" t="s">
        <v>7118</v>
      </c>
      <c r="O1" t="s">
        <v>3450</v>
      </c>
      <c r="P1" t="s">
        <v>7119</v>
      </c>
      <c r="Q1" t="s">
        <v>3757</v>
      </c>
    </row>
    <row r="2" spans="1:17" ht="15" customHeight="1" x14ac:dyDescent="0.25">
      <c r="A2" t="s">
        <v>7081</v>
      </c>
      <c r="B2" t="s">
        <v>7120</v>
      </c>
      <c r="C2" t="s">
        <v>4410</v>
      </c>
      <c r="D2">
        <v>2</v>
      </c>
      <c r="E2" t="s">
        <v>2155</v>
      </c>
      <c r="G2">
        <v>20</v>
      </c>
      <c r="H2">
        <v>24</v>
      </c>
      <c r="I2">
        <v>0</v>
      </c>
      <c r="J2" t="s">
        <v>7121</v>
      </c>
      <c r="K2" t="s">
        <v>7122</v>
      </c>
      <c r="M2">
        <v>1</v>
      </c>
      <c r="N2">
        <v>3</v>
      </c>
      <c r="O2" t="s">
        <v>7123</v>
      </c>
      <c r="P2" t="s">
        <v>7124</v>
      </c>
    </row>
    <row r="3" spans="1:17" ht="15" customHeight="1" x14ac:dyDescent="0.25">
      <c r="A3" t="s">
        <v>7125</v>
      </c>
      <c r="B3" t="s">
        <v>7126</v>
      </c>
      <c r="C3" t="s">
        <v>4414</v>
      </c>
      <c r="D3">
        <v>2</v>
      </c>
      <c r="E3" t="s">
        <v>2155</v>
      </c>
      <c r="F3" t="s">
        <v>4995</v>
      </c>
      <c r="G3">
        <v>12</v>
      </c>
      <c r="H3">
        <v>18</v>
      </c>
      <c r="I3">
        <v>4</v>
      </c>
      <c r="J3" t="s">
        <v>7127</v>
      </c>
      <c r="K3" t="s">
        <v>7128</v>
      </c>
      <c r="M3">
        <v>2</v>
      </c>
      <c r="N3">
        <v>3</v>
      </c>
      <c r="O3" t="s">
        <v>7129</v>
      </c>
      <c r="P3" t="s">
        <v>7130</v>
      </c>
    </row>
    <row r="4" spans="1:17" ht="15" customHeight="1" x14ac:dyDescent="0.25">
      <c r="A4" t="s">
        <v>7131</v>
      </c>
      <c r="B4" t="s">
        <v>7132</v>
      </c>
      <c r="C4" t="s">
        <v>4410</v>
      </c>
      <c r="D4">
        <v>1</v>
      </c>
      <c r="E4" t="s">
        <v>1796</v>
      </c>
      <c r="F4" t="s">
        <v>7133</v>
      </c>
      <c r="G4">
        <v>5</v>
      </c>
      <c r="H4">
        <v>5</v>
      </c>
      <c r="I4">
        <v>4</v>
      </c>
      <c r="J4" t="s">
        <v>7127</v>
      </c>
      <c r="K4" t="s">
        <v>7134</v>
      </c>
      <c r="L4" t="s">
        <v>7131</v>
      </c>
      <c r="M4">
        <v>1</v>
      </c>
      <c r="N4">
        <v>4</v>
      </c>
      <c r="O4" t="s">
        <v>7135</v>
      </c>
      <c r="P4" t="s">
        <v>7136</v>
      </c>
    </row>
    <row r="5" spans="1:17" ht="15" customHeight="1" x14ac:dyDescent="0.25">
      <c r="A5" t="s">
        <v>7137</v>
      </c>
      <c r="B5" t="s">
        <v>4995</v>
      </c>
      <c r="C5" t="s">
        <v>4410</v>
      </c>
      <c r="D5">
        <v>1</v>
      </c>
      <c r="E5" t="s">
        <v>2155</v>
      </c>
      <c r="F5" t="s">
        <v>4995</v>
      </c>
      <c r="G5">
        <v>8</v>
      </c>
      <c r="H5">
        <v>11</v>
      </c>
      <c r="I5">
        <v>4</v>
      </c>
      <c r="J5" t="s">
        <v>7138</v>
      </c>
      <c r="K5" t="s">
        <v>7139</v>
      </c>
      <c r="M5">
        <v>1</v>
      </c>
      <c r="N5">
        <v>4</v>
      </c>
      <c r="O5" t="s">
        <v>7140</v>
      </c>
      <c r="P5" t="s">
        <v>7141</v>
      </c>
    </row>
    <row r="6" spans="1:17" ht="15" customHeight="1" x14ac:dyDescent="0.25">
      <c r="A6" t="s">
        <v>7086</v>
      </c>
      <c r="B6" t="s">
        <v>7142</v>
      </c>
      <c r="C6" t="s">
        <v>4414</v>
      </c>
      <c r="D6">
        <v>5</v>
      </c>
      <c r="E6" t="s">
        <v>2155</v>
      </c>
      <c r="G6">
        <v>60</v>
      </c>
      <c r="H6">
        <v>66</v>
      </c>
      <c r="I6">
        <v>-4</v>
      </c>
      <c r="J6" t="s">
        <v>7143</v>
      </c>
      <c r="K6" t="s">
        <v>7144</v>
      </c>
      <c r="M6">
        <v>4</v>
      </c>
      <c r="N6">
        <v>1</v>
      </c>
      <c r="O6" t="s">
        <v>7145</v>
      </c>
      <c r="P6" t="s">
        <v>7146</v>
      </c>
      <c r="Q6" t="s">
        <v>7147</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7148</v>
      </c>
      <c r="C1" t="s">
        <v>7149</v>
      </c>
      <c r="D1" t="s">
        <v>7150</v>
      </c>
      <c r="E1" t="s">
        <v>7151</v>
      </c>
      <c r="F1" t="s">
        <v>7152</v>
      </c>
      <c r="G1" t="s">
        <v>7153</v>
      </c>
      <c r="H1" t="s">
        <v>7154</v>
      </c>
      <c r="I1" t="s">
        <v>1</v>
      </c>
    </row>
    <row r="2" spans="1:9" ht="15" customHeight="1" x14ac:dyDescent="0.25">
      <c r="A2" t="s">
        <v>5915</v>
      </c>
      <c r="B2">
        <v>6</v>
      </c>
      <c r="C2" t="s">
        <v>7155</v>
      </c>
      <c r="D2" t="s">
        <v>7156</v>
      </c>
      <c r="E2" t="s">
        <v>7157</v>
      </c>
      <c r="F2" t="s">
        <v>7157</v>
      </c>
      <c r="G2" t="s">
        <v>7155</v>
      </c>
      <c r="H2" t="s">
        <v>7156</v>
      </c>
      <c r="I2" t="s">
        <v>2362</v>
      </c>
    </row>
    <row r="3" spans="1:9" ht="15" customHeight="1" x14ac:dyDescent="0.25">
      <c r="A3" t="s">
        <v>5938</v>
      </c>
      <c r="B3">
        <v>6</v>
      </c>
      <c r="C3" t="s">
        <v>7158</v>
      </c>
      <c r="D3" t="s">
        <v>7159</v>
      </c>
      <c r="E3" t="s">
        <v>7160</v>
      </c>
      <c r="F3" t="s">
        <v>7160</v>
      </c>
      <c r="G3" t="s">
        <v>7161</v>
      </c>
      <c r="H3" t="s">
        <v>4263</v>
      </c>
      <c r="I3" t="s">
        <v>2362</v>
      </c>
    </row>
    <row r="4" spans="1:9" ht="15" customHeight="1" x14ac:dyDescent="0.25">
      <c r="A4" t="s">
        <v>5965</v>
      </c>
      <c r="B4">
        <v>6</v>
      </c>
      <c r="C4" t="s">
        <v>7162</v>
      </c>
      <c r="D4" t="s">
        <v>7163</v>
      </c>
      <c r="E4" t="s">
        <v>7164</v>
      </c>
      <c r="F4" t="s">
        <v>7164</v>
      </c>
      <c r="G4" t="s">
        <v>7165</v>
      </c>
      <c r="H4" t="s">
        <v>5993</v>
      </c>
      <c r="I4" t="s">
        <v>2362</v>
      </c>
    </row>
    <row r="5" spans="1:9" ht="15" customHeight="1" x14ac:dyDescent="0.25">
      <c r="A5" t="s">
        <v>6006</v>
      </c>
      <c r="B5">
        <v>6</v>
      </c>
      <c r="C5" t="s">
        <v>7166</v>
      </c>
      <c r="D5" t="s">
        <v>7167</v>
      </c>
      <c r="E5" t="s">
        <v>7168</v>
      </c>
      <c r="F5" t="s">
        <v>7168</v>
      </c>
      <c r="G5" t="s">
        <v>7169</v>
      </c>
      <c r="H5" t="s">
        <v>5993</v>
      </c>
      <c r="I5" t="s">
        <v>2362</v>
      </c>
    </row>
    <row r="6" spans="1:9" ht="15" customHeight="1" x14ac:dyDescent="0.25">
      <c r="A6" t="s">
        <v>6052</v>
      </c>
      <c r="B6">
        <v>6</v>
      </c>
      <c r="C6" t="s">
        <v>7170</v>
      </c>
      <c r="D6" t="s">
        <v>7170</v>
      </c>
      <c r="E6" t="s">
        <v>7164</v>
      </c>
      <c r="F6" t="s">
        <v>7164</v>
      </c>
      <c r="G6" t="s">
        <v>7165</v>
      </c>
      <c r="H6" t="s">
        <v>7165</v>
      </c>
      <c r="I6" t="s">
        <v>2362</v>
      </c>
    </row>
    <row r="7" spans="1:9" ht="15" customHeight="1" x14ac:dyDescent="0.25">
      <c r="A7" t="s">
        <v>6075</v>
      </c>
      <c r="B7">
        <v>6</v>
      </c>
      <c r="C7" t="s">
        <v>7171</v>
      </c>
      <c r="D7" t="s">
        <v>7159</v>
      </c>
      <c r="E7" t="s">
        <v>5993</v>
      </c>
      <c r="F7" t="s">
        <v>5993</v>
      </c>
      <c r="G7" t="s">
        <v>7172</v>
      </c>
      <c r="H7" t="s">
        <v>5993</v>
      </c>
      <c r="I7" t="s">
        <v>2362</v>
      </c>
    </row>
    <row r="8" spans="1:9" ht="15" customHeight="1" x14ac:dyDescent="0.25">
      <c r="A8" t="s">
        <v>6080</v>
      </c>
      <c r="B8">
        <v>6</v>
      </c>
      <c r="C8" t="s">
        <v>7173</v>
      </c>
      <c r="D8" t="s">
        <v>7174</v>
      </c>
      <c r="E8" t="s">
        <v>7175</v>
      </c>
      <c r="F8" t="s">
        <v>7175</v>
      </c>
      <c r="G8" t="s">
        <v>7163</v>
      </c>
      <c r="H8" t="s">
        <v>5993</v>
      </c>
      <c r="I8" t="s">
        <v>2362</v>
      </c>
    </row>
    <row r="9" spans="1:9" ht="15" customHeight="1" x14ac:dyDescent="0.25">
      <c r="A9" t="s">
        <v>6099</v>
      </c>
      <c r="B9">
        <v>6</v>
      </c>
      <c r="C9" t="s">
        <v>7168</v>
      </c>
      <c r="D9" t="s">
        <v>7176</v>
      </c>
      <c r="E9" t="s">
        <v>7177</v>
      </c>
      <c r="F9" t="s">
        <v>7177</v>
      </c>
      <c r="G9" t="s">
        <v>7176</v>
      </c>
      <c r="H9" t="s">
        <v>5993</v>
      </c>
      <c r="I9" t="s">
        <v>2362</v>
      </c>
    </row>
    <row r="10" spans="1:9" ht="15" customHeight="1" x14ac:dyDescent="0.25">
      <c r="A10" t="s">
        <v>5734</v>
      </c>
      <c r="B10">
        <v>6</v>
      </c>
      <c r="C10" t="s">
        <v>7178</v>
      </c>
      <c r="D10" t="s">
        <v>7179</v>
      </c>
      <c r="E10" t="s">
        <v>7180</v>
      </c>
      <c r="F10" t="s">
        <v>7181</v>
      </c>
      <c r="G10" t="s">
        <v>7182</v>
      </c>
      <c r="H10" t="s">
        <v>7183</v>
      </c>
      <c r="I10" t="s">
        <v>160</v>
      </c>
    </row>
    <row r="11" spans="1:9" ht="15" customHeight="1" x14ac:dyDescent="0.25">
      <c r="A11" t="s">
        <v>6145</v>
      </c>
      <c r="B11">
        <v>6</v>
      </c>
      <c r="C11" t="s">
        <v>7158</v>
      </c>
      <c r="D11" t="s">
        <v>7184</v>
      </c>
      <c r="E11" t="s">
        <v>7185</v>
      </c>
      <c r="F11" t="s">
        <v>7185</v>
      </c>
      <c r="G11" t="s">
        <v>7186</v>
      </c>
      <c r="H11" t="s">
        <v>5993</v>
      </c>
      <c r="I11" t="s">
        <v>2362</v>
      </c>
    </row>
    <row r="12" spans="1:9" ht="15" customHeight="1" x14ac:dyDescent="0.25">
      <c r="A12" t="s">
        <v>6152</v>
      </c>
      <c r="B12">
        <v>6</v>
      </c>
      <c r="C12" t="s">
        <v>7187</v>
      </c>
      <c r="D12" t="s">
        <v>7187</v>
      </c>
      <c r="E12" t="s">
        <v>7155</v>
      </c>
      <c r="F12" t="s">
        <v>7155</v>
      </c>
      <c r="G12" t="s">
        <v>7156</v>
      </c>
      <c r="H12" t="s">
        <v>5993</v>
      </c>
      <c r="I12" t="s">
        <v>2362</v>
      </c>
    </row>
    <row r="13" spans="1:9" ht="15" customHeight="1" x14ac:dyDescent="0.25">
      <c r="A13" t="s">
        <v>6153</v>
      </c>
      <c r="B13">
        <v>6</v>
      </c>
      <c r="C13" t="s">
        <v>7159</v>
      </c>
      <c r="D13" t="s">
        <v>5699</v>
      </c>
      <c r="E13" t="s">
        <v>5993</v>
      </c>
      <c r="F13" t="s">
        <v>5993</v>
      </c>
      <c r="G13" t="s">
        <v>5993</v>
      </c>
      <c r="H13" t="s">
        <v>5993</v>
      </c>
      <c r="I13" t="s">
        <v>2362</v>
      </c>
    </row>
    <row r="14" spans="1:9" ht="15" customHeight="1" x14ac:dyDescent="0.25">
      <c r="A14" t="s">
        <v>6172</v>
      </c>
      <c r="B14">
        <v>6</v>
      </c>
      <c r="C14" t="s">
        <v>7168</v>
      </c>
      <c r="D14" t="s">
        <v>7168</v>
      </c>
      <c r="E14" t="s">
        <v>7176</v>
      </c>
      <c r="F14" t="s">
        <v>7176</v>
      </c>
      <c r="G14" t="s">
        <v>5993</v>
      </c>
      <c r="H14" t="s">
        <v>5993</v>
      </c>
      <c r="I14" t="s">
        <v>2362</v>
      </c>
    </row>
    <row r="15" spans="1:9" ht="15" customHeight="1" x14ac:dyDescent="0.25">
      <c r="A15" t="s">
        <v>6189</v>
      </c>
      <c r="B15">
        <v>6</v>
      </c>
      <c r="C15" t="s">
        <v>7188</v>
      </c>
      <c r="D15" t="s">
        <v>7189</v>
      </c>
      <c r="E15" t="s">
        <v>7189</v>
      </c>
      <c r="F15" t="s">
        <v>7189</v>
      </c>
      <c r="G15" t="s">
        <v>7176</v>
      </c>
      <c r="H15" t="s">
        <v>5993</v>
      </c>
      <c r="I15" t="s">
        <v>2362</v>
      </c>
    </row>
    <row r="16" spans="1:9" ht="15" customHeight="1" x14ac:dyDescent="0.25">
      <c r="A16" t="s">
        <v>6258</v>
      </c>
      <c r="B16">
        <v>6</v>
      </c>
      <c r="C16" t="s">
        <v>7190</v>
      </c>
      <c r="D16" t="s">
        <v>7191</v>
      </c>
      <c r="E16" t="s">
        <v>7191</v>
      </c>
      <c r="F16" t="s">
        <v>7191</v>
      </c>
      <c r="G16" t="s">
        <v>7192</v>
      </c>
      <c r="H16" t="s">
        <v>5993</v>
      </c>
      <c r="I16" t="s">
        <v>2362</v>
      </c>
    </row>
    <row r="17" spans="1:9" ht="15" customHeight="1" x14ac:dyDescent="0.25">
      <c r="A17" t="s">
        <v>6335</v>
      </c>
      <c r="B17">
        <v>6</v>
      </c>
      <c r="C17" t="s">
        <v>7160</v>
      </c>
      <c r="D17" t="s">
        <v>7160</v>
      </c>
      <c r="E17" t="s">
        <v>7170</v>
      </c>
      <c r="F17" t="s">
        <v>7170</v>
      </c>
      <c r="G17" t="s">
        <v>7163</v>
      </c>
      <c r="H17" t="s">
        <v>7163</v>
      </c>
      <c r="I17" t="s">
        <v>2362</v>
      </c>
    </row>
    <row r="18" spans="1:9" ht="15" customHeight="1" x14ac:dyDescent="0.25">
      <c r="A18" t="s">
        <v>6392</v>
      </c>
      <c r="B18">
        <v>6</v>
      </c>
      <c r="C18" t="s">
        <v>7159</v>
      </c>
      <c r="D18" t="s">
        <v>7159</v>
      </c>
      <c r="E18" t="s">
        <v>7160</v>
      </c>
      <c r="F18" t="s">
        <v>7160</v>
      </c>
      <c r="G18" t="s">
        <v>7162</v>
      </c>
      <c r="H18" t="s">
        <v>7162</v>
      </c>
      <c r="I18" t="s">
        <v>2362</v>
      </c>
    </row>
    <row r="19" spans="1:9" ht="15" customHeight="1" x14ac:dyDescent="0.25">
      <c r="A19" t="s">
        <v>6396</v>
      </c>
      <c r="B19">
        <v>6</v>
      </c>
      <c r="C19" t="s">
        <v>5699</v>
      </c>
      <c r="D19" t="s">
        <v>7162</v>
      </c>
      <c r="E19" t="s">
        <v>7170</v>
      </c>
      <c r="F19" t="s">
        <v>7170</v>
      </c>
      <c r="G19" t="s">
        <v>7163</v>
      </c>
      <c r="H19" t="s">
        <v>7165</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7193</v>
      </c>
      <c r="D1" t="s">
        <v>171</v>
      </c>
      <c r="E1" t="s">
        <v>7194</v>
      </c>
    </row>
    <row r="2" spans="1:5" ht="15" customHeight="1" x14ac:dyDescent="0.25">
      <c r="A2" t="s">
        <v>7195</v>
      </c>
      <c r="B2">
        <v>2022</v>
      </c>
      <c r="C2" t="s">
        <v>2620</v>
      </c>
      <c r="D2" t="s">
        <v>7196</v>
      </c>
    </row>
    <row r="3" spans="1:5" ht="15" customHeight="1" x14ac:dyDescent="0.25">
      <c r="A3" t="s">
        <v>7197</v>
      </c>
      <c r="B3">
        <v>2022</v>
      </c>
      <c r="C3" t="s">
        <v>90</v>
      </c>
      <c r="D3" t="s">
        <v>7198</v>
      </c>
    </row>
    <row r="4" spans="1:5" ht="15" customHeight="1" x14ac:dyDescent="0.25">
      <c r="A4" t="s">
        <v>7199</v>
      </c>
      <c r="B4">
        <v>2024</v>
      </c>
      <c r="C4" t="s">
        <v>353</v>
      </c>
      <c r="D4" t="s">
        <v>7200</v>
      </c>
    </row>
    <row r="5" spans="1:5" ht="15" customHeight="1" x14ac:dyDescent="0.25">
      <c r="A5" t="s">
        <v>7201</v>
      </c>
      <c r="B5">
        <v>2020</v>
      </c>
      <c r="C5" t="s">
        <v>2133</v>
      </c>
      <c r="D5" t="s">
        <v>7202</v>
      </c>
    </row>
    <row r="6" spans="1:5" ht="15" customHeight="1" x14ac:dyDescent="0.25">
      <c r="A6" t="s">
        <v>7203</v>
      </c>
      <c r="B6">
        <v>2021</v>
      </c>
      <c r="C6" t="s">
        <v>2137</v>
      </c>
      <c r="D6" t="s">
        <v>7204</v>
      </c>
    </row>
    <row r="7" spans="1:5" ht="15" customHeight="1" x14ac:dyDescent="0.25">
      <c r="A7" t="s">
        <v>7205</v>
      </c>
      <c r="B7">
        <v>2024</v>
      </c>
      <c r="C7" t="s">
        <v>353</v>
      </c>
      <c r="D7" t="s">
        <v>7206</v>
      </c>
    </row>
    <row r="8" spans="1:5" x14ac:dyDescent="0.25">
      <c r="A8" t="s">
        <v>7207</v>
      </c>
      <c r="B8">
        <v>2024</v>
      </c>
      <c r="C8" t="s">
        <v>353</v>
      </c>
      <c r="E8" s="11" t="s">
        <v>7208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7209</v>
      </c>
      <c r="B2" t="s">
        <v>7210</v>
      </c>
      <c r="C2" t="s">
        <v>4054</v>
      </c>
    </row>
    <row r="3" spans="1:3" ht="15" customHeight="1" x14ac:dyDescent="0.25">
      <c r="A3" t="s">
        <v>7211</v>
      </c>
      <c r="B3" t="s">
        <v>7212</v>
      </c>
      <c r="C3" t="s">
        <v>4054</v>
      </c>
    </row>
    <row r="4" spans="1:3" ht="15" customHeight="1" x14ac:dyDescent="0.25">
      <c r="A4" t="s">
        <v>4434</v>
      </c>
      <c r="B4" t="s">
        <v>7213</v>
      </c>
      <c r="C4" t="s">
        <v>4071</v>
      </c>
    </row>
    <row r="5" spans="1:3" ht="15" customHeight="1" x14ac:dyDescent="0.25">
      <c r="A5" t="s">
        <v>4027</v>
      </c>
      <c r="B5" t="s">
        <v>7214</v>
      </c>
      <c r="C5" t="s">
        <v>4054</v>
      </c>
    </row>
    <row r="6" spans="1:3" ht="15" customHeight="1" x14ac:dyDescent="0.25">
      <c r="A6" t="s">
        <v>7215</v>
      </c>
      <c r="B6" t="s">
        <v>7216</v>
      </c>
      <c r="C6" t="s">
        <v>4071</v>
      </c>
    </row>
    <row r="7" spans="1:3" ht="15" customHeight="1" x14ac:dyDescent="0.25">
      <c r="A7" t="s">
        <v>7217</v>
      </c>
      <c r="B7" t="s">
        <v>7218</v>
      </c>
      <c r="C7" t="s">
        <v>4054</v>
      </c>
    </row>
    <row r="8" spans="1:3" ht="15" customHeight="1" x14ac:dyDescent="0.25">
      <c r="A8" t="s">
        <v>7219</v>
      </c>
      <c r="B8" t="s">
        <v>7220</v>
      </c>
      <c r="C8" t="s">
        <v>4054</v>
      </c>
    </row>
    <row r="9" spans="1:3" ht="15" customHeight="1" x14ac:dyDescent="0.25">
      <c r="A9" t="s">
        <v>7221</v>
      </c>
      <c r="B9" t="s">
        <v>7222</v>
      </c>
      <c r="C9" t="s">
        <v>4054</v>
      </c>
    </row>
    <row r="10" spans="1:3" ht="15" customHeight="1" x14ac:dyDescent="0.25">
      <c r="A10" t="s">
        <v>7223</v>
      </c>
      <c r="B10" t="s">
        <v>7224</v>
      </c>
      <c r="C10" t="s">
        <v>4082</v>
      </c>
    </row>
    <row r="11" spans="1:3" ht="15" customHeight="1" x14ac:dyDescent="0.25">
      <c r="A11" t="s">
        <v>7225</v>
      </c>
      <c r="B11" t="s">
        <v>7226</v>
      </c>
      <c r="C11" t="s">
        <v>4054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7227</v>
      </c>
      <c r="C1" t="s">
        <v>4644</v>
      </c>
      <c r="D1" t="s">
        <v>7228</v>
      </c>
      <c r="E1" t="s">
        <v>3461</v>
      </c>
      <c r="F1" t="s">
        <v>167</v>
      </c>
    </row>
    <row r="2" spans="1:6" ht="15" customHeight="1" x14ac:dyDescent="0.25">
      <c r="A2" t="s">
        <v>7229</v>
      </c>
      <c r="B2" t="s">
        <v>5070</v>
      </c>
      <c r="C2" t="s">
        <v>4410</v>
      </c>
      <c r="D2" t="s">
        <v>7230</v>
      </c>
      <c r="E2" t="s">
        <v>7231</v>
      </c>
      <c r="F2" t="s">
        <v>7232</v>
      </c>
    </row>
    <row r="3" spans="1:6" ht="15" customHeight="1" x14ac:dyDescent="0.25">
      <c r="A3" t="s">
        <v>7233</v>
      </c>
      <c r="B3" t="s">
        <v>5070</v>
      </c>
      <c r="C3" t="s">
        <v>4414</v>
      </c>
      <c r="D3" t="s">
        <v>7230</v>
      </c>
      <c r="E3" t="s">
        <v>7234</v>
      </c>
      <c r="F3" t="s">
        <v>7232</v>
      </c>
    </row>
    <row r="4" spans="1:6" ht="15" customHeight="1" x14ac:dyDescent="0.25">
      <c r="A4" t="s">
        <v>7235</v>
      </c>
      <c r="B4" t="s">
        <v>5070</v>
      </c>
      <c r="C4" t="s">
        <v>5073</v>
      </c>
      <c r="D4" t="s">
        <v>7230</v>
      </c>
      <c r="E4" t="s">
        <v>7236</v>
      </c>
      <c r="F4" t="s">
        <v>7232</v>
      </c>
    </row>
    <row r="5" spans="1:6" ht="15" customHeight="1" x14ac:dyDescent="0.25">
      <c r="A5" t="s">
        <v>7237</v>
      </c>
      <c r="B5" t="s">
        <v>5070</v>
      </c>
      <c r="C5" t="s">
        <v>4410</v>
      </c>
      <c r="D5" t="s">
        <v>7230</v>
      </c>
      <c r="E5" t="s">
        <v>7238</v>
      </c>
      <c r="F5" t="s">
        <v>7232</v>
      </c>
    </row>
    <row r="6" spans="1:6" ht="15" customHeight="1" x14ac:dyDescent="0.25">
      <c r="A6" t="s">
        <v>7239</v>
      </c>
      <c r="B6" t="s">
        <v>5070</v>
      </c>
      <c r="C6" t="s">
        <v>4414</v>
      </c>
      <c r="D6" t="s">
        <v>7230</v>
      </c>
      <c r="E6" t="s">
        <v>7240</v>
      </c>
      <c r="F6" t="s">
        <v>7232</v>
      </c>
    </row>
    <row r="7" spans="1:6" ht="15" customHeight="1" x14ac:dyDescent="0.25">
      <c r="A7" t="s">
        <v>7241</v>
      </c>
      <c r="B7" t="s">
        <v>5070</v>
      </c>
      <c r="C7" t="s">
        <v>5073</v>
      </c>
      <c r="D7" t="s">
        <v>7230</v>
      </c>
      <c r="E7" t="s">
        <v>7242</v>
      </c>
      <c r="F7" t="s">
        <v>7232</v>
      </c>
    </row>
    <row r="8" spans="1:6" ht="15" customHeight="1" x14ac:dyDescent="0.25">
      <c r="A8" t="s">
        <v>7243</v>
      </c>
      <c r="B8" t="s">
        <v>5070</v>
      </c>
      <c r="C8" t="s">
        <v>4410</v>
      </c>
      <c r="D8" t="s">
        <v>7244</v>
      </c>
      <c r="E8" t="s">
        <v>7245</v>
      </c>
      <c r="F8" t="s">
        <v>7232</v>
      </c>
    </row>
    <row r="9" spans="1:6" ht="15" customHeight="1" x14ac:dyDescent="0.25">
      <c r="A9" t="s">
        <v>7246</v>
      </c>
      <c r="B9" t="s">
        <v>5070</v>
      </c>
      <c r="C9" t="s">
        <v>4414</v>
      </c>
      <c r="D9" t="s">
        <v>7230</v>
      </c>
      <c r="E9" t="s">
        <v>7245</v>
      </c>
      <c r="F9" t="s">
        <v>7232</v>
      </c>
    </row>
    <row r="10" spans="1:6" ht="15" customHeight="1" x14ac:dyDescent="0.25">
      <c r="A10" t="s">
        <v>7247</v>
      </c>
      <c r="B10" t="s">
        <v>5070</v>
      </c>
      <c r="C10" t="s">
        <v>5073</v>
      </c>
      <c r="D10" t="s">
        <v>7248</v>
      </c>
      <c r="E10" t="s">
        <v>7245</v>
      </c>
      <c r="F10" t="s">
        <v>7232</v>
      </c>
    </row>
    <row r="11" spans="1:6" ht="15" customHeight="1" x14ac:dyDescent="0.25">
      <c r="A11" t="s">
        <v>7249</v>
      </c>
      <c r="B11" t="s">
        <v>4037</v>
      </c>
      <c r="C11" t="s">
        <v>4410</v>
      </c>
      <c r="D11" t="s">
        <v>7244</v>
      </c>
      <c r="E11" t="s">
        <v>7250</v>
      </c>
      <c r="F11" t="s">
        <v>7232</v>
      </c>
    </row>
    <row r="12" spans="1:6" ht="15" customHeight="1" x14ac:dyDescent="0.25">
      <c r="A12" t="s">
        <v>7251</v>
      </c>
      <c r="B12" t="s">
        <v>4037</v>
      </c>
      <c r="C12" t="s">
        <v>4414</v>
      </c>
      <c r="D12" t="s">
        <v>7244</v>
      </c>
      <c r="E12" t="s">
        <v>7252</v>
      </c>
      <c r="F12" t="s">
        <v>7232</v>
      </c>
    </row>
    <row r="13" spans="1:6" ht="15" customHeight="1" x14ac:dyDescent="0.25">
      <c r="A13" t="s">
        <v>7253</v>
      </c>
      <c r="B13" t="s">
        <v>4037</v>
      </c>
      <c r="C13" t="s">
        <v>5073</v>
      </c>
      <c r="D13" t="s">
        <v>7244</v>
      </c>
      <c r="E13" t="s">
        <v>7254</v>
      </c>
      <c r="F13" t="s">
        <v>7232</v>
      </c>
    </row>
    <row r="14" spans="1:6" ht="15" customHeight="1" x14ac:dyDescent="0.25">
      <c r="A14" t="s">
        <v>7255</v>
      </c>
      <c r="B14" t="s">
        <v>6915</v>
      </c>
      <c r="C14" t="s">
        <v>4410</v>
      </c>
      <c r="D14" t="s">
        <v>7256</v>
      </c>
      <c r="E14" t="s">
        <v>7257</v>
      </c>
      <c r="F14" t="s">
        <v>3854</v>
      </c>
    </row>
    <row r="15" spans="1:6" ht="15" customHeight="1" x14ac:dyDescent="0.25">
      <c r="A15" t="s">
        <v>7258</v>
      </c>
      <c r="B15" t="s">
        <v>6915</v>
      </c>
      <c r="C15" t="s">
        <v>4414</v>
      </c>
      <c r="D15" t="s">
        <v>7259</v>
      </c>
      <c r="E15" t="s">
        <v>7257</v>
      </c>
      <c r="F15" t="s">
        <v>3854</v>
      </c>
    </row>
    <row r="16" spans="1:6" ht="15" customHeight="1" x14ac:dyDescent="0.25">
      <c r="A16" t="s">
        <v>7260</v>
      </c>
      <c r="B16" t="s">
        <v>6915</v>
      </c>
      <c r="C16" t="s">
        <v>5073</v>
      </c>
      <c r="D16" t="s">
        <v>7261</v>
      </c>
      <c r="E16" t="s">
        <v>7257</v>
      </c>
      <c r="F16" t="s">
        <v>3854</v>
      </c>
    </row>
    <row r="17" spans="1:6" ht="15" customHeight="1" x14ac:dyDescent="0.25">
      <c r="A17" t="s">
        <v>7262</v>
      </c>
      <c r="B17" t="s">
        <v>6915</v>
      </c>
      <c r="C17" t="s">
        <v>4410</v>
      </c>
      <c r="D17" t="s">
        <v>7263</v>
      </c>
      <c r="E17" t="s">
        <v>7264</v>
      </c>
      <c r="F17" t="s">
        <v>7265</v>
      </c>
    </row>
    <row r="18" spans="1:6" ht="15" customHeight="1" x14ac:dyDescent="0.25">
      <c r="A18" t="s">
        <v>7266</v>
      </c>
      <c r="B18" t="s">
        <v>6915</v>
      </c>
      <c r="C18" t="s">
        <v>4414</v>
      </c>
      <c r="D18" t="s">
        <v>7263</v>
      </c>
      <c r="E18" t="s">
        <v>7267</v>
      </c>
      <c r="F18" t="s">
        <v>7265</v>
      </c>
    </row>
    <row r="19" spans="1:6" ht="15" customHeight="1" x14ac:dyDescent="0.25">
      <c r="A19" t="s">
        <v>7268</v>
      </c>
      <c r="B19" t="s">
        <v>6915</v>
      </c>
      <c r="C19" t="s">
        <v>5073</v>
      </c>
      <c r="D19" t="s">
        <v>7263</v>
      </c>
      <c r="E19" t="s">
        <v>7269</v>
      </c>
      <c r="F19" t="s">
        <v>7265</v>
      </c>
    </row>
    <row r="20" spans="1:6" ht="15" customHeight="1" x14ac:dyDescent="0.25">
      <c r="A20" t="s">
        <v>7270</v>
      </c>
      <c r="B20" t="s">
        <v>6915</v>
      </c>
      <c r="C20" t="s">
        <v>4410</v>
      </c>
      <c r="D20" t="s">
        <v>7271</v>
      </c>
      <c r="E20" t="s">
        <v>7272</v>
      </c>
      <c r="F20" t="s">
        <v>7265</v>
      </c>
    </row>
    <row r="21" spans="1:6" ht="15" customHeight="1" x14ac:dyDescent="0.25">
      <c r="A21" t="s">
        <v>7273</v>
      </c>
      <c r="B21" t="s">
        <v>6915</v>
      </c>
      <c r="C21" t="s">
        <v>4414</v>
      </c>
      <c r="D21" t="s">
        <v>7274</v>
      </c>
      <c r="E21" t="s">
        <v>7272</v>
      </c>
      <c r="F21" t="s">
        <v>7265</v>
      </c>
    </row>
    <row r="22" spans="1:6" ht="15" customHeight="1" x14ac:dyDescent="0.25">
      <c r="A22" t="s">
        <v>7275</v>
      </c>
      <c r="B22" t="s">
        <v>6915</v>
      </c>
      <c r="C22" t="s">
        <v>5073</v>
      </c>
      <c r="D22" t="s">
        <v>7276</v>
      </c>
      <c r="E22" t="s">
        <v>7272</v>
      </c>
      <c r="F22" t="s">
        <v>7265</v>
      </c>
    </row>
    <row r="23" spans="1:6" ht="15" customHeight="1" x14ac:dyDescent="0.25">
      <c r="A23" t="s">
        <v>7277</v>
      </c>
      <c r="B23" t="s">
        <v>4015</v>
      </c>
      <c r="C23" t="s">
        <v>4410</v>
      </c>
      <c r="D23" t="s">
        <v>7256</v>
      </c>
      <c r="E23" t="s">
        <v>7278</v>
      </c>
      <c r="F23" t="s">
        <v>3854</v>
      </c>
    </row>
    <row r="24" spans="1:6" ht="15" customHeight="1" x14ac:dyDescent="0.25">
      <c r="A24" t="s">
        <v>7279</v>
      </c>
      <c r="B24" t="s">
        <v>4015</v>
      </c>
      <c r="C24" t="s">
        <v>4414</v>
      </c>
      <c r="D24" t="s">
        <v>7256</v>
      </c>
      <c r="E24" t="s">
        <v>7280</v>
      </c>
      <c r="F24" t="s">
        <v>3854</v>
      </c>
    </row>
    <row r="25" spans="1:6" ht="15" customHeight="1" x14ac:dyDescent="0.25">
      <c r="A25" t="s">
        <v>7281</v>
      </c>
      <c r="B25" t="s">
        <v>4015</v>
      </c>
      <c r="C25" t="s">
        <v>5073</v>
      </c>
      <c r="D25" t="s">
        <v>7256</v>
      </c>
      <c r="E25" t="s">
        <v>7282</v>
      </c>
      <c r="F25" t="s">
        <v>3854</v>
      </c>
    </row>
    <row r="26" spans="1:6" ht="15" customHeight="1" x14ac:dyDescent="0.25">
      <c r="A26" t="s">
        <v>7283</v>
      </c>
      <c r="B26" t="s">
        <v>4015</v>
      </c>
      <c r="C26" t="s">
        <v>4410</v>
      </c>
      <c r="D26" t="s">
        <v>7284</v>
      </c>
      <c r="E26" t="s">
        <v>7285</v>
      </c>
      <c r="F26" t="s">
        <v>7265</v>
      </c>
    </row>
    <row r="27" spans="1:6" ht="15" customHeight="1" x14ac:dyDescent="0.25">
      <c r="A27" t="s">
        <v>7286</v>
      </c>
      <c r="B27" t="s">
        <v>4015</v>
      </c>
      <c r="C27" t="s">
        <v>4414</v>
      </c>
      <c r="D27" t="s">
        <v>7287</v>
      </c>
      <c r="E27" t="s">
        <v>7285</v>
      </c>
      <c r="F27" t="s">
        <v>7265</v>
      </c>
    </row>
    <row r="28" spans="1:6" ht="15" customHeight="1" x14ac:dyDescent="0.25">
      <c r="A28" t="s">
        <v>7288</v>
      </c>
      <c r="B28" t="s">
        <v>4015</v>
      </c>
      <c r="C28" t="s">
        <v>5073</v>
      </c>
      <c r="D28" t="s">
        <v>7289</v>
      </c>
      <c r="E28" t="s">
        <v>7285</v>
      </c>
      <c r="F28" t="s">
        <v>7265</v>
      </c>
    </row>
    <row r="29" spans="1:6" ht="15" customHeight="1" x14ac:dyDescent="0.25">
      <c r="A29" t="s">
        <v>7290</v>
      </c>
      <c r="B29" t="s">
        <v>4015</v>
      </c>
      <c r="C29" t="s">
        <v>4410</v>
      </c>
      <c r="D29" t="s">
        <v>7291</v>
      </c>
      <c r="E29" t="s">
        <v>7292</v>
      </c>
      <c r="F29" t="s">
        <v>7265</v>
      </c>
    </row>
    <row r="30" spans="1:6" ht="15" customHeight="1" x14ac:dyDescent="0.25">
      <c r="A30" t="s">
        <v>7293</v>
      </c>
      <c r="B30" t="s">
        <v>4015</v>
      </c>
      <c r="C30" t="s">
        <v>4414</v>
      </c>
      <c r="D30" t="s">
        <v>7294</v>
      </c>
      <c r="E30" t="s">
        <v>7292</v>
      </c>
      <c r="F30" t="s">
        <v>7265</v>
      </c>
    </row>
    <row r="31" spans="1:6" ht="15" customHeight="1" x14ac:dyDescent="0.25">
      <c r="A31" t="s">
        <v>7295</v>
      </c>
      <c r="B31" t="s">
        <v>4015</v>
      </c>
      <c r="C31" t="s">
        <v>5073</v>
      </c>
      <c r="D31" t="s">
        <v>7296</v>
      </c>
      <c r="E31" t="s">
        <v>7292</v>
      </c>
      <c r="F31" t="s">
        <v>7265</v>
      </c>
    </row>
    <row r="32" spans="1:6" ht="15" customHeight="1" x14ac:dyDescent="0.25">
      <c r="A32" t="s">
        <v>7297</v>
      </c>
      <c r="B32" t="s">
        <v>4037</v>
      </c>
      <c r="C32" t="s">
        <v>4410</v>
      </c>
      <c r="D32" t="s">
        <v>7298</v>
      </c>
      <c r="E32" t="s">
        <v>7299</v>
      </c>
      <c r="F32" t="s">
        <v>7265</v>
      </c>
    </row>
    <row r="33" spans="1:6" ht="15" customHeight="1" x14ac:dyDescent="0.25">
      <c r="A33" t="s">
        <v>7300</v>
      </c>
      <c r="B33" t="s">
        <v>4037</v>
      </c>
      <c r="C33" t="s">
        <v>4414</v>
      </c>
      <c r="D33" t="s">
        <v>7298</v>
      </c>
      <c r="E33" t="s">
        <v>7299</v>
      </c>
      <c r="F33" t="s">
        <v>7265</v>
      </c>
    </row>
    <row r="34" spans="1:6" ht="15" customHeight="1" x14ac:dyDescent="0.25">
      <c r="A34" t="s">
        <v>7301</v>
      </c>
      <c r="B34" t="s">
        <v>4037</v>
      </c>
      <c r="C34" t="s">
        <v>5073</v>
      </c>
      <c r="D34" t="s">
        <v>7298</v>
      </c>
      <c r="E34" t="s">
        <v>7299</v>
      </c>
      <c r="F34" t="s">
        <v>7265</v>
      </c>
    </row>
    <row r="35" spans="1:6" ht="15" customHeight="1" x14ac:dyDescent="0.25">
      <c r="A35" t="s">
        <v>7302</v>
      </c>
      <c r="B35" t="s">
        <v>5070</v>
      </c>
      <c r="C35" t="s">
        <v>4410</v>
      </c>
      <c r="D35" t="s">
        <v>7244</v>
      </c>
      <c r="E35" t="s">
        <v>7303</v>
      </c>
      <c r="F35" t="s">
        <v>7232</v>
      </c>
    </row>
    <row r="36" spans="1:6" ht="15" customHeight="1" x14ac:dyDescent="0.25">
      <c r="A36" t="s">
        <v>7304</v>
      </c>
      <c r="B36" t="s">
        <v>5070</v>
      </c>
      <c r="C36" t="s">
        <v>4414</v>
      </c>
      <c r="D36" t="s">
        <v>7230</v>
      </c>
      <c r="E36" t="s">
        <v>7303</v>
      </c>
      <c r="F36" t="s">
        <v>7232</v>
      </c>
    </row>
    <row r="37" spans="1:6" ht="15" customHeight="1" x14ac:dyDescent="0.25">
      <c r="A37" t="s">
        <v>7305</v>
      </c>
      <c r="B37" t="s">
        <v>5070</v>
      </c>
      <c r="C37" t="s">
        <v>5073</v>
      </c>
      <c r="D37" t="s">
        <v>7248</v>
      </c>
      <c r="E37" t="s">
        <v>7303</v>
      </c>
      <c r="F37" t="s">
        <v>7232</v>
      </c>
    </row>
    <row r="38" spans="1:6" ht="15" customHeight="1" x14ac:dyDescent="0.25">
      <c r="A38" t="s">
        <v>7306</v>
      </c>
      <c r="B38" t="s">
        <v>4037</v>
      </c>
      <c r="C38" t="s">
        <v>4410</v>
      </c>
      <c r="D38" t="s">
        <v>7244</v>
      </c>
      <c r="E38" t="s">
        <v>7307</v>
      </c>
      <c r="F38" t="s">
        <v>7232</v>
      </c>
    </row>
    <row r="39" spans="1:6" ht="15" customHeight="1" x14ac:dyDescent="0.25">
      <c r="A39" t="s">
        <v>7308</v>
      </c>
      <c r="B39" t="s">
        <v>4037</v>
      </c>
      <c r="C39" t="s">
        <v>4414</v>
      </c>
      <c r="D39" t="s">
        <v>7230</v>
      </c>
      <c r="E39" t="s">
        <v>7307</v>
      </c>
      <c r="F39" t="s">
        <v>7232</v>
      </c>
    </row>
    <row r="40" spans="1:6" ht="15" customHeight="1" x14ac:dyDescent="0.25">
      <c r="A40" t="s">
        <v>7309</v>
      </c>
      <c r="B40" t="s">
        <v>4037</v>
      </c>
      <c r="C40" t="s">
        <v>5073</v>
      </c>
      <c r="D40" t="s">
        <v>7248</v>
      </c>
      <c r="E40" t="s">
        <v>7307</v>
      </c>
      <c r="F40" t="s">
        <v>7232</v>
      </c>
    </row>
    <row r="41" spans="1:6" ht="15" customHeight="1" x14ac:dyDescent="0.25">
      <c r="A41" t="s">
        <v>7310</v>
      </c>
      <c r="B41" t="s">
        <v>5070</v>
      </c>
      <c r="C41" t="s">
        <v>4410</v>
      </c>
      <c r="D41" t="s">
        <v>7248</v>
      </c>
      <c r="E41" t="s">
        <v>7311</v>
      </c>
      <c r="F41" t="s">
        <v>7232</v>
      </c>
    </row>
    <row r="42" spans="1:6" ht="15" customHeight="1" x14ac:dyDescent="0.25">
      <c r="A42" t="s">
        <v>7312</v>
      </c>
      <c r="B42" t="s">
        <v>5070</v>
      </c>
      <c r="C42" t="s">
        <v>4414</v>
      </c>
      <c r="D42" t="s">
        <v>7248</v>
      </c>
      <c r="E42" t="s">
        <v>7313</v>
      </c>
      <c r="F42" t="s">
        <v>7232</v>
      </c>
    </row>
    <row r="43" spans="1:6" ht="15" customHeight="1" x14ac:dyDescent="0.25">
      <c r="A43" t="s">
        <v>7314</v>
      </c>
      <c r="B43" t="s">
        <v>5070</v>
      </c>
      <c r="C43" t="s">
        <v>5073</v>
      </c>
      <c r="D43" t="s">
        <v>7248</v>
      </c>
      <c r="E43" t="s">
        <v>7315</v>
      </c>
      <c r="F43" t="s">
        <v>7232</v>
      </c>
    </row>
    <row r="44" spans="1:6" ht="15" customHeight="1" x14ac:dyDescent="0.25">
      <c r="A44" t="s">
        <v>7316</v>
      </c>
      <c r="B44" t="s">
        <v>6915</v>
      </c>
      <c r="C44" t="s">
        <v>4410</v>
      </c>
      <c r="D44" t="s">
        <v>7244</v>
      </c>
      <c r="E44" t="s">
        <v>7317</v>
      </c>
      <c r="F44" t="s">
        <v>7232</v>
      </c>
    </row>
    <row r="45" spans="1:6" ht="15" customHeight="1" x14ac:dyDescent="0.25">
      <c r="A45" t="s">
        <v>7318</v>
      </c>
      <c r="B45" t="s">
        <v>6915</v>
      </c>
      <c r="C45" t="s">
        <v>4414</v>
      </c>
      <c r="D45" t="s">
        <v>7230</v>
      </c>
      <c r="E45" t="s">
        <v>7317</v>
      </c>
      <c r="F45" t="s">
        <v>7232</v>
      </c>
    </row>
    <row r="46" spans="1:6" ht="15" customHeight="1" x14ac:dyDescent="0.25">
      <c r="A46" t="s">
        <v>7319</v>
      </c>
      <c r="B46" t="s">
        <v>6915</v>
      </c>
      <c r="C46" t="s">
        <v>5073</v>
      </c>
      <c r="D46" t="s">
        <v>7248</v>
      </c>
      <c r="E46" t="s">
        <v>7317</v>
      </c>
      <c r="F46" t="s">
        <v>7232</v>
      </c>
    </row>
    <row r="47" spans="1:6" ht="15" customHeight="1" x14ac:dyDescent="0.25">
      <c r="A47" t="s">
        <v>7320</v>
      </c>
      <c r="B47" t="s">
        <v>4015</v>
      </c>
      <c r="C47" t="s">
        <v>4410</v>
      </c>
      <c r="D47" t="s">
        <v>7291</v>
      </c>
      <c r="E47" t="s">
        <v>7321</v>
      </c>
      <c r="F47" t="s">
        <v>7265</v>
      </c>
    </row>
    <row r="48" spans="1:6" ht="15" customHeight="1" x14ac:dyDescent="0.25">
      <c r="A48" t="s">
        <v>7322</v>
      </c>
      <c r="B48" t="s">
        <v>4015</v>
      </c>
      <c r="C48" t="s">
        <v>4414</v>
      </c>
      <c r="D48" t="s">
        <v>7294</v>
      </c>
      <c r="E48" t="s">
        <v>7323</v>
      </c>
      <c r="F48" t="s">
        <v>7265</v>
      </c>
    </row>
    <row r="49" spans="1:6" ht="15" customHeight="1" x14ac:dyDescent="0.25">
      <c r="A49" t="s">
        <v>7324</v>
      </c>
      <c r="B49" t="s">
        <v>4015</v>
      </c>
      <c r="C49" t="s">
        <v>5073</v>
      </c>
      <c r="D49" t="s">
        <v>7296</v>
      </c>
      <c r="E49" t="s">
        <v>7325</v>
      </c>
      <c r="F49" t="s">
        <v>7265</v>
      </c>
    </row>
    <row r="50" spans="1:6" ht="15" customHeight="1" x14ac:dyDescent="0.25">
      <c r="A50" t="s">
        <v>7326</v>
      </c>
      <c r="B50" t="s">
        <v>4037</v>
      </c>
      <c r="C50" t="s">
        <v>4410</v>
      </c>
      <c r="D50" t="s">
        <v>7244</v>
      </c>
      <c r="E50" t="s">
        <v>7327</v>
      </c>
      <c r="F50" t="s">
        <v>7232</v>
      </c>
    </row>
    <row r="51" spans="1:6" ht="15" customHeight="1" x14ac:dyDescent="0.25">
      <c r="A51" t="s">
        <v>7328</v>
      </c>
      <c r="B51" t="s">
        <v>4037</v>
      </c>
      <c r="C51" t="s">
        <v>4414</v>
      </c>
      <c r="D51" t="s">
        <v>7230</v>
      </c>
      <c r="E51" t="s">
        <v>7327</v>
      </c>
      <c r="F51" t="s">
        <v>7232</v>
      </c>
    </row>
    <row r="52" spans="1:6" ht="15" customHeight="1" x14ac:dyDescent="0.25">
      <c r="A52" t="s">
        <v>7329</v>
      </c>
      <c r="B52" t="s">
        <v>4037</v>
      </c>
      <c r="C52" t="s">
        <v>5073</v>
      </c>
      <c r="D52" t="s">
        <v>7248</v>
      </c>
      <c r="E52" t="s">
        <v>7327</v>
      </c>
      <c r="F52" t="s">
        <v>7232</v>
      </c>
    </row>
    <row r="53" spans="1:6" ht="15" customHeight="1" x14ac:dyDescent="0.25">
      <c r="A53" t="s">
        <v>7330</v>
      </c>
      <c r="B53" t="s">
        <v>4015</v>
      </c>
      <c r="C53" t="s">
        <v>4410</v>
      </c>
      <c r="D53" t="s">
        <v>7331</v>
      </c>
      <c r="E53" t="s">
        <v>7332</v>
      </c>
      <c r="F53" t="s">
        <v>7265</v>
      </c>
    </row>
    <row r="54" spans="1:6" ht="15" customHeight="1" x14ac:dyDescent="0.25">
      <c r="A54" t="s">
        <v>7333</v>
      </c>
      <c r="B54" t="s">
        <v>4015</v>
      </c>
      <c r="C54" t="s">
        <v>4414</v>
      </c>
      <c r="D54" t="s">
        <v>7334</v>
      </c>
      <c r="E54" t="s">
        <v>7332</v>
      </c>
      <c r="F54" t="s">
        <v>7265</v>
      </c>
    </row>
    <row r="55" spans="1:6" ht="15" customHeight="1" x14ac:dyDescent="0.25">
      <c r="A55" t="s">
        <v>7335</v>
      </c>
      <c r="B55" t="s">
        <v>4015</v>
      </c>
      <c r="C55" t="s">
        <v>5073</v>
      </c>
      <c r="D55" t="s">
        <v>7336</v>
      </c>
      <c r="E55" t="s">
        <v>7332</v>
      </c>
      <c r="F55" t="s">
        <v>7265</v>
      </c>
    </row>
    <row r="56" spans="1:6" ht="15" customHeight="1" x14ac:dyDescent="0.25">
      <c r="A56" t="s">
        <v>7337</v>
      </c>
      <c r="B56" t="s">
        <v>5070</v>
      </c>
      <c r="C56" t="s">
        <v>4410</v>
      </c>
      <c r="D56" t="s">
        <v>7338</v>
      </c>
      <c r="E56" t="s">
        <v>7339</v>
      </c>
      <c r="F56" t="s">
        <v>7265</v>
      </c>
    </row>
    <row r="57" spans="1:6" ht="15" customHeight="1" x14ac:dyDescent="0.25">
      <c r="A57" t="s">
        <v>7340</v>
      </c>
      <c r="B57" t="s">
        <v>5070</v>
      </c>
      <c r="C57" t="s">
        <v>4414</v>
      </c>
      <c r="D57" t="s">
        <v>7341</v>
      </c>
      <c r="E57" t="s">
        <v>7339</v>
      </c>
      <c r="F57" t="s">
        <v>7265</v>
      </c>
    </row>
    <row r="58" spans="1:6" ht="15" customHeight="1" x14ac:dyDescent="0.25">
      <c r="A58" t="s">
        <v>7342</v>
      </c>
      <c r="B58" t="s">
        <v>5070</v>
      </c>
      <c r="C58" t="s">
        <v>5073</v>
      </c>
      <c r="D58" t="s">
        <v>7343</v>
      </c>
      <c r="E58" t="s">
        <v>7339</v>
      </c>
      <c r="F58" t="s">
        <v>7265</v>
      </c>
    </row>
    <row r="59" spans="1:6" ht="15" customHeight="1" x14ac:dyDescent="0.25">
      <c r="A59" t="s">
        <v>7344</v>
      </c>
      <c r="B59" t="s">
        <v>5070</v>
      </c>
      <c r="C59" t="s">
        <v>4410</v>
      </c>
      <c r="D59" t="s">
        <v>7244</v>
      </c>
      <c r="E59" t="s">
        <v>7345</v>
      </c>
      <c r="F59" t="s">
        <v>3854</v>
      </c>
    </row>
    <row r="60" spans="1:6" ht="15" customHeight="1" x14ac:dyDescent="0.25">
      <c r="A60" t="s">
        <v>7346</v>
      </c>
      <c r="B60" t="s">
        <v>5070</v>
      </c>
      <c r="C60" t="s">
        <v>4414</v>
      </c>
      <c r="D60" t="s">
        <v>7230</v>
      </c>
      <c r="E60" t="s">
        <v>7345</v>
      </c>
      <c r="F60" t="s">
        <v>3854</v>
      </c>
    </row>
    <row r="61" spans="1:6" ht="15" customHeight="1" x14ac:dyDescent="0.25">
      <c r="A61" t="s">
        <v>7347</v>
      </c>
      <c r="B61" t="s">
        <v>5070</v>
      </c>
      <c r="C61" t="s">
        <v>5073</v>
      </c>
      <c r="D61" t="s">
        <v>7248</v>
      </c>
      <c r="E61" t="s">
        <v>7345</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7348</v>
      </c>
      <c r="B2" t="s">
        <v>4992</v>
      </c>
    </row>
    <row r="3" spans="1:2" ht="15" customHeight="1" x14ac:dyDescent="0.25">
      <c r="A3" t="s">
        <v>7349</v>
      </c>
      <c r="B3" t="s">
        <v>4992</v>
      </c>
    </row>
    <row r="4" spans="1:2" ht="15" customHeight="1" x14ac:dyDescent="0.25">
      <c r="A4" t="s">
        <v>7350</v>
      </c>
      <c r="B4" t="s">
        <v>4992</v>
      </c>
    </row>
    <row r="5" spans="1:2" ht="15" customHeight="1" x14ac:dyDescent="0.25">
      <c r="A5" t="s">
        <v>7351</v>
      </c>
      <c r="B5" t="s">
        <v>4992</v>
      </c>
    </row>
    <row r="6" spans="1:2" ht="15" customHeight="1" x14ac:dyDescent="0.25">
      <c r="A6" t="s">
        <v>3989</v>
      </c>
      <c r="B6" t="s">
        <v>4992</v>
      </c>
    </row>
    <row r="7" spans="1:2" ht="15" customHeight="1" x14ac:dyDescent="0.25">
      <c r="A7" t="s">
        <v>7352</v>
      </c>
      <c r="B7" t="s">
        <v>4992</v>
      </c>
    </row>
    <row r="8" spans="1:2" ht="15" customHeight="1" x14ac:dyDescent="0.25">
      <c r="A8" t="s">
        <v>7353</v>
      </c>
      <c r="B8" t="s">
        <v>4992</v>
      </c>
    </row>
    <row r="9" spans="1:2" ht="15" customHeight="1" x14ac:dyDescent="0.25">
      <c r="A9" t="s">
        <v>7354</v>
      </c>
      <c r="B9" t="s">
        <v>4992</v>
      </c>
    </row>
    <row r="10" spans="1:2" ht="15" customHeight="1" x14ac:dyDescent="0.25">
      <c r="A10" t="s">
        <v>7355</v>
      </c>
      <c r="B10" t="s">
        <v>4992</v>
      </c>
    </row>
    <row r="11" spans="1:2" ht="15" customHeight="1" x14ac:dyDescent="0.25">
      <c r="A11" t="s">
        <v>7356</v>
      </c>
      <c r="B11" t="s">
        <v>4992</v>
      </c>
    </row>
    <row r="12" spans="1:2" ht="15" customHeight="1" x14ac:dyDescent="0.25">
      <c r="A12" t="s">
        <v>7357</v>
      </c>
      <c r="B12" t="s">
        <v>4419</v>
      </c>
    </row>
    <row r="13" spans="1:2" ht="15" customHeight="1" x14ac:dyDescent="0.25">
      <c r="A13" t="s">
        <v>7358</v>
      </c>
      <c r="B13" t="s">
        <v>4419</v>
      </c>
    </row>
    <row r="14" spans="1:2" ht="15" customHeight="1" x14ac:dyDescent="0.25">
      <c r="A14" t="s">
        <v>7359</v>
      </c>
      <c r="B14" t="s">
        <v>4419</v>
      </c>
    </row>
    <row r="15" spans="1:2" ht="15" customHeight="1" x14ac:dyDescent="0.25">
      <c r="A15" t="s">
        <v>7360</v>
      </c>
      <c r="B15" t="s">
        <v>4419</v>
      </c>
    </row>
    <row r="16" spans="1:2" ht="15" customHeight="1" x14ac:dyDescent="0.25">
      <c r="A16" t="s">
        <v>7361</v>
      </c>
      <c r="B16" t="s">
        <v>4419</v>
      </c>
    </row>
    <row r="17" spans="1:2" ht="15" customHeight="1" x14ac:dyDescent="0.25">
      <c r="A17" t="s">
        <v>7362</v>
      </c>
      <c r="B17" t="s">
        <v>4419</v>
      </c>
    </row>
    <row r="18" spans="1:2" ht="15" customHeight="1" x14ac:dyDescent="0.25">
      <c r="A18" t="s">
        <v>7363</v>
      </c>
      <c r="B18" t="s">
        <v>7364</v>
      </c>
    </row>
    <row r="19" spans="1:2" ht="15" customHeight="1" x14ac:dyDescent="0.25">
      <c r="A19" t="s">
        <v>7365</v>
      </c>
      <c r="B19" t="s">
        <v>7364</v>
      </c>
    </row>
    <row r="20" spans="1:2" ht="15" customHeight="1" x14ac:dyDescent="0.25">
      <c r="A20" t="s">
        <v>7366</v>
      </c>
      <c r="B20" t="s">
        <v>7364</v>
      </c>
    </row>
    <row r="21" spans="1:2" ht="15" customHeight="1" x14ac:dyDescent="0.25">
      <c r="A21" t="s">
        <v>7367</v>
      </c>
      <c r="B21" t="s">
        <v>7364</v>
      </c>
    </row>
    <row r="22" spans="1:2" ht="15" customHeight="1" x14ac:dyDescent="0.25">
      <c r="A22" t="s">
        <v>7368</v>
      </c>
      <c r="B22" t="s">
        <v>7364</v>
      </c>
    </row>
    <row r="23" spans="1:2" ht="15" customHeight="1" x14ac:dyDescent="0.25">
      <c r="A23" t="s">
        <v>3986</v>
      </c>
      <c r="B23" t="s">
        <v>7364</v>
      </c>
    </row>
    <row r="24" spans="1:2" ht="15" customHeight="1" x14ac:dyDescent="0.25">
      <c r="A24" t="s">
        <v>7369</v>
      </c>
      <c r="B24" t="s">
        <v>7364</v>
      </c>
    </row>
    <row r="25" spans="1:2" ht="15" customHeight="1" x14ac:dyDescent="0.25">
      <c r="A25" t="s">
        <v>7370</v>
      </c>
      <c r="B25" t="s">
        <v>7364</v>
      </c>
    </row>
    <row r="26" spans="1:2" ht="15" customHeight="1" x14ac:dyDescent="0.25">
      <c r="A26" t="s">
        <v>7371</v>
      </c>
      <c r="B26" t="s">
        <v>7364</v>
      </c>
    </row>
    <row r="27" spans="1:2" ht="15" customHeight="1" x14ac:dyDescent="0.25">
      <c r="A27" t="s">
        <v>7372</v>
      </c>
      <c r="B27" t="s">
        <v>7364</v>
      </c>
    </row>
    <row r="28" spans="1:2" ht="15" customHeight="1" x14ac:dyDescent="0.25">
      <c r="A28" t="s">
        <v>7373</v>
      </c>
      <c r="B28" t="s">
        <v>7364</v>
      </c>
    </row>
    <row r="29" spans="1:2" ht="15" customHeight="1" x14ac:dyDescent="0.25">
      <c r="A29" t="s">
        <v>7374</v>
      </c>
      <c r="B29" t="s">
        <v>7364</v>
      </c>
    </row>
    <row r="30" spans="1:2" ht="15" customHeight="1" x14ac:dyDescent="0.25">
      <c r="A30" t="s">
        <v>7375</v>
      </c>
      <c r="B30" t="s">
        <v>7364</v>
      </c>
    </row>
    <row r="31" spans="1:2" ht="15" customHeight="1" x14ac:dyDescent="0.25">
      <c r="A31" t="s">
        <v>7376</v>
      </c>
      <c r="B31" t="s">
        <v>7364</v>
      </c>
    </row>
    <row r="32" spans="1:2" ht="15" customHeight="1" x14ac:dyDescent="0.25">
      <c r="A32" t="s">
        <v>7377</v>
      </c>
      <c r="B32" t="s">
        <v>7364</v>
      </c>
    </row>
    <row r="33" spans="1:2" ht="15" customHeight="1" x14ac:dyDescent="0.25">
      <c r="A33" t="s">
        <v>7378</v>
      </c>
      <c r="B33" t="s">
        <v>7364</v>
      </c>
    </row>
    <row r="34" spans="1:2" ht="15" customHeight="1" x14ac:dyDescent="0.25">
      <c r="A34" t="s">
        <v>7379</v>
      </c>
      <c r="B34" t="s">
        <v>7364</v>
      </c>
    </row>
    <row r="35" spans="1:2" ht="15" customHeight="1" x14ac:dyDescent="0.25">
      <c r="A35" t="s">
        <v>7380</v>
      </c>
      <c r="B35" t="s">
        <v>7364</v>
      </c>
    </row>
    <row r="36" spans="1:2" ht="15" customHeight="1" x14ac:dyDescent="0.25">
      <c r="A36" t="s">
        <v>7381</v>
      </c>
      <c r="B36" t="s">
        <v>7364</v>
      </c>
    </row>
    <row r="37" spans="1:2" ht="15" customHeight="1" x14ac:dyDescent="0.25">
      <c r="A37" t="s">
        <v>7382</v>
      </c>
      <c r="B37" t="s">
        <v>7364</v>
      </c>
    </row>
    <row r="38" spans="1:2" ht="15" customHeight="1" x14ac:dyDescent="0.25">
      <c r="A38" t="s">
        <v>7383</v>
      </c>
      <c r="B38" t="s">
        <v>7364</v>
      </c>
    </row>
    <row r="39" spans="1:2" ht="15" customHeight="1" x14ac:dyDescent="0.25">
      <c r="A39" t="s">
        <v>7384</v>
      </c>
      <c r="B39" t="s">
        <v>4419</v>
      </c>
    </row>
    <row r="40" spans="1:2" ht="15" customHeight="1" x14ac:dyDescent="0.25">
      <c r="A40" t="s">
        <v>7385</v>
      </c>
      <c r="B40" t="s">
        <v>7364</v>
      </c>
    </row>
    <row r="41" spans="1:2" ht="15" customHeight="1" x14ac:dyDescent="0.25">
      <c r="A41" t="s">
        <v>7386</v>
      </c>
      <c r="B41" t="s">
        <v>7364</v>
      </c>
    </row>
    <row r="42" spans="1:2" ht="15" customHeight="1" x14ac:dyDescent="0.25">
      <c r="A42" t="s">
        <v>7387</v>
      </c>
      <c r="B42" t="s">
        <v>7364</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4354</v>
      </c>
      <c r="E1" s="16" t="s">
        <v>7388</v>
      </c>
      <c r="F1" s="16" t="s">
        <v>7389</v>
      </c>
      <c r="G1" s="16" t="s">
        <v>7390</v>
      </c>
      <c r="H1" s="16" t="s">
        <v>7391</v>
      </c>
      <c r="I1" s="16" t="s">
        <v>7392</v>
      </c>
      <c r="J1" s="16" t="s">
        <v>7393</v>
      </c>
      <c r="K1" s="16" t="s">
        <v>7394</v>
      </c>
      <c r="L1" s="16" t="s">
        <v>7395</v>
      </c>
      <c r="M1" s="16" t="s">
        <v>7396</v>
      </c>
      <c r="N1" s="16" t="s">
        <v>7397</v>
      </c>
      <c r="O1" s="16" t="s">
        <v>7398</v>
      </c>
      <c r="P1" s="16" t="s">
        <v>172</v>
      </c>
      <c r="Q1" s="16" t="s">
        <v>7399</v>
      </c>
      <c r="R1" s="16" t="s">
        <v>4356</v>
      </c>
      <c r="T1" s="16" t="s">
        <v>7400</v>
      </c>
      <c r="U1" s="16" t="s">
        <v>7401</v>
      </c>
      <c r="V1" s="16" t="s">
        <v>7402</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51</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51.000053999999999</v>
      </c>
      <c r="P54" t="str">
        <f>IF(OR($A54="",games!$H54=""),"",games!$H54)</f>
        <v>Yes</v>
      </c>
      <c r="Q54">
        <f t="shared" si="11"/>
        <v>51.000053999999999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5</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5.0001860000000002</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23</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23.000419999999998</v>
      </c>
      <c r="P420" t="str">
        <f>IF(OR($A420="",games!$H420=""),"",games!$H420)</f>
        <v>Yes</v>
      </c>
      <c r="Q420">
        <f t="shared" si="89"/>
        <v>23.000419999999998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3</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3.0004339999999998</v>
      </c>
      <c r="P434" t="str">
        <f>IF(OR($A434="",games!$H434=""),"",games!$H434)</f>
        <v>Yes</v>
      </c>
      <c r="Q434">
        <f t="shared" si="89"/>
        <v>3.0004339999999998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70</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70.000738999999996</v>
      </c>
      <c r="P739" t="str">
        <f>IF(OR($A739="",games!$H739=""),"",games!$H739)</f>
        <v>Yes</v>
      </c>
      <c r="Q739">
        <f t="shared" si="154"/>
        <v>70.000738999999996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Combolands</v>
      </c>
      <c r="B856">
        <f>IF($A856="","",games!$B856)</f>
        <v>2026</v>
      </c>
      <c r="C856" t="str">
        <f>IF($A856="","",games!$C856)</f>
        <v>Strategy</v>
      </c>
      <c r="D856">
        <f>IF($A856="","",COUNTIF(connections!$A$2:$A$1400,$A856)+COUNTIF(connections!$B$2:$B$1400,$A856))</f>
        <v>2</v>
      </c>
      <c r="E856">
        <f t="shared" si="169"/>
        <v>2</v>
      </c>
      <c r="F856">
        <f t="shared" si="170"/>
        <v>6</v>
      </c>
      <c r="G856" t="e">
        <f t="shared" si="171"/>
        <v>#N/A</v>
      </c>
      <c r="H856" t="e">
        <f t="shared" si="172"/>
        <v>#N/A</v>
      </c>
      <c r="I856">
        <f t="shared" si="173"/>
        <v>2026</v>
      </c>
      <c r="J856">
        <f t="shared" si="174"/>
        <v>2.1379999999999999</v>
      </c>
      <c r="K856" t="e">
        <f t="shared" si="175"/>
        <v>#N/A</v>
      </c>
      <c r="L856" t="e">
        <f t="shared" si="176"/>
        <v>#N/A</v>
      </c>
      <c r="M856" t="e">
        <f t="shared" si="177"/>
        <v>#N/A</v>
      </c>
      <c r="N856" t="e">
        <f t="shared" si="178"/>
        <v>#N/A</v>
      </c>
      <c r="O856">
        <f t="shared" si="179"/>
        <v>2.0008560000000002</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PengPong</v>
      </c>
      <c r="B857">
        <f>IF($A857="","",games!$B857)</f>
        <v>2026</v>
      </c>
      <c r="C857" t="str">
        <f>IF($A857="","",games!$C857)</f>
        <v>Action</v>
      </c>
      <c r="D857">
        <f>IF($A857="","",COUNTIF(connections!$A$2:$A$1400,$A857)+COUNTIF(connections!$B$2:$B$1400,$A857))</f>
        <v>7</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7.0008569999999999</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2022</v>
      </c>
      <c r="U1231">
        <f>IF(connections!$A1231="","",IFERROR(INDEX(games!$B$2:$B$950,MATCH(connections!$B1231,games!$A$2:$A$950,0)),""))</f>
        <v>2026</v>
      </c>
      <c r="V1231">
        <f t="shared" si="199"/>
        <v>4</v>
      </c>
    </row>
    <row r="1232" spans="20:22" x14ac:dyDescent="0.25">
      <c r="T1232">
        <f>IF(connections!$A1232="","",IFERROR(INDEX(games!$B$2:$B$950,MATCH(connections!$A1232,games!$A$2:$A$950,0)),""))</f>
        <v>2022</v>
      </c>
      <c r="U1232">
        <f>IF(connections!$A1232="","",IFERROR(INDEX(games!$B$2:$B$950,MATCH(connections!$B1232,games!$A$2:$A$950,0)),""))</f>
        <v>2026</v>
      </c>
      <c r="V1232">
        <f t="shared" si="199"/>
        <v>4</v>
      </c>
    </row>
    <row r="1233" spans="20:22" x14ac:dyDescent="0.25">
      <c r="T1233">
        <f>IF(connections!$A1233="","",IFERROR(INDEX(games!$B$2:$B$950,MATCH(connections!$A1233,games!$A$2:$A$950,0)),""))</f>
        <v>2011</v>
      </c>
      <c r="U1233">
        <f>IF(connections!$A1233="","",IFERROR(INDEX(games!$B$2:$B$950,MATCH(connections!$B1233,games!$A$2:$A$950,0)),""))</f>
        <v>2026</v>
      </c>
      <c r="V1233">
        <f t="shared" si="199"/>
        <v>15</v>
      </c>
    </row>
    <row r="1234" spans="20:22" x14ac:dyDescent="0.25">
      <c r="T1234">
        <f>IF(connections!$A1234="","",IFERROR(INDEX(games!$B$2:$B$950,MATCH(connections!$A1234,games!$A$2:$A$950,0)),""))</f>
        <v>2025</v>
      </c>
      <c r="U1234">
        <f>IF(connections!$A1234="","",IFERROR(INDEX(games!$B$2:$B$950,MATCH(connections!$B1234,games!$A$2:$A$950,0)),""))</f>
        <v>2026</v>
      </c>
      <c r="V1234">
        <f t="shared" si="199"/>
        <v>1</v>
      </c>
    </row>
    <row r="1235" spans="20:22" x14ac:dyDescent="0.25">
      <c r="T1235">
        <f>IF(connections!$A1235="","",IFERROR(INDEX(games!$B$2:$B$950,MATCH(connections!$A1235,games!$A$2:$A$950,0)),""))</f>
        <v>2025</v>
      </c>
      <c r="U1235">
        <f>IF(connections!$A1235="","",IFERROR(INDEX(games!$B$2:$B$950,MATCH(connections!$B1235,games!$A$2:$A$950,0)),""))</f>
        <v>2026</v>
      </c>
      <c r="V1235">
        <f t="shared" si="199"/>
        <v>1</v>
      </c>
    </row>
    <row r="1236" spans="20:22" x14ac:dyDescent="0.25">
      <c r="T1236">
        <f>IF(connections!$A1236="","",IFERROR(INDEX(games!$B$2:$B$950,MATCH(connections!$A1236,games!$A$2:$A$950,0)),""))</f>
        <v>2025</v>
      </c>
      <c r="U1236">
        <f>IF(connections!$A1236="","",IFERROR(INDEX(games!$B$2:$B$950,MATCH(connections!$B1236,games!$A$2:$A$950,0)),""))</f>
        <v>2026</v>
      </c>
      <c r="V1236">
        <f t="shared" si="199"/>
        <v>1</v>
      </c>
    </row>
    <row r="1237" spans="20:22" x14ac:dyDescent="0.25">
      <c r="T1237">
        <f>IF(connections!$A1237="","",IFERROR(INDEX(games!$B$2:$B$950,MATCH(connections!$A1237,games!$A$2:$A$950,0)),""))</f>
        <v>2024</v>
      </c>
      <c r="U1237">
        <f>IF(connections!$A1237="","",IFERROR(INDEX(games!$B$2:$B$950,MATCH(connections!$B1237,games!$A$2:$A$950,0)),""))</f>
        <v>2026</v>
      </c>
      <c r="V1237">
        <f t="shared" si="199"/>
        <v>2</v>
      </c>
    </row>
    <row r="1238" spans="20:22" x14ac:dyDescent="0.25">
      <c r="T1238">
        <f>IF(connections!$A1238="","",IFERROR(INDEX(games!$B$2:$B$950,MATCH(connections!$A1238,games!$A$2:$A$950,0)),""))</f>
        <v>2024</v>
      </c>
      <c r="U1238">
        <f>IF(connections!$A1238="","",IFERROR(INDEX(games!$B$2:$B$950,MATCH(connections!$B1238,games!$A$2:$A$950,0)),""))</f>
        <v>2025</v>
      </c>
      <c r="V1238">
        <f t="shared" si="199"/>
        <v>1</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2026-08-31T10:02:00Z</dcterms:modified>
  <dc:language>en-US</dc:language>
</cp:coreProperties>
</file>