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0797AFA-B499-47ED-9BD7-2147B02BD18D}"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62" i="1" l="1"/>
  <c r="D862" i="1"/>
  <c r="E98" i="1"/>
  <c r="D98" i="1"/>
  <c r="E525" i="1"/>
  <c r="D525" i="1"/>
  <c r="E331" i="1"/>
  <c r="D331" i="1"/>
  <c r="E796" i="1"/>
  <c r="D796" i="1"/>
  <c r="E541" i="1"/>
  <c r="D541"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A862" i="47"/>
  <c r="U861" i="47"/>
  <c r="T861" i="47"/>
  <c r="B861" i="47"/>
  <c r="A861" i="47"/>
  <c r="U860" i="47"/>
  <c r="T860" i="47"/>
  <c r="A860" i="47"/>
  <c r="P860" i="47" s="1"/>
  <c r="Q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C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C775" i="47"/>
  <c r="L775" i="47" s="1"/>
  <c r="A775" i="47"/>
  <c r="U774" i="47"/>
  <c r="T774" i="47"/>
  <c r="D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C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C484" i="47"/>
  <c r="E484" i="47" s="1"/>
  <c r="A484" i="47"/>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B429" i="47"/>
  <c r="A429" i="47"/>
  <c r="C429" i="47" s="1"/>
  <c r="U428" i="47"/>
  <c r="T428" i="47"/>
  <c r="A428" i="47"/>
  <c r="P428" i="47" s="1"/>
  <c r="U427" i="47"/>
  <c r="T427" i="47"/>
  <c r="A427" i="47"/>
  <c r="P427" i="47" s="1"/>
  <c r="Q427" i="47" s="1"/>
  <c r="U426" i="47"/>
  <c r="T426" i="47"/>
  <c r="D426" i="47"/>
  <c r="O426" i="47" s="1"/>
  <c r="B426" i="47"/>
  <c r="A426" i="47"/>
  <c r="U425" i="47"/>
  <c r="T425" i="47"/>
  <c r="F425" i="47"/>
  <c r="A425" i="47"/>
  <c r="B425" i="47" s="1"/>
  <c r="U424" i="47"/>
  <c r="T424" i="47"/>
  <c r="F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A328" i="47"/>
  <c r="B328" i="47" s="1"/>
  <c r="U327" i="47"/>
  <c r="T327" i="47"/>
  <c r="A327" i="47"/>
  <c r="F327" i="47" s="1"/>
  <c r="U326" i="47"/>
  <c r="T326" i="47"/>
  <c r="A326" i="47"/>
  <c r="P326" i="47" s="1"/>
  <c r="U325" i="47"/>
  <c r="T325" i="47"/>
  <c r="A325" i="47"/>
  <c r="P325" i="47" s="1"/>
  <c r="U324" i="47"/>
  <c r="T324" i="47"/>
  <c r="F324" i="47"/>
  <c r="C324" i="47"/>
  <c r="N324" i="47" s="1"/>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D265" i="47"/>
  <c r="O265" i="47" s="1"/>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C220" i="47"/>
  <c r="J220" i="47" s="1"/>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F204" i="47"/>
  <c r="L204" i="47" s="1"/>
  <c r="B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C198" i="47"/>
  <c r="N198" i="47" s="1"/>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C119" i="47"/>
  <c r="N119" i="47" s="1"/>
  <c r="A119" i="47"/>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C55" i="47"/>
  <c r="K55" i="47" s="1"/>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D616" i="1"/>
  <c r="E615" i="1"/>
  <c r="D615" i="1"/>
  <c r="E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0" i="1"/>
  <c r="D540" i="1"/>
  <c r="E539" i="1"/>
  <c r="D539" i="1"/>
  <c r="E538" i="1"/>
  <c r="D538" i="1"/>
  <c r="E537" i="1"/>
  <c r="D537" i="1"/>
  <c r="E536" i="1"/>
  <c r="E535" i="1"/>
  <c r="D535" i="1"/>
  <c r="E534" i="1"/>
  <c r="D534" i="1"/>
  <c r="E533" i="1"/>
  <c r="D533" i="1"/>
  <c r="E532" i="1"/>
  <c r="D532" i="1"/>
  <c r="E531" i="1"/>
  <c r="D531" i="1"/>
  <c r="E530" i="1"/>
  <c r="D530" i="1"/>
  <c r="E529" i="1"/>
  <c r="D529" i="1"/>
  <c r="E528" i="1"/>
  <c r="D528" i="1"/>
  <c r="E527" i="1"/>
  <c r="E526" i="1"/>
  <c r="D526"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E339" i="1"/>
  <c r="D339" i="1"/>
  <c r="E338" i="1"/>
  <c r="D338" i="1"/>
  <c r="E337" i="1"/>
  <c r="D337" i="1"/>
  <c r="E336" i="1"/>
  <c r="D336" i="1"/>
  <c r="E335" i="1"/>
  <c r="D335" i="1"/>
  <c r="E334" i="1"/>
  <c r="D334" i="1"/>
  <c r="E333" i="1"/>
  <c r="D333" i="1"/>
  <c r="E332" i="1"/>
  <c r="D332"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97" i="47" l="1"/>
  <c r="B179" i="47"/>
  <c r="C264" i="47"/>
  <c r="E264" i="47" s="1"/>
  <c r="F450" i="47"/>
  <c r="F470" i="47"/>
  <c r="P571" i="47"/>
  <c r="F601" i="47"/>
  <c r="F734" i="47"/>
  <c r="D764" i="47"/>
  <c r="O764" i="47" s="1"/>
  <c r="C817" i="47"/>
  <c r="L817" i="47" s="1"/>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C486" i="47"/>
  <c r="E486" i="47" s="1"/>
  <c r="E660" i="47"/>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B220" i="47"/>
  <c r="D233" i="47"/>
  <c r="O233" i="47" s="1"/>
  <c r="N310" i="47"/>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D100" i="47"/>
  <c r="O100" i="47" s="1"/>
  <c r="D178" i="47"/>
  <c r="O178" i="47" s="1"/>
  <c r="C178" i="47"/>
  <c r="C276" i="47"/>
  <c r="B276" i="47"/>
  <c r="F426" i="47"/>
  <c r="H426" i="47" s="1"/>
  <c r="C426" i="47"/>
  <c r="P426" i="47"/>
  <c r="Q426" i="47" s="1"/>
  <c r="P435" i="47"/>
  <c r="F435" i="47"/>
  <c r="K448" i="47"/>
  <c r="M507" i="47"/>
  <c r="P539" i="47"/>
  <c r="C548" i="47"/>
  <c r="D548" i="47"/>
  <c r="O548" i="47" s="1"/>
  <c r="B548" i="47"/>
  <c r="N660" i="47"/>
  <c r="L660" i="47"/>
  <c r="K660" i="47"/>
  <c r="P678" i="47"/>
  <c r="D678" i="47"/>
  <c r="C814" i="47"/>
  <c r="L814" i="47" s="1"/>
  <c r="B814" i="47"/>
  <c r="F858" i="47"/>
  <c r="D858" i="47"/>
  <c r="O858" i="47" s="1"/>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B155" i="47"/>
  <c r="F7" i="47"/>
  <c r="F9" i="47"/>
  <c r="F13" i="47"/>
  <c r="B29" i="47"/>
  <c r="C29" i="47"/>
  <c r="J29" i="47" s="1"/>
  <c r="M53" i="47"/>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F11" i="47"/>
  <c r="L11" i="47" s="1"/>
  <c r="F15" i="47"/>
  <c r="H17" i="47"/>
  <c r="C19" i="47"/>
  <c r="D21" i="47"/>
  <c r="O21" i="47" s="1"/>
  <c r="C25" i="47"/>
  <c r="J25" i="47" s="1"/>
  <c r="C27" i="47"/>
  <c r="H29" i="47"/>
  <c r="F31" i="47"/>
  <c r="J33" i="47"/>
  <c r="P37" i="47"/>
  <c r="F42" i="47"/>
  <c r="B45" i="47"/>
  <c r="D45" i="47"/>
  <c r="O45" i="47" s="1"/>
  <c r="K49" i="47"/>
  <c r="B81" i="47"/>
  <c r="D88" i="47"/>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P101" i="47"/>
  <c r="Q101" i="47" s="1"/>
  <c r="P125" i="47"/>
  <c r="C125" i="47"/>
  <c r="G125" i="47" s="1"/>
  <c r="B125" i="47"/>
  <c r="C159" i="47"/>
  <c r="N159" i="47" s="1"/>
  <c r="B159" i="47"/>
  <c r="K159" i="47" s="1"/>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L159" i="47" s="1"/>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Q122" i="47"/>
  <c r="D122" i="47"/>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I196" i="47"/>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G166" i="47"/>
  <c r="E186" i="47"/>
  <c r="M204" i="47"/>
  <c r="C230" i="47"/>
  <c r="N230" i="47" s="1"/>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L162"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B119" i="47"/>
  <c r="D121" i="47"/>
  <c r="O121" i="47" s="1"/>
  <c r="B132" i="47"/>
  <c r="I132" i="47" s="1"/>
  <c r="B133" i="47"/>
  <c r="K133" i="47" s="1"/>
  <c r="C163" i="47"/>
  <c r="K163" i="47" s="1"/>
  <c r="V168" i="47"/>
  <c r="C171" i="47"/>
  <c r="H171" i="47" s="1"/>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G326"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O212" i="47" s="1"/>
  <c r="C214" i="47"/>
  <c r="L214" i="47" s="1"/>
  <c r="C216" i="47"/>
  <c r="H216" i="47" s="1"/>
  <c r="C218" i="47"/>
  <c r="L218" i="47" s="1"/>
  <c r="F222" i="47"/>
  <c r="B306" i="47"/>
  <c r="D306" i="47"/>
  <c r="D316" i="47"/>
  <c r="O316" i="47" s="1"/>
  <c r="B316" i="47"/>
  <c r="C404" i="47"/>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M560" i="47"/>
  <c r="F583" i="47"/>
  <c r="P583" i="47"/>
  <c r="D583" i="47"/>
  <c r="O583" i="47" s="1"/>
  <c r="C583" i="47"/>
  <c r="B644" i="47"/>
  <c r="M644" i="47" s="1"/>
  <c r="P475" i="47"/>
  <c r="I475" i="47"/>
  <c r="D500" i="47"/>
  <c r="B500" i="47"/>
  <c r="C520" i="47"/>
  <c r="B520" i="47"/>
  <c r="F520" i="47"/>
  <c r="P591" i="47"/>
  <c r="B591" i="47"/>
  <c r="G591" i="47" s="1"/>
  <c r="E591" i="47"/>
  <c r="D597" i="47"/>
  <c r="Q597" i="47" s="1"/>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724" i="47"/>
  <c r="Q389" i="47"/>
  <c r="Q434" i="47"/>
  <c r="Q97" i="47"/>
  <c r="Q81" i="47"/>
  <c r="Q694" i="47"/>
  <c r="Q497" i="47"/>
  <c r="Q563" i="47"/>
  <c r="Q174" i="47"/>
  <c r="Q471" i="47"/>
  <c r="Q661" i="47"/>
  <c r="Q354" i="47"/>
  <c r="Q206" i="47"/>
  <c r="Q290"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I12" i="47"/>
  <c r="E13" i="47"/>
  <c r="Q14" i="47"/>
  <c r="I16" i="47"/>
  <c r="E17" i="47"/>
  <c r="E21" i="47"/>
  <c r="I24" i="47"/>
  <c r="E25" i="47"/>
  <c r="Q26" i="47"/>
  <c r="I28" i="47"/>
  <c r="E29" i="47"/>
  <c r="I32" i="47"/>
  <c r="E33" i="47"/>
  <c r="Q34" i="47"/>
  <c r="I36" i="47"/>
  <c r="E37" i="47"/>
  <c r="Q38" i="47"/>
  <c r="I40" i="47"/>
  <c r="E41" i="47"/>
  <c r="Q42" i="47"/>
  <c r="E45" i="47"/>
  <c r="Q46" i="47"/>
  <c r="E49" i="47"/>
  <c r="I52" i="47"/>
  <c r="E53" i="47"/>
  <c r="Q54" i="47"/>
  <c r="M55" i="47"/>
  <c r="I56" i="47"/>
  <c r="E57"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O7" i="47"/>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N142" i="47"/>
  <c r="L142" i="47"/>
  <c r="K142" i="47"/>
  <c r="Q3" i="47"/>
  <c r="M4" i="47"/>
  <c r="I5" i="47"/>
  <c r="Q7" i="47"/>
  <c r="M8" i="47"/>
  <c r="I9" i="47"/>
  <c r="Q11" i="47"/>
  <c r="M12" i="47"/>
  <c r="I13" i="47"/>
  <c r="M16" i="47"/>
  <c r="I17" i="47"/>
  <c r="Q19" i="47"/>
  <c r="I21" i="47"/>
  <c r="Q23" i="47"/>
  <c r="I25" i="47"/>
  <c r="Q27" i="47"/>
  <c r="M28" i="47"/>
  <c r="I29" i="47"/>
  <c r="Q31" i="47"/>
  <c r="M32" i="47"/>
  <c r="I33" i="47"/>
  <c r="Q35" i="47"/>
  <c r="M36" i="47"/>
  <c r="I37" i="47"/>
  <c r="M40" i="47"/>
  <c r="I41" i="47"/>
  <c r="Q43"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H86"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J89" i="47"/>
  <c r="D91" i="47"/>
  <c r="Q91" i="47" s="1"/>
  <c r="F102" i="47"/>
  <c r="P106" i="47"/>
  <c r="N107" i="47"/>
  <c r="J109"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L271" i="47"/>
  <c r="K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O220" i="47"/>
  <c r="G222" i="47"/>
  <c r="G226"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Q144" i="47" s="1"/>
  <c r="P148" i="47"/>
  <c r="Q148" i="47" s="1"/>
  <c r="P152" i="47"/>
  <c r="Q152" i="47" s="1"/>
  <c r="H154" i="47"/>
  <c r="P156" i="47"/>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L205" i="47"/>
  <c r="H206" i="47"/>
  <c r="P208" i="47"/>
  <c r="L209" i="47"/>
  <c r="H210" i="47"/>
  <c r="P212" i="47"/>
  <c r="H214" i="47"/>
  <c r="P216" i="47"/>
  <c r="Q216" i="47" s="1"/>
  <c r="H218" i="47"/>
  <c r="P220" i="47"/>
  <c r="Q220" i="47" s="1"/>
  <c r="H222" i="47"/>
  <c r="P224" i="47"/>
  <c r="H226" i="47"/>
  <c r="P228" i="47"/>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H262" i="47"/>
  <c r="O286"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H406"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P361" i="47"/>
  <c r="M363" i="47"/>
  <c r="C371" i="47"/>
  <c r="H371" i="47" s="1"/>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F334" i="47"/>
  <c r="H334" i="47" s="1"/>
  <c r="E340" i="47"/>
  <c r="E346" i="47"/>
  <c r="J350" i="47"/>
  <c r="D352" i="47"/>
  <c r="O352" i="47" s="1"/>
  <c r="H353" i="47"/>
  <c r="O354" i="47"/>
  <c r="F357" i="47"/>
  <c r="C358" i="47"/>
  <c r="K358" i="47" s="1"/>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B375" i="47"/>
  <c r="P375" i="47"/>
  <c r="C380" i="47"/>
  <c r="E380" i="47" s="1"/>
  <c r="B380" i="47"/>
  <c r="F385" i="47"/>
  <c r="L387" i="47"/>
  <c r="F390" i="47"/>
  <c r="D390" i="47"/>
  <c r="O390" i="47" s="1"/>
  <c r="C390" i="47"/>
  <c r="L390" i="47" s="1"/>
  <c r="B390" i="47"/>
  <c r="J391" i="47"/>
  <c r="F394" i="47"/>
  <c r="D394" i="47"/>
  <c r="O394" i="47" s="1"/>
  <c r="C394" i="47"/>
  <c r="M394" i="47" s="1"/>
  <c r="B394" i="47"/>
  <c r="O306" i="47"/>
  <c r="O314" i="47"/>
  <c r="O318" i="47"/>
  <c r="V326" i="47"/>
  <c r="O327" i="47"/>
  <c r="L332" i="47"/>
  <c r="L334" i="47"/>
  <c r="C337" i="47"/>
  <c r="Q338" i="47"/>
  <c r="K340" i="47"/>
  <c r="I341" i="47"/>
  <c r="C343" i="47"/>
  <c r="K346" i="47"/>
  <c r="H347" i="47"/>
  <c r="P350" i="47"/>
  <c r="Q350" i="47" s="1"/>
  <c r="G353" i="47"/>
  <c r="E354" i="47"/>
  <c r="P356" i="47"/>
  <c r="Q356" i="47" s="1"/>
  <c r="G359" i="47"/>
  <c r="D361" i="47"/>
  <c r="O361" i="47" s="1"/>
  <c r="D363" i="47"/>
  <c r="O363" i="47" s="1"/>
  <c r="J365" i="47"/>
  <c r="G365" i="47"/>
  <c r="F365" i="47"/>
  <c r="H365" i="47" s="1"/>
  <c r="F368" i="47"/>
  <c r="P372" i="47"/>
  <c r="D375" i="47"/>
  <c r="O375" i="47" s="1"/>
  <c r="M377" i="47"/>
  <c r="D380" i="47"/>
  <c r="B385" i="47"/>
  <c r="D401" i="47"/>
  <c r="O401" i="47" s="1"/>
  <c r="E404" i="47"/>
  <c r="P322" i="47"/>
  <c r="Q327" i="47"/>
  <c r="M334" i="47"/>
  <c r="V338" i="47"/>
  <c r="M340" i="47"/>
  <c r="J341" i="47"/>
  <c r="D343" i="47"/>
  <c r="L346" i="47"/>
  <c r="I347" i="47"/>
  <c r="F348" i="47"/>
  <c r="K352" i="47"/>
  <c r="I353" i="47"/>
  <c r="F354" i="47"/>
  <c r="H354" i="47" s="1"/>
  <c r="H359" i="47"/>
  <c r="F360" i="47"/>
  <c r="E361" i="47"/>
  <c r="E363" i="47"/>
  <c r="E375" i="47"/>
  <c r="P377" i="47"/>
  <c r="Q377" i="47" s="1"/>
  <c r="P382" i="47"/>
  <c r="C385" i="47"/>
  <c r="J385" i="47" s="1"/>
  <c r="Q306" i="47"/>
  <c r="Q314" i="47"/>
  <c r="Q318" i="47"/>
  <c r="N334" i="47"/>
  <c r="M352" i="47"/>
  <c r="L356" i="47"/>
  <c r="O357" i="47"/>
  <c r="F361" i="47"/>
  <c r="H361" i="47" s="1"/>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O393" i="47"/>
  <c r="N393" i="47"/>
  <c r="M393" i="47"/>
  <c r="K393" i="47"/>
  <c r="H393" i="47"/>
  <c r="G393" i="47"/>
  <c r="F393" i="47"/>
  <c r="J393" i="47" s="1"/>
  <c r="B397" i="47"/>
  <c r="K397" i="47" s="1"/>
  <c r="F403" i="47"/>
  <c r="C403" i="47"/>
  <c r="K403" i="47" s="1"/>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I409" i="47"/>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O408" i="47"/>
  <c r="E411" i="47"/>
  <c r="M414" i="47"/>
  <c r="C417" i="47"/>
  <c r="G417" i="47" s="1"/>
  <c r="N419" i="47"/>
  <c r="E422" i="47"/>
  <c r="C423" i="47"/>
  <c r="G423" i="47" s="1"/>
  <c r="P425" i="47"/>
  <c r="Q425" i="47" s="1"/>
  <c r="D425" i="47"/>
  <c r="O425" i="47" s="1"/>
  <c r="Q447" i="47"/>
  <c r="C459" i="47"/>
  <c r="N459" i="47" s="1"/>
  <c r="F468" i="47"/>
  <c r="D468" i="47"/>
  <c r="O468" i="47" s="1"/>
  <c r="P468" i="47"/>
  <c r="I468" i="47"/>
  <c r="P478" i="47"/>
  <c r="F478" i="47"/>
  <c r="D478" i="47"/>
  <c r="O478" i="47" s="1"/>
  <c r="C478" i="47"/>
  <c r="J478" i="47" s="1"/>
  <c r="J448" i="47"/>
  <c r="D459" i="47"/>
  <c r="O459" i="47" s="1"/>
  <c r="B468" i="47"/>
  <c r="B478" i="47"/>
  <c r="B489" i="47"/>
  <c r="P489" i="47"/>
  <c r="F489" i="47"/>
  <c r="C489" i="47"/>
  <c r="M489" i="47" s="1"/>
  <c r="Q392" i="47"/>
  <c r="Q396" i="47"/>
  <c r="Q400" i="47"/>
  <c r="Q404" i="47"/>
  <c r="Q408" i="47"/>
  <c r="H411" i="47"/>
  <c r="O413" i="47"/>
  <c r="B418" i="47"/>
  <c r="G422" i="47"/>
  <c r="F423" i="47"/>
  <c r="L423" i="47" s="1"/>
  <c r="E424" i="47"/>
  <c r="D443" i="47"/>
  <c r="C443" i="47"/>
  <c r="B443" i="47"/>
  <c r="Q450"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O409" i="47"/>
  <c r="B414" i="47"/>
  <c r="G414" i="47" s="1"/>
  <c r="F418" i="47"/>
  <c r="J424" i="47"/>
  <c r="D432" i="47"/>
  <c r="O432" i="47" s="1"/>
  <c r="M432" i="47"/>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G508" i="47"/>
  <c r="D508" i="47"/>
  <c r="O508" i="47" s="1"/>
  <c r="C508" i="47"/>
  <c r="N508" i="47" s="1"/>
  <c r="V545" i="47"/>
  <c r="B473" i="47"/>
  <c r="M473" i="47" s="1"/>
  <c r="P473"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I513" i="47"/>
  <c r="F513" i="47"/>
  <c r="H513" i="47" s="1"/>
  <c r="E513" i="47"/>
  <c r="E520" i="47"/>
  <c r="B522" i="47"/>
  <c r="M524" i="47"/>
  <c r="L524" i="47"/>
  <c r="K524" i="47"/>
  <c r="J524" i="47"/>
  <c r="I524" i="47"/>
  <c r="H524" i="47"/>
  <c r="E524" i="47"/>
  <c r="F526" i="47"/>
  <c r="D526" i="47"/>
  <c r="O526" i="47" s="1"/>
  <c r="C526" i="47"/>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K483" i="47" s="1"/>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O477"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M533" i="47"/>
  <c r="V535" i="47"/>
  <c r="P538" i="47"/>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Q558" i="47" s="1"/>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G586"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8" i="47"/>
  <c r="Q632"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Q634" i="47" s="1"/>
  <c r="P638" i="47"/>
  <c r="Q638" i="47" s="1"/>
  <c r="J644" i="47"/>
  <c r="E647" i="47"/>
  <c r="F651" i="47"/>
  <c r="H651" i="47" s="1"/>
  <c r="J655" i="47"/>
  <c r="C657" i="47"/>
  <c r="L657" i="47" s="1"/>
  <c r="E662" i="47"/>
  <c r="C663" i="47"/>
  <c r="P665" i="47"/>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G703"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N686" i="47"/>
  <c r="F686" i="47"/>
  <c r="H686" i="47" s="1"/>
  <c r="V688" i="47"/>
  <c r="E702" i="47"/>
  <c r="G710" i="47"/>
  <c r="J714" i="47"/>
  <c r="J715" i="47"/>
  <c r="E731" i="47"/>
  <c r="J740" i="47"/>
  <c r="I740" i="47"/>
  <c r="K740" i="47"/>
  <c r="G740" i="47"/>
  <c r="E740" i="47"/>
  <c r="D754" i="47"/>
  <c r="O754" i="47" s="1"/>
  <c r="P754" i="47"/>
  <c r="B754" i="47"/>
  <c r="F754" i="47"/>
  <c r="K714" i="47"/>
  <c r="M715" i="47"/>
  <c r="V718" i="47"/>
  <c r="F720" i="47"/>
  <c r="N723" i="47"/>
  <c r="V747" i="47"/>
  <c r="B749" i="47"/>
  <c r="M749" i="47" s="1"/>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G779" i="47"/>
  <c r="B783" i="47"/>
  <c r="F783" i="47"/>
  <c r="D783" i="47"/>
  <c r="O783" i="47" s="1"/>
  <c r="P783" i="47"/>
  <c r="C783" i="47"/>
  <c r="M783" i="47" s="1"/>
  <c r="C730" i="47"/>
  <c r="K730" i="47" s="1"/>
  <c r="C753" i="47"/>
  <c r="I758" i="47"/>
  <c r="D760" i="47"/>
  <c r="O760" i="47" s="1"/>
  <c r="C760" i="47"/>
  <c r="H760" i="47" s="1"/>
  <c r="B760" i="47"/>
  <c r="D768" i="47"/>
  <c r="O768" i="47" s="1"/>
  <c r="C768" i="47"/>
  <c r="K768" i="47" s="1"/>
  <c r="B768" i="47"/>
  <c r="J772" i="47"/>
  <c r="D707" i="47"/>
  <c r="H708" i="47"/>
  <c r="C719"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Q771" i="47"/>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M832" i="47" s="1"/>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68" i="47" l="1"/>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<sst xmlns="http://schemas.openxmlformats.org/spreadsheetml/2006/main" count="21926" uniqueCount="7900">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</sst>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38</c:v>
                </c:pt>
                <c:pt idx="42">
                  <c:v>50</c:v>
                </c:pt>
                <c:pt idx="43">
                  <c:v>44</c:v>
                </c:pt>
                <c:pt idx="44">
                  <c:v>69</c:v>
                </c:pt>
                <c:pt idx="45">
                  <c:v>96</c:v>
                </c:pt>
                <c:pt idx="46">
                  <c:v>96</c:v>
                </c:pt>
                <c:pt idx="47">
                  <c:v>152</c:v>
                </c:pt>
                <c:pt idx="48">
                  <c:v>87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70</c:v>
                </c:pt>
                <c:pt idx="38">
                  <c:v>31</c:v>
                </c:pt>
                <c:pt idx="39">
                  <c:v>157</c:v>
                </c:pt>
                <c:pt idx="40">
                  <c:v>66</c:v>
                </c:pt>
                <c:pt idx="41">
                  <c:v>84</c:v>
                </c:pt>
                <c:pt idx="42">
                  <c:v>51</c:v>
                </c:pt>
                <c:pt idx="43">
                  <c:v>161</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337</c:v>
                </c:pt>
                <c:pt idx="2">
                  <c:v>204</c:v>
                </c:pt>
                <c:pt idx="3">
                  <c:v>106</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200</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369</c:v>
                </c:pt>
                <c:pt idx="1">
                  <c:v>150</c:v>
                </c:pt>
                <c:pt idx="2">
                  <c:v>178</c:v>
                </c:pt>
                <c:pt idx="3">
                  <c:v>164</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121</c:v>
                </c:pt>
                <c:pt idx="6">
                  <c:v>96</c:v>
                </c:pt>
                <c:pt idx="7">
                  <c:v>87</c:v>
                </c:pt>
                <c:pt idx="8">
                  <c:v>71</c:v>
                </c:pt>
                <c:pt idx="9">
                  <c:v>63</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2020</c:v>
                </c:pt>
                <c:pt idx="164">
                  <c:v>#N/A</c:v>
                </c:pt>
                <c:pt idx="165">
                  <c:v>2023</c:v>
                </c:pt>
                <c:pt idx="166">
                  <c:v>2019</c:v>
                </c:pt>
                <c:pt idx="167">
                  <c:v>2026</c:v>
                </c:pt>
                <c:pt idx="168">
                  <c:v>2025</c:v>
                </c:pt>
                <c:pt idx="169">
                  <c:v>#N/A</c:v>
                </c:pt>
                <c:pt idx="170">
                  <c:v>#N/A</c:v>
                </c:pt>
                <c:pt idx="171">
                  <c:v>2022</c:v>
                </c:pt>
                <c:pt idx="172">
                  <c:v>2018</c:v>
                </c:pt>
                <c:pt idx="173">
                  <c:v>2020</c:v>
                </c:pt>
                <c:pt idx="174">
                  <c:v>#N/A</c:v>
                </c:pt>
                <c:pt idx="175">
                  <c:v>#N/A</c:v>
                </c:pt>
                <c:pt idx="176">
                  <c:v>2025</c:v>
                </c:pt>
                <c:pt idx="177">
                  <c:v>2025</c:v>
                </c:pt>
                <c:pt idx="178">
                  <c:v>2023</c:v>
                </c:pt>
                <c:pt idx="179">
                  <c:v>2016</c:v>
                </c:pt>
                <c:pt idx="180">
                  <c:v>#N/A</c:v>
                </c:pt>
                <c:pt idx="181">
                  <c:v>2014</c:v>
                </c:pt>
                <c:pt idx="182">
                  <c:v>#N/A</c:v>
                </c:pt>
                <c:pt idx="183">
                  <c:v>#N/A</c:v>
                </c:pt>
                <c:pt idx="184">
                  <c:v>#N/A</c:v>
                </c:pt>
                <c:pt idx="185">
                  <c:v>2014</c:v>
                </c:pt>
                <c:pt idx="186">
                  <c:v>2024</c:v>
                </c:pt>
                <c:pt idx="187">
                  <c:v>#N/A</c:v>
                </c:pt>
                <c:pt idx="188">
                  <c:v>#N/A</c:v>
                </c:pt>
                <c:pt idx="189">
                  <c:v>2012</c:v>
                </c:pt>
                <c:pt idx="190">
                  <c:v>#N/A</c:v>
                </c:pt>
                <c:pt idx="191">
                  <c:v>#N/A</c:v>
                </c:pt>
                <c:pt idx="192">
                  <c:v>#N/A</c:v>
                </c:pt>
                <c:pt idx="193">
                  <c:v>#N/A</c:v>
                </c:pt>
                <c:pt idx="194">
                  <c:v>#N/A</c:v>
                </c:pt>
                <c:pt idx="195">
                  <c:v>2025</c:v>
                </c:pt>
                <c:pt idx="196">
                  <c:v>2021</c:v>
                </c:pt>
                <c:pt idx="197">
                  <c:v>2019</c:v>
                </c:pt>
                <c:pt idx="198">
                  <c:v>1996</c:v>
                </c:pt>
                <c:pt idx="199">
                  <c:v>#N/A</c:v>
                </c:pt>
                <c:pt idx="200">
                  <c:v>#N/A</c:v>
                </c:pt>
                <c:pt idx="201">
                  <c:v>#N/A</c:v>
                </c:pt>
                <c:pt idx="202">
                  <c:v>#N/A</c:v>
                </c:pt>
                <c:pt idx="203">
                  <c:v>#N/A</c:v>
                </c:pt>
                <c:pt idx="204">
                  <c:v>#N/A</c:v>
                </c:pt>
                <c:pt idx="205">
                  <c:v>#N/A</c:v>
                </c:pt>
                <c:pt idx="206">
                  <c:v>#N/A</c:v>
                </c:pt>
                <c:pt idx="207">
                  <c:v>#N/A</c:v>
                </c:pt>
                <c:pt idx="208">
                  <c:v>#N/A</c:v>
                </c:pt>
                <c:pt idx="209">
                  <c:v>2021</c:v>
                </c:pt>
                <c:pt idx="210">
                  <c:v>#N/A</c:v>
                </c:pt>
                <c:pt idx="211">
                  <c:v>2023</c:v>
                </c:pt>
                <c:pt idx="212">
                  <c:v>2026</c:v>
                </c:pt>
                <c:pt idx="213">
                  <c:v>#N/A</c:v>
                </c:pt>
                <c:pt idx="214">
                  <c:v>#N/A</c:v>
                </c:pt>
                <c:pt idx="215">
                  <c:v>#N/A</c:v>
                </c:pt>
                <c:pt idx="216">
                  <c:v>#N/A</c:v>
                </c:pt>
                <c:pt idx="217">
                  <c:v>#N/A</c:v>
                </c:pt>
                <c:pt idx="218">
                  <c:v>2026</c:v>
                </c:pt>
                <c:pt idx="219">
                  <c:v>2013</c:v>
                </c:pt>
                <c:pt idx="220">
                  <c:v>2014</c:v>
                </c:pt>
                <c:pt idx="221">
                  <c:v>#N/A</c:v>
                </c:pt>
                <c:pt idx="222">
                  <c:v>#N/A</c:v>
                </c:pt>
                <c:pt idx="223">
                  <c:v>2023</c:v>
                </c:pt>
                <c:pt idx="224">
                  <c:v>2015</c:v>
                </c:pt>
                <c:pt idx="225">
                  <c:v>#N/A</c:v>
                </c:pt>
                <c:pt idx="226">
                  <c:v>#N/A</c:v>
                </c:pt>
                <c:pt idx="227">
                  <c:v>#N/A</c:v>
                </c:pt>
                <c:pt idx="228">
                  <c:v>#N/A</c:v>
                </c:pt>
                <c:pt idx="229">
                  <c:v>#N/A</c:v>
                </c:pt>
                <c:pt idx="230">
                  <c:v>2020</c:v>
                </c:pt>
                <c:pt idx="231">
                  <c:v>#N/A</c:v>
                </c:pt>
                <c:pt idx="232">
                  <c:v>#N/A</c:v>
                </c:pt>
                <c:pt idx="233">
                  <c:v>#N/A</c:v>
                </c:pt>
                <c:pt idx="234">
                  <c:v>#N/A</c:v>
                </c:pt>
                <c:pt idx="235">
                  <c:v>#N/A</c:v>
                </c:pt>
                <c:pt idx="236">
                  <c:v>#N/A</c:v>
                </c:pt>
                <c:pt idx="237">
                  <c:v>#N/A</c:v>
                </c:pt>
                <c:pt idx="238">
                  <c:v>1993</c:v>
                </c:pt>
                <c:pt idx="239">
                  <c:v>#N/A</c:v>
                </c:pt>
                <c:pt idx="240">
                  <c:v>#N/A</c:v>
                </c:pt>
                <c:pt idx="241">
                  <c:v>#N/A</c:v>
                </c:pt>
                <c:pt idx="242">
                  <c:v>#N/A</c:v>
                </c:pt>
                <c:pt idx="243">
                  <c:v>2024</c:v>
                </c:pt>
                <c:pt idx="244">
                  <c:v>#N/A</c:v>
                </c:pt>
                <c:pt idx="245">
                  <c:v>2018</c:v>
                </c:pt>
                <c:pt idx="246">
                  <c:v>2025</c:v>
                </c:pt>
                <c:pt idx="247">
                  <c:v>#N/A</c:v>
                </c:pt>
                <c:pt idx="248">
                  <c:v>#N/A</c:v>
                </c:pt>
                <c:pt idx="249">
                  <c:v>2025</c:v>
                </c:pt>
                <c:pt idx="250">
                  <c:v>2013</c:v>
                </c:pt>
                <c:pt idx="251">
                  <c:v>2023</c:v>
                </c:pt>
                <c:pt idx="252">
                  <c:v>2023</c:v>
                </c:pt>
                <c:pt idx="253">
                  <c:v>#N/A</c:v>
                </c:pt>
                <c:pt idx="254">
                  <c:v>#N/A</c:v>
                </c:pt>
                <c:pt idx="255">
                  <c:v>2022</c:v>
                </c:pt>
                <c:pt idx="256">
                  <c:v>#N/A</c:v>
                </c:pt>
                <c:pt idx="257">
                  <c:v>#N/A</c:v>
                </c:pt>
                <c:pt idx="258">
                  <c:v>2025</c:v>
                </c:pt>
                <c:pt idx="259">
                  <c:v>2016</c:v>
                </c:pt>
                <c:pt idx="260">
                  <c:v>#N/A</c:v>
                </c:pt>
                <c:pt idx="261">
                  <c:v>#N/A</c:v>
                </c:pt>
                <c:pt idx="262">
                  <c:v>#N/A</c:v>
                </c:pt>
                <c:pt idx="263">
                  <c:v>#N/A</c:v>
                </c:pt>
                <c:pt idx="264">
                  <c:v>2026</c:v>
                </c:pt>
                <c:pt idx="265">
                  <c:v>2023</c:v>
                </c:pt>
                <c:pt idx="266">
                  <c:v>2020</c:v>
                </c:pt>
                <c:pt idx="267">
                  <c:v>#N/A</c:v>
                </c:pt>
                <c:pt idx="268">
                  <c:v>#N/A</c:v>
                </c:pt>
                <c:pt idx="269">
                  <c:v>#N/A</c:v>
                </c:pt>
                <c:pt idx="270">
                  <c:v>#N/A</c:v>
                </c:pt>
                <c:pt idx="271">
                  <c:v>#N/A</c:v>
                </c:pt>
                <c:pt idx="272">
                  <c:v>#N/A</c:v>
                </c:pt>
                <c:pt idx="273">
                  <c:v>#N/A</c:v>
                </c:pt>
                <c:pt idx="274">
                  <c:v>2024</c:v>
                </c:pt>
                <c:pt idx="275">
                  <c:v>2022</c:v>
                </c:pt>
                <c:pt idx="276">
                  <c:v>#N/A</c:v>
                </c:pt>
                <c:pt idx="277">
                  <c:v>2017</c:v>
                </c:pt>
                <c:pt idx="278">
                  <c:v>#N/A</c:v>
                </c:pt>
                <c:pt idx="279">
                  <c:v>2024</c:v>
                </c:pt>
                <c:pt idx="280">
                  <c:v>#N/A</c:v>
                </c:pt>
                <c:pt idx="281">
                  <c:v>#N/A</c:v>
                </c:pt>
                <c:pt idx="282">
                  <c:v>#N/A</c:v>
                </c:pt>
                <c:pt idx="283">
                  <c:v>2025</c:v>
                </c:pt>
                <c:pt idx="284">
                  <c:v>#N/A</c:v>
                </c:pt>
                <c:pt idx="285">
                  <c:v>2017</c:v>
                </c:pt>
                <c:pt idx="286">
                  <c:v>2025</c:v>
                </c:pt>
                <c:pt idx="287">
                  <c:v>#N/A</c:v>
                </c:pt>
                <c:pt idx="288">
                  <c:v>#N/A</c:v>
                </c:pt>
                <c:pt idx="289">
                  <c:v>2013</c:v>
                </c:pt>
                <c:pt idx="290">
                  <c:v>2020</c:v>
                </c:pt>
                <c:pt idx="291">
                  <c:v>#N/A</c:v>
                </c:pt>
                <c:pt idx="292">
                  <c:v>#N/A</c:v>
                </c:pt>
                <c:pt idx="293">
                  <c:v>2024</c:v>
                </c:pt>
                <c:pt idx="294">
                  <c:v>#N/A</c:v>
                </c:pt>
                <c:pt idx="295">
                  <c:v>2025</c:v>
                </c:pt>
                <c:pt idx="296">
                  <c:v>2024</c:v>
                </c:pt>
                <c:pt idx="297">
                  <c:v>#N/A</c:v>
                </c:pt>
                <c:pt idx="298">
                  <c:v>#N/A</c:v>
                </c:pt>
                <c:pt idx="299">
                  <c:v>#N/A</c:v>
                </c:pt>
                <c:pt idx="300">
                  <c:v>2024</c:v>
                </c:pt>
                <c:pt idx="301">
                  <c:v>2026</c:v>
                </c:pt>
                <c:pt idx="302">
                  <c:v>2020</c:v>
                </c:pt>
                <c:pt idx="303">
                  <c:v>2023</c:v>
                </c:pt>
                <c:pt idx="304">
                  <c:v>2024</c:v>
                </c:pt>
                <c:pt idx="305">
                  <c:v>#N/A</c:v>
                </c:pt>
                <c:pt idx="306">
                  <c:v>#N/A</c:v>
                </c:pt>
                <c:pt idx="307">
                  <c:v>2024</c:v>
                </c:pt>
                <c:pt idx="308">
                  <c:v>#N/A</c:v>
                </c:pt>
                <c:pt idx="309">
                  <c:v>2023</c:v>
                </c:pt>
                <c:pt idx="310">
                  <c:v>2025</c:v>
                </c:pt>
                <c:pt idx="311">
                  <c:v>2020</c:v>
                </c:pt>
                <c:pt idx="312">
                  <c:v>#N/A</c:v>
                </c:pt>
                <c:pt idx="313">
                  <c:v>2020</c:v>
                </c:pt>
                <c:pt idx="314">
                  <c:v>2022</c:v>
                </c:pt>
                <c:pt idx="315">
                  <c:v>2016</c:v>
                </c:pt>
                <c:pt idx="316">
                  <c:v>2020</c:v>
                </c:pt>
                <c:pt idx="317">
                  <c:v>2023</c:v>
                </c:pt>
                <c:pt idx="318">
                  <c:v>#N/A</c:v>
                </c:pt>
                <c:pt idx="319">
                  <c:v>2025</c:v>
                </c:pt>
                <c:pt idx="320">
                  <c:v>2023</c:v>
                </c:pt>
                <c:pt idx="321">
                  <c:v>#N/A</c:v>
                </c:pt>
                <c:pt idx="322">
                  <c:v>2021</c:v>
                </c:pt>
                <c:pt idx="323">
                  <c:v>2024</c:v>
                </c:pt>
                <c:pt idx="324">
                  <c:v>#N/A</c:v>
                </c:pt>
                <c:pt idx="325">
                  <c:v>#N/A</c:v>
                </c:pt>
                <c:pt idx="326">
                  <c:v>2020</c:v>
                </c:pt>
                <c:pt idx="327">
                  <c:v>2022</c:v>
                </c:pt>
                <c:pt idx="328">
                  <c:v>2025</c:v>
                </c:pt>
                <c:pt idx="329">
                  <c:v>2025</c:v>
                </c:pt>
                <c:pt idx="330">
                  <c:v>#N/A</c:v>
                </c:pt>
                <c:pt idx="331">
                  <c:v>#N/A</c:v>
                </c:pt>
                <c:pt idx="332">
                  <c:v>#N/A</c:v>
                </c:pt>
                <c:pt idx="333">
                  <c:v>2019</c:v>
                </c:pt>
                <c:pt idx="334">
                  <c:v>2024</c:v>
                </c:pt>
                <c:pt idx="335">
                  <c:v>2023</c:v>
                </c:pt>
                <c:pt idx="336">
                  <c:v>#N/A</c:v>
                </c:pt>
                <c:pt idx="337">
                  <c:v>#N/A</c:v>
                </c:pt>
                <c:pt idx="338">
                  <c:v>2026</c:v>
                </c:pt>
                <c:pt idx="339">
                  <c:v>2025</c:v>
                </c:pt>
                <c:pt idx="340">
                  <c:v>#N/A</c:v>
                </c:pt>
                <c:pt idx="341">
                  <c:v>2017</c:v>
                </c:pt>
                <c:pt idx="342">
                  <c:v>2025</c:v>
                </c:pt>
                <c:pt idx="343">
                  <c:v>2022</c:v>
                </c:pt>
                <c:pt idx="344">
                  <c:v>#N/A</c:v>
                </c:pt>
                <c:pt idx="345">
                  <c:v>2023</c:v>
                </c:pt>
                <c:pt idx="346">
                  <c:v>2017</c:v>
                </c:pt>
                <c:pt idx="347">
                  <c:v>2014</c:v>
                </c:pt>
                <c:pt idx="348">
                  <c:v>2025</c:v>
                </c:pt>
                <c:pt idx="349">
                  <c:v>2026</c:v>
                </c:pt>
                <c:pt idx="350">
                  <c:v>2023</c:v>
                </c:pt>
                <c:pt idx="351">
                  <c:v>#N/A</c:v>
                </c:pt>
                <c:pt idx="352">
                  <c:v>2025</c:v>
                </c:pt>
                <c:pt idx="353">
                  <c:v>2023</c:v>
                </c:pt>
                <c:pt idx="354">
                  <c:v>2018</c:v>
                </c:pt>
                <c:pt idx="355">
                  <c:v>2025</c:v>
                </c:pt>
                <c:pt idx="356">
                  <c:v>#N/A</c:v>
                </c:pt>
                <c:pt idx="357">
                  <c:v>#N/A</c:v>
                </c:pt>
                <c:pt idx="358">
                  <c:v>2023</c:v>
                </c:pt>
                <c:pt idx="359">
                  <c:v>#N/A</c:v>
                </c:pt>
                <c:pt idx="360">
                  <c:v>#N/A</c:v>
                </c:pt>
                <c:pt idx="361">
                  <c:v>#N/A</c:v>
                </c:pt>
                <c:pt idx="362">
                  <c:v>2026</c:v>
                </c:pt>
                <c:pt idx="363">
                  <c:v>#N/A</c:v>
                </c:pt>
                <c:pt idx="364">
                  <c:v>2026</c:v>
                </c:pt>
                <c:pt idx="365">
                  <c:v>#N/A</c:v>
                </c:pt>
                <c:pt idx="366">
                  <c:v>2025</c:v>
                </c:pt>
                <c:pt idx="367">
                  <c:v>#N/A</c:v>
                </c:pt>
                <c:pt idx="368">
                  <c:v>2022</c:v>
                </c:pt>
                <c:pt idx="369">
                  <c:v>2017</c:v>
                </c:pt>
                <c:pt idx="370">
                  <c:v>2016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2018</c:v>
                </c:pt>
                <c:pt idx="386">
                  <c:v>#N/A</c:v>
                </c:pt>
                <c:pt idx="387">
                  <c:v>2023</c:v>
                </c:pt>
                <c:pt idx="388">
                  <c:v>#N/A</c:v>
                </c:pt>
                <c:pt idx="389">
                  <c:v>2025</c:v>
                </c:pt>
                <c:pt idx="390">
                  <c:v>#N/A</c:v>
                </c:pt>
                <c:pt idx="391">
                  <c:v>2023</c:v>
                </c:pt>
                <c:pt idx="392">
                  <c:v>#N/A</c:v>
                </c:pt>
                <c:pt idx="393">
                  <c:v>2025</c:v>
                </c:pt>
                <c:pt idx="394">
                  <c:v>#N/A</c:v>
                </c:pt>
                <c:pt idx="395">
                  <c:v>2023</c:v>
                </c:pt>
                <c:pt idx="396">
                  <c:v>#N/A</c:v>
                </c:pt>
                <c:pt idx="397">
                  <c:v>#N/A</c:v>
                </c:pt>
                <c:pt idx="398">
                  <c:v>#N/A</c:v>
                </c:pt>
                <c:pt idx="399">
                  <c:v>#N/A</c:v>
                </c:pt>
                <c:pt idx="400">
                  <c:v>2024</c:v>
                </c:pt>
                <c:pt idx="401">
                  <c:v>#N/A</c:v>
                </c:pt>
                <c:pt idx="402">
                  <c:v>#N/A</c:v>
                </c:pt>
                <c:pt idx="403">
                  <c:v>#N/A</c:v>
                </c:pt>
                <c:pt idx="404">
                  <c:v>2024</c:v>
                </c:pt>
                <c:pt idx="405">
                  <c:v>#N/A</c:v>
                </c:pt>
                <c:pt idx="406">
                  <c:v>#N/A</c:v>
                </c:pt>
                <c:pt idx="407">
                  <c:v>#N/A</c:v>
                </c:pt>
                <c:pt idx="408">
                  <c:v>2023</c:v>
                </c:pt>
                <c:pt idx="409">
                  <c:v>#N/A</c:v>
                </c:pt>
                <c:pt idx="410">
                  <c:v>#N/A</c:v>
                </c:pt>
                <c:pt idx="411">
                  <c:v>#N/A</c:v>
                </c:pt>
                <c:pt idx="412">
                  <c:v>#N/A</c:v>
                </c:pt>
                <c:pt idx="413">
                  <c:v>#N/A</c:v>
                </c:pt>
                <c:pt idx="414">
                  <c:v>2026</c:v>
                </c:pt>
                <c:pt idx="415">
                  <c:v>#N/A</c:v>
                </c:pt>
                <c:pt idx="416">
                  <c:v>#N/A</c:v>
                </c:pt>
                <c:pt idx="417">
                  <c:v>#N/A</c:v>
                </c:pt>
                <c:pt idx="418">
                  <c:v>2025</c:v>
                </c:pt>
                <c:pt idx="419">
                  <c:v>#N/A</c:v>
                </c:pt>
                <c:pt idx="420">
                  <c:v>#N/A</c:v>
                </c:pt>
                <c:pt idx="421">
                  <c:v>#N/A</c:v>
                </c:pt>
                <c:pt idx="422">
                  <c:v>#N/A</c:v>
                </c:pt>
                <c:pt idx="423">
                  <c:v>2026</c:v>
                </c:pt>
                <c:pt idx="424">
                  <c:v>#N/A</c:v>
                </c:pt>
                <c:pt idx="425">
                  <c:v>2026</c:v>
                </c:pt>
                <c:pt idx="426">
                  <c:v>2019</c:v>
                </c:pt>
                <c:pt idx="427">
                  <c:v>2023</c:v>
                </c:pt>
                <c:pt idx="428">
                  <c:v>2025</c:v>
                </c:pt>
                <c:pt idx="429">
                  <c:v>#N/A</c:v>
                </c:pt>
                <c:pt idx="430">
                  <c:v>2018</c:v>
                </c:pt>
                <c:pt idx="431">
                  <c:v>2025</c:v>
                </c:pt>
                <c:pt idx="432">
                  <c:v>#N/A</c:v>
                </c:pt>
                <c:pt idx="433">
                  <c:v>2025</c:v>
                </c:pt>
                <c:pt idx="434">
                  <c:v>#N/A</c:v>
                </c:pt>
                <c:pt idx="435">
                  <c:v>2025</c:v>
                </c:pt>
                <c:pt idx="436">
                  <c:v>#N/A</c:v>
                </c:pt>
                <c:pt idx="437">
                  <c:v>#N/A</c:v>
                </c:pt>
                <c:pt idx="438">
                  <c:v>#N/A</c:v>
                </c:pt>
                <c:pt idx="439">
                  <c:v>#N/A</c:v>
                </c:pt>
                <c:pt idx="440">
                  <c:v>#N/A</c:v>
                </c:pt>
                <c:pt idx="441">
                  <c:v>2020</c:v>
                </c:pt>
                <c:pt idx="442">
                  <c:v>2021</c:v>
                </c:pt>
                <c:pt idx="443">
                  <c:v>#N/A</c:v>
                </c:pt>
                <c:pt idx="444">
                  <c:v>2025</c:v>
                </c:pt>
                <c:pt idx="445">
                  <c:v>#N/A</c:v>
                </c:pt>
                <c:pt idx="446">
                  <c:v>#N/A</c:v>
                </c:pt>
                <c:pt idx="447">
                  <c:v>#N/A</c:v>
                </c:pt>
                <c:pt idx="448">
                  <c:v>#N/A</c:v>
                </c:pt>
                <c:pt idx="449">
                  <c:v>2023</c:v>
                </c:pt>
                <c:pt idx="450">
                  <c:v>2022</c:v>
                </c:pt>
                <c:pt idx="451">
                  <c:v>#N/A</c:v>
                </c:pt>
                <c:pt idx="452">
                  <c:v>#N/A</c:v>
                </c:pt>
                <c:pt idx="453">
                  <c:v>#N/A</c:v>
                </c:pt>
                <c:pt idx="454">
                  <c:v>#N/A</c:v>
                </c:pt>
                <c:pt idx="455">
                  <c:v>#N/A</c:v>
                </c:pt>
                <c:pt idx="456">
                  <c:v>#N/A</c:v>
                </c:pt>
                <c:pt idx="457">
                  <c:v>#N/A</c:v>
                </c:pt>
                <c:pt idx="458">
                  <c:v>#N/A</c:v>
                </c:pt>
                <c:pt idx="459">
                  <c:v>2025</c:v>
                </c:pt>
                <c:pt idx="460">
                  <c:v>2015</c:v>
                </c:pt>
                <c:pt idx="461">
                  <c:v>#N/A</c:v>
                </c:pt>
                <c:pt idx="462">
                  <c:v>2016</c:v>
                </c:pt>
                <c:pt idx="463">
                  <c:v>2024</c:v>
                </c:pt>
                <c:pt idx="464">
                  <c:v>2018</c:v>
                </c:pt>
                <c:pt idx="465">
                  <c:v>2025</c:v>
                </c:pt>
                <c:pt idx="466">
                  <c:v>#N/A</c:v>
                </c:pt>
                <c:pt idx="467">
                  <c:v>2026</c:v>
                </c:pt>
                <c:pt idx="468">
                  <c:v>#N/A</c:v>
                </c:pt>
                <c:pt idx="469">
                  <c:v>#N/A</c:v>
                </c:pt>
                <c:pt idx="470">
                  <c:v>2025</c:v>
                </c:pt>
                <c:pt idx="471">
                  <c:v>2023</c:v>
                </c:pt>
                <c:pt idx="472">
                  <c:v>2018</c:v>
                </c:pt>
                <c:pt idx="473">
                  <c:v>2022</c:v>
                </c:pt>
                <c:pt idx="474">
                  <c:v>#N/A</c:v>
                </c:pt>
                <c:pt idx="475">
                  <c:v>2023</c:v>
                </c:pt>
                <c:pt idx="476">
                  <c:v>2021</c:v>
                </c:pt>
                <c:pt idx="477">
                  <c:v>#N/A</c:v>
                </c:pt>
                <c:pt idx="478">
                  <c:v>#N/A</c:v>
                </c:pt>
                <c:pt idx="479">
                  <c:v>#N/A</c:v>
                </c:pt>
                <c:pt idx="480">
                  <c:v>2024</c:v>
                </c:pt>
                <c:pt idx="481">
                  <c:v>#N/A</c:v>
                </c:pt>
                <c:pt idx="482">
                  <c:v>2022</c:v>
                </c:pt>
                <c:pt idx="483">
                  <c:v>#N/A</c:v>
                </c:pt>
                <c:pt idx="484">
                  <c:v>2022</c:v>
                </c:pt>
                <c:pt idx="485">
                  <c:v>2024</c:v>
                </c:pt>
                <c:pt idx="486">
                  <c:v>2019</c:v>
                </c:pt>
                <c:pt idx="487">
                  <c:v>2025</c:v>
                </c:pt>
                <c:pt idx="488">
                  <c:v>2022</c:v>
                </c:pt>
                <c:pt idx="489">
                  <c:v>#N/A</c:v>
                </c:pt>
                <c:pt idx="490">
                  <c:v>2025</c:v>
                </c:pt>
                <c:pt idx="491">
                  <c:v>2021</c:v>
                </c:pt>
                <c:pt idx="492">
                  <c:v>2025</c:v>
                </c:pt>
                <c:pt idx="493">
                  <c:v>2024</c:v>
                </c:pt>
                <c:pt idx="494">
                  <c:v>#N/A</c:v>
                </c:pt>
                <c:pt idx="495">
                  <c:v>#N/A</c:v>
                </c:pt>
                <c:pt idx="496">
                  <c:v>2019</c:v>
                </c:pt>
                <c:pt idx="497">
                  <c:v>2022</c:v>
                </c:pt>
                <c:pt idx="498">
                  <c:v>2025</c:v>
                </c:pt>
                <c:pt idx="499">
                  <c:v>2023</c:v>
                </c:pt>
                <c:pt idx="500">
                  <c:v>#N/A</c:v>
                </c:pt>
                <c:pt idx="501">
                  <c:v>2022</c:v>
                </c:pt>
                <c:pt idx="502">
                  <c:v>#N/A</c:v>
                </c:pt>
                <c:pt idx="503">
                  <c:v>2019</c:v>
                </c:pt>
                <c:pt idx="504">
                  <c:v>#N/A</c:v>
                </c:pt>
                <c:pt idx="505">
                  <c:v>#N/A</c:v>
                </c:pt>
                <c:pt idx="506">
                  <c:v>2015</c:v>
                </c:pt>
                <c:pt idx="507">
                  <c:v>2025</c:v>
                </c:pt>
                <c:pt idx="508">
                  <c:v>#N/A</c:v>
                </c:pt>
                <c:pt idx="509">
                  <c:v>2023</c:v>
                </c:pt>
                <c:pt idx="510">
                  <c:v>#N/A</c:v>
                </c:pt>
                <c:pt idx="511">
                  <c:v>2018</c:v>
                </c:pt>
                <c:pt idx="512">
                  <c:v>2026</c:v>
                </c:pt>
                <c:pt idx="513">
                  <c:v>2025</c:v>
                </c:pt>
                <c:pt idx="514">
                  <c:v>2026</c:v>
                </c:pt>
                <c:pt idx="515">
                  <c:v>#N/A</c:v>
                </c:pt>
                <c:pt idx="516">
                  <c:v>#N/A</c:v>
                </c:pt>
                <c:pt idx="517">
                  <c:v>#N/A</c:v>
                </c:pt>
                <c:pt idx="518">
                  <c:v>#N/A</c:v>
                </c:pt>
                <c:pt idx="519">
                  <c:v>#N/A</c:v>
                </c:pt>
                <c:pt idx="520">
                  <c:v>2020</c:v>
                </c:pt>
                <c:pt idx="521">
                  <c:v>#N/A</c:v>
                </c:pt>
                <c:pt idx="522">
                  <c:v>#N/A</c:v>
                </c:pt>
                <c:pt idx="523">
                  <c:v>#N/A</c:v>
                </c:pt>
                <c:pt idx="524">
                  <c:v>2023</c:v>
                </c:pt>
                <c:pt idx="525">
                  <c:v>2014</c:v>
                </c:pt>
                <c:pt idx="526">
                  <c:v>#N/A</c:v>
                </c:pt>
                <c:pt idx="527">
                  <c:v>#N/A</c:v>
                </c:pt>
                <c:pt idx="528">
                  <c:v>#N/A</c:v>
                </c:pt>
                <c:pt idx="529">
                  <c:v>#N/A</c:v>
                </c:pt>
                <c:pt idx="530">
                  <c:v>2023</c:v>
                </c:pt>
                <c:pt idx="531">
                  <c:v>#N/A</c:v>
                </c:pt>
                <c:pt idx="532">
                  <c:v>2021</c:v>
                </c:pt>
                <c:pt idx="533">
                  <c:v>#N/A</c:v>
                </c:pt>
                <c:pt idx="534">
                  <c:v>2026</c:v>
                </c:pt>
                <c:pt idx="535">
                  <c:v>#N/A</c:v>
                </c:pt>
                <c:pt idx="536">
                  <c:v>#N/A</c:v>
                </c:pt>
                <c:pt idx="537">
                  <c:v>#N/A</c:v>
                </c:pt>
                <c:pt idx="538">
                  <c:v>#N/A</c:v>
                </c:pt>
                <c:pt idx="539">
                  <c:v>2026</c:v>
                </c:pt>
                <c:pt idx="540">
                  <c:v>2024</c:v>
                </c:pt>
                <c:pt idx="541">
                  <c:v>2023</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2024</c:v>
                </c:pt>
                <c:pt idx="564">
                  <c:v>#N/A</c:v>
                </c:pt>
                <c:pt idx="565">
                  <c:v>2022</c:v>
                </c:pt>
                <c:pt idx="566">
                  <c:v>#N/A</c:v>
                </c:pt>
                <c:pt idx="567">
                  <c:v>#N/A</c:v>
                </c:pt>
                <c:pt idx="568">
                  <c:v>2024</c:v>
                </c:pt>
                <c:pt idx="569">
                  <c:v>#N/A</c:v>
                </c:pt>
                <c:pt idx="570">
                  <c:v>#N/A</c:v>
                </c:pt>
                <c:pt idx="571">
                  <c:v>#N/A</c:v>
                </c:pt>
                <c:pt idx="572">
                  <c:v>2024</c:v>
                </c:pt>
                <c:pt idx="573">
                  <c:v>2015</c:v>
                </c:pt>
                <c:pt idx="574">
                  <c:v>#N/A</c:v>
                </c:pt>
                <c:pt idx="575">
                  <c:v>2023</c:v>
                </c:pt>
                <c:pt idx="576">
                  <c:v>2025</c:v>
                </c:pt>
                <c:pt idx="577">
                  <c:v>2024</c:v>
                </c:pt>
                <c:pt idx="578">
                  <c:v>2010</c:v>
                </c:pt>
                <c:pt idx="579">
                  <c:v>2012</c:v>
                </c:pt>
                <c:pt idx="580">
                  <c:v>#N/A</c:v>
                </c:pt>
                <c:pt idx="581">
                  <c:v>2022</c:v>
                </c:pt>
                <c:pt idx="582">
                  <c:v>#N/A</c:v>
                </c:pt>
                <c:pt idx="583">
                  <c:v>2023</c:v>
                </c:pt>
                <c:pt idx="584">
                  <c:v>2023</c:v>
                </c:pt>
                <c:pt idx="585">
                  <c:v>2021</c:v>
                </c:pt>
                <c:pt idx="586">
                  <c:v>2025</c:v>
                </c:pt>
                <c:pt idx="587">
                  <c:v>#N/A</c:v>
                </c:pt>
                <c:pt idx="588">
                  <c:v>#N/A</c:v>
                </c:pt>
                <c:pt idx="589">
                  <c:v>#N/A</c:v>
                </c:pt>
                <c:pt idx="590">
                  <c:v>#N/A</c:v>
                </c:pt>
                <c:pt idx="591">
                  <c:v>#N/A</c:v>
                </c:pt>
                <c:pt idx="592">
                  <c:v>#N/A</c:v>
                </c:pt>
                <c:pt idx="593">
                  <c:v>2017</c:v>
                </c:pt>
                <c:pt idx="594">
                  <c:v>2013</c:v>
                </c:pt>
                <c:pt idx="595">
                  <c:v>2020</c:v>
                </c:pt>
                <c:pt idx="596">
                  <c:v>2023</c:v>
                </c:pt>
                <c:pt idx="597">
                  <c:v>#N/A</c:v>
                </c:pt>
                <c:pt idx="598">
                  <c:v>2020</c:v>
                </c:pt>
                <c:pt idx="599">
                  <c:v>2024</c:v>
                </c:pt>
                <c:pt idx="600">
                  <c:v>#N/A</c:v>
                </c:pt>
                <c:pt idx="601">
                  <c:v>#N/A</c:v>
                </c:pt>
                <c:pt idx="602">
                  <c:v>#N/A</c:v>
                </c:pt>
                <c:pt idx="603">
                  <c:v>2026</c:v>
                </c:pt>
                <c:pt idx="604">
                  <c:v>2024</c:v>
                </c:pt>
                <c:pt idx="605">
                  <c:v>#N/A</c:v>
                </c:pt>
                <c:pt idx="606">
                  <c:v>2021</c:v>
                </c:pt>
                <c:pt idx="607">
                  <c:v>2013</c:v>
                </c:pt>
                <c:pt idx="608">
                  <c:v>2020</c:v>
                </c:pt>
                <c:pt idx="609">
                  <c:v>#N/A</c:v>
                </c:pt>
                <c:pt idx="610">
                  <c:v>#N/A</c:v>
                </c:pt>
                <c:pt idx="611">
                  <c:v>#N/A</c:v>
                </c:pt>
                <c:pt idx="612">
                  <c:v>#N/A</c:v>
                </c:pt>
                <c:pt idx="613">
                  <c:v>2022</c:v>
                </c:pt>
                <c:pt idx="614">
                  <c:v>#N/A</c:v>
                </c:pt>
                <c:pt idx="615">
                  <c:v>#N/A</c:v>
                </c:pt>
                <c:pt idx="616">
                  <c:v>#N/A</c:v>
                </c:pt>
                <c:pt idx="617">
                  <c:v>#N/A</c:v>
                </c:pt>
                <c:pt idx="618">
                  <c:v>#N/A</c:v>
                </c:pt>
                <c:pt idx="619">
                  <c:v>#N/A</c:v>
                </c:pt>
                <c:pt idx="620">
                  <c:v>#N/A</c:v>
                </c:pt>
                <c:pt idx="621">
                  <c:v>#N/A</c:v>
                </c:pt>
                <c:pt idx="622">
                  <c:v>#N/A</c:v>
                </c:pt>
                <c:pt idx="623">
                  <c:v>2021</c:v>
                </c:pt>
                <c:pt idx="624">
                  <c:v>#N/A</c:v>
                </c:pt>
                <c:pt idx="625">
                  <c:v>#N/A</c:v>
                </c:pt>
                <c:pt idx="626">
                  <c:v>#N/A</c:v>
                </c:pt>
                <c:pt idx="627">
                  <c:v>#N/A</c:v>
                </c:pt>
                <c:pt idx="628">
                  <c:v>#N/A</c:v>
                </c:pt>
                <c:pt idx="629">
                  <c:v>2024</c:v>
                </c:pt>
                <c:pt idx="630">
                  <c:v>2022</c:v>
                </c:pt>
                <c:pt idx="631">
                  <c:v>2023</c:v>
                </c:pt>
                <c:pt idx="632">
                  <c:v>2020</c:v>
                </c:pt>
                <c:pt idx="633">
                  <c:v>2023</c:v>
                </c:pt>
                <c:pt idx="634">
                  <c:v>2023</c:v>
                </c:pt>
                <c:pt idx="635">
                  <c:v>#N/A</c:v>
                </c:pt>
                <c:pt idx="636">
                  <c:v>2025</c:v>
                </c:pt>
                <c:pt idx="637">
                  <c:v>2022</c:v>
                </c:pt>
                <c:pt idx="638">
                  <c:v>2026</c:v>
                </c:pt>
                <c:pt idx="639">
                  <c:v>#N/A</c:v>
                </c:pt>
                <c:pt idx="640">
                  <c:v>#N/A</c:v>
                </c:pt>
                <c:pt idx="641">
                  <c:v>2025</c:v>
                </c:pt>
                <c:pt idx="642">
                  <c:v>2023</c:v>
                </c:pt>
                <c:pt idx="643">
                  <c:v>#N/A</c:v>
                </c:pt>
                <c:pt idx="644">
                  <c:v>2022</c:v>
                </c:pt>
                <c:pt idx="645">
                  <c:v>#N/A</c:v>
                </c:pt>
                <c:pt idx="646">
                  <c:v>#N/A</c:v>
                </c:pt>
                <c:pt idx="647">
                  <c:v>#N/A</c:v>
                </c:pt>
                <c:pt idx="648">
                  <c:v>#N/A</c:v>
                </c:pt>
                <c:pt idx="649">
                  <c:v>#N/A</c:v>
                </c:pt>
                <c:pt idx="650">
                  <c:v>#N/A</c:v>
                </c:pt>
                <c:pt idx="651">
                  <c:v>#N/A</c:v>
                </c:pt>
                <c:pt idx="652">
                  <c:v>#N/A</c:v>
                </c:pt>
                <c:pt idx="653">
                  <c:v>#N/A</c:v>
                </c:pt>
                <c:pt idx="654">
                  <c:v>2010</c:v>
                </c:pt>
                <c:pt idx="655">
                  <c:v>#N/A</c:v>
                </c:pt>
                <c:pt idx="656">
                  <c:v>2022</c:v>
                </c:pt>
                <c:pt idx="657">
                  <c:v>#N/A</c:v>
                </c:pt>
                <c:pt idx="658">
                  <c:v>#N/A</c:v>
                </c:pt>
                <c:pt idx="659">
                  <c:v>2020</c:v>
                </c:pt>
                <c:pt idx="660">
                  <c:v>2026</c:v>
                </c:pt>
                <c:pt idx="661">
                  <c:v>2014</c:v>
                </c:pt>
                <c:pt idx="662">
                  <c:v>#N/A</c:v>
                </c:pt>
                <c:pt idx="663">
                  <c:v>#N/A</c:v>
                </c:pt>
                <c:pt idx="664">
                  <c:v>2018</c:v>
                </c:pt>
                <c:pt idx="665">
                  <c:v>#N/A</c:v>
                </c:pt>
                <c:pt idx="666">
                  <c:v>#N/A</c:v>
                </c:pt>
                <c:pt idx="667">
                  <c:v>#N/A</c:v>
                </c:pt>
                <c:pt idx="668">
                  <c:v>2023</c:v>
                </c:pt>
                <c:pt idx="669">
                  <c:v>#N/A</c:v>
                </c:pt>
                <c:pt idx="670">
                  <c:v>#N/A</c:v>
                </c:pt>
                <c:pt idx="671">
                  <c:v>#N/A</c:v>
                </c:pt>
                <c:pt idx="672">
                  <c:v>2021</c:v>
                </c:pt>
                <c:pt idx="673">
                  <c:v>2025</c:v>
                </c:pt>
                <c:pt idx="674">
                  <c:v>#N/A</c:v>
                </c:pt>
                <c:pt idx="675">
                  <c:v>#N/A</c:v>
                </c:pt>
                <c:pt idx="676">
                  <c:v>#N/A</c:v>
                </c:pt>
                <c:pt idx="677">
                  <c:v>#N/A</c:v>
                </c:pt>
                <c:pt idx="678">
                  <c:v>2022</c:v>
                </c:pt>
                <c:pt idx="679">
                  <c:v>2015</c:v>
                </c:pt>
                <c:pt idx="680">
                  <c:v>2019</c:v>
                </c:pt>
                <c:pt idx="681">
                  <c:v>#N/A</c:v>
                </c:pt>
                <c:pt idx="682">
                  <c:v>2022</c:v>
                </c:pt>
                <c:pt idx="683">
                  <c:v>#N/A</c:v>
                </c:pt>
                <c:pt idx="684">
                  <c:v>#N/A</c:v>
                </c:pt>
                <c:pt idx="685">
                  <c:v>2012</c:v>
                </c:pt>
                <c:pt idx="686">
                  <c:v>2020</c:v>
                </c:pt>
                <c:pt idx="687">
                  <c:v>2008</c:v>
                </c:pt>
                <c:pt idx="688">
                  <c:v>#N/A</c:v>
                </c:pt>
                <c:pt idx="689">
                  <c:v>2022</c:v>
                </c:pt>
                <c:pt idx="690">
                  <c:v>2023</c:v>
                </c:pt>
                <c:pt idx="691">
                  <c:v>2019</c:v>
                </c:pt>
                <c:pt idx="692">
                  <c:v>#N/A</c:v>
                </c:pt>
                <c:pt idx="693">
                  <c:v>2024</c:v>
                </c:pt>
                <c:pt idx="694">
                  <c:v>#N/A</c:v>
                </c:pt>
                <c:pt idx="695">
                  <c:v>2017</c:v>
                </c:pt>
                <c:pt idx="696">
                  <c:v>2023</c:v>
                </c:pt>
                <c:pt idx="697">
                  <c:v>2025</c:v>
                </c:pt>
                <c:pt idx="698">
                  <c:v>#N/A</c:v>
                </c:pt>
                <c:pt idx="699">
                  <c:v>#N/A</c:v>
                </c:pt>
                <c:pt idx="700">
                  <c:v>2025</c:v>
                </c:pt>
                <c:pt idx="701">
                  <c:v>#N/A</c:v>
                </c:pt>
                <c:pt idx="702">
                  <c:v>#N/A</c:v>
                </c:pt>
                <c:pt idx="703">
                  <c:v>2017</c:v>
                </c:pt>
                <c:pt idx="704">
                  <c:v>#N/A</c:v>
                </c:pt>
                <c:pt idx="705">
                  <c:v>2019</c:v>
                </c:pt>
                <c:pt idx="706">
                  <c:v>2024</c:v>
                </c:pt>
                <c:pt idx="707">
                  <c:v>2017</c:v>
                </c:pt>
                <c:pt idx="708">
                  <c:v>#N/A</c:v>
                </c:pt>
                <c:pt idx="709">
                  <c:v>#N/A</c:v>
                </c:pt>
                <c:pt idx="710">
                  <c:v>#N/A</c:v>
                </c:pt>
                <c:pt idx="711">
                  <c:v>#N/A</c:v>
                </c:pt>
                <c:pt idx="712">
                  <c:v>2013</c:v>
                </c:pt>
                <c:pt idx="713">
                  <c:v>#N/A</c:v>
                </c:pt>
                <c:pt idx="714">
                  <c:v>2025</c:v>
                </c:pt>
                <c:pt idx="715">
                  <c:v>2023</c:v>
                </c:pt>
                <c:pt idx="716">
                  <c:v>2016</c:v>
                </c:pt>
                <c:pt idx="717">
                  <c:v>#N/A</c:v>
                </c:pt>
                <c:pt idx="718">
                  <c:v>2021</c:v>
                </c:pt>
                <c:pt idx="719">
                  <c:v>2025</c:v>
                </c:pt>
                <c:pt idx="720">
                  <c:v>#N/A</c:v>
                </c:pt>
                <c:pt idx="721">
                  <c:v>2022</c:v>
                </c:pt>
                <c:pt idx="722">
                  <c:v>2025</c:v>
                </c:pt>
                <c:pt idx="723">
                  <c:v>2021</c:v>
                </c:pt>
                <c:pt idx="724">
                  <c:v>2018</c:v>
                </c:pt>
                <c:pt idx="725">
                  <c:v>#N/A</c:v>
                </c:pt>
                <c:pt idx="726">
                  <c:v>#N/A</c:v>
                </c:pt>
                <c:pt idx="727">
                  <c:v>2023</c:v>
                </c:pt>
                <c:pt idx="728">
                  <c:v>#N/A</c:v>
                </c:pt>
                <c:pt idx="729">
                  <c:v>#N/A</c:v>
                </c:pt>
                <c:pt idx="730">
                  <c:v>#N/A</c:v>
                </c:pt>
                <c:pt idx="731">
                  <c:v>#N/A</c:v>
                </c:pt>
                <c:pt idx="732">
                  <c:v>#N/A</c:v>
                </c:pt>
                <c:pt idx="733">
                  <c:v>2023</c:v>
                </c:pt>
                <c:pt idx="734">
                  <c:v>#N/A</c:v>
                </c:pt>
                <c:pt idx="735">
                  <c:v>2026</c:v>
                </c:pt>
                <c:pt idx="736">
                  <c:v>2024</c:v>
                </c:pt>
                <c:pt idx="737">
                  <c:v>2024</c:v>
                </c:pt>
                <c:pt idx="738">
                  <c:v>#N/A</c:v>
                </c:pt>
                <c:pt idx="739">
                  <c:v>2026</c:v>
                </c:pt>
                <c:pt idx="740">
                  <c:v>2024</c:v>
                </c:pt>
                <c:pt idx="741">
                  <c:v>#N/A</c:v>
                </c:pt>
                <c:pt idx="742">
                  <c:v>2011</c:v>
                </c:pt>
                <c:pt idx="743">
                  <c:v>2014</c:v>
                </c:pt>
                <c:pt idx="744">
                  <c:v>#N/A</c:v>
                </c:pt>
                <c:pt idx="745">
                  <c:v>#N/A</c:v>
                </c:pt>
                <c:pt idx="746">
                  <c:v>#N/A</c:v>
                </c:pt>
                <c:pt idx="747">
                  <c:v>2016</c:v>
                </c:pt>
                <c:pt idx="748">
                  <c:v>#N/A</c:v>
                </c:pt>
                <c:pt idx="749">
                  <c:v>#N/A</c:v>
                </c:pt>
                <c:pt idx="750">
                  <c:v>#N/A</c:v>
                </c:pt>
                <c:pt idx="751">
                  <c:v>#N/A</c:v>
                </c:pt>
                <c:pt idx="752">
                  <c:v>2023</c:v>
                </c:pt>
                <c:pt idx="753">
                  <c:v>#N/A</c:v>
                </c:pt>
                <c:pt idx="754">
                  <c:v>#N/A</c:v>
                </c:pt>
                <c:pt idx="755">
                  <c:v>#N/A</c:v>
                </c:pt>
                <c:pt idx="756">
                  <c:v>#N/A</c:v>
                </c:pt>
                <c:pt idx="757">
                  <c:v>2024</c:v>
                </c:pt>
                <c:pt idx="758">
                  <c:v>#N/A</c:v>
                </c:pt>
                <c:pt idx="759">
                  <c:v>2024</c:v>
                </c:pt>
                <c:pt idx="760">
                  <c:v>#N/A</c:v>
                </c:pt>
                <c:pt idx="761">
                  <c:v>2022</c:v>
                </c:pt>
                <c:pt idx="762">
                  <c:v>2018</c:v>
                </c:pt>
                <c:pt idx="763">
                  <c:v>#N/A</c:v>
                </c:pt>
                <c:pt idx="764">
                  <c:v>#N/A</c:v>
                </c:pt>
                <c:pt idx="765">
                  <c:v>#N/A</c:v>
                </c:pt>
                <c:pt idx="766">
                  <c:v>2023</c:v>
                </c:pt>
                <c:pt idx="767">
                  <c:v>2023</c:v>
                </c:pt>
                <c:pt idx="768">
                  <c:v>#N/A</c:v>
                </c:pt>
                <c:pt idx="769">
                  <c:v>2022</c:v>
                </c:pt>
                <c:pt idx="770">
                  <c:v>#N/A</c:v>
                </c:pt>
                <c:pt idx="771">
                  <c:v>1991</c:v>
                </c:pt>
                <c:pt idx="772">
                  <c:v>2019</c:v>
                </c:pt>
                <c:pt idx="773">
                  <c:v>2022</c:v>
                </c:pt>
                <c:pt idx="774">
                  <c:v>#N/A</c:v>
                </c:pt>
                <c:pt idx="775">
                  <c:v>#N/A</c:v>
                </c:pt>
                <c:pt idx="776">
                  <c:v>#N/A</c:v>
                </c:pt>
                <c:pt idx="777">
                  <c:v>#N/A</c:v>
                </c:pt>
                <c:pt idx="778">
                  <c:v>#N/A</c:v>
                </c:pt>
                <c:pt idx="779">
                  <c:v>#N/A</c:v>
                </c:pt>
                <c:pt idx="780">
                  <c:v>#N/A</c:v>
                </c:pt>
                <c:pt idx="781">
                  <c:v>#N/A</c:v>
                </c:pt>
                <c:pt idx="782">
                  <c:v>#N/A</c:v>
                </c:pt>
                <c:pt idx="783">
                  <c:v>#N/A</c:v>
                </c:pt>
                <c:pt idx="784">
                  <c:v>2017</c:v>
                </c:pt>
                <c:pt idx="785">
                  <c:v>2014</c:v>
                </c:pt>
                <c:pt idx="786">
                  <c:v>#N/A</c:v>
                </c:pt>
                <c:pt idx="787">
                  <c:v>#N/A</c:v>
                </c:pt>
                <c:pt idx="788">
                  <c:v>#N/A</c:v>
                </c:pt>
                <c:pt idx="789">
                  <c:v>2017</c:v>
                </c:pt>
                <c:pt idx="790">
                  <c:v>#N/A</c:v>
                </c:pt>
                <c:pt idx="791">
                  <c:v>2025</c:v>
                </c:pt>
                <c:pt idx="792">
                  <c:v>#N/A</c:v>
                </c:pt>
                <c:pt idx="793">
                  <c:v>#N/A</c:v>
                </c:pt>
                <c:pt idx="794">
                  <c:v>#N/A</c:v>
                </c:pt>
                <c:pt idx="795">
                  <c:v>#N/A</c:v>
                </c:pt>
                <c:pt idx="796">
                  <c:v>2024</c:v>
                </c:pt>
                <c:pt idx="797">
                  <c:v>2019</c:v>
                </c:pt>
                <c:pt idx="798">
                  <c:v>2025</c:v>
                </c:pt>
                <c:pt idx="799">
                  <c:v>2017</c:v>
                </c:pt>
                <c:pt idx="800">
                  <c:v>2022</c:v>
                </c:pt>
                <c:pt idx="801">
                  <c:v>#N/A</c:v>
                </c:pt>
                <c:pt idx="802">
                  <c:v>2018</c:v>
                </c:pt>
                <c:pt idx="803">
                  <c:v>#N/A</c:v>
                </c:pt>
                <c:pt idx="804">
                  <c:v>2023</c:v>
                </c:pt>
                <c:pt idx="805">
                  <c:v>2021</c:v>
                </c:pt>
                <c:pt idx="806">
                  <c:v>#N/A</c:v>
                </c:pt>
                <c:pt idx="807">
                  <c:v>2024</c:v>
                </c:pt>
                <c:pt idx="808">
                  <c:v>2026</c:v>
                </c:pt>
                <c:pt idx="809">
                  <c:v>#N/A</c:v>
                </c:pt>
                <c:pt idx="810">
                  <c:v>#N/A</c:v>
                </c:pt>
                <c:pt idx="811">
                  <c:v>#N/A</c:v>
                </c:pt>
                <c:pt idx="812">
                  <c:v>2019</c:v>
                </c:pt>
                <c:pt idx="813">
                  <c:v>2022</c:v>
                </c:pt>
                <c:pt idx="814">
                  <c:v>#N/A</c:v>
                </c:pt>
                <c:pt idx="815">
                  <c:v>2023</c:v>
                </c:pt>
                <c:pt idx="816">
                  <c:v>2024</c:v>
                </c:pt>
                <c:pt idx="817">
                  <c:v>2024</c:v>
                </c:pt>
                <c:pt idx="818">
                  <c:v>#N/A</c:v>
                </c:pt>
                <c:pt idx="819">
                  <c:v>#N/A</c:v>
                </c:pt>
                <c:pt idx="820">
                  <c:v>#N/A</c:v>
                </c:pt>
                <c:pt idx="821">
                  <c:v>2026</c:v>
                </c:pt>
                <c:pt idx="822">
                  <c:v>#N/A</c:v>
                </c:pt>
                <c:pt idx="823">
                  <c:v>2025</c:v>
                </c:pt>
                <c:pt idx="824">
                  <c:v>#N/A</c:v>
                </c:pt>
                <c:pt idx="825">
                  <c:v>#N/A</c:v>
                </c:pt>
                <c:pt idx="826">
                  <c:v>#N/A</c:v>
                </c:pt>
                <c:pt idx="827">
                  <c:v>2017</c:v>
                </c:pt>
                <c:pt idx="828">
                  <c:v>#N/A</c:v>
                </c:pt>
                <c:pt idx="829">
                  <c:v>2020</c:v>
                </c:pt>
                <c:pt idx="830">
                  <c:v>2025</c:v>
                </c:pt>
                <c:pt idx="831">
                  <c:v>2025</c:v>
                </c:pt>
                <c:pt idx="832">
                  <c:v>2024</c:v>
                </c:pt>
                <c:pt idx="833">
                  <c:v>#N/A</c:v>
                </c:pt>
                <c:pt idx="834">
                  <c:v>#N/A</c:v>
                </c:pt>
                <c:pt idx="835">
                  <c:v>2024</c:v>
                </c:pt>
                <c:pt idx="836">
                  <c:v>#N/A</c:v>
                </c:pt>
                <c:pt idx="837">
                  <c:v>#N/A</c:v>
                </c:pt>
                <c:pt idx="838">
                  <c:v>2024</c:v>
                </c:pt>
                <c:pt idx="839">
                  <c:v>#N/A</c:v>
                </c:pt>
                <c:pt idx="840">
                  <c:v>2018</c:v>
                </c:pt>
                <c:pt idx="841">
                  <c:v>2024</c:v>
                </c:pt>
                <c:pt idx="842">
                  <c:v>#N/A</c:v>
                </c:pt>
                <c:pt idx="843">
                  <c:v>#N/A</c:v>
                </c:pt>
                <c:pt idx="844">
                  <c:v>#N/A</c:v>
                </c:pt>
                <c:pt idx="845">
                  <c:v>#N/A</c:v>
                </c:pt>
                <c:pt idx="846">
                  <c:v>#N/A</c:v>
                </c:pt>
                <c:pt idx="847">
                  <c:v>2025</c:v>
                </c:pt>
                <c:pt idx="848">
                  <c:v>2023</c:v>
                </c:pt>
                <c:pt idx="849">
                  <c:v>#N/A</c:v>
                </c:pt>
                <c:pt idx="850">
                  <c:v>#N/A</c:v>
                </c:pt>
                <c:pt idx="851">
                  <c:v>#N/A</c:v>
                </c:pt>
                <c:pt idx="852">
                  <c:v>#N/A</c:v>
                </c:pt>
                <c:pt idx="853">
                  <c:v>#N/A</c:v>
                </c:pt>
                <c:pt idx="854">
                  <c:v>2014</c:v>
                </c:pt>
                <c:pt idx="855">
                  <c:v>2020</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#N/A</c:v>
                </c:pt>
                <c:pt idx="166">
                  <c:v>1.7130000000000001</c:v>
                </c:pt>
                <c:pt idx="167">
                  <c:v>1.736</c:v>
                </c:pt>
                <c:pt idx="168">
                  <c:v>1.7589999999999999</c:v>
                </c:pt>
                <c:pt idx="169">
                  <c:v>1</c:v>
                </c:pt>
                <c:pt idx="170">
                  <c:v>#N/A</c:v>
                </c:pt>
                <c:pt idx="171">
                  <c:v>#N/A</c:v>
                </c:pt>
                <c:pt idx="172">
                  <c:v>1.069</c:v>
                </c:pt>
                <c:pt idx="173">
                  <c:v>1.0920000000000001</c:v>
                </c:pt>
                <c:pt idx="174">
                  <c:v>1.115</c:v>
                </c:pt>
                <c:pt idx="175">
                  <c:v>#N/A</c:v>
                </c:pt>
                <c:pt idx="176">
                  <c:v>#N/A</c:v>
                </c:pt>
                <c:pt idx="177">
                  <c:v>1.1839999999999999</c:v>
                </c:pt>
                <c:pt idx="178">
                  <c:v>1.2070000000000001</c:v>
                </c:pt>
                <c:pt idx="179">
                  <c:v>1.23</c:v>
                </c:pt>
                <c:pt idx="180">
                  <c:v>1.2530000000000001</c:v>
                </c:pt>
                <c:pt idx="181">
                  <c:v>#N/A</c:v>
                </c:pt>
                <c:pt idx="182">
                  <c:v>1.2989999999999999</c:v>
                </c:pt>
                <c:pt idx="183">
                  <c:v>#N/A</c:v>
                </c:pt>
                <c:pt idx="184">
                  <c:v>#N/A</c:v>
                </c:pt>
                <c:pt idx="185">
                  <c:v>#N/A</c:v>
                </c:pt>
                <c:pt idx="186">
                  <c:v>1.391</c:v>
                </c:pt>
                <c:pt idx="187">
                  <c:v>1.4139999999999999</c:v>
                </c:pt>
                <c:pt idx="188">
                  <c:v>#N/A</c:v>
                </c:pt>
                <c:pt idx="189">
                  <c:v>#N/A</c:v>
                </c:pt>
                <c:pt idx="190">
                  <c:v>1.4830000000000001</c:v>
                </c:pt>
                <c:pt idx="191">
                  <c:v>#N/A</c:v>
                </c:pt>
                <c:pt idx="192">
                  <c:v>#N/A</c:v>
                </c:pt>
                <c:pt idx="193">
                  <c:v>#N/A</c:v>
                </c:pt>
                <c:pt idx="194">
                  <c:v>#N/A</c:v>
                </c:pt>
                <c:pt idx="195">
                  <c:v>#N/A</c:v>
                </c:pt>
                <c:pt idx="196">
                  <c:v>1.621</c:v>
                </c:pt>
                <c:pt idx="197">
                  <c:v>1.6440000000000001</c:v>
                </c:pt>
                <c:pt idx="198">
                  <c:v>1.667</c:v>
                </c:pt>
                <c:pt idx="199">
                  <c:v>1.69</c:v>
                </c:pt>
                <c:pt idx="200">
                  <c:v>#N/A</c:v>
                </c:pt>
                <c:pt idx="201">
                  <c:v>#N/A</c:v>
                </c:pt>
                <c:pt idx="202">
                  <c:v>#N/A</c:v>
                </c:pt>
                <c:pt idx="203">
                  <c:v>#N/A</c:v>
                </c:pt>
                <c:pt idx="204">
                  <c:v>#N/A</c:v>
                </c:pt>
                <c:pt idx="205">
                  <c:v>#N/A</c:v>
                </c:pt>
                <c:pt idx="206">
                  <c:v>#N/A</c:v>
                </c:pt>
                <c:pt idx="207">
                  <c:v>#N/A</c:v>
                </c:pt>
                <c:pt idx="208">
                  <c:v>#N/A</c:v>
                </c:pt>
                <c:pt idx="209">
                  <c:v>#N/A</c:v>
                </c:pt>
                <c:pt idx="210">
                  <c:v>1.161</c:v>
                </c:pt>
                <c:pt idx="211">
                  <c:v>#N/A</c:v>
                </c:pt>
                <c:pt idx="212">
                  <c:v>1.2070000000000001</c:v>
                </c:pt>
                <c:pt idx="213">
                  <c:v>1.23</c:v>
                </c:pt>
                <c:pt idx="214">
                  <c:v>#N/A</c:v>
                </c:pt>
                <c:pt idx="215">
                  <c:v>#N/A</c:v>
                </c:pt>
                <c:pt idx="216">
                  <c:v>#N/A</c:v>
                </c:pt>
                <c:pt idx="217">
                  <c:v>#N/A</c:v>
                </c:pt>
                <c:pt idx="218">
                  <c:v>#N/A</c:v>
                </c:pt>
                <c:pt idx="219">
                  <c:v>1.3679999999999999</c:v>
                </c:pt>
                <c:pt idx="220">
                  <c:v>1.391</c:v>
                </c:pt>
                <c:pt idx="221">
                  <c:v>1.4139999999999999</c:v>
                </c:pt>
                <c:pt idx="222">
                  <c:v>#N/A</c:v>
                </c:pt>
                <c:pt idx="223">
                  <c:v>#N/A</c:v>
                </c:pt>
                <c:pt idx="224">
                  <c:v>1.4830000000000001</c:v>
                </c:pt>
                <c:pt idx="225">
                  <c:v>1.506</c:v>
                </c:pt>
                <c:pt idx="226">
                  <c:v>#N/A</c:v>
                </c:pt>
                <c:pt idx="227">
                  <c:v>#N/A</c:v>
                </c:pt>
                <c:pt idx="228">
                  <c:v>#N/A</c:v>
                </c:pt>
                <c:pt idx="229">
                  <c:v>#N/A</c:v>
                </c:pt>
                <c:pt idx="230">
                  <c:v>#N/A</c:v>
                </c:pt>
                <c:pt idx="231">
                  <c:v>1.6440000000000001</c:v>
                </c:pt>
                <c:pt idx="232">
                  <c:v>#N/A</c:v>
                </c:pt>
                <c:pt idx="233">
                  <c:v>#N/A</c:v>
                </c:pt>
                <c:pt idx="234">
                  <c:v>#N/A</c:v>
                </c:pt>
                <c:pt idx="235">
                  <c:v>#N/A</c:v>
                </c:pt>
                <c:pt idx="236">
                  <c:v>#N/A</c:v>
                </c:pt>
                <c:pt idx="237">
                  <c:v>#N/A</c:v>
                </c:pt>
                <c:pt idx="238">
                  <c:v>#N/A</c:v>
                </c:pt>
                <c:pt idx="239">
                  <c:v>1.046</c:v>
                </c:pt>
                <c:pt idx="240">
                  <c:v>#N/A</c:v>
                </c:pt>
                <c:pt idx="241">
                  <c:v>#N/A</c:v>
                </c:pt>
                <c:pt idx="242">
                  <c:v>#N/A</c:v>
                </c:pt>
                <c:pt idx="243">
                  <c:v>#N/A</c:v>
                </c:pt>
                <c:pt idx="244">
                  <c:v>1.161</c:v>
                </c:pt>
                <c:pt idx="245">
                  <c:v>#N/A</c:v>
                </c:pt>
                <c:pt idx="246">
                  <c:v>1.2070000000000001</c:v>
                </c:pt>
                <c:pt idx="247">
                  <c:v>1.23</c:v>
                </c:pt>
                <c:pt idx="248">
                  <c:v>#N/A</c:v>
                </c:pt>
                <c:pt idx="249">
                  <c:v>#N/A</c:v>
                </c:pt>
                <c:pt idx="250">
                  <c:v>1.2989999999999999</c:v>
                </c:pt>
                <c:pt idx="251">
                  <c:v>1.3220000000000001</c:v>
                </c:pt>
                <c:pt idx="252">
                  <c:v>1.345</c:v>
                </c:pt>
                <c:pt idx="253">
                  <c:v>1.3679999999999999</c:v>
                </c:pt>
                <c:pt idx="254">
                  <c:v>#N/A</c:v>
                </c:pt>
                <c:pt idx="255">
                  <c:v>#N/A</c:v>
                </c:pt>
                <c:pt idx="256">
                  <c:v>1.4370000000000001</c:v>
                </c:pt>
                <c:pt idx="257">
                  <c:v>#N/A</c:v>
                </c:pt>
                <c:pt idx="258">
                  <c:v>#N/A</c:v>
                </c:pt>
                <c:pt idx="259">
                  <c:v>1.506</c:v>
                </c:pt>
                <c:pt idx="260">
                  <c:v>1.5289999999999999</c:v>
                </c:pt>
                <c:pt idx="261">
                  <c:v>#N/A</c:v>
                </c:pt>
                <c:pt idx="262">
                  <c:v>#N/A</c:v>
                </c:pt>
                <c:pt idx="263">
                  <c:v>#N/A</c:v>
                </c:pt>
                <c:pt idx="264">
                  <c:v>#N/A</c:v>
                </c:pt>
                <c:pt idx="265">
                  <c:v>1.6440000000000001</c:v>
                </c:pt>
                <c:pt idx="266">
                  <c:v>1.667</c:v>
                </c:pt>
                <c:pt idx="267">
                  <c:v>1.69</c:v>
                </c:pt>
                <c:pt idx="268">
                  <c:v>#N/A</c:v>
                </c:pt>
                <c:pt idx="269">
                  <c:v>#N/A</c:v>
                </c:pt>
                <c:pt idx="270">
                  <c:v>#N/A</c:v>
                </c:pt>
                <c:pt idx="271">
                  <c:v>#N/A</c:v>
                </c:pt>
                <c:pt idx="272">
                  <c:v>#N/A</c:v>
                </c:pt>
                <c:pt idx="273">
                  <c:v>#N/A</c:v>
                </c:pt>
                <c:pt idx="274">
                  <c:v>#N/A</c:v>
                </c:pt>
                <c:pt idx="275">
                  <c:v>1.0920000000000001</c:v>
                </c:pt>
                <c:pt idx="276">
                  <c:v>1.115</c:v>
                </c:pt>
                <c:pt idx="277">
                  <c:v>#N/A</c:v>
                </c:pt>
                <c:pt idx="278">
                  <c:v>1.161</c:v>
                </c:pt>
                <c:pt idx="279">
                  <c:v>#N/A</c:v>
                </c:pt>
                <c:pt idx="280">
                  <c:v>1.2070000000000001</c:v>
                </c:pt>
                <c:pt idx="281">
                  <c:v>#N/A</c:v>
                </c:pt>
                <c:pt idx="282">
                  <c:v>#N/A</c:v>
                </c:pt>
                <c:pt idx="283">
                  <c:v>#N/A</c:v>
                </c:pt>
                <c:pt idx="284">
                  <c:v>1.2989999999999999</c:v>
                </c:pt>
                <c:pt idx="285">
                  <c:v>#N/A</c:v>
                </c:pt>
                <c:pt idx="286">
                  <c:v>1.345</c:v>
                </c:pt>
                <c:pt idx="287">
                  <c:v>1.3679999999999999</c:v>
                </c:pt>
                <c:pt idx="288">
                  <c:v>#N/A</c:v>
                </c:pt>
                <c:pt idx="289">
                  <c:v>#N/A</c:v>
                </c:pt>
                <c:pt idx="290">
                  <c:v>1.4370000000000001</c:v>
                </c:pt>
                <c:pt idx="291">
                  <c:v>1.46</c:v>
                </c:pt>
                <c:pt idx="292">
                  <c:v>#N/A</c:v>
                </c:pt>
                <c:pt idx="293">
                  <c:v>#N/A</c:v>
                </c:pt>
                <c:pt idx="294">
                  <c:v>1.5289999999999999</c:v>
                </c:pt>
                <c:pt idx="295">
                  <c:v>#N/A</c:v>
                </c:pt>
                <c:pt idx="296">
                  <c:v>1.575</c:v>
                </c:pt>
                <c:pt idx="297">
                  <c:v>1.5979999999999999</c:v>
                </c:pt>
                <c:pt idx="298">
                  <c:v>#N/A</c:v>
                </c:pt>
                <c:pt idx="299">
                  <c:v>#N/A</c:v>
                </c:pt>
                <c:pt idx="300">
                  <c:v>#N/A</c:v>
                </c:pt>
                <c:pt idx="301">
                  <c:v>1.69</c:v>
                </c:pt>
                <c:pt idx="302">
                  <c:v>1.7130000000000001</c:v>
                </c:pt>
                <c:pt idx="303">
                  <c:v>1.736</c:v>
                </c:pt>
                <c:pt idx="304">
                  <c:v>1.7589999999999999</c:v>
                </c:pt>
                <c:pt idx="305">
                  <c:v>1</c:v>
                </c:pt>
                <c:pt idx="306">
                  <c:v>#N/A</c:v>
                </c:pt>
                <c:pt idx="307">
                  <c:v>#N/A</c:v>
                </c:pt>
                <c:pt idx="308">
                  <c:v>1.069</c:v>
                </c:pt>
                <c:pt idx="309">
                  <c:v>#N/A</c:v>
                </c:pt>
                <c:pt idx="310">
                  <c:v>1.115</c:v>
                </c:pt>
                <c:pt idx="311">
                  <c:v>1.1379999999999999</c:v>
                </c:pt>
                <c:pt idx="312">
                  <c:v>1.161</c:v>
                </c:pt>
                <c:pt idx="313">
                  <c:v>#N/A</c:v>
                </c:pt>
                <c:pt idx="314">
                  <c:v>1.2070000000000001</c:v>
                </c:pt>
                <c:pt idx="315">
                  <c:v>1.23</c:v>
                </c:pt>
                <c:pt idx="316">
                  <c:v>1.2530000000000001</c:v>
                </c:pt>
                <c:pt idx="317">
                  <c:v>1.276</c:v>
                </c:pt>
                <c:pt idx="318">
                  <c:v>1.2989999999999999</c:v>
                </c:pt>
                <c:pt idx="319">
                  <c:v>#N/A</c:v>
                </c:pt>
                <c:pt idx="320">
                  <c:v>1.345</c:v>
                </c:pt>
                <c:pt idx="321">
                  <c:v>1.3679999999999999</c:v>
                </c:pt>
                <c:pt idx="322">
                  <c:v>#N/A</c:v>
                </c:pt>
                <c:pt idx="323">
                  <c:v>1.4139999999999999</c:v>
                </c:pt>
                <c:pt idx="324">
                  <c:v>1.4370000000000001</c:v>
                </c:pt>
                <c:pt idx="325">
                  <c:v>#N/A</c:v>
                </c:pt>
                <c:pt idx="326">
                  <c:v>#N/A</c:v>
                </c:pt>
                <c:pt idx="327">
                  <c:v>1.506</c:v>
                </c:pt>
                <c:pt idx="328">
                  <c:v>1.5289999999999999</c:v>
                </c:pt>
                <c:pt idx="329">
                  <c:v>1.552</c:v>
                </c:pt>
                <c:pt idx="330">
                  <c:v>1.575</c:v>
                </c:pt>
                <c:pt idx="331">
                  <c:v>#N/A</c:v>
                </c:pt>
                <c:pt idx="332">
                  <c:v>#N/A</c:v>
                </c:pt>
                <c:pt idx="333">
                  <c:v>#N/A</c:v>
                </c:pt>
                <c:pt idx="334">
                  <c:v>1.667</c:v>
                </c:pt>
                <c:pt idx="335">
                  <c:v>1.69</c:v>
                </c:pt>
                <c:pt idx="336">
                  <c:v>1.7130000000000001</c:v>
                </c:pt>
                <c:pt idx="337">
                  <c:v>#N/A</c:v>
                </c:pt>
                <c:pt idx="338">
                  <c:v>#N/A</c:v>
                </c:pt>
                <c:pt idx="339">
                  <c:v>1</c:v>
                </c:pt>
                <c:pt idx="340">
                  <c:v>1.0229999999999999</c:v>
                </c:pt>
                <c:pt idx="341">
                  <c:v>#N/A</c:v>
                </c:pt>
                <c:pt idx="342">
                  <c:v>1.069</c:v>
                </c:pt>
                <c:pt idx="343">
                  <c:v>1.0920000000000001</c:v>
                </c:pt>
                <c:pt idx="344">
                  <c:v>1.115</c:v>
                </c:pt>
                <c:pt idx="345">
                  <c:v>#N/A</c:v>
                </c:pt>
                <c:pt idx="346">
                  <c:v>1.161</c:v>
                </c:pt>
                <c:pt idx="347">
                  <c:v>1.1839999999999999</c:v>
                </c:pt>
                <c:pt idx="348">
                  <c:v>1.2070000000000001</c:v>
                </c:pt>
                <c:pt idx="349">
                  <c:v>1.23</c:v>
                </c:pt>
                <c:pt idx="350">
                  <c:v>1.2530000000000001</c:v>
                </c:pt>
                <c:pt idx="351">
                  <c:v>1.276</c:v>
                </c:pt>
                <c:pt idx="352">
                  <c:v>#N/A</c:v>
                </c:pt>
                <c:pt idx="353">
                  <c:v>1.3220000000000001</c:v>
                </c:pt>
                <c:pt idx="354">
                  <c:v>1.345</c:v>
                </c:pt>
                <c:pt idx="355">
                  <c:v>1.3679999999999999</c:v>
                </c:pt>
                <c:pt idx="356">
                  <c:v>1.391</c:v>
                </c:pt>
                <c:pt idx="357">
                  <c:v>#N/A</c:v>
                </c:pt>
                <c:pt idx="358">
                  <c:v>#N/A</c:v>
                </c:pt>
                <c:pt idx="359">
                  <c:v>1.46</c:v>
                </c:pt>
                <c:pt idx="360">
                  <c:v>#N/A</c:v>
                </c:pt>
                <c:pt idx="361">
                  <c:v>#N/A</c:v>
                </c:pt>
                <c:pt idx="362">
                  <c:v>#N/A</c:v>
                </c:pt>
                <c:pt idx="363">
                  <c:v>1.552</c:v>
                </c:pt>
                <c:pt idx="364">
                  <c:v>#N/A</c:v>
                </c:pt>
                <c:pt idx="365">
                  <c:v>1.5979999999999999</c:v>
                </c:pt>
                <c:pt idx="366">
                  <c:v>#N/A</c:v>
                </c:pt>
                <c:pt idx="367">
                  <c:v>1.6440000000000001</c:v>
                </c:pt>
                <c:pt idx="368">
                  <c:v>#N/A</c:v>
                </c:pt>
                <c:pt idx="369">
                  <c:v>1.69</c:v>
                </c:pt>
                <c:pt idx="370">
                  <c:v>1.7130000000000001</c:v>
                </c:pt>
                <c:pt idx="371">
                  <c:v>1.736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1.276</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1.5289999999999999</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1.046</c:v>
                </c:pt>
                <c:pt idx="410">
                  <c:v>#N/A</c:v>
                </c:pt>
                <c:pt idx="411">
                  <c:v>#N/A</c:v>
                </c:pt>
                <c:pt idx="412">
                  <c:v>#N/A</c:v>
                </c:pt>
                <c:pt idx="413">
                  <c:v>#N/A</c:v>
                </c:pt>
                <c:pt idx="414">
                  <c:v>#N/A</c:v>
                </c:pt>
                <c:pt idx="415">
                  <c:v>1.1839999999999999</c:v>
                </c:pt>
                <c:pt idx="416">
                  <c:v>#N/A</c:v>
                </c:pt>
                <c:pt idx="417">
                  <c:v>#N/A</c:v>
                </c:pt>
                <c:pt idx="418">
                  <c:v>#N/A</c:v>
                </c:pt>
                <c:pt idx="419">
                  <c:v>1.276</c:v>
                </c:pt>
                <c:pt idx="420">
                  <c:v>#N/A</c:v>
                </c:pt>
                <c:pt idx="421">
                  <c:v>#N/A</c:v>
                </c:pt>
                <c:pt idx="422">
                  <c:v>#N/A</c:v>
                </c:pt>
                <c:pt idx="423">
                  <c:v>#N/A</c:v>
                </c:pt>
                <c:pt idx="424">
                  <c:v>1.391</c:v>
                </c:pt>
                <c:pt idx="425">
                  <c:v>#N/A</c:v>
                </c:pt>
                <c:pt idx="426">
                  <c:v>1.4370000000000001</c:v>
                </c:pt>
                <c:pt idx="427">
                  <c:v>1.46</c:v>
                </c:pt>
                <c:pt idx="428">
                  <c:v>1.4830000000000001</c:v>
                </c:pt>
                <c:pt idx="429">
                  <c:v>1.506</c:v>
                </c:pt>
                <c:pt idx="430">
                  <c:v>#N/A</c:v>
                </c:pt>
                <c:pt idx="431">
                  <c:v>1.552</c:v>
                </c:pt>
                <c:pt idx="432">
                  <c:v>1.575</c:v>
                </c:pt>
                <c:pt idx="433">
                  <c:v>#N/A</c:v>
                </c:pt>
                <c:pt idx="434">
                  <c:v>1.621</c:v>
                </c:pt>
                <c:pt idx="435">
                  <c:v>#N/A</c:v>
                </c:pt>
                <c:pt idx="436">
                  <c:v>1.667</c:v>
                </c:pt>
                <c:pt idx="437">
                  <c:v>#N/A</c:v>
                </c:pt>
                <c:pt idx="438">
                  <c:v>#N/A</c:v>
                </c:pt>
                <c:pt idx="439">
                  <c:v>#N/A</c:v>
                </c:pt>
                <c:pt idx="440">
                  <c:v>#N/A</c:v>
                </c:pt>
                <c:pt idx="441">
                  <c:v>#N/A</c:v>
                </c:pt>
                <c:pt idx="442">
                  <c:v>1.0229999999999999</c:v>
                </c:pt>
                <c:pt idx="443">
                  <c:v>1.046</c:v>
                </c:pt>
                <c:pt idx="444">
                  <c:v>#N/A</c:v>
                </c:pt>
                <c:pt idx="445">
                  <c:v>1.0920000000000001</c:v>
                </c:pt>
                <c:pt idx="446">
                  <c:v>#N/A</c:v>
                </c:pt>
                <c:pt idx="447">
                  <c:v>#N/A</c:v>
                </c:pt>
                <c:pt idx="448">
                  <c:v>#N/A</c:v>
                </c:pt>
                <c:pt idx="449">
                  <c:v>#N/A</c:v>
                </c:pt>
                <c:pt idx="450">
                  <c:v>1.2070000000000001</c:v>
                </c:pt>
                <c:pt idx="451">
                  <c:v>1.23</c:v>
                </c:pt>
                <c:pt idx="452">
                  <c:v>#N/A</c:v>
                </c:pt>
                <c:pt idx="453">
                  <c:v>#N/A</c:v>
                </c:pt>
                <c:pt idx="454">
                  <c:v>#N/A</c:v>
                </c:pt>
                <c:pt idx="455">
                  <c:v>#N/A</c:v>
                </c:pt>
                <c:pt idx="456">
                  <c:v>#N/A</c:v>
                </c:pt>
                <c:pt idx="457">
                  <c:v>#N/A</c:v>
                </c:pt>
                <c:pt idx="458">
                  <c:v>#N/A</c:v>
                </c:pt>
                <c:pt idx="459">
                  <c:v>#N/A</c:v>
                </c:pt>
                <c:pt idx="460">
                  <c:v>1.4370000000000001</c:v>
                </c:pt>
                <c:pt idx="461">
                  <c:v>1.46</c:v>
                </c:pt>
                <c:pt idx="462">
                  <c:v>#N/A</c:v>
                </c:pt>
                <c:pt idx="463">
                  <c:v>1.506</c:v>
                </c:pt>
                <c:pt idx="464">
                  <c:v>1.5289999999999999</c:v>
                </c:pt>
                <c:pt idx="465">
                  <c:v>1.552</c:v>
                </c:pt>
                <c:pt idx="466">
                  <c:v>1.575</c:v>
                </c:pt>
                <c:pt idx="467">
                  <c:v>#N/A</c:v>
                </c:pt>
                <c:pt idx="468">
                  <c:v>1.621</c:v>
                </c:pt>
                <c:pt idx="469">
                  <c:v>#N/A</c:v>
                </c:pt>
                <c:pt idx="470">
                  <c:v>#N/A</c:v>
                </c:pt>
                <c:pt idx="471">
                  <c:v>1.69</c:v>
                </c:pt>
                <c:pt idx="472">
                  <c:v>1.7130000000000001</c:v>
                </c:pt>
                <c:pt idx="473">
                  <c:v>1.736</c:v>
                </c:pt>
                <c:pt idx="474">
                  <c:v>1.7589999999999999</c:v>
                </c:pt>
                <c:pt idx="475">
                  <c:v>#N/A</c:v>
                </c:pt>
                <c:pt idx="476">
                  <c:v>1.0229999999999999</c:v>
                </c:pt>
                <c:pt idx="477">
                  <c:v>1.046</c:v>
                </c:pt>
                <c:pt idx="478">
                  <c:v>#N/A</c:v>
                </c:pt>
                <c:pt idx="479">
                  <c:v>#N/A</c:v>
                </c:pt>
                <c:pt idx="480">
                  <c:v>#N/A</c:v>
                </c:pt>
                <c:pt idx="481">
                  <c:v>1.1379999999999999</c:v>
                </c:pt>
                <c:pt idx="482">
                  <c:v>#N/A</c:v>
                </c:pt>
                <c:pt idx="483">
                  <c:v>1.1839999999999999</c:v>
                </c:pt>
                <c:pt idx="484">
                  <c:v>#N/A</c:v>
                </c:pt>
                <c:pt idx="485">
                  <c:v>1.23</c:v>
                </c:pt>
                <c:pt idx="486">
                  <c:v>1.2530000000000001</c:v>
                </c:pt>
                <c:pt idx="487">
                  <c:v>1.276</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1.5289999999999999</c:v>
                </c:pt>
                <c:pt idx="499">
                  <c:v>1.552</c:v>
                </c:pt>
                <c:pt idx="500">
                  <c:v>1.575</c:v>
                </c:pt>
                <c:pt idx="501">
                  <c:v>#N/A</c:v>
                </c:pt>
                <c:pt idx="502">
                  <c:v>1.621</c:v>
                </c:pt>
                <c:pt idx="503">
                  <c:v>#N/A</c:v>
                </c:pt>
                <c:pt idx="504">
                  <c:v>1.667</c:v>
                </c:pt>
                <c:pt idx="505">
                  <c:v>#N/A</c:v>
                </c:pt>
                <c:pt idx="506">
                  <c:v>#N/A</c:v>
                </c:pt>
                <c:pt idx="507">
                  <c:v>1.736</c:v>
                </c:pt>
                <c:pt idx="508">
                  <c:v>1.7589999999999999</c:v>
                </c:pt>
                <c:pt idx="509">
                  <c:v>#N/A</c:v>
                </c:pt>
                <c:pt idx="510">
                  <c:v>1.0229999999999999</c:v>
                </c:pt>
                <c:pt idx="511">
                  <c:v>#N/A</c:v>
                </c:pt>
                <c:pt idx="512">
                  <c:v>1.069</c:v>
                </c:pt>
                <c:pt idx="513">
                  <c:v>1.0920000000000001</c:v>
                </c:pt>
                <c:pt idx="514">
                  <c:v>1.115</c:v>
                </c:pt>
                <c:pt idx="515">
                  <c:v>1.1379999999999999</c:v>
                </c:pt>
                <c:pt idx="516">
                  <c:v>#N/A</c:v>
                </c:pt>
                <c:pt idx="517">
                  <c:v>#N/A</c:v>
                </c:pt>
                <c:pt idx="518">
                  <c:v>#N/A</c:v>
                </c:pt>
                <c:pt idx="519">
                  <c:v>#N/A</c:v>
                </c:pt>
                <c:pt idx="520">
                  <c:v>#N/A</c:v>
                </c:pt>
                <c:pt idx="521">
                  <c:v>1.276</c:v>
                </c:pt>
                <c:pt idx="522">
                  <c:v>#N/A</c:v>
                </c:pt>
                <c:pt idx="523">
                  <c:v>#N/A</c:v>
                </c:pt>
                <c:pt idx="524">
                  <c:v>#N/A</c:v>
                </c:pt>
                <c:pt idx="525">
                  <c:v>1.3679999999999999</c:v>
                </c:pt>
                <c:pt idx="526">
                  <c:v>1.391</c:v>
                </c:pt>
                <c:pt idx="527">
                  <c:v>#N/A</c:v>
                </c:pt>
                <c:pt idx="528">
                  <c:v>#N/A</c:v>
                </c:pt>
                <c:pt idx="529">
                  <c:v>#N/A</c:v>
                </c:pt>
                <c:pt idx="530">
                  <c:v>#N/A</c:v>
                </c:pt>
                <c:pt idx="531">
                  <c:v>1.506</c:v>
                </c:pt>
                <c:pt idx="532">
                  <c:v>#N/A</c:v>
                </c:pt>
                <c:pt idx="533">
                  <c:v>1.552</c:v>
                </c:pt>
                <c:pt idx="534">
                  <c:v>#N/A</c:v>
                </c:pt>
                <c:pt idx="535">
                  <c:v>1.5979999999999999</c:v>
                </c:pt>
                <c:pt idx="536">
                  <c:v>#N/A</c:v>
                </c:pt>
                <c:pt idx="537">
                  <c:v>#N/A</c:v>
                </c:pt>
                <c:pt idx="538">
                  <c:v>#N/A</c:v>
                </c:pt>
                <c:pt idx="539">
                  <c:v>#N/A</c:v>
                </c:pt>
                <c:pt idx="540">
                  <c:v>1.7130000000000001</c:v>
                </c:pt>
                <c:pt idx="541">
                  <c:v>1.736</c:v>
                </c:pt>
                <c:pt idx="542">
                  <c:v>1.7589999999999999</c:v>
                </c:pt>
                <c:pt idx="543">
                  <c:v>#N/A</c:v>
                </c:pt>
                <c:pt idx="544">
                  <c:v>#N/A</c:v>
                </c:pt>
                <c:pt idx="545">
                  <c:v>#N/A</c:v>
                </c:pt>
                <c:pt idx="546">
                  <c:v>#N/A</c:v>
                </c:pt>
                <c:pt idx="547">
                  <c:v>#N/A</c:v>
                </c:pt>
                <c:pt idx="548">
                  <c:v>#N/A</c:v>
                </c:pt>
                <c:pt idx="549">
                  <c:v>#N/A</c:v>
                </c:pt>
                <c:pt idx="550">
                  <c:v>1.161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1.4830000000000001</c:v>
                </c:pt>
                <c:pt idx="565">
                  <c:v>#N/A</c:v>
                </c:pt>
                <c:pt idx="566">
                  <c:v>1.5289999999999999</c:v>
                </c:pt>
                <c:pt idx="567">
                  <c:v>#N/A</c:v>
                </c:pt>
                <c:pt idx="568">
                  <c:v>#N/A</c:v>
                </c:pt>
                <c:pt idx="569">
                  <c:v>1.5979999999999999</c:v>
                </c:pt>
                <c:pt idx="570">
                  <c:v>#N/A</c:v>
                </c:pt>
                <c:pt idx="571">
                  <c:v>#N/A</c:v>
                </c:pt>
                <c:pt idx="572">
                  <c:v>#N/A</c:v>
                </c:pt>
                <c:pt idx="573">
                  <c:v>1.69</c:v>
                </c:pt>
                <c:pt idx="574">
                  <c:v>1.7130000000000001</c:v>
                </c:pt>
                <c:pt idx="575">
                  <c:v>#N/A</c:v>
                </c:pt>
                <c:pt idx="576">
                  <c:v>1.7589999999999999</c:v>
                </c:pt>
                <c:pt idx="577">
                  <c:v>1</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#N/A</c:v>
                </c:pt>
                <c:pt idx="594">
                  <c:v>1.391</c:v>
                </c:pt>
                <c:pt idx="595">
                  <c:v>1.4139999999999999</c:v>
                </c:pt>
                <c:pt idx="596">
                  <c:v>1.4370000000000001</c:v>
                </c:pt>
                <c:pt idx="597">
                  <c:v>1.46</c:v>
                </c:pt>
                <c:pt idx="598">
                  <c:v>#N/A</c:v>
                </c:pt>
                <c:pt idx="599">
                  <c:v>1.506</c:v>
                </c:pt>
                <c:pt idx="600">
                  <c:v>1.5289999999999999</c:v>
                </c:pt>
                <c:pt idx="601">
                  <c:v>#N/A</c:v>
                </c:pt>
                <c:pt idx="602">
                  <c:v>#N/A</c:v>
                </c:pt>
                <c:pt idx="603">
                  <c:v>#N/A</c:v>
                </c:pt>
                <c:pt idx="604">
                  <c:v>1.621</c:v>
                </c:pt>
                <c:pt idx="605">
                  <c:v>1.6440000000000001</c:v>
                </c:pt>
                <c:pt idx="606">
                  <c:v>#N/A</c:v>
                </c:pt>
                <c:pt idx="607">
                  <c:v>1.69</c:v>
                </c:pt>
                <c:pt idx="608">
                  <c:v>1.7130000000000001</c:v>
                </c:pt>
                <c:pt idx="609">
                  <c:v>1.736</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#N/A</c:v>
                </c:pt>
                <c:pt idx="628">
                  <c:v>#N/A</c:v>
                </c:pt>
                <c:pt idx="629">
                  <c:v>#N/A</c:v>
                </c:pt>
                <c:pt idx="630">
                  <c:v>1.4370000000000001</c:v>
                </c:pt>
                <c:pt idx="631">
                  <c:v>1.46</c:v>
                </c:pt>
                <c:pt idx="632">
                  <c:v>1.4830000000000001</c:v>
                </c:pt>
                <c:pt idx="633">
                  <c:v>1.506</c:v>
                </c:pt>
                <c:pt idx="634">
                  <c:v>1.5289999999999999</c:v>
                </c:pt>
                <c:pt idx="635">
                  <c:v>1.552</c:v>
                </c:pt>
                <c:pt idx="636">
                  <c:v>#N/A</c:v>
                </c:pt>
                <c:pt idx="637">
                  <c:v>1.5979999999999999</c:v>
                </c:pt>
                <c:pt idx="638">
                  <c:v>1.621</c:v>
                </c:pt>
                <c:pt idx="639">
                  <c:v>1.6440000000000001</c:v>
                </c:pt>
                <c:pt idx="640">
                  <c:v>#N/A</c:v>
                </c:pt>
                <c:pt idx="641">
                  <c:v>#N/A</c:v>
                </c:pt>
                <c:pt idx="642">
                  <c:v>1.7130000000000001</c:v>
                </c:pt>
                <c:pt idx="643">
                  <c:v>1.736</c:v>
                </c:pt>
                <c:pt idx="644">
                  <c:v>#N/A</c:v>
                </c:pt>
                <c:pt idx="645">
                  <c:v>1</c:v>
                </c:pt>
                <c:pt idx="646">
                  <c:v>#N/A</c:v>
                </c:pt>
                <c:pt idx="647">
                  <c:v>#N/A</c:v>
                </c:pt>
                <c:pt idx="648">
                  <c:v>#N/A</c:v>
                </c:pt>
                <c:pt idx="649">
                  <c:v>#N/A</c:v>
                </c:pt>
                <c:pt idx="650">
                  <c:v>#N/A</c:v>
                </c:pt>
                <c:pt idx="651">
                  <c:v>#N/A</c:v>
                </c:pt>
                <c:pt idx="652">
                  <c:v>#N/A</c:v>
                </c:pt>
                <c:pt idx="653">
                  <c:v>#N/A</c:v>
                </c:pt>
                <c:pt idx="654">
                  <c:v>#N/A</c:v>
                </c:pt>
                <c:pt idx="655">
                  <c:v>1.23</c:v>
                </c:pt>
                <c:pt idx="656">
                  <c:v>#N/A</c:v>
                </c:pt>
                <c:pt idx="657">
                  <c:v>1.276</c:v>
                </c:pt>
                <c:pt idx="658">
                  <c:v>#N/A</c:v>
                </c:pt>
                <c:pt idx="659">
                  <c:v>#N/A</c:v>
                </c:pt>
                <c:pt idx="660">
                  <c:v>1.345</c:v>
                </c:pt>
                <c:pt idx="661">
                  <c:v>1.3679999999999999</c:v>
                </c:pt>
                <c:pt idx="662">
                  <c:v>1.391</c:v>
                </c:pt>
                <c:pt idx="663">
                  <c:v>#N/A</c:v>
                </c:pt>
                <c:pt idx="664">
                  <c:v>#N/A</c:v>
                </c:pt>
                <c:pt idx="665">
                  <c:v>1.46</c:v>
                </c:pt>
                <c:pt idx="666">
                  <c:v>#N/A</c:v>
                </c:pt>
                <c:pt idx="667">
                  <c:v>#N/A</c:v>
                </c:pt>
                <c:pt idx="668">
                  <c:v>#N/A</c:v>
                </c:pt>
                <c:pt idx="669">
                  <c:v>1.552</c:v>
                </c:pt>
                <c:pt idx="670">
                  <c:v>#N/A</c:v>
                </c:pt>
                <c:pt idx="671">
                  <c:v>#N/A</c:v>
                </c:pt>
                <c:pt idx="672">
                  <c:v>#N/A</c:v>
                </c:pt>
                <c:pt idx="673">
                  <c:v>1.6440000000000001</c:v>
                </c:pt>
                <c:pt idx="674">
                  <c:v>1.667</c:v>
                </c:pt>
                <c:pt idx="675">
                  <c:v>#N/A</c:v>
                </c:pt>
                <c:pt idx="676">
                  <c:v>#N/A</c:v>
                </c:pt>
                <c:pt idx="677">
                  <c:v>#N/A</c:v>
                </c:pt>
                <c:pt idx="678">
                  <c:v>#N/A</c:v>
                </c:pt>
                <c:pt idx="679">
                  <c:v>1</c:v>
                </c:pt>
                <c:pt idx="680">
                  <c:v>1.0229999999999999</c:v>
                </c:pt>
                <c:pt idx="681">
                  <c:v>1.046</c:v>
                </c:pt>
                <c:pt idx="682">
                  <c:v>#N/A</c:v>
                </c:pt>
                <c:pt idx="683">
                  <c:v>1.0920000000000001</c:v>
                </c:pt>
                <c:pt idx="684">
                  <c:v>#N/A</c:v>
                </c:pt>
                <c:pt idx="685">
                  <c:v>#N/A</c:v>
                </c:pt>
                <c:pt idx="686">
                  <c:v>1.161</c:v>
                </c:pt>
                <c:pt idx="687">
                  <c:v>1.1839999999999999</c:v>
                </c:pt>
                <c:pt idx="688">
                  <c:v>1.2070000000000001</c:v>
                </c:pt>
                <c:pt idx="689">
                  <c:v>#N/A</c:v>
                </c:pt>
                <c:pt idx="690">
                  <c:v>1.2530000000000001</c:v>
                </c:pt>
                <c:pt idx="691">
                  <c:v>1.276</c:v>
                </c:pt>
                <c:pt idx="692">
                  <c:v>1.2989999999999999</c:v>
                </c:pt>
                <c:pt idx="693">
                  <c:v>#N/A</c:v>
                </c:pt>
                <c:pt idx="694">
                  <c:v>1.345</c:v>
                </c:pt>
                <c:pt idx="695">
                  <c:v>#N/A</c:v>
                </c:pt>
                <c:pt idx="696">
                  <c:v>1.391</c:v>
                </c:pt>
                <c:pt idx="697">
                  <c:v>1.4139999999999999</c:v>
                </c:pt>
                <c:pt idx="698">
                  <c:v>1.4370000000000001</c:v>
                </c:pt>
                <c:pt idx="699">
                  <c:v>#N/A</c:v>
                </c:pt>
                <c:pt idx="700">
                  <c:v>#N/A</c:v>
                </c:pt>
                <c:pt idx="701">
                  <c:v>1.506</c:v>
                </c:pt>
                <c:pt idx="702">
                  <c:v>#N/A</c:v>
                </c:pt>
                <c:pt idx="703">
                  <c:v>#N/A</c:v>
                </c:pt>
                <c:pt idx="704">
                  <c:v>1.575</c:v>
                </c:pt>
                <c:pt idx="705">
                  <c:v>#N/A</c:v>
                </c:pt>
                <c:pt idx="706">
                  <c:v>1.621</c:v>
                </c:pt>
                <c:pt idx="707">
                  <c:v>1.6440000000000001</c:v>
                </c:pt>
                <c:pt idx="708">
                  <c:v>1.667</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1.2530000000000001</c:v>
                </c:pt>
                <c:pt idx="725">
                  <c:v>1.276</c:v>
                </c:pt>
                <c:pt idx="726">
                  <c:v>#N/A</c:v>
                </c:pt>
                <c:pt idx="727">
                  <c:v>#N/A</c:v>
                </c:pt>
                <c:pt idx="728">
                  <c:v>1.345</c:v>
                </c:pt>
                <c:pt idx="729">
                  <c:v>#N/A</c:v>
                </c:pt>
                <c:pt idx="730">
                  <c:v>#N/A</c:v>
                </c:pt>
                <c:pt idx="731">
                  <c:v>#N/A</c:v>
                </c:pt>
                <c:pt idx="732">
                  <c:v>#N/A</c:v>
                </c:pt>
                <c:pt idx="733">
                  <c:v>#N/A</c:v>
                </c:pt>
                <c:pt idx="734">
                  <c:v>1.4830000000000001</c:v>
                </c:pt>
                <c:pt idx="735">
                  <c:v>#N/A</c:v>
                </c:pt>
                <c:pt idx="736">
                  <c:v>1.5289999999999999</c:v>
                </c:pt>
                <c:pt idx="737">
                  <c:v>1.552</c:v>
                </c:pt>
                <c:pt idx="738">
                  <c:v>1.575</c:v>
                </c:pt>
                <c:pt idx="739">
                  <c:v>#N/A</c:v>
                </c:pt>
                <c:pt idx="740">
                  <c:v>1.621</c:v>
                </c:pt>
                <c:pt idx="741">
                  <c:v>1.6440000000000001</c:v>
                </c:pt>
                <c:pt idx="742">
                  <c:v>#N/A</c:v>
                </c:pt>
                <c:pt idx="743">
                  <c:v>1.69</c:v>
                </c:pt>
                <c:pt idx="744">
                  <c:v>1.7130000000000001</c:v>
                </c:pt>
                <c:pt idx="745">
                  <c:v>#N/A</c:v>
                </c:pt>
                <c:pt idx="746">
                  <c:v>#N/A</c:v>
                </c:pt>
                <c:pt idx="747">
                  <c:v>#N/A</c:v>
                </c:pt>
                <c:pt idx="748">
                  <c:v>1.0229999999999999</c:v>
                </c:pt>
                <c:pt idx="749">
                  <c:v>#N/A</c:v>
                </c:pt>
                <c:pt idx="750">
                  <c:v>#N/A</c:v>
                </c:pt>
                <c:pt idx="751">
                  <c:v>#N/A</c:v>
                </c:pt>
                <c:pt idx="752">
                  <c:v>#N/A</c:v>
                </c:pt>
                <c:pt idx="753">
                  <c:v>1.1379999999999999</c:v>
                </c:pt>
                <c:pt idx="754">
                  <c:v>#N/A</c:v>
                </c:pt>
                <c:pt idx="755">
                  <c:v>#N/A</c:v>
                </c:pt>
                <c:pt idx="756">
                  <c:v>#N/A</c:v>
                </c:pt>
                <c:pt idx="757">
                  <c:v>#N/A</c:v>
                </c:pt>
                <c:pt idx="758">
                  <c:v>1.2530000000000001</c:v>
                </c:pt>
                <c:pt idx="759">
                  <c:v>#N/A</c:v>
                </c:pt>
                <c:pt idx="760">
                  <c:v>1.2989999999999999</c:v>
                </c:pt>
                <c:pt idx="761">
                  <c:v>#N/A</c:v>
                </c:pt>
                <c:pt idx="762">
                  <c:v>1.345</c:v>
                </c:pt>
                <c:pt idx="763">
                  <c:v>1.3679999999999999</c:v>
                </c:pt>
                <c:pt idx="764">
                  <c:v>#N/A</c:v>
                </c:pt>
                <c:pt idx="765">
                  <c:v>#N/A</c:v>
                </c:pt>
                <c:pt idx="766">
                  <c:v>#N/A</c:v>
                </c:pt>
                <c:pt idx="767">
                  <c:v>1.46</c:v>
                </c:pt>
                <c:pt idx="768">
                  <c:v>1.4830000000000001</c:v>
                </c:pt>
                <c:pt idx="769">
                  <c:v>#N/A</c:v>
                </c:pt>
                <c:pt idx="770">
                  <c:v>1.5289999999999999</c:v>
                </c:pt>
                <c:pt idx="771">
                  <c:v>#N/A</c:v>
                </c:pt>
                <c:pt idx="772">
                  <c:v>1.575</c:v>
                </c:pt>
                <c:pt idx="773">
                  <c:v>1.5979999999999999</c:v>
                </c:pt>
                <c:pt idx="774">
                  <c:v>1.621</c:v>
                </c:pt>
                <c:pt idx="775">
                  <c:v>#N/A</c:v>
                </c:pt>
                <c:pt idx="776">
                  <c:v>#N/A</c:v>
                </c:pt>
                <c:pt idx="777">
                  <c:v>#N/A</c:v>
                </c:pt>
                <c:pt idx="778">
                  <c:v>#N/A</c:v>
                </c:pt>
                <c:pt idx="779">
                  <c:v>#N/A</c:v>
                </c:pt>
                <c:pt idx="780">
                  <c:v>#N/A</c:v>
                </c:pt>
                <c:pt idx="781">
                  <c:v>#N/A</c:v>
                </c:pt>
                <c:pt idx="782">
                  <c:v>#N/A</c:v>
                </c:pt>
                <c:pt idx="783">
                  <c:v>#N/A</c:v>
                </c:pt>
                <c:pt idx="784">
                  <c:v>#N/A</c:v>
                </c:pt>
                <c:pt idx="785">
                  <c:v>1.0920000000000001</c:v>
                </c:pt>
                <c:pt idx="786">
                  <c:v>1.115</c:v>
                </c:pt>
                <c:pt idx="787">
                  <c:v>#N/A</c:v>
                </c:pt>
                <c:pt idx="788">
                  <c:v>#N/A</c:v>
                </c:pt>
                <c:pt idx="789">
                  <c:v>#N/A</c:v>
                </c:pt>
                <c:pt idx="790">
                  <c:v>1.2070000000000001</c:v>
                </c:pt>
                <c:pt idx="791">
                  <c:v>#N/A</c:v>
                </c:pt>
                <c:pt idx="792">
                  <c:v>1.2530000000000001</c:v>
                </c:pt>
                <c:pt idx="793">
                  <c:v>#N/A</c:v>
                </c:pt>
                <c:pt idx="794">
                  <c:v>#N/A</c:v>
                </c:pt>
                <c:pt idx="795">
                  <c:v>#N/A</c:v>
                </c:pt>
                <c:pt idx="796">
                  <c:v>#N/A</c:v>
                </c:pt>
                <c:pt idx="797">
                  <c:v>1.3679999999999999</c:v>
                </c:pt>
                <c:pt idx="798">
                  <c:v>1.391</c:v>
                </c:pt>
                <c:pt idx="799">
                  <c:v>1.4139999999999999</c:v>
                </c:pt>
                <c:pt idx="800">
                  <c:v>1.4370000000000001</c:v>
                </c:pt>
                <c:pt idx="801">
                  <c:v>1.46</c:v>
                </c:pt>
                <c:pt idx="802">
                  <c:v>#N/A</c:v>
                </c:pt>
                <c:pt idx="803">
                  <c:v>1.506</c:v>
                </c:pt>
                <c:pt idx="804">
                  <c:v>#N/A</c:v>
                </c:pt>
                <c:pt idx="805">
                  <c:v>1.552</c:v>
                </c:pt>
                <c:pt idx="806">
                  <c:v>1.575</c:v>
                </c:pt>
                <c:pt idx="807">
                  <c:v>#N/A</c:v>
                </c:pt>
                <c:pt idx="808">
                  <c:v>1.621</c:v>
                </c:pt>
                <c:pt idx="809">
                  <c:v>1.6440000000000001</c:v>
                </c:pt>
                <c:pt idx="810">
                  <c:v>#N/A</c:v>
                </c:pt>
                <c:pt idx="811">
                  <c:v>#N/A</c:v>
                </c:pt>
                <c:pt idx="812">
                  <c:v>#N/A</c:v>
                </c:pt>
                <c:pt idx="813">
                  <c:v>1.736</c:v>
                </c:pt>
                <c:pt idx="814">
                  <c:v>1.7589999999999999</c:v>
                </c:pt>
                <c:pt idx="815">
                  <c:v>#N/A</c:v>
                </c:pt>
                <c:pt idx="816">
                  <c:v>1.0229999999999999</c:v>
                </c:pt>
                <c:pt idx="817">
                  <c:v>1.046</c:v>
                </c:pt>
                <c:pt idx="818">
                  <c:v>1.069</c:v>
                </c:pt>
                <c:pt idx="819">
                  <c:v>#N/A</c:v>
                </c:pt>
                <c:pt idx="820">
                  <c:v>#N/A</c:v>
                </c:pt>
                <c:pt idx="821">
                  <c:v>#N/A</c:v>
                </c:pt>
                <c:pt idx="822">
                  <c:v>1.161</c:v>
                </c:pt>
                <c:pt idx="823">
                  <c:v>#N/A</c:v>
                </c:pt>
                <c:pt idx="824">
                  <c:v>1.2070000000000001</c:v>
                </c:pt>
                <c:pt idx="825">
                  <c:v>#N/A</c:v>
                </c:pt>
                <c:pt idx="826">
                  <c:v>#N/A</c:v>
                </c:pt>
                <c:pt idx="827">
                  <c:v>#N/A</c:v>
                </c:pt>
                <c:pt idx="828">
                  <c:v>1.2989999999999999</c:v>
                </c:pt>
                <c:pt idx="829">
                  <c:v>#N/A</c:v>
                </c:pt>
                <c:pt idx="830">
                  <c:v>1.345</c:v>
                </c:pt>
                <c:pt idx="831">
                  <c:v>1.3679999999999999</c:v>
                </c:pt>
                <c:pt idx="832">
                  <c:v>1.391</c:v>
                </c:pt>
                <c:pt idx="833">
                  <c:v>1.4139999999999999</c:v>
                </c:pt>
                <c:pt idx="834">
                  <c:v>#N/A</c:v>
                </c:pt>
                <c:pt idx="835">
                  <c:v>#N/A</c:v>
                </c:pt>
                <c:pt idx="836">
                  <c:v>1.4830000000000001</c:v>
                </c:pt>
                <c:pt idx="837">
                  <c:v>#N/A</c:v>
                </c:pt>
                <c:pt idx="838">
                  <c:v>#N/A</c:v>
                </c:pt>
                <c:pt idx="839">
                  <c:v>1.552</c:v>
                </c:pt>
                <c:pt idx="840">
                  <c:v>#N/A</c:v>
                </c:pt>
                <c:pt idx="841">
                  <c:v>1.5979999999999999</c:v>
                </c:pt>
                <c:pt idx="842">
                  <c:v>1.621</c:v>
                </c:pt>
                <c:pt idx="843">
                  <c:v>#N/A</c:v>
                </c:pt>
                <c:pt idx="844">
                  <c:v>#N/A</c:v>
                </c:pt>
                <c:pt idx="845">
                  <c:v>#N/A</c:v>
                </c:pt>
                <c:pt idx="846">
                  <c:v>#N/A</c:v>
                </c:pt>
                <c:pt idx="847">
                  <c:v>#N/A</c:v>
                </c:pt>
                <c:pt idx="848">
                  <c:v>1.7589999999999999</c:v>
                </c:pt>
                <c:pt idx="849">
                  <c:v>1</c:v>
                </c:pt>
                <c:pt idx="850">
                  <c:v>#N/A</c:v>
                </c:pt>
                <c:pt idx="851">
                  <c:v>#N/A</c:v>
                </c:pt>
                <c:pt idx="852">
                  <c:v>#N/A</c:v>
                </c:pt>
                <c:pt idx="853">
                  <c:v>#N/A</c:v>
                </c:pt>
                <c:pt idx="854">
                  <c:v>#N/A</c:v>
                </c:pt>
                <c:pt idx="855">
                  <c:v>1.1379999999999999</c:v>
                </c:pt>
                <c:pt idx="856">
                  <c:v>1.161</c:v>
                </c:pt>
                <c:pt idx="857">
                  <c:v>#N/A</c:v>
                </c:pt>
                <c:pt idx="858">
                  <c:v>#N/A</c:v>
                </c:pt>
                <c:pt idx="859">
                  <c:v>#N/A</c:v>
                </c:pt>
                <c:pt idx="860">
                  <c:v>#N/A</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2026</c:v>
                </c:pt>
                <c:pt idx="165">
                  <c:v>#N/A</c:v>
                </c:pt>
                <c:pt idx="166">
                  <c:v>#N/A</c:v>
                </c:pt>
                <c:pt idx="167">
                  <c:v>#N/A</c:v>
                </c:pt>
                <c:pt idx="168">
                  <c:v>#N/A</c:v>
                </c:pt>
                <c:pt idx="169">
                  <c:v>2015</c:v>
                </c:pt>
                <c:pt idx="170">
                  <c:v>2023</c:v>
                </c:pt>
                <c:pt idx="171">
                  <c:v>#N/A</c:v>
                </c:pt>
                <c:pt idx="172">
                  <c:v>#N/A</c:v>
                </c:pt>
                <c:pt idx="173">
                  <c:v>#N/A</c:v>
                </c:pt>
                <c:pt idx="174">
                  <c:v>#N/A</c:v>
                </c:pt>
                <c:pt idx="175">
                  <c:v>2026</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2019</c:v>
                </c:pt>
                <c:pt idx="192">
                  <c:v>#N/A</c:v>
                </c:pt>
                <c:pt idx="193">
                  <c:v>2022</c:v>
                </c:pt>
                <c:pt idx="194">
                  <c:v>#N/A</c:v>
                </c:pt>
                <c:pt idx="195">
                  <c:v>#N/A</c:v>
                </c:pt>
                <c:pt idx="196">
                  <c:v>#N/A</c:v>
                </c:pt>
                <c:pt idx="197">
                  <c:v>#N/A</c:v>
                </c:pt>
                <c:pt idx="198">
                  <c:v>#N/A</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2022</c:v>
                </c:pt>
                <c:pt idx="217">
                  <c:v>2026</c:v>
                </c:pt>
                <c:pt idx="218">
                  <c:v>#N/A</c:v>
                </c:pt>
                <c:pt idx="219">
                  <c:v>#N/A</c:v>
                </c:pt>
                <c:pt idx="220">
                  <c:v>#N/A</c:v>
                </c:pt>
                <c:pt idx="221">
                  <c:v>#N/A</c:v>
                </c:pt>
                <c:pt idx="222">
                  <c:v>2019</c:v>
                </c:pt>
                <c:pt idx="223">
                  <c:v>#N/A</c:v>
                </c:pt>
                <c:pt idx="224">
                  <c:v>#N/A</c:v>
                </c:pt>
                <c:pt idx="225">
                  <c:v>#N/A</c:v>
                </c:pt>
                <c:pt idx="226">
                  <c:v>#N/A</c:v>
                </c:pt>
                <c:pt idx="227">
                  <c:v>#N/A</c:v>
                </c:pt>
                <c:pt idx="228">
                  <c:v>2025</c:v>
                </c:pt>
                <c:pt idx="229">
                  <c:v>#N/A</c:v>
                </c:pt>
                <c:pt idx="230">
                  <c:v>#N/A</c:v>
                </c:pt>
                <c:pt idx="231">
                  <c:v>2024</c:v>
                </c:pt>
                <c:pt idx="232">
                  <c:v>2025</c:v>
                </c:pt>
                <c:pt idx="233">
                  <c:v>2025</c:v>
                </c:pt>
                <c:pt idx="234">
                  <c:v>#N/A</c:v>
                </c:pt>
                <c:pt idx="235">
                  <c:v>#N/A</c:v>
                </c:pt>
                <c:pt idx="236">
                  <c:v>2021</c:v>
                </c:pt>
                <c:pt idx="237">
                  <c:v>#N/A</c:v>
                </c:pt>
                <c:pt idx="238">
                  <c:v>#N/A</c:v>
                </c:pt>
                <c:pt idx="239">
                  <c:v>#N/A</c:v>
                </c:pt>
                <c:pt idx="240">
                  <c:v>2016</c:v>
                </c:pt>
                <c:pt idx="241">
                  <c:v>#N/A</c:v>
                </c:pt>
                <c:pt idx="242">
                  <c:v>#N/A</c:v>
                </c:pt>
                <c:pt idx="243">
                  <c:v>#N/A</c:v>
                </c:pt>
                <c:pt idx="244">
                  <c:v>#N/A</c:v>
                </c:pt>
                <c:pt idx="245">
                  <c:v>#N/A</c:v>
                </c:pt>
                <c:pt idx="246">
                  <c:v>#N/A</c:v>
                </c:pt>
                <c:pt idx="247">
                  <c:v>2006</c:v>
                </c:pt>
                <c:pt idx="248">
                  <c:v>2023</c:v>
                </c:pt>
                <c:pt idx="249">
                  <c:v>#N/A</c:v>
                </c:pt>
                <c:pt idx="250">
                  <c:v>#N/A</c:v>
                </c:pt>
                <c:pt idx="251">
                  <c:v>#N/A</c:v>
                </c:pt>
                <c:pt idx="252">
                  <c:v>#N/A</c:v>
                </c:pt>
                <c:pt idx="253">
                  <c:v>#N/A</c:v>
                </c:pt>
                <c:pt idx="254">
                  <c:v>#N/A</c:v>
                </c:pt>
                <c:pt idx="255">
                  <c:v>#N/A</c:v>
                </c:pt>
                <c:pt idx="256">
                  <c:v>2024</c:v>
                </c:pt>
                <c:pt idx="257">
                  <c:v>#N/A</c:v>
                </c:pt>
                <c:pt idx="258">
                  <c:v>#N/A</c:v>
                </c:pt>
                <c:pt idx="259">
                  <c:v>#N/A</c:v>
                </c:pt>
                <c:pt idx="260">
                  <c:v>2025</c:v>
                </c:pt>
                <c:pt idx="261">
                  <c:v>#N/A</c:v>
                </c:pt>
                <c:pt idx="262">
                  <c:v>#N/A</c:v>
                </c:pt>
                <c:pt idx="263">
                  <c:v>#N/A</c:v>
                </c:pt>
                <c:pt idx="264">
                  <c:v>#N/A</c:v>
                </c:pt>
                <c:pt idx="265">
                  <c:v>#N/A</c:v>
                </c:pt>
                <c:pt idx="266">
                  <c:v>#N/A</c:v>
                </c:pt>
                <c:pt idx="267">
                  <c:v>#N/A</c:v>
                </c:pt>
                <c:pt idx="268">
                  <c:v>#N/A</c:v>
                </c:pt>
                <c:pt idx="269">
                  <c:v>#N/A</c:v>
                </c:pt>
                <c:pt idx="270">
                  <c:v>2018</c:v>
                </c:pt>
                <c:pt idx="271">
                  <c:v>2024</c:v>
                </c:pt>
                <c:pt idx="272">
                  <c:v>#N/A</c:v>
                </c:pt>
                <c:pt idx="273">
                  <c:v>#N/A</c:v>
                </c:pt>
                <c:pt idx="274">
                  <c:v>#N/A</c:v>
                </c:pt>
                <c:pt idx="275">
                  <c:v>#N/A</c:v>
                </c:pt>
                <c:pt idx="276">
                  <c:v>2025</c:v>
                </c:pt>
                <c:pt idx="277">
                  <c:v>#N/A</c:v>
                </c:pt>
                <c:pt idx="278">
                  <c:v>#N/A</c:v>
                </c:pt>
                <c:pt idx="279">
                  <c:v>#N/A</c:v>
                </c:pt>
                <c:pt idx="280">
                  <c:v>2018</c:v>
                </c:pt>
                <c:pt idx="281">
                  <c:v>2023</c:v>
                </c:pt>
                <c:pt idx="282">
                  <c:v>#N/A</c:v>
                </c:pt>
                <c:pt idx="283">
                  <c:v>#N/A</c:v>
                </c:pt>
                <c:pt idx="284">
                  <c:v>2022</c:v>
                </c:pt>
                <c:pt idx="285">
                  <c:v>#N/A</c:v>
                </c:pt>
                <c:pt idx="286">
                  <c:v>#N/A</c:v>
                </c:pt>
                <c:pt idx="287">
                  <c:v>#N/A</c:v>
                </c:pt>
                <c:pt idx="288">
                  <c:v>2012</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2025</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2017</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2025</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2015</c:v>
                </c:pt>
                <c:pt idx="373">
                  <c:v>#N/A</c:v>
                </c:pt>
                <c:pt idx="374">
                  <c:v>2023</c:v>
                </c:pt>
                <c:pt idx="375">
                  <c:v>2025</c:v>
                </c:pt>
                <c:pt idx="376">
                  <c:v>#N/A</c:v>
                </c:pt>
                <c:pt idx="377">
                  <c:v>2021</c:v>
                </c:pt>
                <c:pt idx="378">
                  <c:v>2018</c:v>
                </c:pt>
                <c:pt idx="379">
                  <c:v>#N/A</c:v>
                </c:pt>
                <c:pt idx="380">
                  <c:v>2019</c:v>
                </c:pt>
                <c:pt idx="381">
                  <c:v>#N/A</c:v>
                </c:pt>
                <c:pt idx="382">
                  <c:v>#N/A</c:v>
                </c:pt>
                <c:pt idx="383">
                  <c:v>#N/A</c:v>
                </c:pt>
                <c:pt idx="384">
                  <c:v>#N/A</c:v>
                </c:pt>
                <c:pt idx="385">
                  <c:v>#N/A</c:v>
                </c:pt>
                <c:pt idx="386">
                  <c:v>#N/A</c:v>
                </c:pt>
                <c:pt idx="387">
                  <c:v>#N/A</c:v>
                </c:pt>
                <c:pt idx="388">
                  <c:v>2024</c:v>
                </c:pt>
                <c:pt idx="389">
                  <c:v>#N/A</c:v>
                </c:pt>
                <c:pt idx="390">
                  <c:v>#N/A</c:v>
                </c:pt>
                <c:pt idx="391">
                  <c:v>#N/A</c:v>
                </c:pt>
                <c:pt idx="392">
                  <c:v>2025</c:v>
                </c:pt>
                <c:pt idx="393">
                  <c:v>#N/A</c:v>
                </c:pt>
                <c:pt idx="394">
                  <c:v>2016</c:v>
                </c:pt>
                <c:pt idx="395">
                  <c:v>#N/A</c:v>
                </c:pt>
                <c:pt idx="396">
                  <c:v>2025</c:v>
                </c:pt>
                <c:pt idx="397">
                  <c:v>#N/A</c:v>
                </c:pt>
                <c:pt idx="398">
                  <c:v>#N/A</c:v>
                </c:pt>
                <c:pt idx="399">
                  <c:v>#N/A</c:v>
                </c:pt>
                <c:pt idx="400">
                  <c:v>#N/A</c:v>
                </c:pt>
                <c:pt idx="401">
                  <c:v>#N/A</c:v>
                </c:pt>
                <c:pt idx="402">
                  <c:v>#N/A</c:v>
                </c:pt>
                <c:pt idx="403">
                  <c:v>2019</c:v>
                </c:pt>
                <c:pt idx="404">
                  <c:v>#N/A</c:v>
                </c:pt>
                <c:pt idx="405">
                  <c:v>#N/A</c:v>
                </c:pt>
                <c:pt idx="406">
                  <c:v>2023</c:v>
                </c:pt>
                <c:pt idx="407">
                  <c:v>#N/A</c:v>
                </c:pt>
                <c:pt idx="408">
                  <c:v>#N/A</c:v>
                </c:pt>
                <c:pt idx="409">
                  <c:v>2024</c:v>
                </c:pt>
                <c:pt idx="410">
                  <c:v>2021</c:v>
                </c:pt>
                <c:pt idx="411">
                  <c:v>2017</c:v>
                </c:pt>
                <c:pt idx="412">
                  <c:v>2022</c:v>
                </c:pt>
                <c:pt idx="413">
                  <c:v>2025</c:v>
                </c:pt>
                <c:pt idx="414">
                  <c:v>#N/A</c:v>
                </c:pt>
                <c:pt idx="415">
                  <c:v>#N/A</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#N/A</c:v>
                </c:pt>
                <c:pt idx="429">
                  <c:v>#N/A</c:v>
                </c:pt>
                <c:pt idx="430">
                  <c:v>#N/A</c:v>
                </c:pt>
                <c:pt idx="431">
                  <c:v>#N/A</c:v>
                </c:pt>
                <c:pt idx="432">
                  <c:v>#N/A</c:v>
                </c:pt>
                <c:pt idx="433">
                  <c:v>#N/A</c:v>
                </c:pt>
                <c:pt idx="434">
                  <c:v>2022</c:v>
                </c:pt>
                <c:pt idx="435">
                  <c:v>#N/A</c:v>
                </c:pt>
                <c:pt idx="436">
                  <c:v>#N/A</c:v>
                </c:pt>
                <c:pt idx="437">
                  <c:v>#N/A</c:v>
                </c:pt>
                <c:pt idx="438">
                  <c:v>#N/A</c:v>
                </c:pt>
                <c:pt idx="439">
                  <c:v>#N/A</c:v>
                </c:pt>
                <c:pt idx="440">
                  <c:v>2024</c:v>
                </c:pt>
                <c:pt idx="441">
                  <c:v>#N/A</c:v>
                </c:pt>
                <c:pt idx="442">
                  <c:v>#N/A</c:v>
                </c:pt>
                <c:pt idx="443">
                  <c:v>2026</c:v>
                </c:pt>
                <c:pt idx="444">
                  <c:v>#N/A</c:v>
                </c:pt>
                <c:pt idx="445">
                  <c:v>2024</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#N/A</c:v>
                </c:pt>
                <c:pt idx="492">
                  <c:v>#N/A</c:v>
                </c:pt>
                <c:pt idx="493">
                  <c:v>#N/A</c:v>
                </c:pt>
                <c:pt idx="494">
                  <c:v>#N/A</c:v>
                </c:pt>
                <c:pt idx="495">
                  <c:v>2024</c:v>
                </c:pt>
                <c:pt idx="496">
                  <c:v>#N/A</c:v>
                </c:pt>
                <c:pt idx="497">
                  <c:v>#N/A</c:v>
                </c:pt>
                <c:pt idx="498">
                  <c:v>#N/A</c:v>
                </c:pt>
                <c:pt idx="499">
                  <c:v>#N/A</c:v>
                </c:pt>
                <c:pt idx="500">
                  <c:v>2025</c:v>
                </c:pt>
                <c:pt idx="501">
                  <c:v>#N/A</c:v>
                </c:pt>
                <c:pt idx="502">
                  <c:v>2025</c:v>
                </c:pt>
                <c:pt idx="503">
                  <c:v>#N/A</c:v>
                </c:pt>
                <c:pt idx="504">
                  <c:v>#N/A</c:v>
                </c:pt>
                <c:pt idx="505">
                  <c:v>2024</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2025</c:v>
                </c:pt>
                <c:pt idx="532">
                  <c:v>#N/A</c:v>
                </c:pt>
                <c:pt idx="533">
                  <c:v>#N/A</c:v>
                </c:pt>
                <c:pt idx="534">
                  <c:v>#N/A</c:v>
                </c:pt>
                <c:pt idx="535">
                  <c:v>#N/A</c:v>
                </c:pt>
                <c:pt idx="536">
                  <c:v>2021</c:v>
                </c:pt>
                <c:pt idx="537">
                  <c:v>#N/A</c:v>
                </c:pt>
                <c:pt idx="538">
                  <c:v>#N/A</c:v>
                </c:pt>
                <c:pt idx="539">
                  <c:v>#N/A</c:v>
                </c:pt>
                <c:pt idx="540">
                  <c:v>#N/A</c:v>
                </c:pt>
                <c:pt idx="541">
                  <c:v>#N/A</c:v>
                </c:pt>
                <c:pt idx="542">
                  <c:v>#N/A</c:v>
                </c:pt>
                <c:pt idx="543">
                  <c:v>#N/A</c:v>
                </c:pt>
                <c:pt idx="544">
                  <c:v>2022</c:v>
                </c:pt>
                <c:pt idx="545">
                  <c:v>#N/A</c:v>
                </c:pt>
                <c:pt idx="546">
                  <c:v>#N/A</c:v>
                </c:pt>
                <c:pt idx="547">
                  <c:v>#N/A</c:v>
                </c:pt>
                <c:pt idx="548">
                  <c:v>#N/A</c:v>
                </c:pt>
                <c:pt idx="549">
                  <c:v>#N/A</c:v>
                </c:pt>
                <c:pt idx="550">
                  <c:v>2026</c:v>
                </c:pt>
                <c:pt idx="551">
                  <c:v>2021</c:v>
                </c:pt>
                <c:pt idx="552">
                  <c:v>2026</c:v>
                </c:pt>
                <c:pt idx="553">
                  <c:v>#N/A</c:v>
                </c:pt>
                <c:pt idx="554">
                  <c:v>#N/A</c:v>
                </c:pt>
                <c:pt idx="555">
                  <c:v>#N/A</c:v>
                </c:pt>
                <c:pt idx="556">
                  <c:v>#N/A</c:v>
                </c:pt>
                <c:pt idx="557">
                  <c:v>#N/A</c:v>
                </c:pt>
                <c:pt idx="558">
                  <c:v>#N/A</c:v>
                </c:pt>
                <c:pt idx="559">
                  <c:v>2024</c:v>
                </c:pt>
                <c:pt idx="560">
                  <c:v>2025</c:v>
                </c:pt>
                <c:pt idx="561">
                  <c:v>2020</c:v>
                </c:pt>
                <c:pt idx="562">
                  <c:v>#N/A</c:v>
                </c:pt>
                <c:pt idx="563">
                  <c:v>#N/A</c:v>
                </c:pt>
                <c:pt idx="564">
                  <c:v>2026</c:v>
                </c:pt>
                <c:pt idx="565">
                  <c:v>#N/A</c:v>
                </c:pt>
                <c:pt idx="566">
                  <c:v>#N/A</c:v>
                </c:pt>
                <c:pt idx="567">
                  <c:v>#N/A</c:v>
                </c:pt>
                <c:pt idx="568">
                  <c:v>#N/A</c:v>
                </c:pt>
                <c:pt idx="569">
                  <c:v>#N/A</c:v>
                </c:pt>
                <c:pt idx="570">
                  <c:v>2024</c:v>
                </c:pt>
                <c:pt idx="571">
                  <c:v>#N/A</c:v>
                </c:pt>
                <c:pt idx="572">
                  <c:v>#N/A</c:v>
                </c:pt>
                <c:pt idx="573">
                  <c:v>#N/A</c:v>
                </c:pt>
                <c:pt idx="574">
                  <c:v>#N/A</c:v>
                </c:pt>
                <c:pt idx="575">
                  <c:v>#N/A</c:v>
                </c:pt>
                <c:pt idx="576">
                  <c:v>#N/A</c:v>
                </c:pt>
                <c:pt idx="577">
                  <c:v>#N/A</c:v>
                </c:pt>
                <c:pt idx="578">
                  <c:v>#N/A</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2020</c:v>
                </c:pt>
                <c:pt idx="592">
                  <c:v>#N/A</c:v>
                </c:pt>
                <c:pt idx="593">
                  <c:v>#N/A</c:v>
                </c:pt>
                <c:pt idx="594">
                  <c:v>#N/A</c:v>
                </c:pt>
                <c:pt idx="595">
                  <c:v>#N/A</c:v>
                </c:pt>
                <c:pt idx="596">
                  <c:v>#N/A</c:v>
                </c:pt>
                <c:pt idx="597">
                  <c:v>2014</c:v>
                </c:pt>
                <c:pt idx="598">
                  <c:v>#N/A</c:v>
                </c:pt>
                <c:pt idx="599">
                  <c:v>#N/A</c:v>
                </c:pt>
                <c:pt idx="600">
                  <c:v>#N/A</c:v>
                </c:pt>
                <c:pt idx="601">
                  <c:v>2024</c:v>
                </c:pt>
                <c:pt idx="602">
                  <c:v>#N/A</c:v>
                </c:pt>
                <c:pt idx="603">
                  <c:v>#N/A</c:v>
                </c:pt>
                <c:pt idx="604">
                  <c:v>#N/A</c:v>
                </c:pt>
                <c:pt idx="605">
                  <c:v>#N/A</c:v>
                </c:pt>
                <c:pt idx="606">
                  <c:v>#N/A</c:v>
                </c:pt>
                <c:pt idx="607">
                  <c:v>#N/A</c:v>
                </c:pt>
                <c:pt idx="608">
                  <c:v>#N/A</c:v>
                </c:pt>
                <c:pt idx="609">
                  <c:v>2021</c:v>
                </c:pt>
                <c:pt idx="610">
                  <c:v>2022</c:v>
                </c:pt>
                <c:pt idx="611">
                  <c:v>#N/A</c:v>
                </c:pt>
                <c:pt idx="612">
                  <c:v>2016</c:v>
                </c:pt>
                <c:pt idx="613">
                  <c:v>#N/A</c:v>
                </c:pt>
                <c:pt idx="614">
                  <c:v>#N/A</c:v>
                </c:pt>
                <c:pt idx="615">
                  <c:v>#N/A</c:v>
                </c:pt>
                <c:pt idx="616">
                  <c:v>#N/A</c:v>
                </c:pt>
                <c:pt idx="617">
                  <c:v>#N/A</c:v>
                </c:pt>
                <c:pt idx="618">
                  <c:v>2022</c:v>
                </c:pt>
                <c:pt idx="619">
                  <c:v>2021</c:v>
                </c:pt>
                <c:pt idx="620">
                  <c:v>2024</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2025</c:v>
                </c:pt>
                <c:pt idx="636">
                  <c:v>#N/A</c:v>
                </c:pt>
                <c:pt idx="637">
                  <c:v>#N/A</c:v>
                </c:pt>
                <c:pt idx="638">
                  <c:v>#N/A</c:v>
                </c:pt>
                <c:pt idx="639">
                  <c:v>#N/A</c:v>
                </c:pt>
                <c:pt idx="640">
                  <c:v>2025</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2023</c:v>
                </c:pt>
                <c:pt idx="654">
                  <c:v>#N/A</c:v>
                </c:pt>
                <c:pt idx="655">
                  <c:v>2022</c:v>
                </c:pt>
                <c:pt idx="656">
                  <c:v>#N/A</c:v>
                </c:pt>
                <c:pt idx="657">
                  <c:v>#N/A</c:v>
                </c:pt>
                <c:pt idx="658">
                  <c:v>2026</c:v>
                </c:pt>
                <c:pt idx="659">
                  <c:v>#N/A</c:v>
                </c:pt>
                <c:pt idx="660">
                  <c:v>#N/A</c:v>
                </c:pt>
                <c:pt idx="661">
                  <c:v>#N/A</c:v>
                </c:pt>
                <c:pt idx="662">
                  <c:v>#N/A</c:v>
                </c:pt>
                <c:pt idx="663">
                  <c:v>#N/A</c:v>
                </c:pt>
                <c:pt idx="664">
                  <c:v>#N/A</c:v>
                </c:pt>
                <c:pt idx="665">
                  <c:v>#N/A</c:v>
                </c:pt>
                <c:pt idx="666">
                  <c:v>#N/A</c:v>
                </c:pt>
                <c:pt idx="667">
                  <c:v>2018</c:v>
                </c:pt>
                <c:pt idx="668">
                  <c:v>#N/A</c:v>
                </c:pt>
                <c:pt idx="669">
                  <c:v>#N/A</c:v>
                </c:pt>
                <c:pt idx="670">
                  <c:v>#N/A</c:v>
                </c:pt>
                <c:pt idx="671">
                  <c:v>#N/A</c:v>
                </c:pt>
                <c:pt idx="672">
                  <c:v>#N/A</c:v>
                </c:pt>
                <c:pt idx="673">
                  <c:v>#N/A</c:v>
                </c:pt>
                <c:pt idx="674">
                  <c:v>2025</c:v>
                </c:pt>
                <c:pt idx="675">
                  <c:v>#N/A</c:v>
                </c:pt>
                <c:pt idx="676">
                  <c:v>#N/A</c:v>
                </c:pt>
                <c:pt idx="677">
                  <c:v>#N/A</c:v>
                </c:pt>
                <c:pt idx="678">
                  <c:v>#N/A</c:v>
                </c:pt>
                <c:pt idx="679">
                  <c:v>#N/A</c:v>
                </c:pt>
                <c:pt idx="680">
                  <c:v>#N/A</c:v>
                </c:pt>
                <c:pt idx="681">
                  <c:v>#N/A</c:v>
                </c:pt>
                <c:pt idx="682">
                  <c:v>#N/A</c:v>
                </c:pt>
                <c:pt idx="683">
                  <c:v>2023</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2002</c:v>
                </c:pt>
                <c:pt idx="705">
                  <c:v>#N/A</c:v>
                </c:pt>
                <c:pt idx="706">
                  <c:v>#N/A</c:v>
                </c:pt>
                <c:pt idx="707">
                  <c:v>#N/A</c:v>
                </c:pt>
                <c:pt idx="708">
                  <c:v>2015</c:v>
                </c:pt>
                <c:pt idx="709">
                  <c:v>2021</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2026</c:v>
                </c:pt>
                <c:pt idx="732">
                  <c:v>#N/A</c:v>
                </c:pt>
                <c:pt idx="733">
                  <c:v>#N/A</c:v>
                </c:pt>
                <c:pt idx="734">
                  <c:v>2019</c:v>
                </c:pt>
                <c:pt idx="735">
                  <c:v>#N/A</c:v>
                </c:pt>
                <c:pt idx="736">
                  <c:v>#N/A</c:v>
                </c:pt>
                <c:pt idx="737">
                  <c:v>#N/A</c:v>
                </c:pt>
                <c:pt idx="738">
                  <c:v>2022</c:v>
                </c:pt>
                <c:pt idx="739">
                  <c:v>#N/A</c:v>
                </c:pt>
                <c:pt idx="740">
                  <c:v>#N/A</c:v>
                </c:pt>
                <c:pt idx="741">
                  <c:v>2025</c:v>
                </c:pt>
                <c:pt idx="742">
                  <c:v>#N/A</c:v>
                </c:pt>
                <c:pt idx="743">
                  <c:v>#N/A</c:v>
                </c:pt>
                <c:pt idx="744">
                  <c:v>#N/A</c:v>
                </c:pt>
                <c:pt idx="745">
                  <c:v>#N/A</c:v>
                </c:pt>
                <c:pt idx="746">
                  <c:v>#N/A</c:v>
                </c:pt>
                <c:pt idx="747">
                  <c:v>#N/A</c:v>
                </c:pt>
                <c:pt idx="748">
                  <c:v>#N/A</c:v>
                </c:pt>
                <c:pt idx="749">
                  <c:v>#N/A</c:v>
                </c:pt>
                <c:pt idx="750">
                  <c:v>2025</c:v>
                </c:pt>
                <c:pt idx="751">
                  <c:v>2024</c:v>
                </c:pt>
                <c:pt idx="752">
                  <c:v>#N/A</c:v>
                </c:pt>
                <c:pt idx="753">
                  <c:v>2021</c:v>
                </c:pt>
                <c:pt idx="754">
                  <c:v>2019</c:v>
                </c:pt>
                <c:pt idx="755">
                  <c:v>#N/A</c:v>
                </c:pt>
                <c:pt idx="756">
                  <c:v>2023</c:v>
                </c:pt>
                <c:pt idx="757">
                  <c:v>#N/A</c:v>
                </c:pt>
                <c:pt idx="758">
                  <c:v>#N/A</c:v>
                </c:pt>
                <c:pt idx="759">
                  <c:v>#N/A</c:v>
                </c:pt>
                <c:pt idx="760">
                  <c:v>#N/A</c:v>
                </c:pt>
                <c:pt idx="761">
                  <c:v>#N/A</c:v>
                </c:pt>
                <c:pt idx="762">
                  <c:v>#N/A</c:v>
                </c:pt>
                <c:pt idx="763">
                  <c:v>#N/A</c:v>
                </c:pt>
                <c:pt idx="764">
                  <c:v>2025</c:v>
                </c:pt>
                <c:pt idx="765">
                  <c:v>#N/A</c:v>
                </c:pt>
                <c:pt idx="766">
                  <c:v>#N/A</c:v>
                </c:pt>
                <c:pt idx="767">
                  <c:v>#N/A</c:v>
                </c:pt>
                <c:pt idx="768">
                  <c:v>#N/A</c:v>
                </c:pt>
                <c:pt idx="769">
                  <c:v>#N/A</c:v>
                </c:pt>
                <c:pt idx="770">
                  <c:v>2022</c:v>
                </c:pt>
                <c:pt idx="771">
                  <c:v>#N/A</c:v>
                </c:pt>
                <c:pt idx="772">
                  <c:v>#N/A</c:v>
                </c:pt>
                <c:pt idx="773">
                  <c:v>#N/A</c:v>
                </c:pt>
                <c:pt idx="774">
                  <c:v>#N/A</c:v>
                </c:pt>
                <c:pt idx="775">
                  <c:v>#N/A</c:v>
                </c:pt>
                <c:pt idx="776">
                  <c:v>#N/A</c:v>
                </c:pt>
                <c:pt idx="777">
                  <c:v>#N/A</c:v>
                </c:pt>
                <c:pt idx="778">
                  <c:v>#N/A</c:v>
                </c:pt>
                <c:pt idx="779">
                  <c:v>#N/A</c:v>
                </c:pt>
                <c:pt idx="780">
                  <c:v>#N/A</c:v>
                </c:pt>
                <c:pt idx="781">
                  <c:v>2025</c:v>
                </c:pt>
                <c:pt idx="782">
                  <c:v>#N/A</c:v>
                </c:pt>
                <c:pt idx="783">
                  <c:v>2024</c:v>
                </c:pt>
                <c:pt idx="784">
                  <c:v>#N/A</c:v>
                </c:pt>
                <c:pt idx="785">
                  <c:v>#N/A</c:v>
                </c:pt>
                <c:pt idx="786">
                  <c:v>#N/A</c:v>
                </c:pt>
                <c:pt idx="787">
                  <c:v>#N/A</c:v>
                </c:pt>
                <c:pt idx="788">
                  <c:v>#N/A</c:v>
                </c:pt>
                <c:pt idx="789">
                  <c:v>#N/A</c:v>
                </c:pt>
                <c:pt idx="790">
                  <c:v>#N/A</c:v>
                </c:pt>
                <c:pt idx="791">
                  <c:v>#N/A</c:v>
                </c:pt>
                <c:pt idx="792">
                  <c:v>#N/A</c:v>
                </c:pt>
                <c:pt idx="793">
                  <c:v>#N/A</c:v>
                </c:pt>
                <c:pt idx="794">
                  <c:v>#N/A</c:v>
                </c:pt>
                <c:pt idx="795">
                  <c:v>2021</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2024</c:v>
                </c:pt>
                <c:pt idx="815">
                  <c:v>#N/A</c:v>
                </c:pt>
                <c:pt idx="816">
                  <c:v>#N/A</c:v>
                </c:pt>
                <c:pt idx="817">
                  <c:v>#N/A</c:v>
                </c:pt>
                <c:pt idx="818">
                  <c:v>#N/A</c:v>
                </c:pt>
                <c:pt idx="819">
                  <c:v>2023</c:v>
                </c:pt>
                <c:pt idx="820">
                  <c:v>2025</c:v>
                </c:pt>
                <c:pt idx="821">
                  <c:v>#N/A</c:v>
                </c:pt>
                <c:pt idx="822">
                  <c:v>#N/A</c:v>
                </c:pt>
                <c:pt idx="823">
                  <c:v>#N/A</c:v>
                </c:pt>
                <c:pt idx="824">
                  <c:v>2017</c:v>
                </c:pt>
                <c:pt idx="825">
                  <c:v>#N/A</c:v>
                </c:pt>
                <c:pt idx="826">
                  <c:v>2012</c:v>
                </c:pt>
                <c:pt idx="827">
                  <c:v>#N/A</c:v>
                </c:pt>
                <c:pt idx="828">
                  <c:v>2005</c:v>
                </c:pt>
                <c:pt idx="829">
                  <c:v>#N/A</c:v>
                </c:pt>
                <c:pt idx="830">
                  <c:v>#N/A</c:v>
                </c:pt>
                <c:pt idx="831">
                  <c:v>#N/A</c:v>
                </c:pt>
                <c:pt idx="832">
                  <c:v>#N/A</c:v>
                </c:pt>
                <c:pt idx="833">
                  <c:v>2019</c:v>
                </c:pt>
                <c:pt idx="834">
                  <c:v>#N/A</c:v>
                </c:pt>
                <c:pt idx="835">
                  <c:v>#N/A</c:v>
                </c:pt>
                <c:pt idx="836">
                  <c:v>#N/A</c:v>
                </c:pt>
                <c:pt idx="837">
                  <c:v>2026</c:v>
                </c:pt>
                <c:pt idx="838">
                  <c:v>#N/A</c:v>
                </c:pt>
                <c:pt idx="839">
                  <c:v>#N/A</c:v>
                </c:pt>
                <c:pt idx="840">
                  <c:v>#N/A</c:v>
                </c:pt>
                <c:pt idx="841">
                  <c:v>#N/A</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2.69</c:v>
                </c:pt>
                <c:pt idx="166">
                  <c:v>#N/A</c:v>
                </c:pt>
                <c:pt idx="167">
                  <c:v>#N/A</c:v>
                </c:pt>
                <c:pt idx="168">
                  <c:v>#N/A</c:v>
                </c:pt>
                <c:pt idx="169">
                  <c:v>#N/A</c:v>
                </c:pt>
                <c:pt idx="170">
                  <c:v>2.0230000000000001</c:v>
                </c:pt>
                <c:pt idx="171">
                  <c:v>2.0459999999999998</c:v>
                </c:pt>
                <c:pt idx="172">
                  <c:v>#N/A</c:v>
                </c:pt>
                <c:pt idx="173">
                  <c:v>#N/A</c:v>
                </c:pt>
                <c:pt idx="174">
                  <c:v>#N/A</c:v>
                </c:pt>
                <c:pt idx="175">
                  <c:v>#N/A</c:v>
                </c:pt>
                <c:pt idx="176">
                  <c:v>2.161</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2.5750000000000002</c:v>
                </c:pt>
                <c:pt idx="195">
                  <c:v>#N/A</c:v>
                </c:pt>
                <c:pt idx="196">
                  <c:v>#N/A</c:v>
                </c:pt>
                <c:pt idx="197">
                  <c:v>#N/A</c:v>
                </c:pt>
                <c:pt idx="198">
                  <c:v>#N/A</c:v>
                </c:pt>
                <c:pt idx="199">
                  <c:v>#N/A</c:v>
                </c:pt>
                <c:pt idx="200">
                  <c:v>#N/A</c:v>
                </c:pt>
                <c:pt idx="201">
                  <c:v>#N/A</c:v>
                </c:pt>
                <c:pt idx="202">
                  <c:v>#N/A</c:v>
                </c:pt>
                <c:pt idx="203">
                  <c:v>2</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2.3220000000000001</c:v>
                </c:pt>
                <c:pt idx="218">
                  <c:v>2.3449999999999998</c:v>
                </c:pt>
                <c:pt idx="219">
                  <c:v>#N/A</c:v>
                </c:pt>
                <c:pt idx="220">
                  <c:v>#N/A</c:v>
                </c:pt>
                <c:pt idx="221">
                  <c:v>#N/A</c:v>
                </c:pt>
                <c:pt idx="222">
                  <c:v>#N/A</c:v>
                </c:pt>
                <c:pt idx="223">
                  <c:v>2.46</c:v>
                </c:pt>
                <c:pt idx="224">
                  <c:v>#N/A</c:v>
                </c:pt>
                <c:pt idx="225">
                  <c:v>#N/A</c:v>
                </c:pt>
                <c:pt idx="226">
                  <c:v>#N/A</c:v>
                </c:pt>
                <c:pt idx="227">
                  <c:v>#N/A</c:v>
                </c:pt>
                <c:pt idx="228">
                  <c:v>#N/A</c:v>
                </c:pt>
                <c:pt idx="229">
                  <c:v>2.5979999999999999</c:v>
                </c:pt>
                <c:pt idx="230">
                  <c:v>#N/A</c:v>
                </c:pt>
                <c:pt idx="231">
                  <c:v>#N/A</c:v>
                </c:pt>
                <c:pt idx="232">
                  <c:v>2.6669999999999998</c:v>
                </c:pt>
                <c:pt idx="233">
                  <c:v>2.69</c:v>
                </c:pt>
                <c:pt idx="234">
                  <c:v>2.7130000000000001</c:v>
                </c:pt>
                <c:pt idx="235">
                  <c:v>#N/A</c:v>
                </c:pt>
                <c:pt idx="236">
                  <c:v>#N/A</c:v>
                </c:pt>
                <c:pt idx="237">
                  <c:v>2</c:v>
                </c:pt>
                <c:pt idx="238">
                  <c:v>#N/A</c:v>
                </c:pt>
                <c:pt idx="239">
                  <c:v>#N/A</c:v>
                </c:pt>
                <c:pt idx="240">
                  <c:v>#N/A</c:v>
                </c:pt>
                <c:pt idx="241">
                  <c:v>2.0920000000000001</c:v>
                </c:pt>
                <c:pt idx="242">
                  <c:v>#N/A</c:v>
                </c:pt>
                <c:pt idx="243">
                  <c:v>#N/A</c:v>
                </c:pt>
                <c:pt idx="244">
                  <c:v>#N/A</c:v>
                </c:pt>
                <c:pt idx="245">
                  <c:v>#N/A</c:v>
                </c:pt>
                <c:pt idx="246">
                  <c:v>#N/A</c:v>
                </c:pt>
                <c:pt idx="247">
                  <c:v>#N/A</c:v>
                </c:pt>
                <c:pt idx="248">
                  <c:v>2.2530000000000001</c:v>
                </c:pt>
                <c:pt idx="249">
                  <c:v>2.2759999999999998</c:v>
                </c:pt>
                <c:pt idx="250">
                  <c:v>#N/A</c:v>
                </c:pt>
                <c:pt idx="251">
                  <c:v>#N/A</c:v>
                </c:pt>
                <c:pt idx="252">
                  <c:v>#N/A</c:v>
                </c:pt>
                <c:pt idx="253">
                  <c:v>#N/A</c:v>
                </c:pt>
                <c:pt idx="254">
                  <c:v>#N/A</c:v>
                </c:pt>
                <c:pt idx="255">
                  <c:v>#N/A</c:v>
                </c:pt>
                <c:pt idx="256">
                  <c:v>#N/A</c:v>
                </c:pt>
                <c:pt idx="257">
                  <c:v>2.46</c:v>
                </c:pt>
                <c:pt idx="258">
                  <c:v>#N/A</c:v>
                </c:pt>
                <c:pt idx="259">
                  <c:v>#N/A</c:v>
                </c:pt>
                <c:pt idx="260">
                  <c:v>#N/A</c:v>
                </c:pt>
                <c:pt idx="261">
                  <c:v>2.552</c:v>
                </c:pt>
                <c:pt idx="262">
                  <c:v>#N/A</c:v>
                </c:pt>
                <c:pt idx="263">
                  <c:v>#N/A</c:v>
                </c:pt>
                <c:pt idx="264">
                  <c:v>#N/A</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2.1379999999999999</c:v>
                </c:pt>
                <c:pt idx="278">
                  <c:v>#N/A</c:v>
                </c:pt>
                <c:pt idx="279">
                  <c:v>#N/A</c:v>
                </c:pt>
                <c:pt idx="280">
                  <c:v>#N/A</c:v>
                </c:pt>
                <c:pt idx="281">
                  <c:v>2.23</c:v>
                </c:pt>
                <c:pt idx="282">
                  <c:v>2.2530000000000001</c:v>
                </c:pt>
                <c:pt idx="283">
                  <c:v>#N/A</c:v>
                </c:pt>
                <c:pt idx="284">
                  <c:v>#N/A</c:v>
                </c:pt>
                <c:pt idx="285">
                  <c:v>2.3220000000000001</c:v>
                </c:pt>
                <c:pt idx="286">
                  <c:v>#N/A</c:v>
                </c:pt>
                <c:pt idx="287">
                  <c:v>#N/A</c:v>
                </c:pt>
                <c:pt idx="288">
                  <c:v>#N/A</c:v>
                </c:pt>
                <c:pt idx="289">
                  <c:v>2.4140000000000001</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2.0459999999999998</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2.4369999999999998</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c:v>
                </c:pt>
                <c:pt idx="374">
                  <c:v>#N/A</c:v>
                </c:pt>
                <c:pt idx="375">
                  <c:v>2.0459999999999998</c:v>
                </c:pt>
                <c:pt idx="376">
                  <c:v>2.069</c:v>
                </c:pt>
                <c:pt idx="377">
                  <c:v>#N/A</c:v>
                </c:pt>
                <c:pt idx="378">
                  <c:v>2.1150000000000002</c:v>
                </c:pt>
                <c:pt idx="379">
                  <c:v>2.1379999999999999</c:v>
                </c:pt>
                <c:pt idx="380">
                  <c:v>#N/A</c:v>
                </c:pt>
                <c:pt idx="381">
                  <c:v>2.1840000000000002</c:v>
                </c:pt>
                <c:pt idx="382">
                  <c:v>#N/A</c:v>
                </c:pt>
                <c:pt idx="383">
                  <c:v>#N/A</c:v>
                </c:pt>
                <c:pt idx="384">
                  <c:v>#N/A</c:v>
                </c:pt>
                <c:pt idx="385">
                  <c:v>#N/A</c:v>
                </c:pt>
                <c:pt idx="386">
                  <c:v>#N/A</c:v>
                </c:pt>
                <c:pt idx="387">
                  <c:v>#N/A</c:v>
                </c:pt>
                <c:pt idx="388">
                  <c:v>#N/A</c:v>
                </c:pt>
                <c:pt idx="389">
                  <c:v>2.3679999999999999</c:v>
                </c:pt>
                <c:pt idx="390">
                  <c:v>#N/A</c:v>
                </c:pt>
                <c:pt idx="391">
                  <c:v>#N/A</c:v>
                </c:pt>
                <c:pt idx="392">
                  <c:v>#N/A</c:v>
                </c:pt>
                <c:pt idx="393">
                  <c:v>2.46</c:v>
                </c:pt>
                <c:pt idx="394">
                  <c:v>#N/A</c:v>
                </c:pt>
                <c:pt idx="395">
                  <c:v>2.5060000000000002</c:v>
                </c:pt>
                <c:pt idx="396">
                  <c:v>#N/A</c:v>
                </c:pt>
                <c:pt idx="397">
                  <c:v>2.552</c:v>
                </c:pt>
                <c:pt idx="398">
                  <c:v>#N/A</c:v>
                </c:pt>
                <c:pt idx="399">
                  <c:v>#N/A</c:v>
                </c:pt>
                <c:pt idx="400">
                  <c:v>#N/A</c:v>
                </c:pt>
                <c:pt idx="401">
                  <c:v>#N/A</c:v>
                </c:pt>
                <c:pt idx="402">
                  <c:v>#N/A</c:v>
                </c:pt>
                <c:pt idx="403">
                  <c:v>#N/A</c:v>
                </c:pt>
                <c:pt idx="404">
                  <c:v>2.7130000000000001</c:v>
                </c:pt>
                <c:pt idx="405">
                  <c:v>#N/A</c:v>
                </c:pt>
                <c:pt idx="406">
                  <c:v>#N/A</c:v>
                </c:pt>
                <c:pt idx="407">
                  <c:v>2</c:v>
                </c:pt>
                <c:pt idx="408">
                  <c:v>#N/A</c:v>
                </c:pt>
                <c:pt idx="409">
                  <c:v>#N/A</c:v>
                </c:pt>
                <c:pt idx="410">
                  <c:v>2.069</c:v>
                </c:pt>
                <c:pt idx="411">
                  <c:v>2.0920000000000001</c:v>
                </c:pt>
                <c:pt idx="412">
                  <c:v>2.1150000000000002</c:v>
                </c:pt>
                <c:pt idx="413">
                  <c:v>2.1379999999999999</c:v>
                </c:pt>
                <c:pt idx="414">
                  <c:v>2.161</c:v>
                </c:pt>
                <c:pt idx="415">
                  <c:v>#N/A</c:v>
                </c:pt>
                <c:pt idx="416">
                  <c:v>#N/A</c:v>
                </c:pt>
                <c:pt idx="417">
                  <c:v>#N/A</c:v>
                </c:pt>
                <c:pt idx="418">
                  <c:v>#N/A</c:v>
                </c:pt>
                <c:pt idx="419">
                  <c:v>#N/A</c:v>
                </c:pt>
                <c:pt idx="420">
                  <c:v>#N/A</c:v>
                </c:pt>
                <c:pt idx="421">
                  <c:v>#N/A</c:v>
                </c:pt>
                <c:pt idx="422">
                  <c:v>#N/A</c:v>
                </c:pt>
                <c:pt idx="423">
                  <c:v>#N/A</c:v>
                </c:pt>
                <c:pt idx="424">
                  <c:v>#N/A</c:v>
                </c:pt>
                <c:pt idx="425">
                  <c:v>2.4140000000000001</c:v>
                </c:pt>
                <c:pt idx="426">
                  <c:v>#N/A</c:v>
                </c:pt>
                <c:pt idx="427">
                  <c:v>#N/A</c:v>
                </c:pt>
                <c:pt idx="428">
                  <c:v>#N/A</c:v>
                </c:pt>
                <c:pt idx="429">
                  <c:v>#N/A</c:v>
                </c:pt>
                <c:pt idx="430">
                  <c:v>#N/A</c:v>
                </c:pt>
                <c:pt idx="431">
                  <c:v>#N/A</c:v>
                </c:pt>
                <c:pt idx="432">
                  <c:v>#N/A</c:v>
                </c:pt>
                <c:pt idx="433">
                  <c:v>#N/A</c:v>
                </c:pt>
                <c:pt idx="434">
                  <c:v>#N/A</c:v>
                </c:pt>
                <c:pt idx="435">
                  <c:v>2.6440000000000001</c:v>
                </c:pt>
                <c:pt idx="436">
                  <c:v>#N/A</c:v>
                </c:pt>
                <c:pt idx="437">
                  <c:v>#N/A</c:v>
                </c:pt>
                <c:pt idx="438">
                  <c:v>#N/A</c:v>
                </c:pt>
                <c:pt idx="439">
                  <c:v>#N/A</c:v>
                </c:pt>
                <c:pt idx="440">
                  <c:v>#N/A</c:v>
                </c:pt>
                <c:pt idx="441">
                  <c:v>2</c:v>
                </c:pt>
                <c:pt idx="442">
                  <c:v>#N/A</c:v>
                </c:pt>
                <c:pt idx="443">
                  <c:v>#N/A</c:v>
                </c:pt>
                <c:pt idx="444">
                  <c:v>2.069</c:v>
                </c:pt>
                <c:pt idx="445">
                  <c:v>#N/A</c:v>
                </c:pt>
                <c:pt idx="446">
                  <c:v>2.1150000000000002</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#N/A</c:v>
                </c:pt>
                <c:pt idx="501">
                  <c:v>2.5979999999999999</c:v>
                </c:pt>
                <c:pt idx="502">
                  <c:v>#N/A</c:v>
                </c:pt>
                <c:pt idx="503">
                  <c:v>2.6440000000000001</c:v>
                </c:pt>
                <c:pt idx="504">
                  <c:v>#N/A</c:v>
                </c:pt>
                <c:pt idx="505">
                  <c:v>#N/A</c:v>
                </c:pt>
                <c:pt idx="506">
                  <c:v>2.7130000000000001</c:v>
                </c:pt>
                <c:pt idx="507">
                  <c:v>#N/A</c:v>
                </c:pt>
                <c:pt idx="508">
                  <c:v>#N/A</c:v>
                </c:pt>
                <c:pt idx="509">
                  <c:v>2</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2.4140000000000001</c:v>
                </c:pt>
                <c:pt idx="528">
                  <c:v>#N/A</c:v>
                </c:pt>
                <c:pt idx="529">
                  <c:v>#N/A</c:v>
                </c:pt>
                <c:pt idx="530">
                  <c:v>#N/A</c:v>
                </c:pt>
                <c:pt idx="531">
                  <c:v>#N/A</c:v>
                </c:pt>
                <c:pt idx="532">
                  <c:v>2.5289999999999999</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2.2069999999999999</c:v>
                </c:pt>
                <c:pt idx="553">
                  <c:v>2.23</c:v>
                </c:pt>
                <c:pt idx="554">
                  <c:v>#N/A</c:v>
                </c:pt>
                <c:pt idx="555">
                  <c:v>#N/A</c:v>
                </c:pt>
                <c:pt idx="556">
                  <c:v>#N/A</c:v>
                </c:pt>
                <c:pt idx="557">
                  <c:v>#N/A</c:v>
                </c:pt>
                <c:pt idx="558">
                  <c:v>#N/A</c:v>
                </c:pt>
                <c:pt idx="559">
                  <c:v>#N/A</c:v>
                </c:pt>
                <c:pt idx="560">
                  <c:v>2.391</c:v>
                </c:pt>
                <c:pt idx="561">
                  <c:v>2.4140000000000001</c:v>
                </c:pt>
                <c:pt idx="562">
                  <c:v>2.4369999999999998</c:v>
                </c:pt>
                <c:pt idx="563">
                  <c:v>#N/A</c:v>
                </c:pt>
                <c:pt idx="564">
                  <c:v>#N/A</c:v>
                </c:pt>
                <c:pt idx="565">
                  <c:v>2.5060000000000002</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2.4830000000000001</c:v>
                </c:pt>
                <c:pt idx="599">
                  <c:v>#N/A</c:v>
                </c:pt>
                <c:pt idx="600">
                  <c:v>#N/A</c:v>
                </c:pt>
                <c:pt idx="601">
                  <c:v>#N/A</c:v>
                </c:pt>
                <c:pt idx="602">
                  <c:v>2.5750000000000002</c:v>
                </c:pt>
                <c:pt idx="603">
                  <c:v>#N/A</c:v>
                </c:pt>
                <c:pt idx="604">
                  <c:v>#N/A</c:v>
                </c:pt>
                <c:pt idx="605">
                  <c:v>#N/A</c:v>
                </c:pt>
                <c:pt idx="606">
                  <c:v>#N/A</c:v>
                </c:pt>
                <c:pt idx="607">
                  <c:v>#N/A</c:v>
                </c:pt>
                <c:pt idx="608">
                  <c:v>#N/A</c:v>
                </c:pt>
                <c:pt idx="609">
                  <c:v>#N/A</c:v>
                </c:pt>
                <c:pt idx="610">
                  <c:v>2.7589999999999999</c:v>
                </c:pt>
                <c:pt idx="611">
                  <c:v>2</c:v>
                </c:pt>
                <c:pt idx="612">
                  <c:v>#N/A</c:v>
                </c:pt>
                <c:pt idx="613">
                  <c:v>2.0459999999999998</c:v>
                </c:pt>
                <c:pt idx="614">
                  <c:v>#N/A</c:v>
                </c:pt>
                <c:pt idx="615">
                  <c:v>#N/A</c:v>
                </c:pt>
                <c:pt idx="616">
                  <c:v>#N/A</c:v>
                </c:pt>
                <c:pt idx="617">
                  <c:v>#N/A</c:v>
                </c:pt>
                <c:pt idx="618">
                  <c:v>#N/A</c:v>
                </c:pt>
                <c:pt idx="619">
                  <c:v>2.1840000000000002</c:v>
                </c:pt>
                <c:pt idx="620">
                  <c:v>2.2069999999999999</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2.2530000000000001</c:v>
                </c:pt>
                <c:pt idx="657">
                  <c:v>#N/A</c:v>
                </c:pt>
                <c:pt idx="658">
                  <c:v>#N/A</c:v>
                </c:pt>
                <c:pt idx="659">
                  <c:v>2.3220000000000001</c:v>
                </c:pt>
                <c:pt idx="660">
                  <c:v>#N/A</c:v>
                </c:pt>
                <c:pt idx="661">
                  <c:v>#N/A</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2.7130000000000001</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2.2989999999999999</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2.5979999999999999</c:v>
                </c:pt>
                <c:pt idx="740">
                  <c:v>#N/A</c:v>
                </c:pt>
                <c:pt idx="741">
                  <c:v>#N/A</c:v>
                </c:pt>
                <c:pt idx="742">
                  <c:v>2.6669999999999998</c:v>
                </c:pt>
                <c:pt idx="743">
                  <c:v>#N/A</c:v>
                </c:pt>
                <c:pt idx="744">
                  <c:v>#N/A</c:v>
                </c:pt>
                <c:pt idx="745">
                  <c:v>#N/A</c:v>
                </c:pt>
                <c:pt idx="746">
                  <c:v>#N/A</c:v>
                </c:pt>
                <c:pt idx="747">
                  <c:v>#N/A</c:v>
                </c:pt>
                <c:pt idx="748">
                  <c:v>#N/A</c:v>
                </c:pt>
                <c:pt idx="749">
                  <c:v>#N/A</c:v>
                </c:pt>
                <c:pt idx="750">
                  <c:v>#N/A</c:v>
                </c:pt>
                <c:pt idx="751">
                  <c:v>2.0920000000000001</c:v>
                </c:pt>
                <c:pt idx="752">
                  <c:v>2.1150000000000002</c:v>
                </c:pt>
                <c:pt idx="753">
                  <c:v>#N/A</c:v>
                </c:pt>
                <c:pt idx="754">
                  <c:v>2.161</c:v>
                </c:pt>
                <c:pt idx="755">
                  <c:v>2.1840000000000002</c:v>
                </c:pt>
                <c:pt idx="756">
                  <c:v>#N/A</c:v>
                </c:pt>
                <c:pt idx="757">
                  <c:v>2.23</c:v>
                </c:pt>
                <c:pt idx="758">
                  <c:v>#N/A</c:v>
                </c:pt>
                <c:pt idx="759">
                  <c:v>#N/A</c:v>
                </c:pt>
                <c:pt idx="760">
                  <c:v>#N/A</c:v>
                </c:pt>
                <c:pt idx="761">
                  <c:v>#N/A</c:v>
                </c:pt>
                <c:pt idx="762">
                  <c:v>#N/A</c:v>
                </c:pt>
                <c:pt idx="763">
                  <c:v>#N/A</c:v>
                </c:pt>
                <c:pt idx="764">
                  <c:v>#N/A</c:v>
                </c:pt>
                <c:pt idx="765">
                  <c:v>2.4140000000000001</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2.069</c:v>
                </c:pt>
                <c:pt idx="785">
                  <c:v>#N/A</c:v>
                </c:pt>
                <c:pt idx="786">
                  <c:v>#N/A</c:v>
                </c:pt>
                <c:pt idx="787">
                  <c:v>#N/A</c:v>
                </c:pt>
                <c:pt idx="788">
                  <c:v>#N/A</c:v>
                </c:pt>
                <c:pt idx="789">
                  <c:v>#N/A</c:v>
                </c:pt>
                <c:pt idx="790">
                  <c:v>#N/A</c:v>
                </c:pt>
                <c:pt idx="791">
                  <c:v>#N/A</c:v>
                </c:pt>
                <c:pt idx="792">
                  <c:v>#N/A</c:v>
                </c:pt>
                <c:pt idx="793">
                  <c:v>#N/A</c:v>
                </c:pt>
                <c:pt idx="794">
                  <c:v>#N/A</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#N/A</c:v>
                </c:pt>
                <c:pt idx="818">
                  <c:v>#N/A</c:v>
                </c:pt>
                <c:pt idx="819">
                  <c:v>#N/A</c:v>
                </c:pt>
                <c:pt idx="820">
                  <c:v>2.1150000000000002</c:v>
                </c:pt>
                <c:pt idx="821">
                  <c:v>2.1379999999999999</c:v>
                </c:pt>
                <c:pt idx="822">
                  <c:v>#N/A</c:v>
                </c:pt>
                <c:pt idx="823">
                  <c:v>#N/A</c:v>
                </c:pt>
                <c:pt idx="824">
                  <c:v>#N/A</c:v>
                </c:pt>
                <c:pt idx="825">
                  <c:v>2.23</c:v>
                </c:pt>
                <c:pt idx="826">
                  <c:v>#N/A</c:v>
                </c:pt>
                <c:pt idx="827">
                  <c:v>2.2759999999999998</c:v>
                </c:pt>
                <c:pt idx="828">
                  <c:v>#N/A</c:v>
                </c:pt>
                <c:pt idx="829">
                  <c:v>2.3220000000000001</c:v>
                </c:pt>
                <c:pt idx="830">
                  <c:v>#N/A</c:v>
                </c:pt>
                <c:pt idx="831">
                  <c:v>#N/A</c:v>
                </c:pt>
                <c:pt idx="832">
                  <c:v>#N/A</c:v>
                </c:pt>
                <c:pt idx="833">
                  <c:v>#N/A</c:v>
                </c:pt>
                <c:pt idx="834">
                  <c:v>2.4369999999999998</c:v>
                </c:pt>
                <c:pt idx="835">
                  <c:v>#N/A</c:v>
                </c:pt>
                <c:pt idx="836">
                  <c:v>#N/A</c:v>
                </c:pt>
                <c:pt idx="837">
                  <c:v>#N/A</c:v>
                </c:pt>
                <c:pt idx="838">
                  <c:v>2.5289999999999999</c:v>
                </c:pt>
                <c:pt idx="839">
                  <c:v>#N/A</c:v>
                </c:pt>
                <c:pt idx="840">
                  <c:v>#N/A</c:v>
                </c:pt>
                <c:pt idx="841">
                  <c:v>#N/A</c:v>
                </c:pt>
                <c:pt idx="842">
                  <c:v>#N/A</c:v>
                </c:pt>
                <c:pt idx="843">
                  <c:v>2.6440000000000001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2025</c:v>
                </c:pt>
                <c:pt idx="175">
                  <c:v>#N/A</c:v>
                </c:pt>
                <c:pt idx="176">
                  <c:v>#N/A</c:v>
                </c:pt>
                <c:pt idx="177">
                  <c:v>#N/A</c:v>
                </c:pt>
                <c:pt idx="178">
                  <c:v>#N/A</c:v>
                </c:pt>
                <c:pt idx="179">
                  <c:v>#N/A</c:v>
                </c:pt>
                <c:pt idx="180">
                  <c:v>2023</c:v>
                </c:pt>
                <c:pt idx="181">
                  <c:v>#N/A</c:v>
                </c:pt>
                <c:pt idx="182">
                  <c:v>2019</c:v>
                </c:pt>
                <c:pt idx="183">
                  <c:v>2025</c:v>
                </c:pt>
                <c:pt idx="184">
                  <c:v>2025</c:v>
                </c:pt>
                <c:pt idx="185">
                  <c:v>#N/A</c:v>
                </c:pt>
                <c:pt idx="186">
                  <c:v>#N/A</c:v>
                </c:pt>
                <c:pt idx="187">
                  <c:v>2018</c:v>
                </c:pt>
                <c:pt idx="188">
                  <c:v>2021</c:v>
                </c:pt>
                <c:pt idx="189">
                  <c:v>#N/A</c:v>
                </c:pt>
                <c:pt idx="190">
                  <c:v>#N/A</c:v>
                </c:pt>
                <c:pt idx="191">
                  <c:v>#N/A</c:v>
                </c:pt>
                <c:pt idx="192">
                  <c:v>2025</c:v>
                </c:pt>
                <c:pt idx="193">
                  <c:v>#N/A</c:v>
                </c:pt>
                <c:pt idx="194">
                  <c:v>#N/A</c:v>
                </c:pt>
                <c:pt idx="195">
                  <c:v>#N/A</c:v>
                </c:pt>
                <c:pt idx="196">
                  <c:v>#N/A</c:v>
                </c:pt>
                <c:pt idx="197">
                  <c:v>#N/A</c:v>
                </c:pt>
                <c:pt idx="198">
                  <c:v>#N/A</c:v>
                </c:pt>
                <c:pt idx="199">
                  <c:v>2024</c:v>
                </c:pt>
                <c:pt idx="200">
                  <c:v>2026</c:v>
                </c:pt>
                <c:pt idx="201">
                  <c:v>2025</c:v>
                </c:pt>
                <c:pt idx="202">
                  <c:v>#N/A</c:v>
                </c:pt>
                <c:pt idx="203">
                  <c:v>2025</c:v>
                </c:pt>
                <c:pt idx="204">
                  <c:v>2024</c:v>
                </c:pt>
                <c:pt idx="205">
                  <c:v>2024</c:v>
                </c:pt>
                <c:pt idx="206">
                  <c:v>2019</c:v>
                </c:pt>
                <c:pt idx="207">
                  <c:v>2025</c:v>
                </c:pt>
                <c:pt idx="208">
                  <c:v>2025</c:v>
                </c:pt>
                <c:pt idx="209">
                  <c:v>#N/A</c:v>
                </c:pt>
                <c:pt idx="210">
                  <c:v>2024</c:v>
                </c:pt>
                <c:pt idx="211">
                  <c:v>#N/A</c:v>
                </c:pt>
                <c:pt idx="212">
                  <c:v>#N/A</c:v>
                </c:pt>
                <c:pt idx="213">
                  <c:v>2024</c:v>
                </c:pt>
                <c:pt idx="214">
                  <c:v>2025</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2014</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2023</c:v>
                </c:pt>
                <c:pt idx="258">
                  <c:v>#N/A</c:v>
                </c:pt>
                <c:pt idx="259">
                  <c:v>#N/A</c:v>
                </c:pt>
                <c:pt idx="260">
                  <c:v>#N/A</c:v>
                </c:pt>
                <c:pt idx="261">
                  <c:v>#N/A</c:v>
                </c:pt>
                <c:pt idx="262">
                  <c:v>#N/A</c:v>
                </c:pt>
                <c:pt idx="263">
                  <c:v>#N/A</c:v>
                </c:pt>
                <c:pt idx="264">
                  <c:v>#N/A</c:v>
                </c:pt>
                <c:pt idx="265">
                  <c:v>#N/A</c:v>
                </c:pt>
                <c:pt idx="266">
                  <c:v>#N/A</c:v>
                </c:pt>
                <c:pt idx="267">
                  <c:v>2024</c:v>
                </c:pt>
                <c:pt idx="268">
                  <c:v>2024</c:v>
                </c:pt>
                <c:pt idx="269">
                  <c:v>#N/A</c:v>
                </c:pt>
                <c:pt idx="270">
                  <c:v>#N/A</c:v>
                </c:pt>
                <c:pt idx="271">
                  <c:v>#N/A</c:v>
                </c:pt>
                <c:pt idx="272">
                  <c:v>2021</c:v>
                </c:pt>
                <c:pt idx="273">
                  <c:v>#N/A</c:v>
                </c:pt>
                <c:pt idx="274">
                  <c:v>#N/A</c:v>
                </c:pt>
                <c:pt idx="275">
                  <c:v>#N/A</c:v>
                </c:pt>
                <c:pt idx="276">
                  <c:v>#N/A</c:v>
                </c:pt>
                <c:pt idx="277">
                  <c:v>#N/A</c:v>
                </c:pt>
                <c:pt idx="278">
                  <c:v>2026</c:v>
                </c:pt>
                <c:pt idx="279">
                  <c:v>#N/A</c:v>
                </c:pt>
                <c:pt idx="280">
                  <c:v>#N/A</c:v>
                </c:pt>
                <c:pt idx="281">
                  <c:v>#N/A</c:v>
                </c:pt>
                <c:pt idx="282">
                  <c:v>2020</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2026</c:v>
                </c:pt>
                <c:pt idx="309">
                  <c:v>#N/A</c:v>
                </c:pt>
                <c:pt idx="310">
                  <c:v>#N/A</c:v>
                </c:pt>
                <c:pt idx="311">
                  <c:v>#N/A</c:v>
                </c:pt>
                <c:pt idx="312">
                  <c:v>#N/A</c:v>
                </c:pt>
                <c:pt idx="313">
                  <c:v>#N/A</c:v>
                </c:pt>
                <c:pt idx="314">
                  <c:v>#N/A</c:v>
                </c:pt>
                <c:pt idx="315">
                  <c:v>#N/A</c:v>
                </c:pt>
                <c:pt idx="316">
                  <c:v>#N/A</c:v>
                </c:pt>
                <c:pt idx="317">
                  <c:v>#N/A</c:v>
                </c:pt>
                <c:pt idx="318">
                  <c:v>2020</c:v>
                </c:pt>
                <c:pt idx="319">
                  <c:v>#N/A</c:v>
                </c:pt>
                <c:pt idx="320">
                  <c:v>#N/A</c:v>
                </c:pt>
                <c:pt idx="321">
                  <c:v>2020</c:v>
                </c:pt>
                <c:pt idx="322">
                  <c:v>#N/A</c:v>
                </c:pt>
                <c:pt idx="323">
                  <c:v>#N/A</c:v>
                </c:pt>
                <c:pt idx="324">
                  <c:v>2015</c:v>
                </c:pt>
                <c:pt idx="325">
                  <c:v>#N/A</c:v>
                </c:pt>
                <c:pt idx="326">
                  <c:v>#N/A</c:v>
                </c:pt>
                <c:pt idx="327">
                  <c:v>#N/A</c:v>
                </c:pt>
                <c:pt idx="328">
                  <c:v>#N/A</c:v>
                </c:pt>
                <c:pt idx="329">
                  <c:v>#N/A</c:v>
                </c:pt>
                <c:pt idx="330">
                  <c:v>#N/A</c:v>
                </c:pt>
                <c:pt idx="331">
                  <c:v>#N/A</c:v>
                </c:pt>
                <c:pt idx="332">
                  <c:v>2021</c:v>
                </c:pt>
                <c:pt idx="333">
                  <c:v>#N/A</c:v>
                </c:pt>
                <c:pt idx="334">
                  <c:v>#N/A</c:v>
                </c:pt>
                <c:pt idx="335">
                  <c:v>#N/A</c:v>
                </c:pt>
                <c:pt idx="336">
                  <c:v>2014</c:v>
                </c:pt>
                <c:pt idx="337">
                  <c:v>2017</c:v>
                </c:pt>
                <c:pt idx="338">
                  <c:v>#N/A</c:v>
                </c:pt>
                <c:pt idx="339">
                  <c:v>#N/A</c:v>
                </c:pt>
                <c:pt idx="340">
                  <c:v>#N/A</c:v>
                </c:pt>
                <c:pt idx="341">
                  <c:v>#N/A</c:v>
                </c:pt>
                <c:pt idx="342">
                  <c:v>#N/A</c:v>
                </c:pt>
                <c:pt idx="343">
                  <c:v>#N/A</c:v>
                </c:pt>
                <c:pt idx="344">
                  <c:v>2025</c:v>
                </c:pt>
                <c:pt idx="345">
                  <c:v>#N/A</c:v>
                </c:pt>
                <c:pt idx="346">
                  <c:v>#N/A</c:v>
                </c:pt>
                <c:pt idx="347">
                  <c:v>#N/A</c:v>
                </c:pt>
                <c:pt idx="348">
                  <c:v>#N/A</c:v>
                </c:pt>
                <c:pt idx="349">
                  <c:v>#N/A</c:v>
                </c:pt>
                <c:pt idx="350">
                  <c:v>#N/A</c:v>
                </c:pt>
                <c:pt idx="351">
                  <c:v>2023</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2021</c:v>
                </c:pt>
                <c:pt idx="377">
                  <c:v>#N/A</c:v>
                </c:pt>
                <c:pt idx="378">
                  <c:v>#N/A</c:v>
                </c:pt>
                <c:pt idx="379">
                  <c:v>2025</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2025</c:v>
                </c:pt>
                <c:pt idx="398">
                  <c:v>2020</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#N/A</c:v>
                </c:pt>
                <c:pt idx="415">
                  <c:v>#N/A</c:v>
                </c:pt>
                <c:pt idx="416">
                  <c:v>2023</c:v>
                </c:pt>
                <c:pt idx="417">
                  <c:v>2022</c:v>
                </c:pt>
                <c:pt idx="418">
                  <c:v>#N/A</c:v>
                </c:pt>
                <c:pt idx="419">
                  <c:v>#N/A</c:v>
                </c:pt>
                <c:pt idx="420">
                  <c:v>2024</c:v>
                </c:pt>
                <c:pt idx="421">
                  <c:v>2021</c:v>
                </c:pt>
                <c:pt idx="422">
                  <c:v>2023</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2024</c:v>
                </c:pt>
                <c:pt idx="437">
                  <c:v>2024</c:v>
                </c:pt>
                <c:pt idx="438">
                  <c:v>2026</c:v>
                </c:pt>
                <c:pt idx="439">
                  <c:v>2025</c:v>
                </c:pt>
                <c:pt idx="440">
                  <c:v>#N/A</c:v>
                </c:pt>
                <c:pt idx="441">
                  <c:v>#N/A</c:v>
                </c:pt>
                <c:pt idx="442">
                  <c:v>#N/A</c:v>
                </c:pt>
                <c:pt idx="443">
                  <c:v>#N/A</c:v>
                </c:pt>
                <c:pt idx="444">
                  <c:v>#N/A</c:v>
                </c:pt>
                <c:pt idx="445">
                  <c:v>#N/A</c:v>
                </c:pt>
                <c:pt idx="446">
                  <c:v>#N/A</c:v>
                </c:pt>
                <c:pt idx="447">
                  <c:v>#N/A</c:v>
                </c:pt>
                <c:pt idx="448">
                  <c:v>#N/A</c:v>
                </c:pt>
                <c:pt idx="449">
                  <c:v>#N/A</c:v>
                </c:pt>
                <c:pt idx="450">
                  <c:v>#N/A</c:v>
                </c:pt>
                <c:pt idx="451">
                  <c:v>2021</c:v>
                </c:pt>
                <c:pt idx="452">
                  <c:v>#N/A</c:v>
                </c:pt>
                <c:pt idx="453">
                  <c:v>#N/A</c:v>
                </c:pt>
                <c:pt idx="454">
                  <c:v>#N/A</c:v>
                </c:pt>
                <c:pt idx="455">
                  <c:v>#N/A</c:v>
                </c:pt>
                <c:pt idx="456">
                  <c:v>2017</c:v>
                </c:pt>
                <c:pt idx="457">
                  <c:v>2020</c:v>
                </c:pt>
                <c:pt idx="458">
                  <c:v>2025</c:v>
                </c:pt>
                <c:pt idx="459">
                  <c:v>#N/A</c:v>
                </c:pt>
                <c:pt idx="460">
                  <c:v>#N/A</c:v>
                </c:pt>
                <c:pt idx="461">
                  <c:v>2026</c:v>
                </c:pt>
                <c:pt idx="462">
                  <c:v>#N/A</c:v>
                </c:pt>
                <c:pt idx="463">
                  <c:v>#N/A</c:v>
                </c:pt>
                <c:pt idx="464">
                  <c:v>#N/A</c:v>
                </c:pt>
                <c:pt idx="465">
                  <c:v>#N/A</c:v>
                </c:pt>
                <c:pt idx="466">
                  <c:v>#N/A</c:v>
                </c:pt>
                <c:pt idx="467">
                  <c:v>#N/A</c:v>
                </c:pt>
                <c:pt idx="468">
                  <c:v>#N/A</c:v>
                </c:pt>
                <c:pt idx="469">
                  <c:v>2024</c:v>
                </c:pt>
                <c:pt idx="470">
                  <c:v>#N/A</c:v>
                </c:pt>
                <c:pt idx="471">
                  <c:v>#N/A</c:v>
                </c:pt>
                <c:pt idx="472">
                  <c:v>#N/A</c:v>
                </c:pt>
                <c:pt idx="473">
                  <c:v>#N/A</c:v>
                </c:pt>
                <c:pt idx="474">
                  <c:v>#N/A</c:v>
                </c:pt>
                <c:pt idx="475">
                  <c:v>#N/A</c:v>
                </c:pt>
                <c:pt idx="476">
                  <c:v>#N/A</c:v>
                </c:pt>
                <c:pt idx="477">
                  <c:v>2025</c:v>
                </c:pt>
                <c:pt idx="478">
                  <c:v>#N/A</c:v>
                </c:pt>
                <c:pt idx="479">
                  <c:v>#N/A</c:v>
                </c:pt>
                <c:pt idx="480">
                  <c:v>#N/A</c:v>
                </c:pt>
                <c:pt idx="481">
                  <c:v>2022</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2019</c:v>
                </c:pt>
                <c:pt idx="505">
                  <c:v>#N/A</c:v>
                </c:pt>
                <c:pt idx="506">
                  <c:v>#N/A</c:v>
                </c:pt>
                <c:pt idx="507">
                  <c:v>#N/A</c:v>
                </c:pt>
                <c:pt idx="508">
                  <c:v>#N/A</c:v>
                </c:pt>
                <c:pt idx="509">
                  <c:v>#N/A</c:v>
                </c:pt>
                <c:pt idx="510">
                  <c:v>2021</c:v>
                </c:pt>
                <c:pt idx="511">
                  <c:v>#N/A</c:v>
                </c:pt>
                <c:pt idx="512">
                  <c:v>#N/A</c:v>
                </c:pt>
                <c:pt idx="513">
                  <c:v>#N/A</c:v>
                </c:pt>
                <c:pt idx="514">
                  <c:v>#N/A</c:v>
                </c:pt>
                <c:pt idx="515">
                  <c:v>#N/A</c:v>
                </c:pt>
                <c:pt idx="516">
                  <c:v>#N/A</c:v>
                </c:pt>
                <c:pt idx="517">
                  <c:v>#N/A</c:v>
                </c:pt>
                <c:pt idx="518">
                  <c:v>#N/A</c:v>
                </c:pt>
                <c:pt idx="519">
                  <c:v>2025</c:v>
                </c:pt>
                <c:pt idx="520">
                  <c:v>#N/A</c:v>
                </c:pt>
                <c:pt idx="521">
                  <c:v>#N/A</c:v>
                </c:pt>
                <c:pt idx="522">
                  <c:v>#N/A</c:v>
                </c:pt>
                <c:pt idx="523">
                  <c:v>2026</c:v>
                </c:pt>
                <c:pt idx="524">
                  <c:v>#N/A</c:v>
                </c:pt>
                <c:pt idx="525">
                  <c:v>#N/A</c:v>
                </c:pt>
                <c:pt idx="526">
                  <c:v>#N/A</c:v>
                </c:pt>
                <c:pt idx="527">
                  <c:v>#N/A</c:v>
                </c:pt>
                <c:pt idx="528">
                  <c:v>2025</c:v>
                </c:pt>
                <c:pt idx="529">
                  <c:v>#N/A</c:v>
                </c:pt>
                <c:pt idx="530">
                  <c:v>#N/A</c:v>
                </c:pt>
                <c:pt idx="531">
                  <c:v>#N/A</c:v>
                </c:pt>
                <c:pt idx="532">
                  <c:v>#N/A</c:v>
                </c:pt>
                <c:pt idx="533">
                  <c:v>#N/A</c:v>
                </c:pt>
                <c:pt idx="534">
                  <c:v>#N/A</c:v>
                </c:pt>
                <c:pt idx="535">
                  <c:v>#N/A</c:v>
                </c:pt>
                <c:pt idx="536">
                  <c:v>#N/A</c:v>
                </c:pt>
                <c:pt idx="537">
                  <c:v>2022</c:v>
                </c:pt>
                <c:pt idx="538">
                  <c:v>2026</c:v>
                </c:pt>
                <c:pt idx="539">
                  <c:v>#N/A</c:v>
                </c:pt>
                <c:pt idx="540">
                  <c:v>#N/A</c:v>
                </c:pt>
                <c:pt idx="541">
                  <c:v>#N/A</c:v>
                </c:pt>
                <c:pt idx="542">
                  <c:v>2025</c:v>
                </c:pt>
                <c:pt idx="543">
                  <c:v>#N/A</c:v>
                </c:pt>
                <c:pt idx="544">
                  <c:v>#N/A</c:v>
                </c:pt>
                <c:pt idx="545">
                  <c:v>2026</c:v>
                </c:pt>
                <c:pt idx="546">
                  <c:v>2021</c:v>
                </c:pt>
                <c:pt idx="547">
                  <c:v>2026</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2026</c:v>
                </c:pt>
                <c:pt idx="570">
                  <c:v>#N/A</c:v>
                </c:pt>
                <c:pt idx="571">
                  <c:v>#N/A</c:v>
                </c:pt>
                <c:pt idx="572">
                  <c:v>#N/A</c:v>
                </c:pt>
                <c:pt idx="573">
                  <c:v>#N/A</c:v>
                </c:pt>
                <c:pt idx="574">
                  <c:v>2019</c:v>
                </c:pt>
                <c:pt idx="575">
                  <c:v>#N/A</c:v>
                </c:pt>
                <c:pt idx="576">
                  <c:v>#N/A</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2022</c:v>
                </c:pt>
                <c:pt idx="591">
                  <c:v>#N/A</c:v>
                </c:pt>
                <c:pt idx="592">
                  <c:v>2025</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2024</c:v>
                </c:pt>
                <c:pt idx="612">
                  <c:v>#N/A</c:v>
                </c:pt>
                <c:pt idx="613">
                  <c:v>#N/A</c:v>
                </c:pt>
                <c:pt idx="614">
                  <c:v>2021</c:v>
                </c:pt>
                <c:pt idx="615">
                  <c:v>#N/A</c:v>
                </c:pt>
                <c:pt idx="616">
                  <c:v>2026</c:v>
                </c:pt>
                <c:pt idx="617">
                  <c:v>#N/A</c:v>
                </c:pt>
                <c:pt idx="618">
                  <c:v>#N/A</c:v>
                </c:pt>
                <c:pt idx="619">
                  <c:v>#N/A</c:v>
                </c:pt>
                <c:pt idx="620">
                  <c:v>#N/A</c:v>
                </c:pt>
                <c:pt idx="621">
                  <c:v>2026</c:v>
                </c:pt>
                <c:pt idx="622">
                  <c:v>2025</c:v>
                </c:pt>
                <c:pt idx="623">
                  <c:v>#N/A</c:v>
                </c:pt>
                <c:pt idx="624">
                  <c:v>2026</c:v>
                </c:pt>
                <c:pt idx="625">
                  <c:v>2025</c:v>
                </c:pt>
                <c:pt idx="626">
                  <c:v>2026</c:v>
                </c:pt>
                <c:pt idx="627">
                  <c:v>2023</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2024</c:v>
                </c:pt>
                <c:pt idx="663">
                  <c:v>#N/A</c:v>
                </c:pt>
                <c:pt idx="664">
                  <c:v>#N/A</c:v>
                </c:pt>
                <c:pt idx="665">
                  <c:v>2017</c:v>
                </c:pt>
                <c:pt idx="666">
                  <c:v>2026</c:v>
                </c:pt>
                <c:pt idx="667">
                  <c:v>#N/A</c:v>
                </c:pt>
                <c:pt idx="668">
                  <c:v>#N/A</c:v>
                </c:pt>
                <c:pt idx="669">
                  <c:v>2025</c:v>
                </c:pt>
                <c:pt idx="670">
                  <c:v>2026</c:v>
                </c:pt>
                <c:pt idx="671">
                  <c:v>2025</c:v>
                </c:pt>
                <c:pt idx="672">
                  <c:v>#N/A</c:v>
                </c:pt>
                <c:pt idx="673">
                  <c:v>#N/A</c:v>
                </c:pt>
                <c:pt idx="674">
                  <c:v>#N/A</c:v>
                </c:pt>
                <c:pt idx="675">
                  <c:v>2016</c:v>
                </c:pt>
                <c:pt idx="676">
                  <c:v>#N/A</c:v>
                </c:pt>
                <c:pt idx="677">
                  <c:v>#N/A</c:v>
                </c:pt>
                <c:pt idx="678">
                  <c:v>#N/A</c:v>
                </c:pt>
                <c:pt idx="679">
                  <c:v>#N/A</c:v>
                </c:pt>
                <c:pt idx="680">
                  <c:v>#N/A</c:v>
                </c:pt>
                <c:pt idx="681">
                  <c:v>#N/A</c:v>
                </c:pt>
                <c:pt idx="682">
                  <c:v>#N/A</c:v>
                </c:pt>
                <c:pt idx="683">
                  <c:v>#N/A</c:v>
                </c:pt>
                <c:pt idx="684">
                  <c:v>2024</c:v>
                </c:pt>
                <c:pt idx="685">
                  <c:v>#N/A</c:v>
                </c:pt>
                <c:pt idx="686">
                  <c:v>#N/A</c:v>
                </c:pt>
                <c:pt idx="687">
                  <c:v>#N/A</c:v>
                </c:pt>
                <c:pt idx="688">
                  <c:v>2024</c:v>
                </c:pt>
                <c:pt idx="689">
                  <c:v>#N/A</c:v>
                </c:pt>
                <c:pt idx="690">
                  <c:v>#N/A</c:v>
                </c:pt>
                <c:pt idx="691">
                  <c:v>#N/A</c:v>
                </c:pt>
                <c:pt idx="692">
                  <c:v>#N/A</c:v>
                </c:pt>
                <c:pt idx="693">
                  <c:v>#N/A</c:v>
                </c:pt>
                <c:pt idx="694">
                  <c:v>2025</c:v>
                </c:pt>
                <c:pt idx="695">
                  <c:v>#N/A</c:v>
                </c:pt>
                <c:pt idx="696">
                  <c:v>#N/A</c:v>
                </c:pt>
                <c:pt idx="697">
                  <c:v>#N/A</c:v>
                </c:pt>
                <c:pt idx="698">
                  <c:v>2025</c:v>
                </c:pt>
                <c:pt idx="699">
                  <c:v>2025</c:v>
                </c:pt>
                <c:pt idx="700">
                  <c:v>#N/A</c:v>
                </c:pt>
                <c:pt idx="701">
                  <c:v>#N/A</c:v>
                </c:pt>
                <c:pt idx="702">
                  <c:v>#N/A</c:v>
                </c:pt>
                <c:pt idx="703">
                  <c:v>#N/A</c:v>
                </c:pt>
                <c:pt idx="704">
                  <c:v>#N/A</c:v>
                </c:pt>
                <c:pt idx="705">
                  <c:v>#N/A</c:v>
                </c:pt>
                <c:pt idx="706">
                  <c:v>#N/A</c:v>
                </c:pt>
                <c:pt idx="707">
                  <c:v>#N/A</c:v>
                </c:pt>
                <c:pt idx="708">
                  <c:v>#N/A</c:v>
                </c:pt>
                <c:pt idx="709">
                  <c:v>#N/A</c:v>
                </c:pt>
                <c:pt idx="710">
                  <c:v>2022</c:v>
                </c:pt>
                <c:pt idx="711">
                  <c:v>#N/A</c:v>
                </c:pt>
                <c:pt idx="712">
                  <c:v>#N/A</c:v>
                </c:pt>
                <c:pt idx="713">
                  <c:v>2025</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2026</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2025</c:v>
                </c:pt>
                <c:pt idx="759">
                  <c:v>#N/A</c:v>
                </c:pt>
                <c:pt idx="760">
                  <c:v>2026</c:v>
                </c:pt>
                <c:pt idx="761">
                  <c:v>#N/A</c:v>
                </c:pt>
                <c:pt idx="762">
                  <c:v>#N/A</c:v>
                </c:pt>
                <c:pt idx="763">
                  <c:v>#N/A</c:v>
                </c:pt>
                <c:pt idx="764">
                  <c:v>#N/A</c:v>
                </c:pt>
                <c:pt idx="765">
                  <c:v>2025</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2022</c:v>
                </c:pt>
                <c:pt idx="781">
                  <c:v>#N/A</c:v>
                </c:pt>
                <c:pt idx="782">
                  <c:v>2023</c:v>
                </c:pt>
                <c:pt idx="783">
                  <c:v>#N/A</c:v>
                </c:pt>
                <c:pt idx="784">
                  <c:v>#N/A</c:v>
                </c:pt>
                <c:pt idx="785">
                  <c:v>#N/A</c:v>
                </c:pt>
                <c:pt idx="786">
                  <c:v>2021</c:v>
                </c:pt>
                <c:pt idx="787">
                  <c:v>2025</c:v>
                </c:pt>
                <c:pt idx="788">
                  <c:v>2019</c:v>
                </c:pt>
                <c:pt idx="789">
                  <c:v>#N/A</c:v>
                </c:pt>
                <c:pt idx="790">
                  <c:v>2026</c:v>
                </c:pt>
                <c:pt idx="791">
                  <c:v>#N/A</c:v>
                </c:pt>
                <c:pt idx="792">
                  <c:v>#N/A</c:v>
                </c:pt>
                <c:pt idx="793">
                  <c:v>#N/A</c:v>
                </c:pt>
                <c:pt idx="794">
                  <c:v>2026</c:v>
                </c:pt>
                <c:pt idx="795">
                  <c:v>#N/A</c:v>
                </c:pt>
                <c:pt idx="796">
                  <c:v>#N/A</c:v>
                </c:pt>
                <c:pt idx="797">
                  <c:v>#N/A</c:v>
                </c:pt>
                <c:pt idx="798">
                  <c:v>#N/A</c:v>
                </c:pt>
                <c:pt idx="799">
                  <c:v>#N/A</c:v>
                </c:pt>
                <c:pt idx="800">
                  <c:v>#N/A</c:v>
                </c:pt>
                <c:pt idx="801">
                  <c:v>#N/A</c:v>
                </c:pt>
                <c:pt idx="802">
                  <c:v>#N/A</c:v>
                </c:pt>
                <c:pt idx="803">
                  <c:v>2026</c:v>
                </c:pt>
                <c:pt idx="804">
                  <c:v>#N/A</c:v>
                </c:pt>
                <c:pt idx="805">
                  <c:v>#N/A</c:v>
                </c:pt>
                <c:pt idx="806">
                  <c:v>2020</c:v>
                </c:pt>
                <c:pt idx="807">
                  <c:v>#N/A</c:v>
                </c:pt>
                <c:pt idx="808">
                  <c:v>#N/A</c:v>
                </c:pt>
                <c:pt idx="809">
                  <c:v>2021</c:v>
                </c:pt>
                <c:pt idx="810">
                  <c:v>2025</c:v>
                </c:pt>
                <c:pt idx="811">
                  <c:v>2026</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2023</c:v>
                </c:pt>
                <c:pt idx="835">
                  <c:v>#N/A</c:v>
                </c:pt>
                <c:pt idx="836">
                  <c:v>2026</c:v>
                </c:pt>
                <c:pt idx="837">
                  <c:v>#N/A</c:v>
                </c:pt>
                <c:pt idx="838">
                  <c:v>#N/A</c:v>
                </c:pt>
                <c:pt idx="839">
                  <c:v>2026</c:v>
                </c:pt>
                <c:pt idx="840">
                  <c:v>#N/A</c:v>
                </c:pt>
                <c:pt idx="841">
                  <c:v>#N/A</c:v>
                </c:pt>
                <c:pt idx="842">
                  <c:v>#N/A</c:v>
                </c:pt>
                <c:pt idx="843">
                  <c:v>2025</c:v>
                </c:pt>
                <c:pt idx="844">
                  <c:v>2025</c:v>
                </c:pt>
                <c:pt idx="845">
                  <c:v>2022</c:v>
                </c:pt>
                <c:pt idx="846">
                  <c:v>2026</c:v>
                </c:pt>
                <c:pt idx="847">
                  <c:v>#N/A</c:v>
                </c:pt>
                <c:pt idx="848">
                  <c:v>#N/A</c:v>
                </c:pt>
                <c:pt idx="849">
                  <c:v>2024</c:v>
                </c:pt>
                <c:pt idx="850">
                  <c:v>#N/A</c:v>
                </c:pt>
                <c:pt idx="851">
                  <c:v>#N/A</c:v>
                </c:pt>
                <c:pt idx="852">
                  <c:v>#N/A</c:v>
                </c:pt>
                <c:pt idx="853">
                  <c:v>2024</c:v>
                </c:pt>
                <c:pt idx="854">
                  <c:v>#N/A</c:v>
                </c:pt>
                <c:pt idx="855">
                  <c:v>#N/A</c:v>
                </c:pt>
                <c:pt idx="856">
                  <c:v>#N/A</c:v>
                </c:pt>
                <c:pt idx="857">
                  <c:v>2023</c:v>
                </c:pt>
                <c:pt idx="858">
                  <c:v>2026</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3.1379999999999999</c:v>
                </c:pt>
                <c:pt idx="176">
                  <c:v>#N/A</c:v>
                </c:pt>
                <c:pt idx="177">
                  <c:v>#N/A</c:v>
                </c:pt>
                <c:pt idx="178">
                  <c:v>#N/A</c:v>
                </c:pt>
                <c:pt idx="179">
                  <c:v>#N/A</c:v>
                </c:pt>
                <c:pt idx="180">
                  <c:v>#N/A</c:v>
                </c:pt>
                <c:pt idx="181">
                  <c:v>3.2759999999999998</c:v>
                </c:pt>
                <c:pt idx="182">
                  <c:v>#N/A</c:v>
                </c:pt>
                <c:pt idx="183">
                  <c:v>3.3220000000000001</c:v>
                </c:pt>
                <c:pt idx="184">
                  <c:v>3.3449999999999998</c:v>
                </c:pt>
                <c:pt idx="185">
                  <c:v>3.3679999999999999</c:v>
                </c:pt>
                <c:pt idx="186">
                  <c:v>#N/A</c:v>
                </c:pt>
                <c:pt idx="187">
                  <c:v>#N/A</c:v>
                </c:pt>
                <c:pt idx="188">
                  <c:v>3.4369999999999998</c:v>
                </c:pt>
                <c:pt idx="189">
                  <c:v>3.46</c:v>
                </c:pt>
                <c:pt idx="190">
                  <c:v>#N/A</c:v>
                </c:pt>
                <c:pt idx="191">
                  <c:v>#N/A</c:v>
                </c:pt>
                <c:pt idx="192">
                  <c:v>#N/A</c:v>
                </c:pt>
                <c:pt idx="193">
                  <c:v>3.552</c:v>
                </c:pt>
                <c:pt idx="194">
                  <c:v>#N/A</c:v>
                </c:pt>
                <c:pt idx="195">
                  <c:v>#N/A</c:v>
                </c:pt>
                <c:pt idx="196">
                  <c:v>#N/A</c:v>
                </c:pt>
                <c:pt idx="197">
                  <c:v>#N/A</c:v>
                </c:pt>
                <c:pt idx="198">
                  <c:v>#N/A</c:v>
                </c:pt>
                <c:pt idx="199">
                  <c:v>#N/A</c:v>
                </c:pt>
                <c:pt idx="200">
                  <c:v>3.7130000000000001</c:v>
                </c:pt>
                <c:pt idx="201">
                  <c:v>3.7359999999999998</c:v>
                </c:pt>
                <c:pt idx="202">
                  <c:v>3.7589999999999999</c:v>
                </c:pt>
                <c:pt idx="203">
                  <c:v>#N/A</c:v>
                </c:pt>
                <c:pt idx="204">
                  <c:v>3.0230000000000001</c:v>
                </c:pt>
                <c:pt idx="205">
                  <c:v>3.0459999999999998</c:v>
                </c:pt>
                <c:pt idx="206">
                  <c:v>3.069</c:v>
                </c:pt>
                <c:pt idx="207">
                  <c:v>3.0920000000000001</c:v>
                </c:pt>
                <c:pt idx="208">
                  <c:v>3.1150000000000002</c:v>
                </c:pt>
                <c:pt idx="209">
                  <c:v>3.1379999999999999</c:v>
                </c:pt>
                <c:pt idx="210">
                  <c:v>#N/A</c:v>
                </c:pt>
                <c:pt idx="211">
                  <c:v>3.1840000000000002</c:v>
                </c:pt>
                <c:pt idx="212">
                  <c:v>#N/A</c:v>
                </c:pt>
                <c:pt idx="213">
                  <c:v>#N/A</c:v>
                </c:pt>
                <c:pt idx="214">
                  <c:v>3.2530000000000001</c:v>
                </c:pt>
                <c:pt idx="215">
                  <c:v>3.2759999999999998</c:v>
                </c:pt>
                <c:pt idx="216">
                  <c:v>3.2989999999999999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3.7130000000000001</c:v>
                </c:pt>
                <c:pt idx="269">
                  <c:v>3.7359999999999998</c:v>
                </c:pt>
                <c:pt idx="270">
                  <c:v>#N/A</c:v>
                </c:pt>
                <c:pt idx="271">
                  <c:v>#N/A</c:v>
                </c:pt>
                <c:pt idx="272">
                  <c:v>#N/A</c:v>
                </c:pt>
                <c:pt idx="273">
                  <c:v>3.0459999999999998</c:v>
                </c:pt>
                <c:pt idx="274">
                  <c:v>#N/A</c:v>
                </c:pt>
                <c:pt idx="275">
                  <c:v>#N/A</c:v>
                </c:pt>
                <c:pt idx="276">
                  <c:v>#N/A</c:v>
                </c:pt>
                <c:pt idx="277">
                  <c:v>#N/A</c:v>
                </c:pt>
                <c:pt idx="278">
                  <c:v>#N/A</c:v>
                </c:pt>
                <c:pt idx="279">
                  <c:v>3.1840000000000002</c:v>
                </c:pt>
                <c:pt idx="280">
                  <c:v>#N/A</c:v>
                </c:pt>
                <c:pt idx="281">
                  <c:v>#N/A</c:v>
                </c:pt>
                <c:pt idx="282">
                  <c:v>#N/A</c:v>
                </c:pt>
                <c:pt idx="283">
                  <c:v>3.2759999999999998</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3.391</c:v>
                </c:pt>
                <c:pt idx="323">
                  <c:v>#N/A</c:v>
                </c:pt>
                <c:pt idx="324">
                  <c:v>#N/A</c:v>
                </c:pt>
                <c:pt idx="325">
                  <c:v>3.46</c:v>
                </c:pt>
                <c:pt idx="326">
                  <c:v>#N/A</c:v>
                </c:pt>
                <c:pt idx="327">
                  <c:v>#N/A</c:v>
                </c:pt>
                <c:pt idx="328">
                  <c:v>#N/A</c:v>
                </c:pt>
                <c:pt idx="329">
                  <c:v>#N/A</c:v>
                </c:pt>
                <c:pt idx="330">
                  <c:v>#N/A</c:v>
                </c:pt>
                <c:pt idx="331">
                  <c:v>#N/A</c:v>
                </c:pt>
                <c:pt idx="332">
                  <c:v>#N/A</c:v>
                </c:pt>
                <c:pt idx="333">
                  <c:v>3.6440000000000001</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3.0920000000000001</c:v>
                </c:pt>
                <c:pt idx="378">
                  <c:v>#N/A</c:v>
                </c:pt>
                <c:pt idx="379">
                  <c:v>#N/A</c:v>
                </c:pt>
                <c:pt idx="380">
                  <c:v>3.161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3.5750000000000002</c:v>
                </c:pt>
                <c:pt idx="399">
                  <c:v>3.5979999999999999</c:v>
                </c:pt>
                <c:pt idx="400">
                  <c:v>#N/A</c:v>
                </c:pt>
                <c:pt idx="401">
                  <c:v>#N/A</c:v>
                </c:pt>
                <c:pt idx="402">
                  <c:v>#N/A</c:v>
                </c:pt>
                <c:pt idx="403">
                  <c:v>#N/A</c:v>
                </c:pt>
                <c:pt idx="404">
                  <c:v>#N/A</c:v>
                </c:pt>
                <c:pt idx="405">
                  <c:v>#N/A</c:v>
                </c:pt>
                <c:pt idx="406">
                  <c:v>3.7589999999999999</c:v>
                </c:pt>
                <c:pt idx="407">
                  <c:v>#N/A</c:v>
                </c:pt>
                <c:pt idx="408">
                  <c:v>#N/A</c:v>
                </c:pt>
                <c:pt idx="409">
                  <c:v>#N/A</c:v>
                </c:pt>
                <c:pt idx="410">
                  <c:v>#N/A</c:v>
                </c:pt>
                <c:pt idx="411">
                  <c:v>#N/A</c:v>
                </c:pt>
                <c:pt idx="412">
                  <c:v>#N/A</c:v>
                </c:pt>
                <c:pt idx="413">
                  <c:v>#N/A</c:v>
                </c:pt>
                <c:pt idx="414">
                  <c:v>#N/A</c:v>
                </c:pt>
                <c:pt idx="415">
                  <c:v>#N/A</c:v>
                </c:pt>
                <c:pt idx="416">
                  <c:v>#N/A</c:v>
                </c:pt>
                <c:pt idx="417">
                  <c:v>3.23</c:v>
                </c:pt>
                <c:pt idx="418">
                  <c:v>3.2530000000000001</c:v>
                </c:pt>
                <c:pt idx="419">
                  <c:v>#N/A</c:v>
                </c:pt>
                <c:pt idx="420">
                  <c:v>#N/A</c:v>
                </c:pt>
                <c:pt idx="421">
                  <c:v>3.3220000000000001</c:v>
                </c:pt>
                <c:pt idx="422">
                  <c:v>3.3449999999999998</c:v>
                </c:pt>
                <c:pt idx="423">
                  <c:v>3.3679999999999999</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3.69</c:v>
                </c:pt>
                <c:pt idx="438">
                  <c:v>3.7130000000000001</c:v>
                </c:pt>
                <c:pt idx="439">
                  <c:v>3.7359999999999998</c:v>
                </c:pt>
                <c:pt idx="440">
                  <c:v>3.7589999999999999</c:v>
                </c:pt>
                <c:pt idx="441">
                  <c:v>#N/A</c:v>
                </c:pt>
                <c:pt idx="442">
                  <c:v>#N/A</c:v>
                </c:pt>
                <c:pt idx="443">
                  <c:v>#N/A</c:v>
                </c:pt>
                <c:pt idx="444">
                  <c:v>#N/A</c:v>
                </c:pt>
                <c:pt idx="445">
                  <c:v>#N/A</c:v>
                </c:pt>
                <c:pt idx="446">
                  <c:v>#N/A</c:v>
                </c:pt>
                <c:pt idx="447">
                  <c:v>#N/A</c:v>
                </c:pt>
                <c:pt idx="448">
                  <c:v>#N/A</c:v>
                </c:pt>
                <c:pt idx="449">
                  <c:v>#N/A</c:v>
                </c:pt>
                <c:pt idx="450">
                  <c:v>#N/A</c:v>
                </c:pt>
                <c:pt idx="451">
                  <c:v>#N/A</c:v>
                </c:pt>
                <c:pt idx="452">
                  <c:v>3.2530000000000001</c:v>
                </c:pt>
                <c:pt idx="453">
                  <c:v>#N/A</c:v>
                </c:pt>
                <c:pt idx="454">
                  <c:v>#N/A</c:v>
                </c:pt>
                <c:pt idx="455">
                  <c:v>#N/A</c:v>
                </c:pt>
                <c:pt idx="456">
                  <c:v>#N/A</c:v>
                </c:pt>
                <c:pt idx="457">
                  <c:v>3.3679999999999999</c:v>
                </c:pt>
                <c:pt idx="458">
                  <c:v>3.391</c:v>
                </c:pt>
                <c:pt idx="459">
                  <c:v>3.4140000000000001</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#N/A</c:v>
                </c:pt>
                <c:pt idx="475">
                  <c:v>#N/A</c:v>
                </c:pt>
                <c:pt idx="476">
                  <c:v>#N/A</c:v>
                </c:pt>
                <c:pt idx="477">
                  <c:v>#N/A</c:v>
                </c:pt>
                <c:pt idx="478">
                  <c:v>3.069</c:v>
                </c:pt>
                <c:pt idx="479">
                  <c:v>#N/A</c:v>
                </c:pt>
                <c:pt idx="480">
                  <c:v>#N/A</c:v>
                </c:pt>
                <c:pt idx="481">
                  <c:v>#N/A</c:v>
                </c:pt>
                <c:pt idx="482">
                  <c:v>3.161</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3.3449999999999998</c:v>
                </c:pt>
                <c:pt idx="525">
                  <c:v>#N/A</c:v>
                </c:pt>
                <c:pt idx="526">
                  <c:v>#N/A</c:v>
                </c:pt>
                <c:pt idx="527">
                  <c:v>#N/A</c:v>
                </c:pt>
                <c:pt idx="528">
                  <c:v>#N/A</c:v>
                </c:pt>
                <c:pt idx="529">
                  <c:v>3.46</c:v>
                </c:pt>
                <c:pt idx="530">
                  <c:v>#N/A</c:v>
                </c:pt>
                <c:pt idx="531">
                  <c:v>#N/A</c:v>
                </c:pt>
                <c:pt idx="532">
                  <c:v>#N/A</c:v>
                </c:pt>
                <c:pt idx="533">
                  <c:v>#N/A</c:v>
                </c:pt>
                <c:pt idx="534">
                  <c:v>#N/A</c:v>
                </c:pt>
                <c:pt idx="535">
                  <c:v>#N/A</c:v>
                </c:pt>
                <c:pt idx="536">
                  <c:v>#N/A</c:v>
                </c:pt>
                <c:pt idx="537">
                  <c:v>#N/A</c:v>
                </c:pt>
                <c:pt idx="538">
                  <c:v>3.6669999999999998</c:v>
                </c:pt>
                <c:pt idx="539">
                  <c:v>3.69</c:v>
                </c:pt>
                <c:pt idx="540">
                  <c:v>#N/A</c:v>
                </c:pt>
                <c:pt idx="541">
                  <c:v>#N/A</c:v>
                </c:pt>
                <c:pt idx="542">
                  <c:v>#N/A</c:v>
                </c:pt>
                <c:pt idx="543">
                  <c:v>3</c:v>
                </c:pt>
                <c:pt idx="544">
                  <c:v>#N/A</c:v>
                </c:pt>
                <c:pt idx="545">
                  <c:v>#N/A</c:v>
                </c:pt>
                <c:pt idx="546">
                  <c:v>3.069</c:v>
                </c:pt>
                <c:pt idx="547">
                  <c:v>3.0920000000000001</c:v>
                </c:pt>
                <c:pt idx="548">
                  <c:v>3.1150000000000002</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3.7359999999999998</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3.3220000000000001</c:v>
                </c:pt>
                <c:pt idx="592">
                  <c:v>#N/A</c:v>
                </c:pt>
                <c:pt idx="593">
                  <c:v>3.3679999999999999</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3.0230000000000001</c:v>
                </c:pt>
                <c:pt idx="613">
                  <c:v>#N/A</c:v>
                </c:pt>
                <c:pt idx="614">
                  <c:v>#N/A</c:v>
                </c:pt>
                <c:pt idx="615">
                  <c:v>3.0920000000000001</c:v>
                </c:pt>
                <c:pt idx="616">
                  <c:v>#N/A</c:v>
                </c:pt>
                <c:pt idx="617">
                  <c:v>3.1379999999999999</c:v>
                </c:pt>
                <c:pt idx="618">
                  <c:v>#N/A</c:v>
                </c:pt>
                <c:pt idx="619">
                  <c:v>#N/A</c:v>
                </c:pt>
                <c:pt idx="620">
                  <c:v>#N/A</c:v>
                </c:pt>
                <c:pt idx="621">
                  <c:v>#N/A</c:v>
                </c:pt>
                <c:pt idx="622">
                  <c:v>3.2530000000000001</c:v>
                </c:pt>
                <c:pt idx="623">
                  <c:v>3.2759999999999998</c:v>
                </c:pt>
                <c:pt idx="624">
                  <c:v>#N/A</c:v>
                </c:pt>
                <c:pt idx="625">
                  <c:v>3.3220000000000001</c:v>
                </c:pt>
                <c:pt idx="626">
                  <c:v>3.3449999999999998</c:v>
                </c:pt>
                <c:pt idx="627">
                  <c:v>3.3679999999999999</c:v>
                </c:pt>
                <c:pt idx="628">
                  <c:v>3.391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3.4140000000000001</c:v>
                </c:pt>
                <c:pt idx="664">
                  <c:v>#N/A</c:v>
                </c:pt>
                <c:pt idx="665">
                  <c:v>#N/A</c:v>
                </c:pt>
                <c:pt idx="666">
                  <c:v>3.4830000000000001</c:v>
                </c:pt>
                <c:pt idx="667">
                  <c:v>3.5060000000000002</c:v>
                </c:pt>
                <c:pt idx="668">
                  <c:v>#N/A</c:v>
                </c:pt>
                <c:pt idx="669">
                  <c:v>#N/A</c:v>
                </c:pt>
                <c:pt idx="670">
                  <c:v>3.5750000000000002</c:v>
                </c:pt>
                <c:pt idx="671">
                  <c:v>3.5979999999999999</c:v>
                </c:pt>
                <c:pt idx="672">
                  <c:v>3.621</c:v>
                </c:pt>
                <c:pt idx="673">
                  <c:v>#N/A</c:v>
                </c:pt>
                <c:pt idx="674">
                  <c:v>#N/A</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#N/A</c:v>
                </c:pt>
                <c:pt idx="688">
                  <c:v>#N/A</c:v>
                </c:pt>
                <c:pt idx="689">
                  <c:v>3.23</c:v>
                </c:pt>
                <c:pt idx="690">
                  <c:v>#N/A</c:v>
                </c:pt>
                <c:pt idx="691">
                  <c:v>#N/A</c:v>
                </c:pt>
                <c:pt idx="692">
                  <c:v>#N/A</c:v>
                </c:pt>
                <c:pt idx="693">
                  <c:v>#N/A</c:v>
                </c:pt>
                <c:pt idx="694">
                  <c:v>#N/A</c:v>
                </c:pt>
                <c:pt idx="695">
                  <c:v>3.3679999999999999</c:v>
                </c:pt>
                <c:pt idx="696">
                  <c:v>#N/A</c:v>
                </c:pt>
                <c:pt idx="697">
                  <c:v>#N/A</c:v>
                </c:pt>
                <c:pt idx="698">
                  <c:v>#N/A</c:v>
                </c:pt>
                <c:pt idx="699">
                  <c:v>3.46</c:v>
                </c:pt>
                <c:pt idx="700">
                  <c:v>3.4830000000000001</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3.0230000000000001</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3.3220000000000001</c:v>
                </c:pt>
                <c:pt idx="728">
                  <c:v>#N/A</c:v>
                </c:pt>
                <c:pt idx="729">
                  <c:v>#N/A</c:v>
                </c:pt>
                <c:pt idx="730">
                  <c:v>3.391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3.0459999999999998</c:v>
                </c:pt>
                <c:pt idx="784">
                  <c:v>#N/A</c:v>
                </c:pt>
                <c:pt idx="785">
                  <c:v>#N/A</c:v>
                </c:pt>
                <c:pt idx="786">
                  <c:v>#N/A</c:v>
                </c:pt>
                <c:pt idx="787">
                  <c:v>3.1379999999999999</c:v>
                </c:pt>
                <c:pt idx="788">
                  <c:v>3.161</c:v>
                </c:pt>
                <c:pt idx="789">
                  <c:v>3.1840000000000002</c:v>
                </c:pt>
                <c:pt idx="790">
                  <c:v>#N/A</c:v>
                </c:pt>
                <c:pt idx="791">
                  <c:v>3.23</c:v>
                </c:pt>
                <c:pt idx="792">
                  <c:v>#N/A</c:v>
                </c:pt>
                <c:pt idx="793">
                  <c:v>#N/A</c:v>
                </c:pt>
                <c:pt idx="794">
                  <c:v>#N/A</c:v>
                </c:pt>
                <c:pt idx="795">
                  <c:v>3.3220000000000001</c:v>
                </c:pt>
                <c:pt idx="796">
                  <c:v>#N/A</c:v>
                </c:pt>
                <c:pt idx="797">
                  <c:v>#N/A</c:v>
                </c:pt>
                <c:pt idx="798">
                  <c:v>#N/A</c:v>
                </c:pt>
                <c:pt idx="799">
                  <c:v>#N/A</c:v>
                </c:pt>
                <c:pt idx="800">
                  <c:v>#N/A</c:v>
                </c:pt>
                <c:pt idx="801">
                  <c:v>#N/A</c:v>
                </c:pt>
                <c:pt idx="802">
                  <c:v>#N/A</c:v>
                </c:pt>
                <c:pt idx="803">
                  <c:v>#N/A</c:v>
                </c:pt>
                <c:pt idx="804">
                  <c:v>3.5289999999999999</c:v>
                </c:pt>
                <c:pt idx="805">
                  <c:v>#N/A</c:v>
                </c:pt>
                <c:pt idx="806">
                  <c:v>#N/A</c:v>
                </c:pt>
                <c:pt idx="807">
                  <c:v>3.5979999999999999</c:v>
                </c:pt>
                <c:pt idx="808">
                  <c:v>#N/A</c:v>
                </c:pt>
                <c:pt idx="809">
                  <c:v>#N/A</c:v>
                </c:pt>
                <c:pt idx="810">
                  <c:v>3.6669999999999998</c:v>
                </c:pt>
                <c:pt idx="811">
                  <c:v>3.69</c:v>
                </c:pt>
                <c:pt idx="812">
                  <c:v>3.7130000000000001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3.46</c:v>
                </c:pt>
                <c:pt idx="836">
                  <c:v>#N/A</c:v>
                </c:pt>
                <c:pt idx="837">
                  <c:v>3.5060000000000002</c:v>
                </c:pt>
                <c:pt idx="838">
                  <c:v>#N/A</c:v>
                </c:pt>
                <c:pt idx="839">
                  <c:v>#N/A</c:v>
                </c:pt>
                <c:pt idx="840">
                  <c:v>3.5750000000000002</c:v>
                </c:pt>
                <c:pt idx="841">
                  <c:v>#N/A</c:v>
                </c:pt>
                <c:pt idx="842">
                  <c:v>#N/A</c:v>
                </c:pt>
                <c:pt idx="843">
                  <c:v>#N/A</c:v>
                </c:pt>
                <c:pt idx="844">
                  <c:v>3.6669999999999998</c:v>
                </c:pt>
                <c:pt idx="845">
                  <c:v>3.69</c:v>
                </c:pt>
                <c:pt idx="846">
                  <c:v>3.7130000000000001</c:v>
                </c:pt>
                <c:pt idx="847">
                  <c:v>3.7359999999999998</c:v>
                </c:pt>
                <c:pt idx="848">
                  <c:v>#N/A</c:v>
                </c:pt>
                <c:pt idx="849">
                  <c:v>#N/A</c:v>
                </c:pt>
                <c:pt idx="850">
                  <c:v>3.0230000000000001</c:v>
                </c:pt>
                <c:pt idx="851">
                  <c:v>#N/A</c:v>
                </c:pt>
                <c:pt idx="852">
                  <c:v>#N/A</c:v>
                </c:pt>
                <c:pt idx="853">
                  <c:v>#N/A</c:v>
                </c:pt>
                <c:pt idx="854">
                  <c:v>3.1150000000000002</c:v>
                </c:pt>
                <c:pt idx="855">
                  <c:v>#N/A</c:v>
                </c:pt>
                <c:pt idx="856">
                  <c:v>#N/A</c:v>
                </c:pt>
                <c:pt idx="857">
                  <c:v>#N/A</c:v>
                </c:pt>
                <c:pt idx="858">
                  <c:v>3.2069999999999999</c:v>
                </c:pt>
                <c:pt idx="859">
                  <c:v>3.23</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2026</c:v>
                </c:pt>
                <c:pt idx="191">
                  <c:v>#N/A</c:v>
                </c:pt>
                <c:pt idx="192">
                  <c:v>#N/A</c:v>
                </c:pt>
                <c:pt idx="193">
                  <c:v>#N/A</c:v>
                </c:pt>
                <c:pt idx="194">
                  <c:v>2010</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2002</c:v>
                </c:pt>
                <c:pt idx="222">
                  <c:v>#N/A</c:v>
                </c:pt>
                <c:pt idx="223">
                  <c:v>#N/A</c:v>
                </c:pt>
                <c:pt idx="224">
                  <c:v>#N/A</c:v>
                </c:pt>
                <c:pt idx="225">
                  <c:v>1990</c:v>
                </c:pt>
                <c:pt idx="226">
                  <c:v>2006</c:v>
                </c:pt>
                <c:pt idx="227">
                  <c:v>2003</c:v>
                </c:pt>
                <c:pt idx="228">
                  <c:v>#N/A</c:v>
                </c:pt>
                <c:pt idx="229">
                  <c:v>#N/A</c:v>
                </c:pt>
                <c:pt idx="230">
                  <c:v>#N/A</c:v>
                </c:pt>
                <c:pt idx="231">
                  <c:v>#N/A</c:v>
                </c:pt>
                <c:pt idx="232">
                  <c:v>#N/A</c:v>
                </c:pt>
                <c:pt idx="233">
                  <c:v>#N/A</c:v>
                </c:pt>
                <c:pt idx="234">
                  <c:v>#N/A</c:v>
                </c:pt>
                <c:pt idx="235">
                  <c:v>2006</c:v>
                </c:pt>
                <c:pt idx="236">
                  <c:v>#N/A</c:v>
                </c:pt>
                <c:pt idx="237">
                  <c:v>2023</c:v>
                </c:pt>
                <c:pt idx="238">
                  <c:v>#N/A</c:v>
                </c:pt>
                <c:pt idx="239">
                  <c:v>2008</c:v>
                </c:pt>
                <c:pt idx="240">
                  <c:v>#N/A</c:v>
                </c:pt>
                <c:pt idx="241">
                  <c:v>2010</c:v>
                </c:pt>
                <c:pt idx="242">
                  <c:v>#N/A</c:v>
                </c:pt>
                <c:pt idx="243">
                  <c:v>#N/A</c:v>
                </c:pt>
                <c:pt idx="244">
                  <c:v>2011</c:v>
                </c:pt>
                <c:pt idx="245">
                  <c:v>#N/A</c:v>
                </c:pt>
                <c:pt idx="246">
                  <c:v>#N/A</c:v>
                </c:pt>
                <c:pt idx="247">
                  <c:v>#N/A</c:v>
                </c:pt>
                <c:pt idx="248">
                  <c:v>#N/A</c:v>
                </c:pt>
                <c:pt idx="249">
                  <c:v>#N/A</c:v>
                </c:pt>
                <c:pt idx="250">
                  <c:v>#N/A</c:v>
                </c:pt>
                <c:pt idx="251">
                  <c:v>#N/A</c:v>
                </c:pt>
                <c:pt idx="252">
                  <c:v>#N/A</c:v>
                </c:pt>
                <c:pt idx="253">
                  <c:v>2024</c:v>
                </c:pt>
                <c:pt idx="254">
                  <c:v>2008</c:v>
                </c:pt>
                <c:pt idx="255">
                  <c:v>#N/A</c:v>
                </c:pt>
                <c:pt idx="256">
                  <c:v>#N/A</c:v>
                </c:pt>
                <c:pt idx="257">
                  <c:v>#N/A</c:v>
                </c:pt>
                <c:pt idx="258">
                  <c:v>#N/A</c:v>
                </c:pt>
                <c:pt idx="259">
                  <c:v>#N/A</c:v>
                </c:pt>
                <c:pt idx="260">
                  <c:v>#N/A</c:v>
                </c:pt>
                <c:pt idx="261">
                  <c:v>2004</c:v>
                </c:pt>
                <c:pt idx="262">
                  <c:v>2015</c:v>
                </c:pt>
                <c:pt idx="263">
                  <c:v>2017</c:v>
                </c:pt>
                <c:pt idx="264">
                  <c:v>#N/A</c:v>
                </c:pt>
                <c:pt idx="265">
                  <c:v>#N/A</c:v>
                </c:pt>
                <c:pt idx="266">
                  <c:v>#N/A</c:v>
                </c:pt>
                <c:pt idx="267">
                  <c:v>#N/A</c:v>
                </c:pt>
                <c:pt idx="268">
                  <c:v>#N/A</c:v>
                </c:pt>
                <c:pt idx="269">
                  <c:v>1990</c:v>
                </c:pt>
                <c:pt idx="270">
                  <c:v>#N/A</c:v>
                </c:pt>
                <c:pt idx="271">
                  <c:v>#N/A</c:v>
                </c:pt>
                <c:pt idx="272">
                  <c:v>#N/A</c:v>
                </c:pt>
                <c:pt idx="273">
                  <c:v>2007</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2006</c:v>
                </c:pt>
                <c:pt idx="288">
                  <c:v>#N/A</c:v>
                </c:pt>
                <c:pt idx="289">
                  <c:v>#N/A</c:v>
                </c:pt>
                <c:pt idx="290">
                  <c:v>#N/A</c:v>
                </c:pt>
                <c:pt idx="291">
                  <c:v>2010</c:v>
                </c:pt>
                <c:pt idx="292">
                  <c:v>2014</c:v>
                </c:pt>
                <c:pt idx="293">
                  <c:v>#N/A</c:v>
                </c:pt>
                <c:pt idx="294">
                  <c:v>#N/A</c:v>
                </c:pt>
                <c:pt idx="295">
                  <c:v>#N/A</c:v>
                </c:pt>
                <c:pt idx="296">
                  <c:v>#N/A</c:v>
                </c:pt>
                <c:pt idx="297">
                  <c:v>2002</c:v>
                </c:pt>
                <c:pt idx="298">
                  <c:v>2007</c:v>
                </c:pt>
                <c:pt idx="299">
                  <c:v>2022</c:v>
                </c:pt>
                <c:pt idx="300">
                  <c:v>#N/A</c:v>
                </c:pt>
                <c:pt idx="301">
                  <c:v>#N/A</c:v>
                </c:pt>
                <c:pt idx="302">
                  <c:v>#N/A</c:v>
                </c:pt>
                <c:pt idx="303">
                  <c:v>#N/A</c:v>
                </c:pt>
                <c:pt idx="304">
                  <c:v>#N/A</c:v>
                </c:pt>
                <c:pt idx="305">
                  <c:v>2020</c:v>
                </c:pt>
                <c:pt idx="306">
                  <c:v>#N/A</c:v>
                </c:pt>
                <c:pt idx="307">
                  <c:v>#N/A</c:v>
                </c:pt>
                <c:pt idx="308">
                  <c:v>#N/A</c:v>
                </c:pt>
                <c:pt idx="309">
                  <c:v>#N/A</c:v>
                </c:pt>
                <c:pt idx="310">
                  <c:v>#N/A</c:v>
                </c:pt>
                <c:pt idx="311">
                  <c:v>#N/A</c:v>
                </c:pt>
                <c:pt idx="312">
                  <c:v>2014</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1984</c:v>
                </c:pt>
                <c:pt idx="331">
                  <c:v>2022</c:v>
                </c:pt>
                <c:pt idx="332">
                  <c:v>#N/A</c:v>
                </c:pt>
                <c:pt idx="333">
                  <c:v>#N/A</c:v>
                </c:pt>
                <c:pt idx="334">
                  <c:v>#N/A</c:v>
                </c:pt>
                <c:pt idx="335">
                  <c:v>#N/A</c:v>
                </c:pt>
                <c:pt idx="336">
                  <c:v>#N/A</c:v>
                </c:pt>
                <c:pt idx="337">
                  <c:v>#N/A</c:v>
                </c:pt>
                <c:pt idx="338">
                  <c:v>#N/A</c:v>
                </c:pt>
                <c:pt idx="339">
                  <c:v>#N/A</c:v>
                </c:pt>
                <c:pt idx="340">
                  <c:v>2017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2026</c:v>
                </c:pt>
                <c:pt idx="360">
                  <c:v>2013</c:v>
                </c:pt>
                <c:pt idx="361">
                  <c:v>2025</c:v>
                </c:pt>
                <c:pt idx="362">
                  <c:v>#N/A</c:v>
                </c:pt>
                <c:pt idx="363">
                  <c:v>#N/A</c:v>
                </c:pt>
                <c:pt idx="364">
                  <c:v>#N/A</c:v>
                </c:pt>
                <c:pt idx="365">
                  <c:v>2012</c:v>
                </c:pt>
                <c:pt idx="366">
                  <c:v>#N/A</c:v>
                </c:pt>
                <c:pt idx="367">
                  <c:v>2017</c:v>
                </c:pt>
                <c:pt idx="368">
                  <c:v>#N/A</c:v>
                </c:pt>
                <c:pt idx="369">
                  <c:v>#N/A</c:v>
                </c:pt>
                <c:pt idx="370">
                  <c:v>#N/A</c:v>
                </c:pt>
                <c:pt idx="371">
                  <c:v>2007</c:v>
                </c:pt>
                <c:pt idx="372">
                  <c:v>#N/A</c:v>
                </c:pt>
                <c:pt idx="373">
                  <c:v>2011</c:v>
                </c:pt>
                <c:pt idx="374">
                  <c:v>#N/A</c:v>
                </c:pt>
                <c:pt idx="375">
                  <c:v>#N/A</c:v>
                </c:pt>
                <c:pt idx="376">
                  <c:v>#N/A</c:v>
                </c:pt>
                <c:pt idx="377">
                  <c:v>#N/A</c:v>
                </c:pt>
                <c:pt idx="378">
                  <c:v>#N/A</c:v>
                </c:pt>
                <c:pt idx="379">
                  <c:v>#N/A</c:v>
                </c:pt>
                <c:pt idx="380">
                  <c:v>#N/A</c:v>
                </c:pt>
                <c:pt idx="381">
                  <c:v>2001</c:v>
                </c:pt>
                <c:pt idx="382">
                  <c:v>2007</c:v>
                </c:pt>
                <c:pt idx="383">
                  <c:v>2006</c:v>
                </c:pt>
                <c:pt idx="384">
                  <c:v>#N/A</c:v>
                </c:pt>
                <c:pt idx="385">
                  <c:v>#N/A</c:v>
                </c:pt>
                <c:pt idx="386">
                  <c:v>2019</c:v>
                </c:pt>
                <c:pt idx="387">
                  <c:v>#N/A</c:v>
                </c:pt>
                <c:pt idx="388">
                  <c:v>#N/A</c:v>
                </c:pt>
                <c:pt idx="389">
                  <c:v>#N/A</c:v>
                </c:pt>
                <c:pt idx="390">
                  <c:v>2015</c:v>
                </c:pt>
                <c:pt idx="391">
                  <c:v>#N/A</c:v>
                </c:pt>
                <c:pt idx="392">
                  <c:v>#N/A</c:v>
                </c:pt>
                <c:pt idx="393">
                  <c:v>#N/A</c:v>
                </c:pt>
                <c:pt idx="394">
                  <c:v>#N/A</c:v>
                </c:pt>
                <c:pt idx="395">
                  <c:v>#N/A</c:v>
                </c:pt>
                <c:pt idx="396">
                  <c:v>#N/A</c:v>
                </c:pt>
                <c:pt idx="397">
                  <c:v>#N/A</c:v>
                </c:pt>
                <c:pt idx="398">
                  <c:v>#N/A</c:v>
                </c:pt>
                <c:pt idx="399">
                  <c:v>2020</c:v>
                </c:pt>
                <c:pt idx="400">
                  <c:v>#N/A</c:v>
                </c:pt>
                <c:pt idx="401">
                  <c:v>2006</c:v>
                </c:pt>
                <c:pt idx="402">
                  <c:v>1986</c:v>
                </c:pt>
                <c:pt idx="403">
                  <c:v>#N/A</c:v>
                </c:pt>
                <c:pt idx="404">
                  <c:v>#N/A</c:v>
                </c:pt>
                <c:pt idx="405">
                  <c:v>#N/A</c:v>
                </c:pt>
                <c:pt idx="406">
                  <c:v>#N/A</c:v>
                </c:pt>
                <c:pt idx="407">
                  <c:v>1995</c:v>
                </c:pt>
                <c:pt idx="408">
                  <c:v>#N/A</c:v>
                </c:pt>
                <c:pt idx="409">
                  <c:v>#N/A</c:v>
                </c:pt>
                <c:pt idx="410">
                  <c:v>#N/A</c:v>
                </c:pt>
                <c:pt idx="411">
                  <c:v>#N/A</c:v>
                </c:pt>
                <c:pt idx="412">
                  <c:v>#N/A</c:v>
                </c:pt>
                <c:pt idx="413">
                  <c:v>#N/A</c:v>
                </c:pt>
                <c:pt idx="414">
                  <c:v>#N/A</c:v>
                </c:pt>
                <c:pt idx="415">
                  <c:v>2019</c:v>
                </c:pt>
                <c:pt idx="416">
                  <c:v>#N/A</c:v>
                </c:pt>
                <c:pt idx="417">
                  <c:v>#N/A</c:v>
                </c:pt>
                <c:pt idx="418">
                  <c:v>#N/A</c:v>
                </c:pt>
                <c:pt idx="419">
                  <c:v>2001</c:v>
                </c:pt>
                <c:pt idx="420">
                  <c:v>#N/A</c:v>
                </c:pt>
                <c:pt idx="421">
                  <c:v>#N/A</c:v>
                </c:pt>
                <c:pt idx="422">
                  <c:v>#N/A</c:v>
                </c:pt>
                <c:pt idx="423">
                  <c:v>#N/A</c:v>
                </c:pt>
                <c:pt idx="424">
                  <c:v>#N/A</c:v>
                </c:pt>
                <c:pt idx="425">
                  <c:v>#N/A</c:v>
                </c:pt>
                <c:pt idx="426">
                  <c:v>#N/A</c:v>
                </c:pt>
                <c:pt idx="427">
                  <c:v>#N/A</c:v>
                </c:pt>
                <c:pt idx="428">
                  <c:v>#N/A</c:v>
                </c:pt>
                <c:pt idx="429">
                  <c:v>2020</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2012</c:v>
                </c:pt>
                <c:pt idx="447">
                  <c:v>2011</c:v>
                </c:pt>
                <c:pt idx="448">
                  <c:v>1987</c:v>
                </c:pt>
                <c:pt idx="449">
                  <c:v>#N/A</c:v>
                </c:pt>
                <c:pt idx="450">
                  <c:v>#N/A</c:v>
                </c:pt>
                <c:pt idx="451">
                  <c:v>#N/A</c:v>
                </c:pt>
                <c:pt idx="452">
                  <c:v>2002</c:v>
                </c:pt>
                <c:pt idx="453">
                  <c:v>2003</c:v>
                </c:pt>
                <c:pt idx="454">
                  <c:v>2020</c:v>
                </c:pt>
                <c:pt idx="455">
                  <c:v>2022</c:v>
                </c:pt>
                <c:pt idx="456">
                  <c:v>#N/A</c:v>
                </c:pt>
                <c:pt idx="457">
                  <c:v>#N/A</c:v>
                </c:pt>
                <c:pt idx="458">
                  <c:v>#N/A</c:v>
                </c:pt>
                <c:pt idx="459">
                  <c:v>#N/A</c:v>
                </c:pt>
                <c:pt idx="460">
                  <c:v>#N/A</c:v>
                </c:pt>
                <c:pt idx="461">
                  <c:v>#N/A</c:v>
                </c:pt>
                <c:pt idx="462">
                  <c:v>#N/A</c:v>
                </c:pt>
                <c:pt idx="463">
                  <c:v>#N/A</c:v>
                </c:pt>
                <c:pt idx="464">
                  <c:v>#N/A</c:v>
                </c:pt>
                <c:pt idx="465">
                  <c:v>#N/A</c:v>
                </c:pt>
                <c:pt idx="466">
                  <c:v>2023</c:v>
                </c:pt>
                <c:pt idx="467">
                  <c:v>#N/A</c:v>
                </c:pt>
                <c:pt idx="468">
                  <c:v>1983</c:v>
                </c:pt>
                <c:pt idx="469">
                  <c:v>#N/A</c:v>
                </c:pt>
                <c:pt idx="470">
                  <c:v>#N/A</c:v>
                </c:pt>
                <c:pt idx="471">
                  <c:v>#N/A</c:v>
                </c:pt>
                <c:pt idx="472">
                  <c:v>#N/A</c:v>
                </c:pt>
                <c:pt idx="473">
                  <c:v>#N/A</c:v>
                </c:pt>
                <c:pt idx="474">
                  <c:v>2011</c:v>
                </c:pt>
                <c:pt idx="475">
                  <c:v>#N/A</c:v>
                </c:pt>
                <c:pt idx="476">
                  <c:v>#N/A</c:v>
                </c:pt>
                <c:pt idx="477">
                  <c:v>#N/A</c:v>
                </c:pt>
                <c:pt idx="478">
                  <c:v>2016</c:v>
                </c:pt>
                <c:pt idx="479">
                  <c:v>1995</c:v>
                </c:pt>
                <c:pt idx="480">
                  <c:v>#N/A</c:v>
                </c:pt>
                <c:pt idx="481">
                  <c:v>#N/A</c:v>
                </c:pt>
                <c:pt idx="482">
                  <c:v>#N/A</c:v>
                </c:pt>
                <c:pt idx="483">
                  <c:v>#N/A</c:v>
                </c:pt>
                <c:pt idx="484">
                  <c:v>#N/A</c:v>
                </c:pt>
                <c:pt idx="485">
                  <c:v>#N/A</c:v>
                </c:pt>
                <c:pt idx="486">
                  <c:v>#N/A</c:v>
                </c:pt>
                <c:pt idx="487">
                  <c:v>#N/A</c:v>
                </c:pt>
                <c:pt idx="488">
                  <c:v>#N/A</c:v>
                </c:pt>
                <c:pt idx="489">
                  <c:v>1987</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1987</c:v>
                </c:pt>
                <c:pt idx="516">
                  <c:v>2015</c:v>
                </c:pt>
                <c:pt idx="517">
                  <c:v>2019</c:v>
                </c:pt>
                <c:pt idx="518">
                  <c:v>2017</c:v>
                </c:pt>
                <c:pt idx="519">
                  <c:v>#N/A</c:v>
                </c:pt>
                <c:pt idx="520">
                  <c:v>#N/A</c:v>
                </c:pt>
                <c:pt idx="521">
                  <c:v>2014</c:v>
                </c:pt>
                <c:pt idx="522">
                  <c:v>2019</c:v>
                </c:pt>
                <c:pt idx="523">
                  <c:v>#N/A</c:v>
                </c:pt>
                <c:pt idx="524">
                  <c:v>#N/A</c:v>
                </c:pt>
                <c:pt idx="525">
                  <c:v>#N/A</c:v>
                </c:pt>
                <c:pt idx="526">
                  <c:v>#N/A</c:v>
                </c:pt>
                <c:pt idx="527">
                  <c:v>2022</c:v>
                </c:pt>
                <c:pt idx="528">
                  <c:v>#N/A</c:v>
                </c:pt>
                <c:pt idx="529">
                  <c:v>2025</c:v>
                </c:pt>
                <c:pt idx="530">
                  <c:v>#N/A</c:v>
                </c:pt>
                <c:pt idx="531">
                  <c:v>#N/A</c:v>
                </c:pt>
                <c:pt idx="532">
                  <c:v>#N/A</c:v>
                </c:pt>
                <c:pt idx="533">
                  <c:v>2023</c:v>
                </c:pt>
                <c:pt idx="534">
                  <c:v>#N/A</c:v>
                </c:pt>
                <c:pt idx="535">
                  <c:v>2015</c:v>
                </c:pt>
                <c:pt idx="536">
                  <c:v>#N/A</c:v>
                </c:pt>
                <c:pt idx="537">
                  <c:v>#N/A</c:v>
                </c:pt>
                <c:pt idx="538">
                  <c:v>#N/A</c:v>
                </c:pt>
                <c:pt idx="539">
                  <c:v>#N/A</c:v>
                </c:pt>
                <c:pt idx="540">
                  <c:v>#N/A</c:v>
                </c:pt>
                <c:pt idx="541">
                  <c:v>#N/A</c:v>
                </c:pt>
                <c:pt idx="542">
                  <c:v>#N/A</c:v>
                </c:pt>
                <c:pt idx="543">
                  <c:v>2012</c:v>
                </c:pt>
                <c:pt idx="544">
                  <c:v>#N/A</c:v>
                </c:pt>
                <c:pt idx="545">
                  <c:v>#N/A</c:v>
                </c:pt>
                <c:pt idx="546">
                  <c:v>#N/A</c:v>
                </c:pt>
                <c:pt idx="547">
                  <c:v>#N/A</c:v>
                </c:pt>
                <c:pt idx="548">
                  <c:v>#N/A</c:v>
                </c:pt>
                <c:pt idx="549">
                  <c:v>#N/A</c:v>
                </c:pt>
                <c:pt idx="550">
                  <c:v>#N/A</c:v>
                </c:pt>
                <c:pt idx="551">
                  <c:v>#N/A</c:v>
                </c:pt>
                <c:pt idx="552">
                  <c:v>#N/A</c:v>
                </c:pt>
                <c:pt idx="553">
                  <c:v>2009</c:v>
                </c:pt>
                <c:pt idx="554">
                  <c:v>2007</c:v>
                </c:pt>
                <c:pt idx="555">
                  <c:v>2012</c:v>
                </c:pt>
                <c:pt idx="556">
                  <c:v>2005</c:v>
                </c:pt>
                <c:pt idx="557">
                  <c:v>2020</c:v>
                </c:pt>
                <c:pt idx="558">
                  <c:v>2015</c:v>
                </c:pt>
                <c:pt idx="559">
                  <c:v>#N/A</c:v>
                </c:pt>
                <c:pt idx="560">
                  <c:v>#N/A</c:v>
                </c:pt>
                <c:pt idx="561">
                  <c:v>#N/A</c:v>
                </c:pt>
                <c:pt idx="562">
                  <c:v>2003</c:v>
                </c:pt>
                <c:pt idx="563">
                  <c:v>#N/A</c:v>
                </c:pt>
                <c:pt idx="564">
                  <c:v>#N/A</c:v>
                </c:pt>
                <c:pt idx="565">
                  <c:v>#N/A</c:v>
                </c:pt>
                <c:pt idx="566">
                  <c:v>2023</c:v>
                </c:pt>
                <c:pt idx="567">
                  <c:v>2014</c:v>
                </c:pt>
                <c:pt idx="568">
                  <c:v>#N/A</c:v>
                </c:pt>
                <c:pt idx="569">
                  <c:v>#N/A</c:v>
                </c:pt>
                <c:pt idx="570">
                  <c:v>#N/A</c:v>
                </c:pt>
                <c:pt idx="571">
                  <c:v>1992</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2020</c:v>
                </c:pt>
                <c:pt idx="588">
                  <c:v>2024</c:v>
                </c:pt>
                <c:pt idx="589">
                  <c:v>2026</c:v>
                </c:pt>
                <c:pt idx="590">
                  <c:v>#N/A</c:v>
                </c:pt>
                <c:pt idx="591">
                  <c:v>#N/A</c:v>
                </c:pt>
                <c:pt idx="592">
                  <c:v>#N/A</c:v>
                </c:pt>
                <c:pt idx="593">
                  <c:v>#N/A</c:v>
                </c:pt>
                <c:pt idx="594">
                  <c:v>#N/A</c:v>
                </c:pt>
                <c:pt idx="595">
                  <c:v>#N/A</c:v>
                </c:pt>
                <c:pt idx="596">
                  <c:v>#N/A</c:v>
                </c:pt>
                <c:pt idx="597">
                  <c:v>#N/A</c:v>
                </c:pt>
                <c:pt idx="598">
                  <c:v>#N/A</c:v>
                </c:pt>
                <c:pt idx="599">
                  <c:v>#N/A</c:v>
                </c:pt>
                <c:pt idx="600">
                  <c:v>1980</c:v>
                </c:pt>
                <c:pt idx="601">
                  <c:v>#N/A</c:v>
                </c:pt>
                <c:pt idx="602">
                  <c:v>2019</c:v>
                </c:pt>
                <c:pt idx="603">
                  <c:v>#N/A</c:v>
                </c:pt>
                <c:pt idx="604">
                  <c:v>#N/A</c:v>
                </c:pt>
                <c:pt idx="605">
                  <c:v>2007</c:v>
                </c:pt>
                <c:pt idx="606">
                  <c:v>#N/A</c:v>
                </c:pt>
                <c:pt idx="607">
                  <c:v>#N/A</c:v>
                </c:pt>
                <c:pt idx="608">
                  <c:v>#N/A</c:v>
                </c:pt>
                <c:pt idx="609">
                  <c:v>#N/A</c:v>
                </c:pt>
                <c:pt idx="610">
                  <c:v>#N/A</c:v>
                </c:pt>
                <c:pt idx="611">
                  <c:v>#N/A</c:v>
                </c:pt>
                <c:pt idx="612">
                  <c:v>#N/A</c:v>
                </c:pt>
                <c:pt idx="613">
                  <c:v>#N/A</c:v>
                </c:pt>
                <c:pt idx="614">
                  <c:v>#N/A</c:v>
                </c:pt>
                <c:pt idx="615">
                  <c:v>2023</c:v>
                </c:pt>
                <c:pt idx="616">
                  <c:v>#N/A</c:v>
                </c:pt>
                <c:pt idx="617">
                  <c:v>2014</c:v>
                </c:pt>
                <c:pt idx="618">
                  <c:v>#N/A</c:v>
                </c:pt>
                <c:pt idx="619">
                  <c:v>#N/A</c:v>
                </c:pt>
                <c:pt idx="620">
                  <c:v>#N/A</c:v>
                </c:pt>
                <c:pt idx="621">
                  <c:v>#N/A</c:v>
                </c:pt>
                <c:pt idx="622">
                  <c:v>#N/A</c:v>
                </c:pt>
                <c:pt idx="623">
                  <c:v>#N/A</c:v>
                </c:pt>
                <c:pt idx="624">
                  <c:v>#N/A</c:v>
                </c:pt>
                <c:pt idx="625">
                  <c:v>#N/A</c:v>
                </c:pt>
                <c:pt idx="626">
                  <c:v>#N/A</c:v>
                </c:pt>
                <c:pt idx="627">
                  <c:v>#N/A</c:v>
                </c:pt>
                <c:pt idx="628">
                  <c:v>2010</c:v>
                </c:pt>
                <c:pt idx="629">
                  <c:v>#N/A</c:v>
                </c:pt>
                <c:pt idx="630">
                  <c:v>#N/A</c:v>
                </c:pt>
                <c:pt idx="631">
                  <c:v>#N/A</c:v>
                </c:pt>
                <c:pt idx="632">
                  <c:v>#N/A</c:v>
                </c:pt>
                <c:pt idx="633">
                  <c:v>#N/A</c:v>
                </c:pt>
                <c:pt idx="634">
                  <c:v>#N/A</c:v>
                </c:pt>
                <c:pt idx="635">
                  <c:v>#N/A</c:v>
                </c:pt>
                <c:pt idx="636">
                  <c:v>#N/A</c:v>
                </c:pt>
                <c:pt idx="637">
                  <c:v>#N/A</c:v>
                </c:pt>
                <c:pt idx="638">
                  <c:v>#N/A</c:v>
                </c:pt>
                <c:pt idx="639">
                  <c:v>2015</c:v>
                </c:pt>
                <c:pt idx="640">
                  <c:v>#N/A</c:v>
                </c:pt>
                <c:pt idx="641">
                  <c:v>#N/A</c:v>
                </c:pt>
                <c:pt idx="642">
                  <c:v>#N/A</c:v>
                </c:pt>
                <c:pt idx="643">
                  <c:v>2014</c:v>
                </c:pt>
                <c:pt idx="644">
                  <c:v>#N/A</c:v>
                </c:pt>
                <c:pt idx="645">
                  <c:v>2008</c:v>
                </c:pt>
                <c:pt idx="646">
                  <c:v>2000</c:v>
                </c:pt>
                <c:pt idx="647">
                  <c:v>2010</c:v>
                </c:pt>
                <c:pt idx="648">
                  <c:v>2002</c:v>
                </c:pt>
                <c:pt idx="649">
                  <c:v>1996</c:v>
                </c:pt>
                <c:pt idx="650">
                  <c:v>2001</c:v>
                </c:pt>
                <c:pt idx="651">
                  <c:v>2024</c:v>
                </c:pt>
                <c:pt idx="652">
                  <c:v>2010</c:v>
                </c:pt>
                <c:pt idx="653">
                  <c:v>#N/A</c:v>
                </c:pt>
                <c:pt idx="654">
                  <c:v>#N/A</c:v>
                </c:pt>
                <c:pt idx="655">
                  <c:v>#N/A</c:v>
                </c:pt>
                <c:pt idx="656">
                  <c:v>#N/A</c:v>
                </c:pt>
                <c:pt idx="657">
                  <c:v>2012</c:v>
                </c:pt>
                <c:pt idx="658">
                  <c:v>#N/A</c:v>
                </c:pt>
                <c:pt idx="659">
                  <c:v>#N/A</c:v>
                </c:pt>
                <c:pt idx="660">
                  <c:v>#N/A</c:v>
                </c:pt>
                <c:pt idx="661">
                  <c:v>#N/A</c:v>
                </c:pt>
                <c:pt idx="662">
                  <c:v>#N/A</c:v>
                </c:pt>
                <c:pt idx="663">
                  <c:v>2006</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2022</c:v>
                </c:pt>
                <c:pt idx="677">
                  <c:v>2023</c:v>
                </c:pt>
                <c:pt idx="678">
                  <c:v>#N/A</c:v>
                </c:pt>
                <c:pt idx="679">
                  <c:v>#N/A</c:v>
                </c:pt>
                <c:pt idx="680">
                  <c:v>#N/A</c:v>
                </c:pt>
                <c:pt idx="681">
                  <c:v>2016</c:v>
                </c:pt>
                <c:pt idx="682">
                  <c:v>#N/A</c:v>
                </c:pt>
                <c:pt idx="683">
                  <c:v>#N/A</c:v>
                </c:pt>
                <c:pt idx="684">
                  <c:v>#N/A</c:v>
                </c:pt>
                <c:pt idx="685">
                  <c:v>#N/A</c:v>
                </c:pt>
                <c:pt idx="686">
                  <c:v>#N/A</c:v>
                </c:pt>
                <c:pt idx="687">
                  <c:v>#N/A</c:v>
                </c:pt>
                <c:pt idx="688">
                  <c:v>#N/A</c:v>
                </c:pt>
                <c:pt idx="689">
                  <c:v>#N/A</c:v>
                </c:pt>
                <c:pt idx="690">
                  <c:v>#N/A</c:v>
                </c:pt>
                <c:pt idx="691">
                  <c:v>#N/A</c:v>
                </c:pt>
                <c:pt idx="692">
                  <c:v>2014</c:v>
                </c:pt>
                <c:pt idx="693">
                  <c:v>#N/A</c:v>
                </c:pt>
                <c:pt idx="694">
                  <c:v>#N/A</c:v>
                </c:pt>
                <c:pt idx="695">
                  <c:v>#N/A</c:v>
                </c:pt>
                <c:pt idx="696">
                  <c:v>#N/A</c:v>
                </c:pt>
                <c:pt idx="697">
                  <c:v>#N/A</c:v>
                </c:pt>
                <c:pt idx="698">
                  <c:v>#N/A</c:v>
                </c:pt>
                <c:pt idx="699">
                  <c:v>#N/A</c:v>
                </c:pt>
                <c:pt idx="700">
                  <c:v>#N/A</c:v>
                </c:pt>
                <c:pt idx="701">
                  <c:v>2020</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1982</c:v>
                </c:pt>
                <c:pt idx="718">
                  <c:v>#N/A</c:v>
                </c:pt>
                <c:pt idx="719">
                  <c:v>#N/A</c:v>
                </c:pt>
                <c:pt idx="720">
                  <c:v>2013</c:v>
                </c:pt>
                <c:pt idx="721">
                  <c:v>#N/A</c:v>
                </c:pt>
                <c:pt idx="722">
                  <c:v>#N/A</c:v>
                </c:pt>
                <c:pt idx="723">
                  <c:v>#N/A</c:v>
                </c:pt>
                <c:pt idx="724">
                  <c:v>#N/A</c:v>
                </c:pt>
                <c:pt idx="725">
                  <c:v>#N/A</c:v>
                </c:pt>
                <c:pt idx="726">
                  <c:v>#N/A</c:v>
                </c:pt>
                <c:pt idx="727">
                  <c:v>#N/A</c:v>
                </c:pt>
                <c:pt idx="728">
                  <c:v>1998</c:v>
                </c:pt>
                <c:pt idx="729">
                  <c:v>#N/A</c:v>
                </c:pt>
                <c:pt idx="730">
                  <c:v>2017</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2021</c:v>
                </c:pt>
                <c:pt idx="745">
                  <c:v>2000</c:v>
                </c:pt>
                <c:pt idx="746">
                  <c:v>#N/A</c:v>
                </c:pt>
                <c:pt idx="747">
                  <c:v>#N/A</c:v>
                </c:pt>
                <c:pt idx="748">
                  <c:v>2014</c:v>
                </c:pt>
                <c:pt idx="749">
                  <c:v>2013</c:v>
                </c:pt>
                <c:pt idx="750">
                  <c:v>#N/A</c:v>
                </c:pt>
                <c:pt idx="751">
                  <c:v>#N/A</c:v>
                </c:pt>
                <c:pt idx="752">
                  <c:v>#N/A</c:v>
                </c:pt>
                <c:pt idx="753">
                  <c:v>#N/A</c:v>
                </c:pt>
                <c:pt idx="754">
                  <c:v>#N/A</c:v>
                </c:pt>
                <c:pt idx="755">
                  <c:v>2004</c:v>
                </c:pt>
                <c:pt idx="756">
                  <c:v>#N/A</c:v>
                </c:pt>
                <c:pt idx="757">
                  <c:v>#N/A</c:v>
                </c:pt>
                <c:pt idx="758">
                  <c:v>#N/A</c:v>
                </c:pt>
                <c:pt idx="759">
                  <c:v>#N/A</c:v>
                </c:pt>
                <c:pt idx="760">
                  <c:v>#N/A</c:v>
                </c:pt>
                <c:pt idx="761">
                  <c:v>#N/A</c:v>
                </c:pt>
                <c:pt idx="762">
                  <c:v>#N/A</c:v>
                </c:pt>
                <c:pt idx="763">
                  <c:v>2014</c:v>
                </c:pt>
                <c:pt idx="764">
                  <c:v>#N/A</c:v>
                </c:pt>
                <c:pt idx="765">
                  <c:v>#N/A</c:v>
                </c:pt>
                <c:pt idx="766">
                  <c:v>#N/A</c:v>
                </c:pt>
                <c:pt idx="767">
                  <c:v>#N/A</c:v>
                </c:pt>
                <c:pt idx="768">
                  <c:v>#N/A</c:v>
                </c:pt>
                <c:pt idx="769">
                  <c:v>#N/A</c:v>
                </c:pt>
                <c:pt idx="770">
                  <c:v>#N/A</c:v>
                </c:pt>
                <c:pt idx="771">
                  <c:v>#N/A</c:v>
                </c:pt>
                <c:pt idx="772">
                  <c:v>#N/A</c:v>
                </c:pt>
                <c:pt idx="773">
                  <c:v>#N/A</c:v>
                </c:pt>
                <c:pt idx="774">
                  <c:v>1999</c:v>
                </c:pt>
                <c:pt idx="775">
                  <c:v>2002</c:v>
                </c:pt>
                <c:pt idx="776">
                  <c:v>1993</c:v>
                </c:pt>
                <c:pt idx="777">
                  <c:v>2025</c:v>
                </c:pt>
                <c:pt idx="778">
                  <c:v>2024</c:v>
                </c:pt>
                <c:pt idx="779">
                  <c:v>2021</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2012</c:v>
                </c:pt>
                <c:pt idx="793">
                  <c:v>2021</c:v>
                </c:pt>
                <c:pt idx="794">
                  <c:v>#N/A</c:v>
                </c:pt>
                <c:pt idx="795">
                  <c:v>#N/A</c:v>
                </c:pt>
                <c:pt idx="796">
                  <c:v>#N/A</c:v>
                </c:pt>
                <c:pt idx="797">
                  <c:v>#N/A</c:v>
                </c:pt>
                <c:pt idx="798">
                  <c:v>#N/A</c:v>
                </c:pt>
                <c:pt idx="799">
                  <c:v>#N/A</c:v>
                </c:pt>
                <c:pt idx="800">
                  <c:v>#N/A</c:v>
                </c:pt>
                <c:pt idx="801">
                  <c:v>1992</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1998</c:v>
                </c:pt>
                <c:pt idx="819">
                  <c:v>#N/A</c:v>
                </c:pt>
                <c:pt idx="820">
                  <c:v>#N/A</c:v>
                </c:pt>
                <c:pt idx="821">
                  <c:v>#N/A</c:v>
                </c:pt>
                <c:pt idx="822">
                  <c:v>2023</c:v>
                </c:pt>
                <c:pt idx="823">
                  <c:v>#N/A</c:v>
                </c:pt>
                <c:pt idx="824">
                  <c:v>#N/A</c:v>
                </c:pt>
                <c:pt idx="825">
                  <c:v>2011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2017</c:v>
                </c:pt>
                <c:pt idx="851">
                  <c:v>2010</c:v>
                </c:pt>
                <c:pt idx="852">
                  <c:v>1994</c:v>
                </c:pt>
                <c:pt idx="853">
                  <c:v>#N/A</c:v>
                </c:pt>
                <c:pt idx="854">
                  <c:v>#N/A</c:v>
                </c:pt>
                <c:pt idx="855">
                  <c:v>#N/A</c:v>
                </c:pt>
                <c:pt idx="856">
                  <c:v>2025</c:v>
                </c:pt>
                <c:pt idx="857">
                  <c:v>#N/A</c:v>
                </c:pt>
                <c:pt idx="858">
                  <c:v>#N/A</c:v>
                </c:pt>
                <c:pt idx="859">
                  <c:v>2022</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4.5060000000000002</c:v>
                </c:pt>
                <c:pt idx="192">
                  <c:v>#N/A</c:v>
                </c:pt>
                <c:pt idx="193">
                  <c:v>#N/A</c:v>
                </c:pt>
                <c:pt idx="194">
                  <c:v>#N/A</c:v>
                </c:pt>
                <c:pt idx="195">
                  <c:v>4.5979999999999999</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4.4370000000000003</c:v>
                </c:pt>
                <c:pt idx="223">
                  <c:v>#N/A</c:v>
                </c:pt>
                <c:pt idx="224">
                  <c:v>#N/A</c:v>
                </c:pt>
                <c:pt idx="225">
                  <c:v>#N/A</c:v>
                </c:pt>
                <c:pt idx="226">
                  <c:v>4.5289999999999999</c:v>
                </c:pt>
                <c:pt idx="227">
                  <c:v>4.5519999999999996</c:v>
                </c:pt>
                <c:pt idx="228">
                  <c:v>4.5750000000000002</c:v>
                </c:pt>
                <c:pt idx="229">
                  <c:v>#N/A</c:v>
                </c:pt>
                <c:pt idx="230">
                  <c:v>#N/A</c:v>
                </c:pt>
                <c:pt idx="231">
                  <c:v>#N/A</c:v>
                </c:pt>
                <c:pt idx="232">
                  <c:v>#N/A</c:v>
                </c:pt>
                <c:pt idx="233">
                  <c:v>#N/A</c:v>
                </c:pt>
                <c:pt idx="234">
                  <c:v>#N/A</c:v>
                </c:pt>
                <c:pt idx="235">
                  <c:v>#N/A</c:v>
                </c:pt>
                <c:pt idx="236">
                  <c:v>4.7590000000000003</c:v>
                </c:pt>
                <c:pt idx="237">
                  <c:v>#N/A</c:v>
                </c:pt>
                <c:pt idx="238">
                  <c:v>4.0229999999999997</c:v>
                </c:pt>
                <c:pt idx="239">
                  <c:v>#N/A</c:v>
                </c:pt>
                <c:pt idx="240">
                  <c:v>4.069</c:v>
                </c:pt>
                <c:pt idx="241">
                  <c:v>#N/A</c:v>
                </c:pt>
                <c:pt idx="242">
                  <c:v>4.1150000000000002</c:v>
                </c:pt>
                <c:pt idx="243">
                  <c:v>#N/A</c:v>
                </c:pt>
                <c:pt idx="244">
                  <c:v>#N/A</c:v>
                </c:pt>
                <c:pt idx="245">
                  <c:v>4.1840000000000002</c:v>
                </c:pt>
                <c:pt idx="246">
                  <c:v>#N/A</c:v>
                </c:pt>
                <c:pt idx="247">
                  <c:v>#N/A</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#N/A</c:v>
                </c:pt>
                <c:pt idx="262">
                  <c:v>4.5750000000000002</c:v>
                </c:pt>
                <c:pt idx="263">
                  <c:v>4.5979999999999999</c:v>
                </c:pt>
                <c:pt idx="264">
                  <c:v>4.6210000000000004</c:v>
                </c:pt>
                <c:pt idx="265">
                  <c:v>#N/A</c:v>
                </c:pt>
                <c:pt idx="266">
                  <c:v>#N/A</c:v>
                </c:pt>
                <c:pt idx="267">
                  <c:v>#N/A</c:v>
                </c:pt>
                <c:pt idx="268">
                  <c:v>#N/A</c:v>
                </c:pt>
                <c:pt idx="269">
                  <c:v>#N/A</c:v>
                </c:pt>
                <c:pt idx="270">
                  <c:v>4.7590000000000003</c:v>
                </c:pt>
                <c:pt idx="271">
                  <c:v>#N/A</c:v>
                </c:pt>
                <c:pt idx="272">
                  <c:v>#N/A</c:v>
                </c:pt>
                <c:pt idx="273">
                  <c:v>#N/A</c:v>
                </c:pt>
                <c:pt idx="274">
                  <c:v>4.069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4.391</c:v>
                </c:pt>
                <c:pt idx="289">
                  <c:v>#N/A</c:v>
                </c:pt>
                <c:pt idx="290">
                  <c:v>#N/A</c:v>
                </c:pt>
                <c:pt idx="291">
                  <c:v>#N/A</c:v>
                </c:pt>
                <c:pt idx="292">
                  <c:v>4.4829999999999997</c:v>
                </c:pt>
                <c:pt idx="293">
                  <c:v>4.5060000000000002</c:v>
                </c:pt>
                <c:pt idx="294">
                  <c:v>#N/A</c:v>
                </c:pt>
                <c:pt idx="295">
                  <c:v>#N/A</c:v>
                </c:pt>
                <c:pt idx="296">
                  <c:v>#N/A</c:v>
                </c:pt>
                <c:pt idx="297">
                  <c:v>#N/A</c:v>
                </c:pt>
                <c:pt idx="298">
                  <c:v>4.6210000000000004</c:v>
                </c:pt>
                <c:pt idx="299">
                  <c:v>4.6440000000000001</c:v>
                </c:pt>
                <c:pt idx="300">
                  <c:v>4.6669999999999998</c:v>
                </c:pt>
                <c:pt idx="301">
                  <c:v>#N/A</c:v>
                </c:pt>
                <c:pt idx="302">
                  <c:v>#N/A</c:v>
                </c:pt>
                <c:pt idx="303">
                  <c:v>#N/A</c:v>
                </c:pt>
                <c:pt idx="304">
                  <c:v>#N/A</c:v>
                </c:pt>
                <c:pt idx="305">
                  <c:v>#N/A</c:v>
                </c:pt>
                <c:pt idx="306">
                  <c:v>4.0229999999999997</c:v>
                </c:pt>
                <c:pt idx="307">
                  <c:v>#N/A</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4.5979999999999999</c:v>
                </c:pt>
                <c:pt idx="332">
                  <c:v>4.6210000000000004</c:v>
                </c:pt>
                <c:pt idx="333">
                  <c:v>#N/A</c:v>
                </c:pt>
                <c:pt idx="334">
                  <c:v>#N/A</c:v>
                </c:pt>
                <c:pt idx="335">
                  <c:v>#N/A</c:v>
                </c:pt>
                <c:pt idx="336">
                  <c:v>#N/A</c:v>
                </c:pt>
                <c:pt idx="337">
                  <c:v>#N/A</c:v>
                </c:pt>
                <c:pt idx="338">
                  <c:v>#N/A</c:v>
                </c:pt>
                <c:pt idx="339">
                  <c:v>#N/A</c:v>
                </c:pt>
                <c:pt idx="340">
                  <c:v>#N/A</c:v>
                </c:pt>
                <c:pt idx="341">
                  <c:v>4.0460000000000003</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4.4829999999999997</c:v>
                </c:pt>
                <c:pt idx="361">
                  <c:v>4.5060000000000002</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#N/A</c:v>
                </c:pt>
                <c:pt idx="379">
                  <c:v>#N/A</c:v>
                </c:pt>
                <c:pt idx="380">
                  <c:v>#N/A</c:v>
                </c:pt>
                <c:pt idx="381">
                  <c:v>#N/A</c:v>
                </c:pt>
                <c:pt idx="382">
                  <c:v>4.2069999999999999</c:v>
                </c:pt>
                <c:pt idx="383">
                  <c:v>4.2300000000000004</c:v>
                </c:pt>
                <c:pt idx="384">
                  <c:v>4.2530000000000001</c:v>
                </c:pt>
                <c:pt idx="385">
                  <c:v>#N/A</c:v>
                </c:pt>
                <c:pt idx="386">
                  <c:v>#N/A</c:v>
                </c:pt>
                <c:pt idx="387">
                  <c:v>4.3220000000000001</c:v>
                </c:pt>
                <c:pt idx="388">
                  <c:v>#N/A</c:v>
                </c:pt>
                <c:pt idx="389">
                  <c:v>#N/A</c:v>
                </c:pt>
                <c:pt idx="390">
                  <c:v>#N/A</c:v>
                </c:pt>
                <c:pt idx="391">
                  <c:v>4.4139999999999997</c:v>
                </c:pt>
                <c:pt idx="392">
                  <c:v>#N/A</c:v>
                </c:pt>
                <c:pt idx="393">
                  <c:v>#N/A</c:v>
                </c:pt>
                <c:pt idx="394">
                  <c:v>#N/A</c:v>
                </c:pt>
                <c:pt idx="395">
                  <c:v>#N/A</c:v>
                </c:pt>
                <c:pt idx="396">
                  <c:v>#N/A</c:v>
                </c:pt>
                <c:pt idx="397">
                  <c:v>#N/A</c:v>
                </c:pt>
                <c:pt idx="398">
                  <c:v>#N/A</c:v>
                </c:pt>
                <c:pt idx="399">
                  <c:v>#N/A</c:v>
                </c:pt>
                <c:pt idx="400">
                  <c:v>4.6210000000000004</c:v>
                </c:pt>
                <c:pt idx="401">
                  <c:v>#N/A</c:v>
                </c:pt>
                <c:pt idx="402">
                  <c:v>4.6669999999999998</c:v>
                </c:pt>
                <c:pt idx="403">
                  <c:v>4.6899999999999995</c:v>
                </c:pt>
                <c:pt idx="404">
                  <c:v>#N/A</c:v>
                </c:pt>
                <c:pt idx="405">
                  <c:v>#N/A</c:v>
                </c:pt>
                <c:pt idx="406">
                  <c:v>#N/A</c:v>
                </c:pt>
                <c:pt idx="407">
                  <c:v>#N/A</c:v>
                </c:pt>
                <c:pt idx="408">
                  <c:v>4.0229999999999997</c:v>
                </c:pt>
                <c:pt idx="409">
                  <c:v>#N/A</c:v>
                </c:pt>
                <c:pt idx="410">
                  <c:v>#N/A</c:v>
                </c:pt>
                <c:pt idx="411">
                  <c:v>#N/A</c:v>
                </c:pt>
                <c:pt idx="412">
                  <c:v>#N/A</c:v>
                </c:pt>
                <c:pt idx="413">
                  <c:v>#N/A</c:v>
                </c:pt>
                <c:pt idx="414">
                  <c:v>#N/A</c:v>
                </c:pt>
                <c:pt idx="415">
                  <c:v>#N/A</c:v>
                </c:pt>
                <c:pt idx="416">
                  <c:v>4.2069999999999999</c:v>
                </c:pt>
                <c:pt idx="417">
                  <c:v>#N/A</c:v>
                </c:pt>
                <c:pt idx="418">
                  <c:v>#N/A</c:v>
                </c:pt>
                <c:pt idx="419">
                  <c:v>#N/A</c:v>
                </c:pt>
                <c:pt idx="420">
                  <c:v>4.2990000000000004</c:v>
                </c:pt>
                <c:pt idx="421">
                  <c:v>#N/A</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4.1379999999999999</c:v>
                </c:pt>
                <c:pt idx="448">
                  <c:v>4.1609999999999996</c:v>
                </c:pt>
                <c:pt idx="449">
                  <c:v>4.1840000000000002</c:v>
                </c:pt>
                <c:pt idx="450">
                  <c:v>#N/A</c:v>
                </c:pt>
                <c:pt idx="451">
                  <c:v>#N/A</c:v>
                </c:pt>
                <c:pt idx="452">
                  <c:v>#N/A</c:v>
                </c:pt>
                <c:pt idx="453">
                  <c:v>4.2759999999999998</c:v>
                </c:pt>
                <c:pt idx="454">
                  <c:v>4.2990000000000004</c:v>
                </c:pt>
                <c:pt idx="455">
                  <c:v>4.3220000000000001</c:v>
                </c:pt>
                <c:pt idx="456">
                  <c:v>4.3449999999999998</c:v>
                </c:pt>
                <c:pt idx="457">
                  <c:v>#N/A</c:v>
                </c:pt>
                <c:pt idx="458">
                  <c:v>#N/A</c:v>
                </c:pt>
                <c:pt idx="459">
                  <c:v>#N/A</c:v>
                </c:pt>
                <c:pt idx="460">
                  <c:v>#N/A</c:v>
                </c:pt>
                <c:pt idx="461">
                  <c:v>#N/A</c:v>
                </c:pt>
                <c:pt idx="462">
                  <c:v>#N/A</c:v>
                </c:pt>
                <c:pt idx="463">
                  <c:v>#N/A</c:v>
                </c:pt>
                <c:pt idx="464">
                  <c:v>#N/A</c:v>
                </c:pt>
                <c:pt idx="465">
                  <c:v>#N/A</c:v>
                </c:pt>
                <c:pt idx="466">
                  <c:v>#N/A</c:v>
                </c:pt>
                <c:pt idx="467">
                  <c:v>4.5979999999999999</c:v>
                </c:pt>
                <c:pt idx="468">
                  <c:v>#N/A</c:v>
                </c:pt>
                <c:pt idx="469">
                  <c:v>4.6440000000000001</c:v>
                </c:pt>
                <c:pt idx="470">
                  <c:v>#N/A</c:v>
                </c:pt>
                <c:pt idx="471">
                  <c:v>#N/A</c:v>
                </c:pt>
                <c:pt idx="472">
                  <c:v>#N/A</c:v>
                </c:pt>
                <c:pt idx="473">
                  <c:v>#N/A</c:v>
                </c:pt>
                <c:pt idx="474">
                  <c:v>#N/A</c:v>
                </c:pt>
                <c:pt idx="475">
                  <c:v>4</c:v>
                </c:pt>
                <c:pt idx="476">
                  <c:v>#N/A</c:v>
                </c:pt>
                <c:pt idx="477">
                  <c:v>#N/A</c:v>
                </c:pt>
                <c:pt idx="478">
                  <c:v>#N/A</c:v>
                </c:pt>
                <c:pt idx="479">
                  <c:v>4.0919999999999996</c:v>
                </c:pt>
                <c:pt idx="480">
                  <c:v>4.1150000000000002</c:v>
                </c:pt>
                <c:pt idx="481">
                  <c:v>#N/A</c:v>
                </c:pt>
                <c:pt idx="482">
                  <c:v>#N/A</c:v>
                </c:pt>
                <c:pt idx="483">
                  <c:v>#N/A</c:v>
                </c:pt>
                <c:pt idx="484">
                  <c:v>#N/A</c:v>
                </c:pt>
                <c:pt idx="485">
                  <c:v>#N/A</c:v>
                </c:pt>
                <c:pt idx="486">
                  <c:v>#N/A</c:v>
                </c:pt>
                <c:pt idx="487">
                  <c:v>#N/A</c:v>
                </c:pt>
                <c:pt idx="488">
                  <c:v>#N/A</c:v>
                </c:pt>
                <c:pt idx="489">
                  <c:v>#N/A</c:v>
                </c:pt>
                <c:pt idx="490">
                  <c:v>4.3449999999999998</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4.1609999999999996</c:v>
                </c:pt>
                <c:pt idx="517">
                  <c:v>4.1840000000000002</c:v>
                </c:pt>
                <c:pt idx="518">
                  <c:v>4.2069999999999999</c:v>
                </c:pt>
                <c:pt idx="519">
                  <c:v>4.2300000000000004</c:v>
                </c:pt>
                <c:pt idx="520">
                  <c:v>#N/A</c:v>
                </c:pt>
                <c:pt idx="521">
                  <c:v>#N/A</c:v>
                </c:pt>
                <c:pt idx="522">
                  <c:v>4.2990000000000004</c:v>
                </c:pt>
                <c:pt idx="523">
                  <c:v>4.3220000000000001</c:v>
                </c:pt>
                <c:pt idx="524">
                  <c:v>#N/A</c:v>
                </c:pt>
                <c:pt idx="525">
                  <c:v>#N/A</c:v>
                </c:pt>
                <c:pt idx="526">
                  <c:v>#N/A</c:v>
                </c:pt>
                <c:pt idx="527">
                  <c:v>#N/A</c:v>
                </c:pt>
                <c:pt idx="528">
                  <c:v>4.4370000000000003</c:v>
                </c:pt>
                <c:pt idx="529">
                  <c:v>#N/A</c:v>
                </c:pt>
                <c:pt idx="530">
                  <c:v>4.4829999999999997</c:v>
                </c:pt>
                <c:pt idx="531">
                  <c:v>#N/A</c:v>
                </c:pt>
                <c:pt idx="532">
                  <c:v>#N/A</c:v>
                </c:pt>
                <c:pt idx="533">
                  <c:v>#N/A</c:v>
                </c:pt>
                <c:pt idx="534">
                  <c:v>4.5750000000000002</c:v>
                </c:pt>
                <c:pt idx="535">
                  <c:v>#N/A</c:v>
                </c:pt>
                <c:pt idx="536">
                  <c:v>4.6210000000000004</c:v>
                </c:pt>
                <c:pt idx="537">
                  <c:v>#N/A</c:v>
                </c:pt>
                <c:pt idx="538">
                  <c:v>#N/A</c:v>
                </c:pt>
                <c:pt idx="539">
                  <c:v>#N/A</c:v>
                </c:pt>
                <c:pt idx="540">
                  <c:v>#N/A</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4.2530000000000001</c:v>
                </c:pt>
                <c:pt idx="555">
                  <c:v>4.2759999999999998</c:v>
                </c:pt>
                <c:pt idx="556">
                  <c:v>4.2990000000000004</c:v>
                </c:pt>
                <c:pt idx="557">
                  <c:v>4.3220000000000001</c:v>
                </c:pt>
                <c:pt idx="558">
                  <c:v>4.3449999999999998</c:v>
                </c:pt>
                <c:pt idx="559">
                  <c:v>4.3680000000000003</c:v>
                </c:pt>
                <c:pt idx="560">
                  <c:v>#N/A</c:v>
                </c:pt>
                <c:pt idx="561">
                  <c:v>#N/A</c:v>
                </c:pt>
                <c:pt idx="562">
                  <c:v>#N/A</c:v>
                </c:pt>
                <c:pt idx="563">
                  <c:v>4.46</c:v>
                </c:pt>
                <c:pt idx="564">
                  <c:v>#N/A</c:v>
                </c:pt>
                <c:pt idx="565">
                  <c:v>#N/A</c:v>
                </c:pt>
                <c:pt idx="566">
                  <c:v>#N/A</c:v>
                </c:pt>
                <c:pt idx="567">
                  <c:v>4.5519999999999996</c:v>
                </c:pt>
                <c:pt idx="568">
                  <c:v>4.5750000000000002</c:v>
                </c:pt>
                <c:pt idx="569">
                  <c:v>#N/A</c:v>
                </c:pt>
                <c:pt idx="570">
                  <c:v>#N/A</c:v>
                </c:pt>
                <c:pt idx="571">
                  <c:v>#N/A</c:v>
                </c:pt>
                <c:pt idx="572">
                  <c:v>4.6669999999999998</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#N/A</c:v>
                </c:pt>
                <c:pt idx="592">
                  <c:v>#N/A</c:v>
                </c:pt>
                <c:pt idx="593">
                  <c:v>#N/A</c:v>
                </c:pt>
                <c:pt idx="594">
                  <c:v>#N/A</c:v>
                </c:pt>
                <c:pt idx="595">
                  <c:v>#N/A</c:v>
                </c:pt>
                <c:pt idx="596">
                  <c:v>#N/A</c:v>
                </c:pt>
                <c:pt idx="597">
                  <c:v>#N/A</c:v>
                </c:pt>
                <c:pt idx="598">
                  <c:v>#N/A</c:v>
                </c:pt>
                <c:pt idx="599">
                  <c:v>#N/A</c:v>
                </c:pt>
                <c:pt idx="600">
                  <c:v>#N/A</c:v>
                </c:pt>
                <c:pt idx="601">
                  <c:v>4.5519999999999996</c:v>
                </c:pt>
                <c:pt idx="602">
                  <c:v>#N/A</c:v>
                </c:pt>
                <c:pt idx="603">
                  <c:v>4.5979999999999999</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4.1150000000000002</c:v>
                </c:pt>
                <c:pt idx="617">
                  <c:v>#N/A</c:v>
                </c:pt>
                <c:pt idx="618">
                  <c:v>4.1609999999999996</c:v>
                </c:pt>
                <c:pt idx="619">
                  <c:v>#N/A</c:v>
                </c:pt>
                <c:pt idx="620">
                  <c:v>#N/A</c:v>
                </c:pt>
                <c:pt idx="621">
                  <c:v>#N/A</c:v>
                </c:pt>
                <c:pt idx="622">
                  <c:v>#N/A</c:v>
                </c:pt>
                <c:pt idx="623">
                  <c:v>#N/A</c:v>
                </c:pt>
                <c:pt idx="624">
                  <c:v>#N/A</c:v>
                </c:pt>
                <c:pt idx="625">
                  <c:v>#N/A</c:v>
                </c:pt>
                <c:pt idx="626">
                  <c:v>#N/A</c:v>
                </c:pt>
                <c:pt idx="627">
                  <c:v>#N/A</c:v>
                </c:pt>
                <c:pt idx="628">
                  <c:v>#N/A</c:v>
                </c:pt>
                <c:pt idx="629">
                  <c:v>4.4139999999999997</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#N/A</c:v>
                </c:pt>
                <c:pt idx="644">
                  <c:v>4.7590000000000003</c:v>
                </c:pt>
                <c:pt idx="645">
                  <c:v>#N/A</c:v>
                </c:pt>
                <c:pt idx="646">
                  <c:v>4.0229999999999997</c:v>
                </c:pt>
                <c:pt idx="647">
                  <c:v>4.0460000000000003</c:v>
                </c:pt>
                <c:pt idx="648">
                  <c:v>4.069</c:v>
                </c:pt>
                <c:pt idx="649">
                  <c:v>4.0919999999999996</c:v>
                </c:pt>
                <c:pt idx="650">
                  <c:v>4.1150000000000002</c:v>
                </c:pt>
                <c:pt idx="651">
                  <c:v>4.1379999999999999</c:v>
                </c:pt>
                <c:pt idx="652">
                  <c:v>4.1609999999999996</c:v>
                </c:pt>
                <c:pt idx="653">
                  <c:v>4.1840000000000002</c:v>
                </c:pt>
                <c:pt idx="654">
                  <c:v>#N/A</c:v>
                </c:pt>
                <c:pt idx="655">
                  <c:v>#N/A</c:v>
                </c:pt>
                <c:pt idx="656">
                  <c:v>#N/A</c:v>
                </c:pt>
                <c:pt idx="657">
                  <c:v>#N/A</c:v>
                </c:pt>
                <c:pt idx="658">
                  <c:v>4.2990000000000004</c:v>
                </c:pt>
                <c:pt idx="659">
                  <c:v>#N/A</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4.1840000000000002</c:v>
                </c:pt>
                <c:pt idx="722">
                  <c:v>#N/A</c:v>
                </c:pt>
                <c:pt idx="723">
                  <c:v>#N/A</c:v>
                </c:pt>
                <c:pt idx="724">
                  <c:v>#N/A</c:v>
                </c:pt>
                <c:pt idx="725">
                  <c:v>#N/A</c:v>
                </c:pt>
                <c:pt idx="726">
                  <c:v>#N/A</c:v>
                </c:pt>
                <c:pt idx="727">
                  <c:v>#N/A</c:v>
                </c:pt>
                <c:pt idx="728">
                  <c:v>#N/A</c:v>
                </c:pt>
                <c:pt idx="729">
                  <c:v>4.3680000000000003</c:v>
                </c:pt>
                <c:pt idx="730">
                  <c:v>#N/A</c:v>
                </c:pt>
                <c:pt idx="731">
                  <c:v>4.4139999999999997</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4.0460000000000003</c:v>
                </c:pt>
                <c:pt idx="750">
                  <c:v>4.069</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4.6899999999999995</c:v>
                </c:pt>
                <c:pt idx="778">
                  <c:v>4.7130000000000001</c:v>
                </c:pt>
                <c:pt idx="779">
                  <c:v>4.7359999999999998</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4.2759999999999998</c:v>
                </c:pt>
                <c:pt idx="794">
                  <c:v>4.2990000000000004</c:v>
                </c:pt>
                <c:pt idx="795">
                  <c:v>#N/A</c:v>
                </c:pt>
                <c:pt idx="796">
                  <c:v>#N/A</c:v>
                </c:pt>
                <c:pt idx="797">
                  <c:v>#N/A</c:v>
                </c:pt>
                <c:pt idx="798">
                  <c:v>#N/A</c:v>
                </c:pt>
                <c:pt idx="799">
                  <c:v>#N/A</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4.1840000000000002</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4.0460000000000003</c:v>
                </c:pt>
                <c:pt idx="852">
                  <c:v>4.069</c:v>
                </c:pt>
                <c:pt idx="853">
                  <c:v>4.0919999999999996</c:v>
                </c:pt>
                <c:pt idx="854">
                  <c:v>#N/A</c:v>
                </c:pt>
                <c:pt idx="855">
                  <c:v>#N/A</c:v>
                </c:pt>
                <c:pt idx="856">
                  <c:v>#N/A</c:v>
                </c:pt>
                <c:pt idx="857">
                  <c:v>4.1840000000000002</c:v>
                </c:pt>
                <c:pt idx="858">
                  <c:v>#N/A</c:v>
                </c:pt>
                <c:pt idx="859">
                  <c:v>#N/A</c:v>
                </c:pt>
                <c:pt idx="860">
                  <c:v>4.2530000000000001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2" totalsRowShown="0">
  <autoFilter ref="A1:J862" xr:uid="{00000000-0009-0000-0100-000001000000}"/>
  <sortState xmlns:xlrd2="http://schemas.microsoft.com/office/spreadsheetml/2017/richdata2" ref="A2:J861">
    <sortCondition ref="A848:A86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7" totalsRowShown="0">
  <autoFilter ref="A1:E1247"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table" Target="../tables/table1.xm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table" Target="../tables/table2.xm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2"/>
  <sheetViews>
    <sheetView topLeftCell="A818" zoomScaleNormal="100" workbookViewId="0">
      <selection activeCell="F865" sqref="F86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726</v>
      </c>
      <c r="B165">
        <v>2020</v>
      </c>
      <c r="C165" t="s">
        <v>176</v>
      </c>
      <c r="D165" t="b">
        <f>TRUE()</f>
        <v>1</v>
      </c>
      <c r="E165" t="b">
        <f>COUNTIF(connections!A:A, A165) &gt; 0</f>
        <v>1</v>
      </c>
      <c r="G165" t="s">
        <v>727</v>
      </c>
      <c r="H165" t="s">
        <v>187</v>
      </c>
      <c r="I165" t="s">
        <v>728</v>
      </c>
      <c r="J165" s="1" t="s">
        <v>729</v>
      </c>
    </row>
    <row r="166" spans="1:10" ht="15" customHeight="1" x14ac:dyDescent="0.25">
      <c r="A166" t="s">
        <v>730</v>
      </c>
      <c r="B166">
        <v>2026</v>
      </c>
      <c r="C166" t="s">
        <v>222</v>
      </c>
      <c r="D166" t="b">
        <f>TRUE()</f>
        <v>1</v>
      </c>
      <c r="E166" t="b">
        <f>COUNTIF(connections!A:A, A166) &gt; 0</f>
        <v>0</v>
      </c>
      <c r="F166" t="s">
        <v>731</v>
      </c>
      <c r="G166" t="s">
        <v>732</v>
      </c>
    </row>
    <row r="167" spans="1:10" ht="15" customHeight="1" x14ac:dyDescent="0.25">
      <c r="A167" t="s">
        <v>733</v>
      </c>
      <c r="B167">
        <v>2023</v>
      </c>
      <c r="C167" t="s">
        <v>176</v>
      </c>
      <c r="D167" t="b">
        <f>FALSE()</f>
        <v>0</v>
      </c>
      <c r="E167" t="b">
        <f>COUNTIF(connections!A:A, A167) &gt; 0</f>
        <v>0</v>
      </c>
      <c r="G167" t="s">
        <v>734</v>
      </c>
      <c r="H167" t="s">
        <v>187</v>
      </c>
      <c r="I167" t="s">
        <v>735</v>
      </c>
      <c r="J167" s="1" t="s">
        <v>736</v>
      </c>
    </row>
    <row r="168" spans="1:10" ht="15" customHeight="1" x14ac:dyDescent="0.25">
      <c r="A168" t="s">
        <v>737</v>
      </c>
      <c r="B168">
        <v>2019</v>
      </c>
      <c r="C168" t="s">
        <v>176</v>
      </c>
      <c r="D168" t="b">
        <f>TRUE()</f>
        <v>1</v>
      </c>
      <c r="E168" t="b">
        <f>COUNTIF(connections!A:A, A168) &gt; 0</f>
        <v>1</v>
      </c>
      <c r="G168" t="s">
        <v>738</v>
      </c>
      <c r="H168" t="s">
        <v>187</v>
      </c>
      <c r="I168" t="s">
        <v>739</v>
      </c>
      <c r="J168" s="1" t="s">
        <v>740</v>
      </c>
    </row>
    <row r="169" spans="1:10" ht="15" customHeight="1" x14ac:dyDescent="0.25">
      <c r="A169" t="s">
        <v>741</v>
      </c>
      <c r="B169">
        <v>2026</v>
      </c>
      <c r="C169" t="s">
        <v>176</v>
      </c>
      <c r="D169" t="b">
        <f>TRUE()</f>
        <v>1</v>
      </c>
      <c r="E169" t="b">
        <f>COUNTIF(connections!A:A, A169) &gt; 0</f>
        <v>0</v>
      </c>
      <c r="G169" t="s">
        <v>742</v>
      </c>
      <c r="J169" s="11" t="s">
        <v>743</v>
      </c>
    </row>
    <row r="170" spans="1:10" ht="15" customHeight="1" x14ac:dyDescent="0.25">
      <c r="A170" t="s">
        <v>744</v>
      </c>
      <c r="B170">
        <v>2025</v>
      </c>
      <c r="C170" t="s">
        <v>176</v>
      </c>
      <c r="D170" t="b">
        <f>TRUE()</f>
        <v>1</v>
      </c>
      <c r="E170" t="b">
        <f>COUNTIF(connections!A:A, A170) &gt; 0</f>
        <v>0</v>
      </c>
      <c r="G170" t="s">
        <v>745</v>
      </c>
    </row>
    <row r="171" spans="1:10" ht="15" customHeight="1" x14ac:dyDescent="0.25">
      <c r="A171" t="s">
        <v>746</v>
      </c>
      <c r="B171">
        <v>2015</v>
      </c>
      <c r="C171" t="s">
        <v>222</v>
      </c>
      <c r="D171" t="b">
        <f>TRUE()</f>
        <v>1</v>
      </c>
      <c r="E171" t="b">
        <f>COUNTIF(connections!A:A, A171) &gt; 0</f>
        <v>1</v>
      </c>
      <c r="G171" t="s">
        <v>747</v>
      </c>
      <c r="H171" t="s">
        <v>187</v>
      </c>
      <c r="I171" t="s">
        <v>748</v>
      </c>
      <c r="J171" s="1" t="s">
        <v>749</v>
      </c>
    </row>
    <row r="172" spans="1:10" ht="15" customHeight="1" x14ac:dyDescent="0.25">
      <c r="A172" t="s">
        <v>750</v>
      </c>
      <c r="B172">
        <v>2023</v>
      </c>
      <c r="C172" t="s">
        <v>222</v>
      </c>
      <c r="D172" t="b">
        <f>TRUE()</f>
        <v>1</v>
      </c>
      <c r="E172" t="b">
        <f>COUNTIF(connections!A:A, A172) &gt; 0</f>
        <v>0</v>
      </c>
      <c r="G172" t="s">
        <v>751</v>
      </c>
      <c r="H172" t="s">
        <v>187</v>
      </c>
      <c r="I172" t="s">
        <v>752</v>
      </c>
      <c r="J172" s="1" t="s">
        <v>753</v>
      </c>
    </row>
    <row r="173" spans="1:10" ht="15" customHeight="1" x14ac:dyDescent="0.25">
      <c r="A173" t="s">
        <v>754</v>
      </c>
      <c r="B173">
        <v>2022</v>
      </c>
      <c r="C173" t="s">
        <v>176</v>
      </c>
      <c r="D173" t="b">
        <f>TRUE()</f>
        <v>1</v>
      </c>
      <c r="E173" t="b">
        <f>COUNTIF(connections!A:A, A173) &gt; 0</f>
        <v>1</v>
      </c>
      <c r="F173" t="s">
        <v>755</v>
      </c>
      <c r="G173" t="s">
        <v>756</v>
      </c>
      <c r="H173" t="s">
        <v>187</v>
      </c>
      <c r="I173" t="s">
        <v>757</v>
      </c>
      <c r="J173" s="1" t="s">
        <v>758</v>
      </c>
    </row>
    <row r="174" spans="1:10" ht="15" customHeight="1" x14ac:dyDescent="0.25">
      <c r="A174" t="s">
        <v>759</v>
      </c>
      <c r="B174">
        <v>2018</v>
      </c>
      <c r="C174" t="s">
        <v>176</v>
      </c>
      <c r="D174" t="b">
        <f>TRUE()</f>
        <v>1</v>
      </c>
      <c r="E174" t="b">
        <f>COUNTIF(connections!A:A, A174) &gt; 0</f>
        <v>1</v>
      </c>
      <c r="G174" t="s">
        <v>760</v>
      </c>
      <c r="H174" t="s">
        <v>187</v>
      </c>
      <c r="I174" t="s">
        <v>761</v>
      </c>
      <c r="J174" s="1" t="s">
        <v>762</v>
      </c>
    </row>
    <row r="175" spans="1:10" ht="15" customHeight="1" x14ac:dyDescent="0.25">
      <c r="A175" t="s">
        <v>763</v>
      </c>
      <c r="B175">
        <v>2020</v>
      </c>
      <c r="C175" t="s">
        <v>176</v>
      </c>
      <c r="D175" t="b">
        <f>TRUE()</f>
        <v>1</v>
      </c>
      <c r="E175" t="b">
        <f>COUNTIF(connections!A:A, A175) &gt; 0</f>
        <v>0</v>
      </c>
      <c r="F175" t="s">
        <v>458</v>
      </c>
      <c r="G175" t="s">
        <v>764</v>
      </c>
      <c r="H175" t="s">
        <v>187</v>
      </c>
      <c r="I175" t="s">
        <v>765</v>
      </c>
      <c r="J175" s="1" t="s">
        <v>766</v>
      </c>
    </row>
    <row r="176" spans="1:10" ht="15" customHeight="1" x14ac:dyDescent="0.25">
      <c r="A176" t="s">
        <v>767</v>
      </c>
      <c r="B176">
        <v>2025</v>
      </c>
      <c r="C176" t="s">
        <v>182</v>
      </c>
      <c r="D176" t="b">
        <f>TRUE()</f>
        <v>1</v>
      </c>
      <c r="E176" t="b">
        <f>COUNTIF(connections!A:A, A176) &gt; 0</f>
        <v>0</v>
      </c>
      <c r="F176" t="s">
        <v>315</v>
      </c>
      <c r="G176" t="s">
        <v>768</v>
      </c>
      <c r="H176" t="s">
        <v>187</v>
      </c>
      <c r="I176" t="s">
        <v>769</v>
      </c>
      <c r="J176" s="1" t="s">
        <v>770</v>
      </c>
    </row>
    <row r="177" spans="1:10" ht="15" customHeight="1" x14ac:dyDescent="0.25">
      <c r="A177" t="s">
        <v>771</v>
      </c>
      <c r="B177">
        <v>2026</v>
      </c>
      <c r="C177" t="s">
        <v>222</v>
      </c>
      <c r="D177" t="b">
        <f>TRUE()</f>
        <v>1</v>
      </c>
      <c r="E177" t="b">
        <f>COUNTIF(connections!A:A, A177) &gt; 0</f>
        <v>0</v>
      </c>
      <c r="G177" t="s">
        <v>772</v>
      </c>
      <c r="J177" s="11" t="s">
        <v>773</v>
      </c>
    </row>
    <row r="178" spans="1:10" ht="15" customHeight="1" x14ac:dyDescent="0.25">
      <c r="A178" t="s">
        <v>774</v>
      </c>
      <c r="B178">
        <v>2025</v>
      </c>
      <c r="C178" t="s">
        <v>176</v>
      </c>
      <c r="D178" t="b">
        <f>FALSE()</f>
        <v>0</v>
      </c>
      <c r="E178" t="b">
        <f>COUNTIF(connections!A:A, A178) &gt; 0</f>
        <v>0</v>
      </c>
      <c r="F178" t="s">
        <v>458</v>
      </c>
      <c r="G178" t="s">
        <v>775</v>
      </c>
    </row>
    <row r="179" spans="1:10" ht="15" customHeight="1" x14ac:dyDescent="0.25">
      <c r="A179" t="s">
        <v>776</v>
      </c>
      <c r="B179">
        <v>2025</v>
      </c>
      <c r="C179" t="s">
        <v>176</v>
      </c>
      <c r="D179" t="b">
        <f>FALSE()</f>
        <v>0</v>
      </c>
      <c r="E179" t="b">
        <f>COUNTIF(connections!A:A, A179) &gt; 0</f>
        <v>0</v>
      </c>
      <c r="G179" t="s">
        <v>777</v>
      </c>
    </row>
    <row r="180" spans="1:10" ht="15" customHeight="1" x14ac:dyDescent="0.25">
      <c r="A180" t="s">
        <v>778</v>
      </c>
      <c r="B180">
        <v>2023</v>
      </c>
      <c r="C180" t="s">
        <v>176</v>
      </c>
      <c r="D180" t="b">
        <f>TRUE()</f>
        <v>1</v>
      </c>
      <c r="E180" t="b">
        <f>COUNTIF(connections!A:A, A180) &gt; 0</f>
        <v>1</v>
      </c>
      <c r="F180" t="s">
        <v>199</v>
      </c>
      <c r="G180" t="s">
        <v>779</v>
      </c>
      <c r="H180" t="s">
        <v>187</v>
      </c>
      <c r="I180" t="s">
        <v>780</v>
      </c>
      <c r="J180" s="1" t="s">
        <v>781</v>
      </c>
    </row>
    <row r="181" spans="1:10" ht="15" customHeight="1" x14ac:dyDescent="0.25">
      <c r="A181" t="s">
        <v>782</v>
      </c>
      <c r="B181">
        <v>2016</v>
      </c>
      <c r="C181" t="s">
        <v>176</v>
      </c>
      <c r="D181" t="b">
        <f>TRUE()</f>
        <v>1</v>
      </c>
      <c r="E181" t="b">
        <f>COUNTIF(connections!A:A, A181) &gt; 0</f>
        <v>0</v>
      </c>
      <c r="F181" t="s">
        <v>458</v>
      </c>
      <c r="G181" t="s">
        <v>783</v>
      </c>
      <c r="H181" t="s">
        <v>187</v>
      </c>
      <c r="I181" t="s">
        <v>784</v>
      </c>
      <c r="J181" s="1" t="s">
        <v>785</v>
      </c>
    </row>
    <row r="182" spans="1:10" ht="15" customHeight="1" x14ac:dyDescent="0.25">
      <c r="A182" t="s">
        <v>786</v>
      </c>
      <c r="B182">
        <v>2023</v>
      </c>
      <c r="C182" t="s">
        <v>182</v>
      </c>
      <c r="D182" t="b">
        <f>TRUE()</f>
        <v>1</v>
      </c>
      <c r="E182" t="b">
        <f>COUNTIF(connections!A:A, A182) &gt; 0</f>
        <v>1</v>
      </c>
      <c r="F182" t="s">
        <v>787</v>
      </c>
      <c r="G182" t="s">
        <v>788</v>
      </c>
      <c r="H182" t="s">
        <v>187</v>
      </c>
      <c r="I182" t="s">
        <v>789</v>
      </c>
      <c r="J182" s="1" t="s">
        <v>790</v>
      </c>
    </row>
    <row r="183" spans="1:10" ht="15" customHeight="1" x14ac:dyDescent="0.25">
      <c r="A183" t="s">
        <v>791</v>
      </c>
      <c r="B183">
        <v>2014</v>
      </c>
      <c r="C183" t="s">
        <v>176</v>
      </c>
      <c r="D183" t="b">
        <v>1</v>
      </c>
      <c r="E183" t="b">
        <f>COUNTIF(connections!A:A, A183) &gt; 0</f>
        <v>0</v>
      </c>
      <c r="G183" t="s">
        <v>792</v>
      </c>
      <c r="H183" t="s">
        <v>187</v>
      </c>
      <c r="I183" t="s">
        <v>793</v>
      </c>
      <c r="J183" s="11" t="s">
        <v>794</v>
      </c>
    </row>
    <row r="184" spans="1:10" ht="15" customHeight="1" x14ac:dyDescent="0.25">
      <c r="A184" t="s">
        <v>795</v>
      </c>
      <c r="B184">
        <v>2019</v>
      </c>
      <c r="C184" t="s">
        <v>182</v>
      </c>
      <c r="D184" t="b">
        <f>TRUE()</f>
        <v>1</v>
      </c>
      <c r="E184" t="b">
        <f>COUNTIF(connections!A:A, A184) &gt; 0</f>
        <v>0</v>
      </c>
      <c r="G184" t="s">
        <v>796</v>
      </c>
      <c r="H184" t="s">
        <v>187</v>
      </c>
      <c r="I184" t="s">
        <v>797</v>
      </c>
      <c r="J184" s="1" t="s">
        <v>798</v>
      </c>
    </row>
    <row r="185" spans="1:10" ht="15" customHeight="1" x14ac:dyDescent="0.25">
      <c r="A185" t="s">
        <v>799</v>
      </c>
      <c r="B185">
        <v>2025</v>
      </c>
      <c r="C185" t="s">
        <v>182</v>
      </c>
      <c r="D185" t="b">
        <f>TRUE()</f>
        <v>1</v>
      </c>
      <c r="E185" t="b">
        <f>COUNTIF(connections!A:A, A185) &gt; 0</f>
        <v>0</v>
      </c>
      <c r="G185" t="s">
        <v>800</v>
      </c>
      <c r="H185" t="s">
        <v>187</v>
      </c>
      <c r="I185" t="s">
        <v>801</v>
      </c>
      <c r="J185" s="1" t="s">
        <v>802</v>
      </c>
    </row>
    <row r="186" spans="1:10" ht="15" customHeight="1" x14ac:dyDescent="0.25">
      <c r="A186" t="s">
        <v>803</v>
      </c>
      <c r="B186">
        <v>2025</v>
      </c>
      <c r="C186" t="s">
        <v>182</v>
      </c>
      <c r="D186" t="b">
        <f>TRUE()</f>
        <v>1</v>
      </c>
      <c r="E186" t="b">
        <f>COUNTIF(connections!A:A, A186) &gt; 0</f>
        <v>0</v>
      </c>
      <c r="G186" t="s">
        <v>804</v>
      </c>
      <c r="H186" t="s">
        <v>187</v>
      </c>
      <c r="I186" t="s">
        <v>805</v>
      </c>
      <c r="J186" s="1" t="s">
        <v>806</v>
      </c>
    </row>
    <row r="187" spans="1:10" ht="15" customHeight="1" x14ac:dyDescent="0.25">
      <c r="A187" t="s">
        <v>807</v>
      </c>
      <c r="B187">
        <v>2014</v>
      </c>
      <c r="C187" t="s">
        <v>176</v>
      </c>
      <c r="D187" t="b">
        <f>TRUE()</f>
        <v>1</v>
      </c>
      <c r="E187" t="b">
        <f>COUNTIF(connections!A:A, A187) &gt; 0</f>
        <v>0</v>
      </c>
      <c r="G187" t="s">
        <v>808</v>
      </c>
      <c r="H187" t="s">
        <v>187</v>
      </c>
      <c r="I187" t="s">
        <v>809</v>
      </c>
      <c r="J187" s="1" t="s">
        <v>810</v>
      </c>
    </row>
    <row r="188" spans="1:10" ht="15" customHeight="1" x14ac:dyDescent="0.25">
      <c r="A188" t="s">
        <v>811</v>
      </c>
      <c r="B188">
        <v>2024</v>
      </c>
      <c r="C188" t="s">
        <v>176</v>
      </c>
      <c r="D188" t="b">
        <f>TRUE()</f>
        <v>1</v>
      </c>
      <c r="E188" t="b">
        <f>COUNTIF(connections!A:A, A188) &gt; 0</f>
        <v>1</v>
      </c>
      <c r="F188" t="s">
        <v>617</v>
      </c>
      <c r="G188" t="s">
        <v>812</v>
      </c>
    </row>
    <row r="189" spans="1:10" ht="15" customHeight="1" x14ac:dyDescent="0.25">
      <c r="A189" t="s">
        <v>813</v>
      </c>
      <c r="B189">
        <v>2018</v>
      </c>
      <c r="C189" t="s">
        <v>182</v>
      </c>
      <c r="D189" t="b">
        <f>TRUE()</f>
        <v>1</v>
      </c>
      <c r="E189" t="b">
        <f>COUNTIF(connections!A:A, A189) &gt; 0</f>
        <v>1</v>
      </c>
      <c r="G189" t="s">
        <v>814</v>
      </c>
    </row>
    <row r="190" spans="1:10" ht="15" customHeight="1" x14ac:dyDescent="0.25">
      <c r="A190" t="s">
        <v>815</v>
      </c>
      <c r="B190">
        <v>2021</v>
      </c>
      <c r="C190" t="s">
        <v>182</v>
      </c>
      <c r="D190" t="b">
        <f>TRUE()</f>
        <v>1</v>
      </c>
      <c r="E190" t="b">
        <f>COUNTIF(connections!A:A, A190) &gt; 0</f>
        <v>0</v>
      </c>
      <c r="G190" t="s">
        <v>816</v>
      </c>
      <c r="H190" t="s">
        <v>187</v>
      </c>
      <c r="I190" t="s">
        <v>817</v>
      </c>
      <c r="J190" s="1" t="s">
        <v>818</v>
      </c>
    </row>
    <row r="191" spans="1:10" ht="15" customHeight="1" x14ac:dyDescent="0.25">
      <c r="A191" t="s">
        <v>819</v>
      </c>
      <c r="B191">
        <v>2012</v>
      </c>
      <c r="C191" t="s">
        <v>176</v>
      </c>
      <c r="D191" t="b">
        <f>FALSE()</f>
        <v>0</v>
      </c>
      <c r="E191" t="b">
        <f>COUNTIF(connections!A:A, A191) &gt; 0</f>
        <v>0</v>
      </c>
      <c r="G191" t="s">
        <v>820</v>
      </c>
    </row>
    <row r="192" spans="1:10" ht="15" customHeight="1" x14ac:dyDescent="0.25">
      <c r="A192" t="s">
        <v>821</v>
      </c>
      <c r="B192">
        <v>2026</v>
      </c>
      <c r="C192" t="s">
        <v>179</v>
      </c>
      <c r="D192" t="b">
        <f>TRUE()</f>
        <v>1</v>
      </c>
      <c r="E192" t="b">
        <f>COUNTIF(connections!A:A, A192) &gt; 0</f>
        <v>0</v>
      </c>
      <c r="F192" t="s">
        <v>822</v>
      </c>
      <c r="G192" t="s">
        <v>823</v>
      </c>
      <c r="H192" t="s">
        <v>187</v>
      </c>
      <c r="I192" t="s">
        <v>824</v>
      </c>
      <c r="J192" s="1" t="s">
        <v>825</v>
      </c>
    </row>
    <row r="193" spans="1:10" ht="15" customHeight="1" x14ac:dyDescent="0.25">
      <c r="A193" t="s">
        <v>826</v>
      </c>
      <c r="B193">
        <v>2019</v>
      </c>
      <c r="C193" t="s">
        <v>222</v>
      </c>
      <c r="D193" t="b">
        <f>TRUE()</f>
        <v>1</v>
      </c>
      <c r="E193" t="b">
        <f>COUNTIF(connections!A:A, A193) &gt; 0</f>
        <v>1</v>
      </c>
      <c r="G193" t="s">
        <v>827</v>
      </c>
    </row>
    <row r="194" spans="1:10" ht="15" customHeight="1" x14ac:dyDescent="0.25">
      <c r="A194" t="s">
        <v>828</v>
      </c>
      <c r="B194">
        <v>2025</v>
      </c>
      <c r="C194" t="s">
        <v>182</v>
      </c>
      <c r="D194" t="b">
        <f>TRUE()</f>
        <v>1</v>
      </c>
      <c r="E194" t="b">
        <f>COUNTIF(connections!A:A, A194) &gt; 0</f>
        <v>0</v>
      </c>
      <c r="F194" t="s">
        <v>271</v>
      </c>
      <c r="G194" t="s">
        <v>829</v>
      </c>
      <c r="H194" t="s">
        <v>187</v>
      </c>
      <c r="I194" t="s">
        <v>830</v>
      </c>
      <c r="J194" s="1" t="s">
        <v>831</v>
      </c>
    </row>
    <row r="195" spans="1:10" ht="15" customHeight="1" x14ac:dyDescent="0.25">
      <c r="A195" t="s">
        <v>832</v>
      </c>
      <c r="B195">
        <v>2022</v>
      </c>
      <c r="C195" t="s">
        <v>222</v>
      </c>
      <c r="D195" t="b">
        <f>FALSE()</f>
        <v>0</v>
      </c>
      <c r="E195" t="b">
        <f>COUNTIF(connections!A:A, A195) &gt; 0</f>
        <v>0</v>
      </c>
      <c r="G195" t="s">
        <v>833</v>
      </c>
      <c r="H195" t="s">
        <v>187</v>
      </c>
      <c r="I195" t="s">
        <v>834</v>
      </c>
      <c r="J195" s="1" t="s">
        <v>835</v>
      </c>
    </row>
    <row r="196" spans="1:10" ht="15" customHeight="1" x14ac:dyDescent="0.25">
      <c r="A196" t="s">
        <v>836</v>
      </c>
      <c r="B196">
        <v>2010</v>
      </c>
      <c r="C196" t="s">
        <v>179</v>
      </c>
      <c r="D196" t="b">
        <f>TRUE()</f>
        <v>1</v>
      </c>
      <c r="E196" t="b">
        <f>COUNTIF(connections!A:A, A196) &gt; 0</f>
        <v>1</v>
      </c>
      <c r="G196" t="s">
        <v>837</v>
      </c>
    </row>
    <row r="197" spans="1:10" ht="15" customHeight="1" x14ac:dyDescent="0.25">
      <c r="A197" t="s">
        <v>838</v>
      </c>
      <c r="B197">
        <v>2025</v>
      </c>
      <c r="C197" t="s">
        <v>176</v>
      </c>
      <c r="D197" t="b">
        <f>TRUE()</f>
        <v>1</v>
      </c>
      <c r="E197" t="b">
        <f>COUNTIF(connections!A:A, A197) &gt; 0</f>
        <v>0</v>
      </c>
      <c r="G197" t="s">
        <v>839</v>
      </c>
      <c r="H197" t="s">
        <v>187</v>
      </c>
      <c r="I197" t="s">
        <v>840</v>
      </c>
      <c r="J197" s="1" t="s">
        <v>841</v>
      </c>
    </row>
    <row r="198" spans="1:10" ht="15" customHeight="1" x14ac:dyDescent="0.25">
      <c r="A198" t="s">
        <v>842</v>
      </c>
      <c r="B198">
        <v>2021</v>
      </c>
      <c r="C198" t="s">
        <v>176</v>
      </c>
      <c r="D198" t="b">
        <f>TRUE()</f>
        <v>1</v>
      </c>
      <c r="E198" t="b">
        <f>COUNTIF(connections!A:A, A198) &gt; 0</f>
        <v>1</v>
      </c>
      <c r="G198" t="s">
        <v>843</v>
      </c>
      <c r="H198" t="s">
        <v>187</v>
      </c>
      <c r="I198" t="s">
        <v>844</v>
      </c>
      <c r="J198" s="1" t="s">
        <v>845</v>
      </c>
    </row>
    <row r="199" spans="1:10" ht="15" customHeight="1" x14ac:dyDescent="0.25">
      <c r="A199" t="s">
        <v>846</v>
      </c>
      <c r="B199">
        <v>2019</v>
      </c>
      <c r="C199" t="s">
        <v>176</v>
      </c>
      <c r="D199" t="b">
        <f>TRUE()</f>
        <v>1</v>
      </c>
      <c r="E199" t="b">
        <f>COUNTIF(connections!A:A, A199) &gt; 0</f>
        <v>0</v>
      </c>
      <c r="G199" t="s">
        <v>847</v>
      </c>
    </row>
    <row r="200" spans="1:10" ht="15" customHeight="1" x14ac:dyDescent="0.25">
      <c r="A200" t="s">
        <v>848</v>
      </c>
      <c r="B200">
        <v>1996</v>
      </c>
      <c r="C200" t="s">
        <v>176</v>
      </c>
      <c r="D200" t="b">
        <f>TRUE()</f>
        <v>1</v>
      </c>
      <c r="E200" t="b">
        <f>COUNTIF(connections!A:A, A200) &gt; 0</f>
        <v>1</v>
      </c>
      <c r="G200" t="s">
        <v>849</v>
      </c>
      <c r="H200" t="s">
        <v>187</v>
      </c>
      <c r="I200" t="s">
        <v>850</v>
      </c>
    </row>
    <row r="201" spans="1:10" ht="15" customHeight="1" x14ac:dyDescent="0.25">
      <c r="A201" t="s">
        <v>851</v>
      </c>
      <c r="B201">
        <v>2024</v>
      </c>
      <c r="C201" t="s">
        <v>182</v>
      </c>
      <c r="D201" t="b">
        <f>TRUE()</f>
        <v>1</v>
      </c>
      <c r="E201" t="b">
        <f>COUNTIF(connections!A:A, A201) &gt; 0</f>
        <v>0</v>
      </c>
      <c r="F201" t="s">
        <v>315</v>
      </c>
      <c r="G201" t="s">
        <v>852</v>
      </c>
      <c r="H201" t="s">
        <v>187</v>
      </c>
      <c r="I201" t="s">
        <v>853</v>
      </c>
      <c r="J201" s="1" t="s">
        <v>854</v>
      </c>
    </row>
    <row r="202" spans="1:10" ht="15" customHeight="1" x14ac:dyDescent="0.25">
      <c r="A202" t="s">
        <v>855</v>
      </c>
      <c r="B202">
        <v>2026</v>
      </c>
      <c r="C202" t="s">
        <v>182</v>
      </c>
      <c r="D202" t="b">
        <f>TRUE()</f>
        <v>1</v>
      </c>
      <c r="E202" t="b">
        <f>COUNTIF(connections!A:A, A202) &gt; 0</f>
        <v>0</v>
      </c>
      <c r="F202" t="s">
        <v>315</v>
      </c>
      <c r="G202" t="s">
        <v>856</v>
      </c>
    </row>
    <row r="203" spans="1:10" ht="15" customHeight="1" x14ac:dyDescent="0.25">
      <c r="A203" t="s">
        <v>857</v>
      </c>
      <c r="B203">
        <v>2025</v>
      </c>
      <c r="C203" t="s">
        <v>182</v>
      </c>
      <c r="D203" t="b">
        <f>TRUE()</f>
        <v>1</v>
      </c>
      <c r="E203" t="b">
        <f>COUNTIF(connections!A:A, A203) &gt; 0</f>
        <v>0</v>
      </c>
      <c r="G203" t="s">
        <v>858</v>
      </c>
      <c r="J203" s="11" t="s">
        <v>859</v>
      </c>
    </row>
    <row r="204" spans="1:10" ht="15" customHeight="1" x14ac:dyDescent="0.25">
      <c r="A204" t="s">
        <v>860</v>
      </c>
      <c r="B204">
        <v>2025</v>
      </c>
      <c r="C204" t="s">
        <v>222</v>
      </c>
      <c r="D204" t="b">
        <f>FALSE()</f>
        <v>0</v>
      </c>
      <c r="E204" t="b">
        <f>COUNTIF(connections!A:A, A204) &gt; 0</f>
        <v>0</v>
      </c>
      <c r="F204" t="s">
        <v>315</v>
      </c>
      <c r="G204" t="s">
        <v>861</v>
      </c>
      <c r="H204" t="s">
        <v>187</v>
      </c>
      <c r="I204" t="s">
        <v>862</v>
      </c>
      <c r="J204" s="11" t="s">
        <v>863</v>
      </c>
    </row>
    <row r="205" spans="1:10" ht="15" customHeight="1" x14ac:dyDescent="0.25">
      <c r="A205" t="s">
        <v>864</v>
      </c>
      <c r="B205">
        <v>2025</v>
      </c>
      <c r="C205" t="s">
        <v>182</v>
      </c>
      <c r="D205" t="b">
        <f>TRUE()</f>
        <v>1</v>
      </c>
      <c r="E205" t="b">
        <f>COUNTIF(connections!A:A, A205) &gt; 0</f>
        <v>0</v>
      </c>
      <c r="F205" t="s">
        <v>315</v>
      </c>
      <c r="G205" t="s">
        <v>865</v>
      </c>
    </row>
    <row r="206" spans="1:10" ht="15" customHeight="1" x14ac:dyDescent="0.25">
      <c r="A206" t="s">
        <v>866</v>
      </c>
      <c r="B206">
        <v>2024</v>
      </c>
      <c r="C206" t="s">
        <v>182</v>
      </c>
      <c r="D206" t="b">
        <f>TRUE()</f>
        <v>1</v>
      </c>
      <c r="E206" t="b">
        <f>COUNTIF(connections!A:A, A206) &gt; 0</f>
        <v>0</v>
      </c>
      <c r="F206" t="s">
        <v>315</v>
      </c>
      <c r="G206" t="s">
        <v>867</v>
      </c>
      <c r="H206" t="s">
        <v>187</v>
      </c>
      <c r="I206" t="s">
        <v>868</v>
      </c>
      <c r="J206" s="11" t="s">
        <v>869</v>
      </c>
    </row>
    <row r="207" spans="1:10" ht="15" customHeight="1" x14ac:dyDescent="0.25">
      <c r="A207" t="s">
        <v>870</v>
      </c>
      <c r="B207">
        <v>2024</v>
      </c>
      <c r="C207" t="s">
        <v>182</v>
      </c>
      <c r="D207" t="b">
        <f>FALSE()</f>
        <v>0</v>
      </c>
      <c r="E207" t="b">
        <f>COUNTIF(connections!A:A, A207) &gt; 0</f>
        <v>0</v>
      </c>
      <c r="F207" t="s">
        <v>315</v>
      </c>
      <c r="G207" t="s">
        <v>871</v>
      </c>
      <c r="H207" t="s">
        <v>187</v>
      </c>
      <c r="I207" t="s">
        <v>872</v>
      </c>
      <c r="J207" s="1" t="s">
        <v>873</v>
      </c>
    </row>
    <row r="208" spans="1:10" ht="15" customHeight="1" x14ac:dyDescent="0.25">
      <c r="A208" t="s">
        <v>874</v>
      </c>
      <c r="B208">
        <v>2019</v>
      </c>
      <c r="C208" t="s">
        <v>182</v>
      </c>
      <c r="D208" t="b">
        <f>TRUE()</f>
        <v>1</v>
      </c>
      <c r="E208" t="b">
        <f>COUNTIF(connections!A:A, A208) &gt; 0</f>
        <v>1</v>
      </c>
      <c r="F208" t="s">
        <v>315</v>
      </c>
      <c r="G208" t="s">
        <v>875</v>
      </c>
      <c r="H208" t="s">
        <v>187</v>
      </c>
      <c r="I208" t="s">
        <v>876</v>
      </c>
      <c r="J208" s="1" t="s">
        <v>877</v>
      </c>
    </row>
    <row r="209" spans="1:10" ht="15" customHeight="1" x14ac:dyDescent="0.25">
      <c r="A209" t="s">
        <v>878</v>
      </c>
      <c r="B209">
        <v>2025</v>
      </c>
      <c r="C209" t="s">
        <v>182</v>
      </c>
      <c r="D209" t="b">
        <f>TRUE()</f>
        <v>1</v>
      </c>
      <c r="E209" t="b">
        <f>COUNTIF(connections!A:A, A209) &gt; 0</f>
        <v>0</v>
      </c>
      <c r="F209" t="s">
        <v>315</v>
      </c>
      <c r="G209" t="s">
        <v>879</v>
      </c>
    </row>
    <row r="210" spans="1:10" ht="15" customHeight="1" x14ac:dyDescent="0.25">
      <c r="A210" t="s">
        <v>880</v>
      </c>
      <c r="B210">
        <v>2025</v>
      </c>
      <c r="C210" t="s">
        <v>182</v>
      </c>
      <c r="D210" t="b">
        <f>TRUE()</f>
        <v>1</v>
      </c>
      <c r="E210" t="b">
        <f>COUNTIF(connections!A:A, A210) &gt; 0</f>
        <v>0</v>
      </c>
      <c r="F210" t="s">
        <v>315</v>
      </c>
      <c r="G210" t="s">
        <v>881</v>
      </c>
      <c r="H210" t="s">
        <v>187</v>
      </c>
      <c r="I210" t="s">
        <v>882</v>
      </c>
      <c r="J210" s="1" t="s">
        <v>883</v>
      </c>
    </row>
    <row r="211" spans="1:10" ht="15" customHeight="1" x14ac:dyDescent="0.25">
      <c r="A211" t="s">
        <v>884</v>
      </c>
      <c r="B211">
        <v>2021</v>
      </c>
      <c r="C211" t="s">
        <v>176</v>
      </c>
      <c r="D211" t="b">
        <f>FALSE()</f>
        <v>0</v>
      </c>
      <c r="E211" t="b">
        <f>COUNTIF(connections!A:A, A211) &gt; 0</f>
        <v>0</v>
      </c>
      <c r="G211" t="s">
        <v>885</v>
      </c>
      <c r="H211" t="s">
        <v>187</v>
      </c>
      <c r="I211" t="s">
        <v>886</v>
      </c>
      <c r="J211" s="1" t="s">
        <v>887</v>
      </c>
    </row>
    <row r="212" spans="1:10" ht="15" customHeight="1" x14ac:dyDescent="0.25">
      <c r="A212" t="s">
        <v>888</v>
      </c>
      <c r="B212">
        <v>2024</v>
      </c>
      <c r="C212" t="s">
        <v>182</v>
      </c>
      <c r="D212" t="b">
        <f>TRUE()</f>
        <v>1</v>
      </c>
      <c r="E212" t="b">
        <f>COUNTIF(connections!A:A, A212) &gt; 0</f>
        <v>0</v>
      </c>
      <c r="G212" t="s">
        <v>889</v>
      </c>
    </row>
    <row r="213" spans="1:10" ht="15" customHeight="1" x14ac:dyDescent="0.25">
      <c r="A213" t="s">
        <v>890</v>
      </c>
      <c r="B213">
        <v>2023</v>
      </c>
      <c r="C213" t="s">
        <v>176</v>
      </c>
      <c r="D213" t="b">
        <f>TRUE()</f>
        <v>1</v>
      </c>
      <c r="E213" t="b">
        <f>COUNTIF(connections!A:A, A213) &gt; 0</f>
        <v>0</v>
      </c>
      <c r="G213" t="s">
        <v>891</v>
      </c>
      <c r="H213" t="s">
        <v>187</v>
      </c>
      <c r="I213" t="s">
        <v>892</v>
      </c>
      <c r="J213" s="1" t="s">
        <v>893</v>
      </c>
    </row>
    <row r="214" spans="1:10" ht="15" customHeight="1" x14ac:dyDescent="0.25">
      <c r="A214" t="s">
        <v>894</v>
      </c>
      <c r="B214">
        <v>2026</v>
      </c>
      <c r="C214" t="s">
        <v>176</v>
      </c>
      <c r="D214" t="b">
        <f>TRUE()</f>
        <v>1</v>
      </c>
      <c r="E214" t="b">
        <f>COUNTIF(connections!A:A, A214) &gt; 0</f>
        <v>0</v>
      </c>
      <c r="G214" t="s">
        <v>895</v>
      </c>
      <c r="J214" s="11" t="s">
        <v>896</v>
      </c>
    </row>
    <row r="215" spans="1:10" ht="15" customHeight="1" x14ac:dyDescent="0.25">
      <c r="A215" t="s">
        <v>897</v>
      </c>
      <c r="B215">
        <v>2024</v>
      </c>
      <c r="C215" t="s">
        <v>182</v>
      </c>
      <c r="D215" t="b">
        <f>TRUE()</f>
        <v>1</v>
      </c>
      <c r="E215" t="b">
        <f>COUNTIF(connections!A:A, A215) &gt; 0</f>
        <v>0</v>
      </c>
      <c r="G215" t="s">
        <v>898</v>
      </c>
    </row>
    <row r="216" spans="1:10" ht="15" customHeight="1" x14ac:dyDescent="0.25">
      <c r="A216" t="s">
        <v>899</v>
      </c>
      <c r="B216">
        <v>2025</v>
      </c>
      <c r="C216" t="s">
        <v>182</v>
      </c>
      <c r="D216" t="b">
        <f>TRUE()</f>
        <v>1</v>
      </c>
      <c r="E216" t="b">
        <f>COUNTIF(connections!A:A, A216) &gt; 0</f>
        <v>0</v>
      </c>
      <c r="G216" t="s">
        <v>900</v>
      </c>
    </row>
    <row r="217" spans="1:10" ht="15" customHeight="1" x14ac:dyDescent="0.25">
      <c r="A217" t="s">
        <v>901</v>
      </c>
      <c r="B217">
        <v>2025</v>
      </c>
      <c r="C217" t="s">
        <v>182</v>
      </c>
      <c r="D217" t="b">
        <f>TRUE()</f>
        <v>1</v>
      </c>
      <c r="E217" t="b">
        <f>COUNTIF(connections!A:A, A217) &gt; 0</f>
        <v>0</v>
      </c>
      <c r="G217" t="s">
        <v>902</v>
      </c>
      <c r="H217" t="s">
        <v>187</v>
      </c>
      <c r="I217" t="s">
        <v>903</v>
      </c>
      <c r="J217" s="1" t="s">
        <v>904</v>
      </c>
    </row>
    <row r="218" spans="1:10" ht="15" customHeight="1" x14ac:dyDescent="0.25">
      <c r="A218" t="s">
        <v>905</v>
      </c>
      <c r="B218">
        <v>2022</v>
      </c>
      <c r="C218" t="s">
        <v>222</v>
      </c>
      <c r="D218" t="b">
        <f>TRUE()</f>
        <v>1</v>
      </c>
      <c r="E218" t="b">
        <f>COUNTIF(connections!A:A, A218) &gt; 0</f>
        <v>1</v>
      </c>
      <c r="F218" t="s">
        <v>906</v>
      </c>
      <c r="G218" t="s">
        <v>907</v>
      </c>
      <c r="H218" t="s">
        <v>187</v>
      </c>
      <c r="I218" t="s">
        <v>908</v>
      </c>
      <c r="J218" s="1" t="s">
        <v>909</v>
      </c>
    </row>
    <row r="219" spans="1:10" ht="15" customHeight="1" x14ac:dyDescent="0.25">
      <c r="A219" t="s">
        <v>910</v>
      </c>
      <c r="B219">
        <v>2026</v>
      </c>
      <c r="C219" t="s">
        <v>222</v>
      </c>
      <c r="D219" t="b">
        <f>TRUE()</f>
        <v>1</v>
      </c>
      <c r="E219" t="b">
        <f>COUNTIF(connections!A:A, A219) &gt; 0</f>
        <v>0</v>
      </c>
      <c r="G219" t="s">
        <v>911</v>
      </c>
      <c r="J219" s="11" t="s">
        <v>912</v>
      </c>
    </row>
    <row r="220" spans="1:10" ht="15" customHeight="1" x14ac:dyDescent="0.25">
      <c r="A220" t="s">
        <v>913</v>
      </c>
      <c r="B220">
        <v>2026</v>
      </c>
      <c r="C220" t="s">
        <v>176</v>
      </c>
      <c r="D220" t="b">
        <f>FALSE()</f>
        <v>0</v>
      </c>
      <c r="E220" t="b">
        <f>COUNTIF(connections!A:A, A220) &gt; 0</f>
        <v>0</v>
      </c>
      <c r="G220" t="s">
        <v>914</v>
      </c>
    </row>
    <row r="221" spans="1:10" ht="15" customHeight="1" x14ac:dyDescent="0.25">
      <c r="A221" t="s">
        <v>915</v>
      </c>
      <c r="B221">
        <v>2013</v>
      </c>
      <c r="C221" t="s">
        <v>176</v>
      </c>
      <c r="D221" t="b">
        <f>TRUE()</f>
        <v>1</v>
      </c>
      <c r="E221" t="b">
        <f>COUNTIF(connections!A:A, A221) &gt; 0</f>
        <v>1</v>
      </c>
      <c r="G221" t="s">
        <v>916</v>
      </c>
      <c r="H221" t="s">
        <v>187</v>
      </c>
      <c r="I221" t="s">
        <v>917</v>
      </c>
      <c r="J221" s="1" t="s">
        <v>918</v>
      </c>
    </row>
    <row r="222" spans="1:10" ht="15" customHeight="1" x14ac:dyDescent="0.25">
      <c r="A222" t="s">
        <v>919</v>
      </c>
      <c r="B222">
        <v>2014</v>
      </c>
      <c r="C222" t="s">
        <v>176</v>
      </c>
      <c r="D222" t="b">
        <f>TRUE()</f>
        <v>1</v>
      </c>
      <c r="E222" t="b">
        <f>COUNTIF(connections!A:A, A222) &gt; 0</f>
        <v>0</v>
      </c>
      <c r="G222" t="s">
        <v>920</v>
      </c>
      <c r="H222" t="s">
        <v>187</v>
      </c>
      <c r="I222" t="s">
        <v>921</v>
      </c>
      <c r="J222" s="1" t="s">
        <v>922</v>
      </c>
    </row>
    <row r="223" spans="1:10" ht="15" customHeight="1" x14ac:dyDescent="0.25">
      <c r="A223" t="s">
        <v>923</v>
      </c>
      <c r="B223">
        <v>2002</v>
      </c>
      <c r="C223" t="s">
        <v>179</v>
      </c>
      <c r="D223" t="b">
        <f>TRUE()</f>
        <v>1</v>
      </c>
      <c r="E223" t="b">
        <f>COUNTIF(connections!A:A, A223) &gt; 0</f>
        <v>1</v>
      </c>
      <c r="G223" t="s">
        <v>924</v>
      </c>
    </row>
    <row r="224" spans="1:10" ht="15" customHeight="1" x14ac:dyDescent="0.25">
      <c r="A224" t="s">
        <v>925</v>
      </c>
      <c r="B224">
        <v>2019</v>
      </c>
      <c r="C224" t="s">
        <v>222</v>
      </c>
      <c r="D224" t="b">
        <f>TRUE()</f>
        <v>1</v>
      </c>
      <c r="E224" t="b">
        <f>COUNTIF(connections!A:A, A224) &gt; 0</f>
        <v>1</v>
      </c>
      <c r="G224" t="s">
        <v>926</v>
      </c>
    </row>
    <row r="225" spans="1:10" ht="15" customHeight="1" x14ac:dyDescent="0.25">
      <c r="A225" t="s">
        <v>927</v>
      </c>
      <c r="B225">
        <v>2023</v>
      </c>
      <c r="C225" t="s">
        <v>176</v>
      </c>
      <c r="D225" t="b">
        <f>FALSE()</f>
        <v>0</v>
      </c>
      <c r="E225" t="b">
        <f>COUNTIF(connections!A:A, A225) &gt; 0</f>
        <v>0</v>
      </c>
      <c r="F225" t="s">
        <v>229</v>
      </c>
      <c r="G225" t="s">
        <v>928</v>
      </c>
      <c r="H225" t="s">
        <v>187</v>
      </c>
      <c r="I225" t="s">
        <v>929</v>
      </c>
      <c r="J225" s="1" t="s">
        <v>930</v>
      </c>
    </row>
    <row r="226" spans="1:10" ht="15" customHeight="1" x14ac:dyDescent="0.25">
      <c r="A226" t="s">
        <v>931</v>
      </c>
      <c r="B226">
        <v>2015</v>
      </c>
      <c r="C226" t="s">
        <v>176</v>
      </c>
      <c r="D226" t="b">
        <f>TRUE()</f>
        <v>1</v>
      </c>
      <c r="E226" t="b">
        <f>COUNTIF(connections!A:A, A226) &gt; 0</f>
        <v>1</v>
      </c>
      <c r="G226" t="s">
        <v>932</v>
      </c>
      <c r="H226" t="s">
        <v>187</v>
      </c>
      <c r="I226" t="s">
        <v>933</v>
      </c>
      <c r="J226" s="1" t="s">
        <v>934</v>
      </c>
    </row>
    <row r="227" spans="1:10" ht="15" customHeight="1" x14ac:dyDescent="0.25">
      <c r="A227" t="s">
        <v>935</v>
      </c>
      <c r="B227">
        <v>1990</v>
      </c>
      <c r="C227" t="s">
        <v>179</v>
      </c>
      <c r="D227" t="b">
        <f>TRUE()</f>
        <v>1</v>
      </c>
      <c r="E227" t="b">
        <f>COUNTIF(connections!A:A, A227) &gt; 0</f>
        <v>0</v>
      </c>
      <c r="G227" t="s">
        <v>936</v>
      </c>
      <c r="H227" t="s">
        <v>187</v>
      </c>
      <c r="I227" t="s">
        <v>937</v>
      </c>
    </row>
    <row r="228" spans="1:10" ht="15" customHeight="1" x14ac:dyDescent="0.25">
      <c r="A228" t="s">
        <v>938</v>
      </c>
      <c r="B228">
        <v>2006</v>
      </c>
      <c r="C228" t="s">
        <v>179</v>
      </c>
      <c r="D228" t="b">
        <f>TRUE()</f>
        <v>1</v>
      </c>
      <c r="E228" t="b">
        <f>COUNTIF(connections!A:A, A228) &gt; 0</f>
        <v>0</v>
      </c>
      <c r="G228" t="s">
        <v>939</v>
      </c>
      <c r="H228" t="s">
        <v>187</v>
      </c>
      <c r="I228" t="s">
        <v>940</v>
      </c>
    </row>
    <row r="229" spans="1:10" ht="15" customHeight="1" x14ac:dyDescent="0.25">
      <c r="A229" t="s">
        <v>941</v>
      </c>
      <c r="B229">
        <v>2003</v>
      </c>
      <c r="C229" t="s">
        <v>179</v>
      </c>
      <c r="D229" t="b">
        <f>TRUE()</f>
        <v>1</v>
      </c>
      <c r="E229" t="b">
        <f>COUNTIF(connections!A:A, A229) &gt; 0</f>
        <v>0</v>
      </c>
      <c r="G229" t="s">
        <v>942</v>
      </c>
    </row>
    <row r="230" spans="1:10" ht="15" customHeight="1" x14ac:dyDescent="0.25">
      <c r="A230" t="s">
        <v>943</v>
      </c>
      <c r="B230">
        <v>2025</v>
      </c>
      <c r="C230" t="s">
        <v>222</v>
      </c>
      <c r="D230" t="b">
        <v>0</v>
      </c>
      <c r="E230" t="b">
        <v>0</v>
      </c>
      <c r="G230" t="s">
        <v>944</v>
      </c>
      <c r="H230" t="s">
        <v>187</v>
      </c>
      <c r="I230" t="s">
        <v>945</v>
      </c>
      <c r="J230" s="11" t="s">
        <v>946</v>
      </c>
    </row>
    <row r="231" spans="1:10" ht="15" customHeight="1" x14ac:dyDescent="0.25">
      <c r="A231" t="s">
        <v>947</v>
      </c>
      <c r="B231">
        <v>2014</v>
      </c>
      <c r="C231" t="s">
        <v>182</v>
      </c>
      <c r="D231" t="b">
        <f>TRUE()</f>
        <v>1</v>
      </c>
      <c r="E231" t="b">
        <f>COUNTIF(connections!A:A, A231) &gt; 0</f>
        <v>1</v>
      </c>
      <c r="G231" t="s">
        <v>948</v>
      </c>
    </row>
    <row r="232" spans="1:10" ht="15" customHeight="1" x14ac:dyDescent="0.25">
      <c r="A232" t="s">
        <v>949</v>
      </c>
      <c r="B232">
        <v>2020</v>
      </c>
      <c r="C232" t="s">
        <v>176</v>
      </c>
      <c r="D232" t="b">
        <f>TRUE()</f>
        <v>1</v>
      </c>
      <c r="E232" t="b">
        <f>COUNTIF(connections!A:A, A232) &gt; 0</f>
        <v>0</v>
      </c>
      <c r="G232" t="s">
        <v>950</v>
      </c>
      <c r="H232" t="s">
        <v>187</v>
      </c>
      <c r="I232" t="s">
        <v>951</v>
      </c>
      <c r="J232" s="1" t="s">
        <v>952</v>
      </c>
    </row>
    <row r="233" spans="1:10" ht="15" customHeight="1" x14ac:dyDescent="0.25">
      <c r="A233" t="s">
        <v>953</v>
      </c>
      <c r="B233">
        <v>2024</v>
      </c>
      <c r="C233" t="s">
        <v>222</v>
      </c>
      <c r="D233" t="b">
        <f>TRUE()</f>
        <v>1</v>
      </c>
      <c r="E233" t="b">
        <f>COUNTIF(connections!A:A, A233) &gt; 0</f>
        <v>0</v>
      </c>
      <c r="F233" t="s">
        <v>617</v>
      </c>
      <c r="G233" t="s">
        <v>954</v>
      </c>
    </row>
    <row r="234" spans="1:10" ht="15" customHeight="1" x14ac:dyDescent="0.25">
      <c r="A234" t="s">
        <v>955</v>
      </c>
      <c r="B234">
        <v>2025</v>
      </c>
      <c r="C234" t="s">
        <v>222</v>
      </c>
      <c r="D234" t="b">
        <f>TRUE()</f>
        <v>1</v>
      </c>
      <c r="E234" t="b">
        <f>COUNTIF(connections!A:A, A234) &gt; 0</f>
        <v>0</v>
      </c>
      <c r="G234" t="s">
        <v>956</v>
      </c>
      <c r="H234" t="s">
        <v>187</v>
      </c>
      <c r="I234" t="s">
        <v>957</v>
      </c>
      <c r="J234" s="11" t="s">
        <v>958</v>
      </c>
    </row>
    <row r="235" spans="1:10" ht="15" customHeight="1" x14ac:dyDescent="0.25">
      <c r="A235" t="s">
        <v>959</v>
      </c>
      <c r="B235">
        <v>2025</v>
      </c>
      <c r="C235" t="s">
        <v>222</v>
      </c>
      <c r="D235" t="b">
        <f>TRUE()</f>
        <v>1</v>
      </c>
      <c r="E235" t="b">
        <f>COUNTIF(connections!A:A, A235) &gt; 0</f>
        <v>0</v>
      </c>
      <c r="G235" t="s">
        <v>960</v>
      </c>
    </row>
    <row r="236" spans="1:10" ht="15" customHeight="1" x14ac:dyDescent="0.25">
      <c r="A236" t="s">
        <v>961</v>
      </c>
      <c r="B236">
        <v>2024</v>
      </c>
      <c r="C236" t="s">
        <v>182</v>
      </c>
      <c r="D236" t="b">
        <f>TRUE()</f>
        <v>1</v>
      </c>
      <c r="E236" t="b">
        <f>COUNTIF(connections!A:A, A236) &gt; 0</f>
        <v>1</v>
      </c>
      <c r="F236" t="s">
        <v>354</v>
      </c>
      <c r="G236" t="s">
        <v>962</v>
      </c>
      <c r="H236" t="s">
        <v>187</v>
      </c>
      <c r="I236" t="s">
        <v>963</v>
      </c>
      <c r="J236" s="1" t="s">
        <v>964</v>
      </c>
    </row>
    <row r="237" spans="1:10" ht="15" customHeight="1" x14ac:dyDescent="0.25">
      <c r="A237" t="s">
        <v>965</v>
      </c>
      <c r="B237">
        <v>2006</v>
      </c>
      <c r="C237" t="s">
        <v>179</v>
      </c>
      <c r="D237" t="b">
        <f>TRUE()</f>
        <v>1</v>
      </c>
      <c r="E237" t="b">
        <f>COUNTIF(connections!A:A, A237) &gt; 0</f>
        <v>1</v>
      </c>
      <c r="G237" t="s">
        <v>966</v>
      </c>
      <c r="H237" t="s">
        <v>187</v>
      </c>
      <c r="I237" t="s">
        <v>967</v>
      </c>
    </row>
    <row r="238" spans="1:10" ht="15" customHeight="1" x14ac:dyDescent="0.25">
      <c r="A238" t="s">
        <v>968</v>
      </c>
      <c r="B238">
        <v>2021</v>
      </c>
      <c r="C238" t="s">
        <v>222</v>
      </c>
      <c r="D238" t="b">
        <f>FALSE()</f>
        <v>0</v>
      </c>
      <c r="E238" t="b">
        <f>COUNTIF(connections!A:A, A238) &gt; 0</f>
        <v>0</v>
      </c>
      <c r="F238" t="s">
        <v>614</v>
      </c>
      <c r="G238" t="s">
        <v>969</v>
      </c>
      <c r="H238" t="s">
        <v>187</v>
      </c>
      <c r="I238" t="s">
        <v>970</v>
      </c>
      <c r="J238" s="1" t="s">
        <v>971</v>
      </c>
    </row>
    <row r="239" spans="1:10" ht="15" customHeight="1" x14ac:dyDescent="0.25">
      <c r="A239" t="s">
        <v>972</v>
      </c>
      <c r="B239">
        <v>2023</v>
      </c>
      <c r="C239" t="s">
        <v>179</v>
      </c>
      <c r="D239" t="b">
        <f>TRUE()</f>
        <v>1</v>
      </c>
      <c r="E239" t="b">
        <f>COUNTIF(connections!A:A, A239) &gt; 0</f>
        <v>0</v>
      </c>
      <c r="G239" t="s">
        <v>973</v>
      </c>
      <c r="H239" t="s">
        <v>187</v>
      </c>
      <c r="I239" t="s">
        <v>974</v>
      </c>
      <c r="J239" s="11" t="s">
        <v>975</v>
      </c>
    </row>
    <row r="240" spans="1:10" ht="15" customHeight="1" x14ac:dyDescent="0.25">
      <c r="A240" t="s">
        <v>976</v>
      </c>
      <c r="B240">
        <v>1993</v>
      </c>
      <c r="C240" t="s">
        <v>176</v>
      </c>
      <c r="D240" t="b">
        <f>FALSE()</f>
        <v>0</v>
      </c>
      <c r="E240" t="b">
        <f>COUNTIF(connections!A:A, A240) &gt; 0</f>
        <v>0</v>
      </c>
      <c r="G240" t="s">
        <v>977</v>
      </c>
    </row>
    <row r="241" spans="1:10" ht="15" customHeight="1" x14ac:dyDescent="0.25">
      <c r="A241" t="s">
        <v>978</v>
      </c>
      <c r="B241">
        <v>2008</v>
      </c>
      <c r="C241" t="s">
        <v>179</v>
      </c>
      <c r="D241" t="b">
        <f>TRUE()</f>
        <v>1</v>
      </c>
      <c r="E241" t="b">
        <f>COUNTIF(connections!A:A, A241) &gt; 0</f>
        <v>0</v>
      </c>
      <c r="G241" t="s">
        <v>979</v>
      </c>
      <c r="H241" t="s">
        <v>187</v>
      </c>
      <c r="I241" t="s">
        <v>980</v>
      </c>
    </row>
    <row r="242" spans="1:10" ht="15" customHeight="1" x14ac:dyDescent="0.25">
      <c r="A242" t="s">
        <v>981</v>
      </c>
      <c r="B242">
        <v>2016</v>
      </c>
      <c r="C242" t="s">
        <v>222</v>
      </c>
      <c r="D242" t="b">
        <f>TRUE()</f>
        <v>1</v>
      </c>
      <c r="E242" t="b">
        <f>COUNTIF(connections!A:A, A242) &gt; 0</f>
        <v>0</v>
      </c>
      <c r="G242" t="s">
        <v>982</v>
      </c>
      <c r="H242" t="s">
        <v>187</v>
      </c>
      <c r="I242" t="s">
        <v>983</v>
      </c>
      <c r="J242" s="11" t="s">
        <v>984</v>
      </c>
    </row>
    <row r="243" spans="1:10" ht="15" customHeight="1" x14ac:dyDescent="0.25">
      <c r="A243" t="s">
        <v>985</v>
      </c>
      <c r="B243">
        <v>2010</v>
      </c>
      <c r="C243" t="s">
        <v>179</v>
      </c>
      <c r="D243" t="b">
        <f>TRUE()</f>
        <v>1</v>
      </c>
      <c r="E243" t="b">
        <f>COUNTIF(connections!A:A, A243) &gt; 0</f>
        <v>1</v>
      </c>
      <c r="G243" t="s">
        <v>986</v>
      </c>
      <c r="H243" t="s">
        <v>187</v>
      </c>
      <c r="I243" t="s">
        <v>987</v>
      </c>
      <c r="J243" s="1" t="s">
        <v>988</v>
      </c>
    </row>
    <row r="244" spans="1:10" ht="15" customHeight="1" x14ac:dyDescent="0.25">
      <c r="A244" t="s">
        <v>989</v>
      </c>
      <c r="B244">
        <v>2024</v>
      </c>
      <c r="C244" t="s">
        <v>182</v>
      </c>
      <c r="D244" t="b">
        <f>TRUE()</f>
        <v>1</v>
      </c>
      <c r="E244" t="b">
        <f>COUNTIF(connections!A:A, A244) &gt; 0</f>
        <v>0</v>
      </c>
      <c r="F244" t="s">
        <v>354</v>
      </c>
      <c r="G244" t="s">
        <v>990</v>
      </c>
      <c r="H244" t="s">
        <v>187</v>
      </c>
      <c r="I244" t="s">
        <v>991</v>
      </c>
      <c r="J244" s="1" t="s">
        <v>992</v>
      </c>
    </row>
    <row r="245" spans="1:10" ht="15" customHeight="1" x14ac:dyDescent="0.25">
      <c r="A245" t="s">
        <v>993</v>
      </c>
      <c r="B245">
        <v>2024</v>
      </c>
      <c r="C245" t="s">
        <v>176</v>
      </c>
      <c r="D245" t="b">
        <f>TRUE()</f>
        <v>1</v>
      </c>
      <c r="E245" t="b">
        <f>COUNTIF(connections!A:A, A245) &gt; 0</f>
        <v>0</v>
      </c>
      <c r="G245" t="s">
        <v>994</v>
      </c>
    </row>
    <row r="246" spans="1:10" ht="15" customHeight="1" x14ac:dyDescent="0.25">
      <c r="A246" t="s">
        <v>995</v>
      </c>
      <c r="B246">
        <v>2011</v>
      </c>
      <c r="C246" t="s">
        <v>179</v>
      </c>
      <c r="D246" t="b">
        <f>TRUE()</f>
        <v>1</v>
      </c>
      <c r="E246" t="b">
        <f>COUNTIF(connections!A:A, A246) &gt; 0</f>
        <v>1</v>
      </c>
      <c r="G246" t="s">
        <v>996</v>
      </c>
      <c r="H246" t="s">
        <v>187</v>
      </c>
      <c r="I246" t="s">
        <v>997</v>
      </c>
      <c r="J246" s="1" t="s">
        <v>998</v>
      </c>
    </row>
    <row r="247" spans="1:10" ht="15" customHeight="1" x14ac:dyDescent="0.25">
      <c r="A247" t="s">
        <v>999</v>
      </c>
      <c r="B247">
        <v>2018</v>
      </c>
      <c r="C247" t="s">
        <v>176</v>
      </c>
      <c r="D247" t="b">
        <f>TRUE()</f>
        <v>1</v>
      </c>
      <c r="E247" t="b">
        <f>COUNTIF(connections!A:A, A247) &gt; 0</f>
        <v>1</v>
      </c>
      <c r="G247" t="s">
        <v>1000</v>
      </c>
      <c r="H247" t="s">
        <v>187</v>
      </c>
      <c r="I247" t="s">
        <v>1001</v>
      </c>
      <c r="J247" s="1" t="s">
        <v>1002</v>
      </c>
    </row>
    <row r="248" spans="1:10" ht="15" customHeight="1" x14ac:dyDescent="0.25">
      <c r="A248" t="s">
        <v>1003</v>
      </c>
      <c r="B248">
        <v>2025</v>
      </c>
      <c r="C248" t="s">
        <v>176</v>
      </c>
      <c r="D248" t="b">
        <f>TRUE()</f>
        <v>1</v>
      </c>
      <c r="E248" t="b">
        <f>COUNTIF(connections!A:A, A248) &gt; 0</f>
        <v>0</v>
      </c>
      <c r="G248" t="s">
        <v>1004</v>
      </c>
    </row>
    <row r="249" spans="1:10" ht="15" customHeight="1" x14ac:dyDescent="0.25">
      <c r="A249" t="s">
        <v>1005</v>
      </c>
      <c r="B249">
        <v>2006</v>
      </c>
      <c r="C249" t="s">
        <v>222</v>
      </c>
      <c r="D249" t="b">
        <f>TRUE()</f>
        <v>1</v>
      </c>
      <c r="E249" t="b">
        <f>COUNTIF(connections!A:A, A249) &gt; 0</f>
        <v>1</v>
      </c>
      <c r="G249" t="s">
        <v>1006</v>
      </c>
      <c r="H249" t="s">
        <v>187</v>
      </c>
      <c r="I249" t="s">
        <v>1007</v>
      </c>
      <c r="J249" s="1" t="s">
        <v>1008</v>
      </c>
    </row>
    <row r="250" spans="1:10" ht="15" customHeight="1" x14ac:dyDescent="0.25">
      <c r="A250" t="s">
        <v>1009</v>
      </c>
      <c r="B250">
        <v>2023</v>
      </c>
      <c r="C250" t="s">
        <v>222</v>
      </c>
      <c r="D250" t="b">
        <f>TRUE()</f>
        <v>1</v>
      </c>
      <c r="E250" t="b">
        <f>COUNTIF(connections!A:A, A250) &gt; 0</f>
        <v>0</v>
      </c>
      <c r="G250" t="s">
        <v>1010</v>
      </c>
    </row>
    <row r="251" spans="1:10" ht="15" customHeight="1" x14ac:dyDescent="0.25">
      <c r="A251" t="s">
        <v>1011</v>
      </c>
      <c r="B251">
        <v>2025</v>
      </c>
      <c r="C251" t="s">
        <v>176</v>
      </c>
      <c r="D251" t="b">
        <f>TRUE()</f>
        <v>1</v>
      </c>
      <c r="E251" t="b">
        <f>COUNTIF(connections!A:A, A251) &gt; 0</f>
        <v>1</v>
      </c>
      <c r="G251" t="s">
        <v>1012</v>
      </c>
      <c r="H251" t="s">
        <v>187</v>
      </c>
      <c r="I251" t="s">
        <v>1013</v>
      </c>
      <c r="J251" s="1" t="s">
        <v>1014</v>
      </c>
    </row>
    <row r="252" spans="1:10" ht="15" customHeight="1" x14ac:dyDescent="0.25">
      <c r="A252" t="s">
        <v>1015</v>
      </c>
      <c r="B252">
        <v>2013</v>
      </c>
      <c r="C252" t="s">
        <v>176</v>
      </c>
      <c r="D252" t="b">
        <f>TRUE()</f>
        <v>1</v>
      </c>
      <c r="E252" t="b">
        <f>COUNTIF(connections!A:A, A252) &gt; 0</f>
        <v>0</v>
      </c>
      <c r="G252" t="s">
        <v>1016</v>
      </c>
      <c r="J252" s="11" t="s">
        <v>1017</v>
      </c>
    </row>
    <row r="253" spans="1:10" ht="15" customHeight="1" x14ac:dyDescent="0.25">
      <c r="A253" t="s">
        <v>1018</v>
      </c>
      <c r="B253">
        <v>2023</v>
      </c>
      <c r="C253" t="s">
        <v>176</v>
      </c>
      <c r="D253" t="b">
        <f>TRUE()</f>
        <v>1</v>
      </c>
      <c r="E253" t="b">
        <f>COUNTIF(connections!A:A, A253) &gt; 0</f>
        <v>0</v>
      </c>
      <c r="G253" t="s">
        <v>1019</v>
      </c>
      <c r="H253" t="s">
        <v>187</v>
      </c>
      <c r="I253" t="s">
        <v>1020</v>
      </c>
      <c r="J253" s="1" t="s">
        <v>1021</v>
      </c>
    </row>
    <row r="254" spans="1:10" ht="15" customHeight="1" x14ac:dyDescent="0.25">
      <c r="A254" t="s">
        <v>1022</v>
      </c>
      <c r="B254">
        <v>2023</v>
      </c>
      <c r="C254" t="s">
        <v>176</v>
      </c>
      <c r="D254" t="b">
        <f>TRUE()</f>
        <v>1</v>
      </c>
      <c r="E254" t="b">
        <f>COUNTIF(connections!A:A, A254) &gt; 0</f>
        <v>0</v>
      </c>
      <c r="G254" t="s">
        <v>1023</v>
      </c>
      <c r="H254" t="s">
        <v>187</v>
      </c>
      <c r="I254" t="s">
        <v>1024</v>
      </c>
      <c r="J254" s="11" t="s">
        <v>1025</v>
      </c>
    </row>
    <row r="255" spans="1:10" ht="15" customHeight="1" x14ac:dyDescent="0.25">
      <c r="A255" t="s">
        <v>1026</v>
      </c>
      <c r="B255">
        <v>2024</v>
      </c>
      <c r="C255" t="s">
        <v>179</v>
      </c>
      <c r="D255" t="b">
        <f>TRUE()</f>
        <v>1</v>
      </c>
      <c r="E255" t="b">
        <f>COUNTIF(connections!A:A, A255) &gt; 0</f>
        <v>0</v>
      </c>
      <c r="G255" t="s">
        <v>1027</v>
      </c>
    </row>
    <row r="256" spans="1:10" ht="15" customHeight="1" x14ac:dyDescent="0.25">
      <c r="A256" t="s">
        <v>1028</v>
      </c>
      <c r="B256">
        <v>2008</v>
      </c>
      <c r="C256" t="s">
        <v>179</v>
      </c>
      <c r="D256" t="b">
        <f>TRUE()</f>
        <v>1</v>
      </c>
      <c r="E256" t="b">
        <f>COUNTIF(connections!A:A, A256) &gt; 0</f>
        <v>1</v>
      </c>
      <c r="G256" t="s">
        <v>1029</v>
      </c>
    </row>
    <row r="257" spans="1:10" ht="15" customHeight="1" x14ac:dyDescent="0.25">
      <c r="A257" t="s">
        <v>1030</v>
      </c>
      <c r="B257">
        <v>2022</v>
      </c>
      <c r="C257" t="s">
        <v>176</v>
      </c>
      <c r="D257" t="b">
        <f>TRUE()</f>
        <v>1</v>
      </c>
      <c r="E257" t="b">
        <f>COUNTIF(connections!A:A, A257) &gt; 0</f>
        <v>1</v>
      </c>
      <c r="F257" t="s">
        <v>1031</v>
      </c>
      <c r="G257" t="s">
        <v>1032</v>
      </c>
      <c r="H257" t="s">
        <v>187</v>
      </c>
      <c r="I257" t="s">
        <v>1033</v>
      </c>
      <c r="J257" s="1" t="s">
        <v>1034</v>
      </c>
    </row>
    <row r="258" spans="1:10" ht="15" customHeight="1" x14ac:dyDescent="0.25">
      <c r="A258" t="s">
        <v>1035</v>
      </c>
      <c r="B258">
        <v>2024</v>
      </c>
      <c r="C258" t="s">
        <v>222</v>
      </c>
      <c r="D258" t="b">
        <f>TRUE()</f>
        <v>1</v>
      </c>
      <c r="E258" t="b">
        <f>COUNTIF(connections!A:A, A258) &gt; 0</f>
        <v>0</v>
      </c>
      <c r="F258" t="s">
        <v>404</v>
      </c>
      <c r="G258" t="s">
        <v>1036</v>
      </c>
      <c r="H258" t="s">
        <v>187</v>
      </c>
      <c r="I258" t="s">
        <v>1037</v>
      </c>
      <c r="J258" s="1" t="s">
        <v>1038</v>
      </c>
    </row>
    <row r="259" spans="1:10" ht="15" customHeight="1" x14ac:dyDescent="0.25">
      <c r="A259" t="s">
        <v>1039</v>
      </c>
      <c r="B259">
        <v>2023</v>
      </c>
      <c r="C259" t="s">
        <v>182</v>
      </c>
      <c r="D259" t="b">
        <f>TRUE()</f>
        <v>1</v>
      </c>
      <c r="E259" t="b">
        <f>COUNTIF(connections!A:A, A259) &gt; 0</f>
        <v>0</v>
      </c>
      <c r="G259" t="s">
        <v>1040</v>
      </c>
      <c r="H259" t="s">
        <v>187</v>
      </c>
      <c r="I259" t="s">
        <v>1041</v>
      </c>
      <c r="J259" s="1" t="s">
        <v>1042</v>
      </c>
    </row>
    <row r="260" spans="1:10" ht="15" customHeight="1" x14ac:dyDescent="0.25">
      <c r="A260" t="s">
        <v>1043</v>
      </c>
      <c r="B260">
        <v>2025</v>
      </c>
      <c r="C260" t="s">
        <v>176</v>
      </c>
      <c r="D260" t="b">
        <f>TRUE()</f>
        <v>1</v>
      </c>
      <c r="E260" t="b">
        <f>COUNTIF(connections!A:A, A260) &gt; 0</f>
        <v>0</v>
      </c>
      <c r="G260" t="s">
        <v>1044</v>
      </c>
      <c r="H260" t="s">
        <v>187</v>
      </c>
      <c r="I260" t="s">
        <v>1045</v>
      </c>
      <c r="J260" s="1" t="s">
        <v>1046</v>
      </c>
    </row>
    <row r="261" spans="1:10" ht="15" customHeight="1" x14ac:dyDescent="0.25">
      <c r="A261" t="s">
        <v>1047</v>
      </c>
      <c r="B261">
        <v>2016</v>
      </c>
      <c r="C261" t="s">
        <v>176</v>
      </c>
      <c r="D261" t="b">
        <f>TRUE()</f>
        <v>1</v>
      </c>
      <c r="E261" t="b">
        <f>COUNTIF(connections!A:A, A261) &gt; 0</f>
        <v>1</v>
      </c>
      <c r="G261" t="s">
        <v>1048</v>
      </c>
      <c r="H261" t="s">
        <v>187</v>
      </c>
      <c r="I261" t="s">
        <v>1049</v>
      </c>
      <c r="J261" s="1" t="s">
        <v>1050</v>
      </c>
    </row>
    <row r="262" spans="1:10" ht="15" customHeight="1" x14ac:dyDescent="0.25">
      <c r="A262" t="s">
        <v>1051</v>
      </c>
      <c r="B262">
        <v>2025</v>
      </c>
      <c r="C262" t="s">
        <v>222</v>
      </c>
      <c r="D262" t="b">
        <f>TRUE()</f>
        <v>1</v>
      </c>
      <c r="E262" t="b">
        <f>COUNTIF(connections!A:A, A262) &gt; 0</f>
        <v>0</v>
      </c>
      <c r="G262" t="s">
        <v>1052</v>
      </c>
    </row>
    <row r="263" spans="1:10" ht="15" customHeight="1" x14ac:dyDescent="0.25">
      <c r="A263" t="s">
        <v>1053</v>
      </c>
      <c r="B263">
        <v>2004</v>
      </c>
      <c r="C263" t="s">
        <v>179</v>
      </c>
      <c r="D263" t="b">
        <f>TRUE()</f>
        <v>1</v>
      </c>
      <c r="E263" t="b">
        <f>COUNTIF(connections!A:A, A263) &gt; 0</f>
        <v>0</v>
      </c>
      <c r="G263" t="s">
        <v>1054</v>
      </c>
      <c r="H263" t="s">
        <v>187</v>
      </c>
      <c r="I263" t="s">
        <v>1055</v>
      </c>
    </row>
    <row r="264" spans="1:10" ht="15" customHeight="1" x14ac:dyDescent="0.25">
      <c r="A264" t="s">
        <v>1056</v>
      </c>
      <c r="B264">
        <v>2015</v>
      </c>
      <c r="C264" t="s">
        <v>179</v>
      </c>
      <c r="D264" t="b">
        <f>TRUE()</f>
        <v>1</v>
      </c>
      <c r="E264" t="b">
        <f>COUNTIF(connections!A:A, A264) &gt; 0</f>
        <v>1</v>
      </c>
      <c r="G264" t="s">
        <v>1057</v>
      </c>
    </row>
    <row r="265" spans="1:10" ht="15" customHeight="1" x14ac:dyDescent="0.25">
      <c r="A265" t="s">
        <v>1058</v>
      </c>
      <c r="B265">
        <v>2017</v>
      </c>
      <c r="C265" t="s">
        <v>179</v>
      </c>
      <c r="D265" t="b">
        <f>TRUE()</f>
        <v>1</v>
      </c>
      <c r="E265" t="b">
        <f>COUNTIF(connections!A:A, A265) &gt; 0</f>
        <v>0</v>
      </c>
      <c r="G265" t="s">
        <v>1059</v>
      </c>
    </row>
    <row r="266" spans="1:10" ht="15" customHeight="1" x14ac:dyDescent="0.25">
      <c r="A266" t="s">
        <v>1060</v>
      </c>
      <c r="B266">
        <v>2026</v>
      </c>
      <c r="C266" t="s">
        <v>176</v>
      </c>
      <c r="D266" t="b">
        <f>TRUE()</f>
        <v>1</v>
      </c>
      <c r="E266" t="b">
        <f>COUNTIF(connections!A:A, A266) &gt; 0</f>
        <v>0</v>
      </c>
      <c r="G266" t="s">
        <v>1061</v>
      </c>
      <c r="H266" t="s">
        <v>187</v>
      </c>
      <c r="I266" t="s">
        <v>1062</v>
      </c>
      <c r="J266" s="1" t="s">
        <v>1063</v>
      </c>
    </row>
    <row r="267" spans="1:10" ht="15" customHeight="1" x14ac:dyDescent="0.25">
      <c r="A267" t="s">
        <v>1064</v>
      </c>
      <c r="B267">
        <v>2023</v>
      </c>
      <c r="C267" t="s">
        <v>176</v>
      </c>
      <c r="D267" t="b">
        <f>FALSE()</f>
        <v>0</v>
      </c>
      <c r="E267" t="b">
        <f>COUNTIF(connections!A:A, A267) &gt; 0</f>
        <v>0</v>
      </c>
      <c r="G267" t="s">
        <v>1065</v>
      </c>
      <c r="H267" t="s">
        <v>187</v>
      </c>
      <c r="I267" t="s">
        <v>1066</v>
      </c>
      <c r="J267" s="1" t="s">
        <v>1067</v>
      </c>
    </row>
    <row r="268" spans="1:10" ht="15" customHeight="1" x14ac:dyDescent="0.25">
      <c r="A268" t="s">
        <v>1068</v>
      </c>
      <c r="B268">
        <v>2020</v>
      </c>
      <c r="C268" t="s">
        <v>176</v>
      </c>
      <c r="D268" t="b">
        <f>TRUE()</f>
        <v>1</v>
      </c>
      <c r="E268" t="b">
        <f>COUNTIF(connections!A:A, A268) &gt; 0</f>
        <v>0</v>
      </c>
      <c r="G268" t="s">
        <v>1069</v>
      </c>
      <c r="H268" t="s">
        <v>187</v>
      </c>
      <c r="I268" t="s">
        <v>1070</v>
      </c>
      <c r="J268" s="1" t="s">
        <v>1071</v>
      </c>
    </row>
    <row r="269" spans="1:10" ht="15" customHeight="1" x14ac:dyDescent="0.25">
      <c r="A269" t="s">
        <v>1072</v>
      </c>
      <c r="B269">
        <v>2024</v>
      </c>
      <c r="C269" t="s">
        <v>182</v>
      </c>
      <c r="D269" t="b">
        <f>TRUE()</f>
        <v>1</v>
      </c>
      <c r="E269" t="b">
        <f>COUNTIF(connections!A:A, A269) &gt; 0</f>
        <v>0</v>
      </c>
      <c r="G269" t="s">
        <v>1073</v>
      </c>
      <c r="H269" t="s">
        <v>187</v>
      </c>
      <c r="I269" t="s">
        <v>1074</v>
      </c>
      <c r="J269" s="1" t="s">
        <v>1075</v>
      </c>
    </row>
    <row r="270" spans="1:10" ht="15" customHeight="1" x14ac:dyDescent="0.25">
      <c r="A270" t="s">
        <v>1076</v>
      </c>
      <c r="B270">
        <v>2024</v>
      </c>
      <c r="C270" t="s">
        <v>182</v>
      </c>
      <c r="D270" t="b">
        <f>FALSE()</f>
        <v>0</v>
      </c>
      <c r="E270" t="b">
        <f>COUNTIF(connections!A:A, A270) &gt; 0</f>
        <v>0</v>
      </c>
      <c r="F270" t="s">
        <v>1077</v>
      </c>
      <c r="G270" t="s">
        <v>1078</v>
      </c>
      <c r="H270" t="s">
        <v>187</v>
      </c>
      <c r="I270" t="s">
        <v>1079</v>
      </c>
      <c r="J270" s="1" t="s">
        <v>1080</v>
      </c>
    </row>
    <row r="271" spans="1:10" ht="15" customHeight="1" x14ac:dyDescent="0.25">
      <c r="A271" t="s">
        <v>1081</v>
      </c>
      <c r="B271">
        <v>1990</v>
      </c>
      <c r="C271" t="s">
        <v>179</v>
      </c>
      <c r="D271" t="b">
        <f>TRUE()</f>
        <v>1</v>
      </c>
      <c r="E271" t="b">
        <f>COUNTIF(connections!A:A, A271) &gt; 0</f>
        <v>1</v>
      </c>
      <c r="G271" t="s">
        <v>1082</v>
      </c>
      <c r="H271" t="s">
        <v>187</v>
      </c>
      <c r="I271" t="s">
        <v>1083</v>
      </c>
    </row>
    <row r="272" spans="1:10" ht="15" customHeight="1" x14ac:dyDescent="0.25">
      <c r="A272" t="s">
        <v>1084</v>
      </c>
      <c r="B272">
        <v>2018</v>
      </c>
      <c r="C272" t="s">
        <v>222</v>
      </c>
      <c r="D272" t="b">
        <f>TRUE()</f>
        <v>1</v>
      </c>
      <c r="E272" t="b">
        <f>COUNTIF(connections!A:A, A272) &gt; 0</f>
        <v>0</v>
      </c>
      <c r="G272" t="s">
        <v>1085</v>
      </c>
    </row>
    <row r="273" spans="1:10" ht="15" customHeight="1" x14ac:dyDescent="0.25">
      <c r="A273" t="s">
        <v>1086</v>
      </c>
      <c r="B273">
        <v>2024</v>
      </c>
      <c r="C273" t="s">
        <v>222</v>
      </c>
      <c r="D273" t="b">
        <f>TRUE()</f>
        <v>1</v>
      </c>
      <c r="E273" t="b">
        <f>COUNTIF(connections!A:A, A273) &gt; 0</f>
        <v>0</v>
      </c>
      <c r="F273" t="s">
        <v>652</v>
      </c>
      <c r="G273" t="s">
        <v>1087</v>
      </c>
      <c r="H273" t="s">
        <v>187</v>
      </c>
      <c r="I273" t="s">
        <v>1088</v>
      </c>
      <c r="J273" s="1" t="s">
        <v>1089</v>
      </c>
    </row>
    <row r="274" spans="1:10" ht="15" customHeight="1" x14ac:dyDescent="0.25">
      <c r="A274" t="s">
        <v>1090</v>
      </c>
      <c r="B274">
        <v>2021</v>
      </c>
      <c r="C274" t="s">
        <v>182</v>
      </c>
      <c r="D274" t="b">
        <f>TRUE()</f>
        <v>1</v>
      </c>
      <c r="E274" t="b">
        <f>COUNTIF(connections!A:A, A274) &gt; 0</f>
        <v>1</v>
      </c>
      <c r="G274" t="s">
        <v>1091</v>
      </c>
      <c r="H274" t="s">
        <v>187</v>
      </c>
      <c r="I274" t="s">
        <v>1092</v>
      </c>
      <c r="J274" s="1" t="s">
        <v>1093</v>
      </c>
    </row>
    <row r="275" spans="1:10" ht="15" customHeight="1" x14ac:dyDescent="0.25">
      <c r="A275" t="s">
        <v>1094</v>
      </c>
      <c r="B275">
        <v>2007</v>
      </c>
      <c r="C275" t="s">
        <v>179</v>
      </c>
      <c r="D275" t="b">
        <f>TRUE()</f>
        <v>1</v>
      </c>
      <c r="E275" t="b">
        <f>COUNTIF(connections!A:A, A275) &gt; 0</f>
        <v>1</v>
      </c>
      <c r="G275" t="s">
        <v>1095</v>
      </c>
      <c r="H275" t="s">
        <v>187</v>
      </c>
      <c r="I275" t="s">
        <v>1096</v>
      </c>
    </row>
    <row r="276" spans="1:10" ht="15" customHeight="1" x14ac:dyDescent="0.25">
      <c r="A276" t="s">
        <v>1097</v>
      </c>
      <c r="B276">
        <v>2024</v>
      </c>
      <c r="C276" t="s">
        <v>176</v>
      </c>
      <c r="D276" t="b">
        <f>TRUE()</f>
        <v>1</v>
      </c>
      <c r="E276" t="b">
        <f>COUNTIF(connections!A:A, A276) &gt; 0</f>
        <v>0</v>
      </c>
      <c r="F276" t="s">
        <v>652</v>
      </c>
      <c r="G276" t="s">
        <v>1098</v>
      </c>
      <c r="H276" t="s">
        <v>187</v>
      </c>
      <c r="I276" t="s">
        <v>1099</v>
      </c>
      <c r="J276" s="1" t="s">
        <v>1100</v>
      </c>
    </row>
    <row r="277" spans="1:10" ht="15" customHeight="1" x14ac:dyDescent="0.25">
      <c r="A277" t="s">
        <v>1101</v>
      </c>
      <c r="B277">
        <v>2022</v>
      </c>
      <c r="C277" t="s">
        <v>176</v>
      </c>
      <c r="D277" t="b">
        <f>TRUE()</f>
        <v>1</v>
      </c>
      <c r="E277" t="b">
        <f>COUNTIF(connections!A:A, A277) &gt; 0</f>
        <v>1</v>
      </c>
      <c r="G277" t="s">
        <v>1102</v>
      </c>
    </row>
    <row r="278" spans="1:10" ht="15" customHeight="1" x14ac:dyDescent="0.25">
      <c r="A278" t="s">
        <v>1103</v>
      </c>
      <c r="B278">
        <v>2025</v>
      </c>
      <c r="C278" t="s">
        <v>222</v>
      </c>
      <c r="D278" t="b">
        <f>FALSE()</f>
        <v>0</v>
      </c>
      <c r="E278" t="b">
        <f>COUNTIF(connections!A:A, A278) &gt; 0</f>
        <v>0</v>
      </c>
      <c r="G278" t="s">
        <v>1104</v>
      </c>
    </row>
    <row r="279" spans="1:10" ht="15" customHeight="1" x14ac:dyDescent="0.25">
      <c r="A279" t="s">
        <v>1105</v>
      </c>
      <c r="B279">
        <v>2017</v>
      </c>
      <c r="C279" t="s">
        <v>176</v>
      </c>
      <c r="D279" t="b">
        <f>TRUE()</f>
        <v>1</v>
      </c>
      <c r="E279" t="b">
        <f>COUNTIF(connections!A:A, A279) &gt; 0</f>
        <v>0</v>
      </c>
      <c r="F279" t="s">
        <v>274</v>
      </c>
      <c r="G279" t="s">
        <v>1106</v>
      </c>
      <c r="H279" t="s">
        <v>187</v>
      </c>
      <c r="I279" t="s">
        <v>1107</v>
      </c>
      <c r="J279" s="1" t="s">
        <v>1108</v>
      </c>
    </row>
    <row r="280" spans="1:10" ht="15" customHeight="1" x14ac:dyDescent="0.25">
      <c r="A280" t="s">
        <v>1109</v>
      </c>
      <c r="B280">
        <v>2026</v>
      </c>
      <c r="C280" t="s">
        <v>182</v>
      </c>
      <c r="D280" t="b">
        <v>1</v>
      </c>
      <c r="E280" t="b">
        <v>0</v>
      </c>
      <c r="F280" t="s">
        <v>587</v>
      </c>
      <c r="G280" t="s">
        <v>1110</v>
      </c>
      <c r="J280" s="11" t="s">
        <v>1111</v>
      </c>
    </row>
    <row r="281" spans="1:10" ht="15" customHeight="1" x14ac:dyDescent="0.25">
      <c r="A281" t="s">
        <v>1112</v>
      </c>
      <c r="B281">
        <v>2024</v>
      </c>
      <c r="C281" t="s">
        <v>176</v>
      </c>
      <c r="D281" t="b">
        <f>FALSE()</f>
        <v>0</v>
      </c>
      <c r="E281" t="b">
        <f>COUNTIF(connections!A:A, A281) &gt; 0</f>
        <v>0</v>
      </c>
      <c r="F281" t="s">
        <v>614</v>
      </c>
      <c r="G281" t="s">
        <v>1113</v>
      </c>
      <c r="H281" t="s">
        <v>187</v>
      </c>
      <c r="I281" t="s">
        <v>1114</v>
      </c>
      <c r="J281" s="1" t="s">
        <v>1115</v>
      </c>
    </row>
    <row r="282" spans="1:10" ht="15" customHeight="1" x14ac:dyDescent="0.25">
      <c r="A282" t="s">
        <v>1116</v>
      </c>
      <c r="B282">
        <v>2018</v>
      </c>
      <c r="C282" t="s">
        <v>222</v>
      </c>
      <c r="D282" t="b">
        <f>TRUE()</f>
        <v>1</v>
      </c>
      <c r="E282" t="b">
        <f>COUNTIF(connections!A:A, A282) &gt; 0</f>
        <v>1</v>
      </c>
      <c r="G282" t="s">
        <v>1117</v>
      </c>
      <c r="H282" t="s">
        <v>187</v>
      </c>
      <c r="I282" t="s">
        <v>1118</v>
      </c>
      <c r="J282" s="1" t="s">
        <v>1119</v>
      </c>
    </row>
    <row r="283" spans="1:10" ht="15" customHeight="1" x14ac:dyDescent="0.25">
      <c r="A283" t="s">
        <v>1120</v>
      </c>
      <c r="B283">
        <v>2023</v>
      </c>
      <c r="C283" t="s">
        <v>222</v>
      </c>
      <c r="D283" t="b">
        <f>TRUE()</f>
        <v>1</v>
      </c>
      <c r="E283" t="b">
        <f>COUNTIF(connections!A:A, A283) &gt; 0</f>
        <v>0</v>
      </c>
      <c r="G283" t="s">
        <v>1121</v>
      </c>
      <c r="H283" t="s">
        <v>187</v>
      </c>
      <c r="I283" t="s">
        <v>1122</v>
      </c>
      <c r="J283" s="1" t="s">
        <v>1123</v>
      </c>
    </row>
    <row r="284" spans="1:10" ht="15" customHeight="1" x14ac:dyDescent="0.25">
      <c r="A284" t="s">
        <v>1124</v>
      </c>
      <c r="B284">
        <v>2020</v>
      </c>
      <c r="C284" t="s">
        <v>182</v>
      </c>
      <c r="D284" t="b">
        <f>TRUE()</f>
        <v>1</v>
      </c>
      <c r="E284" t="b">
        <f>COUNTIF(connections!A:A, A284) &gt; 0</f>
        <v>1</v>
      </c>
      <c r="F284" t="s">
        <v>274</v>
      </c>
      <c r="G284" t="s">
        <v>1125</v>
      </c>
      <c r="H284" t="s">
        <v>187</v>
      </c>
      <c r="I284" t="s">
        <v>1126</v>
      </c>
      <c r="J284" s="11" t="s">
        <v>1127</v>
      </c>
    </row>
    <row r="285" spans="1:10" ht="15" customHeight="1" x14ac:dyDescent="0.25">
      <c r="A285" t="s">
        <v>1128</v>
      </c>
      <c r="B285">
        <v>2025</v>
      </c>
      <c r="C285" t="s">
        <v>176</v>
      </c>
      <c r="D285" t="b">
        <f>FALSE()</f>
        <v>0</v>
      </c>
      <c r="E285" t="b">
        <f>COUNTIF(connections!A:A, A285) &gt; 0</f>
        <v>0</v>
      </c>
      <c r="G285" t="s">
        <v>1129</v>
      </c>
    </row>
    <row r="286" spans="1:10" ht="15" customHeight="1" x14ac:dyDescent="0.25">
      <c r="A286" t="s">
        <v>1130</v>
      </c>
      <c r="B286">
        <v>2022</v>
      </c>
      <c r="C286" t="s">
        <v>222</v>
      </c>
      <c r="D286" t="b">
        <f>TRUE()</f>
        <v>1</v>
      </c>
      <c r="E286" t="b">
        <f>COUNTIF(connections!A:A, A286) &gt; 0</f>
        <v>1</v>
      </c>
      <c r="G286" t="s">
        <v>1131</v>
      </c>
      <c r="H286" t="s">
        <v>187</v>
      </c>
      <c r="I286" t="s">
        <v>1132</v>
      </c>
      <c r="J286" s="1" t="s">
        <v>1133</v>
      </c>
    </row>
    <row r="287" spans="1:10" ht="15" customHeight="1" x14ac:dyDescent="0.25">
      <c r="A287" t="s">
        <v>1134</v>
      </c>
      <c r="B287">
        <v>2017</v>
      </c>
      <c r="C287" t="s">
        <v>176</v>
      </c>
      <c r="D287" t="b">
        <f>TRUE()</f>
        <v>1</v>
      </c>
      <c r="E287" t="b">
        <f>COUNTIF(connections!A:A, A287) &gt; 0</f>
        <v>0</v>
      </c>
      <c r="G287" t="s">
        <v>1135</v>
      </c>
      <c r="H287" t="s">
        <v>187</v>
      </c>
      <c r="I287" t="s">
        <v>1136</v>
      </c>
      <c r="J287" s="1" t="s">
        <v>1137</v>
      </c>
    </row>
    <row r="288" spans="1:10" ht="15" customHeight="1" x14ac:dyDescent="0.25">
      <c r="A288" t="s">
        <v>1138</v>
      </c>
      <c r="B288">
        <v>2025</v>
      </c>
      <c r="C288" t="s">
        <v>176</v>
      </c>
      <c r="D288" t="b">
        <f>TRUE()</f>
        <v>1</v>
      </c>
      <c r="E288" t="b">
        <f>COUNTIF(connections!A:A, A288) &gt; 0</f>
        <v>0</v>
      </c>
      <c r="G288" t="s">
        <v>1139</v>
      </c>
      <c r="H288" t="s">
        <v>187</v>
      </c>
      <c r="I288" t="s">
        <v>1140</v>
      </c>
      <c r="J288" s="1" t="s">
        <v>1141</v>
      </c>
    </row>
    <row r="289" spans="1:10" ht="15" customHeight="1" x14ac:dyDescent="0.25">
      <c r="A289" t="s">
        <v>1142</v>
      </c>
      <c r="B289">
        <v>2006</v>
      </c>
      <c r="C289" t="s">
        <v>179</v>
      </c>
      <c r="D289" t="b">
        <f>TRUE()</f>
        <v>1</v>
      </c>
      <c r="E289" t="b">
        <f>COUNTIF(connections!A:A, A289) &gt; 0</f>
        <v>0</v>
      </c>
      <c r="G289" t="s">
        <v>1143</v>
      </c>
      <c r="H289" t="s">
        <v>187</v>
      </c>
      <c r="I289" t="s">
        <v>1144</v>
      </c>
    </row>
    <row r="290" spans="1:10" ht="15" customHeight="1" x14ac:dyDescent="0.25">
      <c r="A290" t="s">
        <v>1145</v>
      </c>
      <c r="B290">
        <v>2012</v>
      </c>
      <c r="C290" t="s">
        <v>222</v>
      </c>
      <c r="D290" t="b">
        <f>TRUE()</f>
        <v>1</v>
      </c>
      <c r="E290" t="b">
        <f>COUNTIF(connections!A:A, A290) &gt; 0</f>
        <v>1</v>
      </c>
      <c r="F290" t="s">
        <v>274</v>
      </c>
      <c r="G290" t="s">
        <v>1146</v>
      </c>
      <c r="H290" t="s">
        <v>187</v>
      </c>
      <c r="I290" t="s">
        <v>1147</v>
      </c>
      <c r="J290" s="1" t="s">
        <v>1148</v>
      </c>
    </row>
    <row r="291" spans="1:10" ht="15" customHeight="1" x14ac:dyDescent="0.25">
      <c r="A291" t="s">
        <v>1149</v>
      </c>
      <c r="B291">
        <v>2013</v>
      </c>
      <c r="C291" t="s">
        <v>176</v>
      </c>
      <c r="D291" t="b">
        <f>TRUE()</f>
        <v>1</v>
      </c>
      <c r="E291" t="b">
        <f>COUNTIF(connections!A:A, A291) &gt; 0</f>
        <v>0</v>
      </c>
      <c r="G291" t="s">
        <v>1150</v>
      </c>
      <c r="J291" s="11" t="s">
        <v>1151</v>
      </c>
    </row>
    <row r="292" spans="1:10" ht="15" customHeight="1" x14ac:dyDescent="0.25">
      <c r="A292" t="s">
        <v>1152</v>
      </c>
      <c r="B292">
        <v>2020</v>
      </c>
      <c r="C292" t="s">
        <v>176</v>
      </c>
      <c r="D292" t="b">
        <f>TRUE()</f>
        <v>1</v>
      </c>
      <c r="E292" t="b">
        <f>COUNTIF(connections!A:A, A292) &gt; 0</f>
        <v>0</v>
      </c>
      <c r="G292" t="s">
        <v>1153</v>
      </c>
      <c r="H292" t="s">
        <v>187</v>
      </c>
      <c r="I292" t="s">
        <v>1154</v>
      </c>
      <c r="J292" s="1" t="s">
        <v>1155</v>
      </c>
    </row>
    <row r="293" spans="1:10" ht="15" customHeight="1" x14ac:dyDescent="0.25">
      <c r="A293" t="s">
        <v>1156</v>
      </c>
      <c r="B293">
        <v>2010</v>
      </c>
      <c r="C293" t="s">
        <v>179</v>
      </c>
      <c r="D293" t="b">
        <f>TRUE()</f>
        <v>1</v>
      </c>
      <c r="E293" t="b">
        <f>COUNTIF(connections!A:A, A293) &gt; 0</f>
        <v>1</v>
      </c>
      <c r="F293" t="s">
        <v>328</v>
      </c>
      <c r="G293" t="s">
        <v>1157</v>
      </c>
    </row>
    <row r="294" spans="1:10" ht="15" customHeight="1" x14ac:dyDescent="0.25">
      <c r="A294" t="s">
        <v>1158</v>
      </c>
      <c r="B294">
        <v>2014</v>
      </c>
      <c r="C294" t="s">
        <v>179</v>
      </c>
      <c r="D294" t="b">
        <f>TRUE()</f>
        <v>1</v>
      </c>
      <c r="E294" t="b">
        <f>COUNTIF(connections!A:A, A294) &gt; 0</f>
        <v>1</v>
      </c>
      <c r="F294" t="s">
        <v>328</v>
      </c>
      <c r="G294" t="s">
        <v>1159</v>
      </c>
    </row>
    <row r="295" spans="1:10" ht="15" customHeight="1" x14ac:dyDescent="0.25">
      <c r="A295" t="s">
        <v>1160</v>
      </c>
      <c r="B295">
        <v>2024</v>
      </c>
      <c r="C295" t="s">
        <v>176</v>
      </c>
      <c r="D295" t="b">
        <f>TRUE()</f>
        <v>1</v>
      </c>
      <c r="E295" t="b">
        <f>COUNTIF(connections!A:A, A295) &gt; 0</f>
        <v>0</v>
      </c>
      <c r="F295" t="s">
        <v>274</v>
      </c>
      <c r="G295" t="s">
        <v>1161</v>
      </c>
      <c r="H295" t="s">
        <v>187</v>
      </c>
      <c r="I295" t="s">
        <v>1162</v>
      </c>
      <c r="J295" s="1" t="s">
        <v>1163</v>
      </c>
    </row>
    <row r="296" spans="1:10" ht="15" customHeight="1" x14ac:dyDescent="0.25">
      <c r="A296" t="s">
        <v>1164</v>
      </c>
      <c r="B296">
        <v>2026</v>
      </c>
      <c r="C296" t="s">
        <v>182</v>
      </c>
      <c r="D296" t="b">
        <f>TRUE()</f>
        <v>1</v>
      </c>
      <c r="E296" t="b">
        <f>COUNTIF(connections!A:A, A296) &gt; 0</f>
        <v>0</v>
      </c>
      <c r="F296" t="s">
        <v>1165</v>
      </c>
      <c r="G296" t="s">
        <v>1166</v>
      </c>
    </row>
    <row r="297" spans="1:10" ht="15" customHeight="1" x14ac:dyDescent="0.25">
      <c r="A297" t="s">
        <v>1167</v>
      </c>
      <c r="B297">
        <v>2025</v>
      </c>
      <c r="C297" t="s">
        <v>176</v>
      </c>
      <c r="D297" t="b">
        <f>TRUE()</f>
        <v>1</v>
      </c>
      <c r="E297" t="b">
        <f>COUNTIF(connections!A:A, A297) &gt; 0</f>
        <v>0</v>
      </c>
      <c r="G297" t="s">
        <v>1168</v>
      </c>
    </row>
    <row r="298" spans="1:10" ht="15" customHeight="1" x14ac:dyDescent="0.25">
      <c r="A298" t="s">
        <v>1169</v>
      </c>
      <c r="B298">
        <v>2024</v>
      </c>
      <c r="C298" t="s">
        <v>176</v>
      </c>
      <c r="D298" t="b">
        <f>TRUE()</f>
        <v>1</v>
      </c>
      <c r="E298" t="b">
        <f>COUNTIF(connections!A:A, A298) &gt; 0</f>
        <v>0</v>
      </c>
      <c r="G298" t="s">
        <v>1170</v>
      </c>
      <c r="H298" t="s">
        <v>187</v>
      </c>
      <c r="I298" t="s">
        <v>1171</v>
      </c>
    </row>
    <row r="299" spans="1:10" ht="15" customHeight="1" x14ac:dyDescent="0.25">
      <c r="A299" t="s">
        <v>1172</v>
      </c>
      <c r="B299">
        <v>2002</v>
      </c>
      <c r="C299" t="s">
        <v>179</v>
      </c>
      <c r="D299" t="b">
        <f>TRUE()</f>
        <v>1</v>
      </c>
      <c r="E299" t="b">
        <f>COUNTIF(connections!A:A, A299) &gt; 0</f>
        <v>1</v>
      </c>
      <c r="F299" t="s">
        <v>277</v>
      </c>
      <c r="G299" t="s">
        <v>1173</v>
      </c>
      <c r="H299" t="s">
        <v>187</v>
      </c>
      <c r="I299" t="s">
        <v>1174</v>
      </c>
    </row>
    <row r="300" spans="1:10" ht="15" customHeight="1" x14ac:dyDescent="0.25">
      <c r="A300" t="s">
        <v>1175</v>
      </c>
      <c r="B300">
        <v>2007</v>
      </c>
      <c r="C300" t="s">
        <v>179</v>
      </c>
      <c r="D300" t="b">
        <f>TRUE()</f>
        <v>1</v>
      </c>
      <c r="E300" t="b">
        <f>COUNTIF(connections!A:A, A300) &gt; 0</f>
        <v>1</v>
      </c>
      <c r="F300" t="s">
        <v>277</v>
      </c>
      <c r="G300" t="s">
        <v>1176</v>
      </c>
      <c r="H300" t="s">
        <v>187</v>
      </c>
      <c r="I300" t="s">
        <v>1177</v>
      </c>
    </row>
    <row r="301" spans="1:10" ht="15" customHeight="1" x14ac:dyDescent="0.25">
      <c r="A301" t="s">
        <v>1178</v>
      </c>
      <c r="B301">
        <v>2022</v>
      </c>
      <c r="C301" t="s">
        <v>179</v>
      </c>
      <c r="D301" t="b">
        <f>TRUE()</f>
        <v>1</v>
      </c>
      <c r="E301" t="b">
        <f>COUNTIF(connections!A:A, A301) &gt; 0</f>
        <v>0</v>
      </c>
      <c r="F301" t="s">
        <v>277</v>
      </c>
      <c r="G301" t="s">
        <v>1179</v>
      </c>
      <c r="J301" s="11" t="s">
        <v>1180</v>
      </c>
    </row>
    <row r="302" spans="1:10" ht="15" customHeight="1" x14ac:dyDescent="0.25">
      <c r="A302" t="s">
        <v>1181</v>
      </c>
      <c r="B302">
        <v>2024</v>
      </c>
      <c r="C302" t="s">
        <v>176</v>
      </c>
      <c r="D302" t="b">
        <f>FALSE()</f>
        <v>0</v>
      </c>
      <c r="E302" t="b">
        <f>COUNTIF(connections!A:A, A302) &gt; 0</f>
        <v>1</v>
      </c>
      <c r="G302" t="s">
        <v>1182</v>
      </c>
      <c r="H302" t="s">
        <v>187</v>
      </c>
      <c r="I302" t="s">
        <v>1183</v>
      </c>
      <c r="J302" s="1" t="s">
        <v>1184</v>
      </c>
    </row>
    <row r="303" spans="1:10" ht="15" customHeight="1" x14ac:dyDescent="0.25">
      <c r="A303" t="s">
        <v>1185</v>
      </c>
      <c r="B303">
        <v>2026</v>
      </c>
      <c r="C303" t="s">
        <v>176</v>
      </c>
      <c r="D303" t="b">
        <f>TRUE()</f>
        <v>1</v>
      </c>
      <c r="E303" t="b">
        <f>COUNTIF(connections!A:A, A303) &gt; 0</f>
        <v>0</v>
      </c>
      <c r="G303" t="s">
        <v>1186</v>
      </c>
      <c r="J303" s="11" t="s">
        <v>1187</v>
      </c>
    </row>
    <row r="304" spans="1:10" ht="15" customHeight="1" x14ac:dyDescent="0.25">
      <c r="A304" t="s">
        <v>1188</v>
      </c>
      <c r="B304">
        <v>2020</v>
      </c>
      <c r="C304" t="s">
        <v>176</v>
      </c>
      <c r="D304" t="b">
        <f>FALSE()</f>
        <v>0</v>
      </c>
      <c r="E304" t="b">
        <f>COUNTIF(connections!A:A, A304) &gt; 0</f>
        <v>1</v>
      </c>
      <c r="G304" t="s">
        <v>1189</v>
      </c>
      <c r="H304" t="s">
        <v>187</v>
      </c>
      <c r="I304" t="s">
        <v>1190</v>
      </c>
      <c r="J304" s="1" t="s">
        <v>1191</v>
      </c>
    </row>
    <row r="305" spans="1:10" ht="15" customHeight="1" x14ac:dyDescent="0.25">
      <c r="A305" t="s">
        <v>1192</v>
      </c>
      <c r="B305">
        <v>2023</v>
      </c>
      <c r="C305" t="s">
        <v>176</v>
      </c>
      <c r="D305" t="b">
        <f>FALSE()</f>
        <v>0</v>
      </c>
      <c r="E305" t="b">
        <f>COUNTIF(connections!A:A, A305) &gt; 0</f>
        <v>0</v>
      </c>
      <c r="G305" t="s">
        <v>1193</v>
      </c>
      <c r="H305" t="s">
        <v>187</v>
      </c>
      <c r="I305" t="s">
        <v>1194</v>
      </c>
      <c r="J305" s="1" t="s">
        <v>1195</v>
      </c>
    </row>
    <row r="306" spans="1:10" ht="15" customHeight="1" x14ac:dyDescent="0.25">
      <c r="A306" t="s">
        <v>1196</v>
      </c>
      <c r="B306">
        <v>2024</v>
      </c>
      <c r="C306" t="s">
        <v>176</v>
      </c>
      <c r="D306" t="b">
        <f>TRUE()</f>
        <v>1</v>
      </c>
      <c r="E306" t="b">
        <f>COUNTIF(connections!A:A, A306) &gt; 0</f>
        <v>0</v>
      </c>
      <c r="G306" t="s">
        <v>1197</v>
      </c>
    </row>
    <row r="307" spans="1:10" ht="15" customHeight="1" x14ac:dyDescent="0.25">
      <c r="A307" t="s">
        <v>1198</v>
      </c>
      <c r="B307">
        <v>2020</v>
      </c>
      <c r="C307" t="s">
        <v>179</v>
      </c>
      <c r="D307" t="b">
        <f>TRUE()</f>
        <v>1</v>
      </c>
      <c r="E307" t="b">
        <f>COUNTIF(connections!A:A, A307) &gt; 0</f>
        <v>0</v>
      </c>
      <c r="G307" t="s">
        <v>1199</v>
      </c>
      <c r="H307" t="s">
        <v>187</v>
      </c>
      <c r="I307" t="s">
        <v>1200</v>
      </c>
      <c r="J307" s="1" t="s">
        <v>1201</v>
      </c>
    </row>
    <row r="308" spans="1:10" ht="15" customHeight="1" x14ac:dyDescent="0.25">
      <c r="A308" t="s">
        <v>1202</v>
      </c>
      <c r="B308">
        <v>2025</v>
      </c>
      <c r="C308" t="s">
        <v>222</v>
      </c>
      <c r="D308" t="b">
        <f>FALSE()</f>
        <v>0</v>
      </c>
      <c r="E308" t="b">
        <f>COUNTIF(connections!A:A, A308) &gt; 0</f>
        <v>0</v>
      </c>
      <c r="F308" t="s">
        <v>404</v>
      </c>
      <c r="G308" t="s">
        <v>1203</v>
      </c>
      <c r="H308" t="s">
        <v>187</v>
      </c>
      <c r="I308" t="s">
        <v>1204</v>
      </c>
      <c r="J308" s="1" t="s">
        <v>1205</v>
      </c>
    </row>
    <row r="309" spans="1:10" ht="15" customHeight="1" x14ac:dyDescent="0.25">
      <c r="A309" t="s">
        <v>1206</v>
      </c>
      <c r="B309">
        <v>2024</v>
      </c>
      <c r="C309" t="s">
        <v>176</v>
      </c>
      <c r="D309" t="b">
        <f>FALSE()</f>
        <v>0</v>
      </c>
      <c r="E309" t="b">
        <f>COUNTIF(connections!A:A, A309) &gt; 0</f>
        <v>0</v>
      </c>
      <c r="F309" t="s">
        <v>277</v>
      </c>
      <c r="G309" t="s">
        <v>1207</v>
      </c>
      <c r="H309" t="s">
        <v>187</v>
      </c>
      <c r="I309" t="s">
        <v>1208</v>
      </c>
      <c r="J309" s="1" t="s">
        <v>1209</v>
      </c>
    </row>
    <row r="310" spans="1:10" ht="15" customHeight="1" x14ac:dyDescent="0.25">
      <c r="A310" t="s">
        <v>1210</v>
      </c>
      <c r="B310">
        <v>2026</v>
      </c>
      <c r="C310" t="s">
        <v>182</v>
      </c>
      <c r="D310" t="b">
        <f>FALSE()</f>
        <v>0</v>
      </c>
      <c r="E310" t="b">
        <f>COUNTIF(connections!A:A, A310) &gt; 0</f>
        <v>0</v>
      </c>
      <c r="F310" t="s">
        <v>264</v>
      </c>
      <c r="G310" t="s">
        <v>1211</v>
      </c>
    </row>
    <row r="311" spans="1:10" ht="15" customHeight="1" x14ac:dyDescent="0.25">
      <c r="A311" t="s">
        <v>1212</v>
      </c>
      <c r="B311">
        <v>2023</v>
      </c>
      <c r="C311" t="s">
        <v>176</v>
      </c>
      <c r="D311" t="b">
        <f>TRUE()</f>
        <v>1</v>
      </c>
      <c r="E311" t="b">
        <f>COUNTIF(connections!A:A, A311) &gt; 0</f>
        <v>0</v>
      </c>
      <c r="G311" t="s">
        <v>1213</v>
      </c>
      <c r="H311" t="s">
        <v>187</v>
      </c>
      <c r="I311" t="s">
        <v>1214</v>
      </c>
      <c r="J311" s="1" t="s">
        <v>1215</v>
      </c>
    </row>
    <row r="312" spans="1:10" ht="15" customHeight="1" x14ac:dyDescent="0.25">
      <c r="A312" t="s">
        <v>1216</v>
      </c>
      <c r="B312">
        <v>2025</v>
      </c>
      <c r="C312" t="s">
        <v>176</v>
      </c>
      <c r="D312" t="b">
        <f>FALSE()</f>
        <v>0</v>
      </c>
      <c r="E312" t="b">
        <f>COUNTIF(connections!A:A, A312) &gt; 0</f>
        <v>0</v>
      </c>
      <c r="G312" t="s">
        <v>1217</v>
      </c>
      <c r="H312" t="s">
        <v>187</v>
      </c>
      <c r="I312" t="s">
        <v>1218</v>
      </c>
      <c r="J312" s="1" t="s">
        <v>1219</v>
      </c>
    </row>
    <row r="313" spans="1:10" ht="15" customHeight="1" x14ac:dyDescent="0.25">
      <c r="A313" t="s">
        <v>1220</v>
      </c>
      <c r="B313">
        <v>2020</v>
      </c>
      <c r="C313" t="s">
        <v>176</v>
      </c>
      <c r="D313" t="b">
        <f>TRUE()</f>
        <v>1</v>
      </c>
      <c r="E313" t="b">
        <f>COUNTIF(connections!A:A, A313) &gt; 0</f>
        <v>0</v>
      </c>
      <c r="G313" t="s">
        <v>1221</v>
      </c>
      <c r="H313" t="s">
        <v>187</v>
      </c>
      <c r="I313" t="s">
        <v>1222</v>
      </c>
      <c r="J313" s="1" t="s">
        <v>1223</v>
      </c>
    </row>
    <row r="314" spans="1:10" ht="15" customHeight="1" x14ac:dyDescent="0.25">
      <c r="A314" t="s">
        <v>1224</v>
      </c>
      <c r="B314">
        <v>2014</v>
      </c>
      <c r="C314" t="s">
        <v>179</v>
      </c>
      <c r="D314" t="b">
        <f>TRUE()</f>
        <v>1</v>
      </c>
      <c r="E314" t="b">
        <f>COUNTIF(connections!A:A, A314) &gt; 0</f>
        <v>0</v>
      </c>
      <c r="G314" t="s">
        <v>1225</v>
      </c>
      <c r="H314" t="s">
        <v>187</v>
      </c>
      <c r="I314" t="s">
        <v>1226</v>
      </c>
      <c r="J314" s="1" t="s">
        <v>1227</v>
      </c>
    </row>
    <row r="315" spans="1:10" ht="15" customHeight="1" x14ac:dyDescent="0.25">
      <c r="A315" t="s">
        <v>1228</v>
      </c>
      <c r="B315">
        <v>2020</v>
      </c>
      <c r="C315" t="s">
        <v>176</v>
      </c>
      <c r="D315" t="b">
        <f>TRUE()</f>
        <v>1</v>
      </c>
      <c r="E315" t="b">
        <f>COUNTIF(connections!A:A, A315) &gt; 0</f>
        <v>0</v>
      </c>
      <c r="G315" t="s">
        <v>1229</v>
      </c>
      <c r="H315" t="s">
        <v>187</v>
      </c>
      <c r="I315" t="s">
        <v>1230</v>
      </c>
      <c r="J315" s="1" t="s">
        <v>1231</v>
      </c>
    </row>
    <row r="316" spans="1:10" ht="15" customHeight="1" x14ac:dyDescent="0.25">
      <c r="A316" t="s">
        <v>1232</v>
      </c>
      <c r="B316">
        <v>2022</v>
      </c>
      <c r="C316" t="s">
        <v>176</v>
      </c>
      <c r="D316" t="b">
        <f>TRUE()</f>
        <v>1</v>
      </c>
      <c r="E316" t="b">
        <f>COUNTIF(connections!A:A, A316) &gt; 0</f>
        <v>0</v>
      </c>
      <c r="G316" t="s">
        <v>1233</v>
      </c>
      <c r="H316" t="s">
        <v>187</v>
      </c>
      <c r="I316" t="s">
        <v>1234</v>
      </c>
      <c r="J316" s="1" t="s">
        <v>1235</v>
      </c>
    </row>
    <row r="317" spans="1:10" ht="15" customHeight="1" x14ac:dyDescent="0.25">
      <c r="A317" t="s">
        <v>1236</v>
      </c>
      <c r="B317">
        <v>2016</v>
      </c>
      <c r="C317" t="s">
        <v>176</v>
      </c>
      <c r="D317" t="b">
        <f>TRUE()</f>
        <v>1</v>
      </c>
      <c r="E317" t="b">
        <f>COUNTIF(connections!A:A, A317) &gt; 0</f>
        <v>1</v>
      </c>
      <c r="G317" t="s">
        <v>1237</v>
      </c>
      <c r="H317" t="s">
        <v>187</v>
      </c>
      <c r="I317" t="s">
        <v>1238</v>
      </c>
      <c r="J317" s="1" t="s">
        <v>1239</v>
      </c>
    </row>
    <row r="318" spans="1:10" ht="15" customHeight="1" x14ac:dyDescent="0.25">
      <c r="A318" t="s">
        <v>1240</v>
      </c>
      <c r="B318">
        <v>2020</v>
      </c>
      <c r="C318" t="s">
        <v>176</v>
      </c>
      <c r="D318" t="b">
        <f>TRUE()</f>
        <v>1</v>
      </c>
      <c r="E318" t="b">
        <f>COUNTIF(connections!A:A, A318) &gt; 0</f>
        <v>0</v>
      </c>
      <c r="G318" t="s">
        <v>1241</v>
      </c>
      <c r="H318" t="s">
        <v>187</v>
      </c>
      <c r="I318" t="s">
        <v>1242</v>
      </c>
      <c r="J318" s="1" t="s">
        <v>1243</v>
      </c>
    </row>
    <row r="319" spans="1:10" ht="15" customHeight="1" x14ac:dyDescent="0.25">
      <c r="A319" t="s">
        <v>1244</v>
      </c>
      <c r="B319">
        <v>2023</v>
      </c>
      <c r="C319" t="s">
        <v>176</v>
      </c>
      <c r="D319" t="b">
        <f>TRUE()</f>
        <v>1</v>
      </c>
      <c r="E319" t="b">
        <f>COUNTIF(connections!A:A, A319) &gt; 0</f>
        <v>0</v>
      </c>
      <c r="G319" t="s">
        <v>1245</v>
      </c>
    </row>
    <row r="320" spans="1:10" ht="15" customHeight="1" x14ac:dyDescent="0.25">
      <c r="A320" t="s">
        <v>1246</v>
      </c>
      <c r="B320">
        <v>2020</v>
      </c>
      <c r="C320" t="s">
        <v>182</v>
      </c>
      <c r="D320" t="b">
        <f>TRUE()</f>
        <v>1</v>
      </c>
      <c r="E320" t="b">
        <f>COUNTIF(connections!A:A, A320) &gt; 0</f>
        <v>0</v>
      </c>
      <c r="G320" t="s">
        <v>1247</v>
      </c>
      <c r="H320" t="s">
        <v>187</v>
      </c>
      <c r="I320" t="s">
        <v>1248</v>
      </c>
      <c r="J320" s="11" t="s">
        <v>1249</v>
      </c>
    </row>
    <row r="321" spans="1:10" ht="15" customHeight="1" x14ac:dyDescent="0.25">
      <c r="A321" t="s">
        <v>1250</v>
      </c>
      <c r="B321">
        <v>2025</v>
      </c>
      <c r="C321" t="s">
        <v>176</v>
      </c>
      <c r="D321" t="b">
        <f>FALSE()</f>
        <v>0</v>
      </c>
      <c r="E321" t="b">
        <f>COUNTIF(connections!A:A, A321) &gt; 0</f>
        <v>0</v>
      </c>
      <c r="F321" t="s">
        <v>277</v>
      </c>
      <c r="G321" t="s">
        <v>1251</v>
      </c>
    </row>
    <row r="322" spans="1:10" ht="15" customHeight="1" x14ac:dyDescent="0.25">
      <c r="A322" t="s">
        <v>1252</v>
      </c>
      <c r="B322">
        <v>2023</v>
      </c>
      <c r="C322" t="s">
        <v>176</v>
      </c>
      <c r="D322" t="b">
        <f>TRUE()</f>
        <v>1</v>
      </c>
      <c r="E322" t="b">
        <f>COUNTIF(connections!A:A, A322) &gt; 0</f>
        <v>0</v>
      </c>
      <c r="G322" t="s">
        <v>1253</v>
      </c>
      <c r="H322" t="s">
        <v>187</v>
      </c>
      <c r="I322" t="s">
        <v>1254</v>
      </c>
      <c r="J322" s="1" t="s">
        <v>1255</v>
      </c>
    </row>
    <row r="323" spans="1:10" ht="15" customHeight="1" x14ac:dyDescent="0.25">
      <c r="A323" t="s">
        <v>1256</v>
      </c>
      <c r="B323">
        <v>2020</v>
      </c>
      <c r="C323" t="s">
        <v>182</v>
      </c>
      <c r="D323" t="b">
        <f>TRUE()</f>
        <v>1</v>
      </c>
      <c r="E323" t="b">
        <f>COUNTIF(connections!A:A, A323) &gt; 0</f>
        <v>1</v>
      </c>
      <c r="G323" t="s">
        <v>1257</v>
      </c>
      <c r="H323" t="s">
        <v>187</v>
      </c>
      <c r="I323" t="s">
        <v>1258</v>
      </c>
      <c r="J323" s="1" t="s">
        <v>1259</v>
      </c>
    </row>
    <row r="324" spans="1:10" ht="15" customHeight="1" x14ac:dyDescent="0.25">
      <c r="A324" t="s">
        <v>1260</v>
      </c>
      <c r="B324">
        <v>2021</v>
      </c>
      <c r="C324" t="s">
        <v>176</v>
      </c>
      <c r="D324" t="b">
        <f>TRUE()</f>
        <v>1</v>
      </c>
      <c r="E324" t="b">
        <f>COUNTIF(connections!A:A, A324) &gt; 0</f>
        <v>1</v>
      </c>
      <c r="G324" t="s">
        <v>1261</v>
      </c>
      <c r="H324" t="s">
        <v>187</v>
      </c>
      <c r="I324" t="s">
        <v>1262</v>
      </c>
    </row>
    <row r="325" spans="1:10" ht="15" customHeight="1" x14ac:dyDescent="0.25">
      <c r="A325" t="s">
        <v>1263</v>
      </c>
      <c r="B325">
        <v>2024</v>
      </c>
      <c r="C325" t="s">
        <v>176</v>
      </c>
      <c r="D325" t="b">
        <f>TRUE()</f>
        <v>1</v>
      </c>
      <c r="E325" t="b">
        <f>COUNTIF(connections!A:A, A325) &gt; 0</f>
        <v>0</v>
      </c>
      <c r="G325" t="s">
        <v>1264</v>
      </c>
      <c r="J325" s="11" t="s">
        <v>1265</v>
      </c>
    </row>
    <row r="326" spans="1:10" ht="15" customHeight="1" x14ac:dyDescent="0.25">
      <c r="A326" t="s">
        <v>1266</v>
      </c>
      <c r="B326">
        <v>2015</v>
      </c>
      <c r="C326" t="s">
        <v>182</v>
      </c>
      <c r="D326" t="b">
        <f>TRUE()</f>
        <v>1</v>
      </c>
      <c r="E326" t="b">
        <f>COUNTIF(connections!A:A, A326) &gt; 0</f>
        <v>1</v>
      </c>
      <c r="G326" t="s">
        <v>1267</v>
      </c>
      <c r="J326" s="1" t="s">
        <v>1268</v>
      </c>
    </row>
    <row r="327" spans="1:10" ht="15" customHeight="1" x14ac:dyDescent="0.25">
      <c r="A327" t="s">
        <v>1269</v>
      </c>
      <c r="B327">
        <v>2017</v>
      </c>
      <c r="C327" t="s">
        <v>222</v>
      </c>
      <c r="D327" t="b">
        <f>FALSE()</f>
        <v>0</v>
      </c>
      <c r="E327" t="b">
        <f>COUNTIF(connections!A:A, A327) &gt; 0</f>
        <v>0</v>
      </c>
      <c r="G327" t="s">
        <v>1270</v>
      </c>
      <c r="H327" t="s">
        <v>187</v>
      </c>
      <c r="I327" t="s">
        <v>1271</v>
      </c>
      <c r="J327" s="1" t="s">
        <v>1272</v>
      </c>
    </row>
    <row r="328" spans="1:10" ht="15" customHeight="1" x14ac:dyDescent="0.25">
      <c r="A328" t="s">
        <v>1273</v>
      </c>
      <c r="B328">
        <v>2020</v>
      </c>
      <c r="C328" t="s">
        <v>176</v>
      </c>
      <c r="D328" t="b">
        <f>TRUE()</f>
        <v>1</v>
      </c>
      <c r="E328" t="b">
        <f>COUNTIF(connections!A:A, A328) &gt; 0</f>
        <v>1</v>
      </c>
      <c r="G328" t="s">
        <v>1274</v>
      </c>
      <c r="H328" t="s">
        <v>187</v>
      </c>
      <c r="I328" t="s">
        <v>1275</v>
      </c>
      <c r="J328" s="1" t="s">
        <v>1276</v>
      </c>
    </row>
    <row r="329" spans="1:10" ht="15" customHeight="1" x14ac:dyDescent="0.25">
      <c r="A329" t="s">
        <v>1277</v>
      </c>
      <c r="B329">
        <v>2022</v>
      </c>
      <c r="C329" t="s">
        <v>176</v>
      </c>
      <c r="D329" t="b">
        <f>TRUE()</f>
        <v>1</v>
      </c>
      <c r="E329" t="b">
        <f>COUNTIF(connections!A:A, A329) &gt; 0</f>
        <v>1</v>
      </c>
      <c r="F329" t="s">
        <v>274</v>
      </c>
      <c r="G329" t="s">
        <v>1278</v>
      </c>
      <c r="H329" t="s">
        <v>187</v>
      </c>
      <c r="I329" t="s">
        <v>1279</v>
      </c>
      <c r="J329" s="1" t="s">
        <v>1280</v>
      </c>
    </row>
    <row r="330" spans="1:10" ht="15" customHeight="1" x14ac:dyDescent="0.25">
      <c r="A330" t="s">
        <v>1281</v>
      </c>
      <c r="B330">
        <v>2025</v>
      </c>
      <c r="C330" t="s">
        <v>176</v>
      </c>
      <c r="D330" t="b">
        <f>TRUE()</f>
        <v>1</v>
      </c>
      <c r="E330" t="b">
        <f>COUNTIF(connections!A:A, A330) &gt; 0</f>
        <v>0</v>
      </c>
      <c r="F330" t="s">
        <v>274</v>
      </c>
      <c r="G330" t="s">
        <v>1282</v>
      </c>
      <c r="H330" t="s">
        <v>187</v>
      </c>
      <c r="I330" t="s">
        <v>1283</v>
      </c>
      <c r="J330" s="1" t="s">
        <v>1284</v>
      </c>
    </row>
    <row r="331" spans="1:10" ht="15" customHeight="1" x14ac:dyDescent="0.25">
      <c r="A331" t="s">
        <v>7760</v>
      </c>
      <c r="B331">
        <v>2025</v>
      </c>
      <c r="C331" t="s">
        <v>176</v>
      </c>
      <c r="D331" t="b">
        <f>TRUE()</f>
        <v>1</v>
      </c>
      <c r="E331" t="b">
        <f>COUNTIF(connections!A:A, A331) &gt; 0</f>
        <v>0</v>
      </c>
      <c r="G331" t="s">
        <v>7761</v>
      </c>
      <c r="H331" t="s">
        <v>187</v>
      </c>
      <c r="I331" t="s">
        <v>7764</v>
      </c>
      <c r="J331" s="11" t="s">
        <v>7762</v>
      </c>
    </row>
    <row r="332" spans="1:10" ht="15" customHeight="1" x14ac:dyDescent="0.25">
      <c r="A332" t="s">
        <v>1285</v>
      </c>
      <c r="B332">
        <v>1984</v>
      </c>
      <c r="C332" t="s">
        <v>179</v>
      </c>
      <c r="D332" t="b">
        <f>TRUE()</f>
        <v>1</v>
      </c>
      <c r="E332" t="b">
        <f>COUNTIF(connections!A:A, A332) &gt; 0</f>
        <v>1</v>
      </c>
      <c r="G332" t="s">
        <v>1286</v>
      </c>
      <c r="H332" t="s">
        <v>187</v>
      </c>
      <c r="I332" t="s">
        <v>1287</v>
      </c>
    </row>
    <row r="333" spans="1:10" ht="15" customHeight="1" x14ac:dyDescent="0.25">
      <c r="A333" t="s">
        <v>1288</v>
      </c>
      <c r="B333">
        <v>2022</v>
      </c>
      <c r="C333" t="s">
        <v>179</v>
      </c>
      <c r="D333" t="b">
        <f>TRUE()</f>
        <v>1</v>
      </c>
      <c r="E333" t="b">
        <f>COUNTIF(connections!A:A, A333) &gt; 0</f>
        <v>1</v>
      </c>
      <c r="G333" t="s">
        <v>1289</v>
      </c>
      <c r="H333" t="s">
        <v>187</v>
      </c>
      <c r="I333" t="s">
        <v>1290</v>
      </c>
    </row>
    <row r="334" spans="1:10" ht="15" customHeight="1" x14ac:dyDescent="0.25">
      <c r="A334" t="s">
        <v>1291</v>
      </c>
      <c r="B334">
        <v>2021</v>
      </c>
      <c r="C334" t="s">
        <v>182</v>
      </c>
      <c r="D334" t="b">
        <f>TRUE()</f>
        <v>1</v>
      </c>
      <c r="E334" t="b">
        <f>COUNTIF(connections!A:A, A334) &gt; 0</f>
        <v>0</v>
      </c>
      <c r="F334" t="s">
        <v>199</v>
      </c>
      <c r="G334" t="s">
        <v>1292</v>
      </c>
      <c r="H334" t="s">
        <v>187</v>
      </c>
      <c r="I334" t="s">
        <v>1293</v>
      </c>
      <c r="J334" s="1" t="s">
        <v>1294</v>
      </c>
    </row>
    <row r="335" spans="1:10" ht="15" customHeight="1" x14ac:dyDescent="0.25">
      <c r="A335" t="s">
        <v>1295</v>
      </c>
      <c r="B335">
        <v>2019</v>
      </c>
      <c r="C335" t="s">
        <v>176</v>
      </c>
      <c r="D335" t="b">
        <f>TRUE()</f>
        <v>1</v>
      </c>
      <c r="E335" t="b">
        <f>COUNTIF(connections!A:A, A335) &gt; 0</f>
        <v>1</v>
      </c>
      <c r="F335" t="s">
        <v>199</v>
      </c>
      <c r="G335" t="s">
        <v>1296</v>
      </c>
      <c r="H335" t="s">
        <v>187</v>
      </c>
      <c r="I335" t="s">
        <v>1297</v>
      </c>
      <c r="J335" s="1" t="s">
        <v>1298</v>
      </c>
    </row>
    <row r="336" spans="1:10" ht="15" customHeight="1" x14ac:dyDescent="0.25">
      <c r="A336" t="s">
        <v>1299</v>
      </c>
      <c r="B336">
        <v>2024</v>
      </c>
      <c r="C336" t="s">
        <v>176</v>
      </c>
      <c r="D336" t="b">
        <f>TRUE()</f>
        <v>1</v>
      </c>
      <c r="E336" t="b">
        <f>COUNTIF(connections!A:A, A336) &gt; 0</f>
        <v>0</v>
      </c>
      <c r="F336" t="s">
        <v>199</v>
      </c>
      <c r="G336" t="s">
        <v>1300</v>
      </c>
      <c r="H336" t="s">
        <v>187</v>
      </c>
      <c r="I336" t="s">
        <v>1301</v>
      </c>
      <c r="J336" s="1" t="s">
        <v>1302</v>
      </c>
    </row>
    <row r="337" spans="1:10" ht="15" customHeight="1" x14ac:dyDescent="0.25">
      <c r="A337" t="s">
        <v>1303</v>
      </c>
      <c r="B337">
        <v>2023</v>
      </c>
      <c r="C337" t="s">
        <v>176</v>
      </c>
      <c r="D337" t="b">
        <f>TRUE()</f>
        <v>1</v>
      </c>
      <c r="E337" t="b">
        <f>COUNTIF(connections!A:A, A337) &gt; 0</f>
        <v>1</v>
      </c>
      <c r="F337" t="s">
        <v>199</v>
      </c>
      <c r="G337" t="s">
        <v>1304</v>
      </c>
      <c r="H337" t="s">
        <v>187</v>
      </c>
      <c r="I337" t="s">
        <v>1305</v>
      </c>
      <c r="J337" s="1" t="s">
        <v>1306</v>
      </c>
    </row>
    <row r="338" spans="1:10" ht="15" customHeight="1" x14ac:dyDescent="0.25">
      <c r="A338" t="s">
        <v>1307</v>
      </c>
      <c r="B338">
        <v>2014</v>
      </c>
      <c r="C338" t="s">
        <v>182</v>
      </c>
      <c r="D338" t="b">
        <f>TRUE()</f>
        <v>1</v>
      </c>
      <c r="E338" t="b">
        <f>COUNTIF(connections!A:A, A338) &gt; 0</f>
        <v>1</v>
      </c>
      <c r="G338" t="s">
        <v>1308</v>
      </c>
      <c r="H338" t="s">
        <v>187</v>
      </c>
      <c r="I338" t="s">
        <v>1309</v>
      </c>
      <c r="J338" s="1" t="s">
        <v>1310</v>
      </c>
    </row>
    <row r="339" spans="1:10" ht="15" customHeight="1" x14ac:dyDescent="0.25">
      <c r="A339" t="s">
        <v>1311</v>
      </c>
      <c r="B339">
        <v>2017</v>
      </c>
      <c r="C339" t="s">
        <v>182</v>
      </c>
      <c r="D339" t="b">
        <f>TRUE()</f>
        <v>1</v>
      </c>
      <c r="E339" t="b">
        <f>COUNTIF(connections!A:A, A339) &gt; 0</f>
        <v>0</v>
      </c>
      <c r="G339" t="s">
        <v>1312</v>
      </c>
    </row>
    <row r="340" spans="1:10" ht="15" customHeight="1" x14ac:dyDescent="0.25">
      <c r="A340" t="s">
        <v>1313</v>
      </c>
      <c r="B340">
        <v>2026</v>
      </c>
      <c r="C340" t="s">
        <v>176</v>
      </c>
      <c r="D340" t="b">
        <v>1</v>
      </c>
      <c r="E340" t="b">
        <f>COUNTIF(connections!A:A, A340) &gt; 0</f>
        <v>0</v>
      </c>
      <c r="G340" t="s">
        <v>1314</v>
      </c>
      <c r="J340" s="11" t="s">
        <v>1315</v>
      </c>
    </row>
    <row r="341" spans="1:10" ht="15" customHeight="1" x14ac:dyDescent="0.25">
      <c r="A341" t="s">
        <v>1316</v>
      </c>
      <c r="B341">
        <v>2025</v>
      </c>
      <c r="C341" t="s">
        <v>176</v>
      </c>
      <c r="D341" t="b">
        <f>FALSE()</f>
        <v>0</v>
      </c>
      <c r="E341" t="b">
        <f>COUNTIF(connections!A:A, A341) &gt; 0</f>
        <v>0</v>
      </c>
      <c r="F341" t="s">
        <v>614</v>
      </c>
      <c r="G341" t="s">
        <v>1317</v>
      </c>
    </row>
    <row r="342" spans="1:10" ht="15" customHeight="1" x14ac:dyDescent="0.25">
      <c r="A342" t="s">
        <v>1318</v>
      </c>
      <c r="B342">
        <v>2017</v>
      </c>
      <c r="C342" t="s">
        <v>179</v>
      </c>
      <c r="D342" t="b">
        <f>TRUE()</f>
        <v>1</v>
      </c>
      <c r="E342" t="b">
        <f>COUNTIF(connections!A:A, A342) &gt; 0</f>
        <v>0</v>
      </c>
      <c r="G342" t="s">
        <v>1319</v>
      </c>
      <c r="J342" s="1" t="s">
        <v>1320</v>
      </c>
    </row>
    <row r="343" spans="1:10" ht="15" customHeight="1" x14ac:dyDescent="0.25">
      <c r="A343" t="s">
        <v>1321</v>
      </c>
      <c r="B343">
        <v>2017</v>
      </c>
      <c r="C343" t="s">
        <v>176</v>
      </c>
      <c r="D343" t="b">
        <f>TRUE()</f>
        <v>1</v>
      </c>
      <c r="E343" t="b">
        <f>COUNTIF(connections!A:A, A343) &gt; 0</f>
        <v>0</v>
      </c>
      <c r="G343" t="s">
        <v>1322</v>
      </c>
    </row>
    <row r="344" spans="1:10" ht="15" customHeight="1" x14ac:dyDescent="0.25">
      <c r="A344" t="s">
        <v>1323</v>
      </c>
      <c r="B344">
        <v>2025</v>
      </c>
      <c r="C344" t="s">
        <v>176</v>
      </c>
      <c r="D344" t="b">
        <f>FALSE()</f>
        <v>0</v>
      </c>
      <c r="E344" t="b">
        <f>COUNTIF(connections!A:A, A344) &gt; 0</f>
        <v>0</v>
      </c>
      <c r="G344" t="s">
        <v>1324</v>
      </c>
      <c r="H344" t="s">
        <v>187</v>
      </c>
      <c r="I344" t="s">
        <v>1325</v>
      </c>
      <c r="J344" s="1" t="s">
        <v>1326</v>
      </c>
    </row>
    <row r="345" spans="1:10" ht="15" customHeight="1" x14ac:dyDescent="0.25">
      <c r="A345" t="s">
        <v>1327</v>
      </c>
      <c r="B345">
        <v>2022</v>
      </c>
      <c r="C345" t="s">
        <v>176</v>
      </c>
      <c r="D345" t="b">
        <f>TRUE()</f>
        <v>1</v>
      </c>
      <c r="E345" t="b">
        <f>COUNTIF(connections!A:A, A345) &gt; 0</f>
        <v>0</v>
      </c>
      <c r="F345" t="s">
        <v>199</v>
      </c>
      <c r="G345" t="s">
        <v>1328</v>
      </c>
      <c r="H345" t="s">
        <v>187</v>
      </c>
      <c r="I345" t="s">
        <v>1329</v>
      </c>
      <c r="J345" s="1" t="s">
        <v>1330</v>
      </c>
    </row>
    <row r="346" spans="1:10" ht="15" customHeight="1" x14ac:dyDescent="0.25">
      <c r="A346" t="s">
        <v>1331</v>
      </c>
      <c r="B346">
        <v>2025</v>
      </c>
      <c r="C346" t="s">
        <v>182</v>
      </c>
      <c r="D346" t="b">
        <f>TRUE()</f>
        <v>1</v>
      </c>
      <c r="E346" t="b">
        <f>COUNTIF(connections!A:A, A346) &gt; 0</f>
        <v>0</v>
      </c>
      <c r="G346" t="s">
        <v>1332</v>
      </c>
      <c r="H346" t="s">
        <v>187</v>
      </c>
      <c r="I346" t="s">
        <v>1333</v>
      </c>
      <c r="J346" s="1" t="s">
        <v>1334</v>
      </c>
    </row>
    <row r="347" spans="1:10" ht="15" customHeight="1" x14ac:dyDescent="0.25">
      <c r="A347" t="s">
        <v>1335</v>
      </c>
      <c r="B347">
        <v>2023</v>
      </c>
      <c r="C347" t="s">
        <v>176</v>
      </c>
      <c r="D347" t="b">
        <f>FALSE()</f>
        <v>0</v>
      </c>
      <c r="E347" t="b">
        <f>COUNTIF(connections!A:A, A347) &gt; 0</f>
        <v>0</v>
      </c>
      <c r="G347" t="s">
        <v>1336</v>
      </c>
    </row>
    <row r="348" spans="1:10" ht="15" customHeight="1" x14ac:dyDescent="0.25">
      <c r="A348" t="s">
        <v>1337</v>
      </c>
      <c r="B348">
        <v>2017</v>
      </c>
      <c r="C348" t="s">
        <v>176</v>
      </c>
      <c r="D348" t="b">
        <f>FALSE()</f>
        <v>0</v>
      </c>
      <c r="E348" t="b">
        <f>COUNTIF(connections!A:A, A348) &gt; 0</f>
        <v>0</v>
      </c>
      <c r="G348" t="s">
        <v>1338</v>
      </c>
      <c r="H348" t="s">
        <v>187</v>
      </c>
      <c r="I348" t="s">
        <v>1339</v>
      </c>
      <c r="J348" s="1" t="s">
        <v>1340</v>
      </c>
    </row>
    <row r="349" spans="1:10" ht="15" customHeight="1" x14ac:dyDescent="0.25">
      <c r="A349" t="s">
        <v>1341</v>
      </c>
      <c r="B349">
        <v>2014</v>
      </c>
      <c r="C349" t="s">
        <v>176</v>
      </c>
      <c r="D349" t="b">
        <f>FALSE()</f>
        <v>0</v>
      </c>
      <c r="E349" t="b">
        <f>COUNTIF(connections!A:A, A349) &gt; 0</f>
        <v>0</v>
      </c>
      <c r="G349" t="s">
        <v>1342</v>
      </c>
      <c r="H349" t="s">
        <v>187</v>
      </c>
      <c r="I349" t="s">
        <v>1343</v>
      </c>
      <c r="J349" s="1" t="s">
        <v>1344</v>
      </c>
    </row>
    <row r="350" spans="1:10" ht="15" customHeight="1" x14ac:dyDescent="0.25">
      <c r="A350" t="s">
        <v>1345</v>
      </c>
      <c r="B350">
        <v>2025</v>
      </c>
      <c r="C350" t="s">
        <v>176</v>
      </c>
      <c r="D350" t="b">
        <f>TRUE()</f>
        <v>1</v>
      </c>
      <c r="E350" t="b">
        <f>COUNTIF(connections!A:A, A350) &gt; 0</f>
        <v>0</v>
      </c>
      <c r="G350" t="s">
        <v>1346</v>
      </c>
      <c r="H350" t="s">
        <v>187</v>
      </c>
      <c r="I350" t="s">
        <v>1347</v>
      </c>
      <c r="J350" s="1" t="s">
        <v>1348</v>
      </c>
    </row>
    <row r="351" spans="1:10" ht="15" customHeight="1" x14ac:dyDescent="0.25">
      <c r="A351" t="s">
        <v>1349</v>
      </c>
      <c r="B351">
        <v>2026</v>
      </c>
      <c r="C351" t="s">
        <v>176</v>
      </c>
      <c r="D351" t="b">
        <f>TRUE()</f>
        <v>1</v>
      </c>
      <c r="E351" t="b">
        <f>COUNTIF(connections!A:A, A351) &gt; 0</f>
        <v>0</v>
      </c>
      <c r="F351" t="s">
        <v>199</v>
      </c>
      <c r="G351" t="s">
        <v>1350</v>
      </c>
      <c r="J351" s="11" t="s">
        <v>1351</v>
      </c>
    </row>
    <row r="352" spans="1:10" ht="15" customHeight="1" x14ac:dyDescent="0.25">
      <c r="A352" t="s">
        <v>1352</v>
      </c>
      <c r="B352">
        <v>2023</v>
      </c>
      <c r="C352" t="s">
        <v>176</v>
      </c>
      <c r="D352" t="b">
        <f>FALSE()</f>
        <v>0</v>
      </c>
      <c r="E352" t="b">
        <f>COUNTIF(connections!A:A, A352) &gt; 0</f>
        <v>0</v>
      </c>
      <c r="G352" t="s">
        <v>1353</v>
      </c>
    </row>
    <row r="353" spans="1:10" ht="15" customHeight="1" x14ac:dyDescent="0.25">
      <c r="A353" t="s">
        <v>1354</v>
      </c>
      <c r="B353">
        <v>2023</v>
      </c>
      <c r="C353" t="s">
        <v>182</v>
      </c>
      <c r="D353" t="b">
        <f>TRUE()</f>
        <v>1</v>
      </c>
      <c r="E353" t="b">
        <f>COUNTIF(connections!A:A, A353) &gt; 0</f>
        <v>0</v>
      </c>
      <c r="G353" t="s">
        <v>1355</v>
      </c>
      <c r="H353" t="s">
        <v>187</v>
      </c>
      <c r="I353" t="s">
        <v>1356</v>
      </c>
      <c r="J353" s="1" t="s">
        <v>1357</v>
      </c>
    </row>
    <row r="354" spans="1:10" ht="15" customHeight="1" x14ac:dyDescent="0.25">
      <c r="A354" t="s">
        <v>1358</v>
      </c>
      <c r="B354">
        <v>2025</v>
      </c>
      <c r="C354" t="s">
        <v>176</v>
      </c>
      <c r="D354" t="b">
        <f>TRUE()</f>
        <v>1</v>
      </c>
      <c r="E354" t="b">
        <f>COUNTIF(connections!A:A, A354) &gt; 0</f>
        <v>0</v>
      </c>
      <c r="G354" t="s">
        <v>1359</v>
      </c>
      <c r="H354" t="s">
        <v>187</v>
      </c>
      <c r="I354" t="s">
        <v>1360</v>
      </c>
      <c r="J354" s="1" t="s">
        <v>1361</v>
      </c>
    </row>
    <row r="355" spans="1:10" ht="15" customHeight="1" x14ac:dyDescent="0.25">
      <c r="A355" t="s">
        <v>1362</v>
      </c>
      <c r="B355">
        <v>2023</v>
      </c>
      <c r="C355" t="s">
        <v>176</v>
      </c>
      <c r="D355" t="b">
        <f>TRUE()</f>
        <v>1</v>
      </c>
      <c r="E355" t="b">
        <f>COUNTIF(connections!A:A, A355) &gt; 0</f>
        <v>0</v>
      </c>
      <c r="F355" t="s">
        <v>199</v>
      </c>
      <c r="G355" t="s">
        <v>1363</v>
      </c>
      <c r="H355" t="s">
        <v>187</v>
      </c>
      <c r="I355" t="s">
        <v>1364</v>
      </c>
      <c r="J355" s="1" t="s">
        <v>1365</v>
      </c>
    </row>
    <row r="356" spans="1:10" ht="15" customHeight="1" x14ac:dyDescent="0.25">
      <c r="A356" t="s">
        <v>1366</v>
      </c>
      <c r="B356">
        <v>2018</v>
      </c>
      <c r="C356" t="s">
        <v>176</v>
      </c>
      <c r="D356" t="b">
        <f>TRUE()</f>
        <v>1</v>
      </c>
      <c r="E356" t="b">
        <f>COUNTIF(connections!A:A, A356) &gt; 0</f>
        <v>1</v>
      </c>
      <c r="G356" t="s">
        <v>1367</v>
      </c>
      <c r="H356" t="s">
        <v>187</v>
      </c>
      <c r="I356" t="s">
        <v>1368</v>
      </c>
      <c r="J356" s="1" t="s">
        <v>1369</v>
      </c>
    </row>
    <row r="357" spans="1:10" ht="15" customHeight="1" x14ac:dyDescent="0.25">
      <c r="A357" t="s">
        <v>1370</v>
      </c>
      <c r="B357">
        <v>2025</v>
      </c>
      <c r="C357" t="s">
        <v>176</v>
      </c>
      <c r="D357" t="b">
        <f>TRUE()</f>
        <v>1</v>
      </c>
      <c r="E357" t="b">
        <f>COUNTIF(connections!A:A, A357) &gt; 0</f>
        <v>0</v>
      </c>
      <c r="G357" t="s">
        <v>1371</v>
      </c>
      <c r="H357" t="s">
        <v>187</v>
      </c>
      <c r="I357" t="s">
        <v>1372</v>
      </c>
      <c r="J357" s="1" t="s">
        <v>1373</v>
      </c>
    </row>
    <row r="358" spans="1:10" ht="15" customHeight="1" x14ac:dyDescent="0.25">
      <c r="A358" t="s">
        <v>1374</v>
      </c>
      <c r="B358">
        <v>2025</v>
      </c>
      <c r="C358" t="s">
        <v>222</v>
      </c>
      <c r="D358" t="b">
        <f>TRUE()</f>
        <v>1</v>
      </c>
      <c r="E358" t="b">
        <f>COUNTIF(connections!A:A, A358) &gt; 0</f>
        <v>0</v>
      </c>
      <c r="G358" t="s">
        <v>1375</v>
      </c>
      <c r="J358" s="11" t="s">
        <v>1376</v>
      </c>
    </row>
    <row r="359" spans="1:10" ht="15" customHeight="1" x14ac:dyDescent="0.25">
      <c r="A359" t="s">
        <v>1377</v>
      </c>
      <c r="B359">
        <v>2026</v>
      </c>
      <c r="C359" t="s">
        <v>222</v>
      </c>
      <c r="D359" t="b">
        <f>TRUE()</f>
        <v>1</v>
      </c>
      <c r="E359" t="b">
        <f>COUNTIF(connections!A:A, A359) &gt; 0</f>
        <v>0</v>
      </c>
      <c r="G359" t="s">
        <v>1378</v>
      </c>
    </row>
    <row r="360" spans="1:10" ht="15" customHeight="1" x14ac:dyDescent="0.25">
      <c r="A360" t="s">
        <v>1379</v>
      </c>
      <c r="B360">
        <v>2023</v>
      </c>
      <c r="C360" t="s">
        <v>176</v>
      </c>
      <c r="D360" t="b">
        <f>TRUE()</f>
        <v>1</v>
      </c>
      <c r="E360" t="b">
        <f>COUNTIF(connections!A:A, A360) &gt; 0</f>
        <v>0</v>
      </c>
      <c r="G360" t="s">
        <v>1380</v>
      </c>
      <c r="H360" t="s">
        <v>187</v>
      </c>
      <c r="I360" t="s">
        <v>1381</v>
      </c>
      <c r="J360" s="1" t="s">
        <v>1382</v>
      </c>
    </row>
    <row r="361" spans="1:10" ht="15" customHeight="1" x14ac:dyDescent="0.25">
      <c r="A361" t="s">
        <v>1383</v>
      </c>
      <c r="B361">
        <v>2026</v>
      </c>
      <c r="C361" t="s">
        <v>179</v>
      </c>
      <c r="D361" t="b">
        <f>TRUE()</f>
        <v>1</v>
      </c>
      <c r="E361" t="b">
        <f>COUNTIF(connections!A:A, A361) &gt; 0</f>
        <v>0</v>
      </c>
      <c r="G361" t="s">
        <v>1384</v>
      </c>
      <c r="J361" s="11" t="s">
        <v>1385</v>
      </c>
    </row>
    <row r="362" spans="1:10" ht="15" customHeight="1" x14ac:dyDescent="0.25">
      <c r="A362" t="s">
        <v>1386</v>
      </c>
      <c r="B362">
        <v>2013</v>
      </c>
      <c r="C362" t="s">
        <v>179</v>
      </c>
      <c r="D362" t="b">
        <f>TRUE()</f>
        <v>1</v>
      </c>
      <c r="E362" t="b">
        <f>COUNTIF(connections!A:A, A362) &gt; 0</f>
        <v>1</v>
      </c>
      <c r="G362" t="s">
        <v>1387</v>
      </c>
      <c r="H362" t="s">
        <v>187</v>
      </c>
      <c r="I362" t="s">
        <v>1388</v>
      </c>
    </row>
    <row r="363" spans="1:10" ht="15" customHeight="1" x14ac:dyDescent="0.25">
      <c r="A363" t="s">
        <v>1389</v>
      </c>
      <c r="B363">
        <v>2025</v>
      </c>
      <c r="C363" t="s">
        <v>179</v>
      </c>
      <c r="D363" t="b">
        <f>TRUE()</f>
        <v>1</v>
      </c>
      <c r="E363" t="b">
        <f>COUNTIF(connections!A:A, A363) &gt; 0</f>
        <v>0</v>
      </c>
      <c r="F363" t="s">
        <v>1390</v>
      </c>
      <c r="G363" t="s">
        <v>1391</v>
      </c>
    </row>
    <row r="364" spans="1:10" ht="15" customHeight="1" x14ac:dyDescent="0.25">
      <c r="A364" t="s">
        <v>1392</v>
      </c>
      <c r="B364">
        <v>2026</v>
      </c>
      <c r="C364" t="s">
        <v>176</v>
      </c>
      <c r="D364" t="b">
        <f>TRUE()</f>
        <v>1</v>
      </c>
      <c r="E364" t="b">
        <f>COUNTIF(connections!A:A, A364) &gt; 0</f>
        <v>0</v>
      </c>
      <c r="G364" t="s">
        <v>1393</v>
      </c>
      <c r="J364" s="11" t="s">
        <v>1394</v>
      </c>
    </row>
    <row r="365" spans="1:10" ht="15" customHeight="1" x14ac:dyDescent="0.25">
      <c r="A365" t="s">
        <v>1395</v>
      </c>
      <c r="B365">
        <v>2026</v>
      </c>
      <c r="C365" t="s">
        <v>182</v>
      </c>
      <c r="D365" t="b">
        <f>TRUE()</f>
        <v>1</v>
      </c>
      <c r="E365" t="b">
        <f>COUNTIF(connections!A:A, A365) &gt; 0</f>
        <v>0</v>
      </c>
      <c r="G365" t="s">
        <v>1396</v>
      </c>
    </row>
    <row r="366" spans="1:10" ht="15" customHeight="1" x14ac:dyDescent="0.25">
      <c r="A366" t="s">
        <v>1397</v>
      </c>
      <c r="B366">
        <v>2026</v>
      </c>
      <c r="C366" t="s">
        <v>176</v>
      </c>
      <c r="D366" t="b">
        <f>TRUE()</f>
        <v>1</v>
      </c>
      <c r="E366" t="b">
        <f>COUNTIF(connections!A:A, A366) &gt; 0</f>
        <v>0</v>
      </c>
      <c r="F366" t="s">
        <v>1398</v>
      </c>
      <c r="G366" t="s">
        <v>1399</v>
      </c>
      <c r="H366" t="s">
        <v>187</v>
      </c>
      <c r="I366" t="s">
        <v>1400</v>
      </c>
    </row>
    <row r="367" spans="1:10" ht="15" customHeight="1" x14ac:dyDescent="0.25">
      <c r="A367" t="s">
        <v>1401</v>
      </c>
      <c r="B367">
        <v>2012</v>
      </c>
      <c r="C367" t="s">
        <v>179</v>
      </c>
      <c r="D367" t="b">
        <f>TRUE()</f>
        <v>1</v>
      </c>
      <c r="E367" t="b">
        <f>COUNTIF(connections!A:A, A367) &gt; 0</f>
        <v>0</v>
      </c>
      <c r="G367" t="s">
        <v>1402</v>
      </c>
      <c r="J367" s="11" t="s">
        <v>1403</v>
      </c>
    </row>
    <row r="368" spans="1:10" ht="15" customHeight="1" x14ac:dyDescent="0.25">
      <c r="A368" t="s">
        <v>1404</v>
      </c>
      <c r="B368">
        <v>2025</v>
      </c>
      <c r="C368" t="s">
        <v>176</v>
      </c>
      <c r="D368" t="b">
        <f>TRUE()</f>
        <v>1</v>
      </c>
      <c r="E368" t="b">
        <f>COUNTIF(connections!A:A, A368) &gt; 0</f>
        <v>0</v>
      </c>
      <c r="G368" t="s">
        <v>1405</v>
      </c>
      <c r="H368" t="s">
        <v>187</v>
      </c>
      <c r="I368" t="s">
        <v>1406</v>
      </c>
      <c r="J368" s="1" t="s">
        <v>1407</v>
      </c>
    </row>
    <row r="369" spans="1:10" ht="15" customHeight="1" x14ac:dyDescent="0.25">
      <c r="A369" t="s">
        <v>1408</v>
      </c>
      <c r="B369">
        <v>2017</v>
      </c>
      <c r="C369" t="s">
        <v>179</v>
      </c>
      <c r="D369" t="b">
        <f>TRUE()</f>
        <v>1</v>
      </c>
      <c r="E369" t="b">
        <f>COUNTIF(connections!A:A, A369) &gt; 0</f>
        <v>0</v>
      </c>
      <c r="G369" t="s">
        <v>1409</v>
      </c>
    </row>
    <row r="370" spans="1:10" ht="15" customHeight="1" x14ac:dyDescent="0.25">
      <c r="A370" t="s">
        <v>1410</v>
      </c>
      <c r="B370">
        <v>2022</v>
      </c>
      <c r="C370" t="s">
        <v>176</v>
      </c>
      <c r="D370" t="b">
        <f>TRUE()</f>
        <v>1</v>
      </c>
      <c r="E370" t="b">
        <f>COUNTIF(connections!A:A, A370) &gt; 0</f>
        <v>0</v>
      </c>
      <c r="G370" t="s">
        <v>1411</v>
      </c>
      <c r="H370" t="s">
        <v>187</v>
      </c>
      <c r="I370" t="s">
        <v>1412</v>
      </c>
      <c r="J370" s="1" t="s">
        <v>1413</v>
      </c>
    </row>
    <row r="371" spans="1:10" ht="15" customHeight="1" x14ac:dyDescent="0.25">
      <c r="A371" t="s">
        <v>1414</v>
      </c>
      <c r="B371">
        <v>2017</v>
      </c>
      <c r="C371" t="s">
        <v>176</v>
      </c>
      <c r="D371" t="b">
        <f>TRUE()</f>
        <v>1</v>
      </c>
      <c r="E371" t="b">
        <f>COUNTIF(connections!A:A, A371) &gt; 0</f>
        <v>0</v>
      </c>
      <c r="G371" t="s">
        <v>1415</v>
      </c>
      <c r="H371" t="s">
        <v>187</v>
      </c>
      <c r="I371" t="s">
        <v>1416</v>
      </c>
      <c r="J371" s="1" t="s">
        <v>1417</v>
      </c>
    </row>
    <row r="372" spans="1:10" ht="15" customHeight="1" x14ac:dyDescent="0.25">
      <c r="A372" t="s">
        <v>1418</v>
      </c>
      <c r="B372">
        <v>2016</v>
      </c>
      <c r="C372" t="s">
        <v>176</v>
      </c>
      <c r="D372" t="b">
        <v>1</v>
      </c>
      <c r="E372" t="b">
        <f>COUNTIF(connections!A:A, A372) &gt; 0</f>
        <v>0</v>
      </c>
      <c r="G372" t="s">
        <v>1419</v>
      </c>
      <c r="J372" s="11" t="s">
        <v>1420</v>
      </c>
    </row>
    <row r="373" spans="1:10" ht="15" customHeight="1" x14ac:dyDescent="0.25">
      <c r="A373" t="s">
        <v>1421</v>
      </c>
      <c r="B373">
        <v>2007</v>
      </c>
      <c r="C373" t="s">
        <v>179</v>
      </c>
      <c r="D373" t="b">
        <f>TRUE()</f>
        <v>1</v>
      </c>
      <c r="E373" t="b">
        <f>COUNTIF(connections!A:A, A373) &gt; 0</f>
        <v>1</v>
      </c>
      <c r="G373" t="s">
        <v>1422</v>
      </c>
      <c r="H373" t="s">
        <v>187</v>
      </c>
      <c r="I373" t="s">
        <v>1423</v>
      </c>
    </row>
    <row r="374" spans="1:10" ht="15" customHeight="1" x14ac:dyDescent="0.25">
      <c r="A374" t="s">
        <v>1424</v>
      </c>
      <c r="B374">
        <v>2015</v>
      </c>
      <c r="C374" t="s">
        <v>222</v>
      </c>
      <c r="D374" t="b">
        <f>TRUE()</f>
        <v>1</v>
      </c>
      <c r="E374" t="b">
        <f>COUNTIF(connections!A:A, A374) &gt; 0</f>
        <v>0</v>
      </c>
      <c r="G374" t="s">
        <v>1425</v>
      </c>
    </row>
    <row r="375" spans="1:10" ht="15" customHeight="1" x14ac:dyDescent="0.25">
      <c r="A375" t="s">
        <v>1426</v>
      </c>
      <c r="B375">
        <v>2011</v>
      </c>
      <c r="C375" t="s">
        <v>179</v>
      </c>
      <c r="D375" t="b">
        <f>TRUE()</f>
        <v>1</v>
      </c>
      <c r="E375" t="b">
        <f>COUNTIF(connections!A:A, A375) &gt; 0</f>
        <v>0</v>
      </c>
      <c r="F375" t="s">
        <v>274</v>
      </c>
      <c r="G375" t="s">
        <v>1427</v>
      </c>
      <c r="H375" t="s">
        <v>187</v>
      </c>
      <c r="I375" t="s">
        <v>1428</v>
      </c>
    </row>
    <row r="376" spans="1:10" ht="15" customHeight="1" x14ac:dyDescent="0.25">
      <c r="A376" t="s">
        <v>1429</v>
      </c>
      <c r="B376">
        <v>2023</v>
      </c>
      <c r="C376" t="s">
        <v>222</v>
      </c>
      <c r="D376" t="b">
        <f>TRUE()</f>
        <v>1</v>
      </c>
      <c r="E376" t="b">
        <f>COUNTIF(connections!A:A, A376) &gt; 0</f>
        <v>0</v>
      </c>
      <c r="G376" t="s">
        <v>1430</v>
      </c>
      <c r="H376" t="s">
        <v>187</v>
      </c>
      <c r="I376" t="s">
        <v>1431</v>
      </c>
      <c r="J376" s="11" t="s">
        <v>1432</v>
      </c>
    </row>
    <row r="377" spans="1:10" ht="15" customHeight="1" x14ac:dyDescent="0.25">
      <c r="A377" t="s">
        <v>1433</v>
      </c>
      <c r="B377">
        <v>2025</v>
      </c>
      <c r="C377" t="s">
        <v>222</v>
      </c>
      <c r="D377" t="b">
        <f>TRUE()</f>
        <v>1</v>
      </c>
      <c r="E377" t="b">
        <f>COUNTIF(connections!A:A, A377) &gt; 0</f>
        <v>0</v>
      </c>
      <c r="G377" t="s">
        <v>1434</v>
      </c>
      <c r="J377" s="11" t="s">
        <v>1435</v>
      </c>
    </row>
    <row r="378" spans="1:10" ht="15" customHeight="1" x14ac:dyDescent="0.25">
      <c r="A378" t="s">
        <v>1436</v>
      </c>
      <c r="B378">
        <v>2021</v>
      </c>
      <c r="C378" t="s">
        <v>182</v>
      </c>
      <c r="D378" t="b">
        <f>TRUE()</f>
        <v>1</v>
      </c>
      <c r="E378" t="b">
        <f>COUNTIF(connections!A:A, A378) &gt; 0</f>
        <v>1</v>
      </c>
      <c r="G378" t="s">
        <v>1437</v>
      </c>
      <c r="H378" t="s">
        <v>187</v>
      </c>
      <c r="I378" t="s">
        <v>1438</v>
      </c>
      <c r="J378" s="1" t="s">
        <v>1439</v>
      </c>
    </row>
    <row r="379" spans="1:10" ht="15" customHeight="1" x14ac:dyDescent="0.25">
      <c r="A379" t="s">
        <v>1440</v>
      </c>
      <c r="B379">
        <v>2021</v>
      </c>
      <c r="C379" t="s">
        <v>222</v>
      </c>
      <c r="D379" t="b">
        <f>TRUE()</f>
        <v>1</v>
      </c>
      <c r="E379" t="b">
        <f>COUNTIF(connections!A:A, A379) &gt; 0</f>
        <v>0</v>
      </c>
      <c r="G379" t="s">
        <v>1441</v>
      </c>
      <c r="H379" t="s">
        <v>187</v>
      </c>
      <c r="I379" t="s">
        <v>1442</v>
      </c>
      <c r="J379" s="1" t="s">
        <v>1443</v>
      </c>
    </row>
    <row r="380" spans="1:10" ht="15" customHeight="1" x14ac:dyDescent="0.25">
      <c r="A380" t="s">
        <v>1444</v>
      </c>
      <c r="B380">
        <v>2018</v>
      </c>
      <c r="C380" t="s">
        <v>222</v>
      </c>
      <c r="D380" t="b">
        <f>TRUE()</f>
        <v>1</v>
      </c>
      <c r="E380" t="b">
        <f>COUNTIF(connections!A:A, A380) &gt; 0</f>
        <v>1</v>
      </c>
      <c r="F380" t="s">
        <v>274</v>
      </c>
      <c r="G380" t="s">
        <v>1445</v>
      </c>
      <c r="H380" t="s">
        <v>187</v>
      </c>
      <c r="I380" t="s">
        <v>1446</v>
      </c>
      <c r="J380" s="1" t="s">
        <v>1447</v>
      </c>
    </row>
    <row r="381" spans="1:10" ht="15" customHeight="1" x14ac:dyDescent="0.25">
      <c r="A381" t="s">
        <v>1448</v>
      </c>
      <c r="B381">
        <v>2025</v>
      </c>
      <c r="C381" t="s">
        <v>182</v>
      </c>
      <c r="D381" t="b">
        <f>TRUE()</f>
        <v>1</v>
      </c>
      <c r="E381" t="b">
        <f>COUNTIF(connections!A:A, A381) &gt; 0</f>
        <v>0</v>
      </c>
      <c r="G381" t="s">
        <v>1449</v>
      </c>
      <c r="J381" s="11" t="s">
        <v>1450</v>
      </c>
    </row>
    <row r="382" spans="1:10" ht="15" customHeight="1" x14ac:dyDescent="0.25">
      <c r="A382" t="s">
        <v>1451</v>
      </c>
      <c r="B382">
        <v>2019</v>
      </c>
      <c r="C382" t="s">
        <v>222</v>
      </c>
      <c r="D382" t="b">
        <f>TRUE()</f>
        <v>1</v>
      </c>
      <c r="E382" t="b">
        <f>COUNTIF(connections!A:A, A382) &gt; 0</f>
        <v>0</v>
      </c>
      <c r="G382" t="s">
        <v>1452</v>
      </c>
      <c r="H382" t="s">
        <v>187</v>
      </c>
      <c r="I382" t="s">
        <v>1453</v>
      </c>
      <c r="J382" s="1" t="s">
        <v>1454</v>
      </c>
    </row>
    <row r="383" spans="1:10" ht="15" customHeight="1" x14ac:dyDescent="0.25">
      <c r="A383" t="s">
        <v>1455</v>
      </c>
      <c r="B383">
        <v>2001</v>
      </c>
      <c r="C383" t="s">
        <v>179</v>
      </c>
      <c r="D383" t="b">
        <f>TRUE()</f>
        <v>1</v>
      </c>
      <c r="E383" t="b">
        <f>COUNTIF(connections!A:A, A383) &gt; 0</f>
        <v>1</v>
      </c>
      <c r="G383" t="s">
        <v>1456</v>
      </c>
      <c r="H383" t="s">
        <v>187</v>
      </c>
      <c r="I383" t="s">
        <v>1457</v>
      </c>
    </row>
    <row r="384" spans="1:10" ht="15" customHeight="1" x14ac:dyDescent="0.25">
      <c r="A384" t="s">
        <v>1458</v>
      </c>
      <c r="B384">
        <v>2007</v>
      </c>
      <c r="C384" t="s">
        <v>179</v>
      </c>
      <c r="D384" t="b">
        <f>TRUE()</f>
        <v>1</v>
      </c>
      <c r="E384" t="b">
        <f>COUNTIF(connections!A:A, A384) &gt; 0</f>
        <v>0</v>
      </c>
      <c r="G384" t="s">
        <v>1459</v>
      </c>
      <c r="H384" t="s">
        <v>187</v>
      </c>
      <c r="I384" t="s">
        <v>1460</v>
      </c>
    </row>
    <row r="385" spans="1:10" ht="15" customHeight="1" x14ac:dyDescent="0.25">
      <c r="A385" t="s">
        <v>1461</v>
      </c>
      <c r="B385">
        <v>2006</v>
      </c>
      <c r="C385" t="s">
        <v>179</v>
      </c>
      <c r="D385" t="b">
        <f>TRUE()</f>
        <v>1</v>
      </c>
      <c r="E385" t="b">
        <f>COUNTIF(connections!A:A, A385) &gt; 0</f>
        <v>1</v>
      </c>
      <c r="G385" t="s">
        <v>1462</v>
      </c>
      <c r="H385" t="s">
        <v>187</v>
      </c>
      <c r="I385" t="s">
        <v>1463</v>
      </c>
    </row>
    <row r="386" spans="1:10" ht="15" customHeight="1" x14ac:dyDescent="0.25">
      <c r="A386" t="s">
        <v>1464</v>
      </c>
      <c r="B386">
        <v>2025</v>
      </c>
      <c r="C386" t="s">
        <v>176</v>
      </c>
      <c r="D386" t="b">
        <f>TRUE()</f>
        <v>1</v>
      </c>
      <c r="E386" t="b">
        <f>COUNTIF(connections!A:A, A386) &gt; 0</f>
        <v>0</v>
      </c>
      <c r="G386" t="s">
        <v>1465</v>
      </c>
    </row>
    <row r="387" spans="1:10" ht="15" customHeight="1" x14ac:dyDescent="0.25">
      <c r="A387" t="s">
        <v>1466</v>
      </c>
      <c r="B387">
        <v>2018</v>
      </c>
      <c r="C387" t="s">
        <v>176</v>
      </c>
      <c r="D387" t="b">
        <f>FALSE()</f>
        <v>0</v>
      </c>
      <c r="E387" t="b">
        <f>COUNTIF(connections!A:A, A387) &gt; 0</f>
        <v>0</v>
      </c>
      <c r="F387" t="s">
        <v>264</v>
      </c>
      <c r="G387" t="s">
        <v>1467</v>
      </c>
    </row>
    <row r="388" spans="1:10" ht="15" customHeight="1" x14ac:dyDescent="0.25">
      <c r="A388" t="s">
        <v>1468</v>
      </c>
      <c r="B388">
        <v>2019</v>
      </c>
      <c r="C388" t="s">
        <v>179</v>
      </c>
      <c r="D388" t="b">
        <f>TRUE()</f>
        <v>1</v>
      </c>
      <c r="E388" t="b">
        <f>COUNTIF(connections!A:A, A388) &gt; 0</f>
        <v>0</v>
      </c>
      <c r="F388" t="s">
        <v>274</v>
      </c>
      <c r="G388" t="s">
        <v>1469</v>
      </c>
      <c r="H388" t="s">
        <v>187</v>
      </c>
      <c r="I388" t="s">
        <v>1470</v>
      </c>
      <c r="J388" s="1" t="s">
        <v>1471</v>
      </c>
    </row>
    <row r="389" spans="1:10" ht="15" customHeight="1" x14ac:dyDescent="0.25">
      <c r="A389" t="s">
        <v>1472</v>
      </c>
      <c r="B389">
        <v>2023</v>
      </c>
      <c r="C389" t="s">
        <v>176</v>
      </c>
      <c r="D389" t="b">
        <f>TRUE()</f>
        <v>1</v>
      </c>
      <c r="E389" t="b">
        <f>COUNTIF(connections!A:A, A389) &gt; 0</f>
        <v>0</v>
      </c>
      <c r="G389" t="s">
        <v>1473</v>
      </c>
      <c r="H389" t="s">
        <v>187</v>
      </c>
      <c r="I389" t="s">
        <v>1474</v>
      </c>
      <c r="J389" s="1" t="s">
        <v>1475</v>
      </c>
    </row>
    <row r="390" spans="1:10" ht="15" customHeight="1" x14ac:dyDescent="0.25">
      <c r="A390" t="s">
        <v>1476</v>
      </c>
      <c r="B390">
        <v>2024</v>
      </c>
      <c r="C390" t="s">
        <v>222</v>
      </c>
      <c r="D390" t="b">
        <f>TRUE()</f>
        <v>1</v>
      </c>
      <c r="E390" t="b">
        <f>COUNTIF(connections!A:A, A390) &gt; 0</f>
        <v>0</v>
      </c>
      <c r="G390" t="s">
        <v>1477</v>
      </c>
      <c r="H390" t="s">
        <v>187</v>
      </c>
      <c r="I390" t="s">
        <v>1478</v>
      </c>
      <c r="J390" s="1" t="s">
        <v>1479</v>
      </c>
    </row>
    <row r="391" spans="1:10" ht="15" customHeight="1" x14ac:dyDescent="0.25">
      <c r="A391" t="s">
        <v>1480</v>
      </c>
      <c r="B391">
        <v>2025</v>
      </c>
      <c r="C391" t="s">
        <v>176</v>
      </c>
      <c r="D391" t="b">
        <f>TRUE()</f>
        <v>1</v>
      </c>
      <c r="E391" t="b">
        <f>COUNTIF(connections!A:A, A391) &gt; 0</f>
        <v>0</v>
      </c>
      <c r="G391" t="s">
        <v>1481</v>
      </c>
      <c r="J391" s="11" t="s">
        <v>1482</v>
      </c>
    </row>
    <row r="392" spans="1:10" ht="15" customHeight="1" x14ac:dyDescent="0.25">
      <c r="A392" t="s">
        <v>1483</v>
      </c>
      <c r="B392">
        <v>2015</v>
      </c>
      <c r="C392" t="s">
        <v>179</v>
      </c>
      <c r="D392" t="b">
        <f>TRUE()</f>
        <v>1</v>
      </c>
      <c r="E392" t="b">
        <f>COUNTIF(connections!A:A, A392) &gt; 0</f>
        <v>0</v>
      </c>
      <c r="G392" t="s">
        <v>1484</v>
      </c>
      <c r="H392" t="s">
        <v>187</v>
      </c>
      <c r="I392" t="s">
        <v>1485</v>
      </c>
      <c r="J392" s="1" t="s">
        <v>1486</v>
      </c>
    </row>
    <row r="393" spans="1:10" ht="15" customHeight="1" x14ac:dyDescent="0.25">
      <c r="A393" t="s">
        <v>1487</v>
      </c>
      <c r="B393">
        <v>2023</v>
      </c>
      <c r="C393" t="s">
        <v>176</v>
      </c>
      <c r="D393" t="b">
        <f>TRUE()</f>
        <v>1</v>
      </c>
      <c r="E393" t="b">
        <f>COUNTIF(connections!A:A, A393) &gt; 0</f>
        <v>0</v>
      </c>
      <c r="G393" t="s">
        <v>1488</v>
      </c>
      <c r="H393" t="s">
        <v>187</v>
      </c>
      <c r="I393" t="s">
        <v>1489</v>
      </c>
      <c r="J393" s="1" t="s">
        <v>1490</v>
      </c>
    </row>
    <row r="394" spans="1:10" ht="15" customHeight="1" x14ac:dyDescent="0.25">
      <c r="A394" t="s">
        <v>1491</v>
      </c>
      <c r="B394">
        <v>2025</v>
      </c>
      <c r="C394" t="s">
        <v>222</v>
      </c>
      <c r="D394" t="b">
        <f>FALSE()</f>
        <v>0</v>
      </c>
      <c r="E394" t="b">
        <f>COUNTIF(connections!A:A, A394) &gt; 0</f>
        <v>0</v>
      </c>
      <c r="G394" t="s">
        <v>1492</v>
      </c>
    </row>
    <row r="395" spans="1:10" ht="15" customHeight="1" x14ac:dyDescent="0.25">
      <c r="A395" t="s">
        <v>1493</v>
      </c>
      <c r="B395">
        <v>2025</v>
      </c>
      <c r="C395" t="s">
        <v>176</v>
      </c>
      <c r="D395" t="b">
        <f>TRUE()</f>
        <v>1</v>
      </c>
      <c r="E395" t="b">
        <f>COUNTIF(connections!A:A, A395) &gt; 0</f>
        <v>0</v>
      </c>
      <c r="F395" t="s">
        <v>399</v>
      </c>
      <c r="G395" t="s">
        <v>1494</v>
      </c>
      <c r="H395" t="s">
        <v>187</v>
      </c>
      <c r="I395" t="s">
        <v>1495</v>
      </c>
      <c r="J395" s="1" t="s">
        <v>1496</v>
      </c>
    </row>
    <row r="396" spans="1:10" ht="15" customHeight="1" x14ac:dyDescent="0.25">
      <c r="A396" t="s">
        <v>1497</v>
      </c>
      <c r="B396">
        <v>2016</v>
      </c>
      <c r="C396" t="s">
        <v>222</v>
      </c>
      <c r="D396" t="b">
        <f>TRUE()</f>
        <v>1</v>
      </c>
      <c r="E396" t="b">
        <f>COUNTIF(connections!A:A, A396) &gt; 0</f>
        <v>1</v>
      </c>
      <c r="G396" t="s">
        <v>1498</v>
      </c>
      <c r="H396" t="s">
        <v>187</v>
      </c>
      <c r="I396" t="s">
        <v>1499</v>
      </c>
      <c r="J396" s="1" t="s">
        <v>1500</v>
      </c>
    </row>
    <row r="397" spans="1:10" ht="15" customHeight="1" x14ac:dyDescent="0.25">
      <c r="A397" t="s">
        <v>1501</v>
      </c>
      <c r="B397">
        <v>2023</v>
      </c>
      <c r="C397" t="s">
        <v>176</v>
      </c>
      <c r="D397" t="b">
        <f>TRUE()</f>
        <v>1</v>
      </c>
      <c r="E397" t="b">
        <f>COUNTIF(connections!A:A, A397) &gt; 0</f>
        <v>0</v>
      </c>
      <c r="F397" t="s">
        <v>529</v>
      </c>
      <c r="G397" t="s">
        <v>1502</v>
      </c>
      <c r="H397" t="s">
        <v>187</v>
      </c>
      <c r="I397" t="s">
        <v>1503</v>
      </c>
      <c r="J397" s="1" t="s">
        <v>1021</v>
      </c>
    </row>
    <row r="398" spans="1:10" ht="15" customHeight="1" x14ac:dyDescent="0.25">
      <c r="A398" t="s">
        <v>1504</v>
      </c>
      <c r="B398">
        <v>2025</v>
      </c>
      <c r="C398" t="s">
        <v>222</v>
      </c>
      <c r="D398" t="b">
        <f>TRUE()</f>
        <v>1</v>
      </c>
      <c r="E398" t="b">
        <f>COUNTIF(connections!A:A, A398) &gt; 0</f>
        <v>0</v>
      </c>
      <c r="F398" t="s">
        <v>1031</v>
      </c>
      <c r="G398" t="s">
        <v>1505</v>
      </c>
      <c r="H398" t="s">
        <v>187</v>
      </c>
      <c r="I398" t="s">
        <v>1506</v>
      </c>
      <c r="J398" s="1" t="s">
        <v>1507</v>
      </c>
    </row>
    <row r="399" spans="1:10" ht="15" customHeight="1" x14ac:dyDescent="0.25">
      <c r="A399" t="s">
        <v>1508</v>
      </c>
      <c r="B399">
        <v>2025</v>
      </c>
      <c r="C399" t="s">
        <v>182</v>
      </c>
      <c r="D399" t="b">
        <f>TRUE()</f>
        <v>1</v>
      </c>
      <c r="E399" t="b">
        <f>COUNTIF(connections!A:A, A399) &gt; 0</f>
        <v>0</v>
      </c>
      <c r="F399" t="s">
        <v>1031</v>
      </c>
      <c r="G399" t="s">
        <v>1509</v>
      </c>
      <c r="H399" t="s">
        <v>187</v>
      </c>
      <c r="I399" t="s">
        <v>1510</v>
      </c>
      <c r="J399" s="1" t="s">
        <v>1511</v>
      </c>
    </row>
    <row r="400" spans="1:10" ht="15" customHeight="1" x14ac:dyDescent="0.25">
      <c r="A400" t="s">
        <v>1512</v>
      </c>
      <c r="B400">
        <v>2020</v>
      </c>
      <c r="C400" t="s">
        <v>182</v>
      </c>
      <c r="D400" t="b">
        <f>TRUE()</f>
        <v>1</v>
      </c>
      <c r="E400" t="b">
        <f>COUNTIF(connections!A:A, A400) &gt; 0</f>
        <v>0</v>
      </c>
      <c r="G400" t="s">
        <v>1513</v>
      </c>
    </row>
    <row r="401" spans="1:10" ht="15" customHeight="1" x14ac:dyDescent="0.25">
      <c r="A401" t="s">
        <v>1514</v>
      </c>
      <c r="B401">
        <v>2020</v>
      </c>
      <c r="C401" t="s">
        <v>179</v>
      </c>
      <c r="D401" t="b">
        <f>TRUE()</f>
        <v>1</v>
      </c>
      <c r="E401" t="b">
        <f>COUNTIF(connections!A:A, A401) &gt; 0</f>
        <v>0</v>
      </c>
      <c r="G401" t="s">
        <v>1515</v>
      </c>
      <c r="H401" t="s">
        <v>187</v>
      </c>
      <c r="I401" t="s">
        <v>1516</v>
      </c>
    </row>
    <row r="402" spans="1:10" ht="15" customHeight="1" x14ac:dyDescent="0.25">
      <c r="A402" t="s">
        <v>1517</v>
      </c>
      <c r="B402">
        <v>2024</v>
      </c>
      <c r="C402" t="s">
        <v>176</v>
      </c>
      <c r="D402" t="b">
        <f>TRUE()</f>
        <v>1</v>
      </c>
      <c r="E402" t="b">
        <f>COUNTIF(connections!A:A, A402) &gt; 0</f>
        <v>1</v>
      </c>
      <c r="F402" t="s">
        <v>652</v>
      </c>
      <c r="G402" t="s">
        <v>1518</v>
      </c>
      <c r="H402" t="s">
        <v>187</v>
      </c>
      <c r="I402" t="s">
        <v>1519</v>
      </c>
      <c r="J402" s="1" t="s">
        <v>1520</v>
      </c>
    </row>
    <row r="403" spans="1:10" ht="15" customHeight="1" x14ac:dyDescent="0.25">
      <c r="A403" t="s">
        <v>1521</v>
      </c>
      <c r="B403">
        <v>2006</v>
      </c>
      <c r="C403" t="s">
        <v>179</v>
      </c>
      <c r="D403" t="b">
        <f>TRUE()</f>
        <v>1</v>
      </c>
      <c r="E403" t="b">
        <f>COUNTIF(connections!A:A, A403) &gt; 0</f>
        <v>0</v>
      </c>
      <c r="G403" t="s">
        <v>1522</v>
      </c>
      <c r="H403" t="s">
        <v>187</v>
      </c>
      <c r="I403" t="s">
        <v>1523</v>
      </c>
    </row>
    <row r="404" spans="1:10" ht="15" customHeight="1" x14ac:dyDescent="0.25">
      <c r="A404" t="s">
        <v>1524</v>
      </c>
      <c r="B404">
        <v>1986</v>
      </c>
      <c r="C404" t="s">
        <v>179</v>
      </c>
      <c r="D404" t="b">
        <f>TRUE()</f>
        <v>1</v>
      </c>
      <c r="E404" t="b">
        <f>COUNTIF(connections!A:A, A404) &gt; 0</f>
        <v>0</v>
      </c>
      <c r="G404" t="s">
        <v>1525</v>
      </c>
      <c r="H404" t="s">
        <v>187</v>
      </c>
      <c r="I404" t="s">
        <v>1526</v>
      </c>
    </row>
    <row r="405" spans="1:10" ht="15" customHeight="1" x14ac:dyDescent="0.25">
      <c r="A405" t="s">
        <v>1527</v>
      </c>
      <c r="B405">
        <v>2019</v>
      </c>
      <c r="C405" t="s">
        <v>222</v>
      </c>
      <c r="D405" t="b">
        <f>TRUE()</f>
        <v>1</v>
      </c>
      <c r="E405" t="b">
        <f>COUNTIF(connections!A:A, A405) &gt; 0</f>
        <v>0</v>
      </c>
      <c r="G405" t="s">
        <v>1528</v>
      </c>
      <c r="H405" t="s">
        <v>187</v>
      </c>
      <c r="I405" t="s">
        <v>1529</v>
      </c>
      <c r="J405" s="1" t="s">
        <v>1530</v>
      </c>
    </row>
    <row r="406" spans="1:10" ht="15" customHeight="1" x14ac:dyDescent="0.25">
      <c r="A406" t="s">
        <v>1531</v>
      </c>
      <c r="B406">
        <v>2024</v>
      </c>
      <c r="C406" t="s">
        <v>176</v>
      </c>
      <c r="D406" t="b">
        <f>TRUE()</f>
        <v>1</v>
      </c>
      <c r="E406" t="b">
        <f>COUNTIF(connections!A:A, A406) &gt; 0</f>
        <v>0</v>
      </c>
      <c r="F406" t="s">
        <v>264</v>
      </c>
      <c r="G406" t="s">
        <v>1532</v>
      </c>
    </row>
    <row r="407" spans="1:10" ht="15" customHeight="1" x14ac:dyDescent="0.25">
      <c r="A407" t="s">
        <v>1533</v>
      </c>
      <c r="B407">
        <v>2026</v>
      </c>
      <c r="C407" t="s">
        <v>182</v>
      </c>
      <c r="D407" t="b">
        <f>FALSE()</f>
        <v>0</v>
      </c>
      <c r="E407" t="b">
        <f>COUNTIF(connections!A:A, A407) &gt; 0</f>
        <v>0</v>
      </c>
      <c r="G407" t="s">
        <v>1534</v>
      </c>
    </row>
    <row r="408" spans="1:10" ht="15" customHeight="1" x14ac:dyDescent="0.25">
      <c r="A408" t="s">
        <v>1535</v>
      </c>
      <c r="B408">
        <v>2023</v>
      </c>
      <c r="C408" t="s">
        <v>222</v>
      </c>
      <c r="D408" t="b">
        <f>FALSE()</f>
        <v>0</v>
      </c>
      <c r="E408" t="b">
        <f>COUNTIF(connections!A:A, A408) &gt; 0</f>
        <v>0</v>
      </c>
      <c r="G408" t="s">
        <v>1536</v>
      </c>
      <c r="H408" t="s">
        <v>187</v>
      </c>
      <c r="I408" t="s">
        <v>1537</v>
      </c>
      <c r="J408" s="1" t="s">
        <v>1538</v>
      </c>
    </row>
    <row r="409" spans="1:10" ht="15" customHeight="1" x14ac:dyDescent="0.25">
      <c r="A409" t="s">
        <v>1539</v>
      </c>
      <c r="B409">
        <v>1995</v>
      </c>
      <c r="C409" t="s">
        <v>179</v>
      </c>
      <c r="D409" t="b">
        <f>TRUE()</f>
        <v>1</v>
      </c>
      <c r="E409" t="b">
        <f>COUNTIF(connections!A:A, A409) &gt; 0</f>
        <v>1</v>
      </c>
      <c r="G409" t="s">
        <v>1540</v>
      </c>
      <c r="H409" t="s">
        <v>187</v>
      </c>
      <c r="I409" t="s">
        <v>1541</v>
      </c>
    </row>
    <row r="410" spans="1:10" ht="15" customHeight="1" x14ac:dyDescent="0.25">
      <c r="A410" t="s">
        <v>1542</v>
      </c>
      <c r="B410">
        <v>2023</v>
      </c>
      <c r="C410" t="s">
        <v>176</v>
      </c>
      <c r="D410" t="b">
        <f>TRUE()</f>
        <v>1</v>
      </c>
      <c r="E410" t="b">
        <f>COUNTIF(connections!A:A, A410) &gt; 0</f>
        <v>0</v>
      </c>
      <c r="G410" t="s">
        <v>1543</v>
      </c>
      <c r="H410" t="s">
        <v>187</v>
      </c>
      <c r="I410" t="s">
        <v>1544</v>
      </c>
      <c r="J410" s="1" t="s">
        <v>1545</v>
      </c>
    </row>
    <row r="411" spans="1:10" ht="15" customHeight="1" x14ac:dyDescent="0.25">
      <c r="A411" t="s">
        <v>1546</v>
      </c>
      <c r="B411">
        <v>2024</v>
      </c>
      <c r="C411" t="s">
        <v>222</v>
      </c>
      <c r="D411" t="b">
        <f>TRUE()</f>
        <v>1</v>
      </c>
      <c r="E411" t="b">
        <f>COUNTIF(connections!A:A, A411) &gt; 0</f>
        <v>0</v>
      </c>
      <c r="F411" t="s">
        <v>274</v>
      </c>
      <c r="G411" t="s">
        <v>1547</v>
      </c>
      <c r="H411" t="s">
        <v>187</v>
      </c>
      <c r="I411" t="s">
        <v>1548</v>
      </c>
      <c r="J411" s="1" t="s">
        <v>1549</v>
      </c>
    </row>
    <row r="412" spans="1:10" ht="15" customHeight="1" x14ac:dyDescent="0.25">
      <c r="A412" t="s">
        <v>1550</v>
      </c>
      <c r="B412">
        <v>2021</v>
      </c>
      <c r="C412" t="s">
        <v>222</v>
      </c>
      <c r="D412" t="b">
        <f>TRUE()</f>
        <v>1</v>
      </c>
      <c r="E412" t="b">
        <f>COUNTIF(connections!A:A, A412) &gt; 0</f>
        <v>1</v>
      </c>
      <c r="G412" t="s">
        <v>1551</v>
      </c>
      <c r="H412" t="s">
        <v>187</v>
      </c>
      <c r="I412" t="s">
        <v>1552</v>
      </c>
      <c r="J412" s="1" t="s">
        <v>1553</v>
      </c>
    </row>
    <row r="413" spans="1:10" ht="15" customHeight="1" x14ac:dyDescent="0.25">
      <c r="A413" t="s">
        <v>1554</v>
      </c>
      <c r="B413">
        <v>2017</v>
      </c>
      <c r="C413" t="s">
        <v>222</v>
      </c>
      <c r="D413" t="b">
        <f>TRUE()</f>
        <v>1</v>
      </c>
      <c r="E413" t="b">
        <f>COUNTIF(connections!A:A, A413) &gt; 0</f>
        <v>1</v>
      </c>
      <c r="G413" t="s">
        <v>1555</v>
      </c>
    </row>
    <row r="414" spans="1:10" ht="15" customHeight="1" x14ac:dyDescent="0.25">
      <c r="A414" t="s">
        <v>1556</v>
      </c>
      <c r="B414">
        <v>2022</v>
      </c>
      <c r="C414" t="s">
        <v>222</v>
      </c>
      <c r="D414" t="b">
        <f>FALSE()</f>
        <v>0</v>
      </c>
      <c r="E414" t="b">
        <f>COUNTIF(connections!A:A, A414) &gt; 0</f>
        <v>0</v>
      </c>
      <c r="F414" t="s">
        <v>652</v>
      </c>
      <c r="G414" t="s">
        <v>1557</v>
      </c>
      <c r="H414" t="s">
        <v>187</v>
      </c>
      <c r="I414" t="s">
        <v>1558</v>
      </c>
      <c r="J414" s="1" t="s">
        <v>1559</v>
      </c>
    </row>
    <row r="415" spans="1:10" ht="15" customHeight="1" x14ac:dyDescent="0.25">
      <c r="A415" t="s">
        <v>1560</v>
      </c>
      <c r="B415">
        <v>2025</v>
      </c>
      <c r="C415" t="s">
        <v>222</v>
      </c>
      <c r="D415" t="b">
        <f>TRUE()</f>
        <v>1</v>
      </c>
      <c r="E415" t="b">
        <f>COUNTIF(connections!A:A, A415) &gt; 0</f>
        <v>0</v>
      </c>
      <c r="G415" t="s">
        <v>1561</v>
      </c>
    </row>
    <row r="416" spans="1:10" ht="15" customHeight="1" x14ac:dyDescent="0.25">
      <c r="A416" t="s">
        <v>1562</v>
      </c>
      <c r="B416">
        <v>2026</v>
      </c>
      <c r="C416" t="s">
        <v>176</v>
      </c>
      <c r="D416" t="b">
        <f>TRUE()</f>
        <v>1</v>
      </c>
      <c r="E416" t="b">
        <f>COUNTIF(connections!A:A, A416) &gt; 0</f>
        <v>0</v>
      </c>
      <c r="G416" t="s">
        <v>1563</v>
      </c>
    </row>
    <row r="417" spans="1:10" ht="15" customHeight="1" x14ac:dyDescent="0.25">
      <c r="A417" t="s">
        <v>1564</v>
      </c>
      <c r="B417">
        <v>2019</v>
      </c>
      <c r="C417" t="s">
        <v>179</v>
      </c>
      <c r="D417" t="b">
        <f>TRUE()</f>
        <v>1</v>
      </c>
      <c r="E417" t="b">
        <f>COUNTIF(connections!A:A, A417) &gt; 0</f>
        <v>0</v>
      </c>
      <c r="G417" t="s">
        <v>1565</v>
      </c>
    </row>
    <row r="418" spans="1:10" ht="15" customHeight="1" x14ac:dyDescent="0.25">
      <c r="A418" t="s">
        <v>1566</v>
      </c>
      <c r="B418">
        <v>2023</v>
      </c>
      <c r="C418" t="s">
        <v>182</v>
      </c>
      <c r="D418" t="b">
        <f>TRUE()</f>
        <v>1</v>
      </c>
      <c r="E418" t="b">
        <f>COUNTIF(connections!A:A, A418) &gt; 0</f>
        <v>1</v>
      </c>
      <c r="G418" t="s">
        <v>1567</v>
      </c>
      <c r="J418" s="11" t="s">
        <v>1568</v>
      </c>
    </row>
    <row r="419" spans="1:10" ht="15" customHeight="1" x14ac:dyDescent="0.25">
      <c r="A419" t="s">
        <v>1569</v>
      </c>
      <c r="B419">
        <v>2022</v>
      </c>
      <c r="C419" t="s">
        <v>182</v>
      </c>
      <c r="D419" t="b">
        <f>TRUE()</f>
        <v>1</v>
      </c>
      <c r="E419" t="b">
        <f>COUNTIF(connections!A:A, A419) &gt; 0</f>
        <v>0</v>
      </c>
      <c r="G419" t="s">
        <v>1570</v>
      </c>
    </row>
    <row r="420" spans="1:10" ht="15" customHeight="1" x14ac:dyDescent="0.25">
      <c r="A420" t="s">
        <v>1571</v>
      </c>
      <c r="B420">
        <v>2025</v>
      </c>
      <c r="C420" t="s">
        <v>176</v>
      </c>
      <c r="D420" t="b">
        <f>TRUE()</f>
        <v>1</v>
      </c>
      <c r="E420" t="b">
        <f>COUNTIF(connections!A:A, A420) &gt; 0</f>
        <v>0</v>
      </c>
      <c r="G420" t="s">
        <v>1572</v>
      </c>
    </row>
    <row r="421" spans="1:10" ht="15" customHeight="1" x14ac:dyDescent="0.25">
      <c r="A421" t="s">
        <v>1573</v>
      </c>
      <c r="B421">
        <v>2001</v>
      </c>
      <c r="C421" t="s">
        <v>179</v>
      </c>
      <c r="D421" t="b">
        <f>TRUE()</f>
        <v>1</v>
      </c>
      <c r="E421" t="b">
        <f>COUNTIF(connections!A:A, A421) &gt; 0</f>
        <v>1</v>
      </c>
      <c r="G421" t="s">
        <v>1574</v>
      </c>
    </row>
    <row r="422" spans="1:10" ht="15" customHeight="1" x14ac:dyDescent="0.25">
      <c r="A422" t="s">
        <v>1575</v>
      </c>
      <c r="B422">
        <v>2024</v>
      </c>
      <c r="C422" t="s">
        <v>182</v>
      </c>
      <c r="D422" t="b">
        <f>TRUE()</f>
        <v>1</v>
      </c>
      <c r="E422" t="b">
        <f>COUNTIF(connections!A:A, A422) &gt; 0</f>
        <v>0</v>
      </c>
      <c r="G422" t="s">
        <v>1576</v>
      </c>
    </row>
    <row r="423" spans="1:10" ht="15" customHeight="1" x14ac:dyDescent="0.25">
      <c r="A423" t="s">
        <v>1577</v>
      </c>
      <c r="B423">
        <v>2021</v>
      </c>
      <c r="C423" t="s">
        <v>182</v>
      </c>
      <c r="D423" t="b">
        <f>TRUE()</f>
        <v>1</v>
      </c>
      <c r="E423" t="b">
        <f>COUNTIF(connections!A:A, A423) &gt; 0</f>
        <v>1</v>
      </c>
      <c r="F423" t="s">
        <v>354</v>
      </c>
      <c r="G423" t="s">
        <v>1578</v>
      </c>
      <c r="H423" t="s">
        <v>187</v>
      </c>
      <c r="I423" t="s">
        <v>1579</v>
      </c>
      <c r="J423" s="1" t="s">
        <v>1580</v>
      </c>
    </row>
    <row r="424" spans="1:10" ht="16.5" customHeight="1" x14ac:dyDescent="0.25">
      <c r="A424" t="s">
        <v>1581</v>
      </c>
      <c r="B424">
        <v>2023</v>
      </c>
      <c r="C424" t="s">
        <v>182</v>
      </c>
      <c r="D424" t="b">
        <f>TRUE()</f>
        <v>1</v>
      </c>
      <c r="E424" t="b">
        <f>COUNTIF(connections!A:A, A424) &gt; 0</f>
        <v>0</v>
      </c>
      <c r="F424" t="s">
        <v>354</v>
      </c>
      <c r="G424" t="s">
        <v>1582</v>
      </c>
      <c r="H424" t="s">
        <v>187</v>
      </c>
      <c r="I424" t="s">
        <v>1583</v>
      </c>
      <c r="J424" s="1" t="s">
        <v>1584</v>
      </c>
    </row>
    <row r="425" spans="1:10" ht="15" customHeight="1" x14ac:dyDescent="0.25">
      <c r="A425" t="s">
        <v>1585</v>
      </c>
      <c r="B425">
        <v>2026</v>
      </c>
      <c r="C425" t="s">
        <v>176</v>
      </c>
      <c r="D425" t="b">
        <f>TRUE()</f>
        <v>1</v>
      </c>
      <c r="E425" t="b">
        <f>COUNTIF(connections!A:A, A425) &gt; 0</f>
        <v>0</v>
      </c>
      <c r="G425" t="s">
        <v>1586</v>
      </c>
      <c r="J425" s="11" t="s">
        <v>1587</v>
      </c>
    </row>
    <row r="426" spans="1:10" ht="15" customHeight="1" x14ac:dyDescent="0.25">
      <c r="A426" t="s">
        <v>1588</v>
      </c>
      <c r="B426">
        <v>2026</v>
      </c>
      <c r="C426" t="s">
        <v>222</v>
      </c>
      <c r="D426" t="b">
        <f>TRUE()</f>
        <v>1</v>
      </c>
      <c r="E426" t="b">
        <f>COUNTIF(connections!A:A, A426) &gt; 0</f>
        <v>0</v>
      </c>
      <c r="F426" t="s">
        <v>264</v>
      </c>
      <c r="G426" t="s">
        <v>1589</v>
      </c>
    </row>
    <row r="427" spans="1:10" ht="15" customHeight="1" x14ac:dyDescent="0.25">
      <c r="A427" t="s">
        <v>1590</v>
      </c>
      <c r="B427">
        <v>2026</v>
      </c>
      <c r="C427" t="s">
        <v>176</v>
      </c>
      <c r="D427" t="b">
        <f>FALSE()</f>
        <v>0</v>
      </c>
      <c r="E427" t="b">
        <f>COUNTIF(connections!A:A, A427) &gt; 0</f>
        <v>0</v>
      </c>
      <c r="G427" t="s">
        <v>1591</v>
      </c>
      <c r="J427" s="1" t="s">
        <v>1592</v>
      </c>
    </row>
    <row r="428" spans="1:10" ht="15" customHeight="1" x14ac:dyDescent="0.25">
      <c r="A428" t="s">
        <v>1593</v>
      </c>
      <c r="B428">
        <v>2019</v>
      </c>
      <c r="C428" t="s">
        <v>176</v>
      </c>
      <c r="D428" t="b">
        <f>TRUE()</f>
        <v>1</v>
      </c>
      <c r="E428" t="b">
        <f>COUNTIF(connections!A:A, A428) &gt; 0</f>
        <v>1</v>
      </c>
      <c r="G428" t="s">
        <v>1594</v>
      </c>
    </row>
    <row r="429" spans="1:10" ht="15" customHeight="1" x14ac:dyDescent="0.25">
      <c r="A429" t="s">
        <v>1595</v>
      </c>
      <c r="B429">
        <v>2023</v>
      </c>
      <c r="C429" t="s">
        <v>176</v>
      </c>
      <c r="D429" t="b">
        <f>TRUE()</f>
        <v>1</v>
      </c>
      <c r="E429" t="b">
        <f>COUNTIF(connections!A:A, A429) &gt; 0</f>
        <v>1</v>
      </c>
      <c r="G429" t="s">
        <v>1596</v>
      </c>
    </row>
    <row r="430" spans="1:10" ht="15" customHeight="1" x14ac:dyDescent="0.25">
      <c r="A430" t="s">
        <v>1597</v>
      </c>
      <c r="B430">
        <v>2025</v>
      </c>
      <c r="C430" t="s">
        <v>176</v>
      </c>
      <c r="D430" t="b">
        <f>TRUE()</f>
        <v>1</v>
      </c>
      <c r="E430" t="b">
        <f>COUNTIF(connections!A:A, A430) &gt; 0</f>
        <v>0</v>
      </c>
      <c r="G430" t="s">
        <v>1598</v>
      </c>
    </row>
    <row r="431" spans="1:10" ht="15" customHeight="1" x14ac:dyDescent="0.25">
      <c r="A431" t="s">
        <v>1599</v>
      </c>
      <c r="B431">
        <v>2020</v>
      </c>
      <c r="C431" t="s">
        <v>179</v>
      </c>
      <c r="D431" t="b">
        <f>TRUE()</f>
        <v>1</v>
      </c>
      <c r="E431" t="b">
        <f>COUNTIF(connections!A:A, A431) &gt; 0</f>
        <v>0</v>
      </c>
      <c r="G431" t="s">
        <v>1600</v>
      </c>
      <c r="H431" t="s">
        <v>187</v>
      </c>
      <c r="I431" t="s">
        <v>1601</v>
      </c>
      <c r="J431" s="1" t="s">
        <v>1602</v>
      </c>
    </row>
    <row r="432" spans="1:10" ht="15" customHeight="1" x14ac:dyDescent="0.25">
      <c r="A432" t="s">
        <v>1603</v>
      </c>
      <c r="B432">
        <v>2018</v>
      </c>
      <c r="C432" t="s">
        <v>176</v>
      </c>
      <c r="D432" t="b">
        <f>TRUE()</f>
        <v>1</v>
      </c>
      <c r="E432" t="b">
        <f>COUNTIF(connections!A:A, A432) &gt; 0</f>
        <v>0</v>
      </c>
      <c r="G432" t="s">
        <v>1604</v>
      </c>
      <c r="H432" t="s">
        <v>187</v>
      </c>
      <c r="I432" t="s">
        <v>1605</v>
      </c>
      <c r="J432" s="1" t="s">
        <v>1606</v>
      </c>
    </row>
    <row r="433" spans="1:10" ht="15" customHeight="1" x14ac:dyDescent="0.25">
      <c r="A433" t="s">
        <v>1607</v>
      </c>
      <c r="B433">
        <v>2025</v>
      </c>
      <c r="C433" t="s">
        <v>176</v>
      </c>
      <c r="D433" t="b">
        <f>TRUE()</f>
        <v>1</v>
      </c>
      <c r="E433" t="b">
        <f>COUNTIF(connections!A:A, A433) &gt; 0</f>
        <v>0</v>
      </c>
      <c r="G433" t="s">
        <v>1608</v>
      </c>
      <c r="H433" t="s">
        <v>187</v>
      </c>
      <c r="I433" t="s">
        <v>1609</v>
      </c>
      <c r="J433" s="11" t="s">
        <v>1610</v>
      </c>
    </row>
    <row r="434" spans="1:10" ht="15" customHeight="1" x14ac:dyDescent="0.25">
      <c r="A434" t="s">
        <v>1611</v>
      </c>
      <c r="B434">
        <v>2026</v>
      </c>
      <c r="C434" t="s">
        <v>182</v>
      </c>
      <c r="D434" t="b">
        <f>TRUE()</f>
        <v>1</v>
      </c>
      <c r="E434" t="b">
        <f>COUNTIF(connections!A:A, A434) &gt; 0</f>
        <v>0</v>
      </c>
      <c r="G434" t="s">
        <v>1612</v>
      </c>
      <c r="J434" s="11" t="s">
        <v>1613</v>
      </c>
    </row>
    <row r="435" spans="1:10" ht="15" customHeight="1" x14ac:dyDescent="0.25">
      <c r="A435" t="s">
        <v>1614</v>
      </c>
      <c r="B435">
        <v>2025</v>
      </c>
      <c r="C435" t="s">
        <v>176</v>
      </c>
      <c r="D435" t="b">
        <f>TRUE()</f>
        <v>1</v>
      </c>
      <c r="E435" t="b">
        <f>COUNTIF(connections!A:A, A435) &gt; 0</f>
        <v>0</v>
      </c>
      <c r="G435" t="s">
        <v>1615</v>
      </c>
      <c r="H435" t="s">
        <v>187</v>
      </c>
      <c r="I435" t="s">
        <v>1616</v>
      </c>
      <c r="J435" s="1" t="s">
        <v>1617</v>
      </c>
    </row>
    <row r="436" spans="1:10" ht="15" customHeight="1" x14ac:dyDescent="0.25">
      <c r="A436" t="s">
        <v>1618</v>
      </c>
      <c r="B436">
        <v>2022</v>
      </c>
      <c r="C436" t="s">
        <v>222</v>
      </c>
      <c r="D436" t="b">
        <f>FALSE()</f>
        <v>0</v>
      </c>
      <c r="E436" t="b">
        <f>COUNTIF(connections!A:A, A436) &gt; 0</f>
        <v>0</v>
      </c>
      <c r="G436" t="s">
        <v>1619</v>
      </c>
      <c r="H436" t="s">
        <v>187</v>
      </c>
      <c r="I436" t="s">
        <v>1620</v>
      </c>
      <c r="J436" s="1" t="s">
        <v>1621</v>
      </c>
    </row>
    <row r="437" spans="1:10" ht="15" customHeight="1" x14ac:dyDescent="0.25">
      <c r="A437" t="s">
        <v>1622</v>
      </c>
      <c r="B437">
        <v>2025</v>
      </c>
      <c r="C437" t="s">
        <v>176</v>
      </c>
      <c r="D437" t="b">
        <f>TRUE()</f>
        <v>1</v>
      </c>
      <c r="E437" t="b">
        <f>COUNTIF(connections!A:A, A437) &gt; 0</f>
        <v>1</v>
      </c>
      <c r="G437" t="s">
        <v>1623</v>
      </c>
      <c r="H437" t="s">
        <v>187</v>
      </c>
      <c r="I437" t="s">
        <v>1624</v>
      </c>
      <c r="J437" s="1" t="s">
        <v>1625</v>
      </c>
    </row>
    <row r="438" spans="1:10" ht="15" customHeight="1" x14ac:dyDescent="0.25">
      <c r="A438" t="s">
        <v>1626</v>
      </c>
      <c r="B438">
        <v>2024</v>
      </c>
      <c r="C438" t="s">
        <v>182</v>
      </c>
      <c r="D438" t="b">
        <f>TRUE()</f>
        <v>1</v>
      </c>
      <c r="E438" t="b">
        <f>COUNTIF(connections!A:A, A438) &gt; 0</f>
        <v>0</v>
      </c>
      <c r="G438" t="s">
        <v>1627</v>
      </c>
    </row>
    <row r="439" spans="1:10" ht="15" customHeight="1" x14ac:dyDescent="0.25">
      <c r="A439" t="s">
        <v>1628</v>
      </c>
      <c r="B439">
        <v>2024</v>
      </c>
      <c r="C439" t="s">
        <v>182</v>
      </c>
      <c r="D439" t="b">
        <f>TRUE()</f>
        <v>1</v>
      </c>
      <c r="E439" t="b">
        <f>COUNTIF(connections!A:A, A439) &gt; 0</f>
        <v>0</v>
      </c>
      <c r="G439" t="s">
        <v>1629</v>
      </c>
      <c r="H439" t="s">
        <v>187</v>
      </c>
      <c r="I439" t="s">
        <v>1630</v>
      </c>
      <c r="J439" s="1" t="s">
        <v>1631</v>
      </c>
    </row>
    <row r="440" spans="1:10" ht="15" customHeight="1" x14ac:dyDescent="0.25">
      <c r="A440" t="s">
        <v>1632</v>
      </c>
      <c r="B440">
        <v>2026</v>
      </c>
      <c r="C440" t="s">
        <v>182</v>
      </c>
      <c r="D440" t="b">
        <f>TRUE()</f>
        <v>1</v>
      </c>
      <c r="E440" t="b">
        <f>COUNTIF(connections!A:A, A440) &gt; 0</f>
        <v>0</v>
      </c>
      <c r="G440" t="s">
        <v>1633</v>
      </c>
    </row>
    <row r="441" spans="1:10" ht="15" customHeight="1" x14ac:dyDescent="0.25">
      <c r="A441" t="s">
        <v>1634</v>
      </c>
      <c r="B441">
        <v>2025</v>
      </c>
      <c r="C441" t="s">
        <v>182</v>
      </c>
      <c r="D441" t="b">
        <f>TRUE()</f>
        <v>1</v>
      </c>
      <c r="E441" t="b">
        <f>COUNTIF(connections!A:A, A441) &gt; 0</f>
        <v>0</v>
      </c>
      <c r="G441" t="s">
        <v>1635</v>
      </c>
      <c r="H441" t="s">
        <v>187</v>
      </c>
      <c r="I441" t="s">
        <v>1636</v>
      </c>
      <c r="J441" s="1" t="s">
        <v>1637</v>
      </c>
    </row>
    <row r="442" spans="1:10" ht="15" customHeight="1" x14ac:dyDescent="0.25">
      <c r="A442" t="s">
        <v>1638</v>
      </c>
      <c r="B442">
        <v>2024</v>
      </c>
      <c r="C442" t="s">
        <v>222</v>
      </c>
      <c r="D442" t="b">
        <f>TRUE()</f>
        <v>1</v>
      </c>
      <c r="E442" t="b">
        <f>COUNTIF(connections!A:A, A442) &gt; 0</f>
        <v>0</v>
      </c>
      <c r="G442" t="s">
        <v>1639</v>
      </c>
      <c r="H442" t="s">
        <v>187</v>
      </c>
      <c r="I442" t="s">
        <v>1640</v>
      </c>
      <c r="J442" s="1" t="s">
        <v>1641</v>
      </c>
    </row>
    <row r="443" spans="1:10" ht="15" customHeight="1" x14ac:dyDescent="0.25">
      <c r="A443" t="s">
        <v>1642</v>
      </c>
      <c r="B443">
        <v>2020</v>
      </c>
      <c r="C443" t="s">
        <v>176</v>
      </c>
      <c r="D443" t="b">
        <f>TRUE()</f>
        <v>1</v>
      </c>
      <c r="E443" t="b">
        <f>COUNTIF(connections!A:A, A443) &gt; 0</f>
        <v>0</v>
      </c>
      <c r="G443" t="s">
        <v>1643</v>
      </c>
      <c r="H443" t="s">
        <v>187</v>
      </c>
      <c r="I443" t="s">
        <v>1644</v>
      </c>
      <c r="J443" s="1" t="s">
        <v>1645</v>
      </c>
    </row>
    <row r="444" spans="1:10" ht="15" customHeight="1" x14ac:dyDescent="0.25">
      <c r="A444" t="s">
        <v>1646</v>
      </c>
      <c r="B444">
        <v>2021</v>
      </c>
      <c r="C444" t="s">
        <v>176</v>
      </c>
      <c r="D444" t="b">
        <f>FALSE()</f>
        <v>0</v>
      </c>
      <c r="E444" t="b">
        <f>COUNTIF(connections!A:A, A444) &gt; 0</f>
        <v>0</v>
      </c>
      <c r="G444" t="s">
        <v>1647</v>
      </c>
      <c r="H444" t="s">
        <v>187</v>
      </c>
      <c r="I444" t="s">
        <v>1648</v>
      </c>
      <c r="J444" s="1" t="s">
        <v>1649</v>
      </c>
    </row>
    <row r="445" spans="1:10" ht="15" customHeight="1" x14ac:dyDescent="0.25">
      <c r="A445" t="s">
        <v>1650</v>
      </c>
      <c r="B445">
        <v>2026</v>
      </c>
      <c r="C445" t="s">
        <v>222</v>
      </c>
      <c r="D445" t="b">
        <f>TRUE()</f>
        <v>1</v>
      </c>
      <c r="E445" t="b">
        <f>COUNTIF(connections!A:A, A445) &gt; 0</f>
        <v>0</v>
      </c>
      <c r="F445" t="s">
        <v>529</v>
      </c>
      <c r="G445" t="s">
        <v>1651</v>
      </c>
      <c r="H445" t="s">
        <v>187</v>
      </c>
      <c r="I445" t="s">
        <v>1652</v>
      </c>
      <c r="J445" s="1" t="s">
        <v>1653</v>
      </c>
    </row>
    <row r="446" spans="1:10" ht="15" customHeight="1" x14ac:dyDescent="0.25">
      <c r="A446" t="s">
        <v>1654</v>
      </c>
      <c r="B446">
        <v>2025</v>
      </c>
      <c r="C446" t="s">
        <v>176</v>
      </c>
      <c r="D446" t="b">
        <f>FALSE()</f>
        <v>0</v>
      </c>
      <c r="E446" t="b">
        <f>COUNTIF(connections!A:A, A446) &gt; 0</f>
        <v>0</v>
      </c>
      <c r="G446" t="s">
        <v>1655</v>
      </c>
    </row>
    <row r="447" spans="1:10" ht="15" customHeight="1" x14ac:dyDescent="0.25">
      <c r="A447" t="s">
        <v>1656</v>
      </c>
      <c r="B447">
        <v>2024</v>
      </c>
      <c r="C447" t="s">
        <v>222</v>
      </c>
      <c r="D447" t="b">
        <f>FALSE()</f>
        <v>0</v>
      </c>
      <c r="E447" t="b">
        <f>COUNTIF(connections!A:A, A447) &gt; 0</f>
        <v>1</v>
      </c>
      <c r="G447" t="s">
        <v>1657</v>
      </c>
      <c r="H447" t="s">
        <v>187</v>
      </c>
      <c r="I447" t="s">
        <v>1658</v>
      </c>
      <c r="J447" s="1" t="s">
        <v>1659</v>
      </c>
    </row>
    <row r="448" spans="1:10" ht="15" customHeight="1" x14ac:dyDescent="0.25">
      <c r="A448" t="s">
        <v>1660</v>
      </c>
      <c r="B448">
        <v>2012</v>
      </c>
      <c r="C448" t="s">
        <v>179</v>
      </c>
      <c r="D448" t="b">
        <f>TRUE()</f>
        <v>1</v>
      </c>
      <c r="E448" t="b">
        <f>COUNTIF(connections!A:A, A448) &gt; 0</f>
        <v>1</v>
      </c>
      <c r="F448" t="s">
        <v>328</v>
      </c>
      <c r="G448" t="s">
        <v>1661</v>
      </c>
    </row>
    <row r="449" spans="1:10" ht="15" customHeight="1" x14ac:dyDescent="0.25">
      <c r="A449" t="s">
        <v>1662</v>
      </c>
      <c r="B449">
        <v>2011</v>
      </c>
      <c r="C449" t="s">
        <v>179</v>
      </c>
      <c r="D449" t="b">
        <f>TRUE()</f>
        <v>1</v>
      </c>
      <c r="E449" t="b">
        <f>COUNTIF(connections!A:A, A449) &gt; 0</f>
        <v>1</v>
      </c>
      <c r="F449" t="s">
        <v>328</v>
      </c>
      <c r="G449" t="s">
        <v>1663</v>
      </c>
    </row>
    <row r="450" spans="1:10" ht="15" customHeight="1" x14ac:dyDescent="0.25">
      <c r="A450" t="s">
        <v>1664</v>
      </c>
      <c r="B450">
        <v>1987</v>
      </c>
      <c r="C450" t="s">
        <v>179</v>
      </c>
      <c r="D450" t="b">
        <v>1</v>
      </c>
      <c r="E450" t="b">
        <f>COUNTIF(connections!A:A, A450) &gt; 0</f>
        <v>0</v>
      </c>
      <c r="G450" t="s">
        <v>1665</v>
      </c>
      <c r="H450" t="s">
        <v>187</v>
      </c>
      <c r="I450" t="s">
        <v>1666</v>
      </c>
    </row>
    <row r="451" spans="1:10" ht="15" customHeight="1" x14ac:dyDescent="0.25">
      <c r="A451" t="s">
        <v>1667</v>
      </c>
      <c r="B451">
        <v>2023</v>
      </c>
      <c r="C451" t="s">
        <v>176</v>
      </c>
      <c r="D451" t="b">
        <f>TRUE()</f>
        <v>1</v>
      </c>
      <c r="E451" t="b">
        <f>COUNTIF(connections!A:A, A451) &gt; 0</f>
        <v>0</v>
      </c>
      <c r="G451" t="s">
        <v>1668</v>
      </c>
      <c r="H451" t="s">
        <v>187</v>
      </c>
      <c r="I451" t="s">
        <v>1669</v>
      </c>
      <c r="J451" s="1" t="s">
        <v>1670</v>
      </c>
    </row>
    <row r="452" spans="1:10" ht="15" customHeight="1" x14ac:dyDescent="0.25">
      <c r="A452" t="s">
        <v>1671</v>
      </c>
      <c r="B452">
        <v>2022</v>
      </c>
      <c r="C452" t="s">
        <v>176</v>
      </c>
      <c r="D452" t="b">
        <f>TRUE()</f>
        <v>1</v>
      </c>
      <c r="E452" t="b">
        <f>COUNTIF(connections!A:A, A452) &gt; 0</f>
        <v>0</v>
      </c>
      <c r="G452" t="s">
        <v>1672</v>
      </c>
    </row>
    <row r="453" spans="1:10" ht="15" customHeight="1" x14ac:dyDescent="0.25">
      <c r="A453" t="s">
        <v>1673</v>
      </c>
      <c r="B453">
        <v>2021</v>
      </c>
      <c r="C453" t="s">
        <v>182</v>
      </c>
      <c r="D453" t="b">
        <f>TRUE()</f>
        <v>1</v>
      </c>
      <c r="E453" t="b">
        <f>COUNTIF(connections!A:A, A453) &gt; 0</f>
        <v>0</v>
      </c>
      <c r="G453" t="s">
        <v>1674</v>
      </c>
      <c r="H453" t="s">
        <v>187</v>
      </c>
      <c r="I453" t="s">
        <v>1675</v>
      </c>
      <c r="J453" s="1" t="s">
        <v>1676</v>
      </c>
    </row>
    <row r="454" spans="1:10" ht="15" customHeight="1" x14ac:dyDescent="0.25">
      <c r="A454" t="s">
        <v>1677</v>
      </c>
      <c r="B454">
        <v>2002</v>
      </c>
      <c r="C454" t="s">
        <v>179</v>
      </c>
      <c r="D454" t="b">
        <f>TRUE()</f>
        <v>1</v>
      </c>
      <c r="E454" t="b">
        <f>COUNTIF(connections!A:A, A454) &gt; 0</f>
        <v>1</v>
      </c>
      <c r="G454" t="s">
        <v>1678</v>
      </c>
      <c r="H454" t="s">
        <v>187</v>
      </c>
      <c r="I454" t="s">
        <v>1679</v>
      </c>
    </row>
    <row r="455" spans="1:10" ht="15" customHeight="1" x14ac:dyDescent="0.25">
      <c r="A455" t="s">
        <v>1680</v>
      </c>
      <c r="B455">
        <v>2003</v>
      </c>
      <c r="C455" t="s">
        <v>179</v>
      </c>
      <c r="D455" t="b">
        <f>TRUE()</f>
        <v>1</v>
      </c>
      <c r="E455" t="b">
        <f>COUNTIF(connections!A:A, A455) &gt; 0</f>
        <v>0</v>
      </c>
      <c r="G455" t="s">
        <v>1681</v>
      </c>
      <c r="H455" t="s">
        <v>187</v>
      </c>
      <c r="I455" t="s">
        <v>1682</v>
      </c>
    </row>
    <row r="456" spans="1:10" ht="15" customHeight="1" x14ac:dyDescent="0.25">
      <c r="A456" t="s">
        <v>1683</v>
      </c>
      <c r="B456">
        <v>2020</v>
      </c>
      <c r="C456" t="s">
        <v>179</v>
      </c>
      <c r="D456" t="b">
        <f>TRUE()</f>
        <v>1</v>
      </c>
      <c r="E456" t="b">
        <f>COUNTIF(connections!A:A, A456) &gt; 0</f>
        <v>1</v>
      </c>
      <c r="G456" t="s">
        <v>1684</v>
      </c>
    </row>
    <row r="457" spans="1:10" ht="15" customHeight="1" x14ac:dyDescent="0.25">
      <c r="A457" t="s">
        <v>1685</v>
      </c>
      <c r="B457">
        <v>2022</v>
      </c>
      <c r="C457" t="s">
        <v>179</v>
      </c>
      <c r="D457" t="b">
        <f>TRUE()</f>
        <v>1</v>
      </c>
      <c r="E457" t="b">
        <f>COUNTIF(connections!A:A, A457) &gt; 0</f>
        <v>0</v>
      </c>
      <c r="G457" t="s">
        <v>1686</v>
      </c>
    </row>
    <row r="458" spans="1:10" ht="15" customHeight="1" x14ac:dyDescent="0.25">
      <c r="A458" t="s">
        <v>1687</v>
      </c>
      <c r="B458">
        <v>2017</v>
      </c>
      <c r="C458" t="s">
        <v>182</v>
      </c>
      <c r="D458" t="b">
        <f>TRUE()</f>
        <v>1</v>
      </c>
      <c r="E458" t="b">
        <f>COUNTIF(connections!A:A, A458) &gt; 0</f>
        <v>1</v>
      </c>
      <c r="G458" t="s">
        <v>1688</v>
      </c>
      <c r="H458" t="s">
        <v>187</v>
      </c>
      <c r="I458" t="s">
        <v>1689</v>
      </c>
      <c r="J458" s="1" t="s">
        <v>1690</v>
      </c>
    </row>
    <row r="459" spans="1:10" ht="15" customHeight="1" x14ac:dyDescent="0.25">
      <c r="A459" t="s">
        <v>1691</v>
      </c>
      <c r="B459">
        <v>2020</v>
      </c>
      <c r="C459" t="s">
        <v>182</v>
      </c>
      <c r="D459" t="b">
        <f>TRUE()</f>
        <v>1</v>
      </c>
      <c r="E459" t="b">
        <f>COUNTIF(connections!A:A, A459) &gt; 0</f>
        <v>1</v>
      </c>
      <c r="G459" t="s">
        <v>1692</v>
      </c>
      <c r="H459" t="s">
        <v>187</v>
      </c>
      <c r="I459" t="s">
        <v>1693</v>
      </c>
      <c r="J459" s="1" t="s">
        <v>1694</v>
      </c>
    </row>
    <row r="460" spans="1:10" ht="15" customHeight="1" x14ac:dyDescent="0.25">
      <c r="A460" t="s">
        <v>1695</v>
      </c>
      <c r="B460">
        <v>2025</v>
      </c>
      <c r="C460" t="s">
        <v>182</v>
      </c>
      <c r="D460" t="b">
        <f>TRUE()</f>
        <v>1</v>
      </c>
      <c r="E460" t="b">
        <f>COUNTIF(connections!A:A, A460) &gt; 0</f>
        <v>0</v>
      </c>
      <c r="G460" t="s">
        <v>1696</v>
      </c>
    </row>
    <row r="461" spans="1:10" ht="15" customHeight="1" x14ac:dyDescent="0.25">
      <c r="A461" t="s">
        <v>1697</v>
      </c>
      <c r="B461">
        <v>2025</v>
      </c>
      <c r="C461" t="s">
        <v>176</v>
      </c>
      <c r="D461" t="b">
        <f>TRUE()</f>
        <v>1</v>
      </c>
      <c r="E461" t="b">
        <f>COUNTIF(connections!A:A, A461) &gt; 0</f>
        <v>0</v>
      </c>
      <c r="G461" t="s">
        <v>1698</v>
      </c>
      <c r="H461" t="s">
        <v>187</v>
      </c>
      <c r="I461" t="s">
        <v>1699</v>
      </c>
      <c r="J461" s="1" t="s">
        <v>1700</v>
      </c>
    </row>
    <row r="462" spans="1:10" ht="15" customHeight="1" x14ac:dyDescent="0.25">
      <c r="A462" t="s">
        <v>1701</v>
      </c>
      <c r="B462">
        <v>2015</v>
      </c>
      <c r="C462" t="s">
        <v>176</v>
      </c>
      <c r="D462" t="b">
        <f>TRUE()</f>
        <v>1</v>
      </c>
      <c r="E462" t="b">
        <f>COUNTIF(connections!A:A, A462) &gt; 0</f>
        <v>0</v>
      </c>
      <c r="G462" t="s">
        <v>1702</v>
      </c>
      <c r="H462" t="s">
        <v>187</v>
      </c>
      <c r="I462" t="s">
        <v>1703</v>
      </c>
      <c r="J462" s="1" t="s">
        <v>1704</v>
      </c>
    </row>
    <row r="463" spans="1:10" ht="15" customHeight="1" x14ac:dyDescent="0.25">
      <c r="A463" t="s">
        <v>1705</v>
      </c>
      <c r="B463">
        <v>2026</v>
      </c>
      <c r="C463" t="s">
        <v>182</v>
      </c>
      <c r="D463" t="b">
        <f>TRUE()</f>
        <v>1</v>
      </c>
      <c r="E463" t="b">
        <f>COUNTIF(connections!A:A, A463) &gt; 0</f>
        <v>0</v>
      </c>
      <c r="G463" t="s">
        <v>1706</v>
      </c>
      <c r="J463" s="11" t="s">
        <v>1707</v>
      </c>
    </row>
    <row r="464" spans="1:10" ht="15" customHeight="1" x14ac:dyDescent="0.25">
      <c r="A464" t="s">
        <v>1708</v>
      </c>
      <c r="B464">
        <v>2016</v>
      </c>
      <c r="C464" t="s">
        <v>176</v>
      </c>
      <c r="D464" t="b">
        <f>FALSE()</f>
        <v>0</v>
      </c>
      <c r="E464" t="b">
        <f>COUNTIF(connections!A:A, A464) &gt; 0</f>
        <v>1</v>
      </c>
      <c r="G464" t="s">
        <v>1709</v>
      </c>
      <c r="H464" t="s">
        <v>187</v>
      </c>
      <c r="I464" t="s">
        <v>1710</v>
      </c>
      <c r="J464" s="1" t="s">
        <v>1711</v>
      </c>
    </row>
    <row r="465" spans="1:10" ht="15" customHeight="1" x14ac:dyDescent="0.25">
      <c r="A465" t="s">
        <v>1712</v>
      </c>
      <c r="B465">
        <v>2024</v>
      </c>
      <c r="C465" t="s">
        <v>176</v>
      </c>
      <c r="D465" t="b">
        <f>TRUE()</f>
        <v>1</v>
      </c>
      <c r="E465" t="b">
        <f>COUNTIF(connections!A:A, A465) &gt; 0</f>
        <v>0</v>
      </c>
      <c r="G465" t="s">
        <v>1713</v>
      </c>
    </row>
    <row r="466" spans="1:10" ht="15" customHeight="1" x14ac:dyDescent="0.25">
      <c r="A466" t="s">
        <v>1714</v>
      </c>
      <c r="B466">
        <v>2018</v>
      </c>
      <c r="C466" t="s">
        <v>176</v>
      </c>
      <c r="D466" t="b">
        <f>TRUE()</f>
        <v>1</v>
      </c>
      <c r="E466" t="b">
        <f>COUNTIF(connections!A:A, A466) &gt; 0</f>
        <v>1</v>
      </c>
      <c r="G466" t="s">
        <v>1715</v>
      </c>
      <c r="H466" t="s">
        <v>187</v>
      </c>
      <c r="I466" t="s">
        <v>1716</v>
      </c>
      <c r="J466" s="1" t="s">
        <v>1717</v>
      </c>
    </row>
    <row r="467" spans="1:10" ht="15" customHeight="1" x14ac:dyDescent="0.25">
      <c r="A467" t="s">
        <v>1718</v>
      </c>
      <c r="B467">
        <v>2025</v>
      </c>
      <c r="C467" t="s">
        <v>176</v>
      </c>
      <c r="D467" t="b">
        <f>TRUE()</f>
        <v>1</v>
      </c>
      <c r="E467" t="b">
        <f>COUNTIF(connections!A:A, A467) &gt; 0</f>
        <v>0</v>
      </c>
      <c r="G467" t="s">
        <v>1719</v>
      </c>
    </row>
    <row r="468" spans="1:10" ht="15" customHeight="1" x14ac:dyDescent="0.25">
      <c r="A468" t="s">
        <v>1720</v>
      </c>
      <c r="B468">
        <v>2023</v>
      </c>
      <c r="C468" t="s">
        <v>179</v>
      </c>
      <c r="D468" t="b">
        <f>TRUE()</f>
        <v>1</v>
      </c>
      <c r="E468" t="b">
        <f>COUNTIF(connections!A:A, A468) &gt; 0</f>
        <v>0</v>
      </c>
      <c r="G468" t="s">
        <v>1721</v>
      </c>
      <c r="H468" t="s">
        <v>187</v>
      </c>
      <c r="I468" t="s">
        <v>1722</v>
      </c>
      <c r="J468" s="1" t="s">
        <v>1723</v>
      </c>
    </row>
    <row r="469" spans="1:10" ht="15" customHeight="1" x14ac:dyDescent="0.25">
      <c r="A469" t="s">
        <v>1724</v>
      </c>
      <c r="B469">
        <v>2026</v>
      </c>
      <c r="C469" t="s">
        <v>176</v>
      </c>
      <c r="D469" t="b">
        <f>TRUE()</f>
        <v>1</v>
      </c>
      <c r="E469" t="b">
        <f>COUNTIF(connections!A:A, A469) &gt; 0</f>
        <v>0</v>
      </c>
      <c r="G469" t="s">
        <v>1725</v>
      </c>
    </row>
    <row r="470" spans="1:10" ht="15" customHeight="1" x14ac:dyDescent="0.25">
      <c r="A470" t="s">
        <v>1726</v>
      </c>
      <c r="B470">
        <v>1983</v>
      </c>
      <c r="C470" t="s">
        <v>179</v>
      </c>
      <c r="D470" t="b">
        <f>TRUE()</f>
        <v>1</v>
      </c>
      <c r="E470" t="b">
        <f>COUNTIF(connections!A:A, A470) &gt; 0</f>
        <v>1</v>
      </c>
      <c r="G470" t="s">
        <v>1727</v>
      </c>
      <c r="H470" t="s">
        <v>187</v>
      </c>
      <c r="I470" t="s">
        <v>1728</v>
      </c>
    </row>
    <row r="471" spans="1:10" ht="15" customHeight="1" x14ac:dyDescent="0.25">
      <c r="A471" t="s">
        <v>1729</v>
      </c>
      <c r="B471">
        <v>2024</v>
      </c>
      <c r="C471" t="s">
        <v>182</v>
      </c>
      <c r="D471" t="b">
        <f>TRUE()</f>
        <v>1</v>
      </c>
      <c r="E471" t="b">
        <f>COUNTIF(connections!A:A, A471) &gt; 0</f>
        <v>0</v>
      </c>
      <c r="F471" t="s">
        <v>568</v>
      </c>
      <c r="G471" t="s">
        <v>1730</v>
      </c>
      <c r="H471" t="s">
        <v>187</v>
      </c>
      <c r="I471" t="s">
        <v>1731</v>
      </c>
      <c r="J471" s="1" t="s">
        <v>1732</v>
      </c>
    </row>
    <row r="472" spans="1:10" ht="15" customHeight="1" x14ac:dyDescent="0.25">
      <c r="A472" t="s">
        <v>1733</v>
      </c>
      <c r="B472">
        <v>2025</v>
      </c>
      <c r="C472" t="s">
        <v>176</v>
      </c>
      <c r="D472" t="b">
        <f>FALSE()</f>
        <v>0</v>
      </c>
      <c r="E472" t="b">
        <f>COUNTIF(connections!A:A, A472) &gt; 0</f>
        <v>0</v>
      </c>
      <c r="G472" t="s">
        <v>1734</v>
      </c>
    </row>
    <row r="473" spans="1:10" ht="15" customHeight="1" x14ac:dyDescent="0.25">
      <c r="A473" t="s">
        <v>1735</v>
      </c>
      <c r="B473">
        <v>2023</v>
      </c>
      <c r="C473" t="s">
        <v>176</v>
      </c>
      <c r="D473" t="b">
        <f>TRUE()</f>
        <v>1</v>
      </c>
      <c r="E473" t="b">
        <f>COUNTIF(connections!A:A, A473) &gt; 0</f>
        <v>0</v>
      </c>
      <c r="G473" t="s">
        <v>1736</v>
      </c>
      <c r="H473" t="s">
        <v>187</v>
      </c>
      <c r="I473" t="s">
        <v>1737</v>
      </c>
      <c r="J473" s="1" t="s">
        <v>1738</v>
      </c>
    </row>
    <row r="474" spans="1:10" ht="15" customHeight="1" x14ac:dyDescent="0.25">
      <c r="A474" t="s">
        <v>1739</v>
      </c>
      <c r="B474">
        <v>2018</v>
      </c>
      <c r="C474" t="s">
        <v>176</v>
      </c>
      <c r="D474" t="b">
        <f>TRUE()</f>
        <v>1</v>
      </c>
      <c r="E474" t="b">
        <f>COUNTIF(connections!A:A, A474) &gt; 0</f>
        <v>1</v>
      </c>
      <c r="F474" t="s">
        <v>277</v>
      </c>
      <c r="G474" t="s">
        <v>1740</v>
      </c>
      <c r="H474" t="s">
        <v>187</v>
      </c>
      <c r="I474" t="s">
        <v>1741</v>
      </c>
      <c r="J474" s="1" t="s">
        <v>1742</v>
      </c>
    </row>
    <row r="475" spans="1:10" ht="15" customHeight="1" x14ac:dyDescent="0.25">
      <c r="A475" t="s">
        <v>1743</v>
      </c>
      <c r="B475">
        <v>2022</v>
      </c>
      <c r="C475" t="s">
        <v>176</v>
      </c>
      <c r="D475" t="b">
        <f>TRUE()</f>
        <v>1</v>
      </c>
      <c r="E475" t="b">
        <f>COUNTIF(connections!A:A, A475) &gt; 0</f>
        <v>0</v>
      </c>
      <c r="F475" t="s">
        <v>277</v>
      </c>
      <c r="G475" t="s">
        <v>1744</v>
      </c>
      <c r="H475" t="s">
        <v>187</v>
      </c>
      <c r="I475" t="s">
        <v>1745</v>
      </c>
      <c r="J475" s="1" t="s">
        <v>1746</v>
      </c>
    </row>
    <row r="476" spans="1:10" ht="15" customHeight="1" x14ac:dyDescent="0.25">
      <c r="A476" t="s">
        <v>1747</v>
      </c>
      <c r="B476">
        <v>2011</v>
      </c>
      <c r="C476" t="s">
        <v>179</v>
      </c>
      <c r="D476" t="b">
        <f>TRUE()</f>
        <v>1</v>
      </c>
      <c r="E476" t="b">
        <f>COUNTIF(connections!A:A, A476) &gt; 0</f>
        <v>1</v>
      </c>
      <c r="F476" t="s">
        <v>328</v>
      </c>
      <c r="G476" t="s">
        <v>1748</v>
      </c>
    </row>
    <row r="477" spans="1:10" ht="15" customHeight="1" x14ac:dyDescent="0.25">
      <c r="A477" t="s">
        <v>1749</v>
      </c>
      <c r="B477">
        <v>2023</v>
      </c>
      <c r="C477" t="s">
        <v>176</v>
      </c>
      <c r="D477" t="b">
        <f>TRUE()</f>
        <v>1</v>
      </c>
      <c r="E477" t="b">
        <f>COUNTIF(connections!A:A, A477) &gt; 0</f>
        <v>0</v>
      </c>
      <c r="G477" t="s">
        <v>1750</v>
      </c>
      <c r="H477" t="s">
        <v>187</v>
      </c>
      <c r="I477" t="s">
        <v>1751</v>
      </c>
      <c r="J477" s="1" t="s">
        <v>1752</v>
      </c>
    </row>
    <row r="478" spans="1:10" ht="15" customHeight="1" x14ac:dyDescent="0.25">
      <c r="A478" t="s">
        <v>1753</v>
      </c>
      <c r="B478">
        <v>2021</v>
      </c>
      <c r="C478" t="s">
        <v>176</v>
      </c>
      <c r="D478" t="b">
        <f>TRUE()</f>
        <v>1</v>
      </c>
      <c r="E478" t="b">
        <f>COUNTIF(connections!A:A, A478) &gt; 0</f>
        <v>1</v>
      </c>
      <c r="G478" t="s">
        <v>1754</v>
      </c>
      <c r="H478" t="s">
        <v>187</v>
      </c>
      <c r="I478" t="s">
        <v>1755</v>
      </c>
      <c r="J478" s="1" t="s">
        <v>1756</v>
      </c>
    </row>
    <row r="479" spans="1:10" ht="15" customHeight="1" x14ac:dyDescent="0.25">
      <c r="A479" t="s">
        <v>1757</v>
      </c>
      <c r="B479">
        <v>2025</v>
      </c>
      <c r="C479" t="s">
        <v>182</v>
      </c>
      <c r="D479" t="b">
        <f>TRUE()</f>
        <v>1</v>
      </c>
      <c r="E479" t="b">
        <f>COUNTIF(connections!A:A, A479) &gt; 0</f>
        <v>0</v>
      </c>
      <c r="G479" t="s">
        <v>1758</v>
      </c>
    </row>
    <row r="480" spans="1:10" ht="15" customHeight="1" x14ac:dyDescent="0.25">
      <c r="A480" t="s">
        <v>1759</v>
      </c>
      <c r="B480">
        <v>2016</v>
      </c>
      <c r="C480" t="s">
        <v>179</v>
      </c>
      <c r="D480" t="b">
        <f>TRUE()</f>
        <v>1</v>
      </c>
      <c r="E480" t="b">
        <f>COUNTIF(connections!A:A, A480) &gt; 0</f>
        <v>0</v>
      </c>
      <c r="G480" t="s">
        <v>1760</v>
      </c>
      <c r="H480" t="s">
        <v>187</v>
      </c>
      <c r="I480" t="s">
        <v>7877</v>
      </c>
      <c r="J480" s="11" t="s">
        <v>1761</v>
      </c>
    </row>
    <row r="481" spans="1:10" ht="15" customHeight="1" x14ac:dyDescent="0.25">
      <c r="A481" t="s">
        <v>1762</v>
      </c>
      <c r="B481">
        <v>1995</v>
      </c>
      <c r="C481" t="s">
        <v>179</v>
      </c>
      <c r="D481" t="b">
        <f>TRUE()</f>
        <v>1</v>
      </c>
      <c r="E481" t="b">
        <f>COUNTIF(connections!A:A, A481) &gt; 0</f>
        <v>1</v>
      </c>
      <c r="G481" t="s">
        <v>1763</v>
      </c>
      <c r="H481" t="s">
        <v>187</v>
      </c>
      <c r="I481" t="s">
        <v>1764</v>
      </c>
    </row>
    <row r="482" spans="1:10" ht="15" customHeight="1" x14ac:dyDescent="0.25">
      <c r="A482" t="s">
        <v>1765</v>
      </c>
      <c r="B482">
        <v>2024</v>
      </c>
      <c r="C482" t="s">
        <v>176</v>
      </c>
      <c r="D482" t="b">
        <f>TRUE()</f>
        <v>1</v>
      </c>
      <c r="E482" t="b">
        <f>COUNTIF(connections!A:A, A482) &gt; 0</f>
        <v>0</v>
      </c>
      <c r="G482" t="s">
        <v>1766</v>
      </c>
      <c r="H482" t="s">
        <v>187</v>
      </c>
      <c r="I482" t="s">
        <v>1767</v>
      </c>
      <c r="J482" s="1" t="s">
        <v>1768</v>
      </c>
    </row>
    <row r="483" spans="1:10" ht="15" customHeight="1" x14ac:dyDescent="0.25">
      <c r="A483" t="s">
        <v>1769</v>
      </c>
      <c r="B483">
        <v>2022</v>
      </c>
      <c r="C483" t="s">
        <v>182</v>
      </c>
      <c r="D483" t="b">
        <f>TRUE()</f>
        <v>1</v>
      </c>
      <c r="E483" t="b">
        <f>COUNTIF(connections!A:A, A483) &gt; 0</f>
        <v>0</v>
      </c>
      <c r="G483" t="s">
        <v>1770</v>
      </c>
      <c r="J483" s="11" t="s">
        <v>1771</v>
      </c>
    </row>
    <row r="484" spans="1:10" ht="15" customHeight="1" x14ac:dyDescent="0.25">
      <c r="A484" t="s">
        <v>1772</v>
      </c>
      <c r="B484">
        <v>2022</v>
      </c>
      <c r="C484" t="s">
        <v>176</v>
      </c>
      <c r="D484" t="b">
        <f>TRUE()</f>
        <v>1</v>
      </c>
      <c r="E484" t="b">
        <f>COUNTIF(connections!A:A, A484) &gt; 0</f>
        <v>0</v>
      </c>
      <c r="F484" t="s">
        <v>458</v>
      </c>
      <c r="G484" t="s">
        <v>1773</v>
      </c>
      <c r="H484" t="s">
        <v>187</v>
      </c>
      <c r="I484" t="s">
        <v>1774</v>
      </c>
      <c r="J484" s="1" t="s">
        <v>1775</v>
      </c>
    </row>
    <row r="485" spans="1:10" ht="15" customHeight="1" x14ac:dyDescent="0.25">
      <c r="A485" t="s">
        <v>1776</v>
      </c>
      <c r="B485">
        <v>2024</v>
      </c>
      <c r="C485" t="s">
        <v>222</v>
      </c>
      <c r="D485" t="b">
        <f>FALSE()</f>
        <v>0</v>
      </c>
      <c r="E485" t="b">
        <f>COUNTIF(connections!A:A, A485) &gt; 0</f>
        <v>0</v>
      </c>
      <c r="F485" t="s">
        <v>458</v>
      </c>
      <c r="G485" t="s">
        <v>1777</v>
      </c>
      <c r="H485" t="s">
        <v>187</v>
      </c>
      <c r="I485" t="s">
        <v>1778</v>
      </c>
      <c r="J485" s="1" t="s">
        <v>1779</v>
      </c>
    </row>
    <row r="486" spans="1:10" ht="15" customHeight="1" x14ac:dyDescent="0.25">
      <c r="A486" t="s">
        <v>1780</v>
      </c>
      <c r="B486">
        <v>2022</v>
      </c>
      <c r="C486" t="s">
        <v>176</v>
      </c>
      <c r="D486" t="b">
        <f>TRUE()</f>
        <v>1</v>
      </c>
      <c r="E486" t="b">
        <f>COUNTIF(connections!A:A, A486) &gt; 0</f>
        <v>1</v>
      </c>
      <c r="F486" t="s">
        <v>458</v>
      </c>
      <c r="G486" t="s">
        <v>1781</v>
      </c>
      <c r="H486" t="s">
        <v>187</v>
      </c>
      <c r="I486" t="s">
        <v>1782</v>
      </c>
      <c r="J486" s="1" t="s">
        <v>1783</v>
      </c>
    </row>
    <row r="487" spans="1:10" ht="15" customHeight="1" x14ac:dyDescent="0.25">
      <c r="A487" t="s">
        <v>1784</v>
      </c>
      <c r="B487">
        <v>2024</v>
      </c>
      <c r="C487" t="s">
        <v>176</v>
      </c>
      <c r="D487" t="b">
        <f>TRUE()</f>
        <v>1</v>
      </c>
      <c r="E487" t="b">
        <f>COUNTIF(connections!A:A, A487) &gt; 0</f>
        <v>0</v>
      </c>
      <c r="F487" t="s">
        <v>458</v>
      </c>
      <c r="G487" t="s">
        <v>1785</v>
      </c>
      <c r="H487" t="s">
        <v>187</v>
      </c>
      <c r="I487" t="s">
        <v>1786</v>
      </c>
      <c r="J487" s="1" t="s">
        <v>1787</v>
      </c>
    </row>
    <row r="488" spans="1:10" ht="15" customHeight="1" x14ac:dyDescent="0.25">
      <c r="A488" t="s">
        <v>1788</v>
      </c>
      <c r="B488">
        <v>2019</v>
      </c>
      <c r="C488" t="s">
        <v>176</v>
      </c>
      <c r="D488" t="b">
        <f>TRUE()</f>
        <v>1</v>
      </c>
      <c r="E488" t="b">
        <f>COUNTIF(connections!A:A, A488) &gt; 0</f>
        <v>1</v>
      </c>
      <c r="G488" t="s">
        <v>1789</v>
      </c>
      <c r="H488" t="s">
        <v>187</v>
      </c>
      <c r="I488" t="s">
        <v>1790</v>
      </c>
      <c r="J488" s="1" t="s">
        <v>1791</v>
      </c>
    </row>
    <row r="489" spans="1:10" ht="15" customHeight="1" x14ac:dyDescent="0.25">
      <c r="A489" t="s">
        <v>1792</v>
      </c>
      <c r="B489">
        <v>2025</v>
      </c>
      <c r="C489" t="s">
        <v>176</v>
      </c>
      <c r="D489" t="b">
        <f>TRUE()</f>
        <v>1</v>
      </c>
      <c r="E489" t="b">
        <f>COUNTIF(connections!A:A, A489) &gt; 0</f>
        <v>0</v>
      </c>
      <c r="G489" t="s">
        <v>1793</v>
      </c>
    </row>
    <row r="490" spans="1:10" ht="15" customHeight="1" x14ac:dyDescent="0.25">
      <c r="A490" t="s">
        <v>1794</v>
      </c>
      <c r="B490">
        <v>2022</v>
      </c>
      <c r="C490" t="s">
        <v>176</v>
      </c>
      <c r="D490" t="b">
        <f>TRUE()</f>
        <v>1</v>
      </c>
      <c r="E490" t="b">
        <f>COUNTIF(connections!A:A, A490) &gt; 0</f>
        <v>0</v>
      </c>
      <c r="G490" t="s">
        <v>1795</v>
      </c>
    </row>
    <row r="491" spans="1:10" ht="15" customHeight="1" x14ac:dyDescent="0.25">
      <c r="A491" t="s">
        <v>1796</v>
      </c>
      <c r="B491">
        <v>1987</v>
      </c>
      <c r="C491" t="s">
        <v>179</v>
      </c>
      <c r="D491" t="b">
        <f>TRUE()</f>
        <v>1</v>
      </c>
      <c r="E491" t="b">
        <f>COUNTIF(connections!A:A, A491) &gt; 0</f>
        <v>1</v>
      </c>
      <c r="G491" t="s">
        <v>1797</v>
      </c>
      <c r="H491" t="s">
        <v>187</v>
      </c>
      <c r="I491" t="s">
        <v>1798</v>
      </c>
    </row>
    <row r="492" spans="1:10" ht="16.5" customHeight="1" x14ac:dyDescent="0.25">
      <c r="A492" t="s">
        <v>1799</v>
      </c>
      <c r="B492">
        <v>2025</v>
      </c>
      <c r="C492" t="s">
        <v>176</v>
      </c>
      <c r="D492" t="b">
        <f>TRUE()</f>
        <v>1</v>
      </c>
      <c r="E492" t="b">
        <f>COUNTIF(connections!A:A, A492) &gt; 0</f>
        <v>0</v>
      </c>
      <c r="G492" t="s">
        <v>1800</v>
      </c>
      <c r="J492" s="11" t="s">
        <v>1801</v>
      </c>
    </row>
    <row r="493" spans="1:10" ht="15" customHeight="1" x14ac:dyDescent="0.25">
      <c r="A493" t="s">
        <v>1802</v>
      </c>
      <c r="B493">
        <v>2021</v>
      </c>
      <c r="C493" t="s">
        <v>176</v>
      </c>
      <c r="D493" t="b">
        <f>TRUE()</f>
        <v>1</v>
      </c>
      <c r="E493" t="b">
        <f>COUNTIF(connections!A:A, A493) &gt; 0</f>
        <v>0</v>
      </c>
      <c r="G493" t="s">
        <v>1803</v>
      </c>
      <c r="J493" s="11" t="s">
        <v>1804</v>
      </c>
    </row>
    <row r="494" spans="1:10" ht="15" customHeight="1" x14ac:dyDescent="0.25">
      <c r="A494" t="s">
        <v>1805</v>
      </c>
      <c r="B494">
        <v>2025</v>
      </c>
      <c r="C494" t="s">
        <v>176</v>
      </c>
      <c r="D494" t="b">
        <f>TRUE()</f>
        <v>1</v>
      </c>
      <c r="E494" t="b">
        <f>COUNTIF(connections!A:A, A494) &gt; 0</f>
        <v>0</v>
      </c>
      <c r="F494" t="s">
        <v>1806</v>
      </c>
      <c r="G494" t="s">
        <v>1807</v>
      </c>
      <c r="H494" t="s">
        <v>187</v>
      </c>
      <c r="I494" t="s">
        <v>1808</v>
      </c>
      <c r="J494" s="1" t="s">
        <v>1809</v>
      </c>
    </row>
    <row r="495" spans="1:10" ht="15" customHeight="1" x14ac:dyDescent="0.25">
      <c r="A495" t="s">
        <v>1810</v>
      </c>
      <c r="B495">
        <v>2024</v>
      </c>
      <c r="C495" t="s">
        <v>176</v>
      </c>
      <c r="D495" t="b">
        <f>TRUE()</f>
        <v>1</v>
      </c>
      <c r="E495" t="b">
        <f>COUNTIF(connections!A:A, A495) &gt; 0</f>
        <v>0</v>
      </c>
      <c r="G495" t="s">
        <v>1811</v>
      </c>
    </row>
    <row r="496" spans="1:10" ht="15" customHeight="1" x14ac:dyDescent="0.25">
      <c r="A496" t="s">
        <v>1812</v>
      </c>
      <c r="B496">
        <v>2026</v>
      </c>
      <c r="C496" t="s">
        <v>182</v>
      </c>
      <c r="D496" t="b">
        <f>TRUE()</f>
        <v>1</v>
      </c>
      <c r="E496" t="b">
        <f>COUNTIF(connections!A:A, A496) &gt; 0</f>
        <v>0</v>
      </c>
      <c r="G496" t="s">
        <v>1813</v>
      </c>
    </row>
    <row r="497" spans="1:10" ht="15" customHeight="1" x14ac:dyDescent="0.25">
      <c r="A497" t="s">
        <v>1814</v>
      </c>
      <c r="B497">
        <v>2024</v>
      </c>
      <c r="C497" t="s">
        <v>222</v>
      </c>
      <c r="D497" t="b">
        <f>TRUE()</f>
        <v>1</v>
      </c>
      <c r="E497" t="b">
        <f>COUNTIF(connections!A:A, A497) &gt; 0</f>
        <v>1</v>
      </c>
      <c r="G497" t="s">
        <v>1815</v>
      </c>
      <c r="H497" t="s">
        <v>187</v>
      </c>
      <c r="I497" t="s">
        <v>1816</v>
      </c>
      <c r="J497" s="11" t="s">
        <v>1817</v>
      </c>
    </row>
    <row r="498" spans="1:10" ht="15" customHeight="1" x14ac:dyDescent="0.25">
      <c r="A498" t="s">
        <v>1818</v>
      </c>
      <c r="B498">
        <v>2019</v>
      </c>
      <c r="C498" t="s">
        <v>176</v>
      </c>
      <c r="D498" t="b">
        <f>TRUE()</f>
        <v>1</v>
      </c>
      <c r="E498" t="b">
        <f>COUNTIF(connections!A:A, A498) &gt; 0</f>
        <v>1</v>
      </c>
      <c r="G498" t="s">
        <v>1819</v>
      </c>
      <c r="H498" t="s">
        <v>187</v>
      </c>
      <c r="I498" t="s">
        <v>1820</v>
      </c>
      <c r="J498" s="1" t="s">
        <v>1821</v>
      </c>
    </row>
    <row r="499" spans="1:10" ht="15" customHeight="1" x14ac:dyDescent="0.25">
      <c r="A499" t="s">
        <v>1822</v>
      </c>
      <c r="B499">
        <v>2022</v>
      </c>
      <c r="C499" t="s">
        <v>176</v>
      </c>
      <c r="D499" t="b">
        <f>TRUE()</f>
        <v>1</v>
      </c>
      <c r="E499" t="b">
        <f>COUNTIF(connections!A:A, A499) &gt; 0</f>
        <v>0</v>
      </c>
      <c r="G499" t="s">
        <v>1823</v>
      </c>
      <c r="H499" t="s">
        <v>187</v>
      </c>
      <c r="I499" t="s">
        <v>1824</v>
      </c>
      <c r="J499" s="1" t="s">
        <v>1825</v>
      </c>
    </row>
    <row r="500" spans="1:10" ht="15" customHeight="1" x14ac:dyDescent="0.25">
      <c r="A500" t="s">
        <v>1826</v>
      </c>
      <c r="B500">
        <v>2025</v>
      </c>
      <c r="C500" t="s">
        <v>176</v>
      </c>
      <c r="D500" t="b">
        <f>TRUE()</f>
        <v>1</v>
      </c>
      <c r="E500" t="b">
        <f>COUNTIF(connections!A:A, A500) &gt; 0</f>
        <v>0</v>
      </c>
      <c r="G500" t="s">
        <v>1827</v>
      </c>
      <c r="H500" t="s">
        <v>187</v>
      </c>
      <c r="I500" t="s">
        <v>1828</v>
      </c>
      <c r="J500" s="1" t="s">
        <v>1829</v>
      </c>
    </row>
    <row r="501" spans="1:10" ht="15" customHeight="1" x14ac:dyDescent="0.25">
      <c r="A501" t="s">
        <v>1830</v>
      </c>
      <c r="B501">
        <v>2023</v>
      </c>
      <c r="C501" t="s">
        <v>176</v>
      </c>
      <c r="D501" t="b">
        <f>TRUE()</f>
        <v>1</v>
      </c>
      <c r="E501" t="b">
        <f>COUNTIF(connections!A:A, A501) &gt; 0</f>
        <v>0</v>
      </c>
      <c r="G501" t="s">
        <v>1831</v>
      </c>
      <c r="H501" t="s">
        <v>187</v>
      </c>
      <c r="I501" t="s">
        <v>1832</v>
      </c>
      <c r="J501" s="1" t="s">
        <v>1833</v>
      </c>
    </row>
    <row r="502" spans="1:10" ht="15" customHeight="1" x14ac:dyDescent="0.25">
      <c r="A502" t="s">
        <v>1834</v>
      </c>
      <c r="B502">
        <v>2025</v>
      </c>
      <c r="C502" t="s">
        <v>222</v>
      </c>
      <c r="D502" t="b">
        <f>TRUE()</f>
        <v>1</v>
      </c>
      <c r="E502" t="b">
        <f>COUNTIF(connections!A:A, A502) &gt; 0</f>
        <v>0</v>
      </c>
      <c r="G502" t="s">
        <v>1835</v>
      </c>
      <c r="H502" t="s">
        <v>187</v>
      </c>
      <c r="I502" t="s">
        <v>1836</v>
      </c>
      <c r="J502" s="1" t="s">
        <v>1837</v>
      </c>
    </row>
    <row r="503" spans="1:10" ht="15" customHeight="1" x14ac:dyDescent="0.25">
      <c r="A503" t="s">
        <v>1838</v>
      </c>
      <c r="B503">
        <v>2022</v>
      </c>
      <c r="C503" t="s">
        <v>176</v>
      </c>
      <c r="D503" t="b">
        <f>TRUE()</f>
        <v>1</v>
      </c>
      <c r="E503" t="b">
        <f>COUNTIF(connections!A:A, A503) &gt; 0</f>
        <v>0</v>
      </c>
      <c r="G503" t="s">
        <v>1839</v>
      </c>
      <c r="H503" t="s">
        <v>187</v>
      </c>
      <c r="I503" t="s">
        <v>1840</v>
      </c>
      <c r="J503" s="1" t="s">
        <v>1841</v>
      </c>
    </row>
    <row r="504" spans="1:10" ht="15" customHeight="1" x14ac:dyDescent="0.25">
      <c r="A504" t="s">
        <v>1842</v>
      </c>
      <c r="B504">
        <v>2025</v>
      </c>
      <c r="C504" t="s">
        <v>222</v>
      </c>
      <c r="D504" t="b">
        <f>FALSE()</f>
        <v>0</v>
      </c>
      <c r="E504" t="b">
        <f>COUNTIF(connections!A:A, A504) &gt; 0</f>
        <v>0</v>
      </c>
      <c r="F504" t="s">
        <v>506</v>
      </c>
      <c r="G504" t="s">
        <v>1843</v>
      </c>
    </row>
    <row r="505" spans="1:10" ht="15" customHeight="1" x14ac:dyDescent="0.25">
      <c r="A505" t="s">
        <v>1844</v>
      </c>
      <c r="B505">
        <v>2019</v>
      </c>
      <c r="C505" t="s">
        <v>176</v>
      </c>
      <c r="D505" t="b">
        <f>TRUE()</f>
        <v>1</v>
      </c>
      <c r="E505" t="b">
        <f>COUNTIF(connections!A:A, A505) &gt; 0</f>
        <v>0</v>
      </c>
      <c r="F505" t="s">
        <v>274</v>
      </c>
      <c r="G505" t="s">
        <v>1845</v>
      </c>
      <c r="H505" t="s">
        <v>187</v>
      </c>
      <c r="I505" t="s">
        <v>1846</v>
      </c>
      <c r="J505" s="1" t="s">
        <v>1847</v>
      </c>
    </row>
    <row r="506" spans="1:10" ht="15" customHeight="1" x14ac:dyDescent="0.25">
      <c r="A506" t="s">
        <v>1848</v>
      </c>
      <c r="B506">
        <v>2019</v>
      </c>
      <c r="C506" t="s">
        <v>182</v>
      </c>
      <c r="D506" t="b">
        <f>TRUE()</f>
        <v>1</v>
      </c>
      <c r="E506" t="b">
        <f>COUNTIF(connections!A:A, A506) &gt; 0</f>
        <v>0</v>
      </c>
      <c r="G506" t="s">
        <v>1849</v>
      </c>
      <c r="H506" t="s">
        <v>187</v>
      </c>
      <c r="I506" t="s">
        <v>1850</v>
      </c>
      <c r="J506" s="1" t="s">
        <v>1851</v>
      </c>
    </row>
    <row r="507" spans="1:10" ht="15" customHeight="1" x14ac:dyDescent="0.25">
      <c r="A507" t="s">
        <v>1852</v>
      </c>
      <c r="B507">
        <v>2024</v>
      </c>
      <c r="C507" t="s">
        <v>222</v>
      </c>
      <c r="D507" t="b">
        <f>TRUE()</f>
        <v>1</v>
      </c>
      <c r="E507" t="b">
        <f>COUNTIF(connections!A:A, A507) &gt; 0</f>
        <v>1</v>
      </c>
      <c r="G507" t="s">
        <v>1853</v>
      </c>
      <c r="H507" t="s">
        <v>187</v>
      </c>
      <c r="I507" t="s">
        <v>1854</v>
      </c>
      <c r="J507" s="1" t="s">
        <v>1855</v>
      </c>
    </row>
    <row r="508" spans="1:10" ht="15" customHeight="1" x14ac:dyDescent="0.25">
      <c r="A508" t="s">
        <v>1856</v>
      </c>
      <c r="B508">
        <v>2015</v>
      </c>
      <c r="C508" t="s">
        <v>176</v>
      </c>
      <c r="D508" t="b">
        <f>TRUE()</f>
        <v>1</v>
      </c>
      <c r="E508" t="b">
        <f>COUNTIF(connections!A:A, A508) &gt; 0</f>
        <v>1</v>
      </c>
      <c r="G508" t="s">
        <v>1857</v>
      </c>
      <c r="H508" t="s">
        <v>187</v>
      </c>
      <c r="I508" t="s">
        <v>1858</v>
      </c>
      <c r="J508" s="1" t="s">
        <v>1859</v>
      </c>
    </row>
    <row r="509" spans="1:10" ht="15" customHeight="1" x14ac:dyDescent="0.25">
      <c r="A509" t="s">
        <v>1860</v>
      </c>
      <c r="B509">
        <v>2025</v>
      </c>
      <c r="C509" t="s">
        <v>176</v>
      </c>
      <c r="D509" t="b">
        <f>TRUE()</f>
        <v>1</v>
      </c>
      <c r="E509" t="b">
        <f>COUNTIF(connections!A:A, A509) &gt; 0</f>
        <v>0</v>
      </c>
      <c r="G509" t="s">
        <v>1861</v>
      </c>
      <c r="H509" t="s">
        <v>187</v>
      </c>
      <c r="I509" t="s">
        <v>1862</v>
      </c>
      <c r="J509" s="1" t="s">
        <v>1863</v>
      </c>
    </row>
    <row r="510" spans="1:10" ht="15" customHeight="1" x14ac:dyDescent="0.25">
      <c r="A510" t="s">
        <v>1864</v>
      </c>
      <c r="B510">
        <v>2026</v>
      </c>
      <c r="C510" t="s">
        <v>222</v>
      </c>
      <c r="D510" t="b">
        <f>TRUE()</f>
        <v>1</v>
      </c>
      <c r="E510" t="b">
        <f>COUNTIF(connections!A:A, A510) &gt; 0</f>
        <v>0</v>
      </c>
      <c r="G510" t="s">
        <v>1865</v>
      </c>
    </row>
    <row r="511" spans="1:10" ht="15" customHeight="1" x14ac:dyDescent="0.25">
      <c r="A511" t="s">
        <v>1866</v>
      </c>
      <c r="B511">
        <v>2023</v>
      </c>
      <c r="C511" t="s">
        <v>176</v>
      </c>
      <c r="D511" t="b">
        <f>TRUE()</f>
        <v>1</v>
      </c>
      <c r="E511" t="b">
        <f>COUNTIF(connections!A:A, A511) &gt; 0</f>
        <v>0</v>
      </c>
      <c r="G511" t="s">
        <v>1867</v>
      </c>
    </row>
    <row r="512" spans="1:10" ht="15" customHeight="1" x14ac:dyDescent="0.25">
      <c r="A512" t="s">
        <v>1868</v>
      </c>
      <c r="B512">
        <v>2021</v>
      </c>
      <c r="C512" t="s">
        <v>182</v>
      </c>
      <c r="D512" t="b">
        <v>1</v>
      </c>
      <c r="E512" t="b">
        <f>COUNTIF(connections!A:A, A512) &gt; 0</f>
        <v>0</v>
      </c>
      <c r="G512" t="s">
        <v>1869</v>
      </c>
      <c r="H512" t="s">
        <v>187</v>
      </c>
      <c r="I512" t="s">
        <v>1870</v>
      </c>
      <c r="J512" s="11" t="s">
        <v>1871</v>
      </c>
    </row>
    <row r="513" spans="1:10" ht="15" customHeight="1" x14ac:dyDescent="0.25">
      <c r="A513" t="s">
        <v>1872</v>
      </c>
      <c r="B513">
        <v>2018</v>
      </c>
      <c r="C513" t="s">
        <v>176</v>
      </c>
      <c r="D513" t="b">
        <f>FALSE()</f>
        <v>0</v>
      </c>
      <c r="E513" t="b">
        <f>COUNTIF(connections!A:A, A513) &gt; 0</f>
        <v>0</v>
      </c>
      <c r="G513" t="s">
        <v>1873</v>
      </c>
      <c r="H513" t="s">
        <v>187</v>
      </c>
      <c r="I513" t="s">
        <v>1874</v>
      </c>
      <c r="J513" s="1" t="s">
        <v>1875</v>
      </c>
    </row>
    <row r="514" spans="1:10" ht="15" customHeight="1" x14ac:dyDescent="0.25">
      <c r="A514" t="s">
        <v>1876</v>
      </c>
      <c r="B514">
        <v>2026</v>
      </c>
      <c r="C514" t="s">
        <v>176</v>
      </c>
      <c r="D514" t="b">
        <f>TRUE()</f>
        <v>1</v>
      </c>
      <c r="E514" t="b">
        <f>COUNTIF(connections!A:A, A514) &gt; 0</f>
        <v>0</v>
      </c>
      <c r="G514" t="s">
        <v>1877</v>
      </c>
    </row>
    <row r="515" spans="1:10" ht="15" customHeight="1" x14ac:dyDescent="0.25">
      <c r="A515" t="s">
        <v>1878</v>
      </c>
      <c r="B515">
        <v>2025</v>
      </c>
      <c r="C515" t="s">
        <v>176</v>
      </c>
      <c r="D515" t="b">
        <f>TRUE()</f>
        <v>1</v>
      </c>
      <c r="E515" t="b">
        <f>COUNTIF(connections!A:A, A515) &gt; 0</f>
        <v>0</v>
      </c>
      <c r="G515" t="s">
        <v>1879</v>
      </c>
    </row>
    <row r="516" spans="1:10" ht="15" customHeight="1" x14ac:dyDescent="0.25">
      <c r="A516" t="s">
        <v>1880</v>
      </c>
      <c r="B516">
        <v>2026</v>
      </c>
      <c r="C516" t="s">
        <v>176</v>
      </c>
      <c r="D516" t="b">
        <f>TRUE()</f>
        <v>1</v>
      </c>
      <c r="E516" t="b">
        <f>COUNTIF(connections!A:A, A516) &gt; 0</f>
        <v>0</v>
      </c>
      <c r="G516" t="s">
        <v>1881</v>
      </c>
      <c r="J516" s="11" t="s">
        <v>1882</v>
      </c>
    </row>
    <row r="517" spans="1:10" ht="15" customHeight="1" x14ac:dyDescent="0.25">
      <c r="A517" t="s">
        <v>1883</v>
      </c>
      <c r="B517">
        <v>1987</v>
      </c>
      <c r="C517" t="s">
        <v>179</v>
      </c>
      <c r="D517" t="b">
        <f>TRUE()</f>
        <v>1</v>
      </c>
      <c r="E517" t="b">
        <f>COUNTIF(connections!A:A, A517) &gt; 0</f>
        <v>1</v>
      </c>
      <c r="G517" t="s">
        <v>1884</v>
      </c>
      <c r="H517" t="s">
        <v>187</v>
      </c>
      <c r="I517" t="s">
        <v>1885</v>
      </c>
    </row>
    <row r="518" spans="1:10" ht="15" customHeight="1" x14ac:dyDescent="0.25">
      <c r="A518" t="s">
        <v>1886</v>
      </c>
      <c r="B518">
        <v>2015</v>
      </c>
      <c r="C518" t="s">
        <v>179</v>
      </c>
      <c r="D518" t="b">
        <f>TRUE()</f>
        <v>1</v>
      </c>
      <c r="E518" t="b">
        <f>COUNTIF(connections!A:A, A518) &gt; 0</f>
        <v>1</v>
      </c>
      <c r="G518" t="s">
        <v>1887</v>
      </c>
    </row>
    <row r="519" spans="1:10" ht="15" customHeight="1" x14ac:dyDescent="0.25">
      <c r="A519" t="s">
        <v>1888</v>
      </c>
      <c r="B519">
        <v>2019</v>
      </c>
      <c r="C519" t="s">
        <v>179</v>
      </c>
      <c r="D519" t="b">
        <f>TRUE()</f>
        <v>1</v>
      </c>
      <c r="E519" t="b">
        <f>COUNTIF(connections!A:A, A519) &gt; 0</f>
        <v>0</v>
      </c>
      <c r="G519" t="s">
        <v>1889</v>
      </c>
      <c r="H519" t="s">
        <v>187</v>
      </c>
      <c r="I519" t="s">
        <v>1890</v>
      </c>
      <c r="J519" s="11" t="s">
        <v>1891</v>
      </c>
    </row>
    <row r="520" spans="1:10" ht="15" customHeight="1" x14ac:dyDescent="0.25">
      <c r="A520" t="s">
        <v>1892</v>
      </c>
      <c r="B520">
        <v>2017</v>
      </c>
      <c r="C520" t="s">
        <v>179</v>
      </c>
      <c r="D520" t="b">
        <f>TRUE()</f>
        <v>1</v>
      </c>
      <c r="E520" t="b">
        <f>COUNTIF(connections!A:A, A520) &gt; 0</f>
        <v>1</v>
      </c>
      <c r="G520" t="s">
        <v>1893</v>
      </c>
    </row>
    <row r="521" spans="1:10" ht="15" customHeight="1" x14ac:dyDescent="0.25">
      <c r="A521" t="s">
        <v>1894</v>
      </c>
      <c r="B521">
        <v>2025</v>
      </c>
      <c r="C521" t="s">
        <v>182</v>
      </c>
      <c r="D521" t="b">
        <f>TRUE()</f>
        <v>1</v>
      </c>
      <c r="E521" t="b">
        <f>COUNTIF(connections!A:A, A521) &gt; 0</f>
        <v>0</v>
      </c>
      <c r="F521" t="s">
        <v>264</v>
      </c>
      <c r="G521" t="s">
        <v>1895</v>
      </c>
    </row>
    <row r="522" spans="1:10" ht="15" customHeight="1" x14ac:dyDescent="0.25">
      <c r="A522" t="s">
        <v>1896</v>
      </c>
      <c r="B522">
        <v>2020</v>
      </c>
      <c r="C522" t="s">
        <v>176</v>
      </c>
      <c r="D522" t="b">
        <f>TRUE()</f>
        <v>1</v>
      </c>
      <c r="E522" t="b">
        <f>COUNTIF(connections!A:A, A522) &gt; 0</f>
        <v>0</v>
      </c>
      <c r="G522" t="s">
        <v>1897</v>
      </c>
      <c r="H522" t="s">
        <v>187</v>
      </c>
      <c r="I522" t="s">
        <v>1898</v>
      </c>
      <c r="J522" s="1" t="s">
        <v>1899</v>
      </c>
    </row>
    <row r="523" spans="1:10" ht="15" customHeight="1" x14ac:dyDescent="0.25">
      <c r="A523" t="s">
        <v>1900</v>
      </c>
      <c r="B523">
        <v>2014</v>
      </c>
      <c r="C523" t="s">
        <v>179</v>
      </c>
      <c r="D523" t="b">
        <f>TRUE()</f>
        <v>1</v>
      </c>
      <c r="E523" t="b">
        <f>COUNTIF(connections!A:A, A523) &gt; 0</f>
        <v>1</v>
      </c>
      <c r="G523" t="s">
        <v>1901</v>
      </c>
      <c r="H523" t="s">
        <v>187</v>
      </c>
      <c r="I523" t="s">
        <v>1902</v>
      </c>
      <c r="J523" s="11" t="s">
        <v>1903</v>
      </c>
    </row>
    <row r="524" spans="1:10" ht="15" customHeight="1" x14ac:dyDescent="0.25">
      <c r="A524" t="s">
        <v>1904</v>
      </c>
      <c r="B524">
        <v>2019</v>
      </c>
      <c r="C524" t="s">
        <v>179</v>
      </c>
      <c r="D524" t="b">
        <f>TRUE()</f>
        <v>1</v>
      </c>
      <c r="E524" t="b">
        <f>COUNTIF(connections!A:A, A524) &gt; 0</f>
        <v>0</v>
      </c>
      <c r="G524" t="s">
        <v>1905</v>
      </c>
      <c r="H524" t="s">
        <v>187</v>
      </c>
      <c r="I524" t="s">
        <v>1906</v>
      </c>
      <c r="J524" s="1" t="s">
        <v>1907</v>
      </c>
    </row>
    <row r="525" spans="1:10" ht="15" customHeight="1" x14ac:dyDescent="0.25">
      <c r="A525" t="s">
        <v>7891</v>
      </c>
      <c r="B525">
        <v>2026</v>
      </c>
      <c r="C525" t="s">
        <v>182</v>
      </c>
      <c r="D525" t="b">
        <f>TRUE()</f>
        <v>1</v>
      </c>
      <c r="E525" t="b">
        <f>COUNTIF(connections!A:A, A525) &gt; 0</f>
        <v>0</v>
      </c>
      <c r="G525" t="s">
        <v>7874</v>
      </c>
      <c r="J525" s="11" t="s">
        <v>7875</v>
      </c>
    </row>
    <row r="526" spans="1:10" ht="15" customHeight="1" x14ac:dyDescent="0.25">
      <c r="A526" t="s">
        <v>1908</v>
      </c>
      <c r="B526">
        <v>2023</v>
      </c>
      <c r="C526" t="s">
        <v>176</v>
      </c>
      <c r="D526" t="b">
        <f>FALSE()</f>
        <v>0</v>
      </c>
      <c r="E526" t="b">
        <f>COUNTIF(connections!A:A, A526) &gt; 0</f>
        <v>0</v>
      </c>
      <c r="G526" t="s">
        <v>1909</v>
      </c>
      <c r="H526" t="s">
        <v>187</v>
      </c>
      <c r="I526" t="s">
        <v>1910</v>
      </c>
      <c r="J526" s="1" t="s">
        <v>1911</v>
      </c>
    </row>
    <row r="527" spans="1:10" ht="15" customHeight="1" x14ac:dyDescent="0.25">
      <c r="A527" t="s">
        <v>1912</v>
      </c>
      <c r="B527">
        <v>2014</v>
      </c>
      <c r="C527" t="s">
        <v>176</v>
      </c>
      <c r="D527" t="b">
        <v>1</v>
      </c>
      <c r="E527" t="b">
        <f>COUNTIF(connections!A:A, A527) &gt; 0</f>
        <v>0</v>
      </c>
      <c r="G527" t="s">
        <v>1913</v>
      </c>
      <c r="J527" s="11" t="s">
        <v>1914</v>
      </c>
    </row>
    <row r="528" spans="1:10" ht="15" customHeight="1" x14ac:dyDescent="0.25">
      <c r="A528" t="s">
        <v>1915</v>
      </c>
      <c r="B528">
        <v>2025</v>
      </c>
      <c r="C528" t="s">
        <v>222</v>
      </c>
      <c r="D528" t="b">
        <f>FALSE()</f>
        <v>0</v>
      </c>
      <c r="E528" t="b">
        <f>COUNTIF(connections!A:A, A528) &gt; 0</f>
        <v>0</v>
      </c>
      <c r="G528" t="s">
        <v>1916</v>
      </c>
      <c r="H528" t="s">
        <v>187</v>
      </c>
      <c r="I528" t="s">
        <v>1917</v>
      </c>
      <c r="J528" s="1" t="s">
        <v>1918</v>
      </c>
    </row>
    <row r="529" spans="1:10" ht="15" customHeight="1" x14ac:dyDescent="0.25">
      <c r="A529" t="s">
        <v>1919</v>
      </c>
      <c r="B529">
        <v>2022</v>
      </c>
      <c r="C529" t="s">
        <v>179</v>
      </c>
      <c r="D529" t="b">
        <f>TRUE()</f>
        <v>1</v>
      </c>
      <c r="E529" t="b">
        <f>COUNTIF(connections!A:A, A529) &gt; 0</f>
        <v>0</v>
      </c>
      <c r="G529" t="s">
        <v>1920</v>
      </c>
      <c r="H529" t="s">
        <v>187</v>
      </c>
      <c r="I529" t="s">
        <v>1921</v>
      </c>
    </row>
    <row r="530" spans="1:10" ht="15" customHeight="1" x14ac:dyDescent="0.25">
      <c r="A530" t="s">
        <v>1922</v>
      </c>
      <c r="B530">
        <v>2025</v>
      </c>
      <c r="C530" t="s">
        <v>182</v>
      </c>
      <c r="D530" t="b">
        <f>TRUE()</f>
        <v>1</v>
      </c>
      <c r="E530" t="b">
        <f>COUNTIF(connections!A:A, A530) &gt; 0</f>
        <v>0</v>
      </c>
      <c r="G530" t="s">
        <v>1923</v>
      </c>
      <c r="H530" t="s">
        <v>187</v>
      </c>
      <c r="I530" t="s">
        <v>1924</v>
      </c>
      <c r="J530" s="1" t="s">
        <v>1925</v>
      </c>
    </row>
    <row r="531" spans="1:10" ht="15" customHeight="1" x14ac:dyDescent="0.25">
      <c r="A531" t="s">
        <v>1926</v>
      </c>
      <c r="B531">
        <v>2025</v>
      </c>
      <c r="C531" t="s">
        <v>179</v>
      </c>
      <c r="D531" t="b">
        <f>TRUE()</f>
        <v>1</v>
      </c>
      <c r="E531" t="b">
        <f>COUNTIF(connections!A:A, A531) &gt; 0</f>
        <v>0</v>
      </c>
      <c r="G531" t="s">
        <v>1927</v>
      </c>
    </row>
    <row r="532" spans="1:10" ht="15" customHeight="1" x14ac:dyDescent="0.25">
      <c r="A532" t="s">
        <v>1928</v>
      </c>
      <c r="B532">
        <v>2023</v>
      </c>
      <c r="C532" t="s">
        <v>176</v>
      </c>
      <c r="D532" t="b">
        <f>TRUE()</f>
        <v>1</v>
      </c>
      <c r="E532" t="b">
        <f>COUNTIF(connections!A:A, A532) &gt; 0</f>
        <v>0</v>
      </c>
      <c r="G532" t="s">
        <v>1929</v>
      </c>
      <c r="H532" t="s">
        <v>187</v>
      </c>
      <c r="I532" t="s">
        <v>1930</v>
      </c>
      <c r="J532" s="1" t="s">
        <v>1931</v>
      </c>
    </row>
    <row r="533" spans="1:10" ht="15" customHeight="1" x14ac:dyDescent="0.25">
      <c r="A533" t="s">
        <v>1932</v>
      </c>
      <c r="B533">
        <v>2025</v>
      </c>
      <c r="C533" t="s">
        <v>222</v>
      </c>
      <c r="D533" t="b">
        <f>TRUE()</f>
        <v>1</v>
      </c>
      <c r="E533" t="b">
        <f>COUNTIF(connections!A:A, A533) &gt; 0</f>
        <v>0</v>
      </c>
      <c r="F533" t="s">
        <v>1165</v>
      </c>
      <c r="G533" t="s">
        <v>1933</v>
      </c>
    </row>
    <row r="534" spans="1:10" ht="15" customHeight="1" x14ac:dyDescent="0.25">
      <c r="A534" t="s">
        <v>1934</v>
      </c>
      <c r="B534">
        <v>2021</v>
      </c>
      <c r="C534" t="s">
        <v>176</v>
      </c>
      <c r="D534" t="b">
        <f>TRUE()</f>
        <v>1</v>
      </c>
      <c r="E534" t="b">
        <f>COUNTIF(connections!A:A, A534) &gt; 0</f>
        <v>1</v>
      </c>
      <c r="G534" t="s">
        <v>1935</v>
      </c>
      <c r="H534" t="s">
        <v>187</v>
      </c>
      <c r="I534" t="s">
        <v>1936</v>
      </c>
      <c r="J534" s="1" t="s">
        <v>1937</v>
      </c>
    </row>
    <row r="535" spans="1:10" ht="15" customHeight="1" x14ac:dyDescent="0.25">
      <c r="A535" t="s">
        <v>1938</v>
      </c>
      <c r="B535">
        <v>2023</v>
      </c>
      <c r="C535" t="s">
        <v>179</v>
      </c>
      <c r="D535" t="b">
        <f>TRUE()</f>
        <v>1</v>
      </c>
      <c r="E535" t="b">
        <f>COUNTIF(connections!A:A, A535) &gt; 0</f>
        <v>0</v>
      </c>
      <c r="G535" t="s">
        <v>1939</v>
      </c>
      <c r="H535" t="s">
        <v>187</v>
      </c>
      <c r="I535" t="s">
        <v>1940</v>
      </c>
      <c r="J535" s="1" t="s">
        <v>1941</v>
      </c>
    </row>
    <row r="536" spans="1:10" ht="15" customHeight="1" x14ac:dyDescent="0.25">
      <c r="A536" t="s">
        <v>1942</v>
      </c>
      <c r="B536">
        <v>2026</v>
      </c>
      <c r="C536" t="s">
        <v>176</v>
      </c>
      <c r="D536" t="b">
        <v>1</v>
      </c>
      <c r="E536" t="b">
        <f>COUNTIF(connections!A:A, A536) &gt; 0</f>
        <v>0</v>
      </c>
      <c r="G536" t="s">
        <v>1943</v>
      </c>
      <c r="J536" s="11" t="s">
        <v>1944</v>
      </c>
    </row>
    <row r="537" spans="1:10" ht="15" customHeight="1" x14ac:dyDescent="0.25">
      <c r="A537" t="s">
        <v>1945</v>
      </c>
      <c r="B537">
        <v>2015</v>
      </c>
      <c r="C537" t="s">
        <v>179</v>
      </c>
      <c r="D537" t="b">
        <f>TRUE()</f>
        <v>1</v>
      </c>
      <c r="E537" t="b">
        <f>COUNTIF(connections!A:A, A537) &gt; 0</f>
        <v>0</v>
      </c>
      <c r="G537" t="s">
        <v>1946</v>
      </c>
      <c r="H537" t="s">
        <v>187</v>
      </c>
      <c r="I537" t="s">
        <v>1947</v>
      </c>
    </row>
    <row r="538" spans="1:10" ht="15" customHeight="1" x14ac:dyDescent="0.25">
      <c r="A538" t="s">
        <v>1948</v>
      </c>
      <c r="B538">
        <v>2021</v>
      </c>
      <c r="C538" t="s">
        <v>222</v>
      </c>
      <c r="D538" t="b">
        <f>TRUE()</f>
        <v>1</v>
      </c>
      <c r="E538" t="b">
        <f>COUNTIF(connections!A:A, A538) &gt; 0</f>
        <v>1</v>
      </c>
      <c r="F538" t="s">
        <v>1165</v>
      </c>
      <c r="G538" t="s">
        <v>1949</v>
      </c>
      <c r="H538" t="s">
        <v>187</v>
      </c>
      <c r="I538" t="s">
        <v>1950</v>
      </c>
      <c r="J538" s="1" t="s">
        <v>1951</v>
      </c>
    </row>
    <row r="539" spans="1:10" ht="15" customHeight="1" x14ac:dyDescent="0.25">
      <c r="A539" t="s">
        <v>1952</v>
      </c>
      <c r="B539">
        <v>2022</v>
      </c>
      <c r="C539" t="s">
        <v>182</v>
      </c>
      <c r="D539" t="b">
        <f>TRUE()</f>
        <v>1</v>
      </c>
      <c r="E539" t="b">
        <f>COUNTIF(connections!A:A, A539) &gt; 0</f>
        <v>1</v>
      </c>
      <c r="F539" t="s">
        <v>354</v>
      </c>
      <c r="G539" t="s">
        <v>1953</v>
      </c>
      <c r="H539" t="s">
        <v>187</v>
      </c>
      <c r="I539" t="s">
        <v>1954</v>
      </c>
      <c r="J539" s="1" t="s">
        <v>1955</v>
      </c>
    </row>
    <row r="540" spans="1:10" ht="15" customHeight="1" x14ac:dyDescent="0.25">
      <c r="A540" t="s">
        <v>1956</v>
      </c>
      <c r="B540">
        <v>2026</v>
      </c>
      <c r="C540" t="s">
        <v>182</v>
      </c>
      <c r="D540" t="b">
        <f>TRUE()</f>
        <v>1</v>
      </c>
      <c r="E540" t="b">
        <f>COUNTIF(connections!A:A, A540) &gt; 0</f>
        <v>0</v>
      </c>
      <c r="G540" t="s">
        <v>1957</v>
      </c>
      <c r="J540" s="11" t="s">
        <v>1958</v>
      </c>
    </row>
    <row r="541" spans="1:10" ht="15" customHeight="1" x14ac:dyDescent="0.25">
      <c r="A541" t="s">
        <v>7695</v>
      </c>
      <c r="B541">
        <v>2026</v>
      </c>
      <c r="C541" t="s">
        <v>176</v>
      </c>
      <c r="D541" t="b">
        <f>TRUE()</f>
        <v>1</v>
      </c>
      <c r="E541" t="b">
        <f>COUNTIF(connections!A:A, A541) &gt; 0</f>
        <v>0</v>
      </c>
      <c r="G541" t="s">
        <v>7696</v>
      </c>
      <c r="J541" s="11" t="s">
        <v>7697</v>
      </c>
    </row>
    <row r="542" spans="1:10" ht="15" customHeight="1" x14ac:dyDescent="0.25">
      <c r="A542" t="s">
        <v>1959</v>
      </c>
      <c r="B542">
        <v>2024</v>
      </c>
      <c r="C542" t="s">
        <v>176</v>
      </c>
      <c r="D542" t="b">
        <f>TRUE()</f>
        <v>1</v>
      </c>
      <c r="E542" t="b">
        <f>COUNTIF(connections!A:A, A542) &gt; 0</f>
        <v>0</v>
      </c>
      <c r="G542" t="s">
        <v>1960</v>
      </c>
      <c r="H542" t="s">
        <v>187</v>
      </c>
      <c r="I542" t="s">
        <v>1961</v>
      </c>
      <c r="J542" s="1" t="s">
        <v>1962</v>
      </c>
    </row>
    <row r="543" spans="1:10" ht="15" customHeight="1" x14ac:dyDescent="0.25">
      <c r="A543" t="s">
        <v>1963</v>
      </c>
      <c r="B543">
        <v>2023</v>
      </c>
      <c r="C543" t="s">
        <v>176</v>
      </c>
      <c r="D543" t="b">
        <f>TRUE()</f>
        <v>1</v>
      </c>
      <c r="E543" t="b">
        <f>COUNTIF(connections!A:A, A543) &gt; 0</f>
        <v>0</v>
      </c>
      <c r="G543" t="s">
        <v>1964</v>
      </c>
      <c r="H543" t="s">
        <v>187</v>
      </c>
      <c r="I543" t="s">
        <v>1965</v>
      </c>
      <c r="J543" s="1" t="s">
        <v>1966</v>
      </c>
    </row>
    <row r="544" spans="1:10" ht="15" customHeight="1" x14ac:dyDescent="0.25">
      <c r="A544" t="s">
        <v>1967</v>
      </c>
      <c r="B544">
        <v>2025</v>
      </c>
      <c r="C544" t="s">
        <v>182</v>
      </c>
      <c r="D544" t="b">
        <f>TRUE()</f>
        <v>1</v>
      </c>
      <c r="E544" t="b">
        <f>COUNTIF(connections!A:A, A544) &gt; 0</f>
        <v>0</v>
      </c>
      <c r="F544" t="s">
        <v>315</v>
      </c>
      <c r="G544" t="s">
        <v>1968</v>
      </c>
      <c r="H544" t="s">
        <v>187</v>
      </c>
      <c r="I544" t="s">
        <v>1969</v>
      </c>
      <c r="J544" s="1" t="s">
        <v>1970</v>
      </c>
    </row>
    <row r="545" spans="1:10" ht="15" customHeight="1" x14ac:dyDescent="0.25">
      <c r="A545" t="s">
        <v>1971</v>
      </c>
      <c r="B545">
        <v>2012</v>
      </c>
      <c r="C545" t="s">
        <v>179</v>
      </c>
      <c r="D545" t="b">
        <f>TRUE()</f>
        <v>1</v>
      </c>
      <c r="E545" t="b">
        <f>COUNTIF(connections!A:A, A545) &gt; 0</f>
        <v>1</v>
      </c>
      <c r="G545" t="s">
        <v>1972</v>
      </c>
      <c r="J545" s="11" t="s">
        <v>1973</v>
      </c>
    </row>
    <row r="546" spans="1:10" ht="15" customHeight="1" x14ac:dyDescent="0.25">
      <c r="A546" t="s">
        <v>1974</v>
      </c>
      <c r="B546">
        <v>2022</v>
      </c>
      <c r="C546" t="s">
        <v>222</v>
      </c>
      <c r="D546" t="b">
        <f>FALSE()</f>
        <v>0</v>
      </c>
      <c r="E546" t="b">
        <f>COUNTIF(connections!A:A, A546) &gt; 0</f>
        <v>0</v>
      </c>
      <c r="F546" t="s">
        <v>264</v>
      </c>
      <c r="G546" t="s">
        <v>1975</v>
      </c>
      <c r="H546" t="s">
        <v>187</v>
      </c>
      <c r="I546" t="s">
        <v>1976</v>
      </c>
      <c r="J546" s="1" t="s">
        <v>1977</v>
      </c>
    </row>
    <row r="547" spans="1:10" ht="15" customHeight="1" x14ac:dyDescent="0.25">
      <c r="A547" t="s">
        <v>1978</v>
      </c>
      <c r="B547">
        <v>2026</v>
      </c>
      <c r="C547" t="s">
        <v>182</v>
      </c>
      <c r="D547" t="b">
        <f>TRUE()</f>
        <v>1</v>
      </c>
      <c r="E547" t="b">
        <f>COUNTIF(connections!A:A, A547) &gt; 0</f>
        <v>0</v>
      </c>
      <c r="G547" t="s">
        <v>1979</v>
      </c>
      <c r="J547" s="1" t="s">
        <v>1980</v>
      </c>
    </row>
    <row r="548" spans="1:10" ht="15" customHeight="1" x14ac:dyDescent="0.25">
      <c r="A548" t="s">
        <v>1981</v>
      </c>
      <c r="B548">
        <v>2021</v>
      </c>
      <c r="C548" t="s">
        <v>182</v>
      </c>
      <c r="D548" t="b">
        <f>TRUE()</f>
        <v>1</v>
      </c>
      <c r="E548" t="b">
        <f>COUNTIF(connections!A:A, A548) &gt; 0</f>
        <v>0</v>
      </c>
      <c r="F548" t="s">
        <v>354</v>
      </c>
      <c r="G548" t="s">
        <v>1982</v>
      </c>
    </row>
    <row r="549" spans="1:10" ht="15" customHeight="1" x14ac:dyDescent="0.25">
      <c r="A549" t="s">
        <v>1983</v>
      </c>
      <c r="B549">
        <v>2026</v>
      </c>
      <c r="C549" t="s">
        <v>182</v>
      </c>
      <c r="D549" t="b">
        <f>TRUE()</f>
        <v>1</v>
      </c>
      <c r="E549" t="b">
        <f>COUNTIF(connections!A:A, A549) &gt; 0</f>
        <v>0</v>
      </c>
      <c r="G549" t="s">
        <v>1984</v>
      </c>
    </row>
    <row r="550" spans="1:10" ht="15" customHeight="1" x14ac:dyDescent="0.25">
      <c r="A550" t="s">
        <v>1985</v>
      </c>
      <c r="B550">
        <v>2022</v>
      </c>
      <c r="C550" t="s">
        <v>182</v>
      </c>
      <c r="D550" t="b">
        <f>TRUE()</f>
        <v>1</v>
      </c>
      <c r="E550" t="b">
        <f>COUNTIF(connections!A:A, A550) &gt; 0</f>
        <v>0</v>
      </c>
      <c r="F550" t="s">
        <v>1986</v>
      </c>
      <c r="G550" t="s">
        <v>1987</v>
      </c>
      <c r="H550" t="s">
        <v>187</v>
      </c>
      <c r="I550" t="s">
        <v>1988</v>
      </c>
    </row>
    <row r="551" spans="1:10" ht="15" customHeight="1" x14ac:dyDescent="0.25">
      <c r="A551" t="s">
        <v>1989</v>
      </c>
      <c r="B551">
        <v>2024</v>
      </c>
      <c r="C551" t="s">
        <v>176</v>
      </c>
      <c r="D551" t="b">
        <f>FALSE()</f>
        <v>0</v>
      </c>
      <c r="E551" t="b">
        <f>COUNTIF(connections!A:A, A551) &gt; 0</f>
        <v>0</v>
      </c>
      <c r="G551" t="s">
        <v>1990</v>
      </c>
      <c r="H551" t="s">
        <v>187</v>
      </c>
      <c r="I551" t="s">
        <v>1991</v>
      </c>
      <c r="J551" s="1" t="s">
        <v>1992</v>
      </c>
    </row>
    <row r="552" spans="1:10" ht="15" customHeight="1" x14ac:dyDescent="0.25">
      <c r="A552" t="s">
        <v>1993</v>
      </c>
      <c r="B552">
        <v>2026</v>
      </c>
      <c r="C552" t="s">
        <v>222</v>
      </c>
      <c r="D552" t="b">
        <f>TRUE()</f>
        <v>1</v>
      </c>
      <c r="E552" t="b">
        <f>COUNTIF(connections!A:A, A552) &gt; 0</f>
        <v>0</v>
      </c>
      <c r="F552" t="s">
        <v>1986</v>
      </c>
      <c r="G552" t="s">
        <v>1994</v>
      </c>
      <c r="H552" t="s">
        <v>187</v>
      </c>
      <c r="I552" t="s">
        <v>1995</v>
      </c>
    </row>
    <row r="553" spans="1:10" ht="15" customHeight="1" x14ac:dyDescent="0.25">
      <c r="A553" t="s">
        <v>1996</v>
      </c>
      <c r="B553">
        <v>2021</v>
      </c>
      <c r="C553" t="s">
        <v>222</v>
      </c>
      <c r="D553" t="b">
        <f>TRUE()</f>
        <v>1</v>
      </c>
      <c r="E553" t="b">
        <f>COUNTIF(connections!A:A, A553) &gt; 0</f>
        <v>1</v>
      </c>
      <c r="F553" t="s">
        <v>1986</v>
      </c>
      <c r="G553" t="s">
        <v>1997</v>
      </c>
      <c r="H553" t="s">
        <v>187</v>
      </c>
      <c r="I553" t="s">
        <v>1998</v>
      </c>
    </row>
    <row r="554" spans="1:10" ht="15" customHeight="1" x14ac:dyDescent="0.25">
      <c r="A554" t="s">
        <v>1999</v>
      </c>
      <c r="B554">
        <v>2026</v>
      </c>
      <c r="C554" t="s">
        <v>222</v>
      </c>
      <c r="D554" t="b">
        <f>TRUE()</f>
        <v>1</v>
      </c>
      <c r="E554" t="b">
        <f>COUNTIF(connections!A:A, A554) &gt; 0</f>
        <v>0</v>
      </c>
      <c r="F554" t="s">
        <v>1986</v>
      </c>
      <c r="G554" t="s">
        <v>2000</v>
      </c>
      <c r="H554" t="s">
        <v>187</v>
      </c>
      <c r="I554" t="s">
        <v>2001</v>
      </c>
    </row>
    <row r="555" spans="1:10" ht="15" customHeight="1" x14ac:dyDescent="0.25">
      <c r="A555" t="s">
        <v>2002</v>
      </c>
      <c r="B555">
        <v>2009</v>
      </c>
      <c r="C555" t="s">
        <v>179</v>
      </c>
      <c r="D555" t="b">
        <f>TRUE()</f>
        <v>1</v>
      </c>
      <c r="E555" t="b">
        <f>COUNTIF(connections!A:A, A555) &gt; 0</f>
        <v>0</v>
      </c>
      <c r="F555" t="s">
        <v>1986</v>
      </c>
      <c r="G555" t="s">
        <v>2003</v>
      </c>
      <c r="H555" t="s">
        <v>187</v>
      </c>
      <c r="I555" t="s">
        <v>2004</v>
      </c>
    </row>
    <row r="556" spans="1:10" ht="15" customHeight="1" x14ac:dyDescent="0.25">
      <c r="A556" t="s">
        <v>2005</v>
      </c>
      <c r="B556">
        <v>2007</v>
      </c>
      <c r="C556" t="s">
        <v>179</v>
      </c>
      <c r="D556" t="b">
        <f>TRUE()</f>
        <v>1</v>
      </c>
      <c r="E556" t="b">
        <f>COUNTIF(connections!A:A, A556) &gt; 0</f>
        <v>1</v>
      </c>
      <c r="F556" t="s">
        <v>1986</v>
      </c>
      <c r="G556" t="s">
        <v>2006</v>
      </c>
      <c r="H556" t="s">
        <v>187</v>
      </c>
      <c r="I556" t="s">
        <v>2007</v>
      </c>
    </row>
    <row r="557" spans="1:10" ht="15" customHeight="1" x14ac:dyDescent="0.25">
      <c r="A557" t="s">
        <v>2008</v>
      </c>
      <c r="B557">
        <v>2012</v>
      </c>
      <c r="C557" t="s">
        <v>179</v>
      </c>
      <c r="D557" t="b">
        <f>TRUE()</f>
        <v>1</v>
      </c>
      <c r="E557" t="b">
        <f>COUNTIF(connections!A:A, A557) &gt; 0</f>
        <v>0</v>
      </c>
      <c r="F557" t="s">
        <v>1986</v>
      </c>
      <c r="G557" t="s">
        <v>2009</v>
      </c>
    </row>
    <row r="558" spans="1:10" ht="15" customHeight="1" x14ac:dyDescent="0.25">
      <c r="A558" t="s">
        <v>2010</v>
      </c>
      <c r="B558">
        <v>2005</v>
      </c>
      <c r="C558" t="s">
        <v>179</v>
      </c>
      <c r="D558" t="b">
        <f>TRUE()</f>
        <v>1</v>
      </c>
      <c r="E558" t="b">
        <f>COUNTIF(connections!A:A, A558) &gt; 0</f>
        <v>1</v>
      </c>
      <c r="F558" t="s">
        <v>1986</v>
      </c>
      <c r="G558" t="s">
        <v>2011</v>
      </c>
      <c r="H558" t="s">
        <v>187</v>
      </c>
      <c r="I558" t="s">
        <v>2012</v>
      </c>
    </row>
    <row r="559" spans="1:10" ht="15" customHeight="1" x14ac:dyDescent="0.25">
      <c r="A559" t="s">
        <v>2013</v>
      </c>
      <c r="B559">
        <v>2020</v>
      </c>
      <c r="C559" t="s">
        <v>179</v>
      </c>
      <c r="D559" t="b">
        <f>TRUE()</f>
        <v>1</v>
      </c>
      <c r="E559" t="b">
        <f>COUNTIF(connections!A:A, A559) &gt; 0</f>
        <v>0</v>
      </c>
      <c r="F559" t="s">
        <v>1986</v>
      </c>
      <c r="G559" t="s">
        <v>2014</v>
      </c>
    </row>
    <row r="560" spans="1:10" ht="15" customHeight="1" x14ac:dyDescent="0.25">
      <c r="A560" t="s">
        <v>2015</v>
      </c>
      <c r="B560">
        <v>2015</v>
      </c>
      <c r="C560" t="s">
        <v>179</v>
      </c>
      <c r="D560" t="b">
        <f>TRUE()</f>
        <v>1</v>
      </c>
      <c r="E560" t="b">
        <f>COUNTIF(connections!A:A, A560) &gt; 0</f>
        <v>0</v>
      </c>
      <c r="F560" t="s">
        <v>1986</v>
      </c>
      <c r="G560" t="s">
        <v>2016</v>
      </c>
    </row>
    <row r="561" spans="1:10" ht="15" customHeight="1" x14ac:dyDescent="0.25">
      <c r="A561" t="s">
        <v>2017</v>
      </c>
      <c r="B561">
        <v>2024</v>
      </c>
      <c r="C561" t="s">
        <v>222</v>
      </c>
      <c r="D561" t="b">
        <f>TRUE()</f>
        <v>1</v>
      </c>
      <c r="E561" t="b">
        <f>COUNTIF(connections!A:A, A561) &gt; 0</f>
        <v>1</v>
      </c>
      <c r="F561" t="s">
        <v>1986</v>
      </c>
      <c r="G561" t="s">
        <v>2018</v>
      </c>
    </row>
    <row r="562" spans="1:10" ht="15" customHeight="1" x14ac:dyDescent="0.25">
      <c r="A562" t="s">
        <v>2019</v>
      </c>
      <c r="B562">
        <v>2025</v>
      </c>
      <c r="C562" t="s">
        <v>222</v>
      </c>
      <c r="D562" t="b">
        <f>TRUE()</f>
        <v>1</v>
      </c>
      <c r="E562" t="b">
        <f>COUNTIF(connections!A:A, A562) &gt; 0</f>
        <v>0</v>
      </c>
      <c r="F562" t="s">
        <v>1986</v>
      </c>
      <c r="G562" t="s">
        <v>2020</v>
      </c>
      <c r="H562" t="s">
        <v>187</v>
      </c>
      <c r="I562" t="s">
        <v>2021</v>
      </c>
    </row>
    <row r="563" spans="1:10" ht="15" customHeight="1" x14ac:dyDescent="0.25">
      <c r="A563" t="s">
        <v>2022</v>
      </c>
      <c r="B563">
        <v>2020</v>
      </c>
      <c r="C563" t="s">
        <v>222</v>
      </c>
      <c r="D563" t="b">
        <f>TRUE()</f>
        <v>1</v>
      </c>
      <c r="E563" t="b">
        <f>COUNTIF(connections!A:A, A563) &gt; 0</f>
        <v>1</v>
      </c>
      <c r="G563" t="s">
        <v>2023</v>
      </c>
    </row>
    <row r="564" spans="1:10" ht="15" customHeight="1" x14ac:dyDescent="0.25">
      <c r="A564" t="s">
        <v>2024</v>
      </c>
      <c r="B564">
        <v>2003</v>
      </c>
      <c r="C564" t="s">
        <v>179</v>
      </c>
      <c r="D564" t="b">
        <f>TRUE()</f>
        <v>1</v>
      </c>
      <c r="E564" t="b">
        <f>COUNTIF(connections!A:A, A564) &gt; 0</f>
        <v>1</v>
      </c>
      <c r="G564" t="s">
        <v>2025</v>
      </c>
      <c r="H564" t="s">
        <v>187</v>
      </c>
      <c r="I564" t="s">
        <v>2026</v>
      </c>
    </row>
    <row r="565" spans="1:10" ht="15" customHeight="1" x14ac:dyDescent="0.25">
      <c r="A565" t="s">
        <v>2027</v>
      </c>
      <c r="B565">
        <v>2024</v>
      </c>
      <c r="C565" t="s">
        <v>176</v>
      </c>
      <c r="D565" t="b">
        <f>TRUE()</f>
        <v>1</v>
      </c>
      <c r="E565" t="b">
        <f>COUNTIF(connections!A:A, A565) &gt; 0</f>
        <v>0</v>
      </c>
      <c r="G565" t="s">
        <v>2028</v>
      </c>
    </row>
    <row r="566" spans="1:10" ht="15" customHeight="1" x14ac:dyDescent="0.25">
      <c r="A566" t="s">
        <v>2029</v>
      </c>
      <c r="B566">
        <v>2026</v>
      </c>
      <c r="C566" t="s">
        <v>222</v>
      </c>
      <c r="D566" t="b">
        <f>TRUE()</f>
        <v>1</v>
      </c>
      <c r="E566" t="b">
        <f>COUNTIF(connections!A:A, A566) &gt; 0</f>
        <v>0</v>
      </c>
      <c r="F566" t="s">
        <v>731</v>
      </c>
      <c r="G566" t="s">
        <v>2030</v>
      </c>
      <c r="J566" s="1" t="s">
        <v>2031</v>
      </c>
    </row>
    <row r="567" spans="1:10" ht="15" customHeight="1" x14ac:dyDescent="0.25">
      <c r="A567" t="s">
        <v>2032</v>
      </c>
      <c r="B567">
        <v>2022</v>
      </c>
      <c r="C567" t="s">
        <v>176</v>
      </c>
      <c r="D567" t="b">
        <f>TRUE()</f>
        <v>1</v>
      </c>
      <c r="E567" t="b">
        <f>COUNTIF(connections!A:A, A567) &gt; 0</f>
        <v>0</v>
      </c>
      <c r="G567" t="s">
        <v>2033</v>
      </c>
      <c r="H567" t="s">
        <v>187</v>
      </c>
      <c r="I567" t="s">
        <v>2034</v>
      </c>
      <c r="J567" s="1" t="s">
        <v>2035</v>
      </c>
    </row>
    <row r="568" spans="1:10" ht="15" customHeight="1" x14ac:dyDescent="0.25">
      <c r="A568" t="s">
        <v>2036</v>
      </c>
      <c r="B568">
        <v>2023</v>
      </c>
      <c r="C568" t="s">
        <v>179</v>
      </c>
      <c r="D568" t="b">
        <f>TRUE()</f>
        <v>1</v>
      </c>
      <c r="E568" t="b">
        <f>COUNTIF(connections!A:A, A568) &gt; 0</f>
        <v>0</v>
      </c>
      <c r="G568" t="s">
        <v>2037</v>
      </c>
      <c r="H568" t="s">
        <v>187</v>
      </c>
      <c r="I568" t="s">
        <v>2038</v>
      </c>
      <c r="J568" s="1" t="s">
        <v>2039</v>
      </c>
    </row>
    <row r="569" spans="1:10" ht="15" customHeight="1" x14ac:dyDescent="0.25">
      <c r="A569" t="s">
        <v>2040</v>
      </c>
      <c r="B569">
        <v>2014</v>
      </c>
      <c r="C569" t="s">
        <v>179</v>
      </c>
      <c r="D569" t="b">
        <f>TRUE()</f>
        <v>1</v>
      </c>
      <c r="E569" t="b">
        <f>COUNTIF(connections!A:A, A569) &gt; 0</f>
        <v>0</v>
      </c>
      <c r="G569" t="s">
        <v>2041</v>
      </c>
      <c r="H569" t="s">
        <v>187</v>
      </c>
      <c r="I569" t="s">
        <v>2042</v>
      </c>
      <c r="J569" s="1" t="s">
        <v>2043</v>
      </c>
    </row>
    <row r="570" spans="1:10" ht="15" customHeight="1" x14ac:dyDescent="0.25">
      <c r="A570" t="s">
        <v>2044</v>
      </c>
      <c r="B570">
        <v>2024</v>
      </c>
      <c r="C570" t="s">
        <v>176</v>
      </c>
      <c r="D570" t="b">
        <f>FALSE()</f>
        <v>0</v>
      </c>
      <c r="E570" t="b">
        <f>COUNTIF(connections!A:A, A570) &gt; 0</f>
        <v>0</v>
      </c>
      <c r="G570" t="s">
        <v>2045</v>
      </c>
    </row>
    <row r="571" spans="1:10" ht="15" customHeight="1" x14ac:dyDescent="0.25">
      <c r="A571" t="s">
        <v>2046</v>
      </c>
      <c r="B571">
        <v>2026</v>
      </c>
      <c r="C571" t="s">
        <v>182</v>
      </c>
      <c r="D571" t="b">
        <f>TRUE()</f>
        <v>1</v>
      </c>
      <c r="E571" t="b">
        <f>COUNTIF(connections!A:A, A571) &gt; 0</f>
        <v>0</v>
      </c>
      <c r="F571" t="s">
        <v>354</v>
      </c>
      <c r="G571" t="s">
        <v>2047</v>
      </c>
      <c r="H571" t="s">
        <v>187</v>
      </c>
      <c r="I571" t="s">
        <v>2048</v>
      </c>
      <c r="J571" s="1" t="s">
        <v>2049</v>
      </c>
    </row>
    <row r="572" spans="1:10" ht="15" customHeight="1" x14ac:dyDescent="0.25">
      <c r="A572" t="s">
        <v>2050</v>
      </c>
      <c r="B572">
        <v>2024</v>
      </c>
      <c r="C572" t="s">
        <v>222</v>
      </c>
      <c r="D572" t="b">
        <f>TRUE()</f>
        <v>1</v>
      </c>
      <c r="E572" t="b">
        <f>COUNTIF(connections!A:A, A572) &gt; 0</f>
        <v>0</v>
      </c>
      <c r="G572" t="s">
        <v>2051</v>
      </c>
      <c r="H572" t="s">
        <v>187</v>
      </c>
      <c r="I572" t="s">
        <v>2052</v>
      </c>
      <c r="J572" s="1" t="s">
        <v>2053</v>
      </c>
    </row>
    <row r="573" spans="1:10" ht="15" customHeight="1" x14ac:dyDescent="0.25">
      <c r="A573" t="s">
        <v>2054</v>
      </c>
      <c r="B573">
        <v>1992</v>
      </c>
      <c r="C573" t="s">
        <v>179</v>
      </c>
      <c r="D573" t="b">
        <f>TRUE()</f>
        <v>1</v>
      </c>
      <c r="E573" t="b">
        <f>COUNTIF(connections!A:A, A573) &gt; 0</f>
        <v>1</v>
      </c>
      <c r="G573" t="s">
        <v>2055</v>
      </c>
      <c r="H573" t="s">
        <v>187</v>
      </c>
      <c r="I573" t="s">
        <v>2056</v>
      </c>
    </row>
    <row r="574" spans="1:10" ht="15" customHeight="1" x14ac:dyDescent="0.25">
      <c r="A574" t="s">
        <v>2057</v>
      </c>
      <c r="B574">
        <v>2024</v>
      </c>
      <c r="C574" t="s">
        <v>176</v>
      </c>
      <c r="D574" t="b">
        <f>TRUE()</f>
        <v>1</v>
      </c>
      <c r="E574" t="b">
        <f>COUNTIF(connections!A:A, A574) &gt; 0</f>
        <v>0</v>
      </c>
      <c r="G574" t="s">
        <v>2058</v>
      </c>
    </row>
    <row r="575" spans="1:10" ht="15" customHeight="1" x14ac:dyDescent="0.25">
      <c r="A575" t="s">
        <v>2059</v>
      </c>
      <c r="B575">
        <v>2015</v>
      </c>
      <c r="C575" t="s">
        <v>176</v>
      </c>
      <c r="D575" t="b">
        <f>TRUE()</f>
        <v>1</v>
      </c>
      <c r="E575" t="b">
        <f>COUNTIF(connections!A:A, A575) &gt; 0</f>
        <v>0</v>
      </c>
      <c r="G575" t="s">
        <v>2060</v>
      </c>
      <c r="J575" s="11" t="s">
        <v>2061</v>
      </c>
    </row>
    <row r="576" spans="1:10" ht="15" customHeight="1" x14ac:dyDescent="0.25">
      <c r="A576" t="s">
        <v>2062</v>
      </c>
      <c r="B576">
        <v>2019</v>
      </c>
      <c r="C576" t="s">
        <v>182</v>
      </c>
      <c r="D576" t="b">
        <f>TRUE()</f>
        <v>1</v>
      </c>
      <c r="E576" t="b">
        <f>COUNTIF(connections!A:A, A576) &gt; 0</f>
        <v>0</v>
      </c>
      <c r="G576" t="s">
        <v>2063</v>
      </c>
      <c r="H576" t="s">
        <v>187</v>
      </c>
      <c r="I576" t="s">
        <v>2064</v>
      </c>
      <c r="J576" s="1" t="s">
        <v>2065</v>
      </c>
    </row>
    <row r="577" spans="1:10" ht="15" customHeight="1" x14ac:dyDescent="0.25">
      <c r="A577" t="s">
        <v>2066</v>
      </c>
      <c r="B577">
        <v>2023</v>
      </c>
      <c r="C577" t="s">
        <v>176</v>
      </c>
      <c r="D577" t="b">
        <f>TRUE()</f>
        <v>1</v>
      </c>
      <c r="E577" t="b">
        <f>COUNTIF(connections!A:A, A577) &gt; 0</f>
        <v>1</v>
      </c>
      <c r="G577" t="s">
        <v>2067</v>
      </c>
      <c r="H577" t="s">
        <v>187</v>
      </c>
      <c r="I577" t="s">
        <v>2068</v>
      </c>
      <c r="J577" s="1" t="s">
        <v>2069</v>
      </c>
    </row>
    <row r="578" spans="1:10" ht="15" customHeight="1" x14ac:dyDescent="0.25">
      <c r="A578" t="s">
        <v>2070</v>
      </c>
      <c r="B578">
        <v>2025</v>
      </c>
      <c r="C578" t="s">
        <v>176</v>
      </c>
      <c r="D578" t="b">
        <f>TRUE()</f>
        <v>1</v>
      </c>
      <c r="E578" t="b">
        <f>COUNTIF(connections!A:A, A578) &gt; 0</f>
        <v>0</v>
      </c>
      <c r="F578" t="s">
        <v>274</v>
      </c>
      <c r="G578" t="s">
        <v>2071</v>
      </c>
    </row>
    <row r="579" spans="1:10" ht="15" customHeight="1" x14ac:dyDescent="0.25">
      <c r="A579" t="s">
        <v>2072</v>
      </c>
      <c r="B579">
        <v>2024</v>
      </c>
      <c r="C579" t="s">
        <v>176</v>
      </c>
      <c r="D579" t="b">
        <f>TRUE()</f>
        <v>1</v>
      </c>
      <c r="E579" t="b">
        <f>COUNTIF(connections!A:A, A579) &gt; 0</f>
        <v>0</v>
      </c>
      <c r="G579" t="s">
        <v>2073</v>
      </c>
    </row>
    <row r="580" spans="1:10" ht="15" customHeight="1" x14ac:dyDescent="0.25">
      <c r="A580" t="s">
        <v>2074</v>
      </c>
      <c r="B580">
        <v>2010</v>
      </c>
      <c r="C580" t="s">
        <v>176</v>
      </c>
      <c r="D580" t="b">
        <f>TRUE()</f>
        <v>1</v>
      </c>
      <c r="E580" t="b">
        <f>COUNTIF(connections!A:A, A580) &gt; 0</f>
        <v>1</v>
      </c>
      <c r="G580" t="s">
        <v>2075</v>
      </c>
      <c r="H580" t="s">
        <v>187</v>
      </c>
      <c r="I580" t="s">
        <v>2076</v>
      </c>
      <c r="J580" s="1" t="s">
        <v>2077</v>
      </c>
    </row>
    <row r="581" spans="1:10" ht="15" customHeight="1" x14ac:dyDescent="0.25">
      <c r="A581" t="s">
        <v>2078</v>
      </c>
      <c r="B581">
        <v>2012</v>
      </c>
      <c r="C581" t="s">
        <v>176</v>
      </c>
      <c r="D581" t="b">
        <f>TRUE()</f>
        <v>1</v>
      </c>
      <c r="E581" t="b">
        <f>COUNTIF(connections!A:A, A581) &gt; 0</f>
        <v>0</v>
      </c>
      <c r="G581" t="s">
        <v>2079</v>
      </c>
      <c r="H581" t="s">
        <v>187</v>
      </c>
      <c r="I581" t="s">
        <v>2080</v>
      </c>
    </row>
    <row r="582" spans="1:10" ht="15" customHeight="1" x14ac:dyDescent="0.25">
      <c r="A582" t="s">
        <v>2081</v>
      </c>
      <c r="B582">
        <v>2015</v>
      </c>
      <c r="C582" t="s">
        <v>222</v>
      </c>
      <c r="D582" t="b">
        <f>TRUE()</f>
        <v>1</v>
      </c>
      <c r="E582" t="b">
        <f>COUNTIF(connections!A:A, A582) &gt; 0</f>
        <v>1</v>
      </c>
      <c r="G582" t="s">
        <v>2082</v>
      </c>
      <c r="H582" t="s">
        <v>187</v>
      </c>
      <c r="I582" t="s">
        <v>2083</v>
      </c>
      <c r="J582" s="11" t="s">
        <v>2084</v>
      </c>
    </row>
    <row r="583" spans="1:10" ht="15" customHeight="1" x14ac:dyDescent="0.25">
      <c r="A583" t="s">
        <v>2085</v>
      </c>
      <c r="B583">
        <v>2022</v>
      </c>
      <c r="C583" t="s">
        <v>176</v>
      </c>
      <c r="D583" t="b">
        <f>TRUE()</f>
        <v>1</v>
      </c>
      <c r="E583" t="b">
        <f>COUNTIF(connections!A:A, A583) &gt; 0</f>
        <v>0</v>
      </c>
      <c r="G583" t="s">
        <v>2086</v>
      </c>
      <c r="H583" t="s">
        <v>187</v>
      </c>
      <c r="I583" t="s">
        <v>2087</v>
      </c>
      <c r="J583" s="1" t="s">
        <v>2088</v>
      </c>
    </row>
    <row r="584" spans="1:10" ht="15" customHeight="1" x14ac:dyDescent="0.25">
      <c r="A584" t="s">
        <v>2089</v>
      </c>
      <c r="B584">
        <v>2025</v>
      </c>
      <c r="C584" t="s">
        <v>182</v>
      </c>
      <c r="D584" t="b">
        <f>TRUE()</f>
        <v>1</v>
      </c>
      <c r="E584" t="b">
        <f>COUNTIF(connections!A:A, A584) &gt; 0</f>
        <v>0</v>
      </c>
      <c r="G584" t="s">
        <v>2090</v>
      </c>
      <c r="J584" s="11" t="s">
        <v>2091</v>
      </c>
    </row>
    <row r="585" spans="1:10" ht="15" customHeight="1" x14ac:dyDescent="0.25">
      <c r="A585" t="s">
        <v>2092</v>
      </c>
      <c r="B585">
        <v>2023</v>
      </c>
      <c r="C585" t="s">
        <v>176</v>
      </c>
      <c r="D585" t="b">
        <f>TRUE()</f>
        <v>1</v>
      </c>
      <c r="E585" t="b">
        <f>COUNTIF(connections!A:A, A585) &gt; 0</f>
        <v>0</v>
      </c>
      <c r="G585" t="s">
        <v>2093</v>
      </c>
      <c r="H585" t="s">
        <v>187</v>
      </c>
      <c r="I585" t="s">
        <v>2094</v>
      </c>
      <c r="J585" s="1" t="s">
        <v>2095</v>
      </c>
    </row>
    <row r="586" spans="1:10" ht="15" customHeight="1" x14ac:dyDescent="0.25">
      <c r="A586" t="s">
        <v>2096</v>
      </c>
      <c r="B586">
        <v>2023</v>
      </c>
      <c r="C586" t="s">
        <v>176</v>
      </c>
      <c r="D586" t="b">
        <f>TRUE()</f>
        <v>1</v>
      </c>
      <c r="E586" t="b">
        <f>COUNTIF(connections!A:A, A586) &gt; 0</f>
        <v>1</v>
      </c>
      <c r="G586" t="s">
        <v>2097</v>
      </c>
      <c r="H586" t="s">
        <v>187</v>
      </c>
      <c r="I586" t="s">
        <v>2098</v>
      </c>
      <c r="J586" s="1" t="s">
        <v>2099</v>
      </c>
    </row>
    <row r="587" spans="1:10" ht="15" customHeight="1" x14ac:dyDescent="0.25">
      <c r="A587" t="s">
        <v>2100</v>
      </c>
      <c r="B587">
        <v>2021</v>
      </c>
      <c r="C587" t="s">
        <v>176</v>
      </c>
      <c r="D587" t="b">
        <f>TRUE()</f>
        <v>1</v>
      </c>
      <c r="E587" t="b">
        <f>COUNTIF(connections!A:A, A587) &gt; 0</f>
        <v>0</v>
      </c>
      <c r="G587" t="s">
        <v>2101</v>
      </c>
      <c r="H587" t="s">
        <v>187</v>
      </c>
      <c r="I587" t="s">
        <v>2102</v>
      </c>
      <c r="J587" s="1" t="s">
        <v>2103</v>
      </c>
    </row>
    <row r="588" spans="1:10" ht="15" customHeight="1" x14ac:dyDescent="0.25">
      <c r="A588" t="s">
        <v>2104</v>
      </c>
      <c r="B588">
        <v>2025</v>
      </c>
      <c r="C588" t="s">
        <v>176</v>
      </c>
      <c r="D588" t="b">
        <f>TRUE()</f>
        <v>1</v>
      </c>
      <c r="E588" t="b">
        <f>COUNTIF(connections!A:A, A588) &gt; 0</f>
        <v>0</v>
      </c>
      <c r="F588" t="s">
        <v>399</v>
      </c>
      <c r="G588" t="s">
        <v>2105</v>
      </c>
      <c r="H588" t="s">
        <v>187</v>
      </c>
      <c r="I588" t="s">
        <v>2106</v>
      </c>
      <c r="J588" s="1" t="s">
        <v>2107</v>
      </c>
    </row>
    <row r="589" spans="1:10" ht="15" customHeight="1" x14ac:dyDescent="0.25">
      <c r="A589" t="s">
        <v>2108</v>
      </c>
      <c r="B589">
        <v>2020</v>
      </c>
      <c r="C589" t="s">
        <v>179</v>
      </c>
      <c r="D589" t="b">
        <f>TRUE()</f>
        <v>1</v>
      </c>
      <c r="E589" t="b">
        <f>COUNTIF(connections!A:A, A589) &gt; 0</f>
        <v>1</v>
      </c>
      <c r="G589" t="s">
        <v>2109</v>
      </c>
      <c r="H589" t="s">
        <v>187</v>
      </c>
      <c r="I589" t="s">
        <v>2110</v>
      </c>
      <c r="J589" s="1" t="s">
        <v>2111</v>
      </c>
    </row>
    <row r="590" spans="1:10" ht="15" customHeight="1" x14ac:dyDescent="0.25">
      <c r="A590" t="s">
        <v>2112</v>
      </c>
      <c r="B590">
        <v>2024</v>
      </c>
      <c r="C590" t="s">
        <v>179</v>
      </c>
      <c r="D590" t="b">
        <f>TRUE()</f>
        <v>1</v>
      </c>
      <c r="E590" t="b">
        <f>COUNTIF(connections!A:A, A590) &gt; 0</f>
        <v>1</v>
      </c>
      <c r="G590" t="s">
        <v>2113</v>
      </c>
      <c r="H590" t="s">
        <v>187</v>
      </c>
      <c r="I590" t="s">
        <v>2114</v>
      </c>
      <c r="J590" s="1" t="s">
        <v>2115</v>
      </c>
    </row>
    <row r="591" spans="1:10" ht="15" customHeight="1" x14ac:dyDescent="0.25">
      <c r="A591" t="s">
        <v>2116</v>
      </c>
      <c r="B591">
        <v>2026</v>
      </c>
      <c r="C591" t="s">
        <v>179</v>
      </c>
      <c r="D591" t="b">
        <f>TRUE()</f>
        <v>1</v>
      </c>
      <c r="E591" t="b">
        <f>COUNTIF(connections!A:A, A591) &gt; 0</f>
        <v>0</v>
      </c>
      <c r="G591" t="s">
        <v>2117</v>
      </c>
      <c r="J591" s="1" t="s">
        <v>2118</v>
      </c>
    </row>
    <row r="592" spans="1:10" ht="15" customHeight="1" x14ac:dyDescent="0.25">
      <c r="A592" t="s">
        <v>2119</v>
      </c>
      <c r="B592">
        <v>2022</v>
      </c>
      <c r="C592" t="s">
        <v>182</v>
      </c>
      <c r="D592" t="b">
        <f>TRUE()</f>
        <v>1</v>
      </c>
      <c r="E592" t="b">
        <f>COUNTIF(connections!A:A, A592) &gt; 0</f>
        <v>0</v>
      </c>
      <c r="G592" t="s">
        <v>2120</v>
      </c>
      <c r="H592" t="s">
        <v>187</v>
      </c>
      <c r="I592" t="s">
        <v>2121</v>
      </c>
      <c r="J592" s="1" t="s">
        <v>2122</v>
      </c>
    </row>
    <row r="593" spans="1:10" ht="15" customHeight="1" x14ac:dyDescent="0.25">
      <c r="A593" t="s">
        <v>2123</v>
      </c>
      <c r="B593">
        <v>2020</v>
      </c>
      <c r="C593" t="s">
        <v>222</v>
      </c>
      <c r="D593" t="b">
        <f>TRUE()</f>
        <v>1</v>
      </c>
      <c r="E593" t="b">
        <f>COUNTIF(connections!A:A, A593) &gt; 0</f>
        <v>1</v>
      </c>
      <c r="G593" t="s">
        <v>2124</v>
      </c>
      <c r="H593" t="s">
        <v>187</v>
      </c>
      <c r="I593" t="s">
        <v>2125</v>
      </c>
      <c r="J593" s="1" t="s">
        <v>2126</v>
      </c>
    </row>
    <row r="594" spans="1:10" ht="15" customHeight="1" x14ac:dyDescent="0.25">
      <c r="A594" t="s">
        <v>2127</v>
      </c>
      <c r="B594">
        <v>2025</v>
      </c>
      <c r="C594" t="s">
        <v>182</v>
      </c>
      <c r="D594" t="b">
        <f>FALSE()</f>
        <v>0</v>
      </c>
      <c r="E594" t="b">
        <f>COUNTIF(connections!A:A, A594) &gt; 0</f>
        <v>0</v>
      </c>
      <c r="G594" t="s">
        <v>2128</v>
      </c>
      <c r="H594" t="s">
        <v>187</v>
      </c>
      <c r="I594" t="s">
        <v>2129</v>
      </c>
      <c r="J594" s="1" t="s">
        <v>2130</v>
      </c>
    </row>
    <row r="595" spans="1:10" ht="15" customHeight="1" x14ac:dyDescent="0.25">
      <c r="A595" t="s">
        <v>2131</v>
      </c>
      <c r="B595">
        <v>2017</v>
      </c>
      <c r="C595" t="s">
        <v>176</v>
      </c>
      <c r="D595" t="b">
        <f>TRUE()</f>
        <v>1</v>
      </c>
      <c r="E595" t="b">
        <f>COUNTIF(connections!A:A, A595) &gt; 0</f>
        <v>1</v>
      </c>
      <c r="G595" t="s">
        <v>2132</v>
      </c>
    </row>
    <row r="596" spans="1:10" ht="15" customHeight="1" x14ac:dyDescent="0.25">
      <c r="A596" t="s">
        <v>2133</v>
      </c>
      <c r="B596">
        <v>2013</v>
      </c>
      <c r="C596" t="s">
        <v>176</v>
      </c>
      <c r="D596" t="b">
        <f>TRUE()</f>
        <v>1</v>
      </c>
      <c r="E596" t="b">
        <f>COUNTIF(connections!A:A, A596) &gt; 0</f>
        <v>1</v>
      </c>
      <c r="F596" t="s">
        <v>274</v>
      </c>
      <c r="G596" t="s">
        <v>2134</v>
      </c>
      <c r="H596" t="s">
        <v>187</v>
      </c>
      <c r="I596" t="s">
        <v>2135</v>
      </c>
      <c r="J596" s="1" t="s">
        <v>2136</v>
      </c>
    </row>
    <row r="597" spans="1:10" ht="15" customHeight="1" x14ac:dyDescent="0.25">
      <c r="A597" t="s">
        <v>2137</v>
      </c>
      <c r="B597">
        <v>2020</v>
      </c>
      <c r="C597" t="s">
        <v>176</v>
      </c>
      <c r="D597" t="b">
        <f>TRUE()</f>
        <v>1</v>
      </c>
      <c r="E597" t="b">
        <f>COUNTIF(connections!A:A, A597) &gt; 0</f>
        <v>1</v>
      </c>
      <c r="F597" t="s">
        <v>274</v>
      </c>
      <c r="G597" t="s">
        <v>2138</v>
      </c>
      <c r="H597" t="s">
        <v>187</v>
      </c>
      <c r="I597" t="s">
        <v>2139</v>
      </c>
      <c r="J597" s="1" t="s">
        <v>2140</v>
      </c>
    </row>
    <row r="598" spans="1:10" ht="15" customHeight="1" x14ac:dyDescent="0.25">
      <c r="A598" t="s">
        <v>2141</v>
      </c>
      <c r="B598">
        <v>2023</v>
      </c>
      <c r="C598" t="s">
        <v>176</v>
      </c>
      <c r="D598" t="b">
        <f>TRUE()</f>
        <v>1</v>
      </c>
      <c r="E598" t="b">
        <f>COUNTIF(connections!A:A, A598) &gt; 0</f>
        <v>0</v>
      </c>
      <c r="F598" t="s">
        <v>274</v>
      </c>
      <c r="G598" t="s">
        <v>2142</v>
      </c>
      <c r="H598" t="s">
        <v>187</v>
      </c>
      <c r="I598" t="s">
        <v>2143</v>
      </c>
      <c r="J598" s="1" t="s">
        <v>2144</v>
      </c>
    </row>
    <row r="599" spans="1:10" ht="15" customHeight="1" x14ac:dyDescent="0.25">
      <c r="A599" t="s">
        <v>2145</v>
      </c>
      <c r="B599">
        <v>2014</v>
      </c>
      <c r="C599" t="s">
        <v>222</v>
      </c>
      <c r="D599" t="b">
        <f>TRUE()</f>
        <v>1</v>
      </c>
      <c r="E599" t="b">
        <f>COUNTIF(connections!A:A, A599) &gt; 0</f>
        <v>0</v>
      </c>
      <c r="G599" t="s">
        <v>2146</v>
      </c>
    </row>
    <row r="600" spans="1:10" ht="15" customHeight="1" x14ac:dyDescent="0.25">
      <c r="A600" t="s">
        <v>2147</v>
      </c>
      <c r="B600">
        <v>2020</v>
      </c>
      <c r="C600" t="s">
        <v>176</v>
      </c>
      <c r="D600" t="b">
        <f>TRUE()</f>
        <v>1</v>
      </c>
      <c r="E600" t="b">
        <f>COUNTIF(connections!A:A, A600) &gt; 0</f>
        <v>1</v>
      </c>
      <c r="G600" t="s">
        <v>2148</v>
      </c>
      <c r="H600" t="s">
        <v>187</v>
      </c>
      <c r="I600" t="s">
        <v>2149</v>
      </c>
      <c r="J600" s="1" t="s">
        <v>2150</v>
      </c>
    </row>
    <row r="601" spans="1:10" ht="15" customHeight="1" x14ac:dyDescent="0.25">
      <c r="A601" t="s">
        <v>2151</v>
      </c>
      <c r="B601">
        <v>2024</v>
      </c>
      <c r="C601" t="s">
        <v>176</v>
      </c>
      <c r="D601" t="b">
        <f>TRUE()</f>
        <v>1</v>
      </c>
      <c r="E601" t="b">
        <f>COUNTIF(connections!A:A, A601) &gt; 0</f>
        <v>0</v>
      </c>
      <c r="F601" t="s">
        <v>274</v>
      </c>
      <c r="G601" t="s">
        <v>2152</v>
      </c>
      <c r="H601" t="s">
        <v>187</v>
      </c>
      <c r="I601" t="s">
        <v>2153</v>
      </c>
      <c r="J601" s="1" t="s">
        <v>2154</v>
      </c>
    </row>
    <row r="602" spans="1:10" ht="15" customHeight="1" x14ac:dyDescent="0.25">
      <c r="A602" t="s">
        <v>2155</v>
      </c>
      <c r="B602">
        <v>1980</v>
      </c>
      <c r="C602" t="s">
        <v>179</v>
      </c>
      <c r="D602" t="b">
        <f>TRUE()</f>
        <v>1</v>
      </c>
      <c r="E602" t="b">
        <f>COUNTIF(connections!A:A, A602) &gt; 0</f>
        <v>1</v>
      </c>
      <c r="G602" t="s">
        <v>2156</v>
      </c>
      <c r="H602" t="s">
        <v>187</v>
      </c>
      <c r="I602" t="s">
        <v>2157</v>
      </c>
      <c r="J602" s="1" t="s">
        <v>2158</v>
      </c>
    </row>
    <row r="603" spans="1:10" ht="15" customHeight="1" x14ac:dyDescent="0.25">
      <c r="A603" t="s">
        <v>2159</v>
      </c>
      <c r="B603">
        <v>2024</v>
      </c>
      <c r="C603" t="s">
        <v>222</v>
      </c>
      <c r="D603" t="b">
        <f>TRUE()</f>
        <v>1</v>
      </c>
      <c r="E603" t="b">
        <f>COUNTIF(connections!A:A, A603) &gt; 0</f>
        <v>0</v>
      </c>
      <c r="G603" t="s">
        <v>2160</v>
      </c>
    </row>
    <row r="604" spans="1:10" ht="15" customHeight="1" x14ac:dyDescent="0.25">
      <c r="A604" t="s">
        <v>2161</v>
      </c>
      <c r="B604">
        <v>2019</v>
      </c>
      <c r="C604" t="s">
        <v>179</v>
      </c>
      <c r="D604" t="b">
        <f>TRUE()</f>
        <v>1</v>
      </c>
      <c r="E604" t="b">
        <f>COUNTIF(connections!A:A, A604) &gt; 0</f>
        <v>0</v>
      </c>
      <c r="G604" t="s">
        <v>2162</v>
      </c>
    </row>
    <row r="605" spans="1:10" ht="15" customHeight="1" x14ac:dyDescent="0.25">
      <c r="A605" t="s">
        <v>2163</v>
      </c>
      <c r="B605">
        <v>2026</v>
      </c>
      <c r="C605" t="s">
        <v>176</v>
      </c>
      <c r="D605" t="b">
        <f>TRUE()</f>
        <v>1</v>
      </c>
      <c r="E605" t="b">
        <f>COUNTIF(connections!A:A, A605) &gt; 0</f>
        <v>0</v>
      </c>
      <c r="G605" t="s">
        <v>2164</v>
      </c>
    </row>
    <row r="606" spans="1:10" ht="15" customHeight="1" x14ac:dyDescent="0.25">
      <c r="A606" t="s">
        <v>2165</v>
      </c>
      <c r="B606">
        <v>2024</v>
      </c>
      <c r="C606" t="s">
        <v>176</v>
      </c>
      <c r="D606" t="b">
        <f>FALSE()</f>
        <v>0</v>
      </c>
      <c r="E606" t="b">
        <f>COUNTIF(connections!A:A, A606) &gt; 0</f>
        <v>0</v>
      </c>
      <c r="F606" t="s">
        <v>274</v>
      </c>
      <c r="G606" t="s">
        <v>2166</v>
      </c>
    </row>
    <row r="607" spans="1:10" ht="15" customHeight="1" x14ac:dyDescent="0.25">
      <c r="A607" t="s">
        <v>2167</v>
      </c>
      <c r="B607">
        <v>2007</v>
      </c>
      <c r="C607" t="s">
        <v>179</v>
      </c>
      <c r="D607" t="b">
        <f>TRUE()</f>
        <v>1</v>
      </c>
      <c r="E607" t="b">
        <f>COUNTIF(connections!A:A, A607) &gt; 0</f>
        <v>0</v>
      </c>
      <c r="G607" t="s">
        <v>2168</v>
      </c>
      <c r="H607" t="s">
        <v>187</v>
      </c>
      <c r="I607" t="s">
        <v>2169</v>
      </c>
    </row>
    <row r="608" spans="1:10" ht="15" customHeight="1" x14ac:dyDescent="0.25">
      <c r="A608" t="s">
        <v>2170</v>
      </c>
      <c r="B608">
        <v>2021</v>
      </c>
      <c r="C608" t="s">
        <v>176</v>
      </c>
      <c r="D608" t="b">
        <f>TRUE()</f>
        <v>1</v>
      </c>
      <c r="E608" t="b">
        <f>COUNTIF(connections!A:A, A608) &gt; 0</f>
        <v>0</v>
      </c>
      <c r="G608" t="s">
        <v>2171</v>
      </c>
      <c r="H608" t="s">
        <v>187</v>
      </c>
      <c r="I608" t="s">
        <v>2172</v>
      </c>
      <c r="J608" s="1" t="s">
        <v>2173</v>
      </c>
    </row>
    <row r="609" spans="1:10" ht="15" customHeight="1" x14ac:dyDescent="0.25">
      <c r="A609" t="s">
        <v>2174</v>
      </c>
      <c r="B609">
        <v>2013</v>
      </c>
      <c r="C609" t="s">
        <v>176</v>
      </c>
      <c r="D609" t="b">
        <f>TRUE()</f>
        <v>1</v>
      </c>
      <c r="E609" t="b">
        <f>COUNTIF(connections!A:A, A609) &gt; 0</f>
        <v>1</v>
      </c>
      <c r="G609" t="s">
        <v>2175</v>
      </c>
      <c r="H609" t="s">
        <v>187</v>
      </c>
      <c r="I609" t="s">
        <v>2176</v>
      </c>
      <c r="J609" s="1" t="s">
        <v>2177</v>
      </c>
    </row>
    <row r="610" spans="1:10" ht="15" customHeight="1" x14ac:dyDescent="0.25">
      <c r="A610" t="s">
        <v>2178</v>
      </c>
      <c r="B610">
        <v>2020</v>
      </c>
      <c r="C610" t="s">
        <v>176</v>
      </c>
      <c r="D610" t="b">
        <f>TRUE()</f>
        <v>1</v>
      </c>
      <c r="E610" t="b">
        <f>COUNTIF(connections!A:A, A610) &gt; 0</f>
        <v>0</v>
      </c>
      <c r="G610" t="s">
        <v>2179</v>
      </c>
      <c r="H610" t="s">
        <v>187</v>
      </c>
      <c r="I610" t="s">
        <v>2180</v>
      </c>
      <c r="J610" s="1" t="s">
        <v>2181</v>
      </c>
    </row>
    <row r="611" spans="1:10" ht="15" customHeight="1" x14ac:dyDescent="0.25">
      <c r="A611" t="s">
        <v>2182</v>
      </c>
      <c r="B611">
        <v>2021</v>
      </c>
      <c r="C611" t="s">
        <v>222</v>
      </c>
      <c r="D611" t="b">
        <f>TRUE()</f>
        <v>1</v>
      </c>
      <c r="E611" t="b">
        <f>COUNTIF(connections!A:A, A611) &gt; 0</f>
        <v>0</v>
      </c>
      <c r="F611" t="s">
        <v>1806</v>
      </c>
      <c r="G611" t="s">
        <v>2183</v>
      </c>
      <c r="H611" t="s">
        <v>187</v>
      </c>
      <c r="I611" t="s">
        <v>2184</v>
      </c>
      <c r="J611" s="1" t="s">
        <v>2185</v>
      </c>
    </row>
    <row r="612" spans="1:10" ht="15" customHeight="1" x14ac:dyDescent="0.25">
      <c r="A612" t="s">
        <v>2186</v>
      </c>
      <c r="B612">
        <v>2022</v>
      </c>
      <c r="C612" t="s">
        <v>222</v>
      </c>
      <c r="D612" t="b">
        <f>TRUE()</f>
        <v>1</v>
      </c>
      <c r="E612" t="b">
        <f>COUNTIF(connections!A:A, A612) &gt; 0</f>
        <v>1</v>
      </c>
      <c r="F612" t="s">
        <v>404</v>
      </c>
      <c r="G612" t="s">
        <v>2187</v>
      </c>
    </row>
    <row r="613" spans="1:10" ht="15" customHeight="1" x14ac:dyDescent="0.25">
      <c r="A613" t="s">
        <v>2188</v>
      </c>
      <c r="B613">
        <v>2024</v>
      </c>
      <c r="C613" t="s">
        <v>182</v>
      </c>
      <c r="D613" t="b">
        <v>1</v>
      </c>
      <c r="E613" t="b">
        <f>COUNTIF(connections!A:A, A613) &gt; 0</f>
        <v>0</v>
      </c>
      <c r="G613" t="s">
        <v>2189</v>
      </c>
      <c r="J613" s="11" t="s">
        <v>2190</v>
      </c>
    </row>
    <row r="614" spans="1:10" ht="15" customHeight="1" x14ac:dyDescent="0.25">
      <c r="A614" t="s">
        <v>2191</v>
      </c>
      <c r="B614">
        <v>2016</v>
      </c>
      <c r="C614" t="s">
        <v>222</v>
      </c>
      <c r="D614" t="b">
        <v>1</v>
      </c>
      <c r="E614" t="b">
        <f>COUNTIF(connections!A:A, A614) &gt; 0</f>
        <v>0</v>
      </c>
      <c r="G614" t="s">
        <v>2192</v>
      </c>
    </row>
    <row r="615" spans="1:10" ht="15" customHeight="1" x14ac:dyDescent="0.25">
      <c r="A615" t="s">
        <v>2193</v>
      </c>
      <c r="B615">
        <v>2022</v>
      </c>
      <c r="C615" t="s">
        <v>176</v>
      </c>
      <c r="D615" t="b">
        <f>TRUE()</f>
        <v>1</v>
      </c>
      <c r="E615" t="b">
        <f>COUNTIF(connections!A:A, A615) &gt; 0</f>
        <v>0</v>
      </c>
      <c r="G615" t="s">
        <v>2194</v>
      </c>
      <c r="H615" t="s">
        <v>187</v>
      </c>
      <c r="I615" t="s">
        <v>2195</v>
      </c>
      <c r="J615" s="1" t="s">
        <v>2196</v>
      </c>
    </row>
    <row r="616" spans="1:10" ht="15" customHeight="1" x14ac:dyDescent="0.25">
      <c r="A616" t="s">
        <v>2197</v>
      </c>
      <c r="B616">
        <v>2021</v>
      </c>
      <c r="C616" t="s">
        <v>182</v>
      </c>
      <c r="D616" t="b">
        <f>TRUE()</f>
        <v>1</v>
      </c>
      <c r="E616" t="b">
        <f>COUNTIF(connections!A:A, A616) &gt; 0</f>
        <v>1</v>
      </c>
      <c r="G616" t="s">
        <v>2198</v>
      </c>
      <c r="H616" t="s">
        <v>187</v>
      </c>
      <c r="I616" t="s">
        <v>2199</v>
      </c>
      <c r="J616" s="1" t="s">
        <v>2200</v>
      </c>
    </row>
    <row r="617" spans="1:10" ht="15" customHeight="1" x14ac:dyDescent="0.25">
      <c r="A617" t="s">
        <v>2201</v>
      </c>
      <c r="B617">
        <v>2023</v>
      </c>
      <c r="C617" t="s">
        <v>179</v>
      </c>
      <c r="D617" t="b">
        <f>TRUE()</f>
        <v>1</v>
      </c>
      <c r="E617" t="b">
        <f>COUNTIF(connections!A:A, A617) &gt; 0</f>
        <v>0</v>
      </c>
      <c r="G617" t="s">
        <v>2202</v>
      </c>
    </row>
    <row r="618" spans="1:10" ht="15" customHeight="1" x14ac:dyDescent="0.25">
      <c r="A618" t="s">
        <v>2203</v>
      </c>
      <c r="B618">
        <v>2026</v>
      </c>
      <c r="C618" t="s">
        <v>182</v>
      </c>
      <c r="D618" t="b">
        <f>TRUE()</f>
        <v>1</v>
      </c>
      <c r="E618" t="b">
        <f>COUNTIF(connections!A:A, A618) &gt; 0</f>
        <v>0</v>
      </c>
      <c r="F618" t="s">
        <v>354</v>
      </c>
      <c r="G618" t="s">
        <v>2204</v>
      </c>
    </row>
    <row r="619" spans="1:10" ht="15" customHeight="1" x14ac:dyDescent="0.25">
      <c r="A619" t="s">
        <v>2205</v>
      </c>
      <c r="B619">
        <v>2014</v>
      </c>
      <c r="C619" t="s">
        <v>179</v>
      </c>
      <c r="D619" t="b">
        <f>TRUE()</f>
        <v>1</v>
      </c>
      <c r="E619" t="b">
        <f>COUNTIF(connections!A:A, A619) &gt; 0</f>
        <v>0</v>
      </c>
      <c r="G619" t="s">
        <v>2206</v>
      </c>
      <c r="J619" s="1" t="s">
        <v>2207</v>
      </c>
    </row>
    <row r="620" spans="1:10" ht="15" customHeight="1" x14ac:dyDescent="0.25">
      <c r="A620" t="s">
        <v>2208</v>
      </c>
      <c r="B620">
        <v>2022</v>
      </c>
      <c r="C620" t="s">
        <v>222</v>
      </c>
      <c r="D620" t="b">
        <f>FALSE()</f>
        <v>0</v>
      </c>
      <c r="E620" t="b">
        <f>COUNTIF(connections!A:A, A620) &gt; 0</f>
        <v>0</v>
      </c>
      <c r="G620" t="s">
        <v>2209</v>
      </c>
      <c r="H620" t="s">
        <v>187</v>
      </c>
      <c r="I620" t="s">
        <v>2210</v>
      </c>
      <c r="J620" s="1" t="s">
        <v>2211</v>
      </c>
    </row>
    <row r="621" spans="1:10" ht="15" customHeight="1" x14ac:dyDescent="0.25">
      <c r="A621" t="s">
        <v>2212</v>
      </c>
      <c r="B621">
        <v>2021</v>
      </c>
      <c r="C621" t="s">
        <v>222</v>
      </c>
      <c r="D621" t="b">
        <f>TRUE()</f>
        <v>1</v>
      </c>
      <c r="E621" t="b">
        <f>COUNTIF(connections!A:A, A621) &gt; 0</f>
        <v>1</v>
      </c>
      <c r="F621" t="s">
        <v>315</v>
      </c>
      <c r="G621" t="s">
        <v>2213</v>
      </c>
      <c r="H621" t="s">
        <v>187</v>
      </c>
      <c r="I621" t="s">
        <v>2214</v>
      </c>
      <c r="J621" s="1" t="s">
        <v>2215</v>
      </c>
    </row>
    <row r="622" spans="1:10" ht="15" customHeight="1" x14ac:dyDescent="0.25">
      <c r="A622" t="s">
        <v>2216</v>
      </c>
      <c r="B622">
        <v>2024</v>
      </c>
      <c r="C622" t="s">
        <v>222</v>
      </c>
      <c r="D622" t="b">
        <f>TRUE()</f>
        <v>1</v>
      </c>
      <c r="E622" t="b">
        <f>COUNTIF(connections!A:A, A622) &gt; 0</f>
        <v>0</v>
      </c>
      <c r="F622" t="s">
        <v>315</v>
      </c>
      <c r="G622" t="s">
        <v>2217</v>
      </c>
      <c r="H622" t="s">
        <v>187</v>
      </c>
      <c r="I622" t="s">
        <v>2218</v>
      </c>
      <c r="J622" s="1" t="s">
        <v>2219</v>
      </c>
    </row>
    <row r="623" spans="1:10" ht="15" customHeight="1" x14ac:dyDescent="0.25">
      <c r="A623" t="s">
        <v>2220</v>
      </c>
      <c r="B623">
        <v>2026</v>
      </c>
      <c r="C623" t="s">
        <v>182</v>
      </c>
      <c r="D623" t="b">
        <v>1</v>
      </c>
      <c r="E623" t="b">
        <f>COUNTIF(connections!A:A, A623) &gt; 0</f>
        <v>0</v>
      </c>
      <c r="G623" t="s">
        <v>2221</v>
      </c>
      <c r="J623" s="11" t="s">
        <v>2222</v>
      </c>
    </row>
    <row r="624" spans="1:10" ht="15" customHeight="1" x14ac:dyDescent="0.25">
      <c r="A624" t="s">
        <v>2223</v>
      </c>
      <c r="B624">
        <v>2025</v>
      </c>
      <c r="C624" t="s">
        <v>182</v>
      </c>
      <c r="D624" t="b">
        <f>TRUE()</f>
        <v>1</v>
      </c>
      <c r="E624" t="b">
        <f>COUNTIF(connections!A:A, A624) &gt; 0</f>
        <v>0</v>
      </c>
      <c r="F624" t="s">
        <v>354</v>
      </c>
      <c r="G624" t="s">
        <v>2224</v>
      </c>
      <c r="J624" s="11" t="s">
        <v>2225</v>
      </c>
    </row>
    <row r="625" spans="1:10" ht="15" customHeight="1" x14ac:dyDescent="0.25">
      <c r="A625" t="s">
        <v>2226</v>
      </c>
      <c r="B625">
        <v>2021</v>
      </c>
      <c r="C625" t="s">
        <v>176</v>
      </c>
      <c r="D625" t="b">
        <f>FALSE()</f>
        <v>0</v>
      </c>
      <c r="E625" t="b">
        <f>COUNTIF(connections!A:A, A625) &gt; 0</f>
        <v>0</v>
      </c>
      <c r="G625" t="s">
        <v>2227</v>
      </c>
      <c r="H625" t="s">
        <v>187</v>
      </c>
      <c r="I625" t="s">
        <v>2228</v>
      </c>
      <c r="J625" s="1" t="s">
        <v>2229</v>
      </c>
    </row>
    <row r="626" spans="1:10" ht="15" customHeight="1" x14ac:dyDescent="0.25">
      <c r="A626" t="s">
        <v>2230</v>
      </c>
      <c r="B626">
        <v>2026</v>
      </c>
      <c r="C626" t="s">
        <v>182</v>
      </c>
      <c r="D626" t="b">
        <f>TRUE()</f>
        <v>1</v>
      </c>
      <c r="E626" t="b">
        <f>COUNTIF(connections!A:A, A626) &gt; 0</f>
        <v>0</v>
      </c>
      <c r="F626" t="s">
        <v>315</v>
      </c>
      <c r="G626" t="s">
        <v>2231</v>
      </c>
      <c r="J626" s="11" t="s">
        <v>2232</v>
      </c>
    </row>
    <row r="627" spans="1:10" ht="15" customHeight="1" x14ac:dyDescent="0.25">
      <c r="A627" t="s">
        <v>2233</v>
      </c>
      <c r="B627">
        <v>2025</v>
      </c>
      <c r="C627" t="s">
        <v>182</v>
      </c>
      <c r="D627" t="b">
        <f>TRUE()</f>
        <v>1</v>
      </c>
      <c r="E627" t="b">
        <f>COUNTIF(connections!A:A, A627) &gt; 0</f>
        <v>0</v>
      </c>
      <c r="G627" t="s">
        <v>2234</v>
      </c>
      <c r="H627" t="s">
        <v>187</v>
      </c>
      <c r="I627" t="s">
        <v>2235</v>
      </c>
      <c r="J627" s="1" t="s">
        <v>2236</v>
      </c>
    </row>
    <row r="628" spans="1:10" ht="15" customHeight="1" x14ac:dyDescent="0.25">
      <c r="A628" t="s">
        <v>2237</v>
      </c>
      <c r="B628">
        <v>2026</v>
      </c>
      <c r="C628" t="s">
        <v>182</v>
      </c>
      <c r="D628" t="b">
        <f>TRUE()</f>
        <v>1</v>
      </c>
      <c r="E628" t="b">
        <f>COUNTIF(connections!A:A, A628) &gt; 0</f>
        <v>0</v>
      </c>
      <c r="G628" t="s">
        <v>2238</v>
      </c>
      <c r="J628" s="11" t="s">
        <v>2239</v>
      </c>
    </row>
    <row r="629" spans="1:10" ht="15" customHeight="1" x14ac:dyDescent="0.25">
      <c r="A629" t="s">
        <v>2240</v>
      </c>
      <c r="B629">
        <v>2023</v>
      </c>
      <c r="C629" t="s">
        <v>182</v>
      </c>
      <c r="D629" t="b">
        <f>TRUE()</f>
        <v>1</v>
      </c>
      <c r="E629" t="b">
        <f>COUNTIF(connections!A:A, A629) &gt; 0</f>
        <v>0</v>
      </c>
      <c r="G629" t="s">
        <v>2241</v>
      </c>
      <c r="J629" s="11" t="s">
        <v>2242</v>
      </c>
    </row>
    <row r="630" spans="1:10" ht="15" customHeight="1" x14ac:dyDescent="0.25">
      <c r="A630" t="s">
        <v>2243</v>
      </c>
      <c r="B630">
        <v>2010</v>
      </c>
      <c r="C630" t="s">
        <v>179</v>
      </c>
      <c r="D630" t="b">
        <f>TRUE()</f>
        <v>1</v>
      </c>
      <c r="E630" t="b">
        <f>COUNTIF(connections!A:A, A630) &gt; 0</f>
        <v>0</v>
      </c>
      <c r="F630" t="s">
        <v>328</v>
      </c>
      <c r="G630" t="s">
        <v>2244</v>
      </c>
    </row>
    <row r="631" spans="1:10" ht="15" customHeight="1" x14ac:dyDescent="0.25">
      <c r="A631" t="s">
        <v>2245</v>
      </c>
      <c r="B631">
        <v>2024</v>
      </c>
      <c r="C631" t="s">
        <v>176</v>
      </c>
      <c r="D631" t="b">
        <f>TRUE()</f>
        <v>1</v>
      </c>
      <c r="E631" t="b">
        <f>COUNTIF(connections!A:A, A631) &gt; 0</f>
        <v>0</v>
      </c>
      <c r="G631" t="s">
        <v>2246</v>
      </c>
      <c r="J631" s="11" t="s">
        <v>2247</v>
      </c>
    </row>
    <row r="632" spans="1:10" ht="15" customHeight="1" x14ac:dyDescent="0.25">
      <c r="A632" t="s">
        <v>2248</v>
      </c>
      <c r="B632">
        <v>2022</v>
      </c>
      <c r="C632" t="s">
        <v>176</v>
      </c>
      <c r="D632" t="b">
        <f>TRUE()</f>
        <v>1</v>
      </c>
      <c r="E632" t="b">
        <f>COUNTIF(connections!A:A, A632) &gt; 0</f>
        <v>0</v>
      </c>
      <c r="G632" t="s">
        <v>2249</v>
      </c>
      <c r="H632" t="s">
        <v>187</v>
      </c>
      <c r="I632" t="s">
        <v>2250</v>
      </c>
      <c r="J632" s="1" t="s">
        <v>2251</v>
      </c>
    </row>
    <row r="633" spans="1:10" ht="15" customHeight="1" x14ac:dyDescent="0.25">
      <c r="A633" t="s">
        <v>2252</v>
      </c>
      <c r="B633">
        <v>2023</v>
      </c>
      <c r="C633" t="s">
        <v>176</v>
      </c>
      <c r="D633" t="b">
        <v>1</v>
      </c>
      <c r="E633" t="b">
        <f>COUNTIF(connections!A:A, A633) &gt; 0</f>
        <v>0</v>
      </c>
      <c r="G633" t="s">
        <v>2253</v>
      </c>
      <c r="J633" s="11" t="s">
        <v>2254</v>
      </c>
    </row>
    <row r="634" spans="1:10" ht="15" customHeight="1" x14ac:dyDescent="0.25">
      <c r="A634" t="s">
        <v>2255</v>
      </c>
      <c r="B634">
        <v>2020</v>
      </c>
      <c r="C634" t="s">
        <v>176</v>
      </c>
      <c r="D634" t="b">
        <f>TRUE()</f>
        <v>1</v>
      </c>
      <c r="E634" t="b">
        <f>COUNTIF(connections!A:A, A634) &gt; 0</f>
        <v>1</v>
      </c>
      <c r="G634" t="s">
        <v>2256</v>
      </c>
      <c r="H634" t="s">
        <v>187</v>
      </c>
      <c r="I634" t="s">
        <v>2257</v>
      </c>
      <c r="J634" s="1" t="s">
        <v>2258</v>
      </c>
    </row>
    <row r="635" spans="1:10" ht="15" customHeight="1" x14ac:dyDescent="0.25">
      <c r="A635" t="s">
        <v>2259</v>
      </c>
      <c r="B635">
        <v>2023</v>
      </c>
      <c r="C635" t="s">
        <v>176</v>
      </c>
      <c r="D635" t="b">
        <f>TRUE()</f>
        <v>1</v>
      </c>
      <c r="E635" t="b">
        <f>COUNTIF(connections!A:A, A635) &gt; 0</f>
        <v>0</v>
      </c>
      <c r="F635" t="s">
        <v>652</v>
      </c>
      <c r="G635" t="s">
        <v>2260</v>
      </c>
    </row>
    <row r="636" spans="1:10" ht="15" customHeight="1" x14ac:dyDescent="0.25">
      <c r="A636" t="s">
        <v>2261</v>
      </c>
      <c r="B636">
        <v>2023</v>
      </c>
      <c r="C636" t="s">
        <v>176</v>
      </c>
      <c r="D636" t="b">
        <f>FALSE()</f>
        <v>0</v>
      </c>
      <c r="E636" t="b">
        <f>COUNTIF(connections!A:A, A636) &gt; 0</f>
        <v>0</v>
      </c>
      <c r="G636" t="s">
        <v>2262</v>
      </c>
      <c r="H636" t="s">
        <v>187</v>
      </c>
      <c r="I636" t="s">
        <v>2263</v>
      </c>
      <c r="J636" s="1" t="s">
        <v>2264</v>
      </c>
    </row>
    <row r="637" spans="1:10" ht="15" customHeight="1" x14ac:dyDescent="0.25">
      <c r="A637" t="s">
        <v>2265</v>
      </c>
      <c r="B637">
        <v>2025</v>
      </c>
      <c r="C637" t="s">
        <v>222</v>
      </c>
      <c r="D637" t="b">
        <f>TRUE()</f>
        <v>1</v>
      </c>
      <c r="E637" t="b">
        <f>COUNTIF(connections!A:A, A637) &gt; 0</f>
        <v>0</v>
      </c>
      <c r="G637" t="s">
        <v>2266</v>
      </c>
      <c r="J637" s="1" t="s">
        <v>2267</v>
      </c>
    </row>
    <row r="638" spans="1:10" ht="15" customHeight="1" x14ac:dyDescent="0.25">
      <c r="A638" t="s">
        <v>2268</v>
      </c>
      <c r="B638">
        <v>2025</v>
      </c>
      <c r="C638" t="s">
        <v>176</v>
      </c>
      <c r="D638" t="b">
        <f>TRUE()</f>
        <v>1</v>
      </c>
      <c r="E638" t="b">
        <f>COUNTIF(connections!A:A, A638) &gt; 0</f>
        <v>0</v>
      </c>
      <c r="G638" t="s">
        <v>2269</v>
      </c>
    </row>
    <row r="639" spans="1:10" ht="15" customHeight="1" x14ac:dyDescent="0.25">
      <c r="A639" t="s">
        <v>2270</v>
      </c>
      <c r="B639">
        <v>2022</v>
      </c>
      <c r="C639" t="s">
        <v>176</v>
      </c>
      <c r="D639" t="b">
        <f>TRUE()</f>
        <v>1</v>
      </c>
      <c r="E639" t="b">
        <f>COUNTIF(connections!A:A, A639) &gt; 0</f>
        <v>1</v>
      </c>
      <c r="G639" t="s">
        <v>2271</v>
      </c>
      <c r="H639" t="s">
        <v>187</v>
      </c>
      <c r="I639" t="s">
        <v>2272</v>
      </c>
      <c r="J639" s="1" t="s">
        <v>2273</v>
      </c>
    </row>
    <row r="640" spans="1:10" ht="15" customHeight="1" x14ac:dyDescent="0.25">
      <c r="A640" t="s">
        <v>2274</v>
      </c>
      <c r="B640">
        <v>2026</v>
      </c>
      <c r="C640" t="s">
        <v>176</v>
      </c>
      <c r="D640" t="b">
        <f>TRUE()</f>
        <v>1</v>
      </c>
      <c r="E640" t="b">
        <f>COUNTIF(connections!A:A, A640) &gt; 0</f>
        <v>0</v>
      </c>
      <c r="G640" t="s">
        <v>2275</v>
      </c>
      <c r="J640" s="11" t="s">
        <v>2276</v>
      </c>
    </row>
    <row r="641" spans="1:10" ht="15" customHeight="1" x14ac:dyDescent="0.25">
      <c r="A641" t="s">
        <v>2277</v>
      </c>
      <c r="B641">
        <v>2015</v>
      </c>
      <c r="C641" t="s">
        <v>179</v>
      </c>
      <c r="D641" t="b">
        <f>TRUE()</f>
        <v>1</v>
      </c>
      <c r="E641" t="b">
        <f>COUNTIF(connections!A:A, A641) &gt; 0</f>
        <v>0</v>
      </c>
      <c r="G641" t="s">
        <v>2278</v>
      </c>
      <c r="H641" t="s">
        <v>187</v>
      </c>
      <c r="I641" t="s">
        <v>2279</v>
      </c>
    </row>
    <row r="642" spans="1:10" ht="15" customHeight="1" x14ac:dyDescent="0.25">
      <c r="A642" t="s">
        <v>2280</v>
      </c>
      <c r="B642">
        <v>2025</v>
      </c>
      <c r="C642" t="s">
        <v>222</v>
      </c>
      <c r="D642" t="b">
        <f>TRUE()</f>
        <v>1</v>
      </c>
      <c r="E642" t="b">
        <f>COUNTIF(connections!A:A, A642) &gt; 0</f>
        <v>0</v>
      </c>
      <c r="G642" t="s">
        <v>2281</v>
      </c>
    </row>
    <row r="643" spans="1:10" ht="15" customHeight="1" x14ac:dyDescent="0.25">
      <c r="A643" t="s">
        <v>2282</v>
      </c>
      <c r="B643">
        <v>2025</v>
      </c>
      <c r="C643" t="s">
        <v>176</v>
      </c>
      <c r="D643" t="b">
        <f>TRUE()</f>
        <v>1</v>
      </c>
      <c r="E643" t="b">
        <f>COUNTIF(connections!A:A, A643) &gt; 0</f>
        <v>0</v>
      </c>
      <c r="G643" t="s">
        <v>2283</v>
      </c>
    </row>
    <row r="644" spans="1:10" ht="15" customHeight="1" x14ac:dyDescent="0.25">
      <c r="A644" t="s">
        <v>2284</v>
      </c>
      <c r="B644">
        <v>2023</v>
      </c>
      <c r="C644" t="s">
        <v>176</v>
      </c>
      <c r="D644" t="b">
        <f>TRUE()</f>
        <v>1</v>
      </c>
      <c r="E644" t="b">
        <f>COUNTIF(connections!A:A, A644) &gt; 0</f>
        <v>0</v>
      </c>
      <c r="G644" t="s">
        <v>2285</v>
      </c>
      <c r="J644" s="11" t="s">
        <v>2286</v>
      </c>
    </row>
    <row r="645" spans="1:10" ht="15" customHeight="1" x14ac:dyDescent="0.25">
      <c r="A645" t="s">
        <v>2287</v>
      </c>
      <c r="B645">
        <v>2014</v>
      </c>
      <c r="C645" t="s">
        <v>179</v>
      </c>
      <c r="D645" t="b">
        <f>TRUE()</f>
        <v>1</v>
      </c>
      <c r="E645" t="b">
        <f>COUNTIF(connections!A:A, A645) &gt; 0</f>
        <v>1</v>
      </c>
      <c r="G645" t="s">
        <v>2288</v>
      </c>
    </row>
    <row r="646" spans="1:10" ht="15" customHeight="1" x14ac:dyDescent="0.25">
      <c r="A646" t="s">
        <v>2289</v>
      </c>
      <c r="B646">
        <v>2022</v>
      </c>
      <c r="C646" t="s">
        <v>176</v>
      </c>
      <c r="D646" t="b">
        <f>TRUE()</f>
        <v>1</v>
      </c>
      <c r="E646" t="b">
        <f>COUNTIF(connections!A:A, A646) &gt; 0</f>
        <v>0</v>
      </c>
      <c r="F646" t="s">
        <v>652</v>
      </c>
      <c r="G646" t="s">
        <v>2290</v>
      </c>
      <c r="H646" t="s">
        <v>187</v>
      </c>
      <c r="I646" t="s">
        <v>2291</v>
      </c>
      <c r="J646" s="1" t="s">
        <v>2292</v>
      </c>
    </row>
    <row r="647" spans="1:10" ht="15" customHeight="1" x14ac:dyDescent="0.25">
      <c r="A647" t="s">
        <v>2293</v>
      </c>
      <c r="B647">
        <v>2008</v>
      </c>
      <c r="C647" t="s">
        <v>179</v>
      </c>
      <c r="D647" t="b">
        <f>TRUE()</f>
        <v>1</v>
      </c>
      <c r="E647" t="b">
        <f>COUNTIF(connections!A:A, A647) &gt; 0</f>
        <v>1</v>
      </c>
      <c r="G647" t="s">
        <v>2294</v>
      </c>
      <c r="H647" t="s">
        <v>187</v>
      </c>
      <c r="I647" t="s">
        <v>2295</v>
      </c>
    </row>
    <row r="648" spans="1:10" ht="15" customHeight="1" x14ac:dyDescent="0.25">
      <c r="A648" t="s">
        <v>2296</v>
      </c>
      <c r="B648">
        <v>2000</v>
      </c>
      <c r="C648" t="s">
        <v>179</v>
      </c>
      <c r="D648" t="b">
        <f>TRUE()</f>
        <v>1</v>
      </c>
      <c r="E648" t="b">
        <f>COUNTIF(connections!A:A, A648) &gt; 0</f>
        <v>1</v>
      </c>
      <c r="G648" t="s">
        <v>2297</v>
      </c>
      <c r="H648" t="s">
        <v>187</v>
      </c>
      <c r="I648" t="s">
        <v>2298</v>
      </c>
    </row>
    <row r="649" spans="1:10" ht="15" customHeight="1" x14ac:dyDescent="0.25">
      <c r="A649" t="s">
        <v>2299</v>
      </c>
      <c r="B649">
        <v>2010</v>
      </c>
      <c r="C649" t="s">
        <v>179</v>
      </c>
      <c r="D649" t="b">
        <f>TRUE()</f>
        <v>1</v>
      </c>
      <c r="E649" t="b">
        <f>COUNTIF(connections!A:A, A649) &gt; 0</f>
        <v>1</v>
      </c>
      <c r="G649" t="s">
        <v>2300</v>
      </c>
      <c r="H649" t="s">
        <v>187</v>
      </c>
      <c r="I649" t="s">
        <v>2301</v>
      </c>
    </row>
    <row r="650" spans="1:10" ht="15" customHeight="1" x14ac:dyDescent="0.25">
      <c r="A650" t="s">
        <v>2302</v>
      </c>
      <c r="B650">
        <v>2002</v>
      </c>
      <c r="C650" t="s">
        <v>179</v>
      </c>
      <c r="D650" t="b">
        <f>TRUE()</f>
        <v>1</v>
      </c>
      <c r="E650" t="b">
        <f>COUNTIF(connections!A:A, A650) &gt; 0</f>
        <v>0</v>
      </c>
      <c r="G650" t="s">
        <v>2303</v>
      </c>
      <c r="H650" t="s">
        <v>187</v>
      </c>
      <c r="I650" t="s">
        <v>2304</v>
      </c>
    </row>
    <row r="651" spans="1:10" ht="15" customHeight="1" x14ac:dyDescent="0.25">
      <c r="A651" t="s">
        <v>2305</v>
      </c>
      <c r="B651">
        <v>1996</v>
      </c>
      <c r="C651" t="s">
        <v>179</v>
      </c>
      <c r="D651" t="b">
        <f>TRUE()</f>
        <v>1</v>
      </c>
      <c r="E651" t="b">
        <f>COUNTIF(connections!A:A, A651) &gt; 0</f>
        <v>1</v>
      </c>
      <c r="G651" t="s">
        <v>2306</v>
      </c>
      <c r="H651" t="s">
        <v>187</v>
      </c>
      <c r="I651" t="s">
        <v>2307</v>
      </c>
    </row>
    <row r="652" spans="1:10" ht="15" customHeight="1" x14ac:dyDescent="0.25">
      <c r="A652" t="s">
        <v>2308</v>
      </c>
      <c r="B652">
        <v>2001</v>
      </c>
      <c r="C652" t="s">
        <v>179</v>
      </c>
      <c r="D652" t="b">
        <f>TRUE()</f>
        <v>1</v>
      </c>
      <c r="E652" t="b">
        <f>COUNTIF(connections!A:A, A652) &gt; 0</f>
        <v>0</v>
      </c>
      <c r="G652" t="s">
        <v>2309</v>
      </c>
      <c r="H652" t="s">
        <v>187</v>
      </c>
      <c r="I652" t="s">
        <v>2310</v>
      </c>
    </row>
    <row r="653" spans="1:10" ht="15" customHeight="1" x14ac:dyDescent="0.25">
      <c r="A653" t="s">
        <v>2311</v>
      </c>
      <c r="B653">
        <v>2024</v>
      </c>
      <c r="C653" t="s">
        <v>179</v>
      </c>
      <c r="D653" t="b">
        <f>TRUE()</f>
        <v>1</v>
      </c>
      <c r="E653" t="b">
        <f>COUNTIF(connections!A:A, A653) &gt; 0</f>
        <v>0</v>
      </c>
      <c r="G653" t="s">
        <v>2312</v>
      </c>
      <c r="H653" t="s">
        <v>187</v>
      </c>
      <c r="I653" t="s">
        <v>2313</v>
      </c>
      <c r="J653" s="1" t="s">
        <v>2314</v>
      </c>
    </row>
    <row r="654" spans="1:10" ht="15" customHeight="1" x14ac:dyDescent="0.25">
      <c r="A654" t="s">
        <v>2315</v>
      </c>
      <c r="B654">
        <v>2010</v>
      </c>
      <c r="C654" t="s">
        <v>179</v>
      </c>
      <c r="D654" t="b">
        <f>TRUE()</f>
        <v>1</v>
      </c>
      <c r="E654" t="b">
        <f>COUNTIF(connections!A:A, A654) &gt; 0</f>
        <v>1</v>
      </c>
      <c r="G654" t="s">
        <v>2316</v>
      </c>
      <c r="H654" t="s">
        <v>187</v>
      </c>
      <c r="I654" t="s">
        <v>2317</v>
      </c>
      <c r="J654" s="1" t="s">
        <v>2318</v>
      </c>
    </row>
    <row r="655" spans="1:10" ht="15" customHeight="1" x14ac:dyDescent="0.25">
      <c r="A655" t="s">
        <v>2319</v>
      </c>
      <c r="B655">
        <v>2023</v>
      </c>
      <c r="C655" t="s">
        <v>222</v>
      </c>
      <c r="D655" t="b">
        <f>TRUE()</f>
        <v>1</v>
      </c>
      <c r="E655" t="b">
        <f>COUNTIF(connections!A:A, A655) &gt; 0</f>
        <v>1</v>
      </c>
      <c r="G655" t="s">
        <v>2320</v>
      </c>
      <c r="H655" t="s">
        <v>187</v>
      </c>
      <c r="I655" t="s">
        <v>2321</v>
      </c>
      <c r="J655" s="1" t="s">
        <v>2322</v>
      </c>
    </row>
    <row r="656" spans="1:10" ht="15" customHeight="1" x14ac:dyDescent="0.25">
      <c r="A656" t="s">
        <v>2323</v>
      </c>
      <c r="B656">
        <v>2010</v>
      </c>
      <c r="C656" t="s">
        <v>176</v>
      </c>
      <c r="D656" t="b">
        <f>TRUE()</f>
        <v>1</v>
      </c>
      <c r="E656" t="b">
        <f>COUNTIF(connections!A:A, A656) &gt; 0</f>
        <v>1</v>
      </c>
      <c r="G656" t="s">
        <v>2324</v>
      </c>
    </row>
    <row r="657" spans="1:10" ht="15" customHeight="1" x14ac:dyDescent="0.25">
      <c r="A657" t="s">
        <v>2325</v>
      </c>
      <c r="B657">
        <v>2022</v>
      </c>
      <c r="C657" t="s">
        <v>222</v>
      </c>
      <c r="D657" t="b">
        <f>TRUE()</f>
        <v>1</v>
      </c>
      <c r="E657" t="b">
        <f>COUNTIF(connections!A:A, A657) &gt; 0</f>
        <v>1</v>
      </c>
      <c r="F657" t="s">
        <v>1165</v>
      </c>
      <c r="G657" t="s">
        <v>2326</v>
      </c>
      <c r="H657" t="s">
        <v>187</v>
      </c>
      <c r="I657" t="s">
        <v>2327</v>
      </c>
      <c r="J657" s="1" t="s">
        <v>2328</v>
      </c>
    </row>
    <row r="658" spans="1:10" ht="15" customHeight="1" x14ac:dyDescent="0.25">
      <c r="A658" t="s">
        <v>2329</v>
      </c>
      <c r="B658">
        <v>2022</v>
      </c>
      <c r="C658" t="s">
        <v>176</v>
      </c>
      <c r="D658" t="b">
        <f>TRUE()</f>
        <v>1</v>
      </c>
      <c r="E658" t="b">
        <f>COUNTIF(connections!A:A, A658) &gt; 0</f>
        <v>0</v>
      </c>
      <c r="F658" t="s">
        <v>1031</v>
      </c>
      <c r="G658" t="s">
        <v>2330</v>
      </c>
    </row>
    <row r="659" spans="1:10" ht="15" customHeight="1" x14ac:dyDescent="0.25">
      <c r="A659" t="s">
        <v>2331</v>
      </c>
      <c r="B659">
        <v>2012</v>
      </c>
      <c r="C659" t="s">
        <v>179</v>
      </c>
      <c r="D659" t="b">
        <f>TRUE()</f>
        <v>1</v>
      </c>
      <c r="E659" t="b">
        <f>COUNTIF(connections!A:A, A659) &gt; 0</f>
        <v>0</v>
      </c>
      <c r="G659" t="s">
        <v>2332</v>
      </c>
    </row>
    <row r="660" spans="1:10" ht="15" customHeight="1" x14ac:dyDescent="0.25">
      <c r="A660" t="s">
        <v>2333</v>
      </c>
      <c r="B660">
        <v>2026</v>
      </c>
      <c r="C660" t="s">
        <v>222</v>
      </c>
      <c r="D660" t="b">
        <f>TRUE()</f>
        <v>1</v>
      </c>
      <c r="E660" t="b">
        <f>COUNTIF(connections!A:A, A660) &gt; 0</f>
        <v>0</v>
      </c>
      <c r="G660" t="s">
        <v>2334</v>
      </c>
      <c r="J660" s="11" t="s">
        <v>2335</v>
      </c>
    </row>
    <row r="661" spans="1:10" ht="15" customHeight="1" x14ac:dyDescent="0.25">
      <c r="A661" t="s">
        <v>2336</v>
      </c>
      <c r="B661">
        <v>2020</v>
      </c>
      <c r="C661" t="s">
        <v>176</v>
      </c>
      <c r="D661" t="b">
        <f>TRUE()</f>
        <v>1</v>
      </c>
      <c r="E661" t="b">
        <f>COUNTIF(connections!A:A, A661) &gt; 0</f>
        <v>1</v>
      </c>
      <c r="G661" t="s">
        <v>2337</v>
      </c>
      <c r="H661" t="s">
        <v>187</v>
      </c>
      <c r="I661" t="s">
        <v>2338</v>
      </c>
      <c r="J661" s="1" t="s">
        <v>2339</v>
      </c>
    </row>
    <row r="662" spans="1:10" ht="15" customHeight="1" x14ac:dyDescent="0.25">
      <c r="A662" t="s">
        <v>2340</v>
      </c>
      <c r="B662">
        <v>2026</v>
      </c>
      <c r="C662" t="s">
        <v>176</v>
      </c>
      <c r="D662" t="b">
        <f>TRUE()</f>
        <v>1</v>
      </c>
      <c r="E662" t="b">
        <f>COUNTIF(connections!A:A, A662) &gt; 0</f>
        <v>0</v>
      </c>
      <c r="G662" t="s">
        <v>2341</v>
      </c>
    </row>
    <row r="663" spans="1:10" ht="15" customHeight="1" x14ac:dyDescent="0.25">
      <c r="A663" t="s">
        <v>2342</v>
      </c>
      <c r="B663">
        <v>2014</v>
      </c>
      <c r="C663" t="s">
        <v>176</v>
      </c>
      <c r="D663" t="b">
        <f>TRUE()</f>
        <v>1</v>
      </c>
      <c r="E663" t="b">
        <f>COUNTIF(connections!A:A, A663) &gt; 0</f>
        <v>0</v>
      </c>
      <c r="G663" t="s">
        <v>2343</v>
      </c>
      <c r="J663" s="11" t="s">
        <v>2344</v>
      </c>
    </row>
    <row r="664" spans="1:10" ht="15" customHeight="1" x14ac:dyDescent="0.25">
      <c r="A664" t="s">
        <v>2345</v>
      </c>
      <c r="B664">
        <v>2024</v>
      </c>
      <c r="C664" t="s">
        <v>182</v>
      </c>
      <c r="D664" t="b">
        <f>TRUE()</f>
        <v>1</v>
      </c>
      <c r="E664" t="b">
        <f>COUNTIF(connections!A:A, A664) &gt; 0</f>
        <v>0</v>
      </c>
      <c r="F664" t="s">
        <v>271</v>
      </c>
      <c r="G664" t="s">
        <v>2346</v>
      </c>
      <c r="H664" t="s">
        <v>187</v>
      </c>
      <c r="I664" t="s">
        <v>2347</v>
      </c>
      <c r="J664" s="1" t="s">
        <v>2348</v>
      </c>
    </row>
    <row r="665" spans="1:10" ht="15" customHeight="1" x14ac:dyDescent="0.25">
      <c r="A665" t="s">
        <v>2349</v>
      </c>
      <c r="B665">
        <v>2006</v>
      </c>
      <c r="C665" t="s">
        <v>179</v>
      </c>
      <c r="D665" t="b">
        <f>TRUE()</f>
        <v>1</v>
      </c>
      <c r="E665" t="b">
        <f>COUNTIF(connections!A:A, A665) &gt; 0</f>
        <v>1</v>
      </c>
      <c r="G665" t="s">
        <v>2350</v>
      </c>
      <c r="H665" t="s">
        <v>187</v>
      </c>
      <c r="I665" t="s">
        <v>2351</v>
      </c>
    </row>
    <row r="666" spans="1:10" ht="15" customHeight="1" x14ac:dyDescent="0.25">
      <c r="A666" t="s">
        <v>2352</v>
      </c>
      <c r="B666">
        <v>2018</v>
      </c>
      <c r="C666" t="s">
        <v>176</v>
      </c>
      <c r="D666" t="b">
        <f>FALSE()</f>
        <v>0</v>
      </c>
      <c r="E666" t="b">
        <f>COUNTIF(connections!A:A, A666) &gt; 0</f>
        <v>0</v>
      </c>
      <c r="G666" t="s">
        <v>2353</v>
      </c>
      <c r="H666" t="s">
        <v>187</v>
      </c>
      <c r="I666" t="s">
        <v>2354</v>
      </c>
      <c r="J666" s="1" t="s">
        <v>2355</v>
      </c>
    </row>
    <row r="667" spans="1:10" ht="15" customHeight="1" x14ac:dyDescent="0.25">
      <c r="A667" t="s">
        <v>90</v>
      </c>
      <c r="B667">
        <v>2017</v>
      </c>
      <c r="C667" t="s">
        <v>182</v>
      </c>
      <c r="D667" t="b">
        <f>TRUE()</f>
        <v>1</v>
      </c>
      <c r="E667" t="b">
        <f>COUNTIF(connections!A:A, A667) &gt; 0</f>
        <v>1</v>
      </c>
      <c r="G667" t="s">
        <v>2356</v>
      </c>
      <c r="H667" t="s">
        <v>187</v>
      </c>
      <c r="I667" t="s">
        <v>2357</v>
      </c>
      <c r="J667" s="1" t="s">
        <v>2358</v>
      </c>
    </row>
    <row r="668" spans="1:10" ht="15" customHeight="1" x14ac:dyDescent="0.25">
      <c r="A668" t="s">
        <v>38</v>
      </c>
      <c r="B668">
        <v>2026</v>
      </c>
      <c r="C668" t="s">
        <v>182</v>
      </c>
      <c r="D668" t="b">
        <f>TRUE()</f>
        <v>1</v>
      </c>
      <c r="E668" t="b">
        <f>COUNTIF(connections!A:A, A668) &gt; 0</f>
        <v>0</v>
      </c>
      <c r="G668" t="s">
        <v>2359</v>
      </c>
      <c r="H668" t="s">
        <v>187</v>
      </c>
      <c r="I668" t="s">
        <v>2360</v>
      </c>
      <c r="J668" s="1" t="s">
        <v>2361</v>
      </c>
    </row>
    <row r="669" spans="1:10" ht="15" customHeight="1" x14ac:dyDescent="0.25">
      <c r="A669" t="s">
        <v>2362</v>
      </c>
      <c r="B669">
        <v>2018</v>
      </c>
      <c r="C669" t="s">
        <v>222</v>
      </c>
      <c r="D669" t="b">
        <f>TRUE()</f>
        <v>1</v>
      </c>
      <c r="E669" t="b">
        <f>COUNTIF(connections!A:A, A669) &gt; 0</f>
        <v>1</v>
      </c>
      <c r="F669" t="s">
        <v>315</v>
      </c>
      <c r="G669" t="s">
        <v>2363</v>
      </c>
      <c r="H669" t="s">
        <v>187</v>
      </c>
      <c r="I669" t="s">
        <v>2364</v>
      </c>
      <c r="J669" s="1" t="s">
        <v>2365</v>
      </c>
    </row>
    <row r="670" spans="1:10" ht="15" customHeight="1" x14ac:dyDescent="0.25">
      <c r="A670" t="s">
        <v>2366</v>
      </c>
      <c r="B670">
        <v>2023</v>
      </c>
      <c r="C670" t="s">
        <v>176</v>
      </c>
      <c r="D670" t="b">
        <f>TRUE()</f>
        <v>1</v>
      </c>
      <c r="E670" t="b">
        <f>COUNTIF(connections!A:A, A670) &gt; 0</f>
        <v>1</v>
      </c>
      <c r="G670" t="s">
        <v>2367</v>
      </c>
      <c r="H670" t="s">
        <v>187</v>
      </c>
      <c r="I670" t="s">
        <v>2368</v>
      </c>
      <c r="J670" s="1" t="s">
        <v>2369</v>
      </c>
    </row>
    <row r="671" spans="1:10" ht="15" customHeight="1" x14ac:dyDescent="0.25">
      <c r="A671" t="s">
        <v>2370</v>
      </c>
      <c r="B671">
        <v>2025</v>
      </c>
      <c r="C671" t="s">
        <v>182</v>
      </c>
      <c r="D671" t="b">
        <f>TRUE()</f>
        <v>1</v>
      </c>
      <c r="E671" t="b">
        <f>COUNTIF(connections!A:A, A671) &gt; 0</f>
        <v>0</v>
      </c>
      <c r="F671" t="s">
        <v>354</v>
      </c>
      <c r="G671" t="s">
        <v>2371</v>
      </c>
    </row>
    <row r="672" spans="1:10" ht="15" customHeight="1" x14ac:dyDescent="0.25">
      <c r="A672" t="s">
        <v>2372</v>
      </c>
      <c r="B672">
        <v>2026</v>
      </c>
      <c r="C672" t="s">
        <v>182</v>
      </c>
      <c r="D672" t="b">
        <f>TRUE()</f>
        <v>1</v>
      </c>
      <c r="E672" t="b">
        <f>COUNTIF(connections!A:A, A672) &gt; 0</f>
        <v>0</v>
      </c>
      <c r="F672" t="s">
        <v>354</v>
      </c>
      <c r="G672" t="s">
        <v>2373</v>
      </c>
    </row>
    <row r="673" spans="1:10" ht="15" customHeight="1" x14ac:dyDescent="0.25">
      <c r="A673" t="s">
        <v>2374</v>
      </c>
      <c r="B673">
        <v>2025</v>
      </c>
      <c r="C673" t="s">
        <v>182</v>
      </c>
      <c r="D673" t="b">
        <f>FALSE()</f>
        <v>0</v>
      </c>
      <c r="E673" t="b">
        <f>COUNTIF(connections!A:A, A673) &gt; 0</f>
        <v>0</v>
      </c>
      <c r="F673" t="s">
        <v>354</v>
      </c>
      <c r="G673" t="s">
        <v>2375</v>
      </c>
      <c r="H673" t="s">
        <v>187</v>
      </c>
      <c r="I673" t="s">
        <v>2376</v>
      </c>
      <c r="J673" s="1" t="s">
        <v>2377</v>
      </c>
    </row>
    <row r="674" spans="1:10" ht="15" customHeight="1" x14ac:dyDescent="0.25">
      <c r="A674" t="s">
        <v>2378</v>
      </c>
      <c r="B674">
        <v>2021</v>
      </c>
      <c r="C674" t="s">
        <v>176</v>
      </c>
      <c r="D674" t="b">
        <f>TRUE()</f>
        <v>1</v>
      </c>
      <c r="E674" t="b">
        <f>COUNTIF(connections!A:A, A674) &gt; 0</f>
        <v>1</v>
      </c>
      <c r="G674" t="s">
        <v>2379</v>
      </c>
      <c r="H674" t="s">
        <v>187</v>
      </c>
      <c r="I674" t="s">
        <v>2380</v>
      </c>
      <c r="J674" s="1" t="s">
        <v>2381</v>
      </c>
    </row>
    <row r="675" spans="1:10" ht="15" customHeight="1" x14ac:dyDescent="0.25">
      <c r="A675" t="s">
        <v>2382</v>
      </c>
      <c r="B675">
        <v>2025</v>
      </c>
      <c r="C675" t="s">
        <v>176</v>
      </c>
      <c r="D675" t="b">
        <f>TRUE()</f>
        <v>1</v>
      </c>
      <c r="E675" t="b">
        <f>COUNTIF(connections!A:A, A675) &gt; 0</f>
        <v>0</v>
      </c>
      <c r="G675" t="s">
        <v>2383</v>
      </c>
      <c r="H675" t="s">
        <v>187</v>
      </c>
      <c r="I675" t="s">
        <v>2384</v>
      </c>
      <c r="J675" s="1" t="s">
        <v>2385</v>
      </c>
    </row>
    <row r="676" spans="1:10" ht="15" customHeight="1" x14ac:dyDescent="0.25">
      <c r="A676" t="s">
        <v>2386</v>
      </c>
      <c r="B676">
        <v>2025</v>
      </c>
      <c r="C676" t="s">
        <v>222</v>
      </c>
      <c r="D676" t="b">
        <v>1</v>
      </c>
      <c r="E676" t="b">
        <f>COUNTIF(connections!A:A, A676) &gt; 0</f>
        <v>0</v>
      </c>
      <c r="G676" t="s">
        <v>2387</v>
      </c>
      <c r="H676" t="s">
        <v>187</v>
      </c>
      <c r="I676" t="s">
        <v>2388</v>
      </c>
      <c r="J676" s="1" t="s">
        <v>2389</v>
      </c>
    </row>
    <row r="677" spans="1:10" ht="15" customHeight="1" x14ac:dyDescent="0.25">
      <c r="A677" t="s">
        <v>2390</v>
      </c>
      <c r="B677">
        <v>2016</v>
      </c>
      <c r="C677" t="s">
        <v>182</v>
      </c>
      <c r="D677" t="b">
        <f>FALSE()</f>
        <v>0</v>
      </c>
      <c r="E677" t="b">
        <f>COUNTIF(connections!A:A, A677) &gt; 0</f>
        <v>0</v>
      </c>
      <c r="G677" t="s">
        <v>2391</v>
      </c>
      <c r="H677" t="s">
        <v>187</v>
      </c>
      <c r="I677" t="s">
        <v>2392</v>
      </c>
      <c r="J677" s="1" t="s">
        <v>2393</v>
      </c>
    </row>
    <row r="678" spans="1:10" ht="15" customHeight="1" x14ac:dyDescent="0.25">
      <c r="A678" t="s">
        <v>2394</v>
      </c>
      <c r="B678">
        <v>2022</v>
      </c>
      <c r="C678" t="s">
        <v>179</v>
      </c>
      <c r="D678" t="b">
        <f>TRUE()</f>
        <v>1</v>
      </c>
      <c r="E678" t="b">
        <f>COUNTIF(connections!A:A, A678) &gt; 0</f>
        <v>1</v>
      </c>
      <c r="G678" t="s">
        <v>2395</v>
      </c>
    </row>
    <row r="679" spans="1:10" ht="15" customHeight="1" x14ac:dyDescent="0.25">
      <c r="A679" t="s">
        <v>2396</v>
      </c>
      <c r="B679">
        <v>2023</v>
      </c>
      <c r="C679" t="s">
        <v>179</v>
      </c>
      <c r="D679" t="b">
        <f>TRUE()</f>
        <v>1</v>
      </c>
      <c r="E679" t="b">
        <f>COUNTIF(connections!A:A, A679) &gt; 0</f>
        <v>0</v>
      </c>
      <c r="G679" t="s">
        <v>2397</v>
      </c>
    </row>
    <row r="680" spans="1:10" ht="15" customHeight="1" x14ac:dyDescent="0.25">
      <c r="A680" t="s">
        <v>2398</v>
      </c>
      <c r="B680">
        <v>2022</v>
      </c>
      <c r="C680" t="s">
        <v>176</v>
      </c>
      <c r="D680" t="b">
        <f>TRUE()</f>
        <v>1</v>
      </c>
      <c r="E680" t="b">
        <f>COUNTIF(connections!A:A, A680) &gt; 0</f>
        <v>0</v>
      </c>
      <c r="G680" t="s">
        <v>2399</v>
      </c>
      <c r="H680" t="s">
        <v>187</v>
      </c>
      <c r="I680" t="s">
        <v>2400</v>
      </c>
      <c r="J680" s="1" t="s">
        <v>2401</v>
      </c>
    </row>
    <row r="681" spans="1:10" ht="15" customHeight="1" x14ac:dyDescent="0.25">
      <c r="A681" t="s">
        <v>2402</v>
      </c>
      <c r="B681">
        <v>2015</v>
      </c>
      <c r="C681" t="s">
        <v>176</v>
      </c>
      <c r="D681" t="b">
        <f>FALSE()</f>
        <v>0</v>
      </c>
      <c r="E681" t="b">
        <f>COUNTIF(connections!A:A, A681) &gt; 0</f>
        <v>0</v>
      </c>
      <c r="F681" t="s">
        <v>274</v>
      </c>
      <c r="G681" t="s">
        <v>2403</v>
      </c>
    </row>
    <row r="682" spans="1:10" ht="15" customHeight="1" x14ac:dyDescent="0.25">
      <c r="A682" t="s">
        <v>2404</v>
      </c>
      <c r="B682">
        <v>2019</v>
      </c>
      <c r="C682" t="s">
        <v>176</v>
      </c>
      <c r="D682" t="b">
        <f>TRUE()</f>
        <v>1</v>
      </c>
      <c r="E682" t="b">
        <f>COUNTIF(connections!A:A, A682) &gt; 0</f>
        <v>1</v>
      </c>
      <c r="G682" t="s">
        <v>2405</v>
      </c>
      <c r="J682" s="1" t="s">
        <v>2406</v>
      </c>
    </row>
    <row r="683" spans="1:10" ht="15" customHeight="1" x14ac:dyDescent="0.25">
      <c r="A683" t="s">
        <v>2407</v>
      </c>
      <c r="B683">
        <v>2016</v>
      </c>
      <c r="C683" t="s">
        <v>179</v>
      </c>
      <c r="D683" t="b">
        <f>TRUE()</f>
        <v>1</v>
      </c>
      <c r="E683" t="b">
        <f>COUNTIF(connections!A:A, A683) &gt; 0</f>
        <v>0</v>
      </c>
      <c r="G683" t="s">
        <v>2408</v>
      </c>
      <c r="H683" t="s">
        <v>187</v>
      </c>
      <c r="I683" t="s">
        <v>2409</v>
      </c>
      <c r="J683" s="11" t="s">
        <v>2410</v>
      </c>
    </row>
    <row r="684" spans="1:10" ht="15" customHeight="1" x14ac:dyDescent="0.25">
      <c r="A684" t="s">
        <v>2411</v>
      </c>
      <c r="B684">
        <v>2022</v>
      </c>
      <c r="C684" t="s">
        <v>176</v>
      </c>
      <c r="D684" t="b">
        <f>TRUE()</f>
        <v>1</v>
      </c>
      <c r="E684" t="b">
        <f>COUNTIF(connections!A:A, A684) &gt; 0</f>
        <v>0</v>
      </c>
      <c r="G684" t="s">
        <v>2412</v>
      </c>
      <c r="H684" t="s">
        <v>187</v>
      </c>
      <c r="I684" t="s">
        <v>2413</v>
      </c>
      <c r="J684" s="1" t="s">
        <v>2414</v>
      </c>
    </row>
    <row r="685" spans="1:10" ht="15" customHeight="1" x14ac:dyDescent="0.25">
      <c r="A685" t="s">
        <v>2415</v>
      </c>
      <c r="B685">
        <v>2023</v>
      </c>
      <c r="C685" t="s">
        <v>222</v>
      </c>
      <c r="D685" t="b">
        <f>TRUE()</f>
        <v>1</v>
      </c>
      <c r="E685" t="b">
        <f>COUNTIF(connections!A:A, A685) &gt; 0</f>
        <v>0</v>
      </c>
      <c r="G685" t="s">
        <v>2416</v>
      </c>
    </row>
    <row r="686" spans="1:10" ht="15" customHeight="1" x14ac:dyDescent="0.25">
      <c r="A686" t="s">
        <v>2417</v>
      </c>
      <c r="B686">
        <v>2024</v>
      </c>
      <c r="C686" t="s">
        <v>182</v>
      </c>
      <c r="D686" t="b">
        <f>TRUE()</f>
        <v>1</v>
      </c>
      <c r="E686" t="b">
        <f>COUNTIF(connections!A:A, A686) &gt; 0</f>
        <v>0</v>
      </c>
      <c r="G686" t="s">
        <v>2418</v>
      </c>
      <c r="H686" t="s">
        <v>187</v>
      </c>
      <c r="I686" t="s">
        <v>2419</v>
      </c>
      <c r="J686" s="1" t="s">
        <v>2420</v>
      </c>
    </row>
    <row r="687" spans="1:10" ht="15" customHeight="1" x14ac:dyDescent="0.25">
      <c r="A687" t="s">
        <v>2421</v>
      </c>
      <c r="B687">
        <v>2012</v>
      </c>
      <c r="C687" t="s">
        <v>176</v>
      </c>
      <c r="D687" t="b">
        <f>TRUE()</f>
        <v>1</v>
      </c>
      <c r="E687" t="b">
        <f>COUNTIF(connections!A:A, A687) &gt; 0</f>
        <v>1</v>
      </c>
      <c r="G687" t="s">
        <v>2422</v>
      </c>
      <c r="H687" t="s">
        <v>187</v>
      </c>
      <c r="I687" t="s">
        <v>2423</v>
      </c>
      <c r="J687" s="1" t="s">
        <v>2424</v>
      </c>
    </row>
    <row r="688" spans="1:10" ht="15" customHeight="1" x14ac:dyDescent="0.25">
      <c r="A688" t="s">
        <v>2425</v>
      </c>
      <c r="B688">
        <v>2020</v>
      </c>
      <c r="C688" t="s">
        <v>176</v>
      </c>
      <c r="D688" t="b">
        <f>TRUE()</f>
        <v>1</v>
      </c>
      <c r="E688" t="b">
        <f>COUNTIF(connections!A:A, A688) &gt; 0</f>
        <v>0</v>
      </c>
      <c r="G688" t="s">
        <v>2426</v>
      </c>
      <c r="H688" t="s">
        <v>187</v>
      </c>
      <c r="I688" t="s">
        <v>2427</v>
      </c>
      <c r="J688" s="1" t="s">
        <v>2428</v>
      </c>
    </row>
    <row r="689" spans="1:10" ht="15" customHeight="1" x14ac:dyDescent="0.25">
      <c r="A689" t="s">
        <v>2429</v>
      </c>
      <c r="B689">
        <v>2008</v>
      </c>
      <c r="C689" t="s">
        <v>176</v>
      </c>
      <c r="D689" t="b">
        <f>TRUE()</f>
        <v>1</v>
      </c>
      <c r="E689" t="b">
        <f>COUNTIF(connections!A:A, A689) &gt; 0</f>
        <v>1</v>
      </c>
      <c r="G689" t="s">
        <v>2430</v>
      </c>
      <c r="H689" t="s">
        <v>187</v>
      </c>
      <c r="I689" t="s">
        <v>2431</v>
      </c>
    </row>
    <row r="690" spans="1:10" ht="15" customHeight="1" x14ac:dyDescent="0.25">
      <c r="A690" t="s">
        <v>2432</v>
      </c>
      <c r="B690">
        <v>2024</v>
      </c>
      <c r="C690" t="s">
        <v>182</v>
      </c>
      <c r="D690" t="b">
        <f>TRUE()</f>
        <v>1</v>
      </c>
      <c r="E690" t="b">
        <f>COUNTIF(connections!A:A, A690) &gt; 0</f>
        <v>0</v>
      </c>
      <c r="F690" t="s">
        <v>354</v>
      </c>
      <c r="G690" t="s">
        <v>2433</v>
      </c>
      <c r="H690" t="s">
        <v>187</v>
      </c>
      <c r="I690" t="s">
        <v>2434</v>
      </c>
      <c r="J690" s="1" t="s">
        <v>2435</v>
      </c>
    </row>
    <row r="691" spans="1:10" ht="15" customHeight="1" x14ac:dyDescent="0.25">
      <c r="A691" t="s">
        <v>2436</v>
      </c>
      <c r="B691">
        <v>2022</v>
      </c>
      <c r="C691" t="s">
        <v>176</v>
      </c>
      <c r="D691" t="b">
        <f>TRUE()</f>
        <v>1</v>
      </c>
      <c r="E691" t="b">
        <f>COUNTIF(connections!A:A, A691) &gt; 0</f>
        <v>0</v>
      </c>
      <c r="G691" t="s">
        <v>2437</v>
      </c>
      <c r="H691" t="s">
        <v>187</v>
      </c>
      <c r="I691" t="s">
        <v>2438</v>
      </c>
      <c r="J691" s="1" t="s">
        <v>2439</v>
      </c>
    </row>
    <row r="692" spans="1:10" ht="15" customHeight="1" x14ac:dyDescent="0.25">
      <c r="A692" t="s">
        <v>2440</v>
      </c>
      <c r="B692">
        <v>2023</v>
      </c>
      <c r="C692" t="s">
        <v>176</v>
      </c>
      <c r="D692" t="b">
        <f>TRUE()</f>
        <v>1</v>
      </c>
      <c r="E692" t="b">
        <f>COUNTIF(connections!A:A, A692) &gt; 0</f>
        <v>0</v>
      </c>
      <c r="G692" t="s">
        <v>2441</v>
      </c>
      <c r="H692" t="s">
        <v>187</v>
      </c>
      <c r="I692" t="s">
        <v>2442</v>
      </c>
      <c r="J692" s="1" t="s">
        <v>2443</v>
      </c>
    </row>
    <row r="693" spans="1:10" ht="15" customHeight="1" x14ac:dyDescent="0.25">
      <c r="A693" t="s">
        <v>2444</v>
      </c>
      <c r="B693">
        <v>2019</v>
      </c>
      <c r="C693" t="s">
        <v>176</v>
      </c>
      <c r="D693" t="b">
        <f>TRUE()</f>
        <v>1</v>
      </c>
      <c r="E693" t="b">
        <f>COUNTIF(connections!A:A, A693) &gt; 0</f>
        <v>1</v>
      </c>
      <c r="G693" t="s">
        <v>2445</v>
      </c>
      <c r="H693" t="s">
        <v>187</v>
      </c>
      <c r="I693" t="s">
        <v>2446</v>
      </c>
      <c r="J693" s="1" t="s">
        <v>2447</v>
      </c>
    </row>
    <row r="694" spans="1:10" ht="15" customHeight="1" x14ac:dyDescent="0.25">
      <c r="A694" t="s">
        <v>2448</v>
      </c>
      <c r="B694">
        <v>2014</v>
      </c>
      <c r="C694" t="s">
        <v>179</v>
      </c>
      <c r="D694" t="b">
        <f>TRUE()</f>
        <v>1</v>
      </c>
      <c r="E694" t="b">
        <f>COUNTIF(connections!A:A, A694) &gt; 0</f>
        <v>1</v>
      </c>
      <c r="G694" t="s">
        <v>2449</v>
      </c>
      <c r="H694" t="s">
        <v>187</v>
      </c>
      <c r="I694" t="s">
        <v>2450</v>
      </c>
      <c r="J694" s="1" t="s">
        <v>2451</v>
      </c>
    </row>
    <row r="695" spans="1:10" ht="15" customHeight="1" x14ac:dyDescent="0.25">
      <c r="A695" t="s">
        <v>2452</v>
      </c>
      <c r="B695">
        <v>2024</v>
      </c>
      <c r="C695" t="s">
        <v>176</v>
      </c>
      <c r="D695" t="b">
        <f>FALSE()</f>
        <v>0</v>
      </c>
      <c r="E695" t="b">
        <f>COUNTIF(connections!A:A, A695) &gt; 0</f>
        <v>0</v>
      </c>
      <c r="G695" t="s">
        <v>2453</v>
      </c>
      <c r="H695" t="s">
        <v>187</v>
      </c>
      <c r="I695" t="s">
        <v>2454</v>
      </c>
      <c r="J695" s="1" t="s">
        <v>2455</v>
      </c>
    </row>
    <row r="696" spans="1:10" ht="15" customHeight="1" x14ac:dyDescent="0.25">
      <c r="A696" t="s">
        <v>2456</v>
      </c>
      <c r="B696">
        <v>2025</v>
      </c>
      <c r="C696" t="s">
        <v>182</v>
      </c>
      <c r="D696" t="b">
        <f>TRUE()</f>
        <v>1</v>
      </c>
      <c r="E696" t="b">
        <f>COUNTIF(connections!A:A, A696) &gt; 0</f>
        <v>0</v>
      </c>
      <c r="G696" t="s">
        <v>2457</v>
      </c>
      <c r="H696" t="s">
        <v>187</v>
      </c>
      <c r="I696" t="s">
        <v>2458</v>
      </c>
      <c r="J696" s="1" t="s">
        <v>2459</v>
      </c>
    </row>
    <row r="697" spans="1:10" ht="15" customHeight="1" x14ac:dyDescent="0.25">
      <c r="A697" t="s">
        <v>2460</v>
      </c>
      <c r="B697">
        <v>2017</v>
      </c>
      <c r="C697" t="s">
        <v>176</v>
      </c>
      <c r="D697" t="b">
        <f>TRUE()</f>
        <v>1</v>
      </c>
      <c r="E697" t="b">
        <f>COUNTIF(connections!A:A, A697) &gt; 0</f>
        <v>1</v>
      </c>
      <c r="G697" t="s">
        <v>2461</v>
      </c>
      <c r="H697" t="s">
        <v>187</v>
      </c>
      <c r="I697" t="s">
        <v>2462</v>
      </c>
      <c r="J697" s="1" t="s">
        <v>2463</v>
      </c>
    </row>
    <row r="698" spans="1:10" ht="15" customHeight="1" x14ac:dyDescent="0.25">
      <c r="A698" t="s">
        <v>2464</v>
      </c>
      <c r="B698">
        <v>2023</v>
      </c>
      <c r="C698" t="s">
        <v>176</v>
      </c>
      <c r="D698" t="b">
        <f>TRUE()</f>
        <v>1</v>
      </c>
      <c r="E698" t="b">
        <f>COUNTIF(connections!A:A, A698) &gt; 0</f>
        <v>0</v>
      </c>
      <c r="F698" t="s">
        <v>274</v>
      </c>
      <c r="G698" t="s">
        <v>2465</v>
      </c>
      <c r="H698" t="s">
        <v>187</v>
      </c>
      <c r="I698" t="s">
        <v>2466</v>
      </c>
      <c r="J698" s="1" t="s">
        <v>2467</v>
      </c>
    </row>
    <row r="699" spans="1:10" ht="15" customHeight="1" x14ac:dyDescent="0.25">
      <c r="A699" t="s">
        <v>2468</v>
      </c>
      <c r="B699">
        <v>2025</v>
      </c>
      <c r="C699" t="s">
        <v>176</v>
      </c>
      <c r="D699" t="b">
        <f>TRUE()</f>
        <v>1</v>
      </c>
      <c r="E699" t="b">
        <f>COUNTIF(connections!A:A, A699) &gt; 0</f>
        <v>0</v>
      </c>
      <c r="G699" t="s">
        <v>2469</v>
      </c>
      <c r="H699" t="s">
        <v>187</v>
      </c>
      <c r="I699" t="s">
        <v>2470</v>
      </c>
      <c r="J699" s="1" t="s">
        <v>2471</v>
      </c>
    </row>
    <row r="700" spans="1:10" ht="15" customHeight="1" x14ac:dyDescent="0.25">
      <c r="A700" t="s">
        <v>2472</v>
      </c>
      <c r="B700">
        <v>2025</v>
      </c>
      <c r="C700" t="s">
        <v>182</v>
      </c>
      <c r="D700" t="b">
        <f>TRUE()</f>
        <v>1</v>
      </c>
      <c r="E700" t="b">
        <f>COUNTIF(connections!A:A, A700) &gt; 0</f>
        <v>0</v>
      </c>
      <c r="F700" t="s">
        <v>277</v>
      </c>
      <c r="G700" t="s">
        <v>2473</v>
      </c>
      <c r="H700" t="s">
        <v>187</v>
      </c>
      <c r="I700" t="s">
        <v>2474</v>
      </c>
      <c r="J700" s="1" t="s">
        <v>2475</v>
      </c>
    </row>
    <row r="701" spans="1:10" ht="15" customHeight="1" x14ac:dyDescent="0.25">
      <c r="A701" t="s">
        <v>2476</v>
      </c>
      <c r="B701">
        <v>2025</v>
      </c>
      <c r="C701" t="s">
        <v>182</v>
      </c>
      <c r="D701" t="b">
        <f>TRUE()</f>
        <v>1</v>
      </c>
      <c r="E701" t="b">
        <f>COUNTIF(connections!A:A, A701) &gt; 0</f>
        <v>0</v>
      </c>
      <c r="G701" t="s">
        <v>2477</v>
      </c>
    </row>
    <row r="702" spans="1:10" ht="15" customHeight="1" x14ac:dyDescent="0.25">
      <c r="A702" t="s">
        <v>2478</v>
      </c>
      <c r="B702">
        <v>2025</v>
      </c>
      <c r="C702" t="s">
        <v>176</v>
      </c>
      <c r="D702" t="b">
        <f>FALSE()</f>
        <v>0</v>
      </c>
      <c r="E702" t="b">
        <f>COUNTIF(connections!A:A, A702) &gt; 0</f>
        <v>0</v>
      </c>
      <c r="G702" t="s">
        <v>2479</v>
      </c>
      <c r="H702" t="s">
        <v>187</v>
      </c>
      <c r="I702" t="s">
        <v>2480</v>
      </c>
      <c r="J702" s="1" t="s">
        <v>2481</v>
      </c>
    </row>
    <row r="703" spans="1:10" ht="15" customHeight="1" x14ac:dyDescent="0.25">
      <c r="A703" t="s">
        <v>2482</v>
      </c>
      <c r="B703">
        <v>2020</v>
      </c>
      <c r="C703" t="s">
        <v>179</v>
      </c>
      <c r="D703" t="b">
        <f>TRUE()</f>
        <v>1</v>
      </c>
      <c r="E703" t="b">
        <f>COUNTIF(connections!A:A, A703) &gt; 0</f>
        <v>1</v>
      </c>
      <c r="G703" t="s">
        <v>2483</v>
      </c>
    </row>
    <row r="704" spans="1:10" ht="15" customHeight="1" x14ac:dyDescent="0.25">
      <c r="A704" t="s">
        <v>2484</v>
      </c>
      <c r="B704">
        <v>2023</v>
      </c>
      <c r="C704" t="s">
        <v>222</v>
      </c>
      <c r="D704" t="b">
        <f>FALSE()</f>
        <v>0</v>
      </c>
      <c r="E704" t="b">
        <f>COUNTIF(connections!A:A, A704) &gt; 0</f>
        <v>0</v>
      </c>
      <c r="F704" t="s">
        <v>458</v>
      </c>
      <c r="G704" t="s">
        <v>2485</v>
      </c>
    </row>
    <row r="705" spans="1:10" ht="15" customHeight="1" x14ac:dyDescent="0.25">
      <c r="A705" t="s">
        <v>2486</v>
      </c>
      <c r="B705">
        <v>2017</v>
      </c>
      <c r="C705" t="s">
        <v>176</v>
      </c>
      <c r="D705" t="b">
        <v>1</v>
      </c>
      <c r="E705" t="b">
        <f>COUNTIF(connections!A:A, A705) &gt; 0</f>
        <v>0</v>
      </c>
      <c r="G705" t="s">
        <v>2487</v>
      </c>
      <c r="H705" t="s">
        <v>187</v>
      </c>
      <c r="I705" t="s">
        <v>2488</v>
      </c>
      <c r="J705" s="11" t="s">
        <v>2489</v>
      </c>
    </row>
    <row r="706" spans="1:10" ht="15" customHeight="1" x14ac:dyDescent="0.25">
      <c r="A706" t="s">
        <v>2490</v>
      </c>
      <c r="B706">
        <v>2002</v>
      </c>
      <c r="C706" t="s">
        <v>222</v>
      </c>
      <c r="D706" t="b">
        <f>TRUE()</f>
        <v>1</v>
      </c>
      <c r="E706" t="b">
        <f>COUNTIF(connections!A:A, A706) &gt; 0</f>
        <v>1</v>
      </c>
      <c r="F706" t="s">
        <v>274</v>
      </c>
      <c r="G706" t="s">
        <v>2491</v>
      </c>
      <c r="H706" t="s">
        <v>187</v>
      </c>
      <c r="I706" t="s">
        <v>2492</v>
      </c>
    </row>
    <row r="707" spans="1:10" ht="15" customHeight="1" x14ac:dyDescent="0.25">
      <c r="A707" t="s">
        <v>2493</v>
      </c>
      <c r="B707">
        <v>2019</v>
      </c>
      <c r="C707" t="s">
        <v>176</v>
      </c>
      <c r="D707" t="b">
        <f>TRUE()</f>
        <v>1</v>
      </c>
      <c r="E707" t="b">
        <f>COUNTIF(connections!A:A, A707) &gt; 0</f>
        <v>0</v>
      </c>
      <c r="G707" t="s">
        <v>2494</v>
      </c>
      <c r="H707" t="s">
        <v>187</v>
      </c>
      <c r="I707" t="s">
        <v>2495</v>
      </c>
      <c r="J707" s="1" t="s">
        <v>2496</v>
      </c>
    </row>
    <row r="708" spans="1:10" ht="15" customHeight="1" x14ac:dyDescent="0.25">
      <c r="A708" t="s">
        <v>2497</v>
      </c>
      <c r="B708">
        <v>2024</v>
      </c>
      <c r="C708" t="s">
        <v>176</v>
      </c>
      <c r="D708" t="b">
        <f>TRUE()</f>
        <v>1</v>
      </c>
      <c r="E708" t="b">
        <f>COUNTIF(connections!A:A, A708) &gt; 0</f>
        <v>0</v>
      </c>
      <c r="G708" t="s">
        <v>2498</v>
      </c>
    </row>
    <row r="709" spans="1:10" ht="15" customHeight="1" x14ac:dyDescent="0.25">
      <c r="A709" t="s">
        <v>2499</v>
      </c>
      <c r="B709">
        <v>2017</v>
      </c>
      <c r="C709" t="s">
        <v>176</v>
      </c>
      <c r="D709" t="b">
        <f>TRUE()</f>
        <v>1</v>
      </c>
      <c r="E709" t="b">
        <f>COUNTIF(connections!A:A, A709) &gt; 0</f>
        <v>1</v>
      </c>
      <c r="G709" t="s">
        <v>2500</v>
      </c>
      <c r="H709" t="s">
        <v>187</v>
      </c>
      <c r="I709" t="s">
        <v>2501</v>
      </c>
      <c r="J709" s="1" t="s">
        <v>2502</v>
      </c>
    </row>
    <row r="710" spans="1:10" ht="15" customHeight="1" x14ac:dyDescent="0.25">
      <c r="A710" t="s">
        <v>2503</v>
      </c>
      <c r="B710">
        <v>2015</v>
      </c>
      <c r="C710" t="s">
        <v>222</v>
      </c>
      <c r="D710" t="b">
        <f>TRUE()</f>
        <v>1</v>
      </c>
      <c r="E710" t="b">
        <f>COUNTIF(connections!A:A, A710) &gt; 0</f>
        <v>1</v>
      </c>
      <c r="F710" t="s">
        <v>652</v>
      </c>
      <c r="G710" t="s">
        <v>2504</v>
      </c>
      <c r="H710" t="s">
        <v>187</v>
      </c>
      <c r="I710" t="s">
        <v>2505</v>
      </c>
      <c r="J710" s="1" t="s">
        <v>2506</v>
      </c>
    </row>
    <row r="711" spans="1:10" ht="15" customHeight="1" x14ac:dyDescent="0.25">
      <c r="A711" t="s">
        <v>2507</v>
      </c>
      <c r="B711">
        <v>2021</v>
      </c>
      <c r="C711" t="s">
        <v>222</v>
      </c>
      <c r="D711" t="b">
        <f>TRUE()</f>
        <v>1</v>
      </c>
      <c r="E711" t="b">
        <f>COUNTIF(connections!A:A, A711) &gt; 0</f>
        <v>1</v>
      </c>
      <c r="G711" t="s">
        <v>2508</v>
      </c>
      <c r="H711" t="s">
        <v>187</v>
      </c>
      <c r="I711" t="s">
        <v>2509</v>
      </c>
      <c r="J711" s="1" t="s">
        <v>2510</v>
      </c>
    </row>
    <row r="712" spans="1:10" ht="15" customHeight="1" x14ac:dyDescent="0.25">
      <c r="A712" t="s">
        <v>2511</v>
      </c>
      <c r="B712">
        <v>2022</v>
      </c>
      <c r="C712" t="s">
        <v>182</v>
      </c>
      <c r="D712" t="b">
        <f>FALSE()</f>
        <v>0</v>
      </c>
      <c r="E712" t="b">
        <f>COUNTIF(connections!A:A, A712) &gt; 0</f>
        <v>0</v>
      </c>
      <c r="G712" t="s">
        <v>2512</v>
      </c>
      <c r="H712" t="s">
        <v>187</v>
      </c>
      <c r="I712" t="s">
        <v>2513</v>
      </c>
      <c r="J712" s="1" t="s">
        <v>2514</v>
      </c>
    </row>
    <row r="713" spans="1:10" ht="15" customHeight="1" x14ac:dyDescent="0.25">
      <c r="A713" t="s">
        <v>2515</v>
      </c>
      <c r="B713">
        <v>2025</v>
      </c>
      <c r="C713" t="s">
        <v>222</v>
      </c>
      <c r="D713" t="b">
        <f>TRUE()</f>
        <v>1</v>
      </c>
      <c r="E713" t="b">
        <f>COUNTIF(connections!A:A, A713) &gt; 0</f>
        <v>0</v>
      </c>
      <c r="G713" t="s">
        <v>2516</v>
      </c>
      <c r="H713" t="s">
        <v>187</v>
      </c>
      <c r="I713" t="s">
        <v>2517</v>
      </c>
      <c r="J713" s="1" t="s">
        <v>2518</v>
      </c>
    </row>
    <row r="714" spans="1:10" ht="15" customHeight="1" x14ac:dyDescent="0.25">
      <c r="A714" t="s">
        <v>2519</v>
      </c>
      <c r="B714">
        <v>2013</v>
      </c>
      <c r="C714" t="s">
        <v>176</v>
      </c>
      <c r="D714" t="b">
        <f>TRUE()</f>
        <v>1</v>
      </c>
      <c r="E714" t="b">
        <f>COUNTIF(connections!A:A, A714) &gt; 0</f>
        <v>1</v>
      </c>
      <c r="G714" t="s">
        <v>2520</v>
      </c>
      <c r="H714" t="s">
        <v>187</v>
      </c>
      <c r="I714" t="s">
        <v>2521</v>
      </c>
      <c r="J714" s="1" t="s">
        <v>2522</v>
      </c>
    </row>
    <row r="715" spans="1:10" ht="15" customHeight="1" x14ac:dyDescent="0.25">
      <c r="A715" t="s">
        <v>2523</v>
      </c>
      <c r="B715">
        <v>2025</v>
      </c>
      <c r="C715" t="s">
        <v>182</v>
      </c>
      <c r="D715" t="b">
        <f>TRUE()</f>
        <v>1</v>
      </c>
      <c r="E715" t="b">
        <f>COUNTIF(connections!A:A, A715) &gt; 0</f>
        <v>1</v>
      </c>
      <c r="G715" t="s">
        <v>2524</v>
      </c>
    </row>
    <row r="716" spans="1:10" ht="15" customHeight="1" x14ac:dyDescent="0.25">
      <c r="A716" t="s">
        <v>2525</v>
      </c>
      <c r="B716">
        <v>2025</v>
      </c>
      <c r="C716" t="s">
        <v>176</v>
      </c>
      <c r="D716" t="b">
        <f>TRUE()</f>
        <v>1</v>
      </c>
      <c r="E716" t="b">
        <f>COUNTIF(connections!A:A, A716) &gt; 0</f>
        <v>0</v>
      </c>
      <c r="G716" t="s">
        <v>2526</v>
      </c>
    </row>
    <row r="717" spans="1:10" ht="15" customHeight="1" x14ac:dyDescent="0.25">
      <c r="A717" t="s">
        <v>2527</v>
      </c>
      <c r="B717">
        <v>2023</v>
      </c>
      <c r="C717" t="s">
        <v>176</v>
      </c>
      <c r="D717" t="b">
        <f>TRUE()</f>
        <v>1</v>
      </c>
      <c r="E717" t="b">
        <f>COUNTIF(connections!A:A, A717) &gt; 0</f>
        <v>0</v>
      </c>
      <c r="F717" t="s">
        <v>277</v>
      </c>
      <c r="G717" t="s">
        <v>2528</v>
      </c>
      <c r="H717" t="s">
        <v>187</v>
      </c>
      <c r="I717" t="s">
        <v>2529</v>
      </c>
      <c r="J717" s="1" t="s">
        <v>2530</v>
      </c>
    </row>
    <row r="718" spans="1:10" ht="15" customHeight="1" x14ac:dyDescent="0.25">
      <c r="A718" t="s">
        <v>2531</v>
      </c>
      <c r="B718">
        <v>2016</v>
      </c>
      <c r="C718" t="s">
        <v>176</v>
      </c>
      <c r="D718" t="b">
        <f>TRUE()</f>
        <v>1</v>
      </c>
      <c r="E718" t="b">
        <f>COUNTIF(connections!A:A, A718) &gt; 0</f>
        <v>0</v>
      </c>
      <c r="F718" t="s">
        <v>787</v>
      </c>
      <c r="G718" t="s">
        <v>2532</v>
      </c>
      <c r="H718" t="s">
        <v>187</v>
      </c>
      <c r="I718" t="s">
        <v>2533</v>
      </c>
      <c r="J718" s="1" t="s">
        <v>2534</v>
      </c>
    </row>
    <row r="719" spans="1:10" ht="15" customHeight="1" x14ac:dyDescent="0.25">
      <c r="A719" t="s">
        <v>2535</v>
      </c>
      <c r="B719">
        <v>1982</v>
      </c>
      <c r="C719" t="s">
        <v>179</v>
      </c>
      <c r="D719" t="b">
        <f>TRUE()</f>
        <v>1</v>
      </c>
      <c r="E719" t="b">
        <f>COUNTIF(connections!A:A, A719) &gt; 0</f>
        <v>1</v>
      </c>
      <c r="G719" t="s">
        <v>2536</v>
      </c>
      <c r="J719" s="11" t="s">
        <v>2537</v>
      </c>
    </row>
    <row r="720" spans="1:10" ht="15" customHeight="1" x14ac:dyDescent="0.25">
      <c r="A720" t="s">
        <v>2538</v>
      </c>
      <c r="B720">
        <v>2021</v>
      </c>
      <c r="C720" t="s">
        <v>176</v>
      </c>
      <c r="D720" t="b">
        <f>TRUE()</f>
        <v>1</v>
      </c>
      <c r="E720" t="b">
        <f>COUNTIF(connections!A:A, A720) &gt; 0</f>
        <v>1</v>
      </c>
      <c r="G720" t="s">
        <v>2539</v>
      </c>
      <c r="J720" s="11" t="s">
        <v>2540</v>
      </c>
    </row>
    <row r="721" spans="1:10" ht="15" customHeight="1" x14ac:dyDescent="0.25">
      <c r="A721" t="s">
        <v>2541</v>
      </c>
      <c r="B721">
        <v>2025</v>
      </c>
      <c r="C721" t="s">
        <v>176</v>
      </c>
      <c r="D721" t="b">
        <f>TRUE()</f>
        <v>1</v>
      </c>
      <c r="E721" t="b">
        <f>COUNTIF(connections!A:A, A721) &gt; 0</f>
        <v>0</v>
      </c>
      <c r="G721" t="s">
        <v>2542</v>
      </c>
      <c r="J721" s="11" t="s">
        <v>2543</v>
      </c>
    </row>
    <row r="722" spans="1:10" ht="15" customHeight="1" x14ac:dyDescent="0.25">
      <c r="A722" t="s">
        <v>2544</v>
      </c>
      <c r="B722">
        <v>2013</v>
      </c>
      <c r="C722" t="s">
        <v>179</v>
      </c>
      <c r="D722" t="b">
        <f>TRUE()</f>
        <v>1</v>
      </c>
      <c r="E722" t="b">
        <f>COUNTIF(connections!A:A, A722) &gt; 0</f>
        <v>0</v>
      </c>
      <c r="G722" t="s">
        <v>2545</v>
      </c>
      <c r="J722" s="1" t="s">
        <v>2546</v>
      </c>
    </row>
    <row r="723" spans="1:10" ht="15" customHeight="1" x14ac:dyDescent="0.25">
      <c r="A723" t="s">
        <v>2547</v>
      </c>
      <c r="B723">
        <v>2022</v>
      </c>
      <c r="C723" t="s">
        <v>176</v>
      </c>
      <c r="D723" t="b">
        <f>TRUE()</f>
        <v>1</v>
      </c>
      <c r="E723" t="b">
        <f>COUNTIF(connections!A:A, A723) &gt; 0</f>
        <v>0</v>
      </c>
      <c r="G723" t="s">
        <v>2548</v>
      </c>
      <c r="H723" t="s">
        <v>187</v>
      </c>
      <c r="I723" t="s">
        <v>2549</v>
      </c>
      <c r="J723" s="1" t="s">
        <v>2550</v>
      </c>
    </row>
    <row r="724" spans="1:10" ht="15" customHeight="1" x14ac:dyDescent="0.25">
      <c r="A724" t="s">
        <v>2551</v>
      </c>
      <c r="B724">
        <v>2025</v>
      </c>
      <c r="C724" t="s">
        <v>176</v>
      </c>
      <c r="D724" t="b">
        <f>TRUE()</f>
        <v>1</v>
      </c>
      <c r="E724" t="b">
        <f>COUNTIF(connections!A:A, A724) &gt; 0</f>
        <v>0</v>
      </c>
      <c r="G724" t="s">
        <v>2552</v>
      </c>
      <c r="H724" t="s">
        <v>187</v>
      </c>
      <c r="I724" t="s">
        <v>2553</v>
      </c>
      <c r="J724" s="1" t="s">
        <v>2554</v>
      </c>
    </row>
    <row r="725" spans="1:10" ht="15" customHeight="1" x14ac:dyDescent="0.25">
      <c r="A725" t="s">
        <v>2555</v>
      </c>
      <c r="B725">
        <v>2021</v>
      </c>
      <c r="C725" t="s">
        <v>176</v>
      </c>
      <c r="D725" t="b">
        <f>TRUE()</f>
        <v>1</v>
      </c>
      <c r="E725" t="b">
        <f>COUNTIF(connections!A:A, A725) &gt; 0</f>
        <v>0</v>
      </c>
      <c r="G725" t="s">
        <v>2556</v>
      </c>
    </row>
    <row r="726" spans="1:10" ht="15" customHeight="1" x14ac:dyDescent="0.25">
      <c r="A726" t="s">
        <v>2557</v>
      </c>
      <c r="B726">
        <v>2018</v>
      </c>
      <c r="C726" t="s">
        <v>176</v>
      </c>
      <c r="D726" t="b">
        <f>TRUE()</f>
        <v>1</v>
      </c>
      <c r="E726" t="b">
        <f>COUNTIF(connections!A:A, A726) &gt; 0</f>
        <v>1</v>
      </c>
      <c r="G726" t="s">
        <v>2558</v>
      </c>
      <c r="H726" t="s">
        <v>187</v>
      </c>
      <c r="I726" t="s">
        <v>2559</v>
      </c>
      <c r="J726" s="1" t="s">
        <v>2560</v>
      </c>
    </row>
    <row r="727" spans="1:10" ht="15" customHeight="1" x14ac:dyDescent="0.25">
      <c r="A727" t="s">
        <v>2561</v>
      </c>
      <c r="B727">
        <v>2026</v>
      </c>
      <c r="C727" t="s">
        <v>222</v>
      </c>
      <c r="D727" t="b">
        <f>TRUE()</f>
        <v>1</v>
      </c>
      <c r="E727" t="b">
        <f>COUNTIF(connections!A:A, A727) &gt; 0</f>
        <v>0</v>
      </c>
      <c r="G727" t="s">
        <v>2562</v>
      </c>
      <c r="J727" s="1" t="s">
        <v>2563</v>
      </c>
    </row>
    <row r="728" spans="1:10" ht="15" customHeight="1" x14ac:dyDescent="0.25">
      <c r="A728" t="s">
        <v>2564</v>
      </c>
      <c r="B728">
        <v>2020</v>
      </c>
      <c r="C728" t="s">
        <v>182</v>
      </c>
      <c r="D728" t="b">
        <f>TRUE()</f>
        <v>1</v>
      </c>
      <c r="E728" t="b">
        <f>COUNTIF(connections!A:A, A728) &gt; 0</f>
        <v>0</v>
      </c>
      <c r="G728" t="s">
        <v>2565</v>
      </c>
      <c r="H728" t="s">
        <v>187</v>
      </c>
      <c r="I728" t="s">
        <v>2566</v>
      </c>
      <c r="J728" s="1" t="s">
        <v>2567</v>
      </c>
    </row>
    <row r="729" spans="1:10" ht="15" customHeight="1" x14ac:dyDescent="0.25">
      <c r="A729" t="s">
        <v>2568</v>
      </c>
      <c r="B729">
        <v>2023</v>
      </c>
      <c r="C729" t="s">
        <v>176</v>
      </c>
      <c r="D729" t="b">
        <f>TRUE()</f>
        <v>1</v>
      </c>
      <c r="E729" t="b">
        <f>COUNTIF(connections!A:A, A729) &gt; 0</f>
        <v>0</v>
      </c>
      <c r="G729" t="s">
        <v>2569</v>
      </c>
      <c r="H729" t="s">
        <v>187</v>
      </c>
      <c r="I729" t="s">
        <v>2570</v>
      </c>
      <c r="J729" s="1" t="s">
        <v>2571</v>
      </c>
    </row>
    <row r="730" spans="1:10" ht="14.25" customHeight="1" x14ac:dyDescent="0.25">
      <c r="A730" t="s">
        <v>2572</v>
      </c>
      <c r="B730">
        <v>1998</v>
      </c>
      <c r="C730" t="s">
        <v>179</v>
      </c>
      <c r="D730" t="b">
        <f>TRUE()</f>
        <v>1</v>
      </c>
      <c r="E730" t="b">
        <f>COUNTIF(connections!A:A, A730) &gt; 0</f>
        <v>1</v>
      </c>
      <c r="G730" t="s">
        <v>2573</v>
      </c>
      <c r="H730" t="s">
        <v>187</v>
      </c>
      <c r="I730" t="s">
        <v>2574</v>
      </c>
      <c r="J730" s="1" t="s">
        <v>2575</v>
      </c>
    </row>
    <row r="731" spans="1:10" ht="15" customHeight="1" x14ac:dyDescent="0.25">
      <c r="A731" t="s">
        <v>2576</v>
      </c>
      <c r="B731">
        <v>2026</v>
      </c>
      <c r="C731" t="s">
        <v>182</v>
      </c>
      <c r="D731" t="b">
        <f>TRUE()</f>
        <v>1</v>
      </c>
      <c r="E731" t="b">
        <f>COUNTIF(connections!A:A, A731) &gt; 0</f>
        <v>0</v>
      </c>
      <c r="G731" t="s">
        <v>2577</v>
      </c>
      <c r="J731" s="11" t="s">
        <v>2578</v>
      </c>
    </row>
    <row r="732" spans="1:10" x14ac:dyDescent="0.25">
      <c r="A732" t="s">
        <v>2579</v>
      </c>
      <c r="B732">
        <v>2017</v>
      </c>
      <c r="C732" t="s">
        <v>179</v>
      </c>
      <c r="D732" t="b">
        <f>TRUE()</f>
        <v>1</v>
      </c>
      <c r="E732" t="b">
        <f>COUNTIF(connections!A:A, A732) &gt; 0</f>
        <v>1</v>
      </c>
      <c r="G732" t="s">
        <v>2580</v>
      </c>
      <c r="H732" t="s">
        <v>187</v>
      </c>
      <c r="I732" t="s">
        <v>2581</v>
      </c>
      <c r="J732" s="1" t="s">
        <v>2582</v>
      </c>
    </row>
    <row r="733" spans="1:10" x14ac:dyDescent="0.25">
      <c r="A733" t="s">
        <v>2583</v>
      </c>
      <c r="B733">
        <v>2026</v>
      </c>
      <c r="C733" t="s">
        <v>222</v>
      </c>
      <c r="D733" t="b">
        <f>FALSE()</f>
        <v>0</v>
      </c>
      <c r="E733" t="b">
        <f>COUNTIF(connections!A:A, A733) &gt; 0</f>
        <v>0</v>
      </c>
      <c r="F733" t="s">
        <v>2584</v>
      </c>
      <c r="G733" t="s">
        <v>2585</v>
      </c>
      <c r="H733" t="s">
        <v>187</v>
      </c>
      <c r="I733" t="s">
        <v>2586</v>
      </c>
      <c r="J733" s="1" t="s">
        <v>2587</v>
      </c>
    </row>
    <row r="734" spans="1:10" x14ac:dyDescent="0.25">
      <c r="A734" t="s">
        <v>2588</v>
      </c>
      <c r="B734">
        <v>2006</v>
      </c>
      <c r="C734" t="s">
        <v>179</v>
      </c>
      <c r="D734" t="b">
        <f>TRUE()</f>
        <v>1</v>
      </c>
      <c r="E734" t="b">
        <f>COUNTIF(connections!A:A, A734) &gt; 0</f>
        <v>0</v>
      </c>
      <c r="G734" t="s">
        <v>2589</v>
      </c>
      <c r="H734" t="s">
        <v>187</v>
      </c>
      <c r="I734" t="s">
        <v>2590</v>
      </c>
    </row>
    <row r="735" spans="1:10" x14ac:dyDescent="0.25">
      <c r="A735" t="s">
        <v>2591</v>
      </c>
      <c r="B735">
        <v>2023</v>
      </c>
      <c r="C735" t="s">
        <v>176</v>
      </c>
      <c r="D735" t="b">
        <f>TRUE()</f>
        <v>1</v>
      </c>
      <c r="E735" t="b">
        <f>COUNTIF(connections!A:A, A735) &gt; 0</f>
        <v>0</v>
      </c>
      <c r="F735" t="s">
        <v>614</v>
      </c>
      <c r="G735" t="s">
        <v>2592</v>
      </c>
      <c r="H735" t="s">
        <v>187</v>
      </c>
      <c r="I735" t="s">
        <v>2593</v>
      </c>
      <c r="J735" s="1" t="s">
        <v>2594</v>
      </c>
    </row>
    <row r="736" spans="1:10" x14ac:dyDescent="0.25">
      <c r="A736" t="s">
        <v>2595</v>
      </c>
      <c r="B736">
        <v>2019</v>
      </c>
      <c r="C736" t="s">
        <v>222</v>
      </c>
      <c r="D736" t="b">
        <f>TRUE()</f>
        <v>1</v>
      </c>
      <c r="E736" t="b">
        <f>COUNTIF(connections!A:A, A736) &gt; 0</f>
        <v>1</v>
      </c>
      <c r="G736" t="s">
        <v>2596</v>
      </c>
    </row>
    <row r="737" spans="1:10" x14ac:dyDescent="0.25">
      <c r="A737" t="s">
        <v>2597</v>
      </c>
      <c r="B737">
        <v>2026</v>
      </c>
      <c r="C737" t="s">
        <v>176</v>
      </c>
      <c r="D737" t="b">
        <v>1</v>
      </c>
      <c r="E737" t="b">
        <f>COUNTIF(connections!A:A, A737) &gt; 0</f>
        <v>0</v>
      </c>
      <c r="G737" t="s">
        <v>2598</v>
      </c>
      <c r="J737" s="11" t="s">
        <v>2599</v>
      </c>
    </row>
    <row r="738" spans="1:10" x14ac:dyDescent="0.25">
      <c r="A738" t="s">
        <v>2600</v>
      </c>
      <c r="B738">
        <v>2024</v>
      </c>
      <c r="C738" t="s">
        <v>176</v>
      </c>
      <c r="D738" t="b">
        <f>TRUE()</f>
        <v>1</v>
      </c>
      <c r="E738" t="b">
        <f>COUNTIF(connections!A:A, A738) &gt; 0</f>
        <v>0</v>
      </c>
      <c r="G738" t="s">
        <v>2601</v>
      </c>
      <c r="H738" t="s">
        <v>187</v>
      </c>
      <c r="I738" t="s">
        <v>2602</v>
      </c>
      <c r="J738" s="1" t="s">
        <v>2603</v>
      </c>
    </row>
    <row r="739" spans="1:10" x14ac:dyDescent="0.25">
      <c r="A739" t="s">
        <v>2604</v>
      </c>
      <c r="B739">
        <v>2024</v>
      </c>
      <c r="C739" t="s">
        <v>176</v>
      </c>
      <c r="D739" t="b">
        <f>TRUE()</f>
        <v>1</v>
      </c>
      <c r="E739" t="b">
        <f>COUNTIF(connections!A:A, A739) &gt; 0</f>
        <v>0</v>
      </c>
      <c r="G739" t="s">
        <v>2605</v>
      </c>
    </row>
    <row r="740" spans="1:10" x14ac:dyDescent="0.25">
      <c r="A740" t="s">
        <v>2606</v>
      </c>
      <c r="B740">
        <v>2022</v>
      </c>
      <c r="C740" t="s">
        <v>222</v>
      </c>
      <c r="D740" t="b">
        <f>TRUE()</f>
        <v>1</v>
      </c>
      <c r="E740" t="b">
        <f>COUNTIF(connections!A:A, A740) &gt; 0</f>
        <v>0</v>
      </c>
      <c r="G740" t="s">
        <v>2607</v>
      </c>
      <c r="H740" t="s">
        <v>187</v>
      </c>
      <c r="I740" t="s">
        <v>2608</v>
      </c>
      <c r="J740" s="1" t="s">
        <v>2609</v>
      </c>
    </row>
    <row r="741" spans="1:10" x14ac:dyDescent="0.25">
      <c r="A741" t="s">
        <v>2610</v>
      </c>
      <c r="B741">
        <v>2026</v>
      </c>
      <c r="C741" t="s">
        <v>176</v>
      </c>
      <c r="D741" t="b">
        <f>TRUE()</f>
        <v>1</v>
      </c>
      <c r="E741" t="b">
        <f>COUNTIF(connections!A:A, A741) &gt; 0</f>
        <v>0</v>
      </c>
      <c r="G741" t="s">
        <v>2611</v>
      </c>
      <c r="J741" s="11" t="s">
        <v>2612</v>
      </c>
    </row>
    <row r="742" spans="1:10" x14ac:dyDescent="0.25">
      <c r="A742" t="s">
        <v>2613</v>
      </c>
      <c r="B742">
        <v>2024</v>
      </c>
      <c r="C742" t="s">
        <v>176</v>
      </c>
      <c r="D742" t="b">
        <f>TRUE()</f>
        <v>1</v>
      </c>
      <c r="E742" t="b">
        <f>COUNTIF(connections!A:A, A742) &gt; 0</f>
        <v>0</v>
      </c>
      <c r="G742" t="s">
        <v>2614</v>
      </c>
    </row>
    <row r="743" spans="1:10" x14ac:dyDescent="0.25">
      <c r="A743" t="s">
        <v>2615</v>
      </c>
      <c r="B743">
        <v>2025</v>
      </c>
      <c r="C743" t="s">
        <v>222</v>
      </c>
      <c r="D743" t="b">
        <f>TRUE()</f>
        <v>1</v>
      </c>
      <c r="E743" t="b">
        <f>COUNTIF(connections!A:A, A743) &gt; 0</f>
        <v>1</v>
      </c>
      <c r="G743" t="s">
        <v>2616</v>
      </c>
    </row>
    <row r="744" spans="1:10" x14ac:dyDescent="0.25">
      <c r="A744" t="s">
        <v>160</v>
      </c>
      <c r="B744">
        <v>2011</v>
      </c>
      <c r="C744" t="s">
        <v>176</v>
      </c>
      <c r="D744" t="b">
        <f>TRUE()</f>
        <v>1</v>
      </c>
      <c r="E744" t="b">
        <f>COUNTIF(connections!A:A, A744) &gt; 0</f>
        <v>1</v>
      </c>
      <c r="G744" t="s">
        <v>2617</v>
      </c>
      <c r="H744" t="s">
        <v>187</v>
      </c>
      <c r="I744" t="s">
        <v>2618</v>
      </c>
      <c r="J744" s="1" t="s">
        <v>2619</v>
      </c>
    </row>
    <row r="745" spans="1:10" x14ac:dyDescent="0.25">
      <c r="A745" t="s">
        <v>2620</v>
      </c>
      <c r="B745">
        <v>2014</v>
      </c>
      <c r="C745" t="s">
        <v>176</v>
      </c>
      <c r="D745" t="b">
        <f>TRUE()</f>
        <v>1</v>
      </c>
      <c r="E745" t="b">
        <f>COUNTIF(connections!A:A, A745) &gt; 0</f>
        <v>0</v>
      </c>
      <c r="G745" t="s">
        <v>2621</v>
      </c>
      <c r="H745" t="s">
        <v>187</v>
      </c>
      <c r="I745" t="s">
        <v>2622</v>
      </c>
      <c r="J745" s="1" t="s">
        <v>2623</v>
      </c>
    </row>
    <row r="746" spans="1:10" x14ac:dyDescent="0.25">
      <c r="A746" t="s">
        <v>2624</v>
      </c>
      <c r="B746">
        <v>2021</v>
      </c>
      <c r="C746" t="s">
        <v>179</v>
      </c>
      <c r="D746" t="b">
        <f>TRUE()</f>
        <v>1</v>
      </c>
      <c r="E746" t="b">
        <f>COUNTIF(connections!A:A, A746) &gt; 0</f>
        <v>0</v>
      </c>
      <c r="G746" t="s">
        <v>2625</v>
      </c>
    </row>
    <row r="747" spans="1:10" x14ac:dyDescent="0.25">
      <c r="A747" t="s">
        <v>2626</v>
      </c>
      <c r="B747">
        <v>2000</v>
      </c>
      <c r="C747" t="s">
        <v>179</v>
      </c>
      <c r="D747" t="b">
        <f>TRUE()</f>
        <v>1</v>
      </c>
      <c r="E747" t="b">
        <f>COUNTIF(connections!A:A, A747) &gt; 0</f>
        <v>1</v>
      </c>
      <c r="G747" t="s">
        <v>2627</v>
      </c>
      <c r="H747" t="s">
        <v>187</v>
      </c>
      <c r="I747" t="s">
        <v>2628</v>
      </c>
    </row>
    <row r="748" spans="1:10" x14ac:dyDescent="0.25">
      <c r="A748" t="s">
        <v>2629</v>
      </c>
      <c r="B748">
        <v>2025</v>
      </c>
      <c r="C748" t="s">
        <v>182</v>
      </c>
      <c r="D748" t="b">
        <f>FALSE()</f>
        <v>0</v>
      </c>
      <c r="E748" t="b">
        <f>COUNTIF(connections!A:A, A748) &gt; 0</f>
        <v>0</v>
      </c>
      <c r="F748" t="s">
        <v>1077</v>
      </c>
      <c r="G748" t="s">
        <v>2630</v>
      </c>
    </row>
    <row r="749" spans="1:10" x14ac:dyDescent="0.25">
      <c r="A749" t="s">
        <v>2631</v>
      </c>
      <c r="B749">
        <v>2016</v>
      </c>
      <c r="C749" t="s">
        <v>176</v>
      </c>
      <c r="D749" t="b">
        <f>TRUE()</f>
        <v>1</v>
      </c>
      <c r="E749" t="b">
        <f>COUNTIF(connections!A:A, A749) &gt; 0</f>
        <v>0</v>
      </c>
      <c r="G749" t="s">
        <v>2632</v>
      </c>
      <c r="H749" t="s">
        <v>187</v>
      </c>
      <c r="I749" t="s">
        <v>2633</v>
      </c>
      <c r="J749" s="1" t="s">
        <v>2634</v>
      </c>
    </row>
    <row r="750" spans="1:10" x14ac:dyDescent="0.25">
      <c r="A750" t="s">
        <v>2635</v>
      </c>
      <c r="B750">
        <v>2014</v>
      </c>
      <c r="C750" t="s">
        <v>179</v>
      </c>
      <c r="D750" t="b">
        <f>TRUE()</f>
        <v>1</v>
      </c>
      <c r="E750" t="b">
        <f>COUNTIF(connections!A:A, A750) &gt; 0</f>
        <v>1</v>
      </c>
      <c r="G750" t="s">
        <v>2636</v>
      </c>
      <c r="H750" t="s">
        <v>187</v>
      </c>
      <c r="I750" t="s">
        <v>2637</v>
      </c>
    </row>
    <row r="751" spans="1:10" x14ac:dyDescent="0.25">
      <c r="A751" t="s">
        <v>2638</v>
      </c>
      <c r="B751">
        <v>2013</v>
      </c>
      <c r="C751" t="s">
        <v>179</v>
      </c>
      <c r="D751" t="b">
        <f>TRUE()</f>
        <v>1</v>
      </c>
      <c r="E751" t="b">
        <f>COUNTIF(connections!A:A, A751) &gt; 0</f>
        <v>0</v>
      </c>
      <c r="G751" t="s">
        <v>2639</v>
      </c>
    </row>
    <row r="752" spans="1:10" x14ac:dyDescent="0.25">
      <c r="A752" t="s">
        <v>2640</v>
      </c>
      <c r="B752">
        <v>2025</v>
      </c>
      <c r="C752" t="s">
        <v>222</v>
      </c>
      <c r="D752" t="b">
        <f>FALSE()</f>
        <v>0</v>
      </c>
      <c r="E752" t="b">
        <f>COUNTIF(connections!A:A, A752) &gt; 0</f>
        <v>0</v>
      </c>
      <c r="G752" t="s">
        <v>2641</v>
      </c>
      <c r="H752" t="s">
        <v>187</v>
      </c>
      <c r="I752" t="s">
        <v>2642</v>
      </c>
      <c r="J752" s="1" t="s">
        <v>2643</v>
      </c>
    </row>
    <row r="753" spans="1:10" x14ac:dyDescent="0.25">
      <c r="A753" t="s">
        <v>2644</v>
      </c>
      <c r="B753">
        <v>2024</v>
      </c>
      <c r="C753" t="s">
        <v>222</v>
      </c>
      <c r="D753" t="b">
        <f>TRUE()</f>
        <v>1</v>
      </c>
      <c r="E753" t="b">
        <f>COUNTIF(connections!A:A, A753) &gt; 0</f>
        <v>0</v>
      </c>
      <c r="G753" t="s">
        <v>2645</v>
      </c>
    </row>
    <row r="754" spans="1:10" x14ac:dyDescent="0.25">
      <c r="A754" t="s">
        <v>2646</v>
      </c>
      <c r="B754">
        <v>2023</v>
      </c>
      <c r="C754" t="s">
        <v>176</v>
      </c>
      <c r="D754" t="b">
        <f>TRUE()</f>
        <v>1</v>
      </c>
      <c r="E754" t="b">
        <f>COUNTIF(connections!A:A, A754) &gt; 0</f>
        <v>0</v>
      </c>
      <c r="G754" t="s">
        <v>2647</v>
      </c>
      <c r="J754" s="11" t="s">
        <v>2648</v>
      </c>
    </row>
    <row r="755" spans="1:10" x14ac:dyDescent="0.25">
      <c r="A755" t="s">
        <v>2649</v>
      </c>
      <c r="B755">
        <v>2021</v>
      </c>
      <c r="C755" t="s">
        <v>222</v>
      </c>
      <c r="D755" t="b">
        <f>TRUE()</f>
        <v>1</v>
      </c>
      <c r="E755" t="b">
        <f>COUNTIF(connections!A:A, A755) &gt; 0</f>
        <v>0</v>
      </c>
      <c r="G755" t="s">
        <v>2650</v>
      </c>
      <c r="H755" t="s">
        <v>187</v>
      </c>
      <c r="I755" t="s">
        <v>2651</v>
      </c>
      <c r="J755" s="1" t="s">
        <v>2652</v>
      </c>
    </row>
    <row r="756" spans="1:10" x14ac:dyDescent="0.25">
      <c r="A756" t="s">
        <v>2653</v>
      </c>
      <c r="B756">
        <v>2019</v>
      </c>
      <c r="C756" t="s">
        <v>222</v>
      </c>
      <c r="D756" t="b">
        <f>TRUE()</f>
        <v>1</v>
      </c>
      <c r="E756" t="b">
        <f>COUNTIF(connections!A:A, A756) &gt; 0</f>
        <v>1</v>
      </c>
      <c r="G756" t="s">
        <v>2654</v>
      </c>
      <c r="H756" t="s">
        <v>187</v>
      </c>
      <c r="I756" t="s">
        <v>2655</v>
      </c>
      <c r="J756" s="1" t="s">
        <v>2656</v>
      </c>
    </row>
    <row r="757" spans="1:10" x14ac:dyDescent="0.25">
      <c r="A757" t="s">
        <v>2657</v>
      </c>
      <c r="B757">
        <v>2004</v>
      </c>
      <c r="C757" t="s">
        <v>179</v>
      </c>
      <c r="D757" t="b">
        <f>TRUE()</f>
        <v>1</v>
      </c>
      <c r="E757" t="b">
        <f>COUNTIF(connections!A:A, A757) &gt; 0</f>
        <v>0</v>
      </c>
      <c r="G757" t="s">
        <v>2658</v>
      </c>
      <c r="H757" t="s">
        <v>187</v>
      </c>
      <c r="I757" t="s">
        <v>2659</v>
      </c>
    </row>
    <row r="758" spans="1:10" x14ac:dyDescent="0.25">
      <c r="A758" t="s">
        <v>2660</v>
      </c>
      <c r="B758">
        <v>2023</v>
      </c>
      <c r="C758" t="s">
        <v>222</v>
      </c>
      <c r="D758" t="b">
        <f>TRUE()</f>
        <v>1</v>
      </c>
      <c r="E758" t="b">
        <f>COUNTIF(connections!A:A, A758) &gt; 0</f>
        <v>0</v>
      </c>
      <c r="F758" t="s">
        <v>1165</v>
      </c>
      <c r="G758" t="s">
        <v>2661</v>
      </c>
      <c r="H758" t="s">
        <v>187</v>
      </c>
      <c r="I758" t="s">
        <v>2662</v>
      </c>
      <c r="J758" s="1" t="s">
        <v>2663</v>
      </c>
    </row>
    <row r="759" spans="1:10" x14ac:dyDescent="0.25">
      <c r="A759" t="s">
        <v>2664</v>
      </c>
      <c r="B759">
        <v>2024</v>
      </c>
      <c r="C759" t="s">
        <v>176</v>
      </c>
      <c r="D759" t="b">
        <f>TRUE()</f>
        <v>1</v>
      </c>
      <c r="E759" t="b">
        <f>COUNTIF(connections!A:A, A759) &gt; 0</f>
        <v>0</v>
      </c>
      <c r="G759" t="s">
        <v>2665</v>
      </c>
      <c r="H759" t="s">
        <v>187</v>
      </c>
      <c r="I759" t="s">
        <v>2666</v>
      </c>
      <c r="J759" s="1" t="s">
        <v>2667</v>
      </c>
    </row>
    <row r="760" spans="1:10" x14ac:dyDescent="0.25">
      <c r="A760" t="s">
        <v>2668</v>
      </c>
      <c r="B760">
        <v>2025</v>
      </c>
      <c r="C760" t="s">
        <v>182</v>
      </c>
      <c r="D760" t="b">
        <f>TRUE()</f>
        <v>1</v>
      </c>
      <c r="E760" t="b">
        <f>COUNTIF(connections!A:A, A760) &gt; 0</f>
        <v>0</v>
      </c>
      <c r="G760" t="s">
        <v>2669</v>
      </c>
    </row>
    <row r="761" spans="1:10" x14ac:dyDescent="0.25">
      <c r="A761" t="s">
        <v>2670</v>
      </c>
      <c r="B761">
        <v>2024</v>
      </c>
      <c r="C761" t="s">
        <v>176</v>
      </c>
      <c r="D761" t="b">
        <f>TRUE()</f>
        <v>1</v>
      </c>
      <c r="E761" t="b">
        <f>COUNTIF(connections!A:A, A761) &gt; 0</f>
        <v>0</v>
      </c>
      <c r="G761" t="s">
        <v>2671</v>
      </c>
    </row>
    <row r="762" spans="1:10" x14ac:dyDescent="0.25">
      <c r="A762" t="s">
        <v>2672</v>
      </c>
      <c r="B762">
        <v>2026</v>
      </c>
      <c r="C762" t="s">
        <v>182</v>
      </c>
      <c r="D762" t="b">
        <f>TRUE()</f>
        <v>1</v>
      </c>
      <c r="E762" t="b">
        <f>COUNTIF(connections!A:A, A762) &gt; 0</f>
        <v>0</v>
      </c>
      <c r="F762" t="s">
        <v>506</v>
      </c>
      <c r="G762" t="s">
        <v>2673</v>
      </c>
      <c r="H762" t="s">
        <v>187</v>
      </c>
      <c r="I762" t="s">
        <v>2674</v>
      </c>
      <c r="J762" s="1" t="s">
        <v>2675</v>
      </c>
    </row>
    <row r="763" spans="1:10" x14ac:dyDescent="0.25">
      <c r="A763" t="s">
        <v>2676</v>
      </c>
      <c r="B763">
        <v>2022</v>
      </c>
      <c r="C763" t="s">
        <v>176</v>
      </c>
      <c r="D763" t="b">
        <f>TRUE()</f>
        <v>1</v>
      </c>
      <c r="E763" t="b">
        <f>COUNTIF(connections!A:A, A763) &gt; 0</f>
        <v>1</v>
      </c>
      <c r="G763" t="s">
        <v>2677</v>
      </c>
      <c r="H763" t="s">
        <v>187</v>
      </c>
      <c r="I763" t="s">
        <v>2678</v>
      </c>
      <c r="J763" s="1" t="s">
        <v>2679</v>
      </c>
    </row>
    <row r="764" spans="1:10" x14ac:dyDescent="0.25">
      <c r="A764" t="s">
        <v>2680</v>
      </c>
      <c r="B764">
        <v>2018</v>
      </c>
      <c r="C764" t="s">
        <v>176</v>
      </c>
      <c r="D764" t="b">
        <f>TRUE()</f>
        <v>1</v>
      </c>
      <c r="E764" t="b">
        <f>COUNTIF(connections!A:A, A764) &gt; 0</f>
        <v>0</v>
      </c>
      <c r="G764" t="s">
        <v>2681</v>
      </c>
    </row>
    <row r="765" spans="1:10" x14ac:dyDescent="0.25">
      <c r="A765" t="s">
        <v>2682</v>
      </c>
      <c r="B765">
        <v>2014</v>
      </c>
      <c r="C765" t="s">
        <v>179</v>
      </c>
      <c r="D765" t="b">
        <f>TRUE()</f>
        <v>1</v>
      </c>
      <c r="E765" t="b">
        <f>COUNTIF(connections!A:A, A765) &gt; 0</f>
        <v>0</v>
      </c>
      <c r="G765" t="s">
        <v>2683</v>
      </c>
      <c r="J765" s="11" t="s">
        <v>2684</v>
      </c>
    </row>
    <row r="766" spans="1:10" x14ac:dyDescent="0.25">
      <c r="A766" t="s">
        <v>2685</v>
      </c>
      <c r="B766">
        <v>2025</v>
      </c>
      <c r="C766" t="s">
        <v>222</v>
      </c>
      <c r="D766" t="b">
        <f>FALSE()</f>
        <v>0</v>
      </c>
      <c r="E766" t="b">
        <f>COUNTIF(connections!A:A, A766) &gt; 0</f>
        <v>0</v>
      </c>
      <c r="F766" t="s">
        <v>404</v>
      </c>
      <c r="G766" t="s">
        <v>2686</v>
      </c>
    </row>
    <row r="767" spans="1:10" x14ac:dyDescent="0.25">
      <c r="A767" t="s">
        <v>2687</v>
      </c>
      <c r="B767">
        <v>2025</v>
      </c>
      <c r="C767" t="s">
        <v>182</v>
      </c>
      <c r="D767" t="b">
        <f>TRUE()</f>
        <v>1</v>
      </c>
      <c r="E767" t="b">
        <f>COUNTIF(connections!A:A, A767) &gt; 0</f>
        <v>0</v>
      </c>
      <c r="G767" t="s">
        <v>2688</v>
      </c>
    </row>
    <row r="768" spans="1:10" x14ac:dyDescent="0.25">
      <c r="A768" t="s">
        <v>2689</v>
      </c>
      <c r="B768">
        <v>2023</v>
      </c>
      <c r="C768" t="s">
        <v>176</v>
      </c>
      <c r="D768" t="b">
        <f>TRUE()</f>
        <v>1</v>
      </c>
      <c r="E768" t="b">
        <f>COUNTIF(connections!A:A, A768) &gt; 0</f>
        <v>0</v>
      </c>
      <c r="G768" t="s">
        <v>2690</v>
      </c>
      <c r="J768" s="11" t="s">
        <v>2691</v>
      </c>
    </row>
    <row r="769" spans="1:10" x14ac:dyDescent="0.25">
      <c r="A769" t="s">
        <v>2692</v>
      </c>
      <c r="B769">
        <v>2023</v>
      </c>
      <c r="C769" t="s">
        <v>176</v>
      </c>
      <c r="D769" t="b">
        <f>TRUE()</f>
        <v>1</v>
      </c>
      <c r="E769" t="b">
        <f>COUNTIF(connections!A:A, A769) &gt; 0</f>
        <v>0</v>
      </c>
      <c r="G769" t="s">
        <v>2693</v>
      </c>
      <c r="H769" t="s">
        <v>187</v>
      </c>
      <c r="I769" t="s">
        <v>2694</v>
      </c>
      <c r="J769" s="1" t="s">
        <v>2695</v>
      </c>
    </row>
    <row r="770" spans="1:10" x14ac:dyDescent="0.25">
      <c r="A770" t="s">
        <v>2696</v>
      </c>
      <c r="B770">
        <v>2025</v>
      </c>
      <c r="C770" t="s">
        <v>182</v>
      </c>
      <c r="D770" t="b">
        <f>TRUE()</f>
        <v>1</v>
      </c>
      <c r="E770" t="b">
        <f>COUNTIF(connections!A:A, A770) &gt; 0</f>
        <v>1</v>
      </c>
      <c r="F770" t="s">
        <v>1031</v>
      </c>
      <c r="G770" t="s">
        <v>2697</v>
      </c>
      <c r="J770" s="11" t="s">
        <v>2698</v>
      </c>
    </row>
    <row r="771" spans="1:10" x14ac:dyDescent="0.25">
      <c r="A771" t="s">
        <v>2699</v>
      </c>
      <c r="B771">
        <v>2022</v>
      </c>
      <c r="C771" t="s">
        <v>176</v>
      </c>
      <c r="D771" t="b">
        <f>TRUE()</f>
        <v>1</v>
      </c>
      <c r="E771" t="b">
        <f>COUNTIF(connections!A:A, A771) &gt; 0</f>
        <v>1</v>
      </c>
      <c r="G771" t="s">
        <v>2700</v>
      </c>
      <c r="H771" t="s">
        <v>187</v>
      </c>
      <c r="I771" t="s">
        <v>2701</v>
      </c>
      <c r="J771" s="1" t="s">
        <v>2702</v>
      </c>
    </row>
    <row r="772" spans="1:10" x14ac:dyDescent="0.25">
      <c r="A772" t="s">
        <v>2703</v>
      </c>
      <c r="B772">
        <v>2022</v>
      </c>
      <c r="C772" t="s">
        <v>222</v>
      </c>
      <c r="D772" t="b">
        <f>TRUE()</f>
        <v>1</v>
      </c>
      <c r="E772" t="b">
        <f>COUNTIF(connections!A:A, A772) &gt; 0</f>
        <v>0</v>
      </c>
      <c r="G772" t="s">
        <v>2704</v>
      </c>
      <c r="H772" t="s">
        <v>187</v>
      </c>
      <c r="I772" t="s">
        <v>2705</v>
      </c>
      <c r="J772" s="1" t="s">
        <v>2706</v>
      </c>
    </row>
    <row r="773" spans="1:10" x14ac:dyDescent="0.25">
      <c r="A773" t="s">
        <v>2707</v>
      </c>
      <c r="B773">
        <v>1991</v>
      </c>
      <c r="C773" t="s">
        <v>176</v>
      </c>
      <c r="D773" t="b">
        <f>TRUE()</f>
        <v>1</v>
      </c>
      <c r="E773" t="b">
        <f>COUNTIF(connections!A:A, A773) &gt; 0</f>
        <v>1</v>
      </c>
      <c r="G773" t="s">
        <v>2708</v>
      </c>
      <c r="H773" t="s">
        <v>187</v>
      </c>
      <c r="I773" t="s">
        <v>2709</v>
      </c>
    </row>
    <row r="774" spans="1:10" x14ac:dyDescent="0.25">
      <c r="A774" t="s">
        <v>2710</v>
      </c>
      <c r="B774">
        <v>2019</v>
      </c>
      <c r="C774" t="s">
        <v>176</v>
      </c>
      <c r="D774" t="b">
        <f>TRUE()</f>
        <v>1</v>
      </c>
      <c r="E774" t="b">
        <f>COUNTIF(connections!A:A, A774) &gt; 0</f>
        <v>0</v>
      </c>
      <c r="G774" t="s">
        <v>2711</v>
      </c>
    </row>
    <row r="775" spans="1:10" x14ac:dyDescent="0.25">
      <c r="A775" t="s">
        <v>2712</v>
      </c>
      <c r="B775">
        <v>2022</v>
      </c>
      <c r="C775" t="s">
        <v>176</v>
      </c>
      <c r="D775" t="b">
        <f>TRUE()</f>
        <v>1</v>
      </c>
      <c r="E775" t="b">
        <f>COUNTIF(connections!A:A, A775) &gt; 0</f>
        <v>0</v>
      </c>
      <c r="G775" t="s">
        <v>2713</v>
      </c>
      <c r="H775" t="s">
        <v>187</v>
      </c>
      <c r="I775" t="s">
        <v>2714</v>
      </c>
      <c r="J775" s="1" t="s">
        <v>2715</v>
      </c>
    </row>
    <row r="776" spans="1:10" x14ac:dyDescent="0.25">
      <c r="A776" t="s">
        <v>2716</v>
      </c>
      <c r="B776">
        <v>1999</v>
      </c>
      <c r="C776" t="s">
        <v>179</v>
      </c>
      <c r="D776" t="b">
        <f>TRUE()</f>
        <v>1</v>
      </c>
      <c r="E776" t="b">
        <f>COUNTIF(connections!A:A, A776) &gt; 0</f>
        <v>1</v>
      </c>
      <c r="G776" t="s">
        <v>2717</v>
      </c>
      <c r="H776" t="s">
        <v>187</v>
      </c>
      <c r="I776" t="s">
        <v>2718</v>
      </c>
    </row>
    <row r="777" spans="1:10" x14ac:dyDescent="0.25">
      <c r="A777" t="s">
        <v>2719</v>
      </c>
      <c r="B777">
        <v>2002</v>
      </c>
      <c r="C777" t="s">
        <v>179</v>
      </c>
      <c r="D777" t="b">
        <f>TRUE()</f>
        <v>1</v>
      </c>
      <c r="E777" t="b">
        <f>COUNTIF(connections!A:A, A777) &gt; 0</f>
        <v>0</v>
      </c>
      <c r="G777" t="s">
        <v>2720</v>
      </c>
      <c r="H777" t="s">
        <v>187</v>
      </c>
      <c r="I777" t="s">
        <v>2721</v>
      </c>
    </row>
    <row r="778" spans="1:10" x14ac:dyDescent="0.25">
      <c r="A778" t="s">
        <v>2722</v>
      </c>
      <c r="B778">
        <v>1993</v>
      </c>
      <c r="C778" t="s">
        <v>179</v>
      </c>
      <c r="D778" t="b">
        <f>TRUE()</f>
        <v>1</v>
      </c>
      <c r="E778" t="b">
        <f>COUNTIF(connections!A:A, A778) &gt; 0</f>
        <v>1</v>
      </c>
      <c r="G778" t="s">
        <v>2723</v>
      </c>
      <c r="H778" t="s">
        <v>187</v>
      </c>
      <c r="I778" t="s">
        <v>2724</v>
      </c>
    </row>
    <row r="779" spans="1:10" x14ac:dyDescent="0.25">
      <c r="A779" t="s">
        <v>2725</v>
      </c>
      <c r="B779">
        <v>2025</v>
      </c>
      <c r="C779" t="s">
        <v>179</v>
      </c>
      <c r="D779" t="b">
        <f>TRUE()</f>
        <v>1</v>
      </c>
      <c r="E779" t="b">
        <f>COUNTIF(connections!A:A, A779) &gt; 0</f>
        <v>0</v>
      </c>
      <c r="F779" t="s">
        <v>328</v>
      </c>
      <c r="G779" t="s">
        <v>2726</v>
      </c>
      <c r="H779" t="s">
        <v>187</v>
      </c>
      <c r="I779" t="s">
        <v>2727</v>
      </c>
      <c r="J779" s="1" t="s">
        <v>2728</v>
      </c>
    </row>
    <row r="780" spans="1:10" x14ac:dyDescent="0.25">
      <c r="A780" t="s">
        <v>2729</v>
      </c>
      <c r="B780">
        <v>2024</v>
      </c>
      <c r="C780" t="s">
        <v>179</v>
      </c>
      <c r="D780" t="b">
        <f>TRUE()</f>
        <v>1</v>
      </c>
      <c r="E780" t="b">
        <f>COUNTIF(connections!A:A, A780) &gt; 0</f>
        <v>0</v>
      </c>
      <c r="F780" t="s">
        <v>328</v>
      </c>
      <c r="G780" t="s">
        <v>2730</v>
      </c>
      <c r="J780" s="11" t="s">
        <v>2731</v>
      </c>
    </row>
    <row r="781" spans="1:10" x14ac:dyDescent="0.25">
      <c r="A781" t="s">
        <v>2732</v>
      </c>
      <c r="B781">
        <v>2021</v>
      </c>
      <c r="C781" t="s">
        <v>179</v>
      </c>
      <c r="D781" t="b">
        <f>TRUE()</f>
        <v>1</v>
      </c>
      <c r="E781" t="b">
        <f>COUNTIF(connections!A:A, A781) &gt; 0</f>
        <v>0</v>
      </c>
      <c r="F781" t="s">
        <v>328</v>
      </c>
      <c r="G781" t="s">
        <v>2733</v>
      </c>
      <c r="J781" s="11" t="s">
        <v>2734</v>
      </c>
    </row>
    <row r="782" spans="1:10" x14ac:dyDescent="0.25">
      <c r="A782" t="s">
        <v>2735</v>
      </c>
      <c r="B782">
        <v>2022</v>
      </c>
      <c r="C782" t="s">
        <v>182</v>
      </c>
      <c r="D782" t="b">
        <f>TRUE()</f>
        <v>1</v>
      </c>
      <c r="E782" t="b">
        <f>COUNTIF(connections!A:A, A782) &gt; 0</f>
        <v>0</v>
      </c>
      <c r="F782" t="s">
        <v>328</v>
      </c>
      <c r="G782" t="s">
        <v>2736</v>
      </c>
    </row>
    <row r="783" spans="1:10" x14ac:dyDescent="0.25">
      <c r="A783" t="s">
        <v>2737</v>
      </c>
      <c r="B783">
        <v>2025</v>
      </c>
      <c r="C783" t="s">
        <v>222</v>
      </c>
      <c r="D783" t="b">
        <f>TRUE()</f>
        <v>1</v>
      </c>
      <c r="E783" t="b">
        <f>COUNTIF(connections!A:A, A783) &gt; 0</f>
        <v>0</v>
      </c>
      <c r="G783" t="s">
        <v>2738</v>
      </c>
    </row>
    <row r="784" spans="1:10" x14ac:dyDescent="0.25">
      <c r="A784" t="s">
        <v>2739</v>
      </c>
      <c r="B784">
        <v>2023</v>
      </c>
      <c r="C784" t="s">
        <v>182</v>
      </c>
      <c r="D784" t="b">
        <f>TRUE()</f>
        <v>1</v>
      </c>
      <c r="E784" t="b">
        <f>COUNTIF(connections!A:A, A784) &gt; 0</f>
        <v>0</v>
      </c>
      <c r="F784" t="s">
        <v>404</v>
      </c>
      <c r="G784" t="s">
        <v>2740</v>
      </c>
      <c r="H784" t="s">
        <v>187</v>
      </c>
      <c r="I784" t="s">
        <v>2741</v>
      </c>
      <c r="J784" s="1" t="s">
        <v>2742</v>
      </c>
    </row>
    <row r="785" spans="1:10" x14ac:dyDescent="0.25">
      <c r="A785" t="s">
        <v>2743</v>
      </c>
      <c r="B785">
        <v>2024</v>
      </c>
      <c r="C785" t="s">
        <v>222</v>
      </c>
      <c r="D785" t="b">
        <f>TRUE()</f>
        <v>1</v>
      </c>
      <c r="E785" t="b">
        <f>COUNTIF(connections!A:A, A785) &gt; 0</f>
        <v>0</v>
      </c>
      <c r="F785" t="s">
        <v>404</v>
      </c>
      <c r="G785" t="s">
        <v>2744</v>
      </c>
    </row>
    <row r="786" spans="1:10" x14ac:dyDescent="0.25">
      <c r="A786" t="s">
        <v>2745</v>
      </c>
      <c r="B786">
        <v>2017</v>
      </c>
      <c r="C786" t="s">
        <v>176</v>
      </c>
      <c r="D786" t="b">
        <f>TRUE()</f>
        <v>1</v>
      </c>
      <c r="E786" t="b">
        <f>COUNTIF(connections!A:A, A786) &gt; 0</f>
        <v>0</v>
      </c>
      <c r="G786" t="s">
        <v>2746</v>
      </c>
      <c r="J786" s="11" t="s">
        <v>2747</v>
      </c>
    </row>
    <row r="787" spans="1:10" x14ac:dyDescent="0.25">
      <c r="A787" t="s">
        <v>2748</v>
      </c>
      <c r="B787">
        <v>2014</v>
      </c>
      <c r="C787" t="s">
        <v>176</v>
      </c>
      <c r="D787" t="b">
        <f>TRUE()</f>
        <v>1</v>
      </c>
      <c r="E787" t="b">
        <f>COUNTIF(connections!A:A, A787) &gt; 0</f>
        <v>1</v>
      </c>
      <c r="G787" t="s">
        <v>2749</v>
      </c>
      <c r="H787" t="s">
        <v>187</v>
      </c>
      <c r="I787" t="s">
        <v>2750</v>
      </c>
      <c r="J787" s="1" t="s">
        <v>2751</v>
      </c>
    </row>
    <row r="788" spans="1:10" x14ac:dyDescent="0.25">
      <c r="A788" t="s">
        <v>2752</v>
      </c>
      <c r="B788">
        <v>2021</v>
      </c>
      <c r="C788" t="s">
        <v>182</v>
      </c>
      <c r="D788" t="b">
        <f>TRUE()</f>
        <v>1</v>
      </c>
      <c r="E788" t="b">
        <f>COUNTIF(connections!A:A, A788) &gt; 0</f>
        <v>1</v>
      </c>
      <c r="F788" t="s">
        <v>404</v>
      </c>
      <c r="G788" t="s">
        <v>2753</v>
      </c>
      <c r="H788" t="s">
        <v>187</v>
      </c>
      <c r="I788" t="s">
        <v>2754</v>
      </c>
      <c r="J788" s="1" t="s">
        <v>2755</v>
      </c>
    </row>
    <row r="789" spans="1:10" x14ac:dyDescent="0.25">
      <c r="A789" t="s">
        <v>2756</v>
      </c>
      <c r="B789">
        <v>2025</v>
      </c>
      <c r="C789" t="s">
        <v>182</v>
      </c>
      <c r="D789" t="b">
        <f>TRUE()</f>
        <v>1</v>
      </c>
      <c r="E789" t="b">
        <f>COUNTIF(connections!A:A, A789) &gt; 0</f>
        <v>0</v>
      </c>
      <c r="G789" t="s">
        <v>2757</v>
      </c>
    </row>
    <row r="790" spans="1:10" x14ac:dyDescent="0.25">
      <c r="A790" t="s">
        <v>2758</v>
      </c>
      <c r="B790">
        <v>2019</v>
      </c>
      <c r="C790" t="s">
        <v>182</v>
      </c>
      <c r="D790" t="b">
        <f>TRUE()</f>
        <v>1</v>
      </c>
      <c r="E790" t="b">
        <f>COUNTIF(connections!A:A, A790) &gt; 0</f>
        <v>0</v>
      </c>
      <c r="G790" t="s">
        <v>2759</v>
      </c>
      <c r="J790" s="1" t="s">
        <v>2760</v>
      </c>
    </row>
    <row r="791" spans="1:10" x14ac:dyDescent="0.25">
      <c r="A791" t="s">
        <v>2761</v>
      </c>
      <c r="B791">
        <v>2017</v>
      </c>
      <c r="C791" t="s">
        <v>176</v>
      </c>
      <c r="D791" t="b">
        <f>TRUE()</f>
        <v>1</v>
      </c>
      <c r="E791" t="b">
        <f>COUNTIF(connections!A:A, A791) &gt; 0</f>
        <v>0</v>
      </c>
      <c r="G791" t="s">
        <v>2762</v>
      </c>
      <c r="J791" s="11" t="s">
        <v>2763</v>
      </c>
    </row>
    <row r="792" spans="1:10" x14ac:dyDescent="0.25">
      <c r="A792" t="s">
        <v>2764</v>
      </c>
      <c r="B792">
        <v>2026</v>
      </c>
      <c r="C792" t="s">
        <v>182</v>
      </c>
      <c r="D792" t="b">
        <f>TRUE()</f>
        <v>1</v>
      </c>
      <c r="E792" t="b">
        <f>COUNTIF(connections!A:A, A792) &gt; 0</f>
        <v>0</v>
      </c>
      <c r="G792" t="s">
        <v>2765</v>
      </c>
      <c r="J792" s="1" t="s">
        <v>2766</v>
      </c>
    </row>
    <row r="793" spans="1:10" x14ac:dyDescent="0.25">
      <c r="A793" t="s">
        <v>2767</v>
      </c>
      <c r="B793">
        <v>2025</v>
      </c>
      <c r="C793" t="s">
        <v>176</v>
      </c>
      <c r="D793" t="b">
        <f>TRUE()</f>
        <v>1</v>
      </c>
      <c r="E793" t="b">
        <f>COUNTIF(connections!A:A, A793) &gt; 0</f>
        <v>0</v>
      </c>
      <c r="G793" t="s">
        <v>2768</v>
      </c>
      <c r="J793" s="1" t="s">
        <v>2769</v>
      </c>
    </row>
    <row r="794" spans="1:10" x14ac:dyDescent="0.25">
      <c r="A794" t="s">
        <v>2770</v>
      </c>
      <c r="B794">
        <v>2012</v>
      </c>
      <c r="C794" t="s">
        <v>179</v>
      </c>
      <c r="D794" t="b">
        <f>TRUE()</f>
        <v>1</v>
      </c>
      <c r="E794" t="b">
        <f>COUNTIF(connections!A:A, A794) &gt; 0</f>
        <v>0</v>
      </c>
      <c r="G794" t="s">
        <v>2771</v>
      </c>
    </row>
    <row r="795" spans="1:10" x14ac:dyDescent="0.25">
      <c r="A795" t="s">
        <v>2772</v>
      </c>
      <c r="B795">
        <v>2021</v>
      </c>
      <c r="C795" t="s">
        <v>179</v>
      </c>
      <c r="D795" t="b">
        <f>TRUE()</f>
        <v>1</v>
      </c>
      <c r="E795" t="b">
        <f>COUNTIF(connections!A:A, A795) &gt; 0</f>
        <v>0</v>
      </c>
      <c r="G795" t="s">
        <v>2773</v>
      </c>
      <c r="H795" t="s">
        <v>187</v>
      </c>
      <c r="I795" t="s">
        <v>2774</v>
      </c>
      <c r="J795" s="1" t="s">
        <v>2775</v>
      </c>
    </row>
    <row r="796" spans="1:10" x14ac:dyDescent="0.25">
      <c r="A796" t="s">
        <v>7757</v>
      </c>
      <c r="B796">
        <v>2026</v>
      </c>
      <c r="C796" t="s">
        <v>182</v>
      </c>
      <c r="D796" t="b">
        <f>TRUE()</f>
        <v>1</v>
      </c>
      <c r="E796" t="b">
        <f>COUNTIF(connections!A:A, A796) &gt; 0</f>
        <v>0</v>
      </c>
      <c r="G796" t="s">
        <v>7758</v>
      </c>
      <c r="J796" s="11" t="s">
        <v>7756</v>
      </c>
    </row>
    <row r="797" spans="1:10" x14ac:dyDescent="0.25">
      <c r="A797" t="s">
        <v>2776</v>
      </c>
      <c r="B797">
        <v>2021</v>
      </c>
      <c r="C797" t="s">
        <v>222</v>
      </c>
      <c r="D797" t="b">
        <f>FALSE()</f>
        <v>0</v>
      </c>
      <c r="E797" t="b">
        <f>COUNTIF(connections!A:A, A797) &gt; 0</f>
        <v>0</v>
      </c>
      <c r="F797" t="s">
        <v>2777</v>
      </c>
      <c r="G797" t="s">
        <v>2778</v>
      </c>
      <c r="H797" t="s">
        <v>187</v>
      </c>
      <c r="I797" t="s">
        <v>2779</v>
      </c>
      <c r="J797" s="1" t="s">
        <v>2780</v>
      </c>
    </row>
    <row r="798" spans="1:10" x14ac:dyDescent="0.25">
      <c r="A798" t="s">
        <v>2781</v>
      </c>
      <c r="B798">
        <v>2024</v>
      </c>
      <c r="C798" t="s">
        <v>176</v>
      </c>
      <c r="D798" t="b">
        <f>FALSE()</f>
        <v>0</v>
      </c>
      <c r="E798" t="b">
        <f>COUNTIF(connections!A:A, A798) &gt; 0</f>
        <v>0</v>
      </c>
      <c r="F798" t="s">
        <v>277</v>
      </c>
      <c r="G798" t="s">
        <v>2782</v>
      </c>
    </row>
    <row r="799" spans="1:10" x14ac:dyDescent="0.25">
      <c r="A799" t="s">
        <v>2783</v>
      </c>
      <c r="B799">
        <v>2019</v>
      </c>
      <c r="C799" t="s">
        <v>176</v>
      </c>
      <c r="D799" t="b">
        <f>TRUE()</f>
        <v>1</v>
      </c>
      <c r="E799" t="b">
        <f>COUNTIF(connections!A:A, A799) &gt; 0</f>
        <v>1</v>
      </c>
      <c r="F799" t="s">
        <v>617</v>
      </c>
      <c r="G799" t="s">
        <v>2784</v>
      </c>
      <c r="H799" t="s">
        <v>187</v>
      </c>
      <c r="I799" t="s">
        <v>2785</v>
      </c>
      <c r="J799" s="1" t="s">
        <v>2786</v>
      </c>
    </row>
    <row r="800" spans="1:10" x14ac:dyDescent="0.25">
      <c r="A800" t="s">
        <v>2787</v>
      </c>
      <c r="B800">
        <v>2025</v>
      </c>
      <c r="C800" t="s">
        <v>176</v>
      </c>
      <c r="D800" t="b">
        <f>TRUE()</f>
        <v>1</v>
      </c>
      <c r="E800" t="b">
        <f>COUNTIF(connections!A:A, A800) &gt; 0</f>
        <v>0</v>
      </c>
      <c r="F800" t="s">
        <v>617</v>
      </c>
      <c r="G800" t="s">
        <v>2788</v>
      </c>
    </row>
    <row r="801" spans="1:10" x14ac:dyDescent="0.25">
      <c r="A801" t="s">
        <v>2789</v>
      </c>
      <c r="B801">
        <v>2017</v>
      </c>
      <c r="C801" t="s">
        <v>176</v>
      </c>
      <c r="D801" t="b">
        <f>TRUE()</f>
        <v>1</v>
      </c>
      <c r="E801" t="b">
        <f>COUNTIF(connections!A:A, A801) &gt; 0</f>
        <v>1</v>
      </c>
      <c r="G801" t="s">
        <v>2790</v>
      </c>
    </row>
    <row r="802" spans="1:10" x14ac:dyDescent="0.25">
      <c r="A802" t="s">
        <v>2791</v>
      </c>
      <c r="B802">
        <v>2022</v>
      </c>
      <c r="C802" t="s">
        <v>176</v>
      </c>
      <c r="D802" t="b">
        <f>TRUE()</f>
        <v>1</v>
      </c>
      <c r="E802" t="b">
        <f>COUNTIF(connections!A:A, A802) &gt; 0</f>
        <v>0</v>
      </c>
      <c r="G802" t="s">
        <v>2792</v>
      </c>
    </row>
    <row r="803" spans="1:10" x14ac:dyDescent="0.25">
      <c r="A803" t="s">
        <v>2793</v>
      </c>
      <c r="B803">
        <v>1992</v>
      </c>
      <c r="C803" t="s">
        <v>179</v>
      </c>
      <c r="D803" t="b">
        <f>TRUE()</f>
        <v>1</v>
      </c>
      <c r="E803" t="b">
        <f>COUNTIF(connections!A:A, A803) &gt; 0</f>
        <v>1</v>
      </c>
      <c r="G803" t="s">
        <v>2794</v>
      </c>
      <c r="H803" t="s">
        <v>187</v>
      </c>
      <c r="I803" t="s">
        <v>2795</v>
      </c>
      <c r="J803" s="1" t="s">
        <v>2796</v>
      </c>
    </row>
    <row r="804" spans="1:10" x14ac:dyDescent="0.25">
      <c r="A804" t="s">
        <v>2797</v>
      </c>
      <c r="B804">
        <v>2018</v>
      </c>
      <c r="C804" t="s">
        <v>176</v>
      </c>
      <c r="D804" t="b">
        <f>TRUE()</f>
        <v>1</v>
      </c>
      <c r="E804" t="b">
        <f>COUNTIF(connections!A:A, A804) &gt; 0</f>
        <v>0</v>
      </c>
      <c r="G804" t="s">
        <v>2798</v>
      </c>
    </row>
    <row r="805" spans="1:10" x14ac:dyDescent="0.25">
      <c r="A805" t="s">
        <v>2799</v>
      </c>
      <c r="B805">
        <v>2026</v>
      </c>
      <c r="C805" t="s">
        <v>182</v>
      </c>
      <c r="D805" t="b">
        <f>TRUE()</f>
        <v>1</v>
      </c>
      <c r="E805" t="b">
        <f>COUNTIF(connections!A:A, A805) &gt; 0</f>
        <v>0</v>
      </c>
      <c r="F805" t="s">
        <v>1806</v>
      </c>
      <c r="G805" t="s">
        <v>2800</v>
      </c>
    </row>
    <row r="806" spans="1:10" x14ac:dyDescent="0.25">
      <c r="A806" t="s">
        <v>2801</v>
      </c>
      <c r="B806">
        <v>2023</v>
      </c>
      <c r="C806" t="s">
        <v>176</v>
      </c>
      <c r="D806" t="b">
        <f>TRUE()</f>
        <v>1</v>
      </c>
      <c r="E806" t="b">
        <f>COUNTIF(connections!A:A, A806) &gt; 0</f>
        <v>0</v>
      </c>
      <c r="F806" t="s">
        <v>1806</v>
      </c>
      <c r="G806" t="s">
        <v>2802</v>
      </c>
      <c r="H806" t="s">
        <v>187</v>
      </c>
      <c r="I806" t="s">
        <v>2803</v>
      </c>
      <c r="J806" s="1" t="s">
        <v>2804</v>
      </c>
    </row>
    <row r="807" spans="1:10" x14ac:dyDescent="0.25">
      <c r="A807" t="s">
        <v>2805</v>
      </c>
      <c r="B807">
        <v>2021</v>
      </c>
      <c r="C807" t="s">
        <v>176</v>
      </c>
      <c r="D807" t="b">
        <f>TRUE()</f>
        <v>1</v>
      </c>
      <c r="E807" t="b">
        <f>COUNTIF(connections!A:A, A807) &gt; 0</f>
        <v>1</v>
      </c>
      <c r="F807" t="s">
        <v>1806</v>
      </c>
      <c r="G807" t="s">
        <v>2806</v>
      </c>
      <c r="H807" t="s">
        <v>187</v>
      </c>
      <c r="I807" t="s">
        <v>2807</v>
      </c>
      <c r="J807" s="1" t="s">
        <v>2808</v>
      </c>
    </row>
    <row r="808" spans="1:10" x14ac:dyDescent="0.25">
      <c r="A808" t="s">
        <v>2809</v>
      </c>
      <c r="B808">
        <v>2020</v>
      </c>
      <c r="C808" t="s">
        <v>182</v>
      </c>
      <c r="D808" t="b">
        <f>TRUE()</f>
        <v>1</v>
      </c>
      <c r="E808" t="b">
        <f>COUNTIF(connections!A:A, A808) &gt; 0</f>
        <v>0</v>
      </c>
      <c r="G808" t="s">
        <v>2810</v>
      </c>
      <c r="H808" t="s">
        <v>187</v>
      </c>
      <c r="I808" t="s">
        <v>2811</v>
      </c>
      <c r="J808" s="1" t="s">
        <v>2812</v>
      </c>
    </row>
    <row r="809" spans="1:10" x14ac:dyDescent="0.25">
      <c r="A809" t="s">
        <v>2813</v>
      </c>
      <c r="B809">
        <v>2024</v>
      </c>
      <c r="C809" t="s">
        <v>176</v>
      </c>
      <c r="D809" t="b">
        <f>TRUE()</f>
        <v>1</v>
      </c>
      <c r="E809" t="b">
        <f>COUNTIF(connections!A:A, A809) &gt; 0</f>
        <v>0</v>
      </c>
      <c r="G809" t="s">
        <v>2814</v>
      </c>
    </row>
    <row r="810" spans="1:10" x14ac:dyDescent="0.25">
      <c r="A810" t="s">
        <v>2815</v>
      </c>
      <c r="B810">
        <v>2026</v>
      </c>
      <c r="C810" t="s">
        <v>176</v>
      </c>
      <c r="D810" t="b">
        <f>TRUE()</f>
        <v>1</v>
      </c>
      <c r="E810" t="b">
        <f>COUNTIF(connections!A:A, A810) &gt; 0</f>
        <v>0</v>
      </c>
      <c r="F810" t="s">
        <v>277</v>
      </c>
      <c r="G810" t="s">
        <v>2816</v>
      </c>
      <c r="H810" t="s">
        <v>187</v>
      </c>
      <c r="I810" t="s">
        <v>2817</v>
      </c>
      <c r="J810" s="1" t="s">
        <v>2818</v>
      </c>
    </row>
    <row r="811" spans="1:10" x14ac:dyDescent="0.25">
      <c r="A811" t="s">
        <v>2819</v>
      </c>
      <c r="B811">
        <v>2021</v>
      </c>
      <c r="C811" t="s">
        <v>182</v>
      </c>
      <c r="D811" t="b">
        <f>TRUE()</f>
        <v>1</v>
      </c>
      <c r="E811" t="b">
        <f>COUNTIF(connections!A:A, A811) &gt; 0</f>
        <v>1</v>
      </c>
      <c r="F811" t="s">
        <v>1031</v>
      </c>
      <c r="G811" t="s">
        <v>2820</v>
      </c>
    </row>
    <row r="812" spans="1:10" x14ac:dyDescent="0.25">
      <c r="A812" t="s">
        <v>2821</v>
      </c>
      <c r="B812">
        <v>2025</v>
      </c>
      <c r="C812" t="s">
        <v>182</v>
      </c>
      <c r="D812" t="b">
        <f>TRUE()</f>
        <v>1</v>
      </c>
      <c r="E812" t="b">
        <f>COUNTIF(connections!A:A, A812) &gt; 0</f>
        <v>0</v>
      </c>
      <c r="G812" t="s">
        <v>2822</v>
      </c>
    </row>
    <row r="813" spans="1:10" x14ac:dyDescent="0.25">
      <c r="A813" t="s">
        <v>2823</v>
      </c>
      <c r="B813">
        <v>2026</v>
      </c>
      <c r="C813" t="s">
        <v>182</v>
      </c>
      <c r="D813" t="b">
        <f>TRUE()</f>
        <v>1</v>
      </c>
      <c r="E813" t="b">
        <f>COUNTIF(connections!A:A, A813) &gt; 0</f>
        <v>0</v>
      </c>
      <c r="G813" t="s">
        <v>2824</v>
      </c>
    </row>
    <row r="814" spans="1:10" x14ac:dyDescent="0.25">
      <c r="A814" t="s">
        <v>2825</v>
      </c>
      <c r="B814">
        <v>2019</v>
      </c>
      <c r="C814" t="s">
        <v>176</v>
      </c>
      <c r="D814" t="b">
        <f>TRUE()</f>
        <v>1</v>
      </c>
      <c r="E814" t="b">
        <f>COUNTIF(connections!A:A, A814) &gt; 0</f>
        <v>1</v>
      </c>
      <c r="F814" t="s">
        <v>274</v>
      </c>
      <c r="G814" t="s">
        <v>2826</v>
      </c>
      <c r="H814" t="s">
        <v>187</v>
      </c>
      <c r="I814" t="s">
        <v>2827</v>
      </c>
      <c r="J814" s="1" t="s">
        <v>2828</v>
      </c>
    </row>
    <row r="815" spans="1:10" x14ac:dyDescent="0.25">
      <c r="A815" t="s">
        <v>2829</v>
      </c>
      <c r="B815">
        <v>2022</v>
      </c>
      <c r="C815" t="s">
        <v>176</v>
      </c>
      <c r="D815" t="b">
        <f>TRUE()</f>
        <v>1</v>
      </c>
      <c r="E815" t="b">
        <f>COUNTIF(connections!A:A, A815) &gt; 0</f>
        <v>1</v>
      </c>
      <c r="G815" t="s">
        <v>2830</v>
      </c>
      <c r="H815" t="s">
        <v>187</v>
      </c>
      <c r="I815" t="s">
        <v>2831</v>
      </c>
      <c r="J815" s="11" t="s">
        <v>2832</v>
      </c>
    </row>
    <row r="816" spans="1:10" x14ac:dyDescent="0.25">
      <c r="A816" t="s">
        <v>2833</v>
      </c>
      <c r="B816">
        <v>2024</v>
      </c>
      <c r="C816" t="s">
        <v>222</v>
      </c>
      <c r="D816" t="b">
        <f>TRUE()</f>
        <v>1</v>
      </c>
      <c r="E816" t="b">
        <f>COUNTIF(connections!A:A, A816) &gt; 0</f>
        <v>0</v>
      </c>
      <c r="F816" t="s">
        <v>274</v>
      </c>
      <c r="G816" t="s">
        <v>2834</v>
      </c>
    </row>
    <row r="817" spans="1:10" x14ac:dyDescent="0.25">
      <c r="A817" t="s">
        <v>2835</v>
      </c>
      <c r="B817">
        <v>2023</v>
      </c>
      <c r="C817" t="s">
        <v>176</v>
      </c>
      <c r="D817" t="b">
        <f>TRUE()</f>
        <v>1</v>
      </c>
      <c r="E817" t="b">
        <f>COUNTIF(connections!A:A, A817) &gt; 0</f>
        <v>0</v>
      </c>
      <c r="G817" t="s">
        <v>2836</v>
      </c>
      <c r="H817" t="s">
        <v>187</v>
      </c>
      <c r="I817" t="s">
        <v>2837</v>
      </c>
      <c r="J817" s="1" t="s">
        <v>2838</v>
      </c>
    </row>
    <row r="818" spans="1:10" x14ac:dyDescent="0.25">
      <c r="A818" t="s">
        <v>2839</v>
      </c>
      <c r="B818">
        <v>2024</v>
      </c>
      <c r="C818" t="s">
        <v>176</v>
      </c>
      <c r="D818" t="b">
        <f>TRUE()</f>
        <v>1</v>
      </c>
      <c r="E818" t="b">
        <f>COUNTIF(connections!A:A, A818) &gt; 0</f>
        <v>0</v>
      </c>
      <c r="G818" t="s">
        <v>2840</v>
      </c>
    </row>
    <row r="819" spans="1:10" x14ac:dyDescent="0.25">
      <c r="A819" t="s">
        <v>2841</v>
      </c>
      <c r="B819">
        <v>2024</v>
      </c>
      <c r="C819" t="s">
        <v>176</v>
      </c>
      <c r="D819" t="b">
        <f>FALSE()</f>
        <v>0</v>
      </c>
      <c r="E819" t="b">
        <f>COUNTIF(connections!A:A, A819) &gt; 0</f>
        <v>0</v>
      </c>
      <c r="G819" t="s">
        <v>2842</v>
      </c>
      <c r="J819" s="1" t="s">
        <v>2843</v>
      </c>
    </row>
    <row r="820" spans="1:10" x14ac:dyDescent="0.25">
      <c r="A820" t="s">
        <v>2844</v>
      </c>
      <c r="B820">
        <v>1998</v>
      </c>
      <c r="C820" t="s">
        <v>179</v>
      </c>
      <c r="D820" t="b">
        <f>TRUE()</f>
        <v>1</v>
      </c>
      <c r="E820" t="b">
        <f>COUNTIF(connections!A:A, A820) &gt; 0</f>
        <v>0</v>
      </c>
      <c r="G820" t="s">
        <v>2845</v>
      </c>
      <c r="H820" t="s">
        <v>187</v>
      </c>
      <c r="I820" t="s">
        <v>2846</v>
      </c>
    </row>
    <row r="821" spans="1:10" x14ac:dyDescent="0.25">
      <c r="A821" t="s">
        <v>2847</v>
      </c>
      <c r="B821">
        <v>2023</v>
      </c>
      <c r="C821" t="s">
        <v>222</v>
      </c>
      <c r="D821" t="b">
        <f>TRUE()</f>
        <v>1</v>
      </c>
      <c r="E821" t="b">
        <f>COUNTIF(connections!A:A, A821) &gt; 0</f>
        <v>1</v>
      </c>
      <c r="F821" t="s">
        <v>617</v>
      </c>
      <c r="G821" t="s">
        <v>2848</v>
      </c>
      <c r="H821" t="s">
        <v>187</v>
      </c>
      <c r="I821" t="s">
        <v>2849</v>
      </c>
      <c r="J821" s="1" t="s">
        <v>2850</v>
      </c>
    </row>
    <row r="822" spans="1:10" x14ac:dyDescent="0.25">
      <c r="A822" t="s">
        <v>2851</v>
      </c>
      <c r="B822">
        <v>2025</v>
      </c>
      <c r="C822" t="s">
        <v>222</v>
      </c>
      <c r="D822" t="b">
        <f>TRUE()</f>
        <v>1</v>
      </c>
      <c r="E822" t="b">
        <f>COUNTIF(connections!A:A, A822) &gt; 0</f>
        <v>0</v>
      </c>
      <c r="F822" t="s">
        <v>617</v>
      </c>
      <c r="G822" t="s">
        <v>2852</v>
      </c>
    </row>
    <row r="823" spans="1:10" x14ac:dyDescent="0.25">
      <c r="A823" t="s">
        <v>2853</v>
      </c>
      <c r="B823">
        <v>2026</v>
      </c>
      <c r="C823" t="s">
        <v>176</v>
      </c>
      <c r="D823" t="b">
        <f>TRUE()</f>
        <v>1</v>
      </c>
      <c r="E823" t="b">
        <f>COUNTIF(connections!A:A, A823) &gt; 0</f>
        <v>0</v>
      </c>
      <c r="G823" t="s">
        <v>2854</v>
      </c>
    </row>
    <row r="824" spans="1:10" x14ac:dyDescent="0.25">
      <c r="A824" t="s">
        <v>2855</v>
      </c>
      <c r="B824">
        <v>2023</v>
      </c>
      <c r="C824" t="s">
        <v>179</v>
      </c>
      <c r="D824" t="b">
        <f>TRUE()</f>
        <v>1</v>
      </c>
      <c r="E824" t="b">
        <f>COUNTIF(connections!A:A, A824) &gt; 0</f>
        <v>0</v>
      </c>
      <c r="F824" t="s">
        <v>274</v>
      </c>
      <c r="G824" t="s">
        <v>2856</v>
      </c>
    </row>
    <row r="825" spans="1:10" x14ac:dyDescent="0.25">
      <c r="A825" t="s">
        <v>2857</v>
      </c>
      <c r="B825">
        <v>2025</v>
      </c>
      <c r="C825" t="s">
        <v>176</v>
      </c>
      <c r="D825" t="b">
        <f>TRUE()</f>
        <v>1</v>
      </c>
      <c r="E825" t="b">
        <f>COUNTIF(connections!A:A, A825) &gt; 0</f>
        <v>0</v>
      </c>
      <c r="G825" t="s">
        <v>2858</v>
      </c>
      <c r="H825" t="s">
        <v>187</v>
      </c>
      <c r="I825" t="s">
        <v>2859</v>
      </c>
      <c r="J825" s="1" t="s">
        <v>2860</v>
      </c>
    </row>
    <row r="826" spans="1:10" x14ac:dyDescent="0.25">
      <c r="A826" t="s">
        <v>2861</v>
      </c>
      <c r="B826">
        <v>2017</v>
      </c>
      <c r="C826" t="s">
        <v>222</v>
      </c>
      <c r="D826" t="b">
        <f>TRUE()</f>
        <v>1</v>
      </c>
      <c r="E826" t="b">
        <f>COUNTIF(connections!A:A, A826) &gt; 0</f>
        <v>0</v>
      </c>
      <c r="G826" t="s">
        <v>2862</v>
      </c>
      <c r="H826" t="s">
        <v>187</v>
      </c>
      <c r="I826" t="s">
        <v>2863</v>
      </c>
      <c r="J826" s="1" t="s">
        <v>2864</v>
      </c>
    </row>
    <row r="827" spans="1:10" x14ac:dyDescent="0.25">
      <c r="A827" t="s">
        <v>2865</v>
      </c>
      <c r="B827">
        <v>2011</v>
      </c>
      <c r="C827" t="s">
        <v>179</v>
      </c>
      <c r="D827" t="b">
        <f>TRUE()</f>
        <v>1</v>
      </c>
      <c r="E827" t="b">
        <f>COUNTIF(connections!A:A, A827) &gt; 0</f>
        <v>0</v>
      </c>
      <c r="G827" t="s">
        <v>2866</v>
      </c>
    </row>
    <row r="828" spans="1:10" x14ac:dyDescent="0.25">
      <c r="A828" t="s">
        <v>2867</v>
      </c>
      <c r="B828">
        <v>2012</v>
      </c>
      <c r="C828" t="s">
        <v>222</v>
      </c>
      <c r="D828" t="b">
        <f>TRUE()</f>
        <v>1</v>
      </c>
      <c r="E828" t="b">
        <f>COUNTIF(connections!A:A, A828) &gt; 0</f>
        <v>0</v>
      </c>
      <c r="G828" t="s">
        <v>2868</v>
      </c>
      <c r="H828" t="s">
        <v>187</v>
      </c>
      <c r="I828" t="s">
        <v>2869</v>
      </c>
      <c r="J828" s="1" t="s">
        <v>2870</v>
      </c>
    </row>
    <row r="829" spans="1:10" x14ac:dyDescent="0.25">
      <c r="A829" t="s">
        <v>2871</v>
      </c>
      <c r="B829">
        <v>2017</v>
      </c>
      <c r="C829" t="s">
        <v>176</v>
      </c>
      <c r="D829" t="b">
        <f>FALSE()</f>
        <v>0</v>
      </c>
      <c r="E829" t="b">
        <f>COUNTIF(connections!A:A, A829) &gt; 0</f>
        <v>0</v>
      </c>
      <c r="F829" t="s">
        <v>652</v>
      </c>
      <c r="G829" t="s">
        <v>2872</v>
      </c>
      <c r="H829" t="s">
        <v>187</v>
      </c>
      <c r="I829" t="s">
        <v>2873</v>
      </c>
      <c r="J829" s="1" t="s">
        <v>2874</v>
      </c>
    </row>
    <row r="830" spans="1:10" x14ac:dyDescent="0.25">
      <c r="A830" t="s">
        <v>2875</v>
      </c>
      <c r="B830">
        <v>2005</v>
      </c>
      <c r="C830" t="s">
        <v>222</v>
      </c>
      <c r="D830" t="b">
        <f>TRUE()</f>
        <v>1</v>
      </c>
      <c r="E830" t="b">
        <f>COUNTIF(connections!A:A, A830) &gt; 0</f>
        <v>1</v>
      </c>
      <c r="F830" t="s">
        <v>274</v>
      </c>
      <c r="G830" t="s">
        <v>2876</v>
      </c>
      <c r="H830" t="s">
        <v>187</v>
      </c>
      <c r="I830" t="s">
        <v>2877</v>
      </c>
      <c r="J830" s="1" t="s">
        <v>2878</v>
      </c>
    </row>
    <row r="831" spans="1:10" x14ac:dyDescent="0.25">
      <c r="A831" t="s">
        <v>2879</v>
      </c>
      <c r="B831">
        <v>2020</v>
      </c>
      <c r="C831" t="s">
        <v>176</v>
      </c>
      <c r="D831" t="b">
        <f>FALSE()</f>
        <v>0</v>
      </c>
      <c r="E831" t="b">
        <f>COUNTIF(connections!A:A, A831) &gt; 0</f>
        <v>1</v>
      </c>
      <c r="G831" t="s">
        <v>2880</v>
      </c>
      <c r="H831" t="s">
        <v>187</v>
      </c>
      <c r="I831" t="s">
        <v>2881</v>
      </c>
      <c r="J831" s="11" t="s">
        <v>2882</v>
      </c>
    </row>
    <row r="832" spans="1:10" x14ac:dyDescent="0.25">
      <c r="A832" t="s">
        <v>2883</v>
      </c>
      <c r="B832">
        <v>2025</v>
      </c>
      <c r="C832" t="s">
        <v>176</v>
      </c>
      <c r="D832" t="b">
        <f>TRUE()</f>
        <v>1</v>
      </c>
      <c r="E832" t="b">
        <f>COUNTIF(connections!A:A, A832) &gt; 0</f>
        <v>0</v>
      </c>
      <c r="G832" t="s">
        <v>2884</v>
      </c>
    </row>
    <row r="833" spans="1:10" x14ac:dyDescent="0.25">
      <c r="A833" t="s">
        <v>2885</v>
      </c>
      <c r="B833">
        <v>2025</v>
      </c>
      <c r="C833" t="s">
        <v>176</v>
      </c>
      <c r="D833" t="b">
        <f>FALSE()</f>
        <v>0</v>
      </c>
      <c r="E833" t="b">
        <f>COUNTIF(connections!A:A, A833) &gt; 0</f>
        <v>0</v>
      </c>
      <c r="G833" t="s">
        <v>2886</v>
      </c>
    </row>
    <row r="834" spans="1:10" x14ac:dyDescent="0.25">
      <c r="A834" t="s">
        <v>2887</v>
      </c>
      <c r="B834">
        <v>2024</v>
      </c>
      <c r="C834" t="s">
        <v>176</v>
      </c>
      <c r="D834" t="b">
        <f>TRUE()</f>
        <v>1</v>
      </c>
      <c r="E834" t="b">
        <f>COUNTIF(connections!A:A, A834) &gt; 0</f>
        <v>0</v>
      </c>
      <c r="G834" t="s">
        <v>2888</v>
      </c>
    </row>
    <row r="835" spans="1:10" x14ac:dyDescent="0.25">
      <c r="A835" t="s">
        <v>2889</v>
      </c>
      <c r="B835">
        <v>2019</v>
      </c>
      <c r="C835" t="s">
        <v>222</v>
      </c>
      <c r="D835" t="b">
        <f>FALSE()</f>
        <v>0</v>
      </c>
      <c r="E835" t="b">
        <f>COUNTIF(connections!A:A, A835) &gt; 0</f>
        <v>0</v>
      </c>
      <c r="G835" t="s">
        <v>2890</v>
      </c>
    </row>
    <row r="836" spans="1:10" x14ac:dyDescent="0.25">
      <c r="A836" t="s">
        <v>2891</v>
      </c>
      <c r="B836">
        <v>2023</v>
      </c>
      <c r="C836" t="s">
        <v>182</v>
      </c>
      <c r="D836" t="b">
        <f>TRUE()</f>
        <v>1</v>
      </c>
      <c r="E836" t="b">
        <f>COUNTIF(connections!A:A, A836) &gt; 0</f>
        <v>1</v>
      </c>
      <c r="G836" t="s">
        <v>2892</v>
      </c>
      <c r="H836" t="s">
        <v>187</v>
      </c>
      <c r="I836" t="s">
        <v>2893</v>
      </c>
      <c r="J836" s="1" t="s">
        <v>2894</v>
      </c>
    </row>
    <row r="837" spans="1:10" x14ac:dyDescent="0.25">
      <c r="A837" t="s">
        <v>2895</v>
      </c>
      <c r="B837">
        <v>2024</v>
      </c>
      <c r="C837" t="s">
        <v>176</v>
      </c>
      <c r="D837" t="b">
        <f>TRUE()</f>
        <v>1</v>
      </c>
      <c r="E837" t="b">
        <f>COUNTIF(connections!A:A, A837) &gt; 0</f>
        <v>0</v>
      </c>
      <c r="G837" t="s">
        <v>2896</v>
      </c>
    </row>
    <row r="838" spans="1:10" x14ac:dyDescent="0.25">
      <c r="A838" t="s">
        <v>2897</v>
      </c>
      <c r="B838">
        <v>2026</v>
      </c>
      <c r="C838" t="s">
        <v>182</v>
      </c>
      <c r="D838" t="b">
        <f>TRUE()</f>
        <v>1</v>
      </c>
      <c r="E838" t="b">
        <f>COUNTIF(connections!A:A, A838) &gt; 0</f>
        <v>0</v>
      </c>
      <c r="G838" t="s">
        <v>2898</v>
      </c>
    </row>
    <row r="839" spans="1:10" x14ac:dyDescent="0.25">
      <c r="A839" t="s">
        <v>2899</v>
      </c>
      <c r="B839">
        <v>2026</v>
      </c>
      <c r="C839" t="s">
        <v>222</v>
      </c>
      <c r="D839" t="b">
        <f>FALSE()</f>
        <v>0</v>
      </c>
      <c r="E839" t="b">
        <f>COUNTIF(connections!A:A, A839) &gt; 0</f>
        <v>0</v>
      </c>
      <c r="F839" t="s">
        <v>404</v>
      </c>
      <c r="G839" t="s">
        <v>2900</v>
      </c>
      <c r="J839" s="1" t="s">
        <v>2901</v>
      </c>
    </row>
    <row r="840" spans="1:10" x14ac:dyDescent="0.25">
      <c r="A840" t="s">
        <v>2902</v>
      </c>
      <c r="B840">
        <v>2024</v>
      </c>
      <c r="C840" t="s">
        <v>176</v>
      </c>
      <c r="D840" t="b">
        <f>FALSE()</f>
        <v>0</v>
      </c>
      <c r="E840" t="b">
        <f>COUNTIF(connections!A:A, A840) &gt; 0</f>
        <v>1</v>
      </c>
      <c r="G840" t="s">
        <v>2903</v>
      </c>
      <c r="J840" s="1" t="s">
        <v>2904</v>
      </c>
    </row>
    <row r="841" spans="1:10" x14ac:dyDescent="0.25">
      <c r="A841" t="s">
        <v>2905</v>
      </c>
      <c r="B841">
        <v>2026</v>
      </c>
      <c r="C841" t="s">
        <v>182</v>
      </c>
      <c r="D841" t="b">
        <f>TRUE()</f>
        <v>1</v>
      </c>
      <c r="E841" t="b">
        <f>COUNTIF(connections!A:A, A841) &gt; 0</f>
        <v>0</v>
      </c>
      <c r="G841" t="s">
        <v>2906</v>
      </c>
    </row>
    <row r="842" spans="1:10" x14ac:dyDescent="0.25">
      <c r="A842" t="s">
        <v>2907</v>
      </c>
      <c r="B842">
        <v>2018</v>
      </c>
      <c r="C842" t="s">
        <v>176</v>
      </c>
      <c r="D842" t="b">
        <f>TRUE()</f>
        <v>1</v>
      </c>
      <c r="E842" t="b">
        <f>COUNTIF(connections!A:A, A842) &gt; 0</f>
        <v>1</v>
      </c>
      <c r="G842" t="s">
        <v>2908</v>
      </c>
      <c r="H842" t="s">
        <v>187</v>
      </c>
      <c r="I842" t="s">
        <v>2909</v>
      </c>
      <c r="J842" s="1" t="s">
        <v>2910</v>
      </c>
    </row>
    <row r="843" spans="1:10" x14ac:dyDescent="0.25">
      <c r="A843" t="s">
        <v>2911</v>
      </c>
      <c r="B843">
        <v>2024</v>
      </c>
      <c r="C843" t="s">
        <v>176</v>
      </c>
      <c r="D843" t="b">
        <f>TRUE()</f>
        <v>1</v>
      </c>
      <c r="E843" t="b">
        <f>COUNTIF(connections!A:A, A843) &gt; 0</f>
        <v>0</v>
      </c>
      <c r="G843" t="s">
        <v>2912</v>
      </c>
      <c r="H843" t="s">
        <v>187</v>
      </c>
      <c r="I843" t="s">
        <v>2913</v>
      </c>
      <c r="J843" s="1" t="s">
        <v>2914</v>
      </c>
    </row>
    <row r="844" spans="1:10" x14ac:dyDescent="0.25">
      <c r="A844" t="s">
        <v>2915</v>
      </c>
      <c r="B844">
        <v>2021</v>
      </c>
      <c r="C844" t="s">
        <v>222</v>
      </c>
      <c r="D844" t="b">
        <f>TRUE()</f>
        <v>1</v>
      </c>
      <c r="E844" t="b">
        <f>COUNTIF(connections!A:A, A844) &gt; 0</f>
        <v>0</v>
      </c>
      <c r="F844" t="s">
        <v>1165</v>
      </c>
      <c r="G844" t="s">
        <v>2916</v>
      </c>
      <c r="H844" t="s">
        <v>187</v>
      </c>
      <c r="I844" t="s">
        <v>2917</v>
      </c>
      <c r="J844" s="1" t="s">
        <v>2918</v>
      </c>
    </row>
    <row r="845" spans="1:10" x14ac:dyDescent="0.25">
      <c r="A845" t="s">
        <v>2919</v>
      </c>
      <c r="B845">
        <v>2025</v>
      </c>
      <c r="C845" t="s">
        <v>182</v>
      </c>
      <c r="D845" t="b">
        <f>TRUE()</f>
        <v>1</v>
      </c>
      <c r="E845" t="b">
        <f>COUNTIF(connections!A:A, A845) &gt; 0</f>
        <v>0</v>
      </c>
      <c r="F845" t="s">
        <v>731</v>
      </c>
      <c r="G845" t="s">
        <v>2920</v>
      </c>
    </row>
    <row r="846" spans="1:10" x14ac:dyDescent="0.25">
      <c r="A846" t="s">
        <v>2921</v>
      </c>
      <c r="B846">
        <v>2025</v>
      </c>
      <c r="C846" t="s">
        <v>182</v>
      </c>
      <c r="D846" t="b">
        <f>TRUE()</f>
        <v>1</v>
      </c>
      <c r="E846" t="b">
        <f>COUNTIF(connections!A:A, A846) &gt; 0</f>
        <v>0</v>
      </c>
      <c r="F846" t="s">
        <v>731</v>
      </c>
      <c r="G846" t="s">
        <v>2922</v>
      </c>
      <c r="H846" t="s">
        <v>187</v>
      </c>
      <c r="I846" t="s">
        <v>2923</v>
      </c>
      <c r="J846" s="1" t="s">
        <v>2924</v>
      </c>
    </row>
    <row r="847" spans="1:10" x14ac:dyDescent="0.25">
      <c r="A847" t="s">
        <v>2925</v>
      </c>
      <c r="B847">
        <v>2022</v>
      </c>
      <c r="C847" t="s">
        <v>182</v>
      </c>
      <c r="D847" t="b">
        <f>TRUE()</f>
        <v>1</v>
      </c>
      <c r="E847" t="b">
        <f>COUNTIF(connections!A:A, A847) &gt; 0</f>
        <v>0</v>
      </c>
      <c r="F847" t="s">
        <v>731</v>
      </c>
      <c r="G847" t="s">
        <v>2926</v>
      </c>
      <c r="H847" t="s">
        <v>187</v>
      </c>
      <c r="I847" t="s">
        <v>2927</v>
      </c>
      <c r="J847" s="1" t="s">
        <v>2928</v>
      </c>
    </row>
    <row r="848" spans="1:10" x14ac:dyDescent="0.25">
      <c r="A848" t="s">
        <v>2929</v>
      </c>
      <c r="B848">
        <v>2026</v>
      </c>
      <c r="C848" t="s">
        <v>182</v>
      </c>
      <c r="D848" t="b">
        <f>TRUE()</f>
        <v>1</v>
      </c>
      <c r="E848" t="b">
        <f>COUNTIF(connections!A:A, A848) &gt; 0</f>
        <v>0</v>
      </c>
      <c r="G848" t="s">
        <v>2930</v>
      </c>
      <c r="J848" s="11" t="s">
        <v>2931</v>
      </c>
    </row>
    <row r="849" spans="1:10" x14ac:dyDescent="0.25">
      <c r="A849" t="s">
        <v>2932</v>
      </c>
      <c r="B849">
        <v>2025</v>
      </c>
      <c r="C849" t="s">
        <v>176</v>
      </c>
      <c r="D849" t="b">
        <f>TRUE()</f>
        <v>1</v>
      </c>
      <c r="E849" t="b">
        <f>COUNTIF(connections!A:A, A849) &gt; 0</f>
        <v>0</v>
      </c>
      <c r="G849" t="s">
        <v>2933</v>
      </c>
    </row>
    <row r="850" spans="1:10" x14ac:dyDescent="0.25">
      <c r="A850" t="s">
        <v>2934</v>
      </c>
      <c r="B850">
        <v>2023</v>
      </c>
      <c r="C850" t="s">
        <v>176</v>
      </c>
      <c r="D850" t="b">
        <f>TRUE()</f>
        <v>1</v>
      </c>
      <c r="E850" t="b">
        <f>COUNTIF(connections!A:A, A850) &gt; 0</f>
        <v>0</v>
      </c>
      <c r="F850" t="s">
        <v>458</v>
      </c>
      <c r="G850" t="s">
        <v>2935</v>
      </c>
      <c r="H850" t="s">
        <v>187</v>
      </c>
      <c r="I850" t="s">
        <v>2936</v>
      </c>
      <c r="J850" s="1" t="s">
        <v>2937</v>
      </c>
    </row>
    <row r="851" spans="1:10" x14ac:dyDescent="0.25">
      <c r="A851" t="s">
        <v>2938</v>
      </c>
      <c r="B851">
        <v>2024</v>
      </c>
      <c r="C851" t="s">
        <v>182</v>
      </c>
      <c r="D851" t="b">
        <f>TRUE()</f>
        <v>1</v>
      </c>
      <c r="E851" t="b">
        <f>COUNTIF(connections!A:A, A851) &gt; 0</f>
        <v>0</v>
      </c>
      <c r="F851" t="s">
        <v>1077</v>
      </c>
      <c r="G851" t="s">
        <v>2939</v>
      </c>
      <c r="H851" t="s">
        <v>187</v>
      </c>
      <c r="I851" t="s">
        <v>2940</v>
      </c>
      <c r="J851" s="1" t="s">
        <v>2941</v>
      </c>
    </row>
    <row r="852" spans="1:10" x14ac:dyDescent="0.25">
      <c r="A852" t="s">
        <v>2942</v>
      </c>
      <c r="B852">
        <v>2017</v>
      </c>
      <c r="C852" t="s">
        <v>179</v>
      </c>
      <c r="D852" t="b">
        <f>TRUE()</f>
        <v>1</v>
      </c>
      <c r="E852" t="b">
        <f>COUNTIF(connections!A:A, A852) &gt; 0</f>
        <v>0</v>
      </c>
      <c r="G852" t="s">
        <v>2943</v>
      </c>
    </row>
    <row r="853" spans="1:10" x14ac:dyDescent="0.25">
      <c r="A853" t="s">
        <v>2944</v>
      </c>
      <c r="B853">
        <v>2010</v>
      </c>
      <c r="C853" t="s">
        <v>179</v>
      </c>
      <c r="D853" t="b">
        <f>TRUE()</f>
        <v>1</v>
      </c>
      <c r="E853" t="b">
        <f>COUNTIF(connections!A:A, A853) &gt; 0</f>
        <v>1</v>
      </c>
      <c r="G853" t="s">
        <v>2945</v>
      </c>
      <c r="H853" t="s">
        <v>187</v>
      </c>
      <c r="I853" t="s">
        <v>2946</v>
      </c>
      <c r="J853" s="11" t="s">
        <v>2947</v>
      </c>
    </row>
    <row r="854" spans="1:10" x14ac:dyDescent="0.25">
      <c r="A854" t="s">
        <v>2948</v>
      </c>
      <c r="B854">
        <v>1994</v>
      </c>
      <c r="C854" t="s">
        <v>179</v>
      </c>
      <c r="D854" t="b">
        <f>TRUE()</f>
        <v>1</v>
      </c>
      <c r="E854" t="b">
        <f>COUNTIF(connections!A:A, A854) &gt; 0</f>
        <v>1</v>
      </c>
      <c r="G854" t="s">
        <v>2949</v>
      </c>
      <c r="H854" t="s">
        <v>187</v>
      </c>
      <c r="I854" t="s">
        <v>2950</v>
      </c>
    </row>
    <row r="855" spans="1:10" x14ac:dyDescent="0.25">
      <c r="A855" t="s">
        <v>2951</v>
      </c>
      <c r="B855">
        <v>2024</v>
      </c>
      <c r="C855" t="s">
        <v>182</v>
      </c>
      <c r="D855" t="b">
        <f>TRUE()</f>
        <v>1</v>
      </c>
      <c r="E855" t="b">
        <f>COUNTIF(connections!A:A, A855) &gt; 0</f>
        <v>0</v>
      </c>
      <c r="F855" t="s">
        <v>274</v>
      </c>
      <c r="G855" t="s">
        <v>2952</v>
      </c>
      <c r="H855" t="s">
        <v>187</v>
      </c>
      <c r="I855" t="s">
        <v>2953</v>
      </c>
      <c r="J855" s="1" t="s">
        <v>2954</v>
      </c>
    </row>
    <row r="856" spans="1:10" x14ac:dyDescent="0.25">
      <c r="A856" t="s">
        <v>2955</v>
      </c>
      <c r="B856">
        <v>2014</v>
      </c>
      <c r="C856" t="s">
        <v>176</v>
      </c>
      <c r="D856" t="b">
        <f>TRUE()</f>
        <v>1</v>
      </c>
      <c r="E856" t="b">
        <f>COUNTIF(connections!A:A, A856) &gt; 0</f>
        <v>1</v>
      </c>
      <c r="G856" t="s">
        <v>2956</v>
      </c>
      <c r="H856" t="s">
        <v>187</v>
      </c>
      <c r="I856" t="s">
        <v>2957</v>
      </c>
      <c r="J856" s="1" t="s">
        <v>2958</v>
      </c>
    </row>
    <row r="857" spans="1:10" x14ac:dyDescent="0.25">
      <c r="A857" t="s">
        <v>2959</v>
      </c>
      <c r="B857">
        <v>2020</v>
      </c>
      <c r="C857" t="s">
        <v>176</v>
      </c>
      <c r="D857" t="b">
        <f>TRUE()</f>
        <v>1</v>
      </c>
      <c r="E857" t="b">
        <f>COUNTIF(connections!A:A, A857) &gt; 0</f>
        <v>0</v>
      </c>
      <c r="G857" t="s">
        <v>2960</v>
      </c>
      <c r="H857" t="s">
        <v>187</v>
      </c>
      <c r="I857" t="s">
        <v>2961</v>
      </c>
      <c r="J857" s="1" t="s">
        <v>2962</v>
      </c>
    </row>
    <row r="858" spans="1:10" x14ac:dyDescent="0.25">
      <c r="A858" t="s">
        <v>2963</v>
      </c>
      <c r="B858">
        <v>2025</v>
      </c>
      <c r="C858" t="s">
        <v>179</v>
      </c>
      <c r="D858" t="b">
        <f>TRUE()</f>
        <v>1</v>
      </c>
      <c r="E858" t="b">
        <f>COUNTIF(connections!A:A, A858) &gt; 0</f>
        <v>0</v>
      </c>
      <c r="G858" t="s">
        <v>2964</v>
      </c>
      <c r="H858" t="s">
        <v>187</v>
      </c>
      <c r="I858" t="s">
        <v>2965</v>
      </c>
    </row>
    <row r="859" spans="1:10" x14ac:dyDescent="0.25">
      <c r="A859" t="s">
        <v>2966</v>
      </c>
      <c r="B859">
        <v>2023</v>
      </c>
      <c r="C859" t="s">
        <v>182</v>
      </c>
      <c r="D859" t="b">
        <f>TRUE()</f>
        <v>1</v>
      </c>
      <c r="E859" t="b">
        <f>COUNTIF(connections!A:A, A859) &gt; 0</f>
        <v>1</v>
      </c>
      <c r="G859" t="s">
        <v>2967</v>
      </c>
      <c r="H859" t="s">
        <v>187</v>
      </c>
      <c r="I859" t="s">
        <v>2968</v>
      </c>
      <c r="J859" s="1" t="s">
        <v>2969</v>
      </c>
    </row>
    <row r="860" spans="1:10" x14ac:dyDescent="0.25">
      <c r="A860" t="s">
        <v>2970</v>
      </c>
      <c r="B860">
        <v>2026</v>
      </c>
      <c r="C860" t="s">
        <v>182</v>
      </c>
      <c r="D860" t="b">
        <f>TRUE()</f>
        <v>1</v>
      </c>
      <c r="E860" t="b">
        <f>COUNTIF(connections!A:A, A860) &gt; 0</f>
        <v>0</v>
      </c>
      <c r="G860" t="s">
        <v>2971</v>
      </c>
      <c r="J860" s="11" t="s">
        <v>2972</v>
      </c>
    </row>
    <row r="861" spans="1:10" x14ac:dyDescent="0.25">
      <c r="A861" t="s">
        <v>2973</v>
      </c>
      <c r="B861">
        <v>2022</v>
      </c>
      <c r="C861" t="s">
        <v>179</v>
      </c>
      <c r="D861" t="b">
        <f>TRUE()</f>
        <v>1</v>
      </c>
      <c r="E861" t="b">
        <f>COUNTIF(connections!A:A, A861) &gt; 0</f>
        <v>0</v>
      </c>
      <c r="G861" t="s">
        <v>2974</v>
      </c>
      <c r="H861" t="s">
        <v>187</v>
      </c>
      <c r="I861" t="s">
        <v>2975</v>
      </c>
      <c r="J861" s="11" t="s">
        <v>2976</v>
      </c>
    </row>
    <row r="862" spans="1:10" x14ac:dyDescent="0.25">
      <c r="A862" t="s">
        <v>7888</v>
      </c>
      <c r="B862">
        <v>2026</v>
      </c>
      <c r="C862" t="s">
        <v>176</v>
      </c>
      <c r="D862" t="b">
        <f>TRUE()</f>
        <v>1</v>
      </c>
      <c r="E862" t="b">
        <f>COUNTIF(connections!A:A, A862) &gt; 0</f>
        <v>0</v>
      </c>
      <c r="G862" t="s">
        <v>7889</v>
      </c>
      <c r="J862" s="11" t="s">
        <v>7890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5" r:id="rId105" xr:uid="{00000000-0004-0000-0000-000068000000}"/>
    <hyperlink ref="J167" r:id="rId106" xr:uid="{00000000-0004-0000-0000-000069000000}"/>
    <hyperlink ref="J168" r:id="rId107" xr:uid="{00000000-0004-0000-0000-00006A000000}"/>
    <hyperlink ref="J169" r:id="rId108" xr:uid="{00000000-0004-0000-0000-00006B000000}"/>
    <hyperlink ref="J171" r:id="rId109" xr:uid="{00000000-0004-0000-0000-00006C000000}"/>
    <hyperlink ref="J172" r:id="rId110" xr:uid="{00000000-0004-0000-0000-00006D000000}"/>
    <hyperlink ref="J173" r:id="rId111" xr:uid="{00000000-0004-0000-0000-00006E000000}"/>
    <hyperlink ref="J174" r:id="rId112" xr:uid="{00000000-0004-0000-0000-00006F000000}"/>
    <hyperlink ref="J175" r:id="rId113" xr:uid="{00000000-0004-0000-0000-000070000000}"/>
    <hyperlink ref="J176" r:id="rId114" xr:uid="{00000000-0004-0000-0000-000071000000}"/>
    <hyperlink ref="J177" r:id="rId115" xr:uid="{00000000-0004-0000-0000-000072000000}"/>
    <hyperlink ref="J180" r:id="rId116" xr:uid="{00000000-0004-0000-0000-000073000000}"/>
    <hyperlink ref="J181" r:id="rId117" xr:uid="{00000000-0004-0000-0000-000074000000}"/>
    <hyperlink ref="J182" r:id="rId118" xr:uid="{00000000-0004-0000-0000-000075000000}"/>
    <hyperlink ref="J183" r:id="rId119" xr:uid="{00000000-0004-0000-0000-000076000000}"/>
    <hyperlink ref="J184" r:id="rId120" xr:uid="{00000000-0004-0000-0000-000077000000}"/>
    <hyperlink ref="J185" r:id="rId121" xr:uid="{00000000-0004-0000-0000-000078000000}"/>
    <hyperlink ref="J186" r:id="rId122" xr:uid="{00000000-0004-0000-0000-000079000000}"/>
    <hyperlink ref="J187" r:id="rId123" xr:uid="{00000000-0004-0000-0000-00007A000000}"/>
    <hyperlink ref="J190" r:id="rId124" xr:uid="{00000000-0004-0000-0000-00007B000000}"/>
    <hyperlink ref="J192" r:id="rId125" xr:uid="{00000000-0004-0000-0000-00007C000000}"/>
    <hyperlink ref="J194" r:id="rId126" xr:uid="{00000000-0004-0000-0000-00007D000000}"/>
    <hyperlink ref="J195" r:id="rId127" xr:uid="{00000000-0004-0000-0000-00007E000000}"/>
    <hyperlink ref="J197" r:id="rId128" xr:uid="{00000000-0004-0000-0000-00007F000000}"/>
    <hyperlink ref="J198" r:id="rId129" xr:uid="{00000000-0004-0000-0000-000080000000}"/>
    <hyperlink ref="J201" r:id="rId130" xr:uid="{00000000-0004-0000-0000-000081000000}"/>
    <hyperlink ref="J203" r:id="rId131" xr:uid="{00000000-0004-0000-0000-000082000000}"/>
    <hyperlink ref="J204" r:id="rId132" xr:uid="{00000000-0004-0000-0000-000083000000}"/>
    <hyperlink ref="J206" r:id="rId133" xr:uid="{00000000-0004-0000-0000-000084000000}"/>
    <hyperlink ref="J207" r:id="rId134" xr:uid="{00000000-0004-0000-0000-000085000000}"/>
    <hyperlink ref="J208" r:id="rId135" xr:uid="{00000000-0004-0000-0000-000086000000}"/>
    <hyperlink ref="J210" r:id="rId136" xr:uid="{00000000-0004-0000-0000-000087000000}"/>
    <hyperlink ref="J211" r:id="rId137" xr:uid="{00000000-0004-0000-0000-000088000000}"/>
    <hyperlink ref="J213" r:id="rId138" xr:uid="{00000000-0004-0000-0000-000089000000}"/>
    <hyperlink ref="J214" r:id="rId139" xr:uid="{00000000-0004-0000-0000-00008A000000}"/>
    <hyperlink ref="J217" r:id="rId140" xr:uid="{00000000-0004-0000-0000-00008B000000}"/>
    <hyperlink ref="J218" r:id="rId141" xr:uid="{00000000-0004-0000-0000-00008C000000}"/>
    <hyperlink ref="J219" r:id="rId142" xr:uid="{00000000-0004-0000-0000-00008D000000}"/>
    <hyperlink ref="J221" r:id="rId143" xr:uid="{00000000-0004-0000-0000-00008E000000}"/>
    <hyperlink ref="J222" r:id="rId144" xr:uid="{00000000-0004-0000-0000-00008F000000}"/>
    <hyperlink ref="J225" r:id="rId145" xr:uid="{00000000-0004-0000-0000-000090000000}"/>
    <hyperlink ref="J226" r:id="rId146" xr:uid="{00000000-0004-0000-0000-000091000000}"/>
    <hyperlink ref="J230" r:id="rId147" xr:uid="{00000000-0004-0000-0000-000092000000}"/>
    <hyperlink ref="J232" r:id="rId148" xr:uid="{00000000-0004-0000-0000-000093000000}"/>
    <hyperlink ref="J234" r:id="rId149" xr:uid="{00000000-0004-0000-0000-000094000000}"/>
    <hyperlink ref="J236" r:id="rId150" xr:uid="{00000000-0004-0000-0000-000095000000}"/>
    <hyperlink ref="J238" r:id="rId151" xr:uid="{00000000-0004-0000-0000-000096000000}"/>
    <hyperlink ref="J239" r:id="rId152" xr:uid="{00000000-0004-0000-0000-000097000000}"/>
    <hyperlink ref="J242" r:id="rId153" xr:uid="{00000000-0004-0000-0000-000098000000}"/>
    <hyperlink ref="J243" r:id="rId154" xr:uid="{00000000-0004-0000-0000-000099000000}"/>
    <hyperlink ref="J244" r:id="rId155" xr:uid="{00000000-0004-0000-0000-00009A000000}"/>
    <hyperlink ref="J246" r:id="rId156" xr:uid="{00000000-0004-0000-0000-00009B000000}"/>
    <hyperlink ref="J247" r:id="rId157" xr:uid="{00000000-0004-0000-0000-00009C000000}"/>
    <hyperlink ref="J249" r:id="rId158" xr:uid="{00000000-0004-0000-0000-00009D000000}"/>
    <hyperlink ref="J251" r:id="rId159" xr:uid="{00000000-0004-0000-0000-00009E000000}"/>
    <hyperlink ref="J252" r:id="rId160" xr:uid="{00000000-0004-0000-0000-00009F000000}"/>
    <hyperlink ref="J253" r:id="rId161" xr:uid="{00000000-0004-0000-0000-0000A0000000}"/>
    <hyperlink ref="J254" r:id="rId162" xr:uid="{00000000-0004-0000-0000-0000A1000000}"/>
    <hyperlink ref="J257" r:id="rId163" xr:uid="{00000000-0004-0000-0000-0000A2000000}"/>
    <hyperlink ref="J258" r:id="rId164" xr:uid="{00000000-0004-0000-0000-0000A3000000}"/>
    <hyperlink ref="J259" r:id="rId165" xr:uid="{00000000-0004-0000-0000-0000A4000000}"/>
    <hyperlink ref="J260" r:id="rId166" xr:uid="{00000000-0004-0000-0000-0000A5000000}"/>
    <hyperlink ref="J261" r:id="rId167" xr:uid="{00000000-0004-0000-0000-0000A6000000}"/>
    <hyperlink ref="J266" r:id="rId168" xr:uid="{00000000-0004-0000-0000-0000A7000000}"/>
    <hyperlink ref="J267" r:id="rId169" xr:uid="{00000000-0004-0000-0000-0000A8000000}"/>
    <hyperlink ref="J268" r:id="rId170" xr:uid="{00000000-0004-0000-0000-0000A9000000}"/>
    <hyperlink ref="J269" r:id="rId171" xr:uid="{00000000-0004-0000-0000-0000AA000000}"/>
    <hyperlink ref="J270" r:id="rId172" xr:uid="{00000000-0004-0000-0000-0000AB000000}"/>
    <hyperlink ref="J273" r:id="rId173" xr:uid="{00000000-0004-0000-0000-0000AC000000}"/>
    <hyperlink ref="J274" r:id="rId174" xr:uid="{00000000-0004-0000-0000-0000AD000000}"/>
    <hyperlink ref="J276"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4" r:id="rId181" xr:uid="{00000000-0004-0000-0000-0000B4000000}"/>
    <hyperlink ref="J286" r:id="rId182" xr:uid="{00000000-0004-0000-0000-0000B5000000}"/>
    <hyperlink ref="J287" r:id="rId183" xr:uid="{00000000-0004-0000-0000-0000B6000000}"/>
    <hyperlink ref="J288" r:id="rId184" xr:uid="{00000000-0004-0000-0000-0000B7000000}"/>
    <hyperlink ref="J290" r:id="rId185" xr:uid="{00000000-0004-0000-0000-0000B8000000}"/>
    <hyperlink ref="J291" r:id="rId186" xr:uid="{00000000-0004-0000-0000-0000B9000000}"/>
    <hyperlink ref="J292" r:id="rId187" xr:uid="{00000000-0004-0000-0000-0000BA000000}"/>
    <hyperlink ref="J295"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08" r:id="rId195" xr:uid="{00000000-0004-0000-0000-0000C2000000}"/>
    <hyperlink ref="J309"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5" r:id="rId201" xr:uid="{00000000-0004-0000-0000-0000C8000000}"/>
    <hyperlink ref="J316" r:id="rId202" xr:uid="{00000000-0004-0000-0000-0000C9000000}"/>
    <hyperlink ref="J317" r:id="rId203" xr:uid="{00000000-0004-0000-0000-0000CA000000}"/>
    <hyperlink ref="J318" r:id="rId204" xr:uid="{00000000-0004-0000-0000-0000CB000000}"/>
    <hyperlink ref="J320" r:id="rId205" xr:uid="{00000000-0004-0000-0000-0000CC000000}"/>
    <hyperlink ref="J322" r:id="rId206" xr:uid="{00000000-0004-0000-0000-0000CD000000}"/>
    <hyperlink ref="J323" r:id="rId207" xr:uid="{00000000-0004-0000-0000-0000CE000000}"/>
    <hyperlink ref="J325" r:id="rId208" xr:uid="{00000000-0004-0000-0000-0000CF000000}"/>
    <hyperlink ref="J326" r:id="rId209" xr:uid="{00000000-0004-0000-0000-0000D0000000}"/>
    <hyperlink ref="J327" r:id="rId210" xr:uid="{00000000-0004-0000-0000-0000D1000000}"/>
    <hyperlink ref="J328" r:id="rId211" xr:uid="{00000000-0004-0000-0000-0000D2000000}"/>
    <hyperlink ref="J329" r:id="rId212" xr:uid="{00000000-0004-0000-0000-0000D3000000}"/>
    <hyperlink ref="J330" r:id="rId213" xr:uid="{00000000-0004-0000-0000-0000D4000000}"/>
    <hyperlink ref="J334" r:id="rId214" xr:uid="{00000000-0004-0000-0000-0000D5000000}"/>
    <hyperlink ref="J335" r:id="rId215" xr:uid="{00000000-0004-0000-0000-0000D6000000}"/>
    <hyperlink ref="J336" r:id="rId216" xr:uid="{00000000-0004-0000-0000-0000D7000000}"/>
    <hyperlink ref="J337" r:id="rId217" xr:uid="{00000000-0004-0000-0000-0000D8000000}"/>
    <hyperlink ref="J338" r:id="rId218" xr:uid="{00000000-0004-0000-0000-0000D9000000}"/>
    <hyperlink ref="J340" r:id="rId219" xr:uid="{00000000-0004-0000-0000-0000DA000000}"/>
    <hyperlink ref="J342" r:id="rId220" xr:uid="{00000000-0004-0000-0000-0000DB000000}"/>
    <hyperlink ref="J344" r:id="rId221" xr:uid="{00000000-0004-0000-0000-0000DC000000}"/>
    <hyperlink ref="J345" r:id="rId222" xr:uid="{00000000-0004-0000-0000-0000DD000000}"/>
    <hyperlink ref="J346" r:id="rId223" xr:uid="{00000000-0004-0000-0000-0000DE000000}"/>
    <hyperlink ref="J348" r:id="rId224" xr:uid="{00000000-0004-0000-0000-0000DF000000}"/>
    <hyperlink ref="J349" r:id="rId225" xr:uid="{00000000-0004-0000-0000-0000E0000000}"/>
    <hyperlink ref="J350" r:id="rId226" xr:uid="{00000000-0004-0000-0000-0000E1000000}"/>
    <hyperlink ref="J351" r:id="rId227" xr:uid="{00000000-0004-0000-0000-0000E2000000}"/>
    <hyperlink ref="J353" r:id="rId228" xr:uid="{00000000-0004-0000-0000-0000E3000000}"/>
    <hyperlink ref="J354" r:id="rId229" xr:uid="{00000000-0004-0000-0000-0000E4000000}"/>
    <hyperlink ref="J355" r:id="rId230" xr:uid="{00000000-0004-0000-0000-0000E5000000}"/>
    <hyperlink ref="J356" r:id="rId231" xr:uid="{00000000-0004-0000-0000-0000E6000000}"/>
    <hyperlink ref="J357" r:id="rId232" xr:uid="{00000000-0004-0000-0000-0000E7000000}"/>
    <hyperlink ref="J358" r:id="rId233" xr:uid="{00000000-0004-0000-0000-0000E8000000}"/>
    <hyperlink ref="J360" r:id="rId234" xr:uid="{00000000-0004-0000-0000-0000E9000000}"/>
    <hyperlink ref="J361" r:id="rId235" xr:uid="{00000000-0004-0000-0000-0000EA000000}"/>
    <hyperlink ref="J364" r:id="rId236" xr:uid="{00000000-0004-0000-0000-0000EB000000}"/>
    <hyperlink ref="J367" r:id="rId237" xr:uid="{00000000-0004-0000-0000-0000EC000000}"/>
    <hyperlink ref="J368" r:id="rId238" xr:uid="{00000000-0004-0000-0000-0000ED000000}"/>
    <hyperlink ref="J370" r:id="rId239" xr:uid="{00000000-0004-0000-0000-0000EE000000}"/>
    <hyperlink ref="J371" r:id="rId240" xr:uid="{00000000-0004-0000-0000-0000EF000000}"/>
    <hyperlink ref="J372" r:id="rId241" xr:uid="{00000000-0004-0000-0000-0000F0000000}"/>
    <hyperlink ref="J376" r:id="rId242" xr:uid="{00000000-0004-0000-0000-0000F1000000}"/>
    <hyperlink ref="J377" r:id="rId243" xr:uid="{00000000-0004-0000-0000-0000F2000000}"/>
    <hyperlink ref="J378" r:id="rId244" xr:uid="{00000000-0004-0000-0000-0000F3000000}"/>
    <hyperlink ref="J379" r:id="rId245" xr:uid="{00000000-0004-0000-0000-0000F4000000}"/>
    <hyperlink ref="J380" r:id="rId246" xr:uid="{00000000-0004-0000-0000-0000F5000000}"/>
    <hyperlink ref="J381" r:id="rId247" xr:uid="{00000000-0004-0000-0000-0000F6000000}"/>
    <hyperlink ref="J382" r:id="rId248" xr:uid="{00000000-0004-0000-0000-0000F7000000}"/>
    <hyperlink ref="J388" r:id="rId249" xr:uid="{00000000-0004-0000-0000-0000F8000000}"/>
    <hyperlink ref="J389" r:id="rId250" xr:uid="{00000000-0004-0000-0000-0000F9000000}"/>
    <hyperlink ref="J390" r:id="rId251" xr:uid="{00000000-0004-0000-0000-0000FA000000}"/>
    <hyperlink ref="J391" r:id="rId252" xr:uid="{00000000-0004-0000-0000-0000FB000000}"/>
    <hyperlink ref="J392" r:id="rId253" xr:uid="{00000000-0004-0000-0000-0000FC000000}"/>
    <hyperlink ref="J393" r:id="rId254" xr:uid="{00000000-0004-0000-0000-0000FD000000}"/>
    <hyperlink ref="J395" r:id="rId255" xr:uid="{00000000-0004-0000-0000-0000FE000000}"/>
    <hyperlink ref="J396" r:id="rId256" xr:uid="{00000000-0004-0000-0000-0000FF000000}"/>
    <hyperlink ref="J397" r:id="rId257" xr:uid="{00000000-0004-0000-0000-000000010000}"/>
    <hyperlink ref="J398" r:id="rId258" xr:uid="{00000000-0004-0000-0000-000001010000}"/>
    <hyperlink ref="J399" r:id="rId259" xr:uid="{00000000-0004-0000-0000-000002010000}"/>
    <hyperlink ref="J402" r:id="rId260" xr:uid="{00000000-0004-0000-0000-000003010000}"/>
    <hyperlink ref="J405" r:id="rId261" xr:uid="{00000000-0004-0000-0000-000004010000}"/>
    <hyperlink ref="J408" r:id="rId262" xr:uid="{00000000-0004-0000-0000-000005010000}"/>
    <hyperlink ref="J410" r:id="rId263" xr:uid="{00000000-0004-0000-0000-000006010000}"/>
    <hyperlink ref="J411" r:id="rId264" xr:uid="{00000000-0004-0000-0000-000007010000}"/>
    <hyperlink ref="J412" r:id="rId265" xr:uid="{00000000-0004-0000-0000-000008010000}"/>
    <hyperlink ref="J414" r:id="rId266" xr:uid="{00000000-0004-0000-0000-000009010000}"/>
    <hyperlink ref="J418" r:id="rId267" xr:uid="{00000000-0004-0000-0000-00000A010000}"/>
    <hyperlink ref="J423" r:id="rId268" xr:uid="{00000000-0004-0000-0000-00000B010000}"/>
    <hyperlink ref="J424" r:id="rId269" xr:uid="{00000000-0004-0000-0000-00000C010000}"/>
    <hyperlink ref="J425" r:id="rId270" xr:uid="{00000000-0004-0000-0000-00000D010000}"/>
    <hyperlink ref="J427" r:id="rId271" xr:uid="{00000000-0004-0000-0000-00000E010000}"/>
    <hyperlink ref="J431" r:id="rId272" xr:uid="{00000000-0004-0000-0000-00000F010000}"/>
    <hyperlink ref="J432" r:id="rId273" xr:uid="{00000000-0004-0000-0000-000010010000}"/>
    <hyperlink ref="J433" r:id="rId274" xr:uid="{00000000-0004-0000-0000-000011010000}"/>
    <hyperlink ref="J434" r:id="rId275" xr:uid="{00000000-0004-0000-0000-000012010000}"/>
    <hyperlink ref="J435" r:id="rId276" xr:uid="{00000000-0004-0000-0000-000013010000}"/>
    <hyperlink ref="J436" r:id="rId277" xr:uid="{00000000-0004-0000-0000-000014010000}"/>
    <hyperlink ref="J437" r:id="rId278" xr:uid="{00000000-0004-0000-0000-000015010000}"/>
    <hyperlink ref="J439" r:id="rId279" xr:uid="{00000000-0004-0000-0000-000016010000}"/>
    <hyperlink ref="J441" r:id="rId280" xr:uid="{00000000-0004-0000-0000-000017010000}"/>
    <hyperlink ref="J442" r:id="rId281" xr:uid="{00000000-0004-0000-0000-000018010000}"/>
    <hyperlink ref="J443" r:id="rId282" xr:uid="{00000000-0004-0000-0000-000019010000}"/>
    <hyperlink ref="J444" r:id="rId283" xr:uid="{00000000-0004-0000-0000-00001A010000}"/>
    <hyperlink ref="J445" r:id="rId284" xr:uid="{00000000-0004-0000-0000-00001B010000}"/>
    <hyperlink ref="J447" r:id="rId285" xr:uid="{00000000-0004-0000-0000-00001C010000}"/>
    <hyperlink ref="J451" r:id="rId286" xr:uid="{00000000-0004-0000-0000-00001D010000}"/>
    <hyperlink ref="J453" r:id="rId287" xr:uid="{00000000-0004-0000-0000-00001E010000}"/>
    <hyperlink ref="J458" r:id="rId288" xr:uid="{00000000-0004-0000-0000-00001F010000}"/>
    <hyperlink ref="J459" r:id="rId289" xr:uid="{00000000-0004-0000-0000-000020010000}"/>
    <hyperlink ref="J461" r:id="rId290" xr:uid="{00000000-0004-0000-0000-000021010000}"/>
    <hyperlink ref="J462" r:id="rId291" xr:uid="{00000000-0004-0000-0000-000022010000}"/>
    <hyperlink ref="J463" r:id="rId292" xr:uid="{00000000-0004-0000-0000-000023010000}"/>
    <hyperlink ref="J464" r:id="rId293" xr:uid="{00000000-0004-0000-0000-000024010000}"/>
    <hyperlink ref="J466" r:id="rId294" xr:uid="{00000000-0004-0000-0000-000025010000}"/>
    <hyperlink ref="J468" r:id="rId295" xr:uid="{00000000-0004-0000-0000-000026010000}"/>
    <hyperlink ref="J471" r:id="rId296" xr:uid="{00000000-0004-0000-0000-000027010000}"/>
    <hyperlink ref="J473" r:id="rId297" xr:uid="{00000000-0004-0000-0000-000028010000}"/>
    <hyperlink ref="J474" r:id="rId298" xr:uid="{00000000-0004-0000-0000-000029010000}"/>
    <hyperlink ref="J475" r:id="rId299" xr:uid="{00000000-0004-0000-0000-00002A010000}"/>
    <hyperlink ref="J477" r:id="rId300" xr:uid="{00000000-0004-0000-0000-00002B010000}"/>
    <hyperlink ref="J478" r:id="rId301" xr:uid="{00000000-0004-0000-0000-00002C010000}"/>
    <hyperlink ref="J480" r:id="rId302" xr:uid="{00000000-0004-0000-0000-00002D010000}"/>
    <hyperlink ref="J482" r:id="rId303" xr:uid="{00000000-0004-0000-0000-00002E010000}"/>
    <hyperlink ref="J483" r:id="rId304" xr:uid="{00000000-0004-0000-0000-00002F010000}"/>
    <hyperlink ref="J484" r:id="rId305" xr:uid="{00000000-0004-0000-0000-000030010000}"/>
    <hyperlink ref="J485" r:id="rId306" xr:uid="{00000000-0004-0000-0000-000031010000}"/>
    <hyperlink ref="J486" r:id="rId307" xr:uid="{00000000-0004-0000-0000-000032010000}"/>
    <hyperlink ref="J487" r:id="rId308" xr:uid="{00000000-0004-0000-0000-000033010000}"/>
    <hyperlink ref="J488" r:id="rId309" xr:uid="{00000000-0004-0000-0000-000034010000}"/>
    <hyperlink ref="J492" r:id="rId310" xr:uid="{00000000-0004-0000-0000-000035010000}"/>
    <hyperlink ref="J493" r:id="rId311" xr:uid="{00000000-0004-0000-0000-000036010000}"/>
    <hyperlink ref="J494" r:id="rId312" xr:uid="{00000000-0004-0000-0000-000037010000}"/>
    <hyperlink ref="J497" r:id="rId313" xr:uid="{00000000-0004-0000-0000-000038010000}"/>
    <hyperlink ref="J498" r:id="rId314" xr:uid="{00000000-0004-0000-0000-000039010000}"/>
    <hyperlink ref="J499" r:id="rId315" xr:uid="{00000000-0004-0000-0000-00003A010000}"/>
    <hyperlink ref="J500" r:id="rId316" xr:uid="{00000000-0004-0000-0000-00003B010000}"/>
    <hyperlink ref="J501" r:id="rId317" xr:uid="{00000000-0004-0000-0000-00003C010000}"/>
    <hyperlink ref="J502" r:id="rId318" xr:uid="{00000000-0004-0000-0000-00003D010000}"/>
    <hyperlink ref="J503" r:id="rId319" xr:uid="{00000000-0004-0000-0000-00003E010000}"/>
    <hyperlink ref="J505" r:id="rId320" xr:uid="{00000000-0004-0000-0000-00003F010000}"/>
    <hyperlink ref="J506" r:id="rId321" xr:uid="{00000000-0004-0000-0000-000040010000}"/>
    <hyperlink ref="J507" r:id="rId322" xr:uid="{00000000-0004-0000-0000-000041010000}"/>
    <hyperlink ref="J508" r:id="rId323" xr:uid="{00000000-0004-0000-0000-000042010000}"/>
    <hyperlink ref="J509" r:id="rId324" xr:uid="{00000000-0004-0000-0000-000043010000}"/>
    <hyperlink ref="J512" r:id="rId325" xr:uid="{00000000-0004-0000-0000-000044010000}"/>
    <hyperlink ref="J513" r:id="rId326" xr:uid="{00000000-0004-0000-0000-000045010000}"/>
    <hyperlink ref="J516" r:id="rId327" xr:uid="{00000000-0004-0000-0000-000046010000}"/>
    <hyperlink ref="J519" r:id="rId328" xr:uid="{00000000-0004-0000-0000-000047010000}"/>
    <hyperlink ref="J522" r:id="rId329" xr:uid="{00000000-0004-0000-0000-000048010000}"/>
    <hyperlink ref="J523" r:id="rId330" xr:uid="{00000000-0004-0000-0000-000049010000}"/>
    <hyperlink ref="J524" r:id="rId331" xr:uid="{00000000-0004-0000-0000-00004A010000}"/>
    <hyperlink ref="J526" r:id="rId332" xr:uid="{00000000-0004-0000-0000-00004B010000}"/>
    <hyperlink ref="J527" r:id="rId333" xr:uid="{00000000-0004-0000-0000-00004C010000}"/>
    <hyperlink ref="J528" r:id="rId334" xr:uid="{00000000-0004-0000-0000-00004D010000}"/>
    <hyperlink ref="J530" r:id="rId335" xr:uid="{00000000-0004-0000-0000-00004E010000}"/>
    <hyperlink ref="J532" r:id="rId336" xr:uid="{00000000-0004-0000-0000-00004F010000}"/>
    <hyperlink ref="J534" r:id="rId337" xr:uid="{00000000-0004-0000-0000-000050010000}"/>
    <hyperlink ref="J535" r:id="rId338" xr:uid="{00000000-0004-0000-0000-000051010000}"/>
    <hyperlink ref="J536" r:id="rId339" xr:uid="{00000000-0004-0000-0000-000052010000}"/>
    <hyperlink ref="J538" r:id="rId340" xr:uid="{00000000-0004-0000-0000-000053010000}"/>
    <hyperlink ref="J539" r:id="rId341" xr:uid="{00000000-0004-0000-0000-000054010000}"/>
    <hyperlink ref="J540" r:id="rId342" xr:uid="{00000000-0004-0000-0000-000055010000}"/>
    <hyperlink ref="J542" r:id="rId343" xr:uid="{00000000-0004-0000-0000-000056010000}"/>
    <hyperlink ref="J543" r:id="rId344" xr:uid="{00000000-0004-0000-0000-000057010000}"/>
    <hyperlink ref="J544" r:id="rId345" xr:uid="{00000000-0004-0000-0000-000058010000}"/>
    <hyperlink ref="J545" r:id="rId346" xr:uid="{00000000-0004-0000-0000-000059010000}"/>
    <hyperlink ref="J546" r:id="rId347" xr:uid="{00000000-0004-0000-0000-00005A010000}"/>
    <hyperlink ref="J547" r:id="rId348" xr:uid="{00000000-0004-0000-0000-00005B010000}"/>
    <hyperlink ref="J551" r:id="rId349" xr:uid="{00000000-0004-0000-0000-00005C010000}"/>
    <hyperlink ref="J566" r:id="rId350" xr:uid="{00000000-0004-0000-0000-00005D010000}"/>
    <hyperlink ref="J567" r:id="rId351" xr:uid="{00000000-0004-0000-0000-00005E010000}"/>
    <hyperlink ref="J568" r:id="rId352" xr:uid="{00000000-0004-0000-0000-00005F010000}"/>
    <hyperlink ref="J569" r:id="rId353" xr:uid="{00000000-0004-0000-0000-000060010000}"/>
    <hyperlink ref="J571" r:id="rId354" xr:uid="{00000000-0004-0000-0000-000061010000}"/>
    <hyperlink ref="J572" r:id="rId355" xr:uid="{00000000-0004-0000-0000-000062010000}"/>
    <hyperlink ref="J575" r:id="rId356" xr:uid="{00000000-0004-0000-0000-000063010000}"/>
    <hyperlink ref="J576" r:id="rId357" xr:uid="{00000000-0004-0000-0000-000064010000}"/>
    <hyperlink ref="J577" r:id="rId358" xr:uid="{00000000-0004-0000-0000-000065010000}"/>
    <hyperlink ref="J580" r:id="rId359" xr:uid="{00000000-0004-0000-0000-000066010000}"/>
    <hyperlink ref="J582" r:id="rId360" xr:uid="{00000000-0004-0000-0000-000067010000}"/>
    <hyperlink ref="J583" r:id="rId361" xr:uid="{00000000-0004-0000-0000-000068010000}"/>
    <hyperlink ref="J584" r:id="rId362" xr:uid="{00000000-0004-0000-0000-000069010000}"/>
    <hyperlink ref="J585" r:id="rId363" xr:uid="{00000000-0004-0000-0000-00006A010000}"/>
    <hyperlink ref="J586" r:id="rId364" xr:uid="{00000000-0004-0000-0000-00006B010000}"/>
    <hyperlink ref="J587" r:id="rId365" xr:uid="{00000000-0004-0000-0000-00006C010000}"/>
    <hyperlink ref="J588" r:id="rId366" xr:uid="{00000000-0004-0000-0000-00006D010000}"/>
    <hyperlink ref="J589" r:id="rId367" xr:uid="{00000000-0004-0000-0000-00006E010000}"/>
    <hyperlink ref="J590" r:id="rId368" xr:uid="{00000000-0004-0000-0000-00006F010000}"/>
    <hyperlink ref="J591" r:id="rId369" xr:uid="{00000000-0004-0000-0000-000070010000}"/>
    <hyperlink ref="J592" r:id="rId370" xr:uid="{00000000-0004-0000-0000-000071010000}"/>
    <hyperlink ref="J593" r:id="rId371" xr:uid="{00000000-0004-0000-0000-000072010000}"/>
    <hyperlink ref="J594" r:id="rId372" xr:uid="{00000000-0004-0000-0000-000073010000}"/>
    <hyperlink ref="J596" r:id="rId373" xr:uid="{00000000-0004-0000-0000-000074010000}"/>
    <hyperlink ref="J597" r:id="rId374" xr:uid="{00000000-0004-0000-0000-000075010000}"/>
    <hyperlink ref="J598" r:id="rId375" xr:uid="{00000000-0004-0000-0000-000076010000}"/>
    <hyperlink ref="J600" r:id="rId376" xr:uid="{00000000-0004-0000-0000-000077010000}"/>
    <hyperlink ref="J601" r:id="rId377" xr:uid="{00000000-0004-0000-0000-000078010000}"/>
    <hyperlink ref="J602" r:id="rId378" xr:uid="{00000000-0004-0000-0000-000079010000}"/>
    <hyperlink ref="J608" r:id="rId379" xr:uid="{00000000-0004-0000-0000-00007A010000}"/>
    <hyperlink ref="J609" r:id="rId380" xr:uid="{00000000-0004-0000-0000-00007B010000}"/>
    <hyperlink ref="J610" r:id="rId381" xr:uid="{00000000-0004-0000-0000-00007C010000}"/>
    <hyperlink ref="J611" r:id="rId382" xr:uid="{00000000-0004-0000-0000-00007D010000}"/>
    <hyperlink ref="J613" r:id="rId383" xr:uid="{00000000-0004-0000-0000-00007E010000}"/>
    <hyperlink ref="J615" r:id="rId384" xr:uid="{00000000-0004-0000-0000-00007F010000}"/>
    <hyperlink ref="J616" r:id="rId385" xr:uid="{00000000-0004-0000-0000-000080010000}"/>
    <hyperlink ref="J619" r:id="rId386" xr:uid="{00000000-0004-0000-0000-000081010000}"/>
    <hyperlink ref="J620" r:id="rId387" xr:uid="{00000000-0004-0000-0000-000082010000}"/>
    <hyperlink ref="J621" r:id="rId388" xr:uid="{00000000-0004-0000-0000-000083010000}"/>
    <hyperlink ref="J622" r:id="rId389" xr:uid="{00000000-0004-0000-0000-000084010000}"/>
    <hyperlink ref="J623" r:id="rId390" xr:uid="{00000000-0004-0000-0000-000085010000}"/>
    <hyperlink ref="J625" r:id="rId391" xr:uid="{00000000-0004-0000-0000-000086010000}"/>
    <hyperlink ref="J626" r:id="rId392" xr:uid="{00000000-0004-0000-0000-000087010000}"/>
    <hyperlink ref="J627" r:id="rId393" xr:uid="{00000000-0004-0000-0000-000088010000}"/>
    <hyperlink ref="J628" r:id="rId394" xr:uid="{00000000-0004-0000-0000-000089010000}"/>
    <hyperlink ref="J629" r:id="rId395" xr:uid="{00000000-0004-0000-0000-00008A010000}"/>
    <hyperlink ref="J631" r:id="rId396" xr:uid="{00000000-0004-0000-0000-00008B010000}"/>
    <hyperlink ref="J632" r:id="rId397" xr:uid="{00000000-0004-0000-0000-00008C010000}"/>
    <hyperlink ref="J633" r:id="rId398" xr:uid="{00000000-0004-0000-0000-00008D010000}"/>
    <hyperlink ref="J634" r:id="rId399" xr:uid="{00000000-0004-0000-0000-00008E010000}"/>
    <hyperlink ref="J636" r:id="rId400" xr:uid="{00000000-0004-0000-0000-00008F010000}"/>
    <hyperlink ref="J637" r:id="rId401" xr:uid="{00000000-0004-0000-0000-000090010000}"/>
    <hyperlink ref="J639" r:id="rId402" xr:uid="{00000000-0004-0000-0000-000091010000}"/>
    <hyperlink ref="J640" r:id="rId403" xr:uid="{00000000-0004-0000-0000-000092010000}"/>
    <hyperlink ref="J644" r:id="rId404" xr:uid="{00000000-0004-0000-0000-000093010000}"/>
    <hyperlink ref="J646" r:id="rId405" xr:uid="{00000000-0004-0000-0000-000094010000}"/>
    <hyperlink ref="J653" r:id="rId406" xr:uid="{00000000-0004-0000-0000-000095010000}"/>
    <hyperlink ref="J654" r:id="rId407" xr:uid="{00000000-0004-0000-0000-000096010000}"/>
    <hyperlink ref="J655" r:id="rId408" xr:uid="{00000000-0004-0000-0000-000097010000}"/>
    <hyperlink ref="J657" r:id="rId409" xr:uid="{00000000-0004-0000-0000-000098010000}"/>
    <hyperlink ref="J660" r:id="rId410" xr:uid="{00000000-0004-0000-0000-000099010000}"/>
    <hyperlink ref="J661" r:id="rId411" xr:uid="{00000000-0004-0000-0000-00009A010000}"/>
    <hyperlink ref="J663" r:id="rId412" xr:uid="{00000000-0004-0000-0000-00009B010000}"/>
    <hyperlink ref="J664" r:id="rId413" xr:uid="{00000000-0004-0000-0000-00009C010000}"/>
    <hyperlink ref="J666" r:id="rId414" xr:uid="{00000000-0004-0000-0000-00009D010000}"/>
    <hyperlink ref="J667" r:id="rId415" xr:uid="{00000000-0004-0000-0000-00009E010000}"/>
    <hyperlink ref="J668" r:id="rId416" xr:uid="{00000000-0004-0000-0000-00009F010000}"/>
    <hyperlink ref="J669" r:id="rId417" xr:uid="{00000000-0004-0000-0000-0000A0010000}"/>
    <hyperlink ref="J670" r:id="rId418" xr:uid="{00000000-0004-0000-0000-0000A1010000}"/>
    <hyperlink ref="J673" r:id="rId419" xr:uid="{00000000-0004-0000-0000-0000A2010000}"/>
    <hyperlink ref="J674" r:id="rId420" xr:uid="{00000000-0004-0000-0000-0000A3010000}"/>
    <hyperlink ref="J675" r:id="rId421" xr:uid="{00000000-0004-0000-0000-0000A4010000}"/>
    <hyperlink ref="J676" r:id="rId422" xr:uid="{00000000-0004-0000-0000-0000A5010000}"/>
    <hyperlink ref="J677" r:id="rId423" xr:uid="{00000000-0004-0000-0000-0000A6010000}"/>
    <hyperlink ref="J680" r:id="rId424" xr:uid="{00000000-0004-0000-0000-0000A7010000}"/>
    <hyperlink ref="J682" r:id="rId425" xr:uid="{00000000-0004-0000-0000-0000A8010000}"/>
    <hyperlink ref="J683" r:id="rId426" xr:uid="{00000000-0004-0000-0000-0000A9010000}"/>
    <hyperlink ref="J684" r:id="rId427" xr:uid="{00000000-0004-0000-0000-0000AA010000}"/>
    <hyperlink ref="J686" r:id="rId428" xr:uid="{00000000-0004-0000-0000-0000AB010000}"/>
    <hyperlink ref="J687" r:id="rId429" xr:uid="{00000000-0004-0000-0000-0000AC010000}"/>
    <hyperlink ref="J688" r:id="rId430" xr:uid="{00000000-0004-0000-0000-0000AD010000}"/>
    <hyperlink ref="J690" r:id="rId431" xr:uid="{00000000-0004-0000-0000-0000AE010000}"/>
    <hyperlink ref="J691" r:id="rId432" xr:uid="{00000000-0004-0000-0000-0000AF010000}"/>
    <hyperlink ref="J692" r:id="rId433" xr:uid="{00000000-0004-0000-0000-0000B0010000}"/>
    <hyperlink ref="J693" r:id="rId434" xr:uid="{00000000-0004-0000-0000-0000B1010000}"/>
    <hyperlink ref="J694" r:id="rId435" xr:uid="{00000000-0004-0000-0000-0000B2010000}"/>
    <hyperlink ref="J695" r:id="rId436" xr:uid="{00000000-0004-0000-0000-0000B3010000}"/>
    <hyperlink ref="J696" r:id="rId437" xr:uid="{00000000-0004-0000-0000-0000B4010000}"/>
    <hyperlink ref="J697" r:id="rId438" xr:uid="{00000000-0004-0000-0000-0000B5010000}"/>
    <hyperlink ref="J698" r:id="rId439" xr:uid="{00000000-0004-0000-0000-0000B6010000}"/>
    <hyperlink ref="J699" r:id="rId440" xr:uid="{00000000-0004-0000-0000-0000B7010000}"/>
    <hyperlink ref="J700" r:id="rId441" xr:uid="{00000000-0004-0000-0000-0000B8010000}"/>
    <hyperlink ref="J702" r:id="rId442" xr:uid="{00000000-0004-0000-0000-0000B9010000}"/>
    <hyperlink ref="J705" r:id="rId443" xr:uid="{00000000-0004-0000-0000-0000BA010000}"/>
    <hyperlink ref="J707" r:id="rId444" xr:uid="{00000000-0004-0000-0000-0000BB010000}"/>
    <hyperlink ref="J709" r:id="rId445" xr:uid="{00000000-0004-0000-0000-0000BC010000}"/>
    <hyperlink ref="J710" r:id="rId446" xr:uid="{00000000-0004-0000-0000-0000BD010000}"/>
    <hyperlink ref="J711" r:id="rId447" xr:uid="{00000000-0004-0000-0000-0000BE010000}"/>
    <hyperlink ref="J712" r:id="rId448" xr:uid="{00000000-0004-0000-0000-0000BF010000}"/>
    <hyperlink ref="J713" r:id="rId449" xr:uid="{00000000-0004-0000-0000-0000C0010000}"/>
    <hyperlink ref="J714" r:id="rId450" xr:uid="{00000000-0004-0000-0000-0000C1010000}"/>
    <hyperlink ref="J717" r:id="rId451" xr:uid="{00000000-0004-0000-0000-0000C2010000}"/>
    <hyperlink ref="J718" r:id="rId452" xr:uid="{00000000-0004-0000-0000-0000C3010000}"/>
    <hyperlink ref="J719" r:id="rId453" xr:uid="{00000000-0004-0000-0000-0000C4010000}"/>
    <hyperlink ref="J720" r:id="rId454" xr:uid="{00000000-0004-0000-0000-0000C5010000}"/>
    <hyperlink ref="J721" r:id="rId455" xr:uid="{00000000-0004-0000-0000-0000C6010000}"/>
    <hyperlink ref="J722" r:id="rId456" xr:uid="{00000000-0004-0000-0000-0000C7010000}"/>
    <hyperlink ref="J723" r:id="rId457" xr:uid="{00000000-0004-0000-0000-0000C8010000}"/>
    <hyperlink ref="J724" r:id="rId458" xr:uid="{00000000-0004-0000-0000-0000C9010000}"/>
    <hyperlink ref="J726" r:id="rId459" xr:uid="{00000000-0004-0000-0000-0000CA010000}"/>
    <hyperlink ref="J727" r:id="rId460" xr:uid="{00000000-0004-0000-0000-0000CB010000}"/>
    <hyperlink ref="J728" r:id="rId461" xr:uid="{00000000-0004-0000-0000-0000CC010000}"/>
    <hyperlink ref="J729" r:id="rId462" xr:uid="{00000000-0004-0000-0000-0000CD010000}"/>
    <hyperlink ref="J730" r:id="rId463" xr:uid="{00000000-0004-0000-0000-0000CE010000}"/>
    <hyperlink ref="J731" r:id="rId464" xr:uid="{00000000-0004-0000-0000-0000CF010000}"/>
    <hyperlink ref="J732" r:id="rId465" xr:uid="{00000000-0004-0000-0000-0000D0010000}"/>
    <hyperlink ref="J733" r:id="rId466" xr:uid="{00000000-0004-0000-0000-0000D1010000}"/>
    <hyperlink ref="J735" r:id="rId467" xr:uid="{00000000-0004-0000-0000-0000D2010000}"/>
    <hyperlink ref="J737" r:id="rId468" xr:uid="{00000000-0004-0000-0000-0000D3010000}"/>
    <hyperlink ref="J738" r:id="rId469" xr:uid="{00000000-0004-0000-0000-0000D4010000}"/>
    <hyperlink ref="J740" r:id="rId470" xr:uid="{00000000-0004-0000-0000-0000D5010000}"/>
    <hyperlink ref="J741" r:id="rId471" xr:uid="{00000000-0004-0000-0000-0000D6010000}"/>
    <hyperlink ref="J744" r:id="rId472" xr:uid="{00000000-0004-0000-0000-0000D7010000}"/>
    <hyperlink ref="J745" r:id="rId473" xr:uid="{00000000-0004-0000-0000-0000D8010000}"/>
    <hyperlink ref="J749" r:id="rId474" xr:uid="{00000000-0004-0000-0000-0000D9010000}"/>
    <hyperlink ref="J752" r:id="rId475" xr:uid="{00000000-0004-0000-0000-0000DA010000}"/>
    <hyperlink ref="J754" r:id="rId476" xr:uid="{00000000-0004-0000-0000-0000DB010000}"/>
    <hyperlink ref="J755" r:id="rId477" xr:uid="{00000000-0004-0000-0000-0000DC010000}"/>
    <hyperlink ref="J756" r:id="rId478" xr:uid="{00000000-0004-0000-0000-0000DD010000}"/>
    <hyperlink ref="J758" r:id="rId479" xr:uid="{00000000-0004-0000-0000-0000DE010000}"/>
    <hyperlink ref="J759" r:id="rId480" xr:uid="{00000000-0004-0000-0000-0000DF010000}"/>
    <hyperlink ref="J762" r:id="rId481" xr:uid="{00000000-0004-0000-0000-0000E0010000}"/>
    <hyperlink ref="J763" r:id="rId482" xr:uid="{00000000-0004-0000-0000-0000E1010000}"/>
    <hyperlink ref="J765" r:id="rId483" xr:uid="{00000000-0004-0000-0000-0000E2010000}"/>
    <hyperlink ref="J768" r:id="rId484" xr:uid="{00000000-0004-0000-0000-0000E3010000}"/>
    <hyperlink ref="J769" r:id="rId485" xr:uid="{00000000-0004-0000-0000-0000E4010000}"/>
    <hyperlink ref="J770" r:id="rId486" xr:uid="{00000000-0004-0000-0000-0000E5010000}"/>
    <hyperlink ref="J771" r:id="rId487" xr:uid="{00000000-0004-0000-0000-0000E6010000}"/>
    <hyperlink ref="J772" r:id="rId488" xr:uid="{00000000-0004-0000-0000-0000E7010000}"/>
    <hyperlink ref="J775" r:id="rId489" xr:uid="{00000000-0004-0000-0000-0000E8010000}"/>
    <hyperlink ref="J779" r:id="rId490" xr:uid="{00000000-0004-0000-0000-0000E9010000}"/>
    <hyperlink ref="J780" r:id="rId491" xr:uid="{00000000-0004-0000-0000-0000EA010000}"/>
    <hyperlink ref="J781" r:id="rId492" xr:uid="{00000000-0004-0000-0000-0000EB010000}"/>
    <hyperlink ref="J784" r:id="rId493" xr:uid="{00000000-0004-0000-0000-0000EC010000}"/>
    <hyperlink ref="J786" r:id="rId494" xr:uid="{00000000-0004-0000-0000-0000ED010000}"/>
    <hyperlink ref="J787" r:id="rId495" xr:uid="{00000000-0004-0000-0000-0000EE010000}"/>
    <hyperlink ref="J788" r:id="rId496" xr:uid="{00000000-0004-0000-0000-0000EF010000}"/>
    <hyperlink ref="J790" r:id="rId497" xr:uid="{00000000-0004-0000-0000-0000F0010000}"/>
    <hyperlink ref="J791" r:id="rId498" xr:uid="{00000000-0004-0000-0000-0000F1010000}"/>
    <hyperlink ref="J792" r:id="rId499" xr:uid="{00000000-0004-0000-0000-0000F2010000}"/>
    <hyperlink ref="J793" r:id="rId500" xr:uid="{00000000-0004-0000-0000-0000F3010000}"/>
    <hyperlink ref="J795" r:id="rId501" xr:uid="{00000000-0004-0000-0000-0000F4010000}"/>
    <hyperlink ref="J797" r:id="rId502" xr:uid="{00000000-0004-0000-0000-0000F5010000}"/>
    <hyperlink ref="J799" r:id="rId503" xr:uid="{00000000-0004-0000-0000-0000F6010000}"/>
    <hyperlink ref="J803" r:id="rId504" xr:uid="{00000000-0004-0000-0000-0000F7010000}"/>
    <hyperlink ref="J806" r:id="rId505" xr:uid="{00000000-0004-0000-0000-0000F8010000}"/>
    <hyperlink ref="J807" r:id="rId506" xr:uid="{00000000-0004-0000-0000-0000F9010000}"/>
    <hyperlink ref="J808" r:id="rId507" xr:uid="{00000000-0004-0000-0000-0000FA010000}"/>
    <hyperlink ref="J810" r:id="rId508" xr:uid="{00000000-0004-0000-0000-0000FB010000}"/>
    <hyperlink ref="J814" r:id="rId509" xr:uid="{00000000-0004-0000-0000-0000FC010000}"/>
    <hyperlink ref="J815" r:id="rId510" xr:uid="{00000000-0004-0000-0000-0000FD010000}"/>
    <hyperlink ref="J817" r:id="rId511" xr:uid="{00000000-0004-0000-0000-0000FE010000}"/>
    <hyperlink ref="J819" r:id="rId512" xr:uid="{00000000-0004-0000-0000-0000FF010000}"/>
    <hyperlink ref="J821" r:id="rId513" xr:uid="{00000000-0004-0000-0000-000000020000}"/>
    <hyperlink ref="J825" r:id="rId514" xr:uid="{00000000-0004-0000-0000-000001020000}"/>
    <hyperlink ref="J826" r:id="rId515" xr:uid="{00000000-0004-0000-0000-000002020000}"/>
    <hyperlink ref="J828" r:id="rId516" xr:uid="{00000000-0004-0000-0000-000003020000}"/>
    <hyperlink ref="J829" r:id="rId517" xr:uid="{00000000-0004-0000-0000-000004020000}"/>
    <hyperlink ref="J830" r:id="rId518" xr:uid="{00000000-0004-0000-0000-000005020000}"/>
    <hyperlink ref="J831" r:id="rId519" xr:uid="{00000000-0004-0000-0000-000006020000}"/>
    <hyperlink ref="J836" r:id="rId520" xr:uid="{00000000-0004-0000-0000-000007020000}"/>
    <hyperlink ref="J839" r:id="rId521" xr:uid="{00000000-0004-0000-0000-000008020000}"/>
    <hyperlink ref="J840" r:id="rId522" xr:uid="{00000000-0004-0000-0000-000009020000}"/>
    <hyperlink ref="J842" r:id="rId523" xr:uid="{00000000-0004-0000-0000-00000A020000}"/>
    <hyperlink ref="J843" r:id="rId524" xr:uid="{00000000-0004-0000-0000-00000B020000}"/>
    <hyperlink ref="J844" r:id="rId525" xr:uid="{00000000-0004-0000-0000-00000C020000}"/>
    <hyperlink ref="J846" r:id="rId526" xr:uid="{00000000-0004-0000-0000-00000D020000}"/>
    <hyperlink ref="J847" r:id="rId527" xr:uid="{00000000-0004-0000-0000-00000E020000}"/>
    <hyperlink ref="J848" r:id="rId528" xr:uid="{00000000-0004-0000-0000-00000F020000}"/>
    <hyperlink ref="J850" r:id="rId529" xr:uid="{00000000-0004-0000-0000-000010020000}"/>
    <hyperlink ref="J851" r:id="rId530" xr:uid="{00000000-0004-0000-0000-000011020000}"/>
    <hyperlink ref="J853" r:id="rId531" xr:uid="{00000000-0004-0000-0000-000012020000}"/>
    <hyperlink ref="J855" r:id="rId532" xr:uid="{00000000-0004-0000-0000-000013020000}"/>
    <hyperlink ref="J856" r:id="rId533" xr:uid="{00000000-0004-0000-0000-000014020000}"/>
    <hyperlink ref="J857" r:id="rId534" xr:uid="{00000000-0004-0000-0000-000015020000}"/>
    <hyperlink ref="J859" r:id="rId535" xr:uid="{00000000-0004-0000-0000-000016020000}"/>
    <hyperlink ref="J860" r:id="rId536" xr:uid="{00000000-0004-0000-0000-000017020000}"/>
    <hyperlink ref="J861" r:id="rId537" xr:uid="{00000000-0004-0000-0000-000018020000}"/>
    <hyperlink ref="J138" r:id="rId538" xr:uid="{08E49B8B-AB87-44CE-BD88-6A72072643F3}"/>
    <hyperlink ref="J541" r:id="rId539" xr:uid="{613E919C-99D5-4936-BD6E-E1B66FD364CC}"/>
    <hyperlink ref="J796" r:id="rId540" xr:uid="{E1E31E7C-5F84-456C-A725-1102F7BDFFA9}"/>
    <hyperlink ref="J331" r:id="rId541" xr:uid="{5B8526DA-B3CA-4EDD-8B84-1FB063CB34A6}"/>
    <hyperlink ref="J525" r:id="rId542" xr:uid="{4863D5B6-519D-4E1A-9424-9DAA192EB2F3}"/>
    <hyperlink ref="J862" r:id="rId543" xr:uid="{19307F1E-725C-4350-9F21-BBD4EC653E57}"/>
  </hyperlinks>
  <pageMargins left="0.7" right="0.7" top="0.75" bottom="0.75" header="0.511811023622047" footer="0.511811023622047"/>
  <pageSetup orientation="portrait" horizontalDpi="300" verticalDpi="300"/>
  <tableParts count="1">
    <tablePart r:id="rId5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7"/>
  <sheetViews>
    <sheetView topLeftCell="A1198" zoomScaleNormal="100" workbookViewId="0">
      <selection activeCell="E1248" sqref="E124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7695</v>
      </c>
      <c r="C5">
        <v>2022</v>
      </c>
      <c r="E5" s="11" t="s">
        <v>7698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7694</v>
      </c>
      <c r="C73">
        <v>2023</v>
      </c>
      <c r="E73" s="11" t="s">
        <v>7690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7757</v>
      </c>
      <c r="C111">
        <v>2023</v>
      </c>
      <c r="E111" s="11" t="s">
        <v>7756</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7695</v>
      </c>
      <c r="C115">
        <v>2025</v>
      </c>
      <c r="E115" s="11" t="s">
        <v>7698</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7695</v>
      </c>
      <c r="C143">
        <v>2022</v>
      </c>
      <c r="E143" s="11" t="s">
        <v>7698</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7695</v>
      </c>
      <c r="C167">
        <v>2025</v>
      </c>
      <c r="E167" s="11" t="s">
        <v>7698</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7699</v>
      </c>
    </row>
    <row r="247" spans="1:5" ht="15" customHeight="1" x14ac:dyDescent="0.25">
      <c r="A247" t="s">
        <v>811</v>
      </c>
      <c r="B247" t="s">
        <v>1313</v>
      </c>
      <c r="C247">
        <v>2024</v>
      </c>
      <c r="E247" t="s">
        <v>2983</v>
      </c>
    </row>
    <row r="248" spans="1:5" ht="15" customHeight="1" x14ac:dyDescent="0.25">
      <c r="A248" t="s">
        <v>811</v>
      </c>
      <c r="B248" t="s">
        <v>7695</v>
      </c>
      <c r="C248">
        <v>2024</v>
      </c>
      <c r="E248" s="11" t="s">
        <v>7698</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7691</v>
      </c>
      <c r="B552" t="s">
        <v>7694</v>
      </c>
      <c r="C552">
        <v>2021</v>
      </c>
      <c r="E552" s="11" t="s">
        <v>7690</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7695</v>
      </c>
      <c r="C570">
        <v>2025</v>
      </c>
      <c r="E570" s="11" t="s">
        <v>7698</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7760</v>
      </c>
      <c r="C657">
        <v>2015</v>
      </c>
      <c r="E657" s="11" t="s">
        <v>7763</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7757</v>
      </c>
      <c r="C1004">
        <v>2021</v>
      </c>
      <c r="E1004" s="11" t="s">
        <v>7756</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7695</v>
      </c>
      <c r="C1069">
        <v>2011</v>
      </c>
      <c r="E1069" s="11" t="s">
        <v>7698</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7699</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7891</v>
      </c>
      <c r="C1243">
        <v>2021</v>
      </c>
      <c r="E1243" s="11" t="s">
        <v>7876</v>
      </c>
    </row>
    <row r="1244" spans="1:5" x14ac:dyDescent="0.25">
      <c r="A1244" t="s">
        <v>1554</v>
      </c>
      <c r="B1244" t="s">
        <v>7891</v>
      </c>
      <c r="C1244">
        <v>2017</v>
      </c>
      <c r="E1244" s="11" t="s">
        <v>7876</v>
      </c>
    </row>
    <row r="1245" spans="1:5" x14ac:dyDescent="0.25">
      <c r="A1245" t="s">
        <v>689</v>
      </c>
      <c r="B1245" t="s">
        <v>7884</v>
      </c>
      <c r="C1245">
        <v>2015</v>
      </c>
      <c r="D1245" t="s">
        <v>187</v>
      </c>
    </row>
    <row r="1246" spans="1:5" x14ac:dyDescent="0.25">
      <c r="A1246" t="s">
        <v>2805</v>
      </c>
      <c r="B1246" t="s">
        <v>7888</v>
      </c>
      <c r="C1246">
        <v>2021</v>
      </c>
      <c r="E1246" s="11" t="s">
        <v>7890</v>
      </c>
    </row>
    <row r="1247" spans="1:5" x14ac:dyDescent="0.25">
      <c r="A1247" t="s">
        <v>1295</v>
      </c>
      <c r="B1247" t="s">
        <v>7888</v>
      </c>
      <c r="C1247">
        <v>2019</v>
      </c>
      <c r="E1247" s="11" t="s">
        <v>7890</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s>
  <pageMargins left="0.7" right="0.7" top="0.75" bottom="0.75" header="0.511811023622047" footer="0.511811023622047"/>
  <pageSetup orientation="portrait" horizontalDpi="300" verticalDpi="300"/>
  <tableParts count="1">
    <tablePart r:id="rId7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7502</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7395</v>
      </c>
      <c r="B12" t="s">
        <v>3518</v>
      </c>
      <c r="C12" t="s">
        <v>3531</v>
      </c>
      <c r="D12" t="s">
        <v>7403</v>
      </c>
      <c r="E12" t="s">
        <v>7409</v>
      </c>
      <c r="F12" t="s">
        <v>90</v>
      </c>
      <c r="G12" t="s">
        <v>7396</v>
      </c>
      <c r="H12" t="s">
        <v>3686</v>
      </c>
      <c r="I12" t="s">
        <v>7395</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7878</v>
      </c>
      <c r="B18" t="s">
        <v>3518</v>
      </c>
      <c r="C18" t="s">
        <v>3525</v>
      </c>
      <c r="D18" t="s">
        <v>7881</v>
      </c>
      <c r="E18" t="s">
        <v>7886</v>
      </c>
      <c r="F18" t="s">
        <v>38</v>
      </c>
      <c r="G18" t="s">
        <v>3651</v>
      </c>
      <c r="H18" t="s">
        <v>3686</v>
      </c>
      <c r="I18" t="s">
        <v>7879</v>
      </c>
      <c r="J18" t="s">
        <v>3594</v>
      </c>
    </row>
    <row r="19" spans="1:10" x14ac:dyDescent="0.25">
      <c r="A19" t="s">
        <v>3601</v>
      </c>
      <c r="B19" t="s">
        <v>3518</v>
      </c>
      <c r="C19" t="s">
        <v>3539</v>
      </c>
      <c r="D19" t="s">
        <v>3602</v>
      </c>
      <c r="E19" t="s">
        <v>3603</v>
      </c>
      <c r="F19" t="s">
        <v>2620</v>
      </c>
      <c r="I19" t="s">
        <v>3604</v>
      </c>
      <c r="J19" t="s">
        <v>3605</v>
      </c>
    </row>
    <row r="20" spans="1:10" x14ac:dyDescent="0.25">
      <c r="A20" t="s">
        <v>3606</v>
      </c>
      <c r="B20" t="s">
        <v>41</v>
      </c>
      <c r="C20" t="s">
        <v>3525</v>
      </c>
      <c r="D20" t="s">
        <v>3607</v>
      </c>
      <c r="E20" t="s">
        <v>3608</v>
      </c>
      <c r="F20" t="s">
        <v>1650</v>
      </c>
      <c r="G20" t="s">
        <v>3609</v>
      </c>
      <c r="I20" t="s">
        <v>3610</v>
      </c>
      <c r="J20" t="s">
        <v>3594</v>
      </c>
    </row>
    <row r="21" spans="1:10" x14ac:dyDescent="0.25">
      <c r="A21" t="s">
        <v>7892</v>
      </c>
      <c r="B21" t="s">
        <v>41</v>
      </c>
      <c r="C21" t="s">
        <v>3539</v>
      </c>
      <c r="D21" t="s">
        <v>7893</v>
      </c>
      <c r="F21" t="s">
        <v>2137</v>
      </c>
      <c r="G21" t="s">
        <v>3692</v>
      </c>
      <c r="I21" t="s">
        <v>7892</v>
      </c>
      <c r="J21" t="s">
        <v>3599</v>
      </c>
    </row>
    <row r="22" spans="1:10" x14ac:dyDescent="0.25">
      <c r="A22" t="s">
        <v>131</v>
      </c>
      <c r="B22" t="s">
        <v>0</v>
      </c>
      <c r="C22" t="s">
        <v>3539</v>
      </c>
      <c r="D22" t="s">
        <v>3611</v>
      </c>
      <c r="E22" t="s">
        <v>3612</v>
      </c>
      <c r="F22" t="s">
        <v>90</v>
      </c>
      <c r="G22" t="s">
        <v>3613</v>
      </c>
      <c r="I22" t="s">
        <v>132</v>
      </c>
      <c r="J22" t="s">
        <v>3594</v>
      </c>
    </row>
    <row r="23" spans="1:10" x14ac:dyDescent="0.25">
      <c r="A23" t="s">
        <v>3614</v>
      </c>
      <c r="B23" t="s">
        <v>41</v>
      </c>
      <c r="C23" t="s">
        <v>3531</v>
      </c>
      <c r="D23" t="s">
        <v>7896</v>
      </c>
      <c r="E23" t="s">
        <v>3615</v>
      </c>
      <c r="F23" t="s">
        <v>2805</v>
      </c>
      <c r="G23" t="s">
        <v>3616</v>
      </c>
      <c r="I23" t="s">
        <v>3617</v>
      </c>
      <c r="J23" t="s">
        <v>3449</v>
      </c>
    </row>
    <row r="24" spans="1:10" x14ac:dyDescent="0.25">
      <c r="A24" t="s">
        <v>3618</v>
      </c>
      <c r="B24" t="s">
        <v>3530</v>
      </c>
      <c r="C24" t="s">
        <v>3539</v>
      </c>
      <c r="D24" t="s">
        <v>7653</v>
      </c>
      <c r="E24" t="s">
        <v>3619</v>
      </c>
      <c r="F24" t="s">
        <v>2620</v>
      </c>
      <c r="G24" t="s">
        <v>3620</v>
      </c>
      <c r="I24" t="s">
        <v>3621</v>
      </c>
      <c r="J24" t="s">
        <v>3562</v>
      </c>
    </row>
    <row r="25" spans="1:10" x14ac:dyDescent="0.25">
      <c r="A25" t="s">
        <v>7894</v>
      </c>
      <c r="B25" t="s">
        <v>3530</v>
      </c>
      <c r="C25" t="s">
        <v>3525</v>
      </c>
      <c r="D25" t="s">
        <v>7895</v>
      </c>
      <c r="F25" t="s">
        <v>2137</v>
      </c>
      <c r="G25" t="s">
        <v>3547</v>
      </c>
      <c r="I25" t="s">
        <v>7894</v>
      </c>
      <c r="J25" t="s">
        <v>3449</v>
      </c>
    </row>
    <row r="26" spans="1:10" x14ac:dyDescent="0.25">
      <c r="A26" t="s">
        <v>3622</v>
      </c>
      <c r="B26" t="s">
        <v>0</v>
      </c>
      <c r="C26" t="s">
        <v>3623</v>
      </c>
      <c r="D26" t="s">
        <v>3624</v>
      </c>
      <c r="E26" t="s">
        <v>3625</v>
      </c>
      <c r="F26" t="s">
        <v>160</v>
      </c>
      <c r="G26" t="s">
        <v>3547</v>
      </c>
      <c r="I26" t="s">
        <v>3626</v>
      </c>
      <c r="J26" t="s">
        <v>3594</v>
      </c>
    </row>
    <row r="27" spans="1:10" x14ac:dyDescent="0.25">
      <c r="A27" t="s">
        <v>3627</v>
      </c>
      <c r="B27" t="s">
        <v>3530</v>
      </c>
      <c r="C27" t="s">
        <v>3539</v>
      </c>
      <c r="D27" t="s">
        <v>3628</v>
      </c>
      <c r="E27" t="s">
        <v>3629</v>
      </c>
      <c r="F27" t="s">
        <v>497</v>
      </c>
      <c r="G27" t="s">
        <v>3559</v>
      </c>
      <c r="I27" t="s">
        <v>3627</v>
      </c>
      <c r="J27" t="s">
        <v>3599</v>
      </c>
    </row>
    <row r="28" spans="1:10" x14ac:dyDescent="0.25">
      <c r="A28" t="s">
        <v>3630</v>
      </c>
      <c r="B28" t="s">
        <v>3575</v>
      </c>
      <c r="C28" t="s">
        <v>3539</v>
      </c>
      <c r="D28" t="s">
        <v>3631</v>
      </c>
      <c r="E28" t="s">
        <v>3632</v>
      </c>
      <c r="F28" t="s">
        <v>38</v>
      </c>
      <c r="G28" t="s">
        <v>3633</v>
      </c>
      <c r="I28" t="s">
        <v>3634</v>
      </c>
      <c r="J28" t="s">
        <v>3579</v>
      </c>
    </row>
    <row r="29" spans="1:10" x14ac:dyDescent="0.25">
      <c r="A29" t="s">
        <v>3635</v>
      </c>
      <c r="B29" t="s">
        <v>3530</v>
      </c>
      <c r="C29" t="s">
        <v>3568</v>
      </c>
      <c r="D29" t="s">
        <v>3636</v>
      </c>
      <c r="E29" t="s">
        <v>3637</v>
      </c>
      <c r="F29" t="s">
        <v>160</v>
      </c>
      <c r="G29" t="s">
        <v>3638</v>
      </c>
      <c r="I29" t="s">
        <v>3639</v>
      </c>
      <c r="J29" t="s">
        <v>3573</v>
      </c>
    </row>
    <row r="30" spans="1:10" x14ac:dyDescent="0.25">
      <c r="A30" t="s">
        <v>7880</v>
      </c>
      <c r="B30" t="s">
        <v>3530</v>
      </c>
      <c r="C30" t="s">
        <v>3525</v>
      </c>
      <c r="D30" t="s">
        <v>7882</v>
      </c>
      <c r="E30" t="s">
        <v>7887</v>
      </c>
      <c r="F30" t="s">
        <v>38</v>
      </c>
      <c r="G30" t="s">
        <v>3870</v>
      </c>
      <c r="I30" t="s">
        <v>7883</v>
      </c>
      <c r="J30" t="s">
        <v>3594</v>
      </c>
    </row>
    <row r="31" spans="1:10" x14ac:dyDescent="0.25">
      <c r="A31" t="s">
        <v>3640</v>
      </c>
      <c r="B31" t="s">
        <v>41</v>
      </c>
      <c r="C31" t="s">
        <v>3539</v>
      </c>
      <c r="D31" t="s">
        <v>3641</v>
      </c>
      <c r="E31" t="s">
        <v>3642</v>
      </c>
      <c r="F31" t="s">
        <v>1650</v>
      </c>
      <c r="G31" t="s">
        <v>3643</v>
      </c>
      <c r="I31" t="s">
        <v>3644</v>
      </c>
      <c r="J31" t="s">
        <v>3536</v>
      </c>
    </row>
    <row r="32" spans="1:10" x14ac:dyDescent="0.25">
      <c r="A32" t="s">
        <v>3645</v>
      </c>
      <c r="B32" t="s">
        <v>41</v>
      </c>
      <c r="C32" t="s">
        <v>3531</v>
      </c>
      <c r="D32" t="s">
        <v>3646</v>
      </c>
      <c r="E32" t="s">
        <v>3647</v>
      </c>
      <c r="F32" t="s">
        <v>160</v>
      </c>
      <c r="G32" t="s">
        <v>264</v>
      </c>
      <c r="I32" t="s">
        <v>3645</v>
      </c>
      <c r="J32" t="s">
        <v>3449</v>
      </c>
    </row>
    <row r="33" spans="1:10" x14ac:dyDescent="0.25">
      <c r="A33" t="s">
        <v>3648</v>
      </c>
      <c r="B33" t="s">
        <v>3518</v>
      </c>
      <c r="C33" t="s">
        <v>3531</v>
      </c>
      <c r="D33" t="s">
        <v>3649</v>
      </c>
      <c r="E33" t="s">
        <v>3650</v>
      </c>
      <c r="F33" t="s">
        <v>90</v>
      </c>
      <c r="G33" t="s">
        <v>3651</v>
      </c>
      <c r="I33" t="s">
        <v>3648</v>
      </c>
      <c r="J33" t="s">
        <v>3449</v>
      </c>
    </row>
    <row r="34" spans="1:10" x14ac:dyDescent="0.25">
      <c r="A34" t="s">
        <v>3652</v>
      </c>
      <c r="B34" t="s">
        <v>3530</v>
      </c>
      <c r="C34" t="s">
        <v>3525</v>
      </c>
      <c r="D34" t="s">
        <v>3653</v>
      </c>
      <c r="E34" t="s">
        <v>3654</v>
      </c>
      <c r="F34" t="s">
        <v>90</v>
      </c>
      <c r="G34" t="s">
        <v>3655</v>
      </c>
      <c r="I34" t="s">
        <v>3656</v>
      </c>
      <c r="J34" t="s">
        <v>3449</v>
      </c>
    </row>
    <row r="35" spans="1:10" x14ac:dyDescent="0.25">
      <c r="A35" t="s">
        <v>3657</v>
      </c>
      <c r="B35" t="s">
        <v>3530</v>
      </c>
      <c r="C35" t="s">
        <v>3539</v>
      </c>
      <c r="D35" t="s">
        <v>3658</v>
      </c>
      <c r="E35" t="s">
        <v>3659</v>
      </c>
      <c r="F35" t="s">
        <v>493</v>
      </c>
      <c r="G35" t="s">
        <v>3660</v>
      </c>
      <c r="I35" t="s">
        <v>3661</v>
      </c>
      <c r="J35" t="s">
        <v>3599</v>
      </c>
    </row>
    <row r="36" spans="1:10" x14ac:dyDescent="0.25">
      <c r="A36" t="s">
        <v>3662</v>
      </c>
      <c r="B36" t="s">
        <v>41</v>
      </c>
      <c r="C36" t="s">
        <v>3596</v>
      </c>
      <c r="D36" t="s">
        <v>3663</v>
      </c>
      <c r="E36" t="s">
        <v>3664</v>
      </c>
      <c r="F36" t="s">
        <v>160</v>
      </c>
      <c r="G36" t="s">
        <v>3665</v>
      </c>
      <c r="I36" t="s">
        <v>3666</v>
      </c>
      <c r="J36" t="s">
        <v>3605</v>
      </c>
    </row>
    <row r="37" spans="1:10" x14ac:dyDescent="0.25">
      <c r="A37" t="s">
        <v>3667</v>
      </c>
      <c r="B37" t="s">
        <v>41</v>
      </c>
      <c r="C37" t="s">
        <v>3531</v>
      </c>
      <c r="D37" t="s">
        <v>3668</v>
      </c>
      <c r="E37" t="s">
        <v>3669</v>
      </c>
      <c r="F37" t="s">
        <v>160</v>
      </c>
      <c r="G37" t="s">
        <v>3670</v>
      </c>
      <c r="I37" t="s">
        <v>3671</v>
      </c>
      <c r="J37" t="s">
        <v>3605</v>
      </c>
    </row>
    <row r="38" spans="1:10" x14ac:dyDescent="0.25">
      <c r="A38" t="s">
        <v>3672</v>
      </c>
      <c r="B38" t="s">
        <v>41</v>
      </c>
      <c r="C38" t="s">
        <v>3673</v>
      </c>
      <c r="D38" t="s">
        <v>3674</v>
      </c>
      <c r="E38" t="s">
        <v>3675</v>
      </c>
      <c r="F38" t="s">
        <v>90</v>
      </c>
      <c r="G38" t="s">
        <v>3676</v>
      </c>
      <c r="I38" t="s">
        <v>3677</v>
      </c>
      <c r="J38" t="s">
        <v>3536</v>
      </c>
    </row>
    <row r="39" spans="1:10" x14ac:dyDescent="0.25">
      <c r="A39" t="s">
        <v>4779</v>
      </c>
      <c r="B39" t="s">
        <v>3518</v>
      </c>
      <c r="C39" t="s">
        <v>3531</v>
      </c>
      <c r="D39" t="s">
        <v>7405</v>
      </c>
      <c r="E39" t="s">
        <v>7410</v>
      </c>
      <c r="F39" t="s">
        <v>90</v>
      </c>
      <c r="G39" t="s">
        <v>4687</v>
      </c>
      <c r="I39" t="s">
        <v>4782</v>
      </c>
      <c r="J39" t="s">
        <v>3594</v>
      </c>
    </row>
    <row r="40" spans="1:10" x14ac:dyDescent="0.25">
      <c r="A40" t="s">
        <v>3678</v>
      </c>
      <c r="B40" t="s">
        <v>3575</v>
      </c>
      <c r="C40" t="s">
        <v>3539</v>
      </c>
      <c r="D40" t="s">
        <v>3679</v>
      </c>
      <c r="E40" t="s">
        <v>3680</v>
      </c>
      <c r="F40" t="s">
        <v>90</v>
      </c>
      <c r="G40" t="s">
        <v>3676</v>
      </c>
      <c r="I40" t="s">
        <v>3681</v>
      </c>
      <c r="J40" t="s">
        <v>3599</v>
      </c>
    </row>
    <row r="41" spans="1:10" x14ac:dyDescent="0.25">
      <c r="A41" t="s">
        <v>3682</v>
      </c>
      <c r="B41" t="s">
        <v>3530</v>
      </c>
      <c r="C41" t="s">
        <v>3539</v>
      </c>
      <c r="D41" t="s">
        <v>3683</v>
      </c>
      <c r="E41" t="s">
        <v>3684</v>
      </c>
      <c r="F41" t="s">
        <v>2620</v>
      </c>
      <c r="G41" t="s">
        <v>3685</v>
      </c>
      <c r="H41" t="s">
        <v>3686</v>
      </c>
      <c r="I41" t="s">
        <v>3687</v>
      </c>
      <c r="J41" t="s">
        <v>3594</v>
      </c>
    </row>
    <row r="42" spans="1:10" x14ac:dyDescent="0.25">
      <c r="A42" t="s">
        <v>3495</v>
      </c>
      <c r="B42" t="s">
        <v>3530</v>
      </c>
      <c r="C42" t="s">
        <v>3525</v>
      </c>
      <c r="D42" t="s">
        <v>3564</v>
      </c>
      <c r="E42" t="s">
        <v>3565</v>
      </c>
      <c r="F42" t="s">
        <v>2805</v>
      </c>
      <c r="G42" t="s">
        <v>3616</v>
      </c>
      <c r="I42" t="s">
        <v>3495</v>
      </c>
      <c r="J42" t="s">
        <v>3449</v>
      </c>
    </row>
    <row r="43" spans="1:10" x14ac:dyDescent="0.25">
      <c r="A43" t="s">
        <v>3688</v>
      </c>
      <c r="B43" t="s">
        <v>41</v>
      </c>
      <c r="C43" t="s">
        <v>3689</v>
      </c>
      <c r="D43" t="s">
        <v>3690</v>
      </c>
      <c r="E43" t="s">
        <v>3691</v>
      </c>
      <c r="F43" t="s">
        <v>2620</v>
      </c>
      <c r="G43" t="s">
        <v>3692</v>
      </c>
      <c r="H43" t="s">
        <v>3686</v>
      </c>
      <c r="I43" t="s">
        <v>3693</v>
      </c>
      <c r="J43" t="s">
        <v>3599</v>
      </c>
    </row>
    <row r="44" spans="1:10" x14ac:dyDescent="0.25">
      <c r="A44" t="s">
        <v>7897</v>
      </c>
      <c r="B44" t="s">
        <v>3518</v>
      </c>
      <c r="C44" t="s">
        <v>3539</v>
      </c>
      <c r="D44" t="s">
        <v>7898</v>
      </c>
      <c r="F44" t="s">
        <v>2137</v>
      </c>
      <c r="I44" t="s">
        <v>7899</v>
      </c>
      <c r="J44" t="s">
        <v>3449</v>
      </c>
    </row>
    <row r="45" spans="1:10" x14ac:dyDescent="0.25">
      <c r="A45" t="s">
        <v>7397</v>
      </c>
      <c r="B45" t="s">
        <v>3530</v>
      </c>
      <c r="C45" t="s">
        <v>3525</v>
      </c>
      <c r="D45" t="s">
        <v>7398</v>
      </c>
      <c r="E45" t="s">
        <v>7411</v>
      </c>
      <c r="F45" t="s">
        <v>38</v>
      </c>
      <c r="I45" t="s">
        <v>7399</v>
      </c>
      <c r="J45" t="s">
        <v>3573</v>
      </c>
    </row>
    <row r="46" spans="1:10" x14ac:dyDescent="0.25">
      <c r="A46" t="s">
        <v>7406</v>
      </c>
      <c r="B46" t="s">
        <v>3530</v>
      </c>
      <c r="C46" t="s">
        <v>3525</v>
      </c>
      <c r="D46" t="s">
        <v>7408</v>
      </c>
      <c r="E46" t="s">
        <v>7412</v>
      </c>
      <c r="F46" t="s">
        <v>38</v>
      </c>
      <c r="I46" t="s">
        <v>7407</v>
      </c>
      <c r="J46" t="s">
        <v>4009</v>
      </c>
    </row>
    <row r="47" spans="1:10" x14ac:dyDescent="0.25">
      <c r="A47" t="s">
        <v>3698</v>
      </c>
      <c r="B47" t="s">
        <v>3575</v>
      </c>
      <c r="C47" t="s">
        <v>3539</v>
      </c>
      <c r="D47" t="s">
        <v>3699</v>
      </c>
      <c r="E47" t="s">
        <v>3700</v>
      </c>
      <c r="F47" t="s">
        <v>90</v>
      </c>
      <c r="I47" t="s">
        <v>3701</v>
      </c>
      <c r="J47" t="s">
        <v>3599</v>
      </c>
    </row>
    <row r="48" spans="1:10" x14ac:dyDescent="0.25">
      <c r="A48" t="s">
        <v>3702</v>
      </c>
      <c r="B48" t="s">
        <v>3575</v>
      </c>
      <c r="C48" t="s">
        <v>3539</v>
      </c>
      <c r="D48" t="s">
        <v>3703</v>
      </c>
      <c r="E48" t="s">
        <v>3704</v>
      </c>
      <c r="F48" t="s">
        <v>90</v>
      </c>
      <c r="G48" t="s">
        <v>3705</v>
      </c>
      <c r="I48" t="s">
        <v>3706</v>
      </c>
      <c r="J48" t="s">
        <v>3579</v>
      </c>
    </row>
    <row r="49" spans="1:10" x14ac:dyDescent="0.25">
      <c r="A49" t="s">
        <v>3707</v>
      </c>
      <c r="B49" t="s">
        <v>3530</v>
      </c>
      <c r="C49" t="s">
        <v>3525</v>
      </c>
      <c r="D49" t="s">
        <v>3708</v>
      </c>
      <c r="E49" t="s">
        <v>3709</v>
      </c>
      <c r="F49" t="s">
        <v>497</v>
      </c>
      <c r="G49" t="s">
        <v>3710</v>
      </c>
      <c r="I49" t="s">
        <v>3707</v>
      </c>
      <c r="J49" t="s">
        <v>3536</v>
      </c>
    </row>
    <row r="50" spans="1:10" x14ac:dyDescent="0.25">
      <c r="A50" t="s">
        <v>3711</v>
      </c>
      <c r="B50" t="s">
        <v>3518</v>
      </c>
      <c r="C50" t="s">
        <v>3596</v>
      </c>
      <c r="D50" t="s">
        <v>3712</v>
      </c>
      <c r="E50" t="s">
        <v>3713</v>
      </c>
      <c r="F50" t="s">
        <v>1650</v>
      </c>
      <c r="G50" t="s">
        <v>3714</v>
      </c>
      <c r="I50" t="s">
        <v>3715</v>
      </c>
      <c r="J50" t="s">
        <v>3599</v>
      </c>
    </row>
    <row r="51" spans="1:10" x14ac:dyDescent="0.25">
      <c r="A51" t="s">
        <v>3716</v>
      </c>
      <c r="B51" t="s">
        <v>3530</v>
      </c>
      <c r="C51" t="s">
        <v>3519</v>
      </c>
      <c r="D51" t="s">
        <v>7654</v>
      </c>
      <c r="E51" t="s">
        <v>7677</v>
      </c>
      <c r="F51" t="s">
        <v>2620</v>
      </c>
      <c r="G51" t="s">
        <v>3717</v>
      </c>
      <c r="I51" t="s">
        <v>3718</v>
      </c>
      <c r="J51" t="s">
        <v>3554</v>
      </c>
    </row>
    <row r="52" spans="1:10" x14ac:dyDescent="0.25">
      <c r="A52" t="s">
        <v>3719</v>
      </c>
      <c r="B52" t="s">
        <v>3530</v>
      </c>
      <c r="C52" t="s">
        <v>3531</v>
      </c>
      <c r="D52" t="s">
        <v>3720</v>
      </c>
      <c r="E52" t="s">
        <v>3721</v>
      </c>
      <c r="F52" t="s">
        <v>160</v>
      </c>
      <c r="G52" t="s">
        <v>3705</v>
      </c>
      <c r="H52" t="s">
        <v>3722</v>
      </c>
      <c r="I52" t="s">
        <v>3719</v>
      </c>
      <c r="J52" t="s">
        <v>3723</v>
      </c>
    </row>
    <row r="53" spans="1:10" x14ac:dyDescent="0.25">
      <c r="A53" t="s">
        <v>3724</v>
      </c>
      <c r="B53" t="s">
        <v>3530</v>
      </c>
      <c r="C53" t="s">
        <v>3556</v>
      </c>
      <c r="D53" t="s">
        <v>3725</v>
      </c>
      <c r="E53" t="s">
        <v>3726</v>
      </c>
      <c r="F53" t="s">
        <v>160</v>
      </c>
      <c r="G53" t="s">
        <v>3727</v>
      </c>
      <c r="H53" t="s">
        <v>3560</v>
      </c>
      <c r="I53" t="s">
        <v>3728</v>
      </c>
      <c r="J53" t="s">
        <v>3536</v>
      </c>
    </row>
    <row r="54" spans="1:10" x14ac:dyDescent="0.25">
      <c r="A54" t="s">
        <v>3729</v>
      </c>
      <c r="B54" t="s">
        <v>3530</v>
      </c>
      <c r="C54" t="s">
        <v>3539</v>
      </c>
      <c r="D54" t="s">
        <v>3730</v>
      </c>
      <c r="E54" t="s">
        <v>3731</v>
      </c>
      <c r="F54" t="s">
        <v>2620</v>
      </c>
      <c r="H54" t="s">
        <v>3686</v>
      </c>
      <c r="I54" t="s">
        <v>3732</v>
      </c>
      <c r="J54" t="s">
        <v>3536</v>
      </c>
    </row>
    <row r="55" spans="1:10" x14ac:dyDescent="0.25">
      <c r="A55" t="s">
        <v>3733</v>
      </c>
      <c r="B55" t="s">
        <v>3530</v>
      </c>
      <c r="C55" t="s">
        <v>3525</v>
      </c>
      <c r="D55" t="s">
        <v>3734</v>
      </c>
      <c r="E55" t="s">
        <v>3735</v>
      </c>
      <c r="F55" t="s">
        <v>553</v>
      </c>
      <c r="G55" t="s">
        <v>3736</v>
      </c>
      <c r="I55" t="s">
        <v>3737</v>
      </c>
      <c r="J55" t="s">
        <v>3594</v>
      </c>
    </row>
    <row r="56" spans="1:10" x14ac:dyDescent="0.25">
      <c r="A56" t="s">
        <v>3738</v>
      </c>
      <c r="B56" t="s">
        <v>41</v>
      </c>
      <c r="C56" t="s">
        <v>3673</v>
      </c>
      <c r="D56" t="s">
        <v>3739</v>
      </c>
      <c r="E56" t="s">
        <v>3740</v>
      </c>
      <c r="F56" t="s">
        <v>90</v>
      </c>
      <c r="I56" t="s">
        <v>3738</v>
      </c>
      <c r="J56" t="s">
        <v>3536</v>
      </c>
    </row>
    <row r="57" spans="1:10" x14ac:dyDescent="0.25">
      <c r="A57" t="s">
        <v>7400</v>
      </c>
      <c r="B57" t="s">
        <v>3530</v>
      </c>
      <c r="C57" t="s">
        <v>3539</v>
      </c>
      <c r="D57" t="s">
        <v>7402</v>
      </c>
      <c r="E57" t="s">
        <v>7413</v>
      </c>
      <c r="F57" t="s">
        <v>90</v>
      </c>
      <c r="G57" t="s">
        <v>7404</v>
      </c>
      <c r="I57" t="s">
        <v>7401</v>
      </c>
      <c r="J57" t="s">
        <v>3605</v>
      </c>
    </row>
    <row r="58" spans="1:10" x14ac:dyDescent="0.25">
      <c r="A58" t="s">
        <v>3746</v>
      </c>
      <c r="B58" t="s">
        <v>41</v>
      </c>
      <c r="C58" t="s">
        <v>3689</v>
      </c>
      <c r="D58" t="s">
        <v>3747</v>
      </c>
      <c r="E58" t="s">
        <v>3748</v>
      </c>
      <c r="F58" t="s">
        <v>2620</v>
      </c>
      <c r="G58" t="s">
        <v>3749</v>
      </c>
      <c r="I58" t="s">
        <v>3750</v>
      </c>
      <c r="J58"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861</v>
      </c>
      <c r="C5" s="19" t="s">
        <v>4349</v>
      </c>
      <c r="E5" t="s">
        <v>4350</v>
      </c>
      <c r="F5">
        <f>COUNTIF('Map Calc'!$D$2:$D$950,0)</f>
        <v>81</v>
      </c>
      <c r="G5">
        <f>COUNTIFS('Map Calc'!$D$2:$D$950,0,'Map Calc'!$P$2:$P$950,"Yes")</f>
        <v>47</v>
      </c>
      <c r="I5" t="s">
        <v>176</v>
      </c>
      <c r="J5">
        <f>COUNTIF(games!$C$2:$C$950,$I5)</f>
        <v>369</v>
      </c>
      <c r="K5">
        <f>COUNTIFS(games!$C$2:$C$950,$I5,games!$H$2:$H$950,"Yes")</f>
        <v>236</v>
      </c>
      <c r="L5" s="20">
        <f>IF($J5=0,0,$K5/$J5)</f>
        <v>0.63956639566395668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200</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88</v>
      </c>
      <c r="R6">
        <v>2</v>
      </c>
      <c r="S6" t="str">
        <f>IFERROR(INDEX('Map Calc'!$A$2:$A$950,MATCH(LARGE('Map Calc'!$Q$2:$Q$950,2),'Map Calc'!$Q$2:$Q$950,0)),"")</f>
        <v>Vampire Survivors</v>
      </c>
      <c r="T6">
        <f>IFERROR(INDEX('Map Calc'!$D$2:$D$950,MATCH(LARGE('Map Calc'!$Q$2:$Q$950,2),'Map Calc'!$Q$2:$Q$950,0)),"")</f>
        <v>88</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0.6097560975609756</v>
      </c>
      <c r="C7" s="19" t="s">
        <v>4355</v>
      </c>
      <c r="E7" t="s">
        <v>4356</v>
      </c>
      <c r="F7">
        <f>COUNTIF('Map Calc'!$D$2:$D$950,2)</f>
        <v>204</v>
      </c>
      <c r="G7">
        <f>COUNTIFS('Map Calc'!$D$2:$D$950,2,'Map Calc'!$P$2:$P$950,"Yes")</f>
        <v>117</v>
      </c>
      <c r="I7" t="s">
        <v>182</v>
      </c>
      <c r="J7">
        <f>COUNTIF(games!$C$2:$C$950,$I7)</f>
        <v>178</v>
      </c>
      <c r="K7">
        <f>COUNTIFS(games!$C$2:$C$950,$I7,games!$H$2:$H$950,"Yes")</f>
        <v>92</v>
      </c>
      <c r="L7" s="20">
        <f>IF($J7=0,0,$K7/$J7)</f>
        <v>0.5168539325842697</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1246</v>
      </c>
      <c r="C8" s="19" t="s">
        <v>4357</v>
      </c>
      <c r="E8" t="s">
        <v>4358</v>
      </c>
      <c r="F8">
        <f>COUNTIF('Map Calc'!$D$2:$D$950,3)</f>
        <v>106</v>
      </c>
      <c r="G8">
        <f>COUNTIFS('Map Calc'!$D$2:$D$950,3,'Map Calc'!$P$2:$P$950,"Yes")</f>
        <v>66</v>
      </c>
      <c r="I8" t="s">
        <v>179</v>
      </c>
      <c r="J8">
        <f>COUNTIF(games!$C$2:$C$950,$I8)</f>
        <v>164</v>
      </c>
      <c r="K8">
        <f>COUNTIFS(games!$C$2:$C$950,$I8,games!$H$2:$H$950,"Yes")</f>
        <v>105</v>
      </c>
      <c r="L8" s="20">
        <f>IF($J8=0,0,$K8/$J8)</f>
        <v>0.6402439024390244</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2.8943089430894311</v>
      </c>
      <c r="C9" s="19" t="s">
        <v>4360</v>
      </c>
      <c r="E9" t="s">
        <v>4361</v>
      </c>
      <c r="F9">
        <f>COUNTIF('Map Calc'!$D$2:$D$950,4)</f>
        <v>47</v>
      </c>
      <c r="G9">
        <f>COUNTIFS('Map Calc'!$D$2:$D$950,4,'Map Calc'!$P$2:$P$950,"Yes")</f>
        <v>28</v>
      </c>
      <c r="I9" s="23" t="s">
        <v>39</v>
      </c>
      <c r="J9" s="23">
        <f>SUM(J5:J8)</f>
        <v>861</v>
      </c>
      <c r="K9" s="23">
        <f>SUM(K5:K8)</f>
        <v>525</v>
      </c>
      <c r="L9" s="24">
        <f>IF($J9=0,0,$K9/$J9)</f>
        <v>0.6097560975609756</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3.5752380952380953</v>
      </c>
      <c r="C10" s="19" t="s">
        <v>4363</v>
      </c>
      <c r="E10" t="s">
        <v>4364</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121</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87</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4374</v>
      </c>
      <c r="B14" s="18">
        <f>COUNTIF('Map Calc'!$D$2:$D$950,0)</f>
        <v>81</v>
      </c>
      <c r="C14" s="19" t="s">
        <v>4375</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418</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278</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247</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84</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25</v>
      </c>
    </row>
    <row r="21" spans="1:28" x14ac:dyDescent="0.25">
      <c r="A21" s="17" t="s">
        <v>4390</v>
      </c>
      <c r="B21" s="18">
        <f>COUNTIF(connections!$D$2:$D$1400,"Yes")</f>
        <v>141</v>
      </c>
      <c r="C21" s="19" t="s">
        <v>4391</v>
      </c>
      <c r="V21">
        <v>1994</v>
      </c>
      <c r="W21">
        <f>COUNTIF(games!$B$2:$B$950,$V21)</f>
        <v>3</v>
      </c>
      <c r="X21">
        <f>COUNTIFS(games!$B$2:$B$950,$V21,games!$H$2:$H$950,"Yes")</f>
        <v>3</v>
      </c>
      <c r="Y21">
        <f>COUNTIF('Map Calc'!$T$2:$T$1400,$V21)</f>
        <v>22</v>
      </c>
    </row>
    <row r="22" spans="1:28" x14ac:dyDescent="0.25">
      <c r="A22" s="17" t="s">
        <v>4392</v>
      </c>
      <c r="B22" s="18">
        <f>COUNTA(connections!$E$2:$E$1400)</f>
        <v>1103</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38</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161</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87</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the Dead Gods</v>
      </c>
      <c r="B165">
        <f>IF($A165="","",games!$B165)</f>
        <v>2020</v>
      </c>
      <c r="C165" t="str">
        <f>IF($A165="","",games!$C165)</f>
        <v>Action</v>
      </c>
      <c r="D165">
        <f>IF($A165="","",COUNTIF(connections!$A$2:$A$1400,$A165)+COUNTIF(connections!$B$2:$B$1400,$A165))</f>
        <v>3</v>
      </c>
      <c r="E165">
        <f t="shared" si="26"/>
        <v>1</v>
      </c>
      <c r="F165">
        <f t="shared" si="27"/>
        <v>29</v>
      </c>
      <c r="G165">
        <f t="shared" si="28"/>
        <v>2020</v>
      </c>
      <c r="H165">
        <f t="shared" si="29"/>
        <v>1.667</v>
      </c>
      <c r="I165" t="e">
        <f t="shared" si="30"/>
        <v>#N/A</v>
      </c>
      <c r="J165" t="e">
        <f t="shared" si="31"/>
        <v>#N/A</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Cursed Words</v>
      </c>
      <c r="B166">
        <f>IF($A166="","",games!$B166)</f>
        <v>2026</v>
      </c>
      <c r="C166" t="str">
        <f>IF($A166="","",games!$C166)</f>
        <v>Strategy</v>
      </c>
      <c r="D166">
        <f>IF($A166="","",COUNTIF(connections!$A$2:$A$1400,$A166)+COUNTIF(connections!$B$2:$B$1400,$A166))</f>
        <v>5</v>
      </c>
      <c r="E166">
        <f t="shared" si="26"/>
        <v>2</v>
      </c>
      <c r="F166">
        <f t="shared" si="27"/>
        <v>30</v>
      </c>
      <c r="G166" t="e">
        <f t="shared" si="28"/>
        <v>#N/A</v>
      </c>
      <c r="H166" t="e">
        <f t="shared" si="29"/>
        <v>#N/A</v>
      </c>
      <c r="I166">
        <f t="shared" si="30"/>
        <v>2026</v>
      </c>
      <c r="J166">
        <f t="shared" si="31"/>
        <v>2.69</v>
      </c>
      <c r="K166" t="e">
        <f t="shared" si="32"/>
        <v>#N/A</v>
      </c>
      <c r="L166" t="e">
        <f t="shared" si="33"/>
        <v>#N/A</v>
      </c>
      <c r="M166" t="e">
        <f t="shared" si="34"/>
        <v>#N/A</v>
      </c>
      <c r="N166" t="e">
        <f t="shared" si="35"/>
        <v>#N/A</v>
      </c>
      <c r="O166">
        <f t="shared" si="36"/>
        <v>5.0001660000000001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Cursorblade</v>
      </c>
      <c r="B167">
        <f>IF($A167="","",games!$B167)</f>
        <v>2023</v>
      </c>
      <c r="C167" t="str">
        <f>IF($A167="","",games!$C167)</f>
        <v>Action</v>
      </c>
      <c r="D167">
        <f>IF($A167="","",COUNTIF(connections!$A$2:$A$1400,$A167)+COUNTIF(connections!$B$2:$B$1400,$A167))</f>
        <v>0</v>
      </c>
      <c r="E167">
        <f t="shared" si="26"/>
        <v>1</v>
      </c>
      <c r="F167">
        <f t="shared" si="27"/>
        <v>31</v>
      </c>
      <c r="G167">
        <f t="shared" si="28"/>
        <v>2023</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Devotion</v>
      </c>
      <c r="B168">
        <f>IF($A168="","",games!$B168)</f>
        <v>2019</v>
      </c>
      <c r="C168" t="str">
        <f>IF($A168="","",games!$C168)</f>
        <v>Action</v>
      </c>
      <c r="D168">
        <f>IF($A168="","",COUNTIF(connections!$A$2:$A$1400,$A168)+COUNTIF(connections!$B$2:$B$1400,$A168))</f>
        <v>2</v>
      </c>
      <c r="E168">
        <f t="shared" si="26"/>
        <v>1</v>
      </c>
      <c r="F168">
        <f t="shared" si="27"/>
        <v>32</v>
      </c>
      <c r="G168">
        <f t="shared" si="28"/>
        <v>2019</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Yes</v>
      </c>
      <c r="Q168">
        <f t="shared" si="37"/>
        <v>2.0001679999999999</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Light: Survivor</v>
      </c>
      <c r="B169">
        <f>IF($A169="","",games!$B169)</f>
        <v>2026</v>
      </c>
      <c r="C169" t="str">
        <f>IF($A169="","",games!$C169)</f>
        <v>Action</v>
      </c>
      <c r="D169">
        <f>IF($A169="","",COUNTIF(connections!$A$2:$A$1400,$A169)+COUNTIF(connections!$B$2:$B$1400,$A169))</f>
        <v>4</v>
      </c>
      <c r="E169">
        <f t="shared" si="26"/>
        <v>1</v>
      </c>
      <c r="F169">
        <f t="shared" si="27"/>
        <v>33</v>
      </c>
      <c r="G169">
        <f t="shared" si="28"/>
        <v>2026</v>
      </c>
      <c r="H169">
        <f t="shared" si="29"/>
        <v>1.7589999999999999</v>
      </c>
      <c r="I169" t="e">
        <f t="shared" si="30"/>
        <v>#N/A</v>
      </c>
      <c r="J169" t="e">
        <f t="shared" si="31"/>
        <v>#N/A</v>
      </c>
      <c r="K169" t="e">
        <f t="shared" si="32"/>
        <v>#N/A</v>
      </c>
      <c r="L169" t="e">
        <f t="shared" si="33"/>
        <v>#N/A</v>
      </c>
      <c r="M169" t="e">
        <f t="shared" si="34"/>
        <v>#N/A</v>
      </c>
      <c r="N169" t="e">
        <f t="shared" si="35"/>
        <v>#N/A</v>
      </c>
      <c r="O169">
        <f t="shared" si="36"/>
        <v>4.0001689999999996</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Darkblade Ascent</v>
      </c>
      <c r="B170">
        <f>IF($A170="","",games!$B170)</f>
        <v>2025</v>
      </c>
      <c r="C170" t="str">
        <f>IF($A170="","",games!$C170)</f>
        <v>Action</v>
      </c>
      <c r="D170">
        <f>IF($A170="","",COUNTIF(connections!$A$2:$A$1400,$A170)+COUNTIF(connections!$B$2:$B$1400,$A170))</f>
        <v>2</v>
      </c>
      <c r="E170">
        <f t="shared" si="26"/>
        <v>1</v>
      </c>
      <c r="F170">
        <f t="shared" si="27"/>
        <v>0</v>
      </c>
      <c r="G170">
        <f t="shared" si="28"/>
        <v>2025</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v>
      </c>
      <c r="B171">
        <f>IF($A171="","",games!$B171)</f>
        <v>2015</v>
      </c>
      <c r="C171" t="str">
        <f>IF($A171="","",games!$C171)</f>
        <v>Strategy</v>
      </c>
      <c r="D171">
        <f>IF($A171="","",COUNTIF(connections!$A$2:$A$1400,$A171)+COUNTIF(connections!$B$2:$B$1400,$A171))</f>
        <v>24</v>
      </c>
      <c r="E171">
        <f t="shared" si="26"/>
        <v>2</v>
      </c>
      <c r="F171">
        <f t="shared" si="27"/>
        <v>1</v>
      </c>
      <c r="G171" t="e">
        <f t="shared" si="28"/>
        <v>#N/A</v>
      </c>
      <c r="H171" t="e">
        <f t="shared" si="29"/>
        <v>#N/A</v>
      </c>
      <c r="I171">
        <f t="shared" si="30"/>
        <v>2015</v>
      </c>
      <c r="J171">
        <f t="shared" si="31"/>
        <v>2.0230000000000001</v>
      </c>
      <c r="K171" t="e">
        <f t="shared" si="32"/>
        <v>#N/A</v>
      </c>
      <c r="L171" t="e">
        <f t="shared" si="33"/>
        <v>#N/A</v>
      </c>
      <c r="M171" t="e">
        <f t="shared" si="34"/>
        <v>#N/A</v>
      </c>
      <c r="N171" t="e">
        <f t="shared" si="35"/>
        <v>#N/A</v>
      </c>
      <c r="O171">
        <f t="shared" si="36"/>
        <v>24.000171000000002</v>
      </c>
      <c r="P171" t="str">
        <f>IF(OR($A171="",games!$H171=""),"",games!$H171)</f>
        <v>Yes</v>
      </c>
      <c r="Q171">
        <f t="shared" si="37"/>
        <v>24.000171000000002</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 2</v>
      </c>
      <c r="B172">
        <f>IF($A172="","",games!$B172)</f>
        <v>2023</v>
      </c>
      <c r="C172" t="str">
        <f>IF($A172="","",games!$C172)</f>
        <v>Strategy</v>
      </c>
      <c r="D172">
        <f>IF($A172="","",COUNTIF(connections!$A$2:$A$1400,$A172)+COUNTIF(connections!$B$2:$B$1400,$A172))</f>
        <v>1</v>
      </c>
      <c r="E172">
        <f t="shared" si="26"/>
        <v>2</v>
      </c>
      <c r="F172">
        <f t="shared" si="27"/>
        <v>2</v>
      </c>
      <c r="G172" t="e">
        <f t="shared" si="28"/>
        <v>#N/A</v>
      </c>
      <c r="H172" t="e">
        <f t="shared" si="29"/>
        <v>#N/A</v>
      </c>
      <c r="I172">
        <f t="shared" si="30"/>
        <v>2023</v>
      </c>
      <c r="J172">
        <f t="shared" si="31"/>
        <v>2.0459999999999998</v>
      </c>
      <c r="K172" t="e">
        <f t="shared" si="32"/>
        <v>#N/A</v>
      </c>
      <c r="L172" t="e">
        <f t="shared" si="33"/>
        <v>#N/A</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Dave the Diver</v>
      </c>
      <c r="B173">
        <f>IF($A173="","",games!$B173)</f>
        <v>2022</v>
      </c>
      <c r="C173" t="str">
        <f>IF($A173="","",games!$C173)</f>
        <v>Action</v>
      </c>
      <c r="D173">
        <f>IF($A173="","",COUNTIF(connections!$A$2:$A$1400,$A173)+COUNTIF(connections!$B$2:$B$1400,$A173))</f>
        <v>2</v>
      </c>
      <c r="E173">
        <f t="shared" si="26"/>
        <v>1</v>
      </c>
      <c r="F173">
        <f t="shared" si="27"/>
        <v>3</v>
      </c>
      <c r="G173">
        <f t="shared" si="28"/>
        <v>2022</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Cells</v>
      </c>
      <c r="B174">
        <f>IF($A174="","",games!$B174)</f>
        <v>2018</v>
      </c>
      <c r="C174" t="str">
        <f>IF($A174="","",games!$C174)</f>
        <v>Action</v>
      </c>
      <c r="D174">
        <f>IF($A174="","",COUNTIF(connections!$A$2:$A$1400,$A174)+COUNTIF(connections!$B$2:$B$1400,$A174))</f>
        <v>28</v>
      </c>
      <c r="E174">
        <f t="shared" si="26"/>
        <v>1</v>
      </c>
      <c r="F174">
        <f t="shared" si="27"/>
        <v>4</v>
      </c>
      <c r="G174">
        <f t="shared" si="28"/>
        <v>2018</v>
      </c>
      <c r="H174">
        <f t="shared" si="29"/>
        <v>1.0920000000000001</v>
      </c>
      <c r="I174" t="e">
        <f t="shared" si="30"/>
        <v>#N/A</v>
      </c>
      <c r="J174" t="e">
        <f t="shared" si="31"/>
        <v>#N/A</v>
      </c>
      <c r="K174" t="e">
        <f t="shared" si="32"/>
        <v>#N/A</v>
      </c>
      <c r="L174" t="e">
        <f t="shared" si="33"/>
        <v>#N/A</v>
      </c>
      <c r="M174" t="e">
        <f t="shared" si="34"/>
        <v>#N/A</v>
      </c>
      <c r="N174" t="e">
        <f t="shared" si="35"/>
        <v>#N/A</v>
      </c>
      <c r="O174">
        <f t="shared" si="36"/>
        <v>28.000174000000001</v>
      </c>
      <c r="P174" t="str">
        <f>IF(OR($A174="",games!$H174=""),"",games!$H174)</f>
        <v>Yes</v>
      </c>
      <c r="Q174">
        <f t="shared" si="37"/>
        <v>28.000174000000001</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Estate</v>
      </c>
      <c r="B175">
        <f>IF($A175="","",games!$B175)</f>
        <v>2020</v>
      </c>
      <c r="C175" t="str">
        <f>IF($A175="","",games!$C175)</f>
        <v>Action</v>
      </c>
      <c r="D175">
        <f>IF($A175="","",COUNTIF(connections!$A$2:$A$1400,$A175)+COUNTIF(connections!$B$2:$B$1400,$A175))</f>
        <v>2</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Finger Dice</v>
      </c>
      <c r="B176">
        <f>IF($A176="","",games!$B176)</f>
        <v>2025</v>
      </c>
      <c r="C176" t="str">
        <f>IF($A176="","",games!$C176)</f>
        <v>Deckbuilder</v>
      </c>
      <c r="D176">
        <f>IF($A176="","",COUNTIF(connections!$A$2:$A$1400,$A176)+COUNTIF(connections!$B$2:$B$1400,$A176))</f>
        <v>1</v>
      </c>
      <c r="E176">
        <f t="shared" si="26"/>
        <v>3</v>
      </c>
      <c r="F176">
        <f t="shared" si="27"/>
        <v>6</v>
      </c>
      <c r="G176" t="e">
        <f t="shared" si="28"/>
        <v>#N/A</v>
      </c>
      <c r="H176" t="e">
        <f t="shared" si="29"/>
        <v>#N/A</v>
      </c>
      <c r="I176" t="e">
        <f t="shared" si="30"/>
        <v>#N/A</v>
      </c>
      <c r="J176" t="e">
        <f t="shared" si="31"/>
        <v>#N/A</v>
      </c>
      <c r="K176">
        <f t="shared" si="32"/>
        <v>2025</v>
      </c>
      <c r="L176">
        <f t="shared" si="33"/>
        <v>3.1379999999999999</v>
      </c>
      <c r="M176" t="e">
        <f t="shared" si="34"/>
        <v>#N/A</v>
      </c>
      <c r="N176" t="e">
        <f t="shared" si="35"/>
        <v>#N/A</v>
      </c>
      <c r="O176">
        <f t="shared" si="36"/>
        <v>1.000176</v>
      </c>
      <c r="P176" t="str">
        <f>IF(OR($A176="",games!$H176=""),"",games!$H176)</f>
        <v>Yes</v>
      </c>
      <c r="Q176">
        <f t="shared" si="37"/>
        <v>1.000176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Weight</v>
      </c>
      <c r="B177">
        <f>IF($A177="","",games!$B177)</f>
        <v>2026</v>
      </c>
      <c r="C177" t="str">
        <f>IF($A177="","",games!$C177)</f>
        <v>Strategy</v>
      </c>
      <c r="D177">
        <f>IF($A177="","",COUNTIF(connections!$A$2:$A$1400,$A177)+COUNTIF(connections!$B$2:$B$1400,$A177))</f>
        <v>1</v>
      </c>
      <c r="E177">
        <f t="shared" si="26"/>
        <v>2</v>
      </c>
      <c r="F177">
        <f t="shared" si="27"/>
        <v>7</v>
      </c>
      <c r="G177" t="e">
        <f t="shared" si="28"/>
        <v>#N/A</v>
      </c>
      <c r="H177" t="e">
        <f t="shared" si="29"/>
        <v>#N/A</v>
      </c>
      <c r="I177">
        <f t="shared" si="30"/>
        <v>2026</v>
      </c>
      <c r="J177">
        <f t="shared" si="31"/>
        <v>2.161</v>
      </c>
      <c r="K177" t="e">
        <f t="shared" si="32"/>
        <v>#N/A</v>
      </c>
      <c r="L177" t="e">
        <f t="shared" si="33"/>
        <v>#N/A</v>
      </c>
      <c r="M177" t="e">
        <f t="shared" si="34"/>
        <v>#N/A</v>
      </c>
      <c r="N177" t="e">
        <f t="shared" si="35"/>
        <v>#N/A</v>
      </c>
      <c r="O177">
        <f t="shared" si="36"/>
        <v>1.0001770000000001</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Deadzone: Rogue</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by Scrolling</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Must Die</v>
      </c>
      <c r="B180">
        <f>IF($A180="","",games!$B180)</f>
        <v>2023</v>
      </c>
      <c r="C180" t="str">
        <f>IF($A180="","",games!$C180)</f>
        <v>Action</v>
      </c>
      <c r="D180">
        <f>IF($A180="","",COUNTIF(connections!$A$2:$A$1400,$A180)+COUNTIF(connections!$B$2:$B$1400,$A180))</f>
        <v>8</v>
      </c>
      <c r="E180">
        <f t="shared" si="26"/>
        <v>1</v>
      </c>
      <c r="F180">
        <f t="shared" si="27"/>
        <v>10</v>
      </c>
      <c r="G180">
        <f t="shared" si="28"/>
        <v>2023</v>
      </c>
      <c r="H180">
        <f t="shared" si="29"/>
        <v>1.23</v>
      </c>
      <c r="I180" t="e">
        <f t="shared" si="30"/>
        <v>#N/A</v>
      </c>
      <c r="J180" t="e">
        <f t="shared" si="31"/>
        <v>#N/A</v>
      </c>
      <c r="K180" t="e">
        <f t="shared" si="32"/>
        <v>#N/A</v>
      </c>
      <c r="L180" t="e">
        <f t="shared" si="33"/>
        <v>#N/A</v>
      </c>
      <c r="M180" t="e">
        <f t="shared" si="34"/>
        <v>#N/A</v>
      </c>
      <c r="N180" t="e">
        <f t="shared" si="35"/>
        <v>#N/A</v>
      </c>
      <c r="O180">
        <f t="shared" si="36"/>
        <v>8.0001800000000003</v>
      </c>
      <c r="P180" t="str">
        <f>IF(OR($A180="",games!$H180=""),"",games!$H180)</f>
        <v>Yes</v>
      </c>
      <c r="Q180">
        <f t="shared" si="37"/>
        <v>8.0001800000000003</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 to Canada</v>
      </c>
      <c r="B181">
        <f>IF($A181="","",games!$B181)</f>
        <v>2016</v>
      </c>
      <c r="C181" t="str">
        <f>IF($A181="","",games!$C181)</f>
        <v>Action</v>
      </c>
      <c r="D181">
        <f>IF($A181="","",COUNTIF(connections!$A$2:$A$1400,$A181)+COUNTIF(connections!$B$2:$B$1400,$A181))</f>
        <v>0</v>
      </c>
      <c r="E181">
        <f t="shared" si="26"/>
        <v>1</v>
      </c>
      <c r="F181">
        <f t="shared" si="27"/>
        <v>11</v>
      </c>
      <c r="G181">
        <f t="shared" si="28"/>
        <v>2016</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Roads: Tournament</v>
      </c>
      <c r="B182">
        <f>IF($A182="","",games!$B182)</f>
        <v>2023</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2023</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Skid Marks</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Ashes</v>
      </c>
      <c r="B184">
        <f>IF($A184="","",games!$B184)</f>
        <v>2019</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2019</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Haunts</v>
      </c>
      <c r="B185">
        <f>IF($A185="","",games!$B185)</f>
        <v>2025</v>
      </c>
      <c r="C185" t="str">
        <f>IF($A185="","",games!$C185)</f>
        <v>Deckbuilder</v>
      </c>
      <c r="D185">
        <f>IF($A185="","",COUNTIF(connections!$A$2:$A$1400,$A185)+COUNTIF(connections!$B$2:$B$1400,$A185))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Decktamer</v>
      </c>
      <c r="B186">
        <f>IF($A186="","",games!$B186)</f>
        <v>2025</v>
      </c>
      <c r="C186" t="str">
        <f>IF($A186="","",games!$C186)</f>
        <v>Deckbuilder</v>
      </c>
      <c r="D186">
        <f>IF($A186="","",COUNTIF(connections!$A$2:$A$1400,$A186)+COUNTIF(connections!$B$2:$B$1400,$A186))</f>
        <v>2</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2.0001859999999998</v>
      </c>
      <c r="P186" t="str">
        <f>IF(OR($A186="",games!$H186=""),"",games!$H186)</f>
        <v>Yes</v>
      </c>
      <c r="Q186">
        <f t="shared" si="37"/>
        <v>2.0001859999999998</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Dungeons of Doom</v>
      </c>
      <c r="B187">
        <f>IF($A187="","",games!$B187)</f>
        <v>2014</v>
      </c>
      <c r="C187" t="str">
        <f>IF($A187="","",games!$C187)</f>
        <v>Action</v>
      </c>
      <c r="D187">
        <f>IF($A187="","",COUNTIF(connections!$A$2:$A$1400,$A187)+COUNTIF(connections!$B$2:$B$1400,$A187))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Rock Galactic: Survivor</v>
      </c>
      <c r="B188">
        <f>IF($A188="","",games!$B188)</f>
        <v>2024</v>
      </c>
      <c r="C188" t="str">
        <f>IF($A188="","",games!$C188)</f>
        <v>Action</v>
      </c>
      <c r="D188">
        <f>IF($A188="","",COUNTIF(connections!$A$2:$A$1400,$A188)+COUNTIF(connections!$B$2:$B$1400,$A188))</f>
        <v>5</v>
      </c>
      <c r="E188">
        <f t="shared" si="26"/>
        <v>1</v>
      </c>
      <c r="F188">
        <f t="shared" si="27"/>
        <v>18</v>
      </c>
      <c r="G188">
        <f t="shared" si="28"/>
        <v>2024</v>
      </c>
      <c r="H188">
        <f t="shared" si="29"/>
        <v>1.4139999999999999</v>
      </c>
      <c r="I188" t="e">
        <f t="shared" si="30"/>
        <v>#N/A</v>
      </c>
      <c r="J188" t="e">
        <f t="shared" si="31"/>
        <v>#N/A</v>
      </c>
      <c r="K188" t="e">
        <f t="shared" si="32"/>
        <v>#N/A</v>
      </c>
      <c r="L188" t="e">
        <f t="shared" si="33"/>
        <v>#N/A</v>
      </c>
      <c r="M188" t="e">
        <f t="shared" si="34"/>
        <v>#N/A</v>
      </c>
      <c r="N188" t="e">
        <f t="shared" si="35"/>
        <v>#N/A</v>
      </c>
      <c r="O188">
        <f t="shared" si="36"/>
        <v>5.0001879999999996</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Sky Derelicts</v>
      </c>
      <c r="B189">
        <f>IF($A189="","",games!$B189)</f>
        <v>2018</v>
      </c>
      <c r="C189" t="str">
        <f>IF($A189="","",games!$C189)</f>
        <v>Deckbuilder</v>
      </c>
      <c r="D189">
        <f>IF($A189="","",COUNTIF(connections!$A$2:$A$1400,$A189)+COUNTIF(connections!$B$2:$B$1400,$A189))</f>
        <v>3</v>
      </c>
      <c r="E189">
        <f t="shared" si="26"/>
        <v>3</v>
      </c>
      <c r="F189">
        <f t="shared" si="27"/>
        <v>19</v>
      </c>
      <c r="G189" t="e">
        <f t="shared" si="28"/>
        <v>#N/A</v>
      </c>
      <c r="H189" t="e">
        <f t="shared" si="29"/>
        <v>#N/A</v>
      </c>
      <c r="I189" t="e">
        <f t="shared" si="30"/>
        <v>#N/A</v>
      </c>
      <c r="J189" t="e">
        <f t="shared" si="31"/>
        <v>#N/A</v>
      </c>
      <c r="K189">
        <f t="shared" si="32"/>
        <v>2018</v>
      </c>
      <c r="L189">
        <f t="shared" si="33"/>
        <v>3.4369999999999998</v>
      </c>
      <c r="M189" t="e">
        <f t="shared" si="34"/>
        <v>#N/A</v>
      </c>
      <c r="N189" t="e">
        <f t="shared" si="35"/>
        <v>#N/A</v>
      </c>
      <c r="O189">
        <f t="shared" si="36"/>
        <v>3.0001890000000002</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Deepest Chamber: Resurrection</v>
      </c>
      <c r="B190">
        <f>IF($A190="","",games!$B190)</f>
        <v>2021</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2021</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Delver</v>
      </c>
      <c r="B191">
        <f>IF($A191="","",games!$B191)</f>
        <v>2012</v>
      </c>
      <c r="C191" t="str">
        <f>IF($A191="","",games!$C191)</f>
        <v>Action</v>
      </c>
      <c r="D191">
        <f>IF($A191="","",COUNTIF(connections!$A$2:$A$1400,$A191)+COUNTIF(connections!$B$2:$B$1400,$A191))</f>
        <v>0</v>
      </c>
      <c r="E191">
        <f t="shared" si="26"/>
        <v>1</v>
      </c>
      <c r="F191">
        <f t="shared" si="27"/>
        <v>21</v>
      </c>
      <c r="G191">
        <f t="shared" si="28"/>
        <v>2012</v>
      </c>
      <c r="H191">
        <f t="shared" si="29"/>
        <v>1.4830000000000001</v>
      </c>
      <c r="I191" t="e">
        <f t="shared" si="30"/>
        <v>#N/A</v>
      </c>
      <c r="J191" t="e">
        <f t="shared" si="31"/>
        <v>#N/A</v>
      </c>
      <c r="K191" t="e">
        <f t="shared" si="32"/>
        <v>#N/A</v>
      </c>
      <c r="L191" t="e">
        <f t="shared" si="33"/>
        <v>#N/A</v>
      </c>
      <c r="M191" t="e">
        <f t="shared" si="34"/>
        <v>#N/A</v>
      </c>
      <c r="N191" t="e">
        <f t="shared" si="35"/>
        <v>#N/A</v>
      </c>
      <c r="O191">
        <f t="shared" si="36"/>
        <v>1.9100000000000001E-4</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 Lord: Just a Block</v>
      </c>
      <c r="B192">
        <f>IF($A192="","",games!$B192)</f>
        <v>2026</v>
      </c>
      <c r="C192" t="str">
        <f>IF($A192="","",games!$C192)</f>
        <v>Traditional</v>
      </c>
      <c r="D192">
        <f>IF($A192="","",COUNTIF(connections!$A$2:$A$1400,$A192)+COUNTIF(connections!$B$2:$B$1400,$A192))</f>
        <v>2</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2026</v>
      </c>
      <c r="N192">
        <f t="shared" si="35"/>
        <v>4.5060000000000002</v>
      </c>
      <c r="O192">
        <f t="shared" si="36"/>
        <v>2.0001920000000002</v>
      </c>
      <c r="P192" t="str">
        <f>IF(OR($A192="",games!$H192=""),"",games!$H192)</f>
        <v>Yes</v>
      </c>
      <c r="Q192">
        <f t="shared" si="37"/>
        <v>2.0001920000000002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DemonCrawl</v>
      </c>
      <c r="B193">
        <f>IF($A193="","",games!$B193)</f>
        <v>2019</v>
      </c>
      <c r="C193" t="str">
        <f>IF($A193="","",games!$C193)</f>
        <v>Strategy</v>
      </c>
      <c r="D193">
        <f>IF($A193="","",COUNTIF(connections!$A$2:$A$1400,$A193)+COUNTIF(connections!$B$2:$B$1400,$A193))</f>
        <v>1</v>
      </c>
      <c r="E193">
        <f t="shared" si="26"/>
        <v>2</v>
      </c>
      <c r="F193">
        <f t="shared" si="27"/>
        <v>23</v>
      </c>
      <c r="G193" t="e">
        <f t="shared" si="28"/>
        <v>#N/A</v>
      </c>
      <c r="H193" t="e">
        <f t="shared" si="29"/>
        <v>#N/A</v>
      </c>
      <c r="I193">
        <f t="shared" si="30"/>
        <v>2019</v>
      </c>
      <c r="J193">
        <f t="shared" si="31"/>
        <v>2.5289999999999999</v>
      </c>
      <c r="K193" t="e">
        <f t="shared" si="32"/>
        <v>#N/A</v>
      </c>
      <c r="L193" t="e">
        <f t="shared" si="33"/>
        <v>#N/A</v>
      </c>
      <c r="M193" t="e">
        <f t="shared" si="34"/>
        <v>#N/A</v>
      </c>
      <c r="N193" t="e">
        <f t="shared" si="35"/>
        <v>#N/A</v>
      </c>
      <c r="O193">
        <f t="shared" si="36"/>
        <v>1.0001930000000001</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Demonic Mahjong</v>
      </c>
      <c r="B194">
        <f>IF($A194="","",games!$B194)</f>
        <v>2025</v>
      </c>
      <c r="C194" t="str">
        <f>IF($A194="","",games!$C194)</f>
        <v>Deckbuilder</v>
      </c>
      <c r="D194">
        <f>IF($A194="","",COUNTIF(connections!$A$2:$A$1400,$A194)+COUNTIF(connections!$B$2:$B$1400,$A194))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Demonlore</v>
      </c>
      <c r="B195">
        <f>IF($A195="","",games!$B195)</f>
        <v>2022</v>
      </c>
      <c r="C195" t="str">
        <f>IF($A195="","",games!$C195)</f>
        <v>Strategy</v>
      </c>
      <c r="D195">
        <f>IF($A195="","",COUNTIF(connections!$A$2:$A$1400,$A195)+COUNTIF(connections!$B$2:$B$1400,$A195))</f>
        <v>0</v>
      </c>
      <c r="E195">
        <f t="shared" si="39"/>
        <v>2</v>
      </c>
      <c r="F195">
        <f t="shared" si="40"/>
        <v>25</v>
      </c>
      <c r="G195" t="e">
        <f t="shared" si="41"/>
        <v>#N/A</v>
      </c>
      <c r="H195" t="e">
        <f t="shared" si="42"/>
        <v>#N/A</v>
      </c>
      <c r="I195">
        <f t="shared" si="43"/>
        <v>2022</v>
      </c>
      <c r="J195">
        <f t="shared" si="44"/>
        <v>2.5750000000000002</v>
      </c>
      <c r="K195" t="e">
        <f t="shared" si="45"/>
        <v>#N/A</v>
      </c>
      <c r="L195" t="e">
        <f t="shared" si="46"/>
        <v>#N/A</v>
      </c>
      <c r="M195" t="e">
        <f t="shared" si="47"/>
        <v>#N/A</v>
      </c>
      <c r="N195" t="e">
        <f t="shared" si="48"/>
        <v>#N/A</v>
      </c>
      <c r="O195">
        <f t="shared" si="49"/>
        <v>1.95E-4</v>
      </c>
      <c r="P195" t="str">
        <f>IF(OR($A195="",games!$H195=""),"",games!$H195)</f>
        <v>Yes</v>
      </c>
      <c r="Q195">
        <f t="shared" si="50"/>
        <v>1.95E-4</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Dungeons</v>
      </c>
      <c r="B196">
        <f>IF($A196="","",games!$B196)</f>
        <v>2010</v>
      </c>
      <c r="C196" t="str">
        <f>IF($A196="","",games!$C196)</f>
        <v>Traditional</v>
      </c>
      <c r="D196">
        <f>IF($A196="","",COUNTIF(connections!$A$2:$A$1400,$A196)+COUNTIF(connections!$B$2:$B$1400,$A196))</f>
        <v>3</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2010</v>
      </c>
      <c r="N196">
        <f t="shared" si="48"/>
        <v>4.5979999999999999</v>
      </c>
      <c r="O196">
        <f t="shared" si="49"/>
        <v>3.0001959999999999</v>
      </c>
      <c r="P196" t="str">
        <f>IF(OR($A196="",games!$H196=""),"",games!$H196)</f>
        <v/>
      </c>
      <c r="Q196" t="str">
        <f t="shared" si="50"/>
        <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Survivors 98</v>
      </c>
      <c r="B197">
        <f>IF($A197="","",games!$B197)</f>
        <v>2025</v>
      </c>
      <c r="C197" t="str">
        <f>IF($A197="","",games!$C197)</f>
        <v>Action</v>
      </c>
      <c r="D197">
        <f>IF($A197="","",COUNTIF(connections!$A$2:$A$1400,$A197)+COUNTIF(connections!$B$2:$B$1400,$A197))</f>
        <v>1</v>
      </c>
      <c r="E197">
        <f t="shared" si="39"/>
        <v>1</v>
      </c>
      <c r="F197">
        <f t="shared" si="40"/>
        <v>27</v>
      </c>
      <c r="G197">
        <f t="shared" si="41"/>
        <v>2025</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Despot's Game: Dystopian Battle Simulator</v>
      </c>
      <c r="B198">
        <f>IF($A198="","",games!$B198)</f>
        <v>2021</v>
      </c>
      <c r="C198" t="str">
        <f>IF($A198="","",games!$C198)</f>
        <v>Action</v>
      </c>
      <c r="D198">
        <f>IF($A198="","",COUNTIF(connections!$A$2:$A$1400,$A198)+COUNTIF(connections!$B$2:$B$1400,$A198))</f>
        <v>2</v>
      </c>
      <c r="E198">
        <f t="shared" si="39"/>
        <v>1</v>
      </c>
      <c r="F198">
        <f t="shared" si="40"/>
        <v>28</v>
      </c>
      <c r="G198">
        <f t="shared" si="41"/>
        <v>2021</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Yes</v>
      </c>
      <c r="Q198">
        <f t="shared" si="50"/>
        <v>2.0001980000000001</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Devil Slayer: Raksasi</v>
      </c>
      <c r="B199">
        <f>IF($A199="","",games!$B199)</f>
        <v>2019</v>
      </c>
      <c r="C199" t="str">
        <f>IF($A199="","",games!$C199)</f>
        <v>Action</v>
      </c>
      <c r="D199">
        <f>IF($A199="","",COUNTIF(connections!$A$2:$A$1400,$A199)+COUNTIF(connections!$B$2:$B$1400,$A199))</f>
        <v>2</v>
      </c>
      <c r="E199">
        <f t="shared" si="39"/>
        <v>1</v>
      </c>
      <c r="F199">
        <f t="shared" si="40"/>
        <v>29</v>
      </c>
      <c r="G199">
        <f t="shared" si="41"/>
        <v>2019</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
      </c>
      <c r="Q199" t="str">
        <f t="shared" si="50"/>
        <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Diablo</v>
      </c>
      <c r="B200">
        <f>IF($A200="","",games!$B200)</f>
        <v>1996</v>
      </c>
      <c r="C200" t="str">
        <f>IF($A200="","",games!$C200)</f>
        <v>Action</v>
      </c>
      <c r="D200">
        <f>IF($A200="","",COUNTIF(connections!$A$2:$A$1400,$A200)+COUNTIF(connections!$B$2:$B$1400,$A200))</f>
        <v>18</v>
      </c>
      <c r="E200">
        <f t="shared" si="39"/>
        <v>1</v>
      </c>
      <c r="F200">
        <f t="shared" si="40"/>
        <v>30</v>
      </c>
      <c r="G200">
        <f t="shared" si="41"/>
        <v>1996</v>
      </c>
      <c r="H200">
        <f t="shared" si="42"/>
        <v>1.69</v>
      </c>
      <c r="I200" t="e">
        <f t="shared" si="43"/>
        <v>#N/A</v>
      </c>
      <c r="J200" t="e">
        <f t="shared" si="44"/>
        <v>#N/A</v>
      </c>
      <c r="K200" t="e">
        <f t="shared" si="45"/>
        <v>#N/A</v>
      </c>
      <c r="L200" t="e">
        <f t="shared" si="46"/>
        <v>#N/A</v>
      </c>
      <c r="M200" t="e">
        <f t="shared" si="47"/>
        <v>#N/A</v>
      </c>
      <c r="N200" t="e">
        <f t="shared" si="48"/>
        <v>#N/A</v>
      </c>
      <c r="O200">
        <f t="shared" si="49"/>
        <v>18.0002</v>
      </c>
      <c r="P200" t="str">
        <f>IF(OR($A200="",games!$H200=""),"",games!$H200)</f>
        <v>Yes</v>
      </c>
      <c r="Q200">
        <f t="shared" si="50"/>
        <v>18.0002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&amp; Fold</v>
      </c>
      <c r="B201">
        <f>IF($A201="","",games!$B201)</f>
        <v>2024</v>
      </c>
      <c r="C201" t="str">
        <f>IF($A201="","",games!$C201)</f>
        <v>Deckbuilder</v>
      </c>
      <c r="D201">
        <f>IF($A201="","",COUNTIF(connections!$A$2:$A$1400,$A201)+COUNTIF(connections!$B$2:$B$1400,$A201))</f>
        <v>3</v>
      </c>
      <c r="E201">
        <f t="shared" si="39"/>
        <v>3</v>
      </c>
      <c r="F201">
        <f t="shared" si="40"/>
        <v>31</v>
      </c>
      <c r="G201" t="e">
        <f t="shared" si="41"/>
        <v>#N/A</v>
      </c>
      <c r="H201" t="e">
        <f t="shared" si="42"/>
        <v>#N/A</v>
      </c>
      <c r="I201" t="e">
        <f t="shared" si="43"/>
        <v>#N/A</v>
      </c>
      <c r="J201" t="e">
        <f t="shared" si="44"/>
        <v>#N/A</v>
      </c>
      <c r="K201">
        <f t="shared" si="45"/>
        <v>2024</v>
      </c>
      <c r="L201">
        <f t="shared" si="46"/>
        <v>3.7130000000000001</v>
      </c>
      <c r="M201" t="e">
        <f t="shared" si="47"/>
        <v>#N/A</v>
      </c>
      <c r="N201" t="e">
        <f t="shared" si="48"/>
        <v>#N/A</v>
      </c>
      <c r="O201">
        <f t="shared" si="49"/>
        <v>3.0002010000000001</v>
      </c>
      <c r="P201" t="str">
        <f>IF(OR($A201="",games!$H201=""),"",games!$H201)</f>
        <v>Yes</v>
      </c>
      <c r="Q201">
        <f t="shared" si="50"/>
        <v>3.0002010000000001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 Million</v>
      </c>
      <c r="B202">
        <f>IF($A202="","",games!$B202)</f>
        <v>2026</v>
      </c>
      <c r="C202" t="str">
        <f>IF($A202="","",games!$C202)</f>
        <v>Deckbuilder</v>
      </c>
      <c r="D202">
        <f>IF($A202="","",COUNTIF(connections!$A$2:$A$1400,$A202)+COUNTIF(connections!$B$2:$B$1400,$A202))</f>
        <v>2</v>
      </c>
      <c r="E202">
        <f t="shared" si="39"/>
        <v>3</v>
      </c>
      <c r="F202">
        <f t="shared" si="40"/>
        <v>32</v>
      </c>
      <c r="G202" t="e">
        <f t="shared" si="41"/>
        <v>#N/A</v>
      </c>
      <c r="H202" t="e">
        <f t="shared" si="42"/>
        <v>#N/A</v>
      </c>
      <c r="I202" t="e">
        <f t="shared" si="43"/>
        <v>#N/A</v>
      </c>
      <c r="J202" t="e">
        <f t="shared" si="44"/>
        <v>#N/A</v>
      </c>
      <c r="K202">
        <f t="shared" si="45"/>
        <v>2026</v>
      </c>
      <c r="L202">
        <f t="shared" si="46"/>
        <v>3.7359999999999998</v>
      </c>
      <c r="M202" t="e">
        <f t="shared" si="47"/>
        <v>#N/A</v>
      </c>
      <c r="N202" t="e">
        <f t="shared" si="48"/>
        <v>#N/A</v>
      </c>
      <c r="O202">
        <f t="shared" si="49"/>
        <v>2.0002019999999998</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Legends</v>
      </c>
      <c r="B203">
        <f>IF($A203="","",games!$B203)</f>
        <v>2025</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With Death</v>
      </c>
      <c r="B204">
        <f>IF($A204="","",games!$B204)</f>
        <v>2025</v>
      </c>
      <c r="C204" t="str">
        <f>IF($A204="","",games!$C204)</f>
        <v>Strategy</v>
      </c>
      <c r="D204">
        <f>IF($A204="","",COUNTIF(connections!$A$2:$A$1400,$A204)+COUNTIF(connections!$B$2:$B$1400,$A204))</f>
        <v>0</v>
      </c>
      <c r="E204">
        <f t="shared" si="39"/>
        <v>2</v>
      </c>
      <c r="F204">
        <f t="shared" si="40"/>
        <v>0</v>
      </c>
      <c r="G204" t="e">
        <f t="shared" si="41"/>
        <v>#N/A</v>
      </c>
      <c r="H204" t="e">
        <f t="shared" si="42"/>
        <v>#N/A</v>
      </c>
      <c r="I204">
        <f t="shared" si="43"/>
        <v>2025</v>
      </c>
      <c r="J204">
        <f t="shared" si="44"/>
        <v>2</v>
      </c>
      <c r="K204" t="e">
        <f t="shared" si="45"/>
        <v>#N/A</v>
      </c>
      <c r="L204" t="e">
        <f t="shared" si="46"/>
        <v>#N/A</v>
      </c>
      <c r="M204" t="e">
        <f t="shared" si="47"/>
        <v>#N/A</v>
      </c>
      <c r="N204" t="e">
        <f t="shared" si="48"/>
        <v>#N/A</v>
      </c>
      <c r="O204">
        <f t="shared" si="49"/>
        <v>2.04E-4</v>
      </c>
      <c r="P204" t="str">
        <f>IF(OR($A204="",games!$H204=""),"",games!$H204)</f>
        <v>Yes</v>
      </c>
      <c r="Q204">
        <f t="shared" si="50"/>
        <v>2.04E-4</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Dicealot</v>
      </c>
      <c r="B205">
        <f>IF($A205="","",games!$B205)</f>
        <v>2025</v>
      </c>
      <c r="C205" t="str">
        <f>IF($A205="","",games!$C205)</f>
        <v>Deckbuilder</v>
      </c>
      <c r="D205">
        <f>IF($A205="","",COUNTIF(connections!$A$2:$A$1400,$A205)+COUNTIF(connections!$B$2:$B$1400,$A205))</f>
        <v>5</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5.0002050000000002</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Dicefolk</v>
      </c>
      <c r="B206">
        <f>IF($A206="","",games!$B206)</f>
        <v>2024</v>
      </c>
      <c r="C206" t="str">
        <f>IF($A206="","",games!$C206)</f>
        <v>Deckbuilder</v>
      </c>
      <c r="D206">
        <f>IF($A206="","",COUNTIF(connections!$A$2:$A$1400,$A206)+COUNTIF(connections!$B$2:$B$1400,$A206))</f>
        <v>6</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6.0002060000000004</v>
      </c>
      <c r="P206" t="str">
        <f>IF(OR($A206="",games!$H206=""),"",games!$H206)</f>
        <v>Yes</v>
      </c>
      <c r="Q206">
        <f t="shared" si="50"/>
        <v>6.0002060000000004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Diceomancer</v>
      </c>
      <c r="B207">
        <f>IF($A207="","",games!$B207)</f>
        <v>2024</v>
      </c>
      <c r="C207" t="str">
        <f>IF($A207="","",games!$C207)</f>
        <v>Deckbuilder</v>
      </c>
      <c r="D207">
        <f>IF($A207="","",COUNTIF(connections!$A$2:$A$1400,$A207)+COUNTIF(connections!$B$2:$B$1400,$A207))</f>
        <v>1</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Dicey Dungeons</v>
      </c>
      <c r="B208">
        <f>IF($A208="","",games!$B208)</f>
        <v>2019</v>
      </c>
      <c r="C208" t="str">
        <f>IF($A208="","",games!$C208)</f>
        <v>Deckbuilder</v>
      </c>
      <c r="D208">
        <f>IF($A208="","",COUNTIF(connections!$A$2:$A$1400,$A208)+COUNTIF(connections!$B$2:$B$1400,$A208))</f>
        <v>9</v>
      </c>
      <c r="E208">
        <f t="shared" si="39"/>
        <v>3</v>
      </c>
      <c r="F208">
        <f t="shared" si="40"/>
        <v>4</v>
      </c>
      <c r="G208" t="e">
        <f t="shared" si="41"/>
        <v>#N/A</v>
      </c>
      <c r="H208" t="e">
        <f t="shared" si="42"/>
        <v>#N/A</v>
      </c>
      <c r="I208" t="e">
        <f t="shared" si="43"/>
        <v>#N/A</v>
      </c>
      <c r="J208" t="e">
        <f t="shared" si="44"/>
        <v>#N/A</v>
      </c>
      <c r="K208">
        <f t="shared" si="45"/>
        <v>2019</v>
      </c>
      <c r="L208">
        <f t="shared" si="46"/>
        <v>3.0920000000000001</v>
      </c>
      <c r="M208" t="e">
        <f t="shared" si="47"/>
        <v>#N/A</v>
      </c>
      <c r="N208" t="e">
        <f t="shared" si="48"/>
        <v>#N/A</v>
      </c>
      <c r="O208">
        <f t="shared" si="49"/>
        <v>9.0002080000000007</v>
      </c>
      <c r="P208" t="str">
        <f>IF(OR($A208="",games!$H208=""),"",games!$H208)</f>
        <v>Yes</v>
      </c>
      <c r="Q208">
        <f t="shared" si="50"/>
        <v>9.0002080000000007</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For The Lich</v>
      </c>
      <c r="B209">
        <f>IF($A209="","",games!$B209)</f>
        <v>2025</v>
      </c>
      <c r="C209" t="str">
        <f>IF($A209="","",games!$C209)</f>
        <v>Deckbuilder</v>
      </c>
      <c r="D209">
        <f>IF($A209="","",COUNTIF(connections!$A$2:$A$1400,$A209)+COUNTIF(connections!$B$2:$B$1400,$A209))</f>
        <v>3</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3.0002089999999999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in the Dungeon</v>
      </c>
      <c r="B210">
        <f>IF($A210="","",games!$B210)</f>
        <v>2025</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1.00021</v>
      </c>
      <c r="P210" t="str">
        <f>IF(OR($A210="",games!$H210=""),"",games!$H210)</f>
        <v>Yes</v>
      </c>
      <c r="Q210">
        <f t="shared" si="50"/>
        <v>1.00021</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DIG: Deep In Galaxies</v>
      </c>
      <c r="B211">
        <f>IF($A211="","",games!$B211)</f>
        <v>2021</v>
      </c>
      <c r="C211" t="str">
        <f>IF($A211="","",games!$C211)</f>
        <v>Action</v>
      </c>
      <c r="D211">
        <f>IF($A211="","",COUNTIF(connections!$A$2:$A$1400,$A211)+COUNTIF(connections!$B$2:$B$1400,$A211))</f>
        <v>0</v>
      </c>
      <c r="E211">
        <f t="shared" si="39"/>
        <v>1</v>
      </c>
      <c r="F211">
        <f t="shared" si="40"/>
        <v>7</v>
      </c>
      <c r="G211">
        <f t="shared" si="41"/>
        <v>2021</v>
      </c>
      <c r="H211">
        <f t="shared" si="42"/>
        <v>1.161</v>
      </c>
      <c r="I211" t="e">
        <f t="shared" si="43"/>
        <v>#N/A</v>
      </c>
      <c r="J211" t="e">
        <f t="shared" si="44"/>
        <v>#N/A</v>
      </c>
      <c r="K211" t="e">
        <f t="shared" si="45"/>
        <v>#N/A</v>
      </c>
      <c r="L211" t="e">
        <f t="shared" si="46"/>
        <v>#N/A</v>
      </c>
      <c r="M211" t="e">
        <f t="shared" si="47"/>
        <v>#N/A</v>
      </c>
      <c r="N211" t="e">
        <f t="shared" si="48"/>
        <v>#N/A</v>
      </c>
      <c r="O211">
        <f t="shared" si="49"/>
        <v>2.1100000000000001E-4</v>
      </c>
      <c r="P211" t="str">
        <f>IF(OR($A211="",games!$H211=""),"",games!$H211)</f>
        <v>Yes</v>
      </c>
      <c r="Q211">
        <f t="shared" si="50"/>
        <v>2.1100000000000001E-4</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Dimensionals</v>
      </c>
      <c r="B212">
        <f>IF($A212="","",games!$B212)</f>
        <v>2024</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Disfigure</v>
      </c>
      <c r="B213">
        <f>IF($A213="","",games!$B213)</f>
        <v>2023</v>
      </c>
      <c r="C213" t="str">
        <f>IF($A213="","",games!$C213)</f>
        <v>Action</v>
      </c>
      <c r="D213">
        <f>IF($A213="","",COUNTIF(connections!$A$2:$A$1400,$A213)+COUNTIF(connections!$B$2:$B$1400,$A213))</f>
        <v>2</v>
      </c>
      <c r="E213">
        <f t="shared" si="39"/>
        <v>1</v>
      </c>
      <c r="F213">
        <f t="shared" si="40"/>
        <v>9</v>
      </c>
      <c r="G213">
        <f t="shared" si="41"/>
        <v>2023</v>
      </c>
      <c r="H213">
        <f t="shared" si="42"/>
        <v>1.2070000000000001</v>
      </c>
      <c r="I213" t="e">
        <f t="shared" si="43"/>
        <v>#N/A</v>
      </c>
      <c r="J213" t="e">
        <f t="shared" si="44"/>
        <v>#N/A</v>
      </c>
      <c r="K213" t="e">
        <f t="shared" si="45"/>
        <v>#N/A</v>
      </c>
      <c r="L213" t="e">
        <f t="shared" si="46"/>
        <v>#N/A</v>
      </c>
      <c r="M213" t="e">
        <f t="shared" si="47"/>
        <v>#N/A</v>
      </c>
      <c r="N213" t="e">
        <f t="shared" si="48"/>
        <v>#N/A</v>
      </c>
      <c r="O213">
        <f t="shared" si="49"/>
        <v>2.000213</v>
      </c>
      <c r="P213" t="str">
        <f>IF(OR($A213="",games!$H213=""),"",games!$H213)</f>
        <v>Yes</v>
      </c>
      <c r="Q213">
        <f t="shared" si="50"/>
        <v>2.000213</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Dive or Die: Children of Rain</v>
      </c>
      <c r="B214">
        <f>IF($A214="","",games!$B214)</f>
        <v>2026</v>
      </c>
      <c r="C214" t="str">
        <f>IF($A214="","",games!$C214)</f>
        <v>Action</v>
      </c>
      <c r="D214">
        <f>IF($A214="","",COUNTIF(connections!$A$2:$A$1400,$A214)+COUNTIF(connections!$B$2:$B$1400,$A214))</f>
        <v>1</v>
      </c>
      <c r="E214">
        <f t="shared" si="39"/>
        <v>1</v>
      </c>
      <c r="F214">
        <f t="shared" si="40"/>
        <v>10</v>
      </c>
      <c r="G214">
        <f t="shared" si="41"/>
        <v>2026</v>
      </c>
      <c r="H214">
        <f t="shared" si="42"/>
        <v>1.23</v>
      </c>
      <c r="I214" t="e">
        <f t="shared" si="43"/>
        <v>#N/A</v>
      </c>
      <c r="J214" t="e">
        <f t="shared" si="44"/>
        <v>#N/A</v>
      </c>
      <c r="K214" t="e">
        <f t="shared" si="45"/>
        <v>#N/A</v>
      </c>
      <c r="L214" t="e">
        <f t="shared" si="46"/>
        <v>#N/A</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and Goblin</v>
      </c>
      <c r="B215">
        <f>IF($A215="","",games!$B215)</f>
        <v>2024</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Witch</v>
      </c>
      <c r="B216">
        <f>IF($A216="","",games!$B216)</f>
        <v>2025</v>
      </c>
      <c r="C216" t="str">
        <f>IF($A216="","",games!$C216)</f>
        <v>Deckbuilder</v>
      </c>
      <c r="D216">
        <f>IF($A216="","",COUNTIF(connections!$A$2:$A$1400,$A216)+COUNTIF(connections!$B$2:$B$1400,$A216))</f>
        <v>2</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2.000216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Dogpile</v>
      </c>
      <c r="B217">
        <f>IF($A217="","",games!$B217)</f>
        <v>2025</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Dome Keeper</v>
      </c>
      <c r="B218">
        <f>IF($A218="","",games!$B218)</f>
        <v>2022</v>
      </c>
      <c r="C218" t="str">
        <f>IF($A218="","",games!$C218)</f>
        <v>Strategy</v>
      </c>
      <c r="D218">
        <f>IF($A218="","",COUNTIF(connections!$A$2:$A$1400,$A218)+COUNTIF(connections!$B$2:$B$1400,$A218))</f>
        <v>5</v>
      </c>
      <c r="E218">
        <f t="shared" si="39"/>
        <v>2</v>
      </c>
      <c r="F218">
        <f t="shared" si="40"/>
        <v>14</v>
      </c>
      <c r="G218" t="e">
        <f t="shared" si="41"/>
        <v>#N/A</v>
      </c>
      <c r="H218" t="e">
        <f t="shared" si="42"/>
        <v>#N/A</v>
      </c>
      <c r="I218">
        <f t="shared" si="43"/>
        <v>2022</v>
      </c>
      <c r="J218">
        <f t="shared" si="44"/>
        <v>2.3220000000000001</v>
      </c>
      <c r="K218" t="e">
        <f t="shared" si="45"/>
        <v>#N/A</v>
      </c>
      <c r="L218" t="e">
        <f t="shared" si="46"/>
        <v>#N/A</v>
      </c>
      <c r="M218" t="e">
        <f t="shared" si="47"/>
        <v>#N/A</v>
      </c>
      <c r="N218" t="e">
        <f t="shared" si="48"/>
        <v>#N/A</v>
      </c>
      <c r="O218">
        <f t="shared" si="49"/>
        <v>5.0002180000000003</v>
      </c>
      <c r="P218" t="str">
        <f>IF(OR($A218="",games!$H218=""),"",games!$H218)</f>
        <v>Yes</v>
      </c>
      <c r="Q218">
        <f t="shared" si="50"/>
        <v>5.0002180000000003</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Let It Starve</v>
      </c>
      <c r="B219">
        <f>IF($A219="","",games!$B219)</f>
        <v>2026</v>
      </c>
      <c r="C219" t="str">
        <f>IF($A219="","",games!$C219)</f>
        <v>Strategy</v>
      </c>
      <c r="D219">
        <f>IF($A219="","",COUNTIF(connections!$A$2:$A$1400,$A219)+COUNTIF(connections!$B$2:$B$1400,$A219))</f>
        <v>1</v>
      </c>
      <c r="E219">
        <f t="shared" si="39"/>
        <v>2</v>
      </c>
      <c r="F219">
        <f t="shared" si="40"/>
        <v>15</v>
      </c>
      <c r="G219" t="e">
        <f t="shared" si="41"/>
        <v>#N/A</v>
      </c>
      <c r="H219" t="e">
        <f t="shared" si="42"/>
        <v>#N/A</v>
      </c>
      <c r="I219">
        <f t="shared" si="43"/>
        <v>2026</v>
      </c>
      <c r="J219">
        <f t="shared" si="44"/>
        <v>2.3449999999999998</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Lose Aggro</v>
      </c>
      <c r="B220">
        <f>IF($A220="","",games!$B220)</f>
        <v>2026</v>
      </c>
      <c r="C220" t="str">
        <f>IF($A220="","",games!$C220)</f>
        <v>Action</v>
      </c>
      <c r="D220">
        <f>IF($A220="","",COUNTIF(connections!$A$2:$A$1400,$A220)+COUNTIF(connections!$B$2:$B$1400,$A220))</f>
        <v>0</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2.2000000000000001E-4</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v>
      </c>
      <c r="B221">
        <f>IF($A221="","",games!$B221)</f>
        <v>2013</v>
      </c>
      <c r="C221" t="str">
        <f>IF($A221="","",games!$C221)</f>
        <v>Action</v>
      </c>
      <c r="D221">
        <f>IF($A221="","",COUNTIF(connections!$A$2:$A$1400,$A221)+COUNTIF(connections!$B$2:$B$1400,$A221))</f>
        <v>5</v>
      </c>
      <c r="E221">
        <f t="shared" si="39"/>
        <v>1</v>
      </c>
      <c r="F221">
        <f t="shared" si="40"/>
        <v>17</v>
      </c>
      <c r="G221">
        <f t="shared" si="41"/>
        <v>2013</v>
      </c>
      <c r="H221">
        <f t="shared" si="42"/>
        <v>1.391</v>
      </c>
      <c r="I221" t="e">
        <f t="shared" si="43"/>
        <v>#N/A</v>
      </c>
      <c r="J221" t="e">
        <f t="shared" si="44"/>
        <v>#N/A</v>
      </c>
      <c r="K221" t="e">
        <f t="shared" si="45"/>
        <v>#N/A</v>
      </c>
      <c r="L221" t="e">
        <f t="shared" si="46"/>
        <v>#N/A</v>
      </c>
      <c r="M221" t="e">
        <f t="shared" si="47"/>
        <v>#N/A</v>
      </c>
      <c r="N221" t="e">
        <f t="shared" si="48"/>
        <v>#N/A</v>
      </c>
      <c r="O221">
        <f t="shared" si="49"/>
        <v>5.0002209999999998</v>
      </c>
      <c r="P221" t="str">
        <f>IF(OR($A221="",games!$H221=""),"",games!$H221)</f>
        <v>Yes</v>
      </c>
      <c r="Q221">
        <f t="shared" si="50"/>
        <v>5.0002209999999998</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 Together</v>
      </c>
      <c r="B222">
        <f>IF($A222="","",games!$B222)</f>
        <v>2014</v>
      </c>
      <c r="C222" t="str">
        <f>IF($A222="","",games!$C222)</f>
        <v>Action</v>
      </c>
      <c r="D222">
        <f>IF($A222="","",COUNTIF(connections!$A$2:$A$1400,$A222)+COUNTIF(connections!$B$2:$B$1400,$A222))</f>
        <v>1</v>
      </c>
      <c r="E222">
        <f t="shared" si="39"/>
        <v>1</v>
      </c>
      <c r="F222">
        <f t="shared" si="40"/>
        <v>18</v>
      </c>
      <c r="G222">
        <f t="shared" si="41"/>
        <v>2014</v>
      </c>
      <c r="H222">
        <f t="shared" si="42"/>
        <v>1.4139999999999999</v>
      </c>
      <c r="I222" t="e">
        <f t="shared" si="43"/>
        <v>#N/A</v>
      </c>
      <c r="J222" t="e">
        <f t="shared" si="44"/>
        <v>#N/A</v>
      </c>
      <c r="K222" t="e">
        <f t="shared" si="45"/>
        <v>#N/A</v>
      </c>
      <c r="L222" t="e">
        <f t="shared" si="46"/>
        <v>#N/A</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DoomRL</v>
      </c>
      <c r="B223">
        <f>IF($A223="","",games!$B223)</f>
        <v>2002</v>
      </c>
      <c r="C223" t="str">
        <f>IF($A223="","",games!$C223)</f>
        <v>Traditional</v>
      </c>
      <c r="D223">
        <f>IF($A223="","",COUNTIF(connections!$A$2:$A$1400,$A223)+COUNTIF(connections!$B$2:$B$1400,$A223))</f>
        <v>8</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2002</v>
      </c>
      <c r="N223">
        <f t="shared" si="48"/>
        <v>4.4370000000000003</v>
      </c>
      <c r="O223">
        <f t="shared" si="49"/>
        <v>8.0002230000000001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Dota Auto Chess</v>
      </c>
      <c r="B224">
        <f>IF($A224="","",games!$B224)</f>
        <v>2019</v>
      </c>
      <c r="C224" t="str">
        <f>IF($A224="","",games!$C224)</f>
        <v>Strategy</v>
      </c>
      <c r="D224">
        <f>IF($A224="","",COUNTIF(connections!$A$2:$A$1400,$A224)+COUNTIF(connections!$B$2:$B$1400,$A224))</f>
        <v>5</v>
      </c>
      <c r="E224">
        <f t="shared" si="39"/>
        <v>2</v>
      </c>
      <c r="F224">
        <f t="shared" si="40"/>
        <v>20</v>
      </c>
      <c r="G224" t="e">
        <f t="shared" si="41"/>
        <v>#N/A</v>
      </c>
      <c r="H224" t="e">
        <f t="shared" si="42"/>
        <v>#N/A</v>
      </c>
      <c r="I224">
        <f t="shared" si="43"/>
        <v>2019</v>
      </c>
      <c r="J224">
        <f t="shared" si="44"/>
        <v>2.46</v>
      </c>
      <c r="K224" t="e">
        <f t="shared" si="45"/>
        <v>#N/A</v>
      </c>
      <c r="L224" t="e">
        <f t="shared" si="46"/>
        <v>#N/A</v>
      </c>
      <c r="M224" t="e">
        <f t="shared" si="47"/>
        <v>#N/A</v>
      </c>
      <c r="N224" t="e">
        <f t="shared" si="48"/>
        <v>#N/A</v>
      </c>
      <c r="O224">
        <f t="shared" si="49"/>
        <v>5.0002240000000002</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Double Dragon Gaiden: Rise Of The Dragons</v>
      </c>
      <c r="B225">
        <f>IF($A225="","",games!$B225)</f>
        <v>2023</v>
      </c>
      <c r="C225" t="str">
        <f>IF($A225="","",games!$C225)</f>
        <v>Action</v>
      </c>
      <c r="D225">
        <f>IF($A225="","",COUNTIF(connections!$A$2:$A$1400,$A225)+COUNTIF(connections!$B$2:$B$1400,$A225))</f>
        <v>0</v>
      </c>
      <c r="E225">
        <f t="shared" si="39"/>
        <v>1</v>
      </c>
      <c r="F225">
        <f t="shared" si="40"/>
        <v>21</v>
      </c>
      <c r="G225">
        <f t="shared" si="41"/>
        <v>2023</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Downwell</v>
      </c>
      <c r="B226">
        <f>IF($A226="","",games!$B226)</f>
        <v>2015</v>
      </c>
      <c r="C226" t="str">
        <f>IF($A226="","",games!$C226)</f>
        <v>Action</v>
      </c>
      <c r="D226">
        <f>IF($A226="","",COUNTIF(connections!$A$2:$A$1400,$A226)+COUNTIF(connections!$B$2:$B$1400,$A226))</f>
        <v>9</v>
      </c>
      <c r="E226">
        <f t="shared" si="39"/>
        <v>1</v>
      </c>
      <c r="F226">
        <f t="shared" si="40"/>
        <v>22</v>
      </c>
      <c r="G226">
        <f t="shared" si="41"/>
        <v>2015</v>
      </c>
      <c r="H226">
        <f t="shared" si="42"/>
        <v>1.506</v>
      </c>
      <c r="I226" t="e">
        <f t="shared" si="43"/>
        <v>#N/A</v>
      </c>
      <c r="J226" t="e">
        <f t="shared" si="44"/>
        <v>#N/A</v>
      </c>
      <c r="K226" t="e">
        <f t="shared" si="45"/>
        <v>#N/A</v>
      </c>
      <c r="L226" t="e">
        <f t="shared" si="46"/>
        <v>#N/A</v>
      </c>
      <c r="M226" t="e">
        <f t="shared" si="47"/>
        <v>#N/A</v>
      </c>
      <c r="N226" t="e">
        <f t="shared" si="48"/>
        <v>#N/A</v>
      </c>
      <c r="O226">
        <f t="shared" si="49"/>
        <v>9.0002259999999996</v>
      </c>
      <c r="P226" t="str">
        <f>IF(OR($A226="",games!$H226=""),"",games!$H226)</f>
        <v>Yes</v>
      </c>
      <c r="Q226">
        <f t="shared" si="50"/>
        <v>9.0002259999999996</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Crystal</v>
      </c>
      <c r="B227">
        <f>IF($A227="","",games!$B227)</f>
        <v>1990</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1990</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Quest: Young Yangus and the Mystery Dungeon</v>
      </c>
      <c r="B228">
        <f>IF($A228="","",games!$B228)</f>
        <v>2006</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2006</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Dragonslayer</v>
      </c>
      <c r="B229">
        <f>IF($A229="","",games!$B229)</f>
        <v>2003</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2003</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Drapline</v>
      </c>
      <c r="B230">
        <f>IF($A230="","",games!$B230)</f>
        <v>2025</v>
      </c>
      <c r="C230" t="str">
        <f>IF($A230="","",games!$C230)</f>
        <v>Strategy</v>
      </c>
      <c r="D230">
        <f>IF($A230="","",COUNTIF(connections!$A$2:$A$1400,$A230)+COUNTIF(connections!$B$2:$B$1400,$A230))</f>
        <v>0</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 Quest</v>
      </c>
      <c r="B231">
        <f>IF($A231="","",games!$B231)</f>
        <v>2014</v>
      </c>
      <c r="C231" t="str">
        <f>IF($A231="","",games!$C231)</f>
        <v>Deckbuilder</v>
      </c>
      <c r="D231">
        <f>IF($A231="","",COUNTIF(connections!$A$2:$A$1400,$A231)+COUNTIF(connections!$B$2:$B$1400,$A231))</f>
        <v>4</v>
      </c>
      <c r="E231">
        <f t="shared" si="39"/>
        <v>3</v>
      </c>
      <c r="F231">
        <f t="shared" si="40"/>
        <v>27</v>
      </c>
      <c r="G231" t="e">
        <f t="shared" si="41"/>
        <v>#N/A</v>
      </c>
      <c r="H231" t="e">
        <f t="shared" si="42"/>
        <v>#N/A</v>
      </c>
      <c r="I231" t="e">
        <f t="shared" si="43"/>
        <v>#N/A</v>
      </c>
      <c r="J231" t="e">
        <f t="shared" si="44"/>
        <v>#N/A</v>
      </c>
      <c r="K231">
        <f t="shared" si="45"/>
        <v>2014</v>
      </c>
      <c r="L231">
        <f t="shared" si="46"/>
        <v>3.621</v>
      </c>
      <c r="M231" t="e">
        <f t="shared" si="47"/>
        <v>#N/A</v>
      </c>
      <c r="N231" t="e">
        <f t="shared" si="48"/>
        <v>#N/A</v>
      </c>
      <c r="O231">
        <f t="shared" si="49"/>
        <v>4.0002310000000003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Dreamscaper</v>
      </c>
      <c r="B232">
        <f>IF($A232="","",games!$B232)</f>
        <v>2020</v>
      </c>
      <c r="C232" t="str">
        <f>IF($A232="","",games!$C232)</f>
        <v>Action</v>
      </c>
      <c r="D232">
        <f>IF($A232="","",COUNTIF(connections!$A$2:$A$1400,$A232)+COUNTIF(connections!$B$2:$B$1400,$A232))</f>
        <v>3</v>
      </c>
      <c r="E232">
        <f t="shared" si="39"/>
        <v>1</v>
      </c>
      <c r="F232">
        <f t="shared" si="40"/>
        <v>28</v>
      </c>
      <c r="G232">
        <f t="shared" si="41"/>
        <v>2020</v>
      </c>
      <c r="H232">
        <f t="shared" si="42"/>
        <v>1.6440000000000001</v>
      </c>
      <c r="I232" t="e">
        <f t="shared" si="43"/>
        <v>#N/A</v>
      </c>
      <c r="J232" t="e">
        <f t="shared" si="44"/>
        <v>#N/A</v>
      </c>
      <c r="K232" t="e">
        <f t="shared" si="45"/>
        <v>#N/A</v>
      </c>
      <c r="L232" t="e">
        <f t="shared" si="46"/>
        <v>#N/A</v>
      </c>
      <c r="M232" t="e">
        <f t="shared" si="47"/>
        <v>#N/A</v>
      </c>
      <c r="N232" t="e">
        <f t="shared" si="48"/>
        <v>#N/A</v>
      </c>
      <c r="O232">
        <f t="shared" si="49"/>
        <v>3.000232</v>
      </c>
      <c r="P232" t="str">
        <f>IF(OR($A232="",games!$H232=""),"",games!$H232)</f>
        <v>Yes</v>
      </c>
      <c r="Q232">
        <f t="shared" si="50"/>
        <v>3.000232</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Drill Core</v>
      </c>
      <c r="B233">
        <f>IF($A233="","",games!$B233)</f>
        <v>2024</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2024</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Duchy</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Drop Pockets</v>
      </c>
      <c r="B235">
        <f>IF($A235="","",games!$B235)</f>
        <v>2025</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Clawler</v>
      </c>
      <c r="B236">
        <f>IF($A236="","",games!$B236)</f>
        <v>2024</v>
      </c>
      <c r="C236" t="str">
        <f>IF($A236="","",games!$C236)</f>
        <v>Deckbuilder</v>
      </c>
      <c r="D236">
        <f>IF($A236="","",COUNTIF(connections!$A$2:$A$1400,$A236)+COUNTIF(connections!$B$2:$B$1400,$A236))</f>
        <v>4</v>
      </c>
      <c r="E236">
        <f t="shared" si="39"/>
        <v>3</v>
      </c>
      <c r="F236">
        <f t="shared" si="40"/>
        <v>32</v>
      </c>
      <c r="G236" t="e">
        <f t="shared" si="41"/>
        <v>#N/A</v>
      </c>
      <c r="H236" t="e">
        <f t="shared" si="42"/>
        <v>#N/A</v>
      </c>
      <c r="I236" t="e">
        <f t="shared" si="43"/>
        <v>#N/A</v>
      </c>
      <c r="J236" t="e">
        <f t="shared" si="44"/>
        <v>#N/A</v>
      </c>
      <c r="K236">
        <f t="shared" si="45"/>
        <v>2024</v>
      </c>
      <c r="L236">
        <f t="shared" si="46"/>
        <v>3.7359999999999998</v>
      </c>
      <c r="M236" t="e">
        <f t="shared" si="47"/>
        <v>#N/A</v>
      </c>
      <c r="N236" t="e">
        <f t="shared" si="48"/>
        <v>#N/A</v>
      </c>
      <c r="O236">
        <f t="shared" si="49"/>
        <v>4.0002360000000001</v>
      </c>
      <c r="P236" t="str">
        <f>IF(OR($A236="",games!$H236=""),"",games!$H236)</f>
        <v>Yes</v>
      </c>
      <c r="Q236">
        <f t="shared" si="50"/>
        <v>4.0002360000000001</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Crawl Stone Soup</v>
      </c>
      <c r="B237">
        <f>IF($A237="","",games!$B237)</f>
        <v>2006</v>
      </c>
      <c r="C237" t="str">
        <f>IF($A237="","",games!$C237)</f>
        <v>Traditional</v>
      </c>
      <c r="D237">
        <f>IF($A237="","",COUNTIF(connections!$A$2:$A$1400,$A237)+COUNTIF(connections!$B$2:$B$1400,$A237))</f>
        <v>11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2006</v>
      </c>
      <c r="N237">
        <f t="shared" si="48"/>
        <v>4.7590000000000003</v>
      </c>
      <c r="O237">
        <f t="shared" si="49"/>
        <v>11.000237</v>
      </c>
      <c r="P237" t="str">
        <f>IF(OR($A237="",games!$H237=""),"",games!$H237)</f>
        <v>Yes</v>
      </c>
      <c r="Q237">
        <f t="shared" si="50"/>
        <v>11.000237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Deathball</v>
      </c>
      <c r="B238">
        <f>IF($A238="","",games!$B238)</f>
        <v>2021</v>
      </c>
      <c r="C238" t="str">
        <f>IF($A238="","",games!$C238)</f>
        <v>Strategy</v>
      </c>
      <c r="D238">
        <f>IF($A238="","",COUNTIF(connections!$A$2:$A$1400,$A238)+COUNTIF(connections!$B$2:$B$1400,$A238))</f>
        <v>0</v>
      </c>
      <c r="E238">
        <f t="shared" si="39"/>
        <v>2</v>
      </c>
      <c r="F238">
        <f t="shared" si="40"/>
        <v>0</v>
      </c>
      <c r="G238" t="e">
        <f t="shared" si="41"/>
        <v>#N/A</v>
      </c>
      <c r="H238" t="e">
        <f t="shared" si="42"/>
        <v>#N/A</v>
      </c>
      <c r="I238">
        <f t="shared" si="43"/>
        <v>2021</v>
      </c>
      <c r="J238">
        <f t="shared" si="44"/>
        <v>2</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Drafters</v>
      </c>
      <c r="B239">
        <f>IF($A239="","",games!$B239)</f>
        <v>2023</v>
      </c>
      <c r="C239" t="str">
        <f>IF($A239="","",games!$C239)</f>
        <v>Traditional</v>
      </c>
      <c r="D239">
        <f>IF($A239="","",COUNTIF(connections!$A$2:$A$1400,$A239)+COUNTIF(connections!$B$2:$B$1400,$A239))</f>
        <v>4</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2023</v>
      </c>
      <c r="N239">
        <f t="shared" si="48"/>
        <v>4.0229999999999997</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Hack</v>
      </c>
      <c r="B240">
        <f>IF($A240="","",games!$B240)</f>
        <v>1993</v>
      </c>
      <c r="C240" t="str">
        <f>IF($A240="","",games!$C240)</f>
        <v>Action</v>
      </c>
      <c r="D240">
        <f>IF($A240="","",COUNTIF(connections!$A$2:$A$1400,$A240)+COUNTIF(connections!$B$2:$B$1400,$A240))</f>
        <v>0</v>
      </c>
      <c r="E240">
        <f t="shared" si="39"/>
        <v>1</v>
      </c>
      <c r="F240">
        <f t="shared" si="40"/>
        <v>2</v>
      </c>
      <c r="G240">
        <f t="shared" si="41"/>
        <v>1993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
      </c>
      <c r="Q240" t="str">
        <f t="shared" si="50"/>
        <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of Windaria</v>
      </c>
      <c r="B241">
        <f>IF($A241="","",games!$B241)</f>
        <v>2008</v>
      </c>
      <c r="C241" t="str">
        <f>IF($A241="","",games!$C241)</f>
        <v>Traditional</v>
      </c>
      <c r="D241">
        <f>IF($A241="","",COUNTIF(connections!$A$2:$A$1400,$A241)+COUNTIF(connections!$B$2:$B$1400,$A241))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2008</v>
      </c>
      <c r="N241">
        <f t="shared" si="48"/>
        <v>4.069</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Rushers</v>
      </c>
      <c r="B242">
        <f>IF($A242="","",games!$B242)</f>
        <v>2016</v>
      </c>
      <c r="C242" t="str">
        <f>IF($A242="","",games!$C242)</f>
        <v>Strategy</v>
      </c>
      <c r="D242">
        <f>IF($A242="","",COUNTIF(connections!$A$2:$A$1400,$A242)+COUNTIF(connections!$B$2:$B$1400,$A242))</f>
        <v>1</v>
      </c>
      <c r="E242">
        <f t="shared" si="39"/>
        <v>2</v>
      </c>
      <c r="F242">
        <f t="shared" si="40"/>
        <v>4</v>
      </c>
      <c r="G242" t="e">
        <f t="shared" si="41"/>
        <v>#N/A</v>
      </c>
      <c r="H242" t="e">
        <f t="shared" si="42"/>
        <v>#N/A</v>
      </c>
      <c r="I242">
        <f t="shared" si="43"/>
        <v>2016</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Dungeonmans</v>
      </c>
      <c r="B243">
        <f>IF($A243="","",games!$B243)</f>
        <v>2010</v>
      </c>
      <c r="C243" t="str">
        <f>IF($A243="","",games!$C243)</f>
        <v>Traditional</v>
      </c>
      <c r="D243">
        <f>IF($A243="","",COUNTIF(connections!$A$2:$A$1400,$A243)+COUNTIF(connections!$B$2:$B$1400,$A243))</f>
        <v>10</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2010</v>
      </c>
      <c r="N243">
        <f t="shared" si="48"/>
        <v>4.1150000000000002</v>
      </c>
      <c r="O243">
        <f t="shared" si="49"/>
        <v>10.000242999999999</v>
      </c>
      <c r="P243" t="str">
        <f>IF(OR($A243="",games!$H243=""),"",games!$H243)</f>
        <v>Yes</v>
      </c>
      <c r="Q243">
        <f t="shared" si="50"/>
        <v>10.000242999999999</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&amp; Degenerate Gamblers</v>
      </c>
      <c r="B244">
        <f>IF($A244="","",games!$B244)</f>
        <v>2024</v>
      </c>
      <c r="C244" t="str">
        <f>IF($A244="","",games!$C244)</f>
        <v>Deckbuilder</v>
      </c>
      <c r="D244">
        <f>IF($A244="","",COUNTIF(connections!$A$2:$A$1400,$A244)+COUNTIF(connections!$B$2:$B$1400,$A244))</f>
        <v>1</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Blood and Dream</v>
      </c>
      <c r="B245">
        <f>IF($A245="","",games!$B245)</f>
        <v>2024</v>
      </c>
      <c r="C245" t="str">
        <f>IF($A245="","",games!$C245)</f>
        <v>Action</v>
      </c>
      <c r="D245">
        <f>IF($A245="","",COUNTIF(connections!$A$2:$A$1400,$A245)+COUNTIF(connections!$B$2:$B$1400,$A245))</f>
        <v>1</v>
      </c>
      <c r="E245">
        <f t="shared" si="39"/>
        <v>1</v>
      </c>
      <c r="F245">
        <f t="shared" si="40"/>
        <v>7</v>
      </c>
      <c r="G245">
        <f t="shared" si="41"/>
        <v>2024</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
      </c>
      <c r="Q245" t="str">
        <f t="shared" si="50"/>
        <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of Dredmor</v>
      </c>
      <c r="B246">
        <f>IF($A246="","",games!$B246)</f>
        <v>2011</v>
      </c>
      <c r="C246" t="str">
        <f>IF($A246="","",games!$C246)</f>
        <v>Traditional</v>
      </c>
      <c r="D246">
        <f>IF($A246="","",COUNTIF(connections!$A$2:$A$1400,$A246)+COUNTIF(connections!$B$2:$B$1400,$A246))</f>
        <v>5</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2011</v>
      </c>
      <c r="N246">
        <f t="shared" si="48"/>
        <v>4.1840000000000002</v>
      </c>
      <c r="O246">
        <f t="shared" si="49"/>
        <v>5.0002459999999997</v>
      </c>
      <c r="P246" t="str">
        <f>IF(OR($A246="",games!$H246=""),"",games!$H246)</f>
        <v>Yes</v>
      </c>
      <c r="Q246">
        <f t="shared" si="50"/>
        <v>5.0002459999999997</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Dungreed</v>
      </c>
      <c r="B247">
        <f>IF($A247="","",games!$B247)</f>
        <v>2018</v>
      </c>
      <c r="C247" t="str">
        <f>IF($A247="","",games!$C247)</f>
        <v>Action</v>
      </c>
      <c r="D247">
        <f>IF($A247="","",COUNTIF(connections!$A$2:$A$1400,$A247)+COUNTIF(connections!$B$2:$B$1400,$A247))</f>
        <v>1</v>
      </c>
      <c r="E247">
        <f t="shared" si="39"/>
        <v>1</v>
      </c>
      <c r="F247">
        <f t="shared" si="40"/>
        <v>9</v>
      </c>
      <c r="G247">
        <f t="shared" si="41"/>
        <v>2018</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Dunjungle</v>
      </c>
      <c r="B248">
        <f>IF($A248="","",games!$B248)</f>
        <v>2025</v>
      </c>
      <c r="C248" t="str">
        <f>IF($A248="","",games!$C248)</f>
        <v>Action</v>
      </c>
      <c r="D248">
        <f>IF($A248="","",COUNTIF(connections!$A$2:$A$1400,$A248)+COUNTIF(connections!$B$2:$B$1400,$A248))</f>
        <v>4</v>
      </c>
      <c r="E248">
        <f t="shared" si="39"/>
        <v>1</v>
      </c>
      <c r="F248">
        <f t="shared" si="40"/>
        <v>10</v>
      </c>
      <c r="G248">
        <f t="shared" si="41"/>
        <v>2025</v>
      </c>
      <c r="H248">
        <f t="shared" si="42"/>
        <v>1.23</v>
      </c>
      <c r="I248" t="e">
        <f t="shared" si="43"/>
        <v>#N/A</v>
      </c>
      <c r="J248" t="e">
        <f t="shared" si="44"/>
        <v>#N/A</v>
      </c>
      <c r="K248" t="e">
        <f t="shared" si="45"/>
        <v>#N/A</v>
      </c>
      <c r="L248" t="e">
        <f t="shared" si="46"/>
        <v>#N/A</v>
      </c>
      <c r="M248" t="e">
        <f t="shared" si="47"/>
        <v>#N/A</v>
      </c>
      <c r="N248" t="e">
        <f t="shared" si="48"/>
        <v>#N/A</v>
      </c>
      <c r="O248">
        <f t="shared" si="49"/>
        <v>4.000248</v>
      </c>
      <c r="P248" t="str">
        <f>IF(OR($A248="",games!$H248=""),"",games!$H248)</f>
        <v/>
      </c>
      <c r="Q248" t="str">
        <f t="shared" si="50"/>
        <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Dwarf Fortress</v>
      </c>
      <c r="B249">
        <f>IF($A249="","",games!$B249)</f>
        <v>2006</v>
      </c>
      <c r="C249" t="str">
        <f>IF($A249="","",games!$C249)</f>
        <v>Strategy</v>
      </c>
      <c r="D249">
        <f>IF($A249="","",COUNTIF(connections!$A$2:$A$1400,$A249)+COUNTIF(connections!$B$2:$B$1400,$A249))</f>
        <v>10</v>
      </c>
      <c r="E249">
        <f t="shared" si="39"/>
        <v>2</v>
      </c>
      <c r="F249">
        <f t="shared" si="40"/>
        <v>11</v>
      </c>
      <c r="G249" t="e">
        <f t="shared" si="41"/>
        <v>#N/A</v>
      </c>
      <c r="H249" t="e">
        <f t="shared" si="42"/>
        <v>#N/A</v>
      </c>
      <c r="I249">
        <f t="shared" si="43"/>
        <v>2006</v>
      </c>
      <c r="J249">
        <f t="shared" si="44"/>
        <v>2.2530000000000001</v>
      </c>
      <c r="K249" t="e">
        <f t="shared" si="45"/>
        <v>#N/A</v>
      </c>
      <c r="L249" t="e">
        <f t="shared" si="46"/>
        <v>#N/A</v>
      </c>
      <c r="M249" t="e">
        <f t="shared" si="47"/>
        <v>#N/A</v>
      </c>
      <c r="N249" t="e">
        <f t="shared" si="48"/>
        <v>#N/A</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Dwarves: Glory, Death and Loot</v>
      </c>
      <c r="B250">
        <f>IF($A250="","",games!$B250)</f>
        <v>2023</v>
      </c>
      <c r="C250" t="str">
        <f>IF($A250="","",games!$C250)</f>
        <v>Strategy</v>
      </c>
      <c r="D250">
        <f>IF($A250="","",COUNTIF(connections!$A$2:$A$1400,$A250)+COUNTIF(connections!$B$2:$B$1400,$A250))</f>
        <v>1</v>
      </c>
      <c r="E250">
        <f t="shared" si="39"/>
        <v>2</v>
      </c>
      <c r="F250">
        <f t="shared" si="40"/>
        <v>12</v>
      </c>
      <c r="G250" t="e">
        <f t="shared" si="41"/>
        <v>#N/A</v>
      </c>
      <c r="H250" t="e">
        <f t="shared" si="42"/>
        <v>#N/A</v>
      </c>
      <c r="I250">
        <f t="shared" si="43"/>
        <v>2023</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Elden Ring Nightreign</v>
      </c>
      <c r="B251">
        <f>IF($A251="","",games!$B251)</f>
        <v>2025</v>
      </c>
      <c r="C251" t="str">
        <f>IF($A251="","",games!$C251)</f>
        <v>Action</v>
      </c>
      <c r="D251">
        <f>IF($A251="","",COUNTIF(connections!$A$2:$A$1400,$A251)+COUNTIF(connections!$B$2:$B$1400,$A251))</f>
        <v>1</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Eldritch</v>
      </c>
      <c r="B252">
        <f>IF($A252="","",games!$B252)</f>
        <v>2013</v>
      </c>
      <c r="C252" t="str">
        <f>IF($A252="","",games!$C252)</f>
        <v>Action</v>
      </c>
      <c r="D252">
        <f>IF($A252="","",COUNTIF(connections!$A$2:$A$1400,$A252)+COUNTIF(connections!$B$2:$B$1400,$A252))</f>
        <v>1</v>
      </c>
      <c r="E252">
        <f t="shared" si="39"/>
        <v>1</v>
      </c>
      <c r="F252">
        <f t="shared" si="40"/>
        <v>14</v>
      </c>
      <c r="G252">
        <f t="shared" si="41"/>
        <v>2013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Elemental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Elewar: Fused Survivors</v>
      </c>
      <c r="B254">
        <f>IF($A254="","",games!$B254)</f>
        <v>2023</v>
      </c>
      <c r="C254" t="str">
        <f>IF($A254="","",games!$C254)</f>
        <v>Action</v>
      </c>
      <c r="D254">
        <f>IF($A254="","",COUNTIF(connections!$A$2:$A$1400,$A254)+COUNTIF(connections!$B$2:$B$1400,$A254))</f>
        <v>1</v>
      </c>
      <c r="E254">
        <f t="shared" si="39"/>
        <v>1</v>
      </c>
      <c r="F254">
        <f t="shared" si="40"/>
        <v>16</v>
      </c>
      <c r="G254">
        <f t="shared" si="41"/>
        <v>2023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Elin</v>
      </c>
      <c r="B255">
        <f>IF($A255="","",games!$B255)</f>
        <v>2024</v>
      </c>
      <c r="C255" t="str">
        <f>IF($A255="","",games!$C255)</f>
        <v>Traditional</v>
      </c>
      <c r="D255">
        <f>IF($A255="","",COUNTIF(connections!$A$2:$A$1400,$A255)+COUNTIF(connections!$B$2:$B$1400,$A255))</f>
        <v>1</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2024</v>
      </c>
      <c r="N255">
        <f t="shared" si="48"/>
        <v>4.391</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Elona</v>
      </c>
      <c r="B256">
        <f>IF($A256="","",games!$B256)</f>
        <v>2008</v>
      </c>
      <c r="C256" t="str">
        <f>IF($A256="","",games!$C256)</f>
        <v>Traditional</v>
      </c>
      <c r="D256">
        <f>IF($A256="","",COUNTIF(connections!$A$2:$A$1400,$A256)+COUNTIF(connections!$B$2:$B$1400,$A256))</f>
        <v>5</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5.0002560000000003</v>
      </c>
      <c r="P256" t="str">
        <f>IF(OR($A256="",games!$H256=""),"",games!$H256)</f>
        <v/>
      </c>
      <c r="Q256" t="str">
        <f t="shared" si="50"/>
        <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 Knights</v>
      </c>
      <c r="B257">
        <f>IF($A257="","",games!$B257)</f>
        <v>2022</v>
      </c>
      <c r="C257" t="str">
        <f>IF($A257="","",games!$C257)</f>
        <v>Action</v>
      </c>
      <c r="D257">
        <f>IF($A257="","",COUNTIF(connections!$A$2:$A$1400,$A257)+COUNTIF(connections!$B$2:$B$1400,$A257))</f>
        <v>5</v>
      </c>
      <c r="E257">
        <f t="shared" si="39"/>
        <v>1</v>
      </c>
      <c r="F257">
        <f t="shared" si="40"/>
        <v>19</v>
      </c>
      <c r="G257">
        <f t="shared" si="41"/>
        <v>2022</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Yes</v>
      </c>
      <c r="Q257">
        <f t="shared" si="50"/>
        <v>5.0002570000000004</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Emberward</v>
      </c>
      <c r="B258">
        <f>IF($A258="","",games!$B258)</f>
        <v>2024</v>
      </c>
      <c r="C258" t="str">
        <f>IF($A258="","",games!$C258)</f>
        <v>Strategy</v>
      </c>
      <c r="D258">
        <f>IF($A258="","",COUNTIF(connections!$A$2:$A$1400,$A258)+COUNTIF(connections!$B$2:$B$1400,$A258))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2024</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Endgame of Devil</v>
      </c>
      <c r="B259">
        <f>IF($A259="","",games!$B259)</f>
        <v>2023</v>
      </c>
      <c r="C259" t="str">
        <f>IF($A259="","",games!$C259)</f>
        <v>Deckbuilder</v>
      </c>
      <c r="D259">
        <f>IF($A259="","",COUNTIF(connections!$A$2:$A$1400,$A259)+COUNTIF(connections!$B$2:$B$1400,$A259))</f>
        <v>1</v>
      </c>
      <c r="E259">
        <f t="shared" si="52"/>
        <v>3</v>
      </c>
      <c r="F259">
        <f t="shared" si="53"/>
        <v>21</v>
      </c>
      <c r="G259" t="e">
        <f t="shared" si="54"/>
        <v>#N/A</v>
      </c>
      <c r="H259" t="e">
        <f t="shared" si="55"/>
        <v>#N/A</v>
      </c>
      <c r="I259" t="e">
        <f t="shared" si="56"/>
        <v>#N/A</v>
      </c>
      <c r="J259" t="e">
        <f t="shared" si="57"/>
        <v>#N/A</v>
      </c>
      <c r="K259">
        <f t="shared" si="58"/>
        <v>2023</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Endless Alice</v>
      </c>
      <c r="B260">
        <f>IF($A260="","",games!$B260)</f>
        <v>2025</v>
      </c>
      <c r="C260" t="str">
        <f>IF($A260="","",games!$C260)</f>
        <v>Action</v>
      </c>
      <c r="D260">
        <f>IF($A260="","",COUNTIF(connections!$A$2:$A$1400,$A260)+COUNTIF(connections!$B$2:$B$1400,$A260))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Enter the Gungeon</v>
      </c>
      <c r="B261">
        <f>IF($A261="","",games!$B261)</f>
        <v>2016</v>
      </c>
      <c r="C261" t="str">
        <f>IF($A261="","",games!$C261)</f>
        <v>Action</v>
      </c>
      <c r="D261">
        <f>IF($A261="","",COUNTIF(connections!$A$2:$A$1400,$A261)+COUNTIF(connections!$B$2:$B$1400,$A261))</f>
        <v>26</v>
      </c>
      <c r="E261">
        <f t="shared" si="52"/>
        <v>1</v>
      </c>
      <c r="F261">
        <f t="shared" si="53"/>
        <v>23</v>
      </c>
      <c r="G261">
        <f t="shared" si="54"/>
        <v>2016</v>
      </c>
      <c r="H261">
        <f t="shared" si="55"/>
        <v>1.5289999999999999</v>
      </c>
      <c r="I261" t="e">
        <f t="shared" si="56"/>
        <v>#N/A</v>
      </c>
      <c r="J261" t="e">
        <f t="shared" si="57"/>
        <v>#N/A</v>
      </c>
      <c r="K261" t="e">
        <f t="shared" si="58"/>
        <v>#N/A</v>
      </c>
      <c r="L261" t="e">
        <f t="shared" si="59"/>
        <v>#N/A</v>
      </c>
      <c r="M261" t="e">
        <f t="shared" si="60"/>
        <v>#N/A</v>
      </c>
      <c r="N261" t="e">
        <f t="shared" si="61"/>
        <v>#N/A</v>
      </c>
      <c r="O261">
        <f t="shared" si="62"/>
        <v>26.000260999999998</v>
      </c>
      <c r="P261" t="str">
        <f>IF(OR($A261="",games!$H261=""),"",games!$H261)</f>
        <v>Yes</v>
      </c>
      <c r="Q261">
        <f t="shared" si="63"/>
        <v>26.000260999999998</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Escape The Mad Empire</v>
      </c>
      <c r="B262">
        <f>IF($A262="","",games!$B262)</f>
        <v>2025</v>
      </c>
      <c r="C262" t="str">
        <f>IF($A262="","",games!$C262)</f>
        <v>Strategy</v>
      </c>
      <c r="D262">
        <f>IF($A262="","",COUNTIF(connections!$A$2:$A$1400,$A262)+COUNTIF(connections!$B$2:$B$1400,$A262))</f>
        <v>6</v>
      </c>
      <c r="E262">
        <f t="shared" si="52"/>
        <v>2</v>
      </c>
      <c r="F262">
        <f t="shared" si="53"/>
        <v>24</v>
      </c>
      <c r="G262" t="e">
        <f t="shared" si="54"/>
        <v>#N/A</v>
      </c>
      <c r="H262" t="e">
        <f t="shared" si="55"/>
        <v>#N/A</v>
      </c>
      <c r="I262">
        <f t="shared" si="56"/>
        <v>2025</v>
      </c>
      <c r="J262">
        <f t="shared" si="57"/>
        <v>2.552</v>
      </c>
      <c r="K262" t="e">
        <f t="shared" si="58"/>
        <v>#N/A</v>
      </c>
      <c r="L262" t="e">
        <f t="shared" si="59"/>
        <v>#N/A</v>
      </c>
      <c r="M262" t="e">
        <f t="shared" si="60"/>
        <v>#N/A</v>
      </c>
      <c r="N262" t="e">
        <f t="shared" si="61"/>
        <v>#N/A</v>
      </c>
      <c r="O262">
        <f t="shared" si="62"/>
        <v>6.0002620000000002</v>
      </c>
      <c r="P262" t="str">
        <f>IF(OR($A262="",games!$H262=""),"",games!$H262)</f>
        <v/>
      </c>
      <c r="Q262" t="str">
        <f t="shared" si="63"/>
        <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Eternal Quest</v>
      </c>
      <c r="B263">
        <f>IF($A263="","",games!$B263)</f>
        <v>2004</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2004</v>
      </c>
      <c r="N263">
        <f t="shared" si="61"/>
        <v>4.5750000000000002</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v>
      </c>
      <c r="B264">
        <f>IF($A264="","",games!$B264)</f>
        <v>2015</v>
      </c>
      <c r="C264" t="str">
        <f>IF($A264="","",games!$C264)</f>
        <v>Traditional</v>
      </c>
      <c r="D264">
        <f>IF($A264="","",COUNTIF(connections!$A$2:$A$1400,$A264)+COUNTIF(connections!$B$2:$B$1400,$A264))</f>
        <v>2</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2015</v>
      </c>
      <c r="N264">
        <f t="shared" si="61"/>
        <v>4.5979999999999999</v>
      </c>
      <c r="O264">
        <f t="shared" si="62"/>
        <v>2.000264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Etrian Mystery Dungeon 2</v>
      </c>
      <c r="B265">
        <f>IF($A265="","",games!$B265)</f>
        <v>2017</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2017</v>
      </c>
      <c r="N265">
        <f t="shared" si="61"/>
        <v>4.6210000000000004</v>
      </c>
      <c r="O265">
        <f t="shared" si="62"/>
        <v>1.000265</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Everything is Crab</v>
      </c>
      <c r="B266">
        <f>IF($A266="","",games!$B266)</f>
        <v>2026</v>
      </c>
      <c r="C266" t="str">
        <f>IF($A266="","",games!$C266)</f>
        <v>Action</v>
      </c>
      <c r="D266">
        <f>IF($A266="","",COUNTIF(connections!$A$2:$A$1400,$A266)+COUNTIF(connections!$B$2:$B$1400,$A266))</f>
        <v>3</v>
      </c>
      <c r="E266">
        <f t="shared" si="52"/>
        <v>1</v>
      </c>
      <c r="F266">
        <f t="shared" si="53"/>
        <v>28</v>
      </c>
      <c r="G266">
        <f t="shared" si="54"/>
        <v>2026</v>
      </c>
      <c r="H266">
        <f t="shared" si="55"/>
        <v>1.6440000000000001</v>
      </c>
      <c r="I266" t="e">
        <f t="shared" si="56"/>
        <v>#N/A</v>
      </c>
      <c r="J266" t="e">
        <f t="shared" si="57"/>
        <v>#N/A</v>
      </c>
      <c r="K266" t="e">
        <f t="shared" si="58"/>
        <v>#N/A</v>
      </c>
      <c r="L266" t="e">
        <f t="shared" si="59"/>
        <v>#N/A</v>
      </c>
      <c r="M266" t="e">
        <f t="shared" si="60"/>
        <v>#N/A</v>
      </c>
      <c r="N266" t="e">
        <f t="shared" si="61"/>
        <v>#N/A</v>
      </c>
      <c r="O266">
        <f t="shared" si="62"/>
        <v>3.0002659999999999</v>
      </c>
      <c r="P266" t="str">
        <f>IF(OR($A266="",games!$H266=""),"",games!$H266)</f>
        <v>Yes</v>
      </c>
      <c r="Q266">
        <f t="shared" si="63"/>
        <v>3.0002659999999999</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Evolings</v>
      </c>
      <c r="B267">
        <f>IF($A267="","",games!$B267)</f>
        <v>2023</v>
      </c>
      <c r="C267" t="str">
        <f>IF($A267="","",games!$C267)</f>
        <v>Action</v>
      </c>
      <c r="D267">
        <f>IF($A267="","",COUNTIF(connections!$A$2:$A$1400,$A267)+COUNTIF(connections!$B$2:$B$1400,$A267))</f>
        <v>0</v>
      </c>
      <c r="E267">
        <f t="shared" si="52"/>
        <v>1</v>
      </c>
      <c r="F267">
        <f t="shared" si="53"/>
        <v>29</v>
      </c>
      <c r="G267">
        <f t="shared" si="54"/>
        <v>2023</v>
      </c>
      <c r="H267">
        <f t="shared" si="55"/>
        <v>1.667</v>
      </c>
      <c r="I267" t="e">
        <f t="shared" si="56"/>
        <v>#N/A</v>
      </c>
      <c r="J267" t="e">
        <f t="shared" si="57"/>
        <v>#N/A</v>
      </c>
      <c r="K267" t="e">
        <f t="shared" si="58"/>
        <v>#N/A</v>
      </c>
      <c r="L267" t="e">
        <f t="shared" si="59"/>
        <v>#N/A</v>
      </c>
      <c r="M267" t="e">
        <f t="shared" si="60"/>
        <v>#N/A</v>
      </c>
      <c r="N267" t="e">
        <f t="shared" si="61"/>
        <v>#N/A</v>
      </c>
      <c r="O267">
        <f t="shared" si="62"/>
        <v>2.6699999999999998E-4</v>
      </c>
      <c r="P267" t="str">
        <f>IF(OR($A267="",games!$H267=""),"",games!$H267)</f>
        <v>Yes</v>
      </c>
      <c r="Q267">
        <f t="shared" si="63"/>
        <v>2.6699999999999998E-4</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Exit the Gungeon</v>
      </c>
      <c r="B268">
        <f>IF($A268="","",games!$B268)</f>
        <v>2020</v>
      </c>
      <c r="C268" t="str">
        <f>IF($A268="","",games!$C268)</f>
        <v>Action</v>
      </c>
      <c r="D268">
        <f>IF($A268="","",COUNTIF(connections!$A$2:$A$1400,$A268)+COUNTIF(connections!$B$2:$B$1400,$A268))</f>
        <v>1</v>
      </c>
      <c r="E268">
        <f t="shared" si="52"/>
        <v>1</v>
      </c>
      <c r="F268">
        <f t="shared" si="53"/>
        <v>30</v>
      </c>
      <c r="G268">
        <f t="shared" si="54"/>
        <v>2020</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Facehand</v>
      </c>
      <c r="B269">
        <f>IF($A269="","",games!$B269)</f>
        <v>2024</v>
      </c>
      <c r="C269" t="str">
        <f>IF($A269="","",games!$C269)</f>
        <v>Deckbuilder</v>
      </c>
      <c r="D269">
        <f>IF($A269="","",COUNTIF(connections!$A$2:$A$1400,$A269)+COUNTIF(connections!$B$2:$B$1400,$A269))</f>
        <v>1</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Fairy Tail: Dungeons</v>
      </c>
      <c r="B270">
        <f>IF($A270="","",games!$B270)</f>
        <v>2024</v>
      </c>
      <c r="C270" t="str">
        <f>IF($A270="","",games!$C270)</f>
        <v>Deckbuilder</v>
      </c>
      <c r="D270">
        <f>IF($A270="","",COUNTIF(connections!$A$2:$A$1400,$A270)+COUNTIF(connections!$B$2:$B$1400,$A270))</f>
        <v>0</v>
      </c>
      <c r="E270">
        <f t="shared" si="52"/>
        <v>3</v>
      </c>
      <c r="F270">
        <f t="shared" si="53"/>
        <v>32</v>
      </c>
      <c r="G270" t="e">
        <f t="shared" si="54"/>
        <v>#N/A</v>
      </c>
      <c r="H270" t="e">
        <f t="shared" si="55"/>
        <v>#N/A</v>
      </c>
      <c r="I270" t="e">
        <f t="shared" si="56"/>
        <v>#N/A</v>
      </c>
      <c r="J270" t="e">
        <f t="shared" si="57"/>
        <v>#N/A</v>
      </c>
      <c r="K270">
        <f t="shared" si="58"/>
        <v>2024</v>
      </c>
      <c r="L270">
        <f t="shared" si="59"/>
        <v>3.7359999999999998</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Fatal Labyrinth</v>
      </c>
      <c r="B271">
        <f>IF($A271="","",games!$B271)</f>
        <v>1990</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1990</v>
      </c>
      <c r="N271">
        <f t="shared" si="61"/>
        <v>4.7590000000000003</v>
      </c>
      <c r="O271">
        <f t="shared" si="62"/>
        <v>2.0002710000000001</v>
      </c>
      <c r="P271" t="str">
        <f>IF(OR($A271="",games!$H271=""),"",games!$H271)</f>
        <v>Yes</v>
      </c>
      <c r="Q271">
        <f t="shared" si="63"/>
        <v>2.0002710000000001</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Fear &amp; Hunger</v>
      </c>
      <c r="B272">
        <f>IF($A272="","",games!$B272)</f>
        <v>2018</v>
      </c>
      <c r="C272" t="str">
        <f>IF($A272="","",games!$C272)</f>
        <v>Strategy</v>
      </c>
      <c r="D272">
        <f>IF($A272="","",COUNTIF(connections!$A$2:$A$1400,$A272)+COUNTIF(connections!$B$2:$B$1400,$A272))</f>
        <v>1</v>
      </c>
      <c r="E272">
        <f t="shared" si="52"/>
        <v>2</v>
      </c>
      <c r="F272">
        <f t="shared" si="53"/>
        <v>0</v>
      </c>
      <c r="G272" t="e">
        <f t="shared" si="54"/>
        <v>#N/A</v>
      </c>
      <c r="H272" t="e">
        <f t="shared" si="55"/>
        <v>#N/A</v>
      </c>
      <c r="I272">
        <f t="shared" si="56"/>
        <v>2018</v>
      </c>
      <c r="J272">
        <f t="shared" si="57"/>
        <v>2</v>
      </c>
      <c r="K272" t="e">
        <f t="shared" si="58"/>
        <v>#N/A</v>
      </c>
      <c r="L272" t="e">
        <f t="shared" si="59"/>
        <v>#N/A</v>
      </c>
      <c r="M272" t="e">
        <f t="shared" si="60"/>
        <v>#N/A</v>
      </c>
      <c r="N272" t="e">
        <f t="shared" si="61"/>
        <v>#N/A</v>
      </c>
      <c r="O272">
        <f t="shared" si="62"/>
        <v>1.000272</v>
      </c>
      <c r="P272" t="str">
        <f>IF(OR($A272="",games!$H272=""),"",games!$H272)</f>
        <v/>
      </c>
      <c r="Q272" t="str">
        <f t="shared" si="63"/>
        <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Feed the Deep</v>
      </c>
      <c r="B273">
        <f>IF($A273="","",games!$B273)</f>
        <v>2024</v>
      </c>
      <c r="C273" t="str">
        <f>IF($A273="","",games!$C273)</f>
        <v>Strategy</v>
      </c>
      <c r="D273">
        <f>IF($A273="","",COUNTIF(connections!$A$2:$A$1400,$A273)+COUNTIF(connections!$B$2:$B$1400,$A273))</f>
        <v>2</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Fights in Tight Spaces</v>
      </c>
      <c r="B274">
        <f>IF($A274="","",games!$B274)</f>
        <v>2021</v>
      </c>
      <c r="C274" t="str">
        <f>IF($A274="","",games!$C274)</f>
        <v>Deckbuilder</v>
      </c>
      <c r="D274">
        <f>IF($A274="","",COUNTIF(connections!$A$2:$A$1400,$A274)+COUNTIF(connections!$B$2:$B$1400,$A274))</f>
        <v>5</v>
      </c>
      <c r="E274">
        <f t="shared" si="52"/>
        <v>3</v>
      </c>
      <c r="F274">
        <f t="shared" si="53"/>
        <v>2</v>
      </c>
      <c r="G274" t="e">
        <f t="shared" si="54"/>
        <v>#N/A</v>
      </c>
      <c r="H274" t="e">
        <f t="shared" si="55"/>
        <v>#N/A</v>
      </c>
      <c r="I274" t="e">
        <f t="shared" si="56"/>
        <v>#N/A</v>
      </c>
      <c r="J274" t="e">
        <f t="shared" si="57"/>
        <v>#N/A</v>
      </c>
      <c r="K274">
        <f t="shared" si="58"/>
        <v>2021</v>
      </c>
      <c r="L274">
        <f t="shared" si="59"/>
        <v>3.0459999999999998</v>
      </c>
      <c r="M274" t="e">
        <f t="shared" si="60"/>
        <v>#N/A</v>
      </c>
      <c r="N274" t="e">
        <f t="shared" si="61"/>
        <v>#N/A</v>
      </c>
      <c r="O274">
        <f t="shared" si="62"/>
        <v>5.0002740000000001</v>
      </c>
      <c r="P274" t="str">
        <f>IF(OR($A274="",games!$H274=""),"",games!$H274)</f>
        <v>Yes</v>
      </c>
      <c r="Q274">
        <f t="shared" si="63"/>
        <v>5.0002740000000001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Final Fantasy Fables: Chocobo's Dungeon</v>
      </c>
      <c r="B275">
        <f>IF($A275="","",games!$B275)</f>
        <v>2007</v>
      </c>
      <c r="C275" t="str">
        <f>IF($A275="","",games!$C275)</f>
        <v>Traditional</v>
      </c>
      <c r="D275">
        <f>IF($A275="","",COUNTIF(connections!$A$2:$A$1400,$A275)+COUNTIF(connections!$B$2:$B$1400,$A275))</f>
        <v>2</v>
      </c>
      <c r="E275">
        <f t="shared" si="52"/>
        <v>4</v>
      </c>
      <c r="F275">
        <f t="shared" si="53"/>
        <v>3</v>
      </c>
      <c r="G275" t="e">
        <f t="shared" si="54"/>
        <v>#N/A</v>
      </c>
      <c r="H275" t="e">
        <f t="shared" si="55"/>
        <v>#N/A</v>
      </c>
      <c r="I275" t="e">
        <f t="shared" si="56"/>
        <v>#N/A</v>
      </c>
      <c r="J275" t="e">
        <f t="shared" si="57"/>
        <v>#N/A</v>
      </c>
      <c r="K275" t="e">
        <f t="shared" si="58"/>
        <v>#N/A</v>
      </c>
      <c r="L275" t="e">
        <f t="shared" si="59"/>
        <v>#N/A</v>
      </c>
      <c r="M275">
        <f t="shared" si="60"/>
        <v>2007</v>
      </c>
      <c r="N275">
        <f t="shared" si="61"/>
        <v>4.069</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Fish Fear Me</v>
      </c>
      <c r="B276">
        <f>IF($A276="","",games!$B276)</f>
        <v>2024</v>
      </c>
      <c r="C276" t="str">
        <f>IF($A276="","",games!$C276)</f>
        <v>Action</v>
      </c>
      <c r="D276">
        <f>IF($A276="","",COUNTIF(connections!$A$2:$A$1400,$A276)+COUNTIF(connections!$B$2:$B$1400,$A276))</f>
        <v>1</v>
      </c>
      <c r="E276">
        <f t="shared" si="52"/>
        <v>1</v>
      </c>
      <c r="F276">
        <f t="shared" si="53"/>
        <v>4</v>
      </c>
      <c r="G276">
        <f t="shared" si="54"/>
        <v>2024</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FLERP</v>
      </c>
      <c r="B277">
        <f>IF($A277="","",games!$B277)</f>
        <v>2022</v>
      </c>
      <c r="C277" t="str">
        <f>IF($A277="","",games!$C277)</f>
        <v>Action</v>
      </c>
      <c r="D277">
        <f>IF($A277="","",COUNTIF(connections!$A$2:$A$1400,$A277)+COUNTIF(connections!$B$2:$B$1400,$A277))</f>
        <v>2</v>
      </c>
      <c r="E277">
        <f t="shared" si="52"/>
        <v>1</v>
      </c>
      <c r="F277">
        <f t="shared" si="53"/>
        <v>5</v>
      </c>
      <c r="G277">
        <f t="shared" si="54"/>
        <v>2022</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Flick Shot Rogues</v>
      </c>
      <c r="B278">
        <f>IF($A278="","",games!$B278)</f>
        <v>2025</v>
      </c>
      <c r="C278" t="str">
        <f>IF($A278="","",games!$C278)</f>
        <v>Strategy</v>
      </c>
      <c r="D278">
        <f>IF($A278="","",COUNTIF(connections!$A$2:$A$1400,$A278)+COUNTIF(connections!$B$2:$B$1400,$A278))</f>
        <v>0</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2.7799999999999998E-4</v>
      </c>
      <c r="P278" t="str">
        <f>IF(OR($A278="",games!$H278=""),"",games!$H278)</f>
        <v/>
      </c>
      <c r="Q278" t="str">
        <f t="shared" si="63"/>
        <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Flinthook</v>
      </c>
      <c r="B279">
        <f>IF($A279="","",games!$B279)</f>
        <v>2017</v>
      </c>
      <c r="C279" t="str">
        <f>IF($A279="","",games!$C279)</f>
        <v>Action</v>
      </c>
      <c r="D279">
        <f>IF($A279="","",COUNTIF(connections!$A$2:$A$1400,$A279)+COUNTIF(connections!$B$2:$B$1400,$A279))</f>
        <v>2</v>
      </c>
      <c r="E279">
        <f t="shared" si="52"/>
        <v>1</v>
      </c>
      <c r="F279">
        <f t="shared" si="53"/>
        <v>7</v>
      </c>
      <c r="G279">
        <f t="shared" si="54"/>
        <v>2017</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Fogpiercer</v>
      </c>
      <c r="B280">
        <f>IF($A280="","",games!$B280)</f>
        <v>2026</v>
      </c>
      <c r="C280" t="str">
        <f>IF($A280="","",games!$C280)</f>
        <v>Deckbuilder</v>
      </c>
      <c r="D280">
        <f>IF($A280="","",COUNTIF(connections!$A$2:$A$1400,$A280)+COUNTIF(connections!$B$2:$B$1400,$A280))</f>
        <v>4</v>
      </c>
      <c r="E280">
        <f t="shared" si="52"/>
        <v>3</v>
      </c>
      <c r="F280">
        <f t="shared" si="53"/>
        <v>8</v>
      </c>
      <c r="G280" t="e">
        <f t="shared" si="54"/>
        <v>#N/A</v>
      </c>
      <c r="H280" t="e">
        <f t="shared" si="55"/>
        <v>#N/A</v>
      </c>
      <c r="I280" t="e">
        <f t="shared" si="56"/>
        <v>#N/A</v>
      </c>
      <c r="J280" t="e">
        <f t="shared" si="57"/>
        <v>#N/A</v>
      </c>
      <c r="K280">
        <f t="shared" si="58"/>
        <v>2026</v>
      </c>
      <c r="L280">
        <f t="shared" si="59"/>
        <v>3.1840000000000002</v>
      </c>
      <c r="M280" t="e">
        <f t="shared" si="60"/>
        <v>#N/A</v>
      </c>
      <c r="N280" t="e">
        <f t="shared" si="61"/>
        <v>#N/A</v>
      </c>
      <c r="O280">
        <f t="shared" si="62"/>
        <v>4.0002800000000001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Footgun: Underground</v>
      </c>
      <c r="B281">
        <f>IF($A281="","",games!$B281)</f>
        <v>2024</v>
      </c>
      <c r="C281" t="str">
        <f>IF($A281="","",games!$C281)</f>
        <v>Action</v>
      </c>
      <c r="D281">
        <f>IF($A281="","",COUNTIF(connections!$A$2:$A$1400,$A281)+COUNTIF(connections!$B$2:$B$1400,$A281))</f>
        <v>0</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Yes</v>
      </c>
      <c r="Q281">
        <f t="shared" si="63"/>
        <v>2.81E-4</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v>
      </c>
      <c r="B282">
        <f>IF($A282="","",games!$B282)</f>
        <v>2018</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2018</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King 2</v>
      </c>
      <c r="B283">
        <f>IF($A283="","",games!$B283)</f>
        <v>2023</v>
      </c>
      <c r="C283" t="str">
        <f>IF($A283="","",games!$C283)</f>
        <v>Strategy</v>
      </c>
      <c r="D283">
        <f>IF($A283="","",COUNTIF(connections!$A$2:$A$1400,$A283)+COUNTIF(connections!$B$2:$B$1400,$A283))</f>
        <v>1</v>
      </c>
      <c r="E283">
        <f t="shared" si="52"/>
        <v>2</v>
      </c>
      <c r="F283">
        <f t="shared" si="53"/>
        <v>11</v>
      </c>
      <c r="G283" t="e">
        <f t="shared" si="54"/>
        <v>#N/A</v>
      </c>
      <c r="H283" t="e">
        <f t="shared" si="55"/>
        <v>#N/A</v>
      </c>
      <c r="I283">
        <f t="shared" si="56"/>
        <v>2023</v>
      </c>
      <c r="J283">
        <f t="shared" si="57"/>
        <v>2.2530000000000001</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Warp</v>
      </c>
      <c r="B284">
        <f>IF($A284="","",games!$B284)</f>
        <v>2020</v>
      </c>
      <c r="C284" t="str">
        <f>IF($A284="","",games!$C284)</f>
        <v>Deckbuilder</v>
      </c>
      <c r="D284">
        <f>IF($A284="","",COUNTIF(connections!$A$2:$A$1400,$A284)+COUNTIF(connections!$B$2:$B$1400,$A284))</f>
        <v>3</v>
      </c>
      <c r="E284">
        <f t="shared" si="52"/>
        <v>3</v>
      </c>
      <c r="F284">
        <f t="shared" si="53"/>
        <v>12</v>
      </c>
      <c r="G284" t="e">
        <f t="shared" si="54"/>
        <v>#N/A</v>
      </c>
      <c r="H284" t="e">
        <f t="shared" si="55"/>
        <v>#N/A</v>
      </c>
      <c r="I284" t="e">
        <f t="shared" si="56"/>
        <v>#N/A</v>
      </c>
      <c r="J284" t="e">
        <f t="shared" si="57"/>
        <v>#N/A</v>
      </c>
      <c r="K284">
        <f t="shared" si="58"/>
        <v>2020</v>
      </c>
      <c r="L284">
        <f t="shared" si="59"/>
        <v>3.2759999999999998</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Forestrike</v>
      </c>
      <c r="B285">
        <f>IF($A285="","",games!$B285)</f>
        <v>2025</v>
      </c>
      <c r="C285" t="str">
        <f>IF($A285="","",games!$C285)</f>
        <v>Action</v>
      </c>
      <c r="D285">
        <f>IF($A285="","",COUNTIF(connections!$A$2:$A$1400,$A285)+COUNTIF(connections!$B$2:$B$1400,$A285))</f>
        <v>0</v>
      </c>
      <c r="E285">
        <f t="shared" si="52"/>
        <v>1</v>
      </c>
      <c r="F285">
        <f t="shared" si="53"/>
        <v>13</v>
      </c>
      <c r="G285">
        <f t="shared" si="54"/>
        <v>2025</v>
      </c>
      <c r="H285">
        <f t="shared" si="55"/>
        <v>1.2989999999999999</v>
      </c>
      <c r="I285" t="e">
        <f t="shared" si="56"/>
        <v>#N/A</v>
      </c>
      <c r="J285" t="e">
        <f t="shared" si="57"/>
        <v>#N/A</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Forward: Escape the Fold</v>
      </c>
      <c r="B286">
        <f>IF($A286="","",games!$B286)</f>
        <v>2022</v>
      </c>
      <c r="C286" t="str">
        <f>IF($A286="","",games!$C286)</f>
        <v>Strategy</v>
      </c>
      <c r="D286">
        <f>IF($A286="","",COUNTIF(connections!$A$2:$A$1400,$A286)+COUNTIF(connections!$B$2:$B$1400,$A286))</f>
        <v>3</v>
      </c>
      <c r="E286">
        <f t="shared" si="52"/>
        <v>2</v>
      </c>
      <c r="F286">
        <f t="shared" si="53"/>
        <v>14</v>
      </c>
      <c r="G286" t="e">
        <f t="shared" si="54"/>
        <v>#N/A</v>
      </c>
      <c r="H286" t="e">
        <f t="shared" si="55"/>
        <v>#N/A</v>
      </c>
      <c r="I286">
        <f t="shared" si="56"/>
        <v>2022</v>
      </c>
      <c r="J286">
        <f t="shared" si="57"/>
        <v>2.3220000000000001</v>
      </c>
      <c r="K286" t="e">
        <f t="shared" si="58"/>
        <v>#N/A</v>
      </c>
      <c r="L286" t="e">
        <f t="shared" si="59"/>
        <v>#N/A</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Freaky Awesome</v>
      </c>
      <c r="B287">
        <f>IF($A287="","",games!$B287)</f>
        <v>2017</v>
      </c>
      <c r="C287" t="str">
        <f>IF($A287="","",games!$C287)</f>
        <v>Action</v>
      </c>
      <c r="D287">
        <f>IF($A287="","",COUNTIF(connections!$A$2:$A$1400,$A287)+COUNTIF(connections!$B$2:$B$1400,$A287))</f>
        <v>1</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From The Top</v>
      </c>
      <c r="B288">
        <f>IF($A288="","",games!$B288)</f>
        <v>2025</v>
      </c>
      <c r="C288" t="str">
        <f>IF($A288="","",games!$C288)</f>
        <v>Action</v>
      </c>
      <c r="D288">
        <f>IF($A288="","",COUNTIF(connections!$A$2:$A$1400,$A288)+COUNTIF(connections!$B$2:$B$1400,$A288))</f>
        <v>1</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Frozen Depths</v>
      </c>
      <c r="B289">
        <f>IF($A289="","",games!$B289)</f>
        <v>2006</v>
      </c>
      <c r="C289" t="str">
        <f>IF($A289="","",games!$C289)</f>
        <v>Traditional</v>
      </c>
      <c r="D289">
        <f>IF($A289="","",COUNTIF(connections!$A$2:$A$1400,$A289)+COUNTIF(connections!$B$2:$B$1400,$A289))</f>
        <v>4</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2006</v>
      </c>
      <c r="N289">
        <f t="shared" si="61"/>
        <v>4.391</v>
      </c>
      <c r="O289">
        <f t="shared" si="62"/>
        <v>4.0002890000000004</v>
      </c>
      <c r="P289" t="str">
        <f>IF(OR($A289="",games!$H289=""),"",games!$H289)</f>
        <v>Yes</v>
      </c>
      <c r="Q289">
        <f t="shared" si="63"/>
        <v>4.0002890000000004</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FTL</v>
      </c>
      <c r="B290">
        <f>IF($A290="","",games!$B290)</f>
        <v>2012</v>
      </c>
      <c r="C290" t="str">
        <f>IF($A290="","",games!$C290)</f>
        <v>Strategy</v>
      </c>
      <c r="D290">
        <f>IF($A290="","",COUNTIF(connections!$A$2:$A$1400,$A290)+COUNTIF(connections!$B$2:$B$1400,$A290))</f>
        <v>37</v>
      </c>
      <c r="E290">
        <f t="shared" si="52"/>
        <v>2</v>
      </c>
      <c r="F290">
        <f t="shared" si="53"/>
        <v>18</v>
      </c>
      <c r="G290" t="e">
        <f t="shared" si="54"/>
        <v>#N/A</v>
      </c>
      <c r="H290" t="e">
        <f t="shared" si="55"/>
        <v>#N/A</v>
      </c>
      <c r="I290">
        <f t="shared" si="56"/>
        <v>2012</v>
      </c>
      <c r="J290">
        <f t="shared" si="57"/>
        <v>2.4140000000000001</v>
      </c>
      <c r="K290" t="e">
        <f t="shared" si="58"/>
        <v>#N/A</v>
      </c>
      <c r="L290" t="e">
        <f t="shared" si="59"/>
        <v>#N/A</v>
      </c>
      <c r="M290" t="e">
        <f t="shared" si="60"/>
        <v>#N/A</v>
      </c>
      <c r="N290" t="e">
        <f t="shared" si="61"/>
        <v>#N/A</v>
      </c>
      <c r="O290">
        <f t="shared" si="62"/>
        <v>37.00029</v>
      </c>
      <c r="P290" t="str">
        <f>IF(OR($A290="",games!$H290=""),"",games!$H290)</f>
        <v>Yes</v>
      </c>
      <c r="Q290">
        <f t="shared" si="63"/>
        <v>37.00029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Full Mojo Rampage</v>
      </c>
      <c r="B291">
        <f>IF($A291="","",games!$B291)</f>
        <v>2013</v>
      </c>
      <c r="C291" t="str">
        <f>IF($A291="","",games!$C291)</f>
        <v>Action</v>
      </c>
      <c r="D291">
        <f>IF($A291="","",COUNTIF(connections!$A$2:$A$1400,$A291)+COUNTIF(connections!$B$2:$B$1400,$A291))</f>
        <v>1</v>
      </c>
      <c r="E291">
        <f t="shared" si="52"/>
        <v>1</v>
      </c>
      <c r="F291">
        <f t="shared" si="53"/>
        <v>19</v>
      </c>
      <c r="G291">
        <f t="shared" si="54"/>
        <v>2013</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
      </c>
      <c r="Q291" t="str">
        <f t="shared" si="63"/>
        <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Fury Unleashed</v>
      </c>
      <c r="B292">
        <f>IF($A292="","",games!$B292)</f>
        <v>2020</v>
      </c>
      <c r="C292" t="str">
        <f>IF($A292="","",games!$C292)</f>
        <v>Action</v>
      </c>
      <c r="D292">
        <f>IF($A292="","",COUNTIF(connections!$A$2:$A$1400,$A292)+COUNTIF(connections!$B$2:$B$1400,$A292))</f>
        <v>2</v>
      </c>
      <c r="E292">
        <f t="shared" si="52"/>
        <v>1</v>
      </c>
      <c r="F292">
        <f t="shared" si="53"/>
        <v>20</v>
      </c>
      <c r="G292">
        <f t="shared" si="54"/>
        <v>2020</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Yes</v>
      </c>
      <c r="Q292">
        <f t="shared" si="63"/>
        <v>2.000292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v>
      </c>
      <c r="B293">
        <f>IF($A293="","",games!$B293)</f>
        <v>2010</v>
      </c>
      <c r="C293" t="str">
        <f>IF($A293="","",games!$C293)</f>
        <v>Traditional</v>
      </c>
      <c r="D293">
        <f>IF($A293="","",COUNTIF(connections!$A$2:$A$1400,$A293)+COUNTIF(connections!$B$2:$B$1400,$A293))</f>
        <v>5</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2010</v>
      </c>
      <c r="N293">
        <f t="shared" si="61"/>
        <v>4.4829999999999997</v>
      </c>
      <c r="O293">
        <f t="shared" si="62"/>
        <v>5.0002930000000001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Fushigi no Gensoukyou 3</v>
      </c>
      <c r="B294">
        <f>IF($A294="","",games!$B294)</f>
        <v>2014</v>
      </c>
      <c r="C294" t="str">
        <f>IF($A294="","",games!$C294)</f>
        <v>Traditional</v>
      </c>
      <c r="D294">
        <f>IF($A294="","",COUNTIF(connections!$A$2:$A$1400,$A294)+COUNTIF(connections!$B$2:$B$1400,$A294))</f>
        <v>3</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2014</v>
      </c>
      <c r="N294">
        <f t="shared" si="61"/>
        <v>4.5060000000000002</v>
      </c>
      <c r="O294">
        <f t="shared" si="62"/>
        <v>3.0002939999999998</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Galactic Glitch</v>
      </c>
      <c r="B295">
        <f>IF($A295="","",games!$B295)</f>
        <v>2024</v>
      </c>
      <c r="C295" t="str">
        <f>IF($A295="","",games!$C295)</f>
        <v>Action</v>
      </c>
      <c r="D295">
        <f>IF($A295="","",COUNTIF(connections!$A$2:$A$1400,$A295)+COUNTIF(connections!$B$2:$B$1400,$A295))</f>
        <v>3</v>
      </c>
      <c r="E295">
        <f t="shared" si="52"/>
        <v>1</v>
      </c>
      <c r="F295">
        <f t="shared" si="53"/>
        <v>23</v>
      </c>
      <c r="G295">
        <f t="shared" si="54"/>
        <v>2024</v>
      </c>
      <c r="H295">
        <f t="shared" si="55"/>
        <v>1.5289999999999999</v>
      </c>
      <c r="I295" t="e">
        <f t="shared" si="56"/>
        <v>#N/A</v>
      </c>
      <c r="J295" t="e">
        <f t="shared" si="57"/>
        <v>#N/A</v>
      </c>
      <c r="K295" t="e">
        <f t="shared" si="58"/>
        <v>#N/A</v>
      </c>
      <c r="L295" t="e">
        <f t="shared" si="59"/>
        <v>#N/A</v>
      </c>
      <c r="M295" t="e">
        <f t="shared" si="60"/>
        <v>#N/A</v>
      </c>
      <c r="N295" t="e">
        <f t="shared" si="61"/>
        <v>#N/A</v>
      </c>
      <c r="O295">
        <f t="shared" si="62"/>
        <v>3.0002949999999999</v>
      </c>
      <c r="P295" t="str">
        <f>IF(OR($A295="",games!$H295=""),"",games!$H295)</f>
        <v>Yes</v>
      </c>
      <c r="Q295">
        <f t="shared" si="63"/>
        <v>3.0002949999999999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Gambonanza</v>
      </c>
      <c r="B296">
        <f>IF($A296="","",games!$B296)</f>
        <v>2026</v>
      </c>
      <c r="C296" t="str">
        <f>IF($A296="","",games!$C296)</f>
        <v>Deckbuilder</v>
      </c>
      <c r="D296">
        <f>IF($A296="","",COUNTIF(connections!$A$2:$A$1400,$A296)+COUNTIF(connections!$B$2:$B$1400,$A296))</f>
        <v>1</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Garden of Witches</v>
      </c>
      <c r="B297">
        <f>IF($A297="","",games!$B297)</f>
        <v>2025</v>
      </c>
      <c r="C297" t="str">
        <f>IF($A297="","",games!$C297)</f>
        <v>Action</v>
      </c>
      <c r="D297">
        <f>IF($A297="","",COUNTIF(connections!$A$2:$A$1400,$A297)+COUNTIF(connections!$B$2:$B$1400,$A297))</f>
        <v>2</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Gatekeeper</v>
      </c>
      <c r="B298">
        <f>IF($A298="","",games!$B298)</f>
        <v>2024</v>
      </c>
      <c r="C298" t="str">
        <f>IF($A298="","",games!$C298)</f>
        <v>Action</v>
      </c>
      <c r="D298">
        <f>IF($A298="","",COUNTIF(connections!$A$2:$A$1400,$A298)+COUNTIF(connections!$B$2:$B$1400,$A298))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v>
      </c>
      <c r="B299">
        <f>IF($A299="","",games!$B299)</f>
        <v>2002</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2002</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2</v>
      </c>
      <c r="B300">
        <f>IF($A300="","",games!$B300)</f>
        <v>2007</v>
      </c>
      <c r="C300" t="str">
        <f>IF($A300="","",games!$C300)</f>
        <v>Traditional</v>
      </c>
      <c r="D300">
        <f>IF($A300="","",COUNTIF(connections!$A$2:$A$1400,$A300)+COUNTIF(connections!$B$2:$B$1400,$A300))</f>
        <v>2</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2007</v>
      </c>
      <c r="N300">
        <f t="shared" si="61"/>
        <v>4.6440000000000001</v>
      </c>
      <c r="O300">
        <f t="shared" si="62"/>
        <v>2.0003000000000002</v>
      </c>
      <c r="P300" t="str">
        <f>IF(OR($A300="",games!$H300=""),"",games!$H300)</f>
        <v>Yes</v>
      </c>
      <c r="Q300">
        <f t="shared" si="63"/>
        <v>2.0003000000000002</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 Caramel</v>
      </c>
      <c r="B301">
        <f>IF($A301="","",games!$B301)</f>
        <v>2022</v>
      </c>
      <c r="C301" t="str">
        <f>IF($A301="","",games!$C301)</f>
        <v>Traditional</v>
      </c>
      <c r="D301">
        <f>IF($A301="","",COUNTIF(connections!$A$2:$A$1400,$A301)+COUNTIF(connections!$B$2:$B$1400,$A301))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2022</v>
      </c>
      <c r="N301">
        <f t="shared" si="61"/>
        <v>4.6669999999999998</v>
      </c>
      <c r="O301">
        <f t="shared" si="62"/>
        <v>3.0003009999999999</v>
      </c>
      <c r="P301" t="str">
        <f>IF(OR($A301="",games!$H301=""),"",games!$H301)</f>
        <v/>
      </c>
      <c r="Q301" t="str">
        <f t="shared" si="63"/>
        <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v>
      </c>
      <c r="B302">
        <f>IF($A302="","",games!$B302)</f>
        <v>2024</v>
      </c>
      <c r="C302" t="str">
        <f>IF($A302="","",games!$C302)</f>
        <v>Action</v>
      </c>
      <c r="D302">
        <f>IF($A302="","",COUNTIF(connections!$A$2:$A$1400,$A302)+COUNTIF(connections!$B$2:$B$1400,$A302))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Genome Guardian 2</v>
      </c>
      <c r="B303">
        <f>IF($A303="","",games!$B303)</f>
        <v>2026</v>
      </c>
      <c r="C303" t="str">
        <f>IF($A303="","",games!$C303)</f>
        <v>Action</v>
      </c>
      <c r="D303">
        <f>IF($A303="","",COUNTIF(connections!$A$2:$A$1400,$A303)+COUNTIF(connections!$B$2:$B$1400,$A303))</f>
        <v>1</v>
      </c>
      <c r="E303">
        <f t="shared" si="52"/>
        <v>1</v>
      </c>
      <c r="F303">
        <f t="shared" si="53"/>
        <v>31</v>
      </c>
      <c r="G303">
        <f t="shared" si="54"/>
        <v>2026</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v>
      </c>
      <c r="B304">
        <f>IF($A304="","",games!$B304)</f>
        <v>2020</v>
      </c>
      <c r="C304" t="str">
        <f>IF($A304="","",games!$C304)</f>
        <v>Action</v>
      </c>
      <c r="D304">
        <f>IF($A304="","",COUNTIF(connections!$A$2:$A$1400,$A304)+COUNTIF(connections!$B$2:$B$1400,$A304))</f>
        <v>1</v>
      </c>
      <c r="E304">
        <f t="shared" si="52"/>
        <v>1</v>
      </c>
      <c r="F304">
        <f t="shared" si="53"/>
        <v>32</v>
      </c>
      <c r="G304">
        <f t="shared" si="54"/>
        <v>2020</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Geometry Arena 2</v>
      </c>
      <c r="B305">
        <f>IF($A305="","",games!$B305)</f>
        <v>2023</v>
      </c>
      <c r="C305" t="str">
        <f>IF($A305="","",games!$C305)</f>
        <v>Action</v>
      </c>
      <c r="D305">
        <f>IF($A305="","",COUNTIF(connections!$A$2:$A$1400,$A305)+COUNTIF(connections!$B$2:$B$1400,$A305))</f>
        <v>1</v>
      </c>
      <c r="E305">
        <f t="shared" si="52"/>
        <v>1</v>
      </c>
      <c r="F305">
        <f t="shared" si="53"/>
        <v>33</v>
      </c>
      <c r="G305">
        <f t="shared" si="54"/>
        <v>2023</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Glyphica: Typing Survival</v>
      </c>
      <c r="B306">
        <f>IF($A306="","",games!$B306)</f>
        <v>2024</v>
      </c>
      <c r="C306" t="str">
        <f>IF($A306="","",games!$C306)</f>
        <v>Action</v>
      </c>
      <c r="D306">
        <f>IF($A306="","",COUNTIF(connections!$A$2:$A$1400,$A306)+COUNTIF(connections!$B$2:$B$1400,$A306))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GnollHack</v>
      </c>
      <c r="B307">
        <f>IF($A307="","",games!$B307)</f>
        <v>2020</v>
      </c>
      <c r="C307" t="str">
        <f>IF($A307="","",games!$C307)</f>
        <v>Traditional</v>
      </c>
      <c r="D307">
        <f>IF($A307="","",COUNTIF(connections!$A$2:$A$1400,$A307)+COUNTIF(connections!$B$2:$B$1400,$A307))</f>
        <v>1</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2020</v>
      </c>
      <c r="N307">
        <f t="shared" si="61"/>
        <v>4.0229999999999997</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Gnomes</v>
      </c>
      <c r="B308">
        <f>IF($A308="","",games!$B308)</f>
        <v>2025</v>
      </c>
      <c r="C308" t="str">
        <f>IF($A308="","",games!$C308)</f>
        <v>Strategy</v>
      </c>
      <c r="D308">
        <f>IF($A308="","",COUNTIF(connections!$A$2:$A$1400,$A308)+COUNTIF(connections!$B$2:$B$1400,$A308))</f>
        <v>0</v>
      </c>
      <c r="E308">
        <f t="shared" si="52"/>
        <v>2</v>
      </c>
      <c r="F308">
        <f t="shared" si="53"/>
        <v>2</v>
      </c>
      <c r="G308" t="e">
        <f t="shared" si="54"/>
        <v>#N/A</v>
      </c>
      <c r="H308" t="e">
        <f t="shared" si="55"/>
        <v>#N/A</v>
      </c>
      <c r="I308">
        <f t="shared" si="56"/>
        <v>2025</v>
      </c>
      <c r="J308">
        <f t="shared" si="57"/>
        <v>2.0459999999999998</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 Mecha Ball</v>
      </c>
      <c r="B309">
        <f>IF($A309="","",games!$B309)</f>
        <v>2024</v>
      </c>
      <c r="C309" t="str">
        <f>IF($A309="","",games!$C309)</f>
        <v>Action</v>
      </c>
      <c r="D309">
        <f>IF($A309="","",COUNTIF(connections!$A$2:$A$1400,$A309)+COUNTIF(connections!$B$2:$B$1400,$A309))</f>
        <v>0</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3.0899999999999998E-4</v>
      </c>
      <c r="P309" t="str">
        <f>IF(OR($A309="",games!$H309=""),"",games!$H309)</f>
        <v>Yes</v>
      </c>
      <c r="Q309">
        <f t="shared" si="63"/>
        <v>3.0899999999999998E-4</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Goblin Sushi</v>
      </c>
      <c r="B310">
        <f>IF($A310="","",games!$B310)</f>
        <v>2026</v>
      </c>
      <c r="C310" t="str">
        <f>IF($A310="","",games!$C310)</f>
        <v>Deckbuilder</v>
      </c>
      <c r="D310">
        <f>IF($A310="","",COUNTIF(connections!$A$2:$A$1400,$A310)+COUNTIF(connections!$B$2:$B$1400,$A310))</f>
        <v>0</v>
      </c>
      <c r="E310">
        <f t="shared" si="52"/>
        <v>3</v>
      </c>
      <c r="F310">
        <f t="shared" si="53"/>
        <v>4</v>
      </c>
      <c r="G310" t="e">
        <f t="shared" si="54"/>
        <v>#N/A</v>
      </c>
      <c r="H310" t="e">
        <f t="shared" si="55"/>
        <v>#N/A</v>
      </c>
      <c r="I310" t="e">
        <f t="shared" si="56"/>
        <v>#N/A</v>
      </c>
      <c r="J310" t="e">
        <f t="shared" si="57"/>
        <v>#N/A</v>
      </c>
      <c r="K310">
        <f t="shared" si="58"/>
        <v>2026</v>
      </c>
      <c r="L310">
        <f t="shared" si="59"/>
        <v>3.0920000000000001</v>
      </c>
      <c r="M310" t="e">
        <f t="shared" si="60"/>
        <v>#N/A</v>
      </c>
      <c r="N310" t="e">
        <f t="shared" si="61"/>
        <v>#N/A</v>
      </c>
      <c r="O310">
        <f t="shared" si="62"/>
        <v>3.1E-4</v>
      </c>
      <c r="P310" t="str">
        <f>IF(OR($A310="",games!$H310=""),"",games!$H310)</f>
        <v/>
      </c>
      <c r="Q310" t="str">
        <f t="shared" si="63"/>
        <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 of Weapons</v>
      </c>
      <c r="B311">
        <f>IF($A311="","",games!$B311)</f>
        <v>2023</v>
      </c>
      <c r="C311" t="str">
        <f>IF($A311="","",games!$C311)</f>
        <v>Action</v>
      </c>
      <c r="D311">
        <f>IF($A311="","",COUNTIF(connections!$A$2:$A$1400,$A311)+COUNTIF(connections!$B$2:$B$1400,$A311))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Godbreakers</v>
      </c>
      <c r="B312">
        <f>IF($A312="","",games!$B312)</f>
        <v>2025</v>
      </c>
      <c r="C312" t="str">
        <f>IF($A312="","",games!$C312)</f>
        <v>Action</v>
      </c>
      <c r="D312">
        <f>IF($A312="","",COUNTIF(connections!$A$2:$A$1400,$A312)+COUNTIF(connections!$B$2:$B$1400,$A312))</f>
        <v>0</v>
      </c>
      <c r="E312">
        <f t="shared" si="52"/>
        <v>1</v>
      </c>
      <c r="F312">
        <f t="shared" si="53"/>
        <v>6</v>
      </c>
      <c r="G312">
        <f t="shared" si="54"/>
        <v>2025</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Going Under</v>
      </c>
      <c r="B313">
        <f>IF($A313="","",games!$B313)</f>
        <v>2020</v>
      </c>
      <c r="C313" t="str">
        <f>IF($A313="","",games!$C313)</f>
        <v>Action</v>
      </c>
      <c r="D313">
        <f>IF($A313="","",COUNTIF(connections!$A$2:$A$1400,$A313)+COUNTIF(connections!$B$2:$B$1400,$A313))</f>
        <v>4</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4.0003130000000002</v>
      </c>
      <c r="P313" t="str">
        <f>IF(OR($A313="",games!$H313=""),"",games!$H313)</f>
        <v>Yes</v>
      </c>
      <c r="Q313">
        <f t="shared" si="63"/>
        <v>4.0003130000000002</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Krone Hotel</v>
      </c>
      <c r="B314">
        <f>IF($A314="","",games!$B314)</f>
        <v>2014</v>
      </c>
      <c r="C314" t="str">
        <f>IF($A314="","",games!$C314)</f>
        <v>Traditional</v>
      </c>
      <c r="D314">
        <f>IF($A314="","",COUNTIF(connections!$A$2:$A$1400,$A314)+COUNTIF(connections!$B$2:$B$1400,$A314))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2014</v>
      </c>
      <c r="N314">
        <f t="shared" si="61"/>
        <v>4.1840000000000002</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Golden Light</v>
      </c>
      <c r="B315">
        <f>IF($A315="","",games!$B315)</f>
        <v>2020</v>
      </c>
      <c r="C315" t="str">
        <f>IF($A315="","",games!$C315)</f>
        <v>Action</v>
      </c>
      <c r="D315">
        <f>IF($A315="","",COUNTIF(connections!$A$2:$A$1400,$A315)+COUNTIF(connections!$B$2:$B$1400,$A315))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Golfie</v>
      </c>
      <c r="B316">
        <f>IF($A316="","",games!$B316)</f>
        <v>2022</v>
      </c>
      <c r="C316" t="str">
        <f>IF($A316="","",games!$C316)</f>
        <v>Action</v>
      </c>
      <c r="D316">
        <f>IF($A316="","",COUNTIF(connections!$A$2:$A$1400,$A316)+COUNTIF(connections!$B$2:$B$1400,$A316))</f>
        <v>1</v>
      </c>
      <c r="E316">
        <f t="shared" si="52"/>
        <v>1</v>
      </c>
      <c r="F316">
        <f t="shared" si="53"/>
        <v>10</v>
      </c>
      <c r="G316">
        <f t="shared" si="54"/>
        <v>2022</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v>
      </c>
      <c r="B317">
        <f>IF($A317="","",games!$B317)</f>
        <v>2016</v>
      </c>
      <c r="C317" t="str">
        <f>IF($A317="","",games!$C317)</f>
        <v>Action</v>
      </c>
      <c r="D317">
        <f>IF($A317="","",COUNTIF(connections!$A$2:$A$1400,$A317)+COUNTIF(connections!$B$2:$B$1400,$A317))</f>
        <v>5</v>
      </c>
      <c r="E317">
        <f t="shared" si="52"/>
        <v>1</v>
      </c>
      <c r="F317">
        <f t="shared" si="53"/>
        <v>11</v>
      </c>
      <c r="G317">
        <f t="shared" si="54"/>
        <v>2016</v>
      </c>
      <c r="H317">
        <f t="shared" si="55"/>
        <v>1.2530000000000001</v>
      </c>
      <c r="I317" t="e">
        <f t="shared" si="56"/>
        <v>#N/A</v>
      </c>
      <c r="J317" t="e">
        <f t="shared" si="57"/>
        <v>#N/A</v>
      </c>
      <c r="K317" t="e">
        <f t="shared" si="58"/>
        <v>#N/A</v>
      </c>
      <c r="L317" t="e">
        <f t="shared" si="59"/>
        <v>#N/A</v>
      </c>
      <c r="M317" t="e">
        <f t="shared" si="60"/>
        <v>#N/A</v>
      </c>
      <c r="N317" t="e">
        <f t="shared" si="61"/>
        <v>#N/A</v>
      </c>
      <c r="O317">
        <f t="shared" si="62"/>
        <v>5.0003169999999999</v>
      </c>
      <c r="P317" t="str">
        <f>IF(OR($A317="",games!$H317=""),"",games!$H317)</f>
        <v>Yes</v>
      </c>
      <c r="Q317">
        <f t="shared" si="63"/>
        <v>5.0003169999999999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GONNER2</v>
      </c>
      <c r="B318">
        <f>IF($A318="","",games!$B318)</f>
        <v>2020</v>
      </c>
      <c r="C318" t="str">
        <f>IF($A318="","",games!$C318)</f>
        <v>Action</v>
      </c>
      <c r="D318">
        <f>IF($A318="","",COUNTIF(connections!$A$2:$A$1400,$A318)+COUNTIF(connections!$B$2:$B$1400,$A318))</f>
        <v>1</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Goobies</v>
      </c>
      <c r="B319">
        <f>IF($A319="","",games!$B319)</f>
        <v>2023</v>
      </c>
      <c r="C319" t="str">
        <f>IF($A319="","",games!$C319)</f>
        <v>Action</v>
      </c>
      <c r="D319">
        <f>IF($A319="","",COUNTIF(connections!$A$2:$A$1400,$A319)+COUNTIF(connections!$B$2:$B$1400,$A319))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
      </c>
      <c r="Q319" t="str">
        <f t="shared" si="63"/>
        <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Gordian Quest</v>
      </c>
      <c r="B320">
        <f>IF($A320="","",games!$B320)</f>
        <v>2020</v>
      </c>
      <c r="C320" t="str">
        <f>IF($A320="","",games!$C320)</f>
        <v>Deckbuilder</v>
      </c>
      <c r="D320">
        <f>IF($A320="","",COUNTIF(connections!$A$2:$A$1400,$A320)+COUNTIF(connections!$B$2:$B$1400,$A320))</f>
        <v>1</v>
      </c>
      <c r="E320">
        <f t="shared" si="52"/>
        <v>3</v>
      </c>
      <c r="F320">
        <f t="shared" si="53"/>
        <v>14</v>
      </c>
      <c r="G320" t="e">
        <f t="shared" si="54"/>
        <v>#N/A</v>
      </c>
      <c r="H320" t="e">
        <f t="shared" si="55"/>
        <v>#N/A</v>
      </c>
      <c r="I320" t="e">
        <f t="shared" si="56"/>
        <v>#N/A</v>
      </c>
      <c r="J320" t="e">
        <f t="shared" si="57"/>
        <v>#N/A</v>
      </c>
      <c r="K320">
        <f t="shared" si="58"/>
        <v>2020</v>
      </c>
      <c r="L320">
        <f t="shared" si="59"/>
        <v>3.3220000000000001</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Granvir</v>
      </c>
      <c r="B321">
        <f>IF($A321="","",games!$B321)</f>
        <v>2025</v>
      </c>
      <c r="C321" t="str">
        <f>IF($A321="","",games!$C321)</f>
        <v>Action</v>
      </c>
      <c r="D321">
        <f>IF($A321="","",COUNTIF(connections!$A$2:$A$1400,$A321)+COUNTIF(connections!$B$2:$B$1400,$A321))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Greedland</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Griftlands</v>
      </c>
      <c r="B323">
        <f>IF($A323="","",games!$B323)</f>
        <v>2020</v>
      </c>
      <c r="C323" t="str">
        <f>IF($A323="","",games!$C323)</f>
        <v>Deckbuilder</v>
      </c>
      <c r="D323">
        <f>IF($A323="","",COUNTIF(connections!$A$2:$A$1400,$A323)+COUNTIF(connections!$B$2:$B$1400,$A323))</f>
        <v>2</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v>
      </c>
      <c r="B324">
        <f>IF($A324="","",games!$B324)</f>
        <v>2021</v>
      </c>
      <c r="C324" t="str">
        <f>IF($A324="","",games!$C324)</f>
        <v>Action</v>
      </c>
      <c r="D324">
        <f>IF($A324="","",COUNTIF(connections!$A$2:$A$1400,$A324)+COUNTIF(connections!$B$2:$B$1400,$A324))</f>
        <v>2</v>
      </c>
      <c r="E324">
        <f t="shared" si="65"/>
        <v>1</v>
      </c>
      <c r="F324">
        <f t="shared" si="66"/>
        <v>18</v>
      </c>
      <c r="G324">
        <f t="shared" si="67"/>
        <v>2021</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Guidus Zero</v>
      </c>
      <c r="B325">
        <f>IF($A325="","",games!$B325)</f>
        <v>2024</v>
      </c>
      <c r="C325" t="str">
        <f>IF($A325="","",games!$C325)</f>
        <v>Action</v>
      </c>
      <c r="D325">
        <f>IF($A325="","",COUNTIF(connections!$A$2:$A$1400,$A325)+COUNTIF(connections!$B$2:$B$1400,$A325))</f>
        <v>1</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Guild of Dungeoneering</v>
      </c>
      <c r="B326">
        <f>IF($A326="","",games!$B326)</f>
        <v>2015</v>
      </c>
      <c r="C326" t="str">
        <f>IF($A326="","",games!$C326)</f>
        <v>Deckbuilder</v>
      </c>
      <c r="D326">
        <f>IF($A326="","",COUNTIF(connections!$A$2:$A$1400,$A326)+COUNTIF(connections!$B$2:$B$1400,$A326))</f>
        <v>1</v>
      </c>
      <c r="E326">
        <f t="shared" si="65"/>
        <v>3</v>
      </c>
      <c r="F326">
        <f t="shared" si="66"/>
        <v>20</v>
      </c>
      <c r="G326" t="e">
        <f t="shared" si="67"/>
        <v>#N/A</v>
      </c>
      <c r="H326" t="e">
        <f t="shared" si="68"/>
        <v>#N/A</v>
      </c>
      <c r="I326" t="e">
        <f t="shared" si="69"/>
        <v>#N/A</v>
      </c>
      <c r="J326" t="e">
        <f t="shared" si="70"/>
        <v>#N/A</v>
      </c>
      <c r="K326">
        <f t="shared" si="71"/>
        <v>2015</v>
      </c>
      <c r="L326">
        <f t="shared" si="72"/>
        <v>3.46</v>
      </c>
      <c r="M326" t="e">
        <f t="shared" si="73"/>
        <v>#N/A</v>
      </c>
      <c r="N326" t="e">
        <f t="shared" si="74"/>
        <v>#N/A</v>
      </c>
      <c r="O326">
        <f t="shared" si="75"/>
        <v>1.000326</v>
      </c>
      <c r="P326" t="str">
        <f>IF(OR($A326="",games!$H326=""),"",games!$H326)</f>
        <v/>
      </c>
      <c r="Q326" t="str">
        <f t="shared" si="76"/>
        <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Gumballs &amp; Dungeons</v>
      </c>
      <c r="B327">
        <f>IF($A327="","",games!$B327)</f>
        <v>2017</v>
      </c>
      <c r="C327" t="str">
        <f>IF($A327="","",games!$C327)</f>
        <v>Strategy</v>
      </c>
      <c r="D327">
        <f>IF($A327="","",COUNTIF(connections!$A$2:$A$1400,$A327)+COUNTIF(connections!$B$2:$B$1400,$A327))</f>
        <v>0</v>
      </c>
      <c r="E327">
        <f t="shared" si="65"/>
        <v>2</v>
      </c>
      <c r="F327">
        <f t="shared" si="66"/>
        <v>21</v>
      </c>
      <c r="G327" t="e">
        <f t="shared" si="67"/>
        <v>#N/A</v>
      </c>
      <c r="H327" t="e">
        <f t="shared" si="68"/>
        <v>#N/A</v>
      </c>
      <c r="I327">
        <f t="shared" si="69"/>
        <v>2017</v>
      </c>
      <c r="J327">
        <f t="shared" si="70"/>
        <v>2.4830000000000001</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Gunfire Reborn</v>
      </c>
      <c r="B328">
        <f>IF($A328="","",games!$B328)</f>
        <v>2020</v>
      </c>
      <c r="C328" t="str">
        <f>IF($A328="","",games!$C328)</f>
        <v>Action</v>
      </c>
      <c r="D328">
        <f>IF($A328="","",COUNTIF(connections!$A$2:$A$1400,$A328)+COUNTIF(connections!$B$2:$B$1400,$A328))</f>
        <v>5</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5.0003279999999997</v>
      </c>
      <c r="P328" t="str">
        <f>IF(OR($A328="",games!$H328=""),"",games!$H328)</f>
        <v>Yes</v>
      </c>
      <c r="Q328">
        <f t="shared" si="76"/>
        <v>5.0003279999999997</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v>
      </c>
      <c r="B329">
        <f>IF($A329="","",games!$B329)</f>
        <v>2022</v>
      </c>
      <c r="C329" t="str">
        <f>IF($A329="","",games!$C329)</f>
        <v>Action</v>
      </c>
      <c r="D329">
        <f>IF($A329="","",COUNTIF(connections!$A$2:$A$1400,$A329)+COUNTIF(connections!$B$2:$B$1400,$A329))</f>
        <v>2</v>
      </c>
      <c r="E329">
        <f t="shared" si="65"/>
        <v>1</v>
      </c>
      <c r="F329">
        <f t="shared" si="66"/>
        <v>23</v>
      </c>
      <c r="G329">
        <f t="shared" si="67"/>
        <v>2022</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Gunlocked 2</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Guntouchables</v>
      </c>
      <c r="B331">
        <f>IF($A331="","",games!$B331)</f>
        <v>2025</v>
      </c>
      <c r="C331" t="str">
        <f>IF($A331="","",games!$C331)</f>
        <v>Action</v>
      </c>
      <c r="D331">
        <f>IF($A331="","",COUNTIF(connections!$A$2:$A$1400,$A331)+COUNTIF(connections!$B$2:$B$1400,$A331))</f>
        <v>1</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v>
      </c>
      <c r="B332">
        <f>IF($A332="","",games!$B332)</f>
        <v>1984</v>
      </c>
      <c r="C332" t="str">
        <f>IF($A332="","",games!$C332)</f>
        <v>Traditional</v>
      </c>
      <c r="D332">
        <f>IF($A332="","",COUNTIF(connections!$A$2:$A$1400,$A332)+COUNTIF(connections!$B$2:$B$1400,$A332))</f>
        <v>7</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1984</v>
      </c>
      <c r="N332">
        <f t="shared" si="74"/>
        <v>4.5979999999999999</v>
      </c>
      <c r="O332">
        <f t="shared" si="75"/>
        <v>7.0003320000000002</v>
      </c>
      <c r="P332" t="str">
        <f>IF(OR($A332="",games!$H332=""),"",games!$H332)</f>
        <v>Yes</v>
      </c>
      <c r="Q332">
        <f t="shared" si="76"/>
        <v>7.0003320000000002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Hack'EM</v>
      </c>
      <c r="B333">
        <f>IF($A333="","",games!$B333)</f>
        <v>2022</v>
      </c>
      <c r="C333" t="str">
        <f>IF($A333="","",games!$C333)</f>
        <v>Traditional</v>
      </c>
      <c r="D333">
        <f>IF($A333="","",COUNTIF(connections!$A$2:$A$1400,$A333)+COUNTIF(connections!$B$2:$B$1400,$A333))</f>
        <v>2</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2022</v>
      </c>
      <c r="N333">
        <f t="shared" si="74"/>
        <v>4.6210000000000004</v>
      </c>
      <c r="O333">
        <f t="shared" si="75"/>
        <v>2.0003329999999999</v>
      </c>
      <c r="P333" t="str">
        <f>IF(OR($A333="",games!$H333=""),"",games!$H333)</f>
        <v>Yes</v>
      </c>
      <c r="Q333">
        <f t="shared" si="76"/>
        <v>2.0003329999999999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Hadean Tactics</v>
      </c>
      <c r="B334">
        <f>IF($A334="","",games!$B334)</f>
        <v>2021</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2021</v>
      </c>
      <c r="L334">
        <f t="shared" si="72"/>
        <v>3.6440000000000001</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v>
      </c>
      <c r="B335">
        <f>IF($A335="","",games!$B335)</f>
        <v>2019</v>
      </c>
      <c r="C335" t="str">
        <f>IF($A335="","",games!$C335)</f>
        <v>Action</v>
      </c>
      <c r="D335">
        <f>IF($A335="","",COUNTIF(connections!$A$2:$A$1400,$A335)+COUNTIF(connections!$B$2:$B$1400,$A335))</f>
        <v>48</v>
      </c>
      <c r="E335">
        <f t="shared" si="65"/>
        <v>1</v>
      </c>
      <c r="F335">
        <f t="shared" si="66"/>
        <v>29</v>
      </c>
      <c r="G335">
        <f t="shared" si="67"/>
        <v>2019</v>
      </c>
      <c r="H335">
        <f t="shared" si="68"/>
        <v>1.667</v>
      </c>
      <c r="I335" t="e">
        <f t="shared" si="69"/>
        <v>#N/A</v>
      </c>
      <c r="J335" t="e">
        <f t="shared" si="70"/>
        <v>#N/A</v>
      </c>
      <c r="K335" t="e">
        <f t="shared" si="71"/>
        <v>#N/A</v>
      </c>
      <c r="L335" t="e">
        <f t="shared" si="72"/>
        <v>#N/A</v>
      </c>
      <c r="M335" t="e">
        <f t="shared" si="73"/>
        <v>#N/A</v>
      </c>
      <c r="N335" t="e">
        <f t="shared" si="74"/>
        <v>#N/A</v>
      </c>
      <c r="O335">
        <f t="shared" si="75"/>
        <v>48.000335</v>
      </c>
      <c r="P335" t="str">
        <f>IF(OR($A335="",games!$H335=""),"",games!$H335)</f>
        <v>Yes</v>
      </c>
      <c r="Q335">
        <f t="shared" si="76"/>
        <v>48.000335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Hades II</v>
      </c>
      <c r="B336">
        <f>IF($A336="","",games!$B336)</f>
        <v>2024</v>
      </c>
      <c r="C336" t="str">
        <f>IF($A336="","",games!$C336)</f>
        <v>Action</v>
      </c>
      <c r="D336">
        <f>IF($A336="","",COUNTIF(connections!$A$2:$A$1400,$A336)+COUNTIF(connections!$B$2:$B$1400,$A336))</f>
        <v>1</v>
      </c>
      <c r="E336">
        <f t="shared" si="65"/>
        <v>1</v>
      </c>
      <c r="F336">
        <f t="shared" si="66"/>
        <v>30</v>
      </c>
      <c r="G336">
        <f t="shared" si="67"/>
        <v>2024</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Halls of Torment</v>
      </c>
      <c r="B337">
        <f>IF($A337="","",games!$B337)</f>
        <v>2023</v>
      </c>
      <c r="C337" t="str">
        <f>IF($A337="","",games!$C337)</f>
        <v>Action</v>
      </c>
      <c r="D337">
        <f>IF($A337="","",COUNTIF(connections!$A$2:$A$1400,$A337)+COUNTIF(connections!$B$2:$B$1400,$A337))</f>
        <v>5</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5.000337</v>
      </c>
      <c r="P337" t="str">
        <f>IF(OR($A337="",games!$H337=""),"",games!$H337)</f>
        <v>Yes</v>
      </c>
      <c r="Q337">
        <f t="shared" si="76"/>
        <v>5.000337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v>
      </c>
      <c r="B338">
        <f>IF($A338="","",games!$B338)</f>
        <v>2014</v>
      </c>
      <c r="C338" t="str">
        <f>IF($A338="","",games!$C338)</f>
        <v>Deckbuilder</v>
      </c>
      <c r="D338">
        <f>IF($A338="","",COUNTIF(connections!$A$2:$A$1400,$A338)+COUNTIF(connections!$B$2:$B$1400,$A338))</f>
        <v>4</v>
      </c>
      <c r="E338">
        <f t="shared" si="65"/>
        <v>3</v>
      </c>
      <c r="F338">
        <f t="shared" si="66"/>
        <v>32</v>
      </c>
      <c r="G338" t="e">
        <f t="shared" si="67"/>
        <v>#N/A</v>
      </c>
      <c r="H338" t="e">
        <f t="shared" si="68"/>
        <v>#N/A</v>
      </c>
      <c r="I338" t="e">
        <f t="shared" si="69"/>
        <v>#N/A</v>
      </c>
      <c r="J338" t="e">
        <f t="shared" si="70"/>
        <v>#N/A</v>
      </c>
      <c r="K338">
        <f t="shared" si="71"/>
        <v>2014</v>
      </c>
      <c r="L338">
        <f t="shared" si="72"/>
        <v>3.7359999999999998</v>
      </c>
      <c r="M338" t="e">
        <f t="shared" si="73"/>
        <v>#N/A</v>
      </c>
      <c r="N338" t="e">
        <f t="shared" si="74"/>
        <v>#N/A</v>
      </c>
      <c r="O338">
        <f t="shared" si="75"/>
        <v>4.0003380000000002</v>
      </c>
      <c r="P338" t="str">
        <f>IF(OR($A338="",games!$H338=""),"",games!$H338)</f>
        <v>Yes</v>
      </c>
      <c r="Q338">
        <f t="shared" si="76"/>
        <v>4.0003380000000002</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2</v>
      </c>
      <c r="B339">
        <f>IF($A339="","",games!$B339)</f>
        <v>2017</v>
      </c>
      <c r="C339" t="str">
        <f>IF($A339="","",games!$C339)</f>
        <v>Deckbuilder</v>
      </c>
      <c r="D339">
        <f>IF($A339="","",COUNTIF(connections!$A$2:$A$1400,$A339)+COUNTIF(connections!$B$2:$B$1400,$A339))</f>
        <v>1</v>
      </c>
      <c r="E339">
        <f t="shared" si="65"/>
        <v>3</v>
      </c>
      <c r="F339">
        <f t="shared" si="66"/>
        <v>33</v>
      </c>
      <c r="G339" t="e">
        <f t="shared" si="67"/>
        <v>#N/A</v>
      </c>
      <c r="H339" t="e">
        <f t="shared" si="68"/>
        <v>#N/A</v>
      </c>
      <c r="I339" t="e">
        <f t="shared" si="69"/>
        <v>#N/A</v>
      </c>
      <c r="J339" t="e">
        <f t="shared" si="70"/>
        <v>#N/A</v>
      </c>
      <c r="K339">
        <f t="shared" si="71"/>
        <v>2017</v>
      </c>
      <c r="L339">
        <f t="shared" si="72"/>
        <v>3.7589999999999999</v>
      </c>
      <c r="M339" t="e">
        <f t="shared" si="73"/>
        <v>#N/A</v>
      </c>
      <c r="N339" t="e">
        <f t="shared" si="74"/>
        <v>#N/A</v>
      </c>
      <c r="O339">
        <f t="shared" si="75"/>
        <v>1.0003390000000001</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 Hordes</v>
      </c>
      <c r="B340">
        <f>IF($A340="","",games!$B340)</f>
        <v>2026</v>
      </c>
      <c r="C340" t="str">
        <f>IF($A340="","",games!$C340)</f>
        <v>Action</v>
      </c>
      <c r="D340">
        <f>IF($A340="","",COUNTIF(connections!$A$2:$A$1400,$A340)+COUNTIF(connections!$B$2:$B$1400,$A340))</f>
        <v>2</v>
      </c>
      <c r="E340">
        <f t="shared" si="65"/>
        <v>1</v>
      </c>
      <c r="F340">
        <f t="shared" si="66"/>
        <v>0</v>
      </c>
      <c r="G340">
        <f t="shared" si="67"/>
        <v>2026</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Hangtime!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Haque</v>
      </c>
      <c r="B342">
        <f>IF($A342="","",games!$B342)</f>
        <v>2017</v>
      </c>
      <c r="C342" t="str">
        <f>IF($A342="","",games!$C342)</f>
        <v>Traditional</v>
      </c>
      <c r="D342">
        <f>IF($A342="","",COUNTIF(connections!$A$2:$A$1400,$A342)+COUNTIF(connections!$B$2:$B$1400,$A342))</f>
        <v>4</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2017</v>
      </c>
      <c r="N342">
        <f t="shared" si="74"/>
        <v>4.0460000000000003</v>
      </c>
      <c r="O342">
        <f t="shared" si="75"/>
        <v>4.0003419999999998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Has-Been Heroes</v>
      </c>
      <c r="B343">
        <f>IF($A343="","",games!$B343)</f>
        <v>2017</v>
      </c>
      <c r="C343" t="str">
        <f>IF($A343="","",games!$C343)</f>
        <v>Action</v>
      </c>
      <c r="D343">
        <f>IF($A343="","",COUNTIF(connections!$A$2:$A$1400,$A343)+COUNTIF(connections!$B$2:$B$1400,$A343))</f>
        <v>2</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Haste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Have a Nice Death</v>
      </c>
      <c r="B345">
        <f>IF($A345="","",games!$B345)</f>
        <v>2022</v>
      </c>
      <c r="C345" t="str">
        <f>IF($A345="","",games!$C345)</f>
        <v>Action</v>
      </c>
      <c r="D345">
        <f>IF($A345="","",COUNTIF(connections!$A$2:$A$1400,$A345)+COUNTIF(connections!$B$2:$B$1400,$A345))</f>
        <v>1</v>
      </c>
      <c r="E345">
        <f t="shared" si="65"/>
        <v>1</v>
      </c>
      <c r="F345">
        <f t="shared" si="66"/>
        <v>5</v>
      </c>
      <c r="G345">
        <f t="shared" si="67"/>
        <v>2022</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 is Coming</v>
      </c>
      <c r="B346">
        <f>IF($A346="","",games!$B346)</f>
        <v>2025</v>
      </c>
      <c r="C346" t="str">
        <f>IF($A346="","",games!$C346)</f>
        <v>Deckbuilder</v>
      </c>
      <c r="D346">
        <f>IF($A346="","",COUNTIF(connections!$A$2:$A$1400,$A346)+COUNTIF(connections!$B$2:$B$1400,$A346))</f>
        <v>1</v>
      </c>
      <c r="E346">
        <f t="shared" si="65"/>
        <v>3</v>
      </c>
      <c r="F346">
        <f t="shared" si="66"/>
        <v>6</v>
      </c>
      <c r="G346" t="e">
        <f t="shared" si="67"/>
        <v>#N/A</v>
      </c>
      <c r="H346" t="e">
        <f t="shared" si="68"/>
        <v>#N/A</v>
      </c>
      <c r="I346" t="e">
        <f t="shared" si="69"/>
        <v>#N/A</v>
      </c>
      <c r="J346" t="e">
        <f t="shared" si="70"/>
        <v>#N/A</v>
      </c>
      <c r="K346">
        <f t="shared" si="71"/>
        <v>2025</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Heading Out</v>
      </c>
      <c r="B347">
        <f>IF($A347="","",games!$B347)</f>
        <v>2023</v>
      </c>
      <c r="C347" t="str">
        <f>IF($A347="","",games!$C347)</f>
        <v>Action</v>
      </c>
      <c r="D347">
        <f>IF($A347="","",COUNTIF(connections!$A$2:$A$1400,$A347)+COUNTIF(connections!$B$2:$B$1400,$A347))</f>
        <v>0</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Heat Signature</v>
      </c>
      <c r="B348">
        <f>IF($A348="","",games!$B348)</f>
        <v>2017</v>
      </c>
      <c r="C348" t="str">
        <f>IF($A348="","",games!$C348)</f>
        <v>Action</v>
      </c>
      <c r="D348">
        <f>IF($A348="","",COUNTIF(connections!$A$2:$A$1400,$A348)+COUNTIF(connections!$B$2:$B$1400,$A348))</f>
        <v>0</v>
      </c>
      <c r="E348">
        <f t="shared" si="65"/>
        <v>1</v>
      </c>
      <c r="F348">
        <f t="shared" si="66"/>
        <v>8</v>
      </c>
      <c r="G348">
        <f t="shared" si="67"/>
        <v>2017</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Heavy Bullets</v>
      </c>
      <c r="B349">
        <f>IF($A349="","",games!$B349)</f>
        <v>2014</v>
      </c>
      <c r="C349" t="str">
        <f>IF($A349="","",games!$C349)</f>
        <v>Action</v>
      </c>
      <c r="D349">
        <f>IF($A349="","",COUNTIF(connections!$A$2:$A$1400,$A349)+COUNTIF(connections!$B$2:$B$1400,$A349))</f>
        <v>0</v>
      </c>
      <c r="E349">
        <f t="shared" si="65"/>
        <v>1</v>
      </c>
      <c r="F349">
        <f t="shared" si="66"/>
        <v>9</v>
      </c>
      <c r="G349">
        <f t="shared" si="67"/>
        <v>2014</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Yes</v>
      </c>
      <c r="Q349">
        <f t="shared" si="76"/>
        <v>3.4900000000000003E-4</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Clock</v>
      </c>
      <c r="B350">
        <f>IF($A350="","",games!$B350)</f>
        <v>2025</v>
      </c>
      <c r="C350" t="str">
        <f>IF($A350="","",games!$C350)</f>
        <v>Action</v>
      </c>
      <c r="D350">
        <f>IF($A350="","",COUNTIF(connections!$A$2:$A$1400,$A350)+COUNTIF(connections!$B$2:$B$1400,$A350))</f>
        <v>3</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3.0003500000000001</v>
      </c>
      <c r="P350" t="str">
        <f>IF(OR($A350="",games!$H350=""),"",games!$H350)</f>
        <v>Yes</v>
      </c>
      <c r="Q350">
        <f t="shared" si="76"/>
        <v>3.0003500000000001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 Maiden</v>
      </c>
      <c r="B351">
        <f>IF($A351="","",games!$B351)</f>
        <v>2026</v>
      </c>
      <c r="C351" t="str">
        <f>IF($A351="","",games!$C351)</f>
        <v>Action</v>
      </c>
      <c r="D351">
        <f>IF($A351="","",COUNTIF(connections!$A$2:$A$1400,$A351)+COUNTIF(connections!$B$2:$B$1400,$A351))</f>
        <v>4</v>
      </c>
      <c r="E351">
        <f t="shared" si="65"/>
        <v>1</v>
      </c>
      <c r="F351">
        <f t="shared" si="66"/>
        <v>11</v>
      </c>
      <c r="G351">
        <f t="shared" si="67"/>
        <v>2026</v>
      </c>
      <c r="H351">
        <f t="shared" si="68"/>
        <v>1.2530000000000001</v>
      </c>
      <c r="I351" t="e">
        <f t="shared" si="69"/>
        <v>#N/A</v>
      </c>
      <c r="J351" t="e">
        <f t="shared" si="70"/>
        <v>#N/A</v>
      </c>
      <c r="K351" t="e">
        <f t="shared" si="71"/>
        <v>#N/A</v>
      </c>
      <c r="L351" t="e">
        <f t="shared" si="72"/>
        <v>#N/A</v>
      </c>
      <c r="M351" t="e">
        <f t="shared" si="73"/>
        <v>#N/A</v>
      </c>
      <c r="N351" t="e">
        <f t="shared" si="74"/>
        <v>#N/A</v>
      </c>
      <c r="O351">
        <f t="shared" si="75"/>
        <v>4.0003510000000002</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Hellboy Web of Wyrd</v>
      </c>
      <c r="B352">
        <f>IF($A352="","",games!$B352)</f>
        <v>2023</v>
      </c>
      <c r="C352" t="str">
        <f>IF($A352="","",games!$C352)</f>
        <v>Action</v>
      </c>
      <c r="D352">
        <f>IF($A352="","",COUNTIF(connections!$A$2:$A$1400,$A352)+COUNTIF(connections!$B$2:$B$1400,$A352))</f>
        <v>1</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
      </c>
      <c r="Q352" t="str">
        <f t="shared" si="76"/>
        <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Hellcard</v>
      </c>
      <c r="B353">
        <f>IF($A353="","",games!$B353)</f>
        <v>2023</v>
      </c>
      <c r="C353" t="str">
        <f>IF($A353="","",games!$C353)</f>
        <v>Deckbuilder</v>
      </c>
      <c r="D353">
        <f>IF($A353="","",COUNTIF(connections!$A$2:$A$1400,$A353)+COUNTIF(connections!$B$2:$B$1400,$A353))</f>
        <v>2</v>
      </c>
      <c r="E353">
        <f t="shared" si="65"/>
        <v>3</v>
      </c>
      <c r="F353">
        <f t="shared" si="66"/>
        <v>13</v>
      </c>
      <c r="G353" t="e">
        <f t="shared" si="67"/>
        <v>#N/A</v>
      </c>
      <c r="H353" t="e">
        <f t="shared" si="68"/>
        <v>#N/A</v>
      </c>
      <c r="I353" t="e">
        <f t="shared" si="69"/>
        <v>#N/A</v>
      </c>
      <c r="J353" t="e">
        <f t="shared" si="70"/>
        <v>#N/A</v>
      </c>
      <c r="K353">
        <f t="shared" si="71"/>
        <v>2023</v>
      </c>
      <c r="L353">
        <f t="shared" si="72"/>
        <v>3.2989999999999999</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Helskate</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Heretic's Fork</v>
      </c>
      <c r="B355">
        <f>IF($A355="","",games!$B355)</f>
        <v>2023</v>
      </c>
      <c r="C355" t="str">
        <f>IF($A355="","",games!$C355)</f>
        <v>Action</v>
      </c>
      <c r="D355">
        <f>IF($A355="","",COUNTIF(connections!$A$2:$A$1400,$A355)+COUNTIF(connections!$B$2:$B$1400,$A355))</f>
        <v>2</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v>
      </c>
      <c r="B356">
        <f>IF($A356="","",games!$B356)</f>
        <v>2018</v>
      </c>
      <c r="C356" t="str">
        <f>IF($A356="","",games!$C356)</f>
        <v>Action</v>
      </c>
      <c r="D356">
        <f>IF($A356="","",COUNTIF(connections!$A$2:$A$1400,$A356)+COUNTIF(connections!$B$2:$B$1400,$A356))</f>
        <v>3</v>
      </c>
      <c r="E356">
        <f t="shared" si="65"/>
        <v>1</v>
      </c>
      <c r="F356">
        <f t="shared" si="66"/>
        <v>16</v>
      </c>
      <c r="G356">
        <f t="shared" si="67"/>
        <v>2018</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Heroes of Hammerwatch II</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Hexagod</v>
      </c>
      <c r="B358">
        <f>IF($A358="","",games!$B358)</f>
        <v>2025</v>
      </c>
      <c r="C358" t="str">
        <f>IF($A358="","",games!$C358)</f>
        <v>Strategy</v>
      </c>
      <c r="D358">
        <f>IF($A358="","",COUNTIF(connections!$A$2:$A$1400,$A358)+COUNTIF(connections!$B$2:$B$1400,$A358))</f>
        <v>1</v>
      </c>
      <c r="E358">
        <f t="shared" si="65"/>
        <v>2</v>
      </c>
      <c r="F358">
        <f t="shared" si="66"/>
        <v>18</v>
      </c>
      <c r="G358" t="e">
        <f t="shared" si="67"/>
        <v>#N/A</v>
      </c>
      <c r="H358" t="e">
        <f t="shared" si="68"/>
        <v>#N/A</v>
      </c>
      <c r="I358">
        <f t="shared" si="69"/>
        <v>2025</v>
      </c>
      <c r="J358">
        <f t="shared" si="70"/>
        <v>2.4140000000000001</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Hive Blight</v>
      </c>
      <c r="B359">
        <f>IF($A359="","",games!$B359)</f>
        <v>2026</v>
      </c>
      <c r="C359" t="str">
        <f>IF($A359="","",games!$C359)</f>
        <v>Strategy</v>
      </c>
      <c r="D359">
        <f>IF($A359="","",COUNTIF(connections!$A$2:$A$1400,$A359)+COUNTIF(connections!$B$2:$B$1400,$A359))</f>
        <v>2</v>
      </c>
      <c r="E359">
        <f t="shared" si="65"/>
        <v>2</v>
      </c>
      <c r="F359">
        <f t="shared" si="66"/>
        <v>19</v>
      </c>
      <c r="G359" t="e">
        <f t="shared" si="67"/>
        <v>#N/A</v>
      </c>
      <c r="H359" t="e">
        <f t="shared" si="68"/>
        <v>#N/A</v>
      </c>
      <c r="I359">
        <f t="shared" si="69"/>
        <v>2026</v>
      </c>
      <c r="J359">
        <f t="shared" si="70"/>
        <v>2.4369999999999998</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HoloCure: Save the Fans!</v>
      </c>
      <c r="B360">
        <f>IF($A360="","",games!$B360)</f>
        <v>2023</v>
      </c>
      <c r="C360" t="str">
        <f>IF($A360="","",games!$C360)</f>
        <v>Action</v>
      </c>
      <c r="D360">
        <f>IF($A360="","",COUNTIF(connections!$A$2:$A$1400,$A360)+COUNTIF(connections!$B$2:$B$1400,$A360))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HoloDungeon: Koyori vs HollowLive in Honsha Tower</v>
      </c>
      <c r="B361">
        <f>IF($A361="","",games!$B361)</f>
        <v>2026</v>
      </c>
      <c r="C361" t="str">
        <f>IF($A361="","",games!$C361)</f>
        <v>Traditional</v>
      </c>
      <c r="D361">
        <f>IF($A361="","",COUNTIF(connections!$A$2:$A$1400,$A361)+COUNTIF(connections!$B$2:$B$1400,$A361))</f>
        <v>1</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2026</v>
      </c>
      <c r="N361">
        <f t="shared" si="74"/>
        <v>4.4829999999999997</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Hoplite</v>
      </c>
      <c r="B362">
        <f>IF($A362="","",games!$B362)</f>
        <v>2013</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2013</v>
      </c>
      <c r="N362">
        <f t="shared" si="74"/>
        <v>4.5060000000000002</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House of Necrosis</v>
      </c>
      <c r="B363">
        <f>IF($A363="","",games!$B363)</f>
        <v>2025</v>
      </c>
      <c r="C363" t="str">
        <f>IF($A363="","",games!$C363)</f>
        <v>Traditional</v>
      </c>
      <c r="D363">
        <f>IF($A363="","",COUNTIF(connections!$A$2:$A$1400,$A363)+COUNTIF(connections!$B$2:$B$1400,$A363))</f>
        <v>2</v>
      </c>
      <c r="E363">
        <f t="shared" si="65"/>
        <v>4</v>
      </c>
      <c r="F363">
        <f t="shared" si="66"/>
        <v>23</v>
      </c>
      <c r="G363" t="e">
        <f t="shared" si="67"/>
        <v>#N/A</v>
      </c>
      <c r="H363" t="e">
        <f t="shared" si="68"/>
        <v>#N/A</v>
      </c>
      <c r="I363" t="e">
        <f t="shared" si="69"/>
        <v>#N/A</v>
      </c>
      <c r="J363" t="e">
        <f t="shared" si="70"/>
        <v>#N/A</v>
      </c>
      <c r="K363" t="e">
        <f t="shared" si="71"/>
        <v>#N/A</v>
      </c>
      <c r="L363" t="e">
        <f t="shared" si="72"/>
        <v>#N/A</v>
      </c>
      <c r="M363">
        <f t="shared" si="73"/>
        <v>2025</v>
      </c>
      <c r="N363">
        <f t="shared" si="74"/>
        <v>4.5289999999999999</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How Many Dudes?</v>
      </c>
      <c r="B364">
        <f>IF($A364="","",games!$B364)</f>
        <v>2026</v>
      </c>
      <c r="C364" t="str">
        <f>IF($A364="","",games!$C364)</f>
        <v>Action</v>
      </c>
      <c r="D364">
        <f>IF($A364="","",COUNTIF(connections!$A$2:$A$1400,$A364)+COUNTIF(connections!$B$2:$B$1400,$A364))</f>
        <v>2</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Hungry Horrors</v>
      </c>
      <c r="B365">
        <f>IF($A365="","",games!$B365)</f>
        <v>2026</v>
      </c>
      <c r="C365" t="str">
        <f>IF($A365="","",games!$C365)</f>
        <v>Deckbuilder</v>
      </c>
      <c r="D365">
        <f>IF($A365="","",COUNTIF(connections!$A$2:$A$1400,$A365)+COUNTIF(connections!$B$2:$B$1400,$A365))</f>
        <v>4</v>
      </c>
      <c r="E365">
        <f t="shared" si="65"/>
        <v>3</v>
      </c>
      <c r="F365">
        <f t="shared" si="66"/>
        <v>25</v>
      </c>
      <c r="G365" t="e">
        <f t="shared" si="67"/>
        <v>#N/A</v>
      </c>
      <c r="H365" t="e">
        <f t="shared" si="68"/>
        <v>#N/A</v>
      </c>
      <c r="I365" t="e">
        <f t="shared" si="69"/>
        <v>#N/A</v>
      </c>
      <c r="J365" t="e">
        <f t="shared" si="70"/>
        <v>#N/A</v>
      </c>
      <c r="K365">
        <f t="shared" si="71"/>
        <v>2026</v>
      </c>
      <c r="L365">
        <f t="shared" si="72"/>
        <v>3.5750000000000002</v>
      </c>
      <c r="M365" t="e">
        <f t="shared" si="73"/>
        <v>#N/A</v>
      </c>
      <c r="N365" t="e">
        <f t="shared" si="74"/>
        <v>#N/A</v>
      </c>
      <c r="O365">
        <f t="shared" si="75"/>
        <v>4.0003650000000004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Hunter X Hunter: Nen X Survivor</v>
      </c>
      <c r="B366">
        <f>IF($A366="","",games!$B366)</f>
        <v>2026</v>
      </c>
      <c r="C366" t="str">
        <f>IF($A366="","",games!$C366)</f>
        <v>Action</v>
      </c>
      <c r="D366">
        <f>IF($A366="","",COUNTIF(connections!$A$2:$A$1400,$A366)+COUNTIF(connections!$B$2:$B$1400,$A366))</f>
        <v>1</v>
      </c>
      <c r="E366">
        <f t="shared" si="65"/>
        <v>1</v>
      </c>
      <c r="F366">
        <f t="shared" si="66"/>
        <v>26</v>
      </c>
      <c r="G366">
        <f t="shared" si="67"/>
        <v>2026</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HyperRogue</v>
      </c>
      <c r="B367">
        <f>IF($A367="","",games!$B367)</f>
        <v>2012</v>
      </c>
      <c r="C367" t="str">
        <f>IF($A367="","",games!$C367)</f>
        <v>Traditional</v>
      </c>
      <c r="D367">
        <f>IF($A367="","",COUNTIF(connections!$A$2:$A$1400,$A367)+COUNTIF(connections!$B$2:$B$1400,$A367))</f>
        <v>6</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2012</v>
      </c>
      <c r="N367">
        <f t="shared" si="74"/>
        <v>4.6210000000000004</v>
      </c>
      <c r="O367">
        <f t="shared" si="75"/>
        <v>6.0003669999999998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Legion: Stand Survivors</v>
      </c>
      <c r="B368">
        <f>IF($A368="","",games!$B368)</f>
        <v>2025</v>
      </c>
      <c r="C368" t="str">
        <f>IF($A368="","",games!$C368)</f>
        <v>Action</v>
      </c>
      <c r="D368">
        <f>IF($A368="","",COUNTIF(connections!$A$2:$A$1400,$A368)+COUNTIF(connections!$B$2:$B$1400,$A368))</f>
        <v>1</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 Am Overburdened</v>
      </c>
      <c r="B369">
        <f>IF($A369="","",games!$B369)</f>
        <v>2017</v>
      </c>
      <c r="C369" t="str">
        <f>IF($A369="","",games!$C369)</f>
        <v>Traditional</v>
      </c>
      <c r="D369">
        <f>IF($A369="","",COUNTIF(connections!$A$2:$A$1400,$A369)+COUNTIF(connections!$B$2:$B$1400,$A369))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2017</v>
      </c>
      <c r="N369">
        <f t="shared" si="74"/>
        <v>4.6669999999999998</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Icewall</v>
      </c>
      <c r="B370">
        <f>IF($A370="","",games!$B370)</f>
        <v>2022</v>
      </c>
      <c r="C370" t="str">
        <f>IF($A370="","",games!$C370)</f>
        <v>Action</v>
      </c>
      <c r="D370">
        <f>IF($A370="","",COUNTIF(connections!$A$2:$A$1400,$A370)+COUNTIF(connections!$B$2:$B$1400,$A370))</f>
        <v>1</v>
      </c>
      <c r="E370">
        <f t="shared" si="65"/>
        <v>1</v>
      </c>
      <c r="F370">
        <f t="shared" si="66"/>
        <v>30</v>
      </c>
      <c r="G370">
        <f t="shared" si="67"/>
        <v>2022</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Immortal Redneck</v>
      </c>
      <c r="B371">
        <f>IF($A371="","",games!$B371)</f>
        <v>2017</v>
      </c>
      <c r="C371" t="str">
        <f>IF($A371="","",games!$C371)</f>
        <v>Action</v>
      </c>
      <c r="D371">
        <f>IF($A371="","",COUNTIF(connections!$A$2:$A$1400,$A371)+COUNTIF(connections!$B$2:$B$1400,$A371))</f>
        <v>1</v>
      </c>
      <c r="E371">
        <f t="shared" si="65"/>
        <v>1</v>
      </c>
      <c r="F371">
        <f t="shared" si="66"/>
        <v>31</v>
      </c>
      <c r="G371">
        <f t="shared" si="67"/>
        <v>2017</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 Celebration of Violence</v>
      </c>
      <c r="B372">
        <f>IF($A372="","",games!$B372)</f>
        <v>2016</v>
      </c>
      <c r="C372" t="str">
        <f>IF($A372="","",games!$C372)</f>
        <v>Action</v>
      </c>
      <c r="D372">
        <f>IF($A372="","",COUNTIF(connections!$A$2:$A$1400,$A372)+COUNTIF(connections!$B$2:$B$1400,$A372))</f>
        <v>1</v>
      </c>
      <c r="E372">
        <f t="shared" si="65"/>
        <v>1</v>
      </c>
      <c r="F372">
        <f t="shared" si="66"/>
        <v>32</v>
      </c>
      <c r="G372">
        <f t="shared" si="67"/>
        <v>2016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Incursion</v>
      </c>
      <c r="B373">
        <f>IF($A373="","",games!$B373)</f>
        <v>2007</v>
      </c>
      <c r="C373" t="str">
        <f>IF($A373="","",games!$C373)</f>
        <v>Traditional</v>
      </c>
      <c r="D373">
        <f>IF($A373="","",COUNTIF(connections!$A$2:$A$1400,$A373)+COUNTIF(connections!$B$2:$B$1400,$A373))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2007</v>
      </c>
      <c r="N373">
        <f t="shared" si="74"/>
        <v>4.7590000000000003</v>
      </c>
      <c r="O373">
        <f t="shared" si="75"/>
        <v>6.0003729999999997</v>
      </c>
      <c r="P373" t="str">
        <f>IF(OR($A373="",games!$H373=""),"",games!$H373)</f>
        <v>Yes</v>
      </c>
      <c r="Q373">
        <f t="shared" si="76"/>
        <v>6.0003729999999997</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Infinite Space III: Sea of Stars</v>
      </c>
      <c r="B374">
        <f>IF($A374="","",games!$B374)</f>
        <v>2015</v>
      </c>
      <c r="C374" t="str">
        <f>IF($A374="","",games!$C374)</f>
        <v>Strategy</v>
      </c>
      <c r="D374">
        <f>IF($A374="","",COUNTIF(connections!$A$2:$A$1400,$A374)+COUNTIF(connections!$B$2:$B$1400,$A374))</f>
        <v>1</v>
      </c>
      <c r="E374">
        <f t="shared" si="65"/>
        <v>2</v>
      </c>
      <c r="F374">
        <f t="shared" si="66"/>
        <v>0</v>
      </c>
      <c r="G374" t="e">
        <f t="shared" si="67"/>
        <v>#N/A</v>
      </c>
      <c r="H374" t="e">
        <f t="shared" si="68"/>
        <v>#N/A</v>
      </c>
      <c r="I374">
        <f t="shared" si="69"/>
        <v>2015</v>
      </c>
      <c r="J374">
        <f t="shared" si="70"/>
        <v>2</v>
      </c>
      <c r="K374" t="e">
        <f t="shared" si="71"/>
        <v>#N/A</v>
      </c>
      <c r="L374" t="e">
        <f t="shared" si="72"/>
        <v>#N/A</v>
      </c>
      <c r="M374" t="e">
        <f t="shared" si="73"/>
        <v>#N/A</v>
      </c>
      <c r="N374" t="e">
        <f t="shared" si="74"/>
        <v>#N/A</v>
      </c>
      <c r="O374">
        <f t="shared" si="75"/>
        <v>1.0003740000000001</v>
      </c>
      <c r="P374" t="str">
        <f>IF(OR($A374="",games!$H374=""),"",games!$H374)</f>
        <v/>
      </c>
      <c r="Q374" t="str">
        <f t="shared" si="76"/>
        <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Infra Arcana</v>
      </c>
      <c r="B375">
        <f>IF($A375="","",games!$B375)</f>
        <v>2011</v>
      </c>
      <c r="C375" t="str">
        <f>IF($A375="","",games!$C375)</f>
        <v>Traditional</v>
      </c>
      <c r="D375">
        <f>IF($A375="","",COUNTIF(connections!$A$2:$A$1400,$A375)+COUNTIF(connections!$B$2:$B$1400,$A375))</f>
        <v>3</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2011</v>
      </c>
      <c r="N375">
        <f t="shared" si="74"/>
        <v>4.0229999999999997</v>
      </c>
      <c r="O375">
        <f t="shared" si="75"/>
        <v>3.000375</v>
      </c>
      <c r="P375" t="str">
        <f>IF(OR($A375="",games!$H375=""),"",games!$H375)</f>
        <v>Yes</v>
      </c>
      <c r="Q375">
        <f t="shared" si="76"/>
        <v>3.000375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Inkbound</v>
      </c>
      <c r="B376">
        <f>IF($A376="","",games!$B376)</f>
        <v>2023</v>
      </c>
      <c r="C376" t="str">
        <f>IF($A376="","",games!$C376)</f>
        <v>Strategy</v>
      </c>
      <c r="D376">
        <f>IF($A376="","",COUNTIF(connections!$A$2:$A$1400,$A376)+COUNTIF(connections!$B$2:$B$1400,$A376))</f>
        <v>1</v>
      </c>
      <c r="E376">
        <f t="shared" si="65"/>
        <v>2</v>
      </c>
      <c r="F376">
        <f t="shared" si="66"/>
        <v>2</v>
      </c>
      <c r="G376" t="e">
        <f t="shared" si="67"/>
        <v>#N/A</v>
      </c>
      <c r="H376" t="e">
        <f t="shared" si="68"/>
        <v>#N/A</v>
      </c>
      <c r="I376">
        <f t="shared" si="69"/>
        <v>2023</v>
      </c>
      <c r="J376">
        <f t="shared" si="70"/>
        <v>2.0459999999999998</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Inkshade</v>
      </c>
      <c r="B377">
        <f>IF($A377="","",games!$B377)</f>
        <v>2025</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Inscryption</v>
      </c>
      <c r="B378">
        <f>IF($A378="","",games!$B378)</f>
        <v>2021</v>
      </c>
      <c r="C378" t="str">
        <f>IF($A378="","",games!$C378)</f>
        <v>Deckbuilder</v>
      </c>
      <c r="D378">
        <f>IF($A378="","",COUNTIF(connections!$A$2:$A$1400,$A378)+COUNTIF(connections!$B$2:$B$1400,$A378))</f>
        <v>14</v>
      </c>
      <c r="E378">
        <f t="shared" si="65"/>
        <v>3</v>
      </c>
      <c r="F378">
        <f t="shared" si="66"/>
        <v>4</v>
      </c>
      <c r="G378" t="e">
        <f t="shared" si="67"/>
        <v>#N/A</v>
      </c>
      <c r="H378" t="e">
        <f t="shared" si="68"/>
        <v>#N/A</v>
      </c>
      <c r="I378" t="e">
        <f t="shared" si="69"/>
        <v>#N/A</v>
      </c>
      <c r="J378" t="e">
        <f t="shared" si="70"/>
        <v>#N/A</v>
      </c>
      <c r="K378">
        <f t="shared" si="71"/>
        <v>2021</v>
      </c>
      <c r="L378">
        <f t="shared" si="72"/>
        <v>3.0920000000000001</v>
      </c>
      <c r="M378" t="e">
        <f t="shared" si="73"/>
        <v>#N/A</v>
      </c>
      <c r="N378" t="e">
        <f t="shared" si="74"/>
        <v>#N/A</v>
      </c>
      <c r="O378">
        <f t="shared" si="75"/>
        <v>14.000378</v>
      </c>
      <c r="P378" t="str">
        <f>IF(OR($A378="",games!$H378=""),"",games!$H378)</f>
        <v>Yes</v>
      </c>
      <c r="Q378">
        <f t="shared" si="76"/>
        <v>14.000378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Insurmountable</v>
      </c>
      <c r="B379">
        <f>IF($A379="","",games!$B379)</f>
        <v>2021</v>
      </c>
      <c r="C379" t="str">
        <f>IF($A379="","",games!$C379)</f>
        <v>Strategy</v>
      </c>
      <c r="D379">
        <f>IF($A379="","",COUNTIF(connections!$A$2:$A$1400,$A379)+COUNTIF(connections!$B$2:$B$1400,$A379))</f>
        <v>2</v>
      </c>
      <c r="E379">
        <f t="shared" si="65"/>
        <v>2</v>
      </c>
      <c r="F379">
        <f t="shared" si="66"/>
        <v>5</v>
      </c>
      <c r="G379" t="e">
        <f t="shared" si="67"/>
        <v>#N/A</v>
      </c>
      <c r="H379" t="e">
        <f t="shared" si="68"/>
        <v>#N/A</v>
      </c>
      <c r="I379">
        <f t="shared" si="69"/>
        <v>2021</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Breach</v>
      </c>
      <c r="B380">
        <f>IF($A380="","",games!$B380)</f>
        <v>2018</v>
      </c>
      <c r="C380" t="str">
        <f>IF($A380="","",games!$C380)</f>
        <v>Strategy</v>
      </c>
      <c r="D380">
        <f>IF($A380="","",COUNTIF(connections!$A$2:$A$1400,$A380)+COUNTIF(connections!$B$2:$B$1400,$A380))</f>
        <v>22</v>
      </c>
      <c r="E380">
        <f t="shared" si="65"/>
        <v>2</v>
      </c>
      <c r="F380">
        <f t="shared" si="66"/>
        <v>6</v>
      </c>
      <c r="G380" t="e">
        <f t="shared" si="67"/>
        <v>#N/A</v>
      </c>
      <c r="H380" t="e">
        <f t="shared" si="68"/>
        <v>#N/A</v>
      </c>
      <c r="I380">
        <f t="shared" si="69"/>
        <v>2018</v>
      </c>
      <c r="J380">
        <f t="shared" si="70"/>
        <v>2.1379999999999999</v>
      </c>
      <c r="K380" t="e">
        <f t="shared" si="71"/>
        <v>#N/A</v>
      </c>
      <c r="L380" t="e">
        <f t="shared" si="72"/>
        <v>#N/A</v>
      </c>
      <c r="M380" t="e">
        <f t="shared" si="73"/>
        <v>#N/A</v>
      </c>
      <c r="N380" t="e">
        <f t="shared" si="74"/>
        <v>#N/A</v>
      </c>
      <c r="O380">
        <f t="shared" si="75"/>
        <v>22.00038</v>
      </c>
      <c r="P380" t="str">
        <f>IF(OR($A380="",games!$H380=""),"",games!$H380)</f>
        <v>Yes</v>
      </c>
      <c r="Q380">
        <f t="shared" si="76"/>
        <v>22.00038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Into The Grid</v>
      </c>
      <c r="B381">
        <f>IF($A381="","",games!$B381)</f>
        <v>2025</v>
      </c>
      <c r="C381" t="str">
        <f>IF($A381="","",games!$C381)</f>
        <v>Deckbuilder</v>
      </c>
      <c r="D381">
        <f>IF($A381="","",COUNTIF(connections!$A$2:$A$1400,$A381)+COUNTIF(connections!$B$2:$B$1400,$A381))</f>
        <v>1</v>
      </c>
      <c r="E381">
        <f t="shared" si="65"/>
        <v>3</v>
      </c>
      <c r="F381">
        <f t="shared" si="66"/>
        <v>7</v>
      </c>
      <c r="G381" t="e">
        <f t="shared" si="67"/>
        <v>#N/A</v>
      </c>
      <c r="H381" t="e">
        <f t="shared" si="68"/>
        <v>#N/A</v>
      </c>
      <c r="I381" t="e">
        <f t="shared" si="69"/>
        <v>#N/A</v>
      </c>
      <c r="J381" t="e">
        <f t="shared" si="70"/>
        <v>#N/A</v>
      </c>
      <c r="K381">
        <f t="shared" si="71"/>
        <v>2025</v>
      </c>
      <c r="L381">
        <f t="shared" si="72"/>
        <v>3.161</v>
      </c>
      <c r="M381" t="e">
        <f t="shared" si="73"/>
        <v>#N/A</v>
      </c>
      <c r="N381" t="e">
        <f t="shared" si="74"/>
        <v>#N/A</v>
      </c>
      <c r="O381">
        <f t="shared" si="75"/>
        <v>1.000381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Iratus: Lord of the Dead</v>
      </c>
      <c r="B382">
        <f>IF($A382="","",games!$B382)</f>
        <v>2019</v>
      </c>
      <c r="C382" t="str">
        <f>IF($A382="","",games!$C382)</f>
        <v>Strategy</v>
      </c>
      <c r="D382">
        <f>IF($A382="","",COUNTIF(connections!$A$2:$A$1400,$A382)+COUNTIF(connections!$B$2:$B$1400,$A382))</f>
        <v>2</v>
      </c>
      <c r="E382">
        <f t="shared" si="65"/>
        <v>2</v>
      </c>
      <c r="F382">
        <f t="shared" si="66"/>
        <v>8</v>
      </c>
      <c r="G382" t="e">
        <f t="shared" si="67"/>
        <v>#N/A</v>
      </c>
      <c r="H382" t="e">
        <f t="shared" si="68"/>
        <v>#N/A</v>
      </c>
      <c r="I382">
        <f t="shared" si="69"/>
        <v>2019</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Iter Vehemens Ad Necem</v>
      </c>
      <c r="B383">
        <f>IF($A383="","",games!$B383)</f>
        <v>2001</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2001</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2: The Unemployed Ninja Returns</v>
      </c>
      <c r="B384">
        <f>IF($A384="","",games!$B384)</f>
        <v>2007</v>
      </c>
      <c r="C384" t="str">
        <f>IF($A384="","",games!$C384)</f>
        <v>Traditional</v>
      </c>
      <c r="D384">
        <f>IF($A384="","",COUNTIF(connections!$A$2:$A$1400,$A384)+COUNTIF(connections!$B$2:$B$1400,$A384))</f>
        <v>1</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2007</v>
      </c>
      <c r="N384">
        <f t="shared" si="74"/>
        <v>4.2300000000000004</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Izuna: Legend of the Unemployed Ninja</v>
      </c>
      <c r="B385">
        <f>IF($A385="","",games!$B385)</f>
        <v>2006</v>
      </c>
      <c r="C385" t="str">
        <f>IF($A385="","",games!$C385)</f>
        <v>Traditional</v>
      </c>
      <c r="D385">
        <f>IF($A385="","",COUNTIF(connections!$A$2:$A$1400,$A385)+COUNTIF(connections!$B$2:$B$1400,$A385))</f>
        <v>2</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2006</v>
      </c>
      <c r="N385">
        <f t="shared" si="74"/>
        <v>4.2530000000000001</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Jotunnslayer: Hordes of Hel</v>
      </c>
      <c r="B386">
        <f>IF($A386="","",games!$B386)</f>
        <v>2025</v>
      </c>
      <c r="C386" t="str">
        <f>IF($A386="","",games!$C386)</f>
        <v>Action</v>
      </c>
      <c r="D386">
        <f>IF($A386="","",COUNTIF(connections!$A$2:$A$1400,$A386)+COUNTIF(connections!$B$2:$B$1400,$A386))</f>
        <v>4</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4.0003859999999998</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Juicy Realm</v>
      </c>
      <c r="B387">
        <f>IF($A387="","",games!$B387)</f>
        <v>2018</v>
      </c>
      <c r="C387" t="str">
        <f>IF($A387="","",games!$C387)</f>
        <v>Action</v>
      </c>
      <c r="D387">
        <f>IF($A387="","",COUNTIF(connections!$A$2:$A$1400,$A387)+COUNTIF(connections!$B$2:$B$1400,$A387))</f>
        <v>0</v>
      </c>
      <c r="E387">
        <f t="shared" si="78"/>
        <v>1</v>
      </c>
      <c r="F387">
        <f t="shared" si="79"/>
        <v>13</v>
      </c>
      <c r="G387">
        <f t="shared" si="80"/>
        <v>2018</v>
      </c>
      <c r="H387">
        <f t="shared" si="81"/>
        <v>1.2989999999999999</v>
      </c>
      <c r="I387" t="e">
        <f t="shared" si="82"/>
        <v>#N/A</v>
      </c>
      <c r="J387" t="e">
        <f t="shared" si="83"/>
        <v>#N/A</v>
      </c>
      <c r="K387" t="e">
        <f t="shared" si="84"/>
        <v>#N/A</v>
      </c>
      <c r="L387" t="e">
        <f t="shared" si="85"/>
        <v>#N/A</v>
      </c>
      <c r="M387" t="e">
        <f t="shared" si="86"/>
        <v>#N/A</v>
      </c>
      <c r="N387" t="e">
        <f t="shared" si="87"/>
        <v>#N/A</v>
      </c>
      <c r="O387">
        <f t="shared" si="88"/>
        <v>3.8699999999999997E-4</v>
      </c>
      <c r="P387" t="str">
        <f>IF(OR($A387="",games!$H387=""),"",games!$H387)</f>
        <v/>
      </c>
      <c r="Q387" t="str">
        <f t="shared" si="89"/>
        <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Jupiter Hell</v>
      </c>
      <c r="B388">
        <f>IF($A388="","",games!$B388)</f>
        <v>2019</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2019</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Just King</v>
      </c>
      <c r="B389">
        <f>IF($A389="","",games!$B389)</f>
        <v>2023</v>
      </c>
      <c r="C389" t="str">
        <f>IF($A389="","",games!$C389)</f>
        <v>Action</v>
      </c>
      <c r="D389">
        <f>IF($A389="","",COUNTIF(connections!$A$2:$A$1400,$A389)+COUNTIF(connections!$B$2:$B$1400,$A389))</f>
        <v>1</v>
      </c>
      <c r="E389">
        <f t="shared" si="78"/>
        <v>1</v>
      </c>
      <c r="F389">
        <f t="shared" si="79"/>
        <v>15</v>
      </c>
      <c r="G389">
        <f t="shared" si="80"/>
        <v>2023</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Kādomon: Hyper Auto Battlers</v>
      </c>
      <c r="B390">
        <f>IF($A390="","",games!$B390)</f>
        <v>2024</v>
      </c>
      <c r="C390" t="str">
        <f>IF($A390="","",games!$C390)</f>
        <v>Strategy</v>
      </c>
      <c r="D390">
        <f>IF($A390="","",COUNTIF(connections!$A$2:$A$1400,$A390)+COUNTIF(connections!$B$2:$B$1400,$A390))</f>
        <v>3</v>
      </c>
      <c r="E390">
        <f t="shared" si="78"/>
        <v>2</v>
      </c>
      <c r="F390">
        <f t="shared" si="79"/>
        <v>16</v>
      </c>
      <c r="G390" t="e">
        <f t="shared" si="80"/>
        <v>#N/A</v>
      </c>
      <c r="H390" t="e">
        <f t="shared" si="81"/>
        <v>#N/A</v>
      </c>
      <c r="I390">
        <f t="shared" si="82"/>
        <v>2024</v>
      </c>
      <c r="J390">
        <f t="shared" si="83"/>
        <v>2.3679999999999999</v>
      </c>
      <c r="K390" t="e">
        <f t="shared" si="84"/>
        <v>#N/A</v>
      </c>
      <c r="L390" t="e">
        <f t="shared" si="85"/>
        <v>#N/A</v>
      </c>
      <c r="M390" t="e">
        <f t="shared" si="86"/>
        <v>#N/A</v>
      </c>
      <c r="N390" t="e">
        <f t="shared" si="87"/>
        <v>#N/A</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Katanaut</v>
      </c>
      <c r="B391">
        <f>IF($A391="","",games!$B391)</f>
        <v>2025</v>
      </c>
      <c r="C391" t="str">
        <f>IF($A391="","",games!$C391)</f>
        <v>Action</v>
      </c>
      <c r="D391">
        <f>IF($A391="","",COUNTIF(connections!$A$2:$A$1400,$A391)+COUNTIF(connections!$B$2:$B$1400,$A391))</f>
        <v>1</v>
      </c>
      <c r="E391">
        <f t="shared" si="78"/>
        <v>1</v>
      </c>
      <c r="F391">
        <f t="shared" si="79"/>
        <v>17</v>
      </c>
      <c r="G391">
        <f t="shared" si="80"/>
        <v>2025</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KeeperRL</v>
      </c>
      <c r="B392">
        <f>IF($A392="","",games!$B392)</f>
        <v>2015</v>
      </c>
      <c r="C392" t="str">
        <f>IF($A392="","",games!$C392)</f>
        <v>Traditional</v>
      </c>
      <c r="D392">
        <f>IF($A392="","",COUNTIF(connections!$A$2:$A$1400,$A392)+COUNTIF(connections!$B$2:$B$1400,$A392))</f>
        <v>3</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2015</v>
      </c>
      <c r="N392">
        <f t="shared" si="87"/>
        <v>4.4139999999999997</v>
      </c>
      <c r="O392">
        <f t="shared" si="88"/>
        <v>3.0003920000000002</v>
      </c>
      <c r="P392" t="str">
        <f>IF(OR($A392="",games!$H392=""),"",games!$H392)</f>
        <v>Yes</v>
      </c>
      <c r="Q392">
        <f t="shared" si="89"/>
        <v>3.0003920000000002</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Keeper's Toll</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Brickman</v>
      </c>
      <c r="B394">
        <f>IF($A394="","",games!$B394)</f>
        <v>2025</v>
      </c>
      <c r="C394" t="str">
        <f>IF($A394="","",games!$C394)</f>
        <v>Strategy</v>
      </c>
      <c r="D394">
        <f>IF($A394="","",COUNTIF(connections!$A$2:$A$1400,$A394)+COUNTIF(connections!$B$2:$B$1400,$A394))</f>
        <v>0</v>
      </c>
      <c r="E394">
        <f t="shared" si="78"/>
        <v>2</v>
      </c>
      <c r="F394">
        <f t="shared" si="79"/>
        <v>20</v>
      </c>
      <c r="G394" t="e">
        <f t="shared" si="80"/>
        <v>#N/A</v>
      </c>
      <c r="H394" t="e">
        <f t="shared" si="81"/>
        <v>#N/A</v>
      </c>
      <c r="I394">
        <f t="shared" si="82"/>
        <v>2025</v>
      </c>
      <c r="J394">
        <f t="shared" si="83"/>
        <v>2.46</v>
      </c>
      <c r="K394" t="e">
        <f t="shared" si="84"/>
        <v>#N/A</v>
      </c>
      <c r="L394" t="e">
        <f t="shared" si="85"/>
        <v>#N/A</v>
      </c>
      <c r="M394" t="e">
        <f t="shared" si="86"/>
        <v>#N/A</v>
      </c>
      <c r="N394" t="e">
        <f t="shared" si="87"/>
        <v>#N/A</v>
      </c>
      <c r="O394">
        <f t="shared" si="88"/>
        <v>3.9399999999999998E-4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Kill The Music</v>
      </c>
      <c r="B395">
        <f>IF($A395="","",games!$B395)</f>
        <v>2025</v>
      </c>
      <c r="C395" t="str">
        <f>IF($A395="","",games!$C395)</f>
        <v>Action</v>
      </c>
      <c r="D395">
        <f>IF($A395="","",COUNTIF(connections!$A$2:$A$1400,$A395)+COUNTIF(connections!$B$2:$B$1400,$A395))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Yes</v>
      </c>
      <c r="Q395">
        <f t="shared" si="89"/>
        <v>4.0003950000000001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Kingdom: New Lands</v>
      </c>
      <c r="B396">
        <f>IF($A396="","",games!$B396)</f>
        <v>2016</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2016</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Kitty Survivors: Rogues of Catmere</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Knightica</v>
      </c>
      <c r="B398">
        <f>IF($A398="","",games!$B398)</f>
        <v>2025</v>
      </c>
      <c r="C398" t="str">
        <f>IF($A398="","",games!$C398)</f>
        <v>Strategy</v>
      </c>
      <c r="D398">
        <f>IF($A398="","",COUNTIF(connections!$A$2:$A$1400,$A398)+COUNTIF(connections!$B$2:$B$1400,$A398))</f>
        <v>3</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Knights in Tight Spaces</v>
      </c>
      <c r="B399">
        <f>IF($A399="","",games!$B399)</f>
        <v>2025</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2025</v>
      </c>
      <c r="L399">
        <f t="shared" si="85"/>
        <v>3.5750000000000002</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Knock on the Coffin Lid</v>
      </c>
      <c r="B400">
        <f>IF($A400="","",games!$B400)</f>
        <v>2020</v>
      </c>
      <c r="C400" t="str">
        <f>IF($A400="","",games!$C400)</f>
        <v>Deckbuilder</v>
      </c>
      <c r="D400">
        <f>IF($A400="","",COUNTIF(connections!$A$2:$A$1400,$A400)+COUNTIF(connections!$B$2:$B$1400,$A400))</f>
        <v>1</v>
      </c>
      <c r="E400">
        <f t="shared" si="78"/>
        <v>3</v>
      </c>
      <c r="F400">
        <f t="shared" si="79"/>
        <v>26</v>
      </c>
      <c r="G400" t="e">
        <f t="shared" si="80"/>
        <v>#N/A</v>
      </c>
      <c r="H400" t="e">
        <f t="shared" si="81"/>
        <v>#N/A</v>
      </c>
      <c r="I400" t="e">
        <f t="shared" si="82"/>
        <v>#N/A</v>
      </c>
      <c r="J400" t="e">
        <f t="shared" si="83"/>
        <v>#N/A</v>
      </c>
      <c r="K400">
        <f t="shared" si="84"/>
        <v>2020</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Labyrinth of Legendary Loot</v>
      </c>
      <c r="B401">
        <f>IF($A401="","",games!$B401)</f>
        <v>2020</v>
      </c>
      <c r="C401" t="str">
        <f>IF($A401="","",games!$C401)</f>
        <v>Traditional</v>
      </c>
      <c r="D401">
        <f>IF($A401="","",COUNTIF(connections!$A$2:$A$1400,$A401)+COUNTIF(connections!$B$2:$B$1400,$A401))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2020</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Lake of Creatures</v>
      </c>
      <c r="B402">
        <f>IF($A402="","",games!$B402)</f>
        <v>2024</v>
      </c>
      <c r="C402" t="str">
        <f>IF($A402="","",games!$C402)</f>
        <v>Action</v>
      </c>
      <c r="D402">
        <f>IF($A402="","",COUNTIF(connections!$A$2:$A$1400,$A402)+COUNTIF(connections!$B$2:$B$1400,$A402))</f>
        <v>3</v>
      </c>
      <c r="E402">
        <f t="shared" si="78"/>
        <v>1</v>
      </c>
      <c r="F402">
        <f t="shared" si="79"/>
        <v>28</v>
      </c>
      <c r="G402">
        <f t="shared" si="80"/>
        <v>2024</v>
      </c>
      <c r="H402">
        <f t="shared" si="81"/>
        <v>1.6440000000000001</v>
      </c>
      <c r="I402" t="e">
        <f t="shared" si="82"/>
        <v>#N/A</v>
      </c>
      <c r="J402" t="e">
        <f t="shared" si="83"/>
        <v>#N/A</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LambdaRogue: The Book of Stars</v>
      </c>
      <c r="B403">
        <f>IF($A403="","",games!$B403)</f>
        <v>2006</v>
      </c>
      <c r="C403" t="str">
        <f>IF($A403="","",games!$C403)</f>
        <v>Traditional</v>
      </c>
      <c r="D403">
        <f>IF($A403="","",COUNTIF(connections!$A$2:$A$1400,$A403)+COUNTIF(connections!$B$2:$B$1400,$A403))</f>
        <v>4</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2006</v>
      </c>
      <c r="N403">
        <f t="shared" si="87"/>
        <v>4.6669999999999998</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Larn</v>
      </c>
      <c r="B404">
        <f>IF($A404="","",games!$B404)</f>
        <v>1986</v>
      </c>
      <c r="C404" t="str">
        <f>IF($A404="","",games!$C404)</f>
        <v>Traditional</v>
      </c>
      <c r="D404">
        <f>IF($A404="","",COUNTIF(connections!$A$2:$A$1400,$A404)+COUNTIF(connections!$B$2:$B$1400,$A404))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1986</v>
      </c>
      <c r="N404">
        <f t="shared" si="87"/>
        <v>4.6899999999999995</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Legend of Keepers: Career of a Dungeon Manager</v>
      </c>
      <c r="B405">
        <f>IF($A405="","",games!$B405)</f>
        <v>2019</v>
      </c>
      <c r="C405" t="str">
        <f>IF($A405="","",games!$C405)</f>
        <v>Strategy</v>
      </c>
      <c r="D405">
        <f>IF($A405="","",COUNTIF(connections!$A$2:$A$1400,$A405)+COUNTIF(connections!$B$2:$B$1400,$A405))</f>
        <v>4</v>
      </c>
      <c r="E405">
        <f t="shared" si="78"/>
        <v>2</v>
      </c>
      <c r="F405">
        <f t="shared" si="79"/>
        <v>31</v>
      </c>
      <c r="G405" t="e">
        <f t="shared" si="80"/>
        <v>#N/A</v>
      </c>
      <c r="H405" t="e">
        <f t="shared" si="81"/>
        <v>#N/A</v>
      </c>
      <c r="I405">
        <f t="shared" si="82"/>
        <v>2019</v>
      </c>
      <c r="J405">
        <f t="shared" si="83"/>
        <v>2.7130000000000001</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 Him Cook</v>
      </c>
      <c r="B406">
        <f>IF($A406="","",games!$B406)</f>
        <v>2024</v>
      </c>
      <c r="C406" t="str">
        <f>IF($A406="","",games!$C406)</f>
        <v>Action</v>
      </c>
      <c r="D406">
        <f>IF($A406="","",COUNTIF(connections!$A$2:$A$1400,$A406)+COUNTIF(connections!$B$2:$B$1400,$A406))</f>
        <v>1</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Lethal Dungeon</v>
      </c>
      <c r="B407">
        <f>IF($A407="","",games!$B407)</f>
        <v>2026</v>
      </c>
      <c r="C407" t="str">
        <f>IF($A407="","",games!$C407)</f>
        <v>Deckbuilder</v>
      </c>
      <c r="D407">
        <f>IF($A407="","",COUNTIF(connections!$A$2:$A$1400,$A407)+COUNTIF(connections!$B$2:$B$1400,$A407))</f>
        <v>1</v>
      </c>
      <c r="E407">
        <f t="shared" si="78"/>
        <v>3</v>
      </c>
      <c r="F407">
        <f t="shared" si="79"/>
        <v>33</v>
      </c>
      <c r="G407" t="e">
        <f t="shared" si="80"/>
        <v>#N/A</v>
      </c>
      <c r="H407" t="e">
        <f t="shared" si="81"/>
        <v>#N/A</v>
      </c>
      <c r="I407" t="e">
        <f t="shared" si="82"/>
        <v>#N/A</v>
      </c>
      <c r="J407" t="e">
        <f t="shared" si="83"/>
        <v>#N/A</v>
      </c>
      <c r="K407">
        <f t="shared" si="84"/>
        <v>2026</v>
      </c>
      <c r="L407">
        <f t="shared" si="85"/>
        <v>3.7589999999999999</v>
      </c>
      <c r="M407" t="e">
        <f t="shared" si="86"/>
        <v>#N/A</v>
      </c>
      <c r="N407" t="e">
        <f t="shared" si="87"/>
        <v>#N/A</v>
      </c>
      <c r="O407">
        <f t="shared" si="88"/>
        <v>1.000407</v>
      </c>
      <c r="P407" t="str">
        <f>IF(OR($A407="",games!$H407=""),"",games!$H407)</f>
        <v/>
      </c>
      <c r="Q407" t="str">
        <f t="shared" si="89"/>
        <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Let's! Revolution!</v>
      </c>
      <c r="B408">
        <f>IF($A408="","",games!$B408)</f>
        <v>2023</v>
      </c>
      <c r="C408" t="str">
        <f>IF($A408="","",games!$C408)</f>
        <v>Strategy</v>
      </c>
      <c r="D408">
        <f>IF($A408="","",COUNTIF(connections!$A$2:$A$1400,$A408)+COUNTIF(connections!$B$2:$B$1400,$A408))</f>
        <v>0</v>
      </c>
      <c r="E408">
        <f t="shared" si="78"/>
        <v>2</v>
      </c>
      <c r="F408">
        <f t="shared" si="79"/>
        <v>0</v>
      </c>
      <c r="G408" t="e">
        <f t="shared" si="80"/>
        <v>#N/A</v>
      </c>
      <c r="H408" t="e">
        <f t="shared" si="81"/>
        <v>#N/A</v>
      </c>
      <c r="I408">
        <f t="shared" si="82"/>
        <v>2023</v>
      </c>
      <c r="J408">
        <f t="shared" si="83"/>
        <v>2</v>
      </c>
      <c r="K408" t="e">
        <f t="shared" si="84"/>
        <v>#N/A</v>
      </c>
      <c r="L408" t="e">
        <f t="shared" si="85"/>
        <v>#N/A</v>
      </c>
      <c r="M408" t="e">
        <f t="shared" si="86"/>
        <v>#N/A</v>
      </c>
      <c r="N408" t="e">
        <f t="shared" si="87"/>
        <v>#N/A</v>
      </c>
      <c r="O408">
        <f t="shared" si="88"/>
        <v>4.08E-4</v>
      </c>
      <c r="P408" t="str">
        <f>IF(OR($A408="",games!$H408=""),"",games!$H408)</f>
        <v>Yes</v>
      </c>
      <c r="Q408">
        <f t="shared" si="89"/>
        <v>4.08E-4</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Linley's Dungeon Crawl</v>
      </c>
      <c r="B409">
        <f>IF($A409="","",games!$B409)</f>
        <v>1995</v>
      </c>
      <c r="C409" t="str">
        <f>IF($A409="","",games!$C409)</f>
        <v>Traditional</v>
      </c>
      <c r="D409">
        <f>IF($A409="","",COUNTIF(connections!$A$2:$A$1400,$A409)+COUNTIF(connections!$B$2:$B$1400,$A409))</f>
        <v>5</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1995</v>
      </c>
      <c r="N409">
        <f t="shared" si="87"/>
        <v>4.0229999999999997</v>
      </c>
      <c r="O409">
        <f t="shared" si="88"/>
        <v>5.0004090000000003</v>
      </c>
      <c r="P409" t="str">
        <f>IF(OR($A409="",games!$H409=""),"",games!$H409)</f>
        <v>Yes</v>
      </c>
      <c r="Q409">
        <f t="shared" si="89"/>
        <v>5.0004090000000003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 Ruin</v>
      </c>
      <c r="B410">
        <f>IF($A410="","",games!$B410)</f>
        <v>2023</v>
      </c>
      <c r="C410" t="str">
        <f>IF($A410="","",games!$C410)</f>
        <v>Action</v>
      </c>
      <c r="D410">
        <f>IF($A410="","",COUNTIF(connections!$A$2:$A$1400,$A410)+COUNTIF(connections!$B$2:$B$1400,$A410))</f>
        <v>3</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LoneStar</v>
      </c>
      <c r="B411">
        <f>IF($A411="","",games!$B411)</f>
        <v>2024</v>
      </c>
      <c r="C411" t="str">
        <f>IF($A411="","",games!$C411)</f>
        <v>Strategy</v>
      </c>
      <c r="D411">
        <f>IF($A411="","",COUNTIF(connections!$A$2:$A$1400,$A411)+COUNTIF(connections!$B$2:$B$1400,$A411))</f>
        <v>1</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Loop Hero</v>
      </c>
      <c r="B412">
        <f>IF($A412="","",games!$B412)</f>
        <v>2021</v>
      </c>
      <c r="C412" t="str">
        <f>IF($A412="","",games!$C412)</f>
        <v>Strategy</v>
      </c>
      <c r="D412">
        <f>IF($A412="","",COUNTIF(connections!$A$2:$A$1400,$A412)+COUNTIF(connections!$B$2:$B$1400,$A412))</f>
        <v>3</v>
      </c>
      <c r="E412">
        <f t="shared" si="78"/>
        <v>2</v>
      </c>
      <c r="F412">
        <f t="shared" si="79"/>
        <v>4</v>
      </c>
      <c r="G412" t="e">
        <f t="shared" si="80"/>
        <v>#N/A</v>
      </c>
      <c r="H412" t="e">
        <f t="shared" si="81"/>
        <v>#N/A</v>
      </c>
      <c r="I412">
        <f t="shared" si="82"/>
        <v>2021</v>
      </c>
      <c r="J412">
        <f t="shared" si="83"/>
        <v>2.0920000000000001</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Rascals</v>
      </c>
      <c r="B413">
        <f>IF($A413="","",games!$B413)</f>
        <v>2017</v>
      </c>
      <c r="C413" t="str">
        <f>IF($A413="","",games!$C413)</f>
        <v>Strategy</v>
      </c>
      <c r="D413">
        <f>IF($A413="","",COUNTIF(connections!$A$2:$A$1400,$A413)+COUNTIF(connections!$B$2:$B$1400,$A413))</f>
        <v>3</v>
      </c>
      <c r="E413">
        <f t="shared" si="78"/>
        <v>2</v>
      </c>
      <c r="F413">
        <f t="shared" si="79"/>
        <v>5</v>
      </c>
      <c r="G413" t="e">
        <f t="shared" si="80"/>
        <v>#N/A</v>
      </c>
      <c r="H413" t="e">
        <f t="shared" si="81"/>
        <v>#N/A</v>
      </c>
      <c r="I413">
        <f t="shared" si="82"/>
        <v>2017</v>
      </c>
      <c r="J413">
        <f t="shared" si="83"/>
        <v>2.1150000000000002</v>
      </c>
      <c r="K413" t="e">
        <f t="shared" si="84"/>
        <v>#N/A</v>
      </c>
      <c r="L413" t="e">
        <f t="shared" si="85"/>
        <v>#N/A</v>
      </c>
      <c r="M413" t="e">
        <f t="shared" si="86"/>
        <v>#N/A</v>
      </c>
      <c r="N413" t="e">
        <f t="shared" si="87"/>
        <v>#N/A</v>
      </c>
      <c r="O413">
        <f t="shared" si="88"/>
        <v>3.000413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 River</v>
      </c>
      <c r="B414">
        <f>IF($A414="","",games!$B414)</f>
        <v>2022</v>
      </c>
      <c r="C414" t="str">
        <f>IF($A414="","",games!$C414)</f>
        <v>Strategy</v>
      </c>
      <c r="D414">
        <f>IF($A414="","",COUNTIF(connections!$A$2:$A$1400,$A414)+COUNTIF(connections!$B$2:$B$1400,$A414))</f>
        <v>0</v>
      </c>
      <c r="E414">
        <f t="shared" si="78"/>
        <v>2</v>
      </c>
      <c r="F414">
        <f t="shared" si="79"/>
        <v>6</v>
      </c>
      <c r="G414" t="e">
        <f t="shared" si="80"/>
        <v>#N/A</v>
      </c>
      <c r="H414" t="e">
        <f t="shared" si="81"/>
        <v>#N/A</v>
      </c>
      <c r="I414">
        <f t="shared" si="82"/>
        <v>2022</v>
      </c>
      <c r="J414">
        <f t="shared" si="83"/>
        <v>2.1379999999999999</v>
      </c>
      <c r="K414" t="e">
        <f t="shared" si="84"/>
        <v>#N/A</v>
      </c>
      <c r="L414" t="e">
        <f t="shared" si="85"/>
        <v>#N/A</v>
      </c>
      <c r="M414" t="e">
        <f t="shared" si="86"/>
        <v>#N/A</v>
      </c>
      <c r="N414" t="e">
        <f t="shared" si="87"/>
        <v>#N/A</v>
      </c>
      <c r="O414">
        <f t="shared" si="88"/>
        <v>4.1399999999999998E-4</v>
      </c>
      <c r="P414" t="str">
        <f>IF(OR($A414="",games!$H414=""),"",games!$H414)</f>
        <v>Yes</v>
      </c>
      <c r="Q414">
        <f t="shared" si="89"/>
        <v>4.1399999999999998E-4</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Lootplot</v>
      </c>
      <c r="B415">
        <f>IF($A415="","",games!$B415)</f>
        <v>2025</v>
      </c>
      <c r="C415" t="str">
        <f>IF($A415="","",games!$C415)</f>
        <v>Strategy</v>
      </c>
      <c r="D415">
        <f>IF($A415="","",COUNTIF(connections!$A$2:$A$1400,$A415)+COUNTIF(connections!$B$2:$B$1400,$A415))</f>
        <v>2</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Lort</v>
      </c>
      <c r="B416">
        <f>IF($A416="","",games!$B416)</f>
        <v>2026</v>
      </c>
      <c r="C416" t="str">
        <f>IF($A416="","",games!$C416)</f>
        <v>Action</v>
      </c>
      <c r="D416">
        <f>IF($A416="","",COUNTIF(connections!$A$2:$A$1400,$A416)+COUNTIF(connections!$B$2:$B$1400,$A416))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Flame</v>
      </c>
      <c r="B417">
        <f>IF($A417="","",games!$B417)</f>
        <v>2019</v>
      </c>
      <c r="C417" t="str">
        <f>IF($A417="","",games!$C417)</f>
        <v>Traditional</v>
      </c>
      <c r="D417">
        <f>IF($A417="","",COUNTIF(connections!$A$2:$A$1400,$A417)+COUNTIF(connections!$B$2:$B$1400,$A417))</f>
        <v>2</v>
      </c>
      <c r="E417">
        <f t="shared" si="78"/>
        <v>4</v>
      </c>
      <c r="F417">
        <f t="shared" si="79"/>
        <v>9</v>
      </c>
      <c r="G417" t="e">
        <f t="shared" si="80"/>
        <v>#N/A</v>
      </c>
      <c r="H417" t="e">
        <f t="shared" si="81"/>
        <v>#N/A</v>
      </c>
      <c r="I417" t="e">
        <f t="shared" si="82"/>
        <v>#N/A</v>
      </c>
      <c r="J417" t="e">
        <f t="shared" si="83"/>
        <v>#N/A</v>
      </c>
      <c r="K417" t="e">
        <f t="shared" si="84"/>
        <v>#N/A</v>
      </c>
      <c r="L417" t="e">
        <f t="shared" si="85"/>
        <v>#N/A</v>
      </c>
      <c r="M417">
        <f t="shared" si="86"/>
        <v>2019</v>
      </c>
      <c r="N417">
        <f t="shared" si="87"/>
        <v>4.2069999999999999</v>
      </c>
      <c r="O417">
        <f t="shared" si="88"/>
        <v>2.0004170000000001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For Swords</v>
      </c>
      <c r="B418">
        <f>IF($A418="","",games!$B418)</f>
        <v>2023</v>
      </c>
      <c r="C418" t="str">
        <f>IF($A418="","",games!$C418)</f>
        <v>Deckbuilder</v>
      </c>
      <c r="D418">
        <f>IF($A418="","",COUNTIF(connections!$A$2:$A$1400,$A418)+COUNTIF(connections!$B$2:$B$1400,$A418))</f>
        <v>4</v>
      </c>
      <c r="E418">
        <f t="shared" si="78"/>
        <v>3</v>
      </c>
      <c r="F418">
        <f t="shared" si="79"/>
        <v>10</v>
      </c>
      <c r="G418" t="e">
        <f t="shared" si="80"/>
        <v>#N/A</v>
      </c>
      <c r="H418" t="e">
        <f t="shared" si="81"/>
        <v>#N/A</v>
      </c>
      <c r="I418" t="e">
        <f t="shared" si="82"/>
        <v>#N/A</v>
      </c>
      <c r="J418" t="e">
        <f t="shared" si="83"/>
        <v>#N/A</v>
      </c>
      <c r="K418">
        <f t="shared" si="84"/>
        <v>2023</v>
      </c>
      <c r="L418">
        <f t="shared" si="85"/>
        <v>3.23</v>
      </c>
      <c r="M418" t="e">
        <f t="shared" si="86"/>
        <v>#N/A</v>
      </c>
      <c r="N418" t="e">
        <f t="shared" si="87"/>
        <v>#N/A</v>
      </c>
      <c r="O418">
        <f t="shared" si="88"/>
        <v>4.0004179999999998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Fantaland</v>
      </c>
      <c r="B419">
        <f>IF($A419="","",games!$B419)</f>
        <v>2022</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2022</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in Random: The Eternal Die</v>
      </c>
      <c r="B420">
        <f>IF($A420="","",games!$B420)</f>
        <v>2025</v>
      </c>
      <c r="C420" t="str">
        <f>IF($A420="","",games!$C420)</f>
        <v>Action</v>
      </c>
      <c r="D420">
        <f>IF($A420="","",COUNTIF(connections!$A$2:$A$1400,$A420)+COUNTIF(connections!$B$2:$B$1400,$A420))</f>
        <v>1</v>
      </c>
      <c r="E420">
        <f t="shared" si="78"/>
        <v>1</v>
      </c>
      <c r="F420">
        <f t="shared" si="79"/>
        <v>12</v>
      </c>
      <c r="G420">
        <f t="shared" si="80"/>
        <v>2025</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Labyrinth</v>
      </c>
      <c r="B421">
        <f>IF($A421="","",games!$B421)</f>
        <v>2001</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2001</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&amp; Loot</v>
      </c>
      <c r="B422">
        <f>IF($A422="","",games!$B422)</f>
        <v>2024</v>
      </c>
      <c r="C422" t="str">
        <f>IF($A422="","",games!$C422)</f>
        <v>Deckbuilder</v>
      </c>
      <c r="D422">
        <f>IF($A422="","",COUNTIF(connections!$A$2:$A$1400,$A422)+COUNTIF(connections!$B$2:$B$1400,$A422))</f>
        <v>3</v>
      </c>
      <c r="E422">
        <f t="shared" si="78"/>
        <v>3</v>
      </c>
      <c r="F422">
        <f t="shared" si="79"/>
        <v>14</v>
      </c>
      <c r="G422" t="e">
        <f t="shared" si="80"/>
        <v>#N/A</v>
      </c>
      <c r="H422" t="e">
        <f t="shared" si="81"/>
        <v>#N/A</v>
      </c>
      <c r="I422" t="e">
        <f t="shared" si="82"/>
        <v>#N/A</v>
      </c>
      <c r="J422" t="e">
        <f t="shared" si="83"/>
        <v>#N/A</v>
      </c>
      <c r="K422">
        <f t="shared" si="84"/>
        <v>2024</v>
      </c>
      <c r="L422">
        <f t="shared" si="85"/>
        <v>3.3220000000000001</v>
      </c>
      <c r="M422" t="e">
        <f t="shared" si="86"/>
        <v>#N/A</v>
      </c>
      <c r="N422" t="e">
        <f t="shared" si="87"/>
        <v>#N/A</v>
      </c>
      <c r="O422">
        <f t="shared" si="88"/>
        <v>3.0004219999999999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 be a Landlord</v>
      </c>
      <c r="B423">
        <f>IF($A423="","",games!$B423)</f>
        <v>2021</v>
      </c>
      <c r="C423" t="str">
        <f>IF($A423="","",games!$C423)</f>
        <v>Deckbuilder</v>
      </c>
      <c r="D423">
        <f>IF($A423="","",COUNTIF(connections!$A$2:$A$1400,$A423)+COUNTIF(connections!$B$2:$B$1400,$A423))</f>
        <v>23</v>
      </c>
      <c r="E423">
        <f t="shared" si="78"/>
        <v>3</v>
      </c>
      <c r="F423">
        <f t="shared" si="79"/>
        <v>15</v>
      </c>
      <c r="G423" t="e">
        <f t="shared" si="80"/>
        <v>#N/A</v>
      </c>
      <c r="H423" t="e">
        <f t="shared" si="81"/>
        <v>#N/A</v>
      </c>
      <c r="I423" t="e">
        <f t="shared" si="82"/>
        <v>#N/A</v>
      </c>
      <c r="J423" t="e">
        <f t="shared" si="83"/>
        <v>#N/A</v>
      </c>
      <c r="K423">
        <f t="shared" si="84"/>
        <v>2021</v>
      </c>
      <c r="L423">
        <f t="shared" si="85"/>
        <v>3.3449999999999998</v>
      </c>
      <c r="M423" t="e">
        <f t="shared" si="86"/>
        <v>#N/A</v>
      </c>
      <c r="N423" t="e">
        <f t="shared" si="87"/>
        <v>#N/A</v>
      </c>
      <c r="O423">
        <f t="shared" si="88"/>
        <v>23.000423000000001</v>
      </c>
      <c r="P423" t="str">
        <f>IF(OR($A423="",games!$H423=""),"",games!$H423)</f>
        <v>Yes</v>
      </c>
      <c r="Q423">
        <f t="shared" si="89"/>
        <v>23.000423000000001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Hero</v>
      </c>
      <c r="B424">
        <f>IF($A424="","",games!$B424)</f>
        <v>2023</v>
      </c>
      <c r="C424" t="str">
        <f>IF($A424="","",games!$C424)</f>
        <v>Deckbuilder</v>
      </c>
      <c r="D424">
        <f>IF($A424="","",COUNTIF(connections!$A$2:$A$1400,$A424)+COUNTIF(connections!$B$2:$B$1400,$A424))</f>
        <v>1</v>
      </c>
      <c r="E424">
        <f t="shared" si="78"/>
        <v>3</v>
      </c>
      <c r="F424">
        <f t="shared" si="79"/>
        <v>16</v>
      </c>
      <c r="G424" t="e">
        <f t="shared" si="80"/>
        <v>#N/A</v>
      </c>
      <c r="H424" t="e">
        <f t="shared" si="81"/>
        <v>#N/A</v>
      </c>
      <c r="I424" t="e">
        <f t="shared" si="82"/>
        <v>#N/A</v>
      </c>
      <c r="J424" t="e">
        <f t="shared" si="83"/>
        <v>#N/A</v>
      </c>
      <c r="K424">
        <f t="shared" si="84"/>
        <v>2023</v>
      </c>
      <c r="L424">
        <f t="shared" si="85"/>
        <v>3.3679999999999999</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Lucky Shot</v>
      </c>
      <c r="B425">
        <f>IF($A425="","",games!$B425)</f>
        <v>2026</v>
      </c>
      <c r="C425" t="str">
        <f>IF($A425="","",games!$C425)</f>
        <v>Action</v>
      </c>
      <c r="D425">
        <f>IF($A425="","",COUNTIF(connections!$A$2:$A$1400,$A425)+COUNTIF(connections!$B$2:$B$1400,$A425))</f>
        <v>1</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Lunchbreak Tactics</v>
      </c>
      <c r="B426">
        <f>IF($A426="","",games!$B426)</f>
        <v>2026</v>
      </c>
      <c r="C426" t="str">
        <f>IF($A426="","",games!$C426)</f>
        <v>Strategy</v>
      </c>
      <c r="D426">
        <f>IF($A426="","",COUNTIF(connections!$A$2:$A$1400,$A426)+COUNTIF(connections!$B$2:$B$1400,$A426))</f>
        <v>1</v>
      </c>
      <c r="E426">
        <f t="shared" si="78"/>
        <v>2</v>
      </c>
      <c r="F426">
        <f t="shared" si="79"/>
        <v>18</v>
      </c>
      <c r="G426" t="e">
        <f t="shared" si="80"/>
        <v>#N/A</v>
      </c>
      <c r="H426" t="e">
        <f t="shared" si="81"/>
        <v>#N/A</v>
      </c>
      <c r="I426">
        <f t="shared" si="82"/>
        <v>2026</v>
      </c>
      <c r="J426">
        <f t="shared" si="83"/>
        <v>2.4140000000000001</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Mad King Redemption</v>
      </c>
      <c r="B427">
        <f>IF($A427="","",games!$B427)</f>
        <v>2026</v>
      </c>
      <c r="C427" t="str">
        <f>IF($A427="","",games!$C427)</f>
        <v>Action</v>
      </c>
      <c r="D427">
        <f>IF($A427="","",COUNTIF(connections!$A$2:$A$1400,$A427)+COUNTIF(connections!$B$2:$B$1400,$A427))</f>
        <v>0</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4.2700000000000002E-4</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 Survival</v>
      </c>
      <c r="B428">
        <f>IF($A428="","",games!$B428)</f>
        <v>2019</v>
      </c>
      <c r="C428" t="str">
        <f>IF($A428="","",games!$C428)</f>
        <v>Action</v>
      </c>
      <c r="D428">
        <f>IF($A428="","",COUNTIF(connections!$A$2:$A$1400,$A428)+COUNTIF(connections!$B$2:$B$1400,$A428))</f>
        <v>1</v>
      </c>
      <c r="E428">
        <f t="shared" si="78"/>
        <v>1</v>
      </c>
      <c r="F428">
        <f t="shared" si="79"/>
        <v>20</v>
      </c>
      <c r="G428">
        <f t="shared" si="80"/>
        <v>2019</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Magicraft</v>
      </c>
      <c r="B429">
        <f>IF($A429="","",games!$B429)</f>
        <v>2023</v>
      </c>
      <c r="C429" t="str">
        <f>IF($A429="","",games!$C429)</f>
        <v>Action</v>
      </c>
      <c r="D429">
        <f>IF($A429="","",COUNTIF(connections!$A$2:$A$1400,$A429)+COUNTIF(connections!$B$2:$B$1400,$A429))</f>
        <v>4</v>
      </c>
      <c r="E429">
        <f t="shared" si="78"/>
        <v>1</v>
      </c>
      <c r="F429">
        <f t="shared" si="79"/>
        <v>21</v>
      </c>
      <c r="G429">
        <f t="shared" si="80"/>
        <v>2023</v>
      </c>
      <c r="H429">
        <f t="shared" si="81"/>
        <v>1.4830000000000001</v>
      </c>
      <c r="I429" t="e">
        <f t="shared" si="82"/>
        <v>#N/A</v>
      </c>
      <c r="J429" t="e">
        <f t="shared" si="83"/>
        <v>#N/A</v>
      </c>
      <c r="K429" t="e">
        <f t="shared" si="84"/>
        <v>#N/A</v>
      </c>
      <c r="L429" t="e">
        <f t="shared" si="85"/>
        <v>#N/A</v>
      </c>
      <c r="M429" t="e">
        <f t="shared" si="86"/>
        <v>#N/A</v>
      </c>
      <c r="N429" t="e">
        <f t="shared" si="87"/>
        <v>#N/A</v>
      </c>
      <c r="O429">
        <f t="shared" si="88"/>
        <v>4.0004289999999996</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Maid Survivors: Little Angels</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Mainframe Defenders</v>
      </c>
      <c r="B431">
        <f>IF($A431="","",games!$B431)</f>
        <v>2020</v>
      </c>
      <c r="C431" t="str">
        <f>IF($A431="","",games!$C431)</f>
        <v>Traditional</v>
      </c>
      <c r="D431">
        <f>IF($A431="","",COUNTIF(connections!$A$2:$A$1400,$A431)+COUNTIF(connections!$B$2:$B$1400,$A431))</f>
        <v>1</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2020</v>
      </c>
      <c r="N431">
        <f t="shared" si="87"/>
        <v>4.5289999999999999</v>
      </c>
      <c r="O431">
        <f t="shared" si="88"/>
        <v>1.0004310000000001</v>
      </c>
      <c r="P431" t="str">
        <f>IF(OR($A431="",games!$H431=""),"",games!$H431)</f>
        <v>Yes</v>
      </c>
      <c r="Q431">
        <f t="shared" si="89"/>
        <v>1.0004310000000001</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Mana Spark</v>
      </c>
      <c r="B432">
        <f>IF($A432="","",games!$B432)</f>
        <v>2018</v>
      </c>
      <c r="C432" t="str">
        <f>IF($A432="","",games!$C432)</f>
        <v>Action</v>
      </c>
      <c r="D432">
        <f>IF($A432="","",COUNTIF(connections!$A$2:$A$1400,$A432)+COUNTIF(connections!$B$2:$B$1400,$A432))</f>
        <v>2</v>
      </c>
      <c r="E432">
        <f t="shared" si="78"/>
        <v>1</v>
      </c>
      <c r="F432">
        <f t="shared" si="79"/>
        <v>24</v>
      </c>
      <c r="G432">
        <f t="shared" si="80"/>
        <v>2018</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Masks of the Void: Origins</v>
      </c>
      <c r="B433">
        <f>IF($A433="","",games!$B433)</f>
        <v>2025</v>
      </c>
      <c r="C433" t="str">
        <f>IF($A433="","",games!$C433)</f>
        <v>Action</v>
      </c>
      <c r="D433">
        <f>IF($A433="","",COUNTIF(connections!$A$2:$A$1400,$A433)+COUNTIF(connections!$B$2:$B$1400,$A433))</f>
        <v>3</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3.0004330000000001</v>
      </c>
      <c r="P433" t="str">
        <f>IF(OR($A433="",games!$H433=""),"",games!$H433)</f>
        <v>Yes</v>
      </c>
      <c r="Q433">
        <f t="shared" si="89"/>
        <v>3.0004330000000001</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Master of Piece</v>
      </c>
      <c r="B434">
        <f>IF($A434="","",games!$B434)</f>
        <v>2026</v>
      </c>
      <c r="C434" t="str">
        <f>IF($A434="","",games!$C434)</f>
        <v>Deckbuilder</v>
      </c>
      <c r="D434">
        <f>IF($A434="","",COUNTIF(connections!$A$2:$A$1400,$A434)+COUNTIF(connections!$B$2:$B$1400,$A434))</f>
        <v>4</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4.0004340000000003</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Maze Mice</v>
      </c>
      <c r="B435">
        <f>IF($A435="","",games!$B435)</f>
        <v>2025</v>
      </c>
      <c r="C435" t="str">
        <f>IF($A435="","",games!$C435)</f>
        <v>Action</v>
      </c>
      <c r="D435">
        <f>IF($A435="","",COUNTIF(connections!$A$2:$A$1400,$A435)+COUNTIF(connections!$B$2:$B$1400,$A435))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Mechanibot</v>
      </c>
      <c r="B436">
        <f>IF($A436="","",games!$B436)</f>
        <v>2022</v>
      </c>
      <c r="C436" t="str">
        <f>IF($A436="","",games!$C436)</f>
        <v>Strategy</v>
      </c>
      <c r="D436">
        <f>IF($A436="","",COUNTIF(connections!$A$2:$A$1400,$A436)+COUNTIF(connections!$B$2:$B$1400,$A436))</f>
        <v>0</v>
      </c>
      <c r="E436">
        <f t="shared" si="78"/>
        <v>2</v>
      </c>
      <c r="F436">
        <f t="shared" si="79"/>
        <v>28</v>
      </c>
      <c r="G436" t="e">
        <f t="shared" si="80"/>
        <v>#N/A</v>
      </c>
      <c r="H436" t="e">
        <f t="shared" si="81"/>
        <v>#N/A</v>
      </c>
      <c r="I436">
        <f t="shared" si="82"/>
        <v>2022</v>
      </c>
      <c r="J436">
        <f t="shared" si="83"/>
        <v>2.6440000000000001</v>
      </c>
      <c r="K436" t="e">
        <f t="shared" si="84"/>
        <v>#N/A</v>
      </c>
      <c r="L436" t="e">
        <f t="shared" si="85"/>
        <v>#N/A</v>
      </c>
      <c r="M436" t="e">
        <f t="shared" si="86"/>
        <v>#N/A</v>
      </c>
      <c r="N436" t="e">
        <f t="shared" si="87"/>
        <v>#N/A</v>
      </c>
      <c r="O436">
        <f t="shared" si="88"/>
        <v>4.3600000000000003E-4</v>
      </c>
      <c r="P436" t="str">
        <f>IF(OR($A436="",games!$H436=""),"",games!$H436)</f>
        <v>Yes</v>
      </c>
      <c r="Q436">
        <f t="shared" si="89"/>
        <v>4.3600000000000003E-4</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Megabonk</v>
      </c>
      <c r="B437">
        <f>IF($A437="","",games!$B437)</f>
        <v>2025</v>
      </c>
      <c r="C437" t="str">
        <f>IF($A437="","",games!$C437)</f>
        <v>Action</v>
      </c>
      <c r="D437">
        <f>IF($A437="","",COUNTIF(connections!$A$2:$A$1400,$A437)+COUNTIF(connections!$B$2:$B$1400,$A437))</f>
        <v>4</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Meme Mayhem</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Menace from the Deep</v>
      </c>
      <c r="B439">
        <f>IF($A439="","",games!$B439)</f>
        <v>2024</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2024</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Menherarium</v>
      </c>
      <c r="B440">
        <f>IF($A440="","",games!$B440)</f>
        <v>2026</v>
      </c>
      <c r="C440" t="str">
        <f>IF($A440="","",games!$C440)</f>
        <v>Deckbuilder</v>
      </c>
      <c r="D440">
        <f>IF($A440="","",COUNTIF(connections!$A$2:$A$1400,$A440)+COUNTIF(connections!$B$2:$B$1400,$A440))</f>
        <v>2</v>
      </c>
      <c r="E440">
        <f t="shared" si="78"/>
        <v>3</v>
      </c>
      <c r="F440">
        <f t="shared" si="79"/>
        <v>32</v>
      </c>
      <c r="G440" t="e">
        <f t="shared" si="80"/>
        <v>#N/A</v>
      </c>
      <c r="H440" t="e">
        <f t="shared" si="81"/>
        <v>#N/A</v>
      </c>
      <c r="I440" t="e">
        <f t="shared" si="82"/>
        <v>#N/A</v>
      </c>
      <c r="J440" t="e">
        <f t="shared" si="83"/>
        <v>#N/A</v>
      </c>
      <c r="K440">
        <f t="shared" si="84"/>
        <v>2026</v>
      </c>
      <c r="L440">
        <f t="shared" si="85"/>
        <v>3.7359999999999998</v>
      </c>
      <c r="M440" t="e">
        <f t="shared" si="86"/>
        <v>#N/A</v>
      </c>
      <c r="N440" t="e">
        <f t="shared" si="87"/>
        <v>#N/A</v>
      </c>
      <c r="O440">
        <f t="shared" si="88"/>
        <v>2.0004400000000002</v>
      </c>
      <c r="P440" t="str">
        <f>IF(OR($A440="",games!$H440=""),"",games!$H440)</f>
        <v/>
      </c>
      <c r="Q440" t="str">
        <f t="shared" si="89"/>
        <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Merge Maestro</v>
      </c>
      <c r="B441">
        <f>IF($A441="","",games!$B441)</f>
        <v>2025</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2025</v>
      </c>
      <c r="L441">
        <f t="shared" si="85"/>
        <v>3.7589999999999999</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Slug Tactics</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 Unit</v>
      </c>
      <c r="B443">
        <f>IF($A443="","",games!$B443)</f>
        <v>2020</v>
      </c>
      <c r="C443" t="str">
        <f>IF($A443="","",games!$C443)</f>
        <v>Action</v>
      </c>
      <c r="D443">
        <f>IF($A443="","",COUNTIF(connections!$A$2:$A$1400,$A443)+COUNTIF(connections!$B$2:$B$1400,$A443))</f>
        <v>1</v>
      </c>
      <c r="E443">
        <f t="shared" si="78"/>
        <v>1</v>
      </c>
      <c r="F443">
        <f t="shared" si="79"/>
        <v>1</v>
      </c>
      <c r="G443">
        <f t="shared" si="80"/>
        <v>2020</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Metallic Child</v>
      </c>
      <c r="B444">
        <f>IF($A444="","",games!$B444)</f>
        <v>2021</v>
      </c>
      <c r="C444" t="str">
        <f>IF($A444="","",games!$C444)</f>
        <v>Action</v>
      </c>
      <c r="D444">
        <f>IF($A444="","",COUNTIF(connections!$A$2:$A$1400,$A444)+COUNTIF(connections!$B$2:$B$1400,$A444))</f>
        <v>0</v>
      </c>
      <c r="E444">
        <f t="shared" si="78"/>
        <v>1</v>
      </c>
      <c r="F444">
        <f t="shared" si="79"/>
        <v>2</v>
      </c>
      <c r="G444">
        <f t="shared" si="80"/>
        <v>2021</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Yes</v>
      </c>
      <c r="Q444">
        <f t="shared" si="89"/>
        <v>4.44E-4</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Mewgenics</v>
      </c>
      <c r="B445">
        <f>IF($A445="","",games!$B445)</f>
        <v>2026</v>
      </c>
      <c r="C445" t="str">
        <f>IF($A445="","",games!$C445)</f>
        <v>Strategy</v>
      </c>
      <c r="D445">
        <f>IF($A445="","",COUNTIF(connections!$A$2:$A$1400,$A445)+COUNTIF(connections!$B$2:$B$1400,$A445))</f>
        <v>2</v>
      </c>
      <c r="E445">
        <f t="shared" si="78"/>
        <v>2</v>
      </c>
      <c r="F445">
        <f t="shared" si="79"/>
        <v>3</v>
      </c>
      <c r="G445" t="e">
        <f t="shared" si="80"/>
        <v>#N/A</v>
      </c>
      <c r="H445" t="e">
        <f t="shared" si="81"/>
        <v>#N/A</v>
      </c>
      <c r="I445">
        <f t="shared" si="82"/>
        <v>2026</v>
      </c>
      <c r="J445">
        <f t="shared" si="83"/>
        <v>2.069</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Million Depth</v>
      </c>
      <c r="B446">
        <f>IF($A446="","",games!$B446)</f>
        <v>2025</v>
      </c>
      <c r="C446" t="str">
        <f>IF($A446="","",games!$C446)</f>
        <v>Action</v>
      </c>
      <c r="D446">
        <f>IF($A446="","",COUNTIF(connections!$A$2:$A$1400,$A446)+COUNTIF(connections!$B$2:$B$1400,$A446))</f>
        <v>0</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4.46E-4</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Mimic Logic</v>
      </c>
      <c r="B447">
        <f>IF($A447="","",games!$B447)</f>
        <v>2024</v>
      </c>
      <c r="C447" t="str">
        <f>IF($A447="","",games!$C447)</f>
        <v>Strategy</v>
      </c>
      <c r="D447">
        <f>IF($A447="","",COUNTIF(connections!$A$2:$A$1400,$A447)+COUNTIF(connections!$B$2:$B$1400,$A447))</f>
        <v>1</v>
      </c>
      <c r="E447">
        <f t="shared" si="78"/>
        <v>2</v>
      </c>
      <c r="F447">
        <f t="shared" si="79"/>
        <v>5</v>
      </c>
      <c r="G447" t="e">
        <f t="shared" si="80"/>
        <v>#N/A</v>
      </c>
      <c r="H447" t="e">
        <f t="shared" si="81"/>
        <v>#N/A</v>
      </c>
      <c r="I447">
        <f t="shared" si="82"/>
        <v>2024</v>
      </c>
      <c r="J447">
        <f t="shared" si="83"/>
        <v>2.1150000000000002</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Chou Party: Sanae to Tenshi no Gensou Labyrinth</v>
      </c>
      <c r="B448">
        <f>IF($A448="","",games!$B448)</f>
        <v>2012</v>
      </c>
      <c r="C448" t="str">
        <f>IF($A448="","",games!$C448)</f>
        <v>Traditional</v>
      </c>
      <c r="D448">
        <f>IF($A448="","",COUNTIF(connections!$A$2:$A$1400,$A448)+COUNTIF(connections!$B$2:$B$1400,$A448))</f>
        <v>2</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2012</v>
      </c>
      <c r="N448">
        <f t="shared" si="87"/>
        <v>4.1379999999999999</v>
      </c>
      <c r="O448">
        <f t="shared" si="88"/>
        <v>2.000448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Miracle Party: Fushigi no Gensoukyou 2</v>
      </c>
      <c r="B449">
        <f>IF($A449="","",games!$B449)</f>
        <v>2011</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2011</v>
      </c>
      <c r="N449">
        <f t="shared" si="87"/>
        <v>4.1609999999999996</v>
      </c>
      <c r="O449">
        <f t="shared" si="88"/>
        <v>3.0004490000000001</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Mission: Thunderbolt</v>
      </c>
      <c r="B450">
        <f>IF($A450="","",games!$B450)</f>
        <v>1987</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1987</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Mistrogue: Mist and the Living Dungeons</v>
      </c>
      <c r="B451">
        <f>IF($A451="","",games!$B451)</f>
        <v>2023</v>
      </c>
      <c r="C451" t="str">
        <f>IF($A451="","",games!$C451)</f>
        <v>Action</v>
      </c>
      <c r="D451">
        <f>IF($A451="","",COUNTIF(connections!$A$2:$A$1400,$A451)+COUNTIF(connections!$B$2:$B$1400,$A451))</f>
        <v>1</v>
      </c>
      <c r="E451">
        <f t="shared" si="91"/>
        <v>1</v>
      </c>
      <c r="F451">
        <f t="shared" si="92"/>
        <v>9</v>
      </c>
      <c r="G451">
        <f t="shared" si="93"/>
        <v>2023</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Mobmania</v>
      </c>
      <c r="B452">
        <f>IF($A452="","",games!$B452)</f>
        <v>2022</v>
      </c>
      <c r="C452" t="str">
        <f>IF($A452="","",games!$C452)</f>
        <v>Action</v>
      </c>
      <c r="D452">
        <f>IF($A452="","",COUNTIF(connections!$A$2:$A$1400,$A452)+COUNTIF(connections!$B$2:$B$1400,$A452))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Monmusu Gladiator</v>
      </c>
      <c r="B453">
        <f>IF($A453="","",games!$B453)</f>
        <v>2021</v>
      </c>
      <c r="C453" t="str">
        <f>IF($A453="","",games!$C453)</f>
        <v>Deckbuilder</v>
      </c>
      <c r="D453">
        <f>IF($A453="","",COUNTIF(connections!$A$2:$A$1400,$A453)+COUNTIF(connections!$B$2:$B$1400,$A453))</f>
        <v>1</v>
      </c>
      <c r="E453">
        <f t="shared" si="91"/>
        <v>3</v>
      </c>
      <c r="F453">
        <f t="shared" si="92"/>
        <v>11</v>
      </c>
      <c r="G453" t="e">
        <f t="shared" si="93"/>
        <v>#N/A</v>
      </c>
      <c r="H453" t="e">
        <f t="shared" si="94"/>
        <v>#N/A</v>
      </c>
      <c r="I453" t="e">
        <f t="shared" si="95"/>
        <v>#N/A</v>
      </c>
      <c r="J453" t="e">
        <f t="shared" si="96"/>
        <v>#N/A</v>
      </c>
      <c r="K453">
        <f t="shared" si="97"/>
        <v>2021</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v>
      </c>
      <c r="B454">
        <f>IF($A454="","",games!$B454)</f>
        <v>2002</v>
      </c>
      <c r="C454" t="str">
        <f>IF($A454="","",games!$C454)</f>
        <v>Traditional</v>
      </c>
      <c r="D454">
        <f>IF($A454="","",COUNTIF(connections!$A$2:$A$1400,$A454)+COUNTIF(connections!$B$2:$B$1400,$A454))</f>
        <v>3</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2002</v>
      </c>
      <c r="N454">
        <f t="shared" si="100"/>
        <v>4.2759999999999998</v>
      </c>
      <c r="O454">
        <f t="shared" si="101"/>
        <v>3.000454</v>
      </c>
      <c r="P454" t="str">
        <f>IF(OR($A454="",games!$H454=""),"",games!$H454)</f>
        <v>Yes</v>
      </c>
      <c r="Q454">
        <f t="shared" si="102"/>
        <v>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Gate: Ooinaru Dungeon - Fuuin no Orb</v>
      </c>
      <c r="B455">
        <f>IF($A455="","",games!$B455)</f>
        <v>2003</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2003</v>
      </c>
      <c r="N455">
        <f t="shared" si="100"/>
        <v>4.2990000000000004</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v>
      </c>
      <c r="B456">
        <f>IF($A456="","",games!$B456)</f>
        <v>2020</v>
      </c>
      <c r="C456" t="str">
        <f>IF($A456="","",games!$C456)</f>
        <v>Traditional</v>
      </c>
      <c r="D456">
        <f>IF($A456="","",COUNTIF(connections!$A$2:$A$1400,$A456)+COUNTIF(connections!$B$2:$B$1400,$A456))</f>
        <v>2</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2020</v>
      </c>
      <c r="N456">
        <f t="shared" si="100"/>
        <v>4.3220000000000001</v>
      </c>
      <c r="O456">
        <f t="shared" si="101"/>
        <v>2.0004559999999998</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Girls and the Mysterious Adventure 2</v>
      </c>
      <c r="B457">
        <f>IF($A457="","",games!$B457)</f>
        <v>2022</v>
      </c>
      <c r="C457" t="str">
        <f>IF($A457="","",games!$C457)</f>
        <v>Traditional</v>
      </c>
      <c r="D457">
        <f>IF($A457="","",COUNTIF(connections!$A$2:$A$1400,$A457)+COUNTIF(connections!$B$2:$B$1400,$A457))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2022</v>
      </c>
      <c r="N457">
        <f t="shared" si="100"/>
        <v>4.3449999999999998</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Slayers</v>
      </c>
      <c r="B458">
        <f>IF($A458="","",games!$B458)</f>
        <v>2017</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2017</v>
      </c>
      <c r="L458">
        <f t="shared" si="98"/>
        <v>3.3679999999999999</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v>
      </c>
      <c r="B459">
        <f>IF($A459="","",games!$B459)</f>
        <v>2020</v>
      </c>
      <c r="C459" t="str">
        <f>IF($A459="","",games!$C459)</f>
        <v>Deckbuilder</v>
      </c>
      <c r="D459">
        <f>IF($A459="","",COUNTIF(connections!$A$2:$A$1400,$A459)+COUNTIF(connections!$B$2:$B$1400,$A459))</f>
        <v>13</v>
      </c>
      <c r="E459">
        <f t="shared" si="91"/>
        <v>3</v>
      </c>
      <c r="F459">
        <f t="shared" si="92"/>
        <v>17</v>
      </c>
      <c r="G459" t="e">
        <f t="shared" si="93"/>
        <v>#N/A</v>
      </c>
      <c r="H459" t="e">
        <f t="shared" si="94"/>
        <v>#N/A</v>
      </c>
      <c r="I459" t="e">
        <f t="shared" si="95"/>
        <v>#N/A</v>
      </c>
      <c r="J459" t="e">
        <f t="shared" si="96"/>
        <v>#N/A</v>
      </c>
      <c r="K459">
        <f t="shared" si="97"/>
        <v>2020</v>
      </c>
      <c r="L459">
        <f t="shared" si="98"/>
        <v>3.391</v>
      </c>
      <c r="M459" t="e">
        <f t="shared" si="99"/>
        <v>#N/A</v>
      </c>
      <c r="N459" t="e">
        <f t="shared" si="100"/>
        <v>#N/A</v>
      </c>
      <c r="O459">
        <f t="shared" si="101"/>
        <v>13.000458999999999</v>
      </c>
      <c r="P459" t="str">
        <f>IF(OR($A459="",games!$H459=""),"",games!$H459)</f>
        <v>Yes</v>
      </c>
      <c r="Q459">
        <f t="shared" si="102"/>
        <v>13.000458999999999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Train 2</v>
      </c>
      <c r="B460">
        <f>IF($A460="","",games!$B460)</f>
        <v>2025</v>
      </c>
      <c r="C460" t="str">
        <f>IF($A460="","",games!$C460)</f>
        <v>Deckbuilder</v>
      </c>
      <c r="D460">
        <f>IF($A460="","",COUNTIF(connections!$A$2:$A$1400,$A460)+COUNTIF(connections!$B$2:$B$1400,$A460))</f>
        <v>1</v>
      </c>
      <c r="E460">
        <f t="shared" si="91"/>
        <v>3</v>
      </c>
      <c r="F460">
        <f t="shared" si="92"/>
        <v>18</v>
      </c>
      <c r="G460" t="e">
        <f t="shared" si="93"/>
        <v>#N/A</v>
      </c>
      <c r="H460" t="e">
        <f t="shared" si="94"/>
        <v>#N/A</v>
      </c>
      <c r="I460" t="e">
        <f t="shared" si="95"/>
        <v>#N/A</v>
      </c>
      <c r="J460" t="e">
        <f t="shared" si="96"/>
        <v>#N/A</v>
      </c>
      <c r="K460">
        <f t="shared" si="97"/>
        <v>2025</v>
      </c>
      <c r="L460">
        <f t="shared" si="98"/>
        <v>3.4140000000000001</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Monsters are Coming!</v>
      </c>
      <c r="B461">
        <f>IF($A461="","",games!$B461)</f>
        <v>2025</v>
      </c>
      <c r="C461" t="str">
        <f>IF($A461="","",games!$C461)</f>
        <v>Action</v>
      </c>
      <c r="D461">
        <f>IF($A461="","",COUNTIF(connections!$A$2:$A$1400,$A461)+COUNTIF(connections!$B$2:$B$1400,$A461))</f>
        <v>2</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Monstrum</v>
      </c>
      <c r="B462">
        <f>IF($A462="","",games!$B462)</f>
        <v>2015</v>
      </c>
      <c r="C462" t="str">
        <f>IF($A462="","",games!$C462)</f>
        <v>Action</v>
      </c>
      <c r="D462">
        <f>IF($A462="","",COUNTIF(connections!$A$2:$A$1400,$A462)+COUNTIF(connections!$B$2:$B$1400,$A462))</f>
        <v>3</v>
      </c>
      <c r="E462">
        <f t="shared" si="91"/>
        <v>1</v>
      </c>
      <c r="F462">
        <f t="shared" si="92"/>
        <v>20</v>
      </c>
      <c r="G462">
        <f t="shared" si="93"/>
        <v>2015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Montabi</v>
      </c>
      <c r="B463">
        <f>IF($A463="","",games!$B463)</f>
        <v>2026</v>
      </c>
      <c r="C463" t="str">
        <f>IF($A463="","",games!$C463)</f>
        <v>Deckbuilder</v>
      </c>
      <c r="D463">
        <f>IF($A463="","",COUNTIF(connections!$A$2:$A$1400,$A463)+COUNTIF(connections!$B$2:$B$1400,$A463))</f>
        <v>3</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3.0004629999999999</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Hunters</v>
      </c>
      <c r="B464">
        <f>IF($A464="","",games!$B464)</f>
        <v>2016</v>
      </c>
      <c r="C464" t="str">
        <f>IF($A464="","",games!$C464)</f>
        <v>Action</v>
      </c>
      <c r="D464">
        <f>IF($A464="","",COUNTIF(connections!$A$2:$A$1400,$A464)+COUNTIF(connections!$B$2:$B$1400,$A464))</f>
        <v>1</v>
      </c>
      <c r="E464">
        <f t="shared" si="91"/>
        <v>1</v>
      </c>
      <c r="F464">
        <f t="shared" si="92"/>
        <v>22</v>
      </c>
      <c r="G464">
        <f t="shared" si="93"/>
        <v>2016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 Watch</v>
      </c>
      <c r="B465">
        <f>IF($A465="","",games!$B465)</f>
        <v>2024</v>
      </c>
      <c r="C465" t="str">
        <f>IF($A465="","",games!$C465)</f>
        <v>Action</v>
      </c>
      <c r="D465">
        <f>IF($A465="","",COUNTIF(connections!$A$2:$A$1400,$A465)+COUNTIF(connections!$B$2:$B$1400,$A465))</f>
        <v>1</v>
      </c>
      <c r="E465">
        <f t="shared" si="91"/>
        <v>1</v>
      </c>
      <c r="F465">
        <f t="shared" si="92"/>
        <v>23</v>
      </c>
      <c r="G465">
        <f t="shared" si="93"/>
        <v>2024</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v>
      </c>
      <c r="B466">
        <f>IF($A466="","",games!$B466)</f>
        <v>2018</v>
      </c>
      <c r="C466" t="str">
        <f>IF($A466="","",games!$C466)</f>
        <v>Action</v>
      </c>
      <c r="D466">
        <f>IF($A466="","",COUNTIF(connections!$A$2:$A$1400,$A466)+COUNTIF(connections!$B$2:$B$1400,$A466))</f>
        <v>4</v>
      </c>
      <c r="E466">
        <f t="shared" si="91"/>
        <v>1</v>
      </c>
      <c r="F466">
        <f t="shared" si="92"/>
        <v>24</v>
      </c>
      <c r="G466">
        <f t="shared" si="93"/>
        <v>2018</v>
      </c>
      <c r="H466">
        <f t="shared" si="94"/>
        <v>1.552</v>
      </c>
      <c r="I466" t="e">
        <f t="shared" si="95"/>
        <v>#N/A</v>
      </c>
      <c r="J466" t="e">
        <f t="shared" si="96"/>
        <v>#N/A</v>
      </c>
      <c r="K466" t="e">
        <f t="shared" si="97"/>
        <v>#N/A</v>
      </c>
      <c r="L466" t="e">
        <f t="shared" si="98"/>
        <v>#N/A</v>
      </c>
      <c r="M466" t="e">
        <f t="shared" si="99"/>
        <v>#N/A</v>
      </c>
      <c r="N466" t="e">
        <f t="shared" si="100"/>
        <v>#N/A</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Moonlighter 2: The Endless Vault</v>
      </c>
      <c r="B467">
        <f>IF($A467="","",games!$B467)</f>
        <v>2025</v>
      </c>
      <c r="C467" t="str">
        <f>IF($A467="","",games!$C467)</f>
        <v>Action</v>
      </c>
      <c r="D467">
        <f>IF($A467="","",COUNTIF(connections!$A$2:$A$1400,$A467)+COUNTIF(connections!$B$2:$B$1400,$A467))</f>
        <v>1</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Moonring</v>
      </c>
      <c r="B468">
        <f>IF($A468="","",games!$B468)</f>
        <v>2023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Morbid Metal</v>
      </c>
      <c r="B469">
        <f>IF($A469="","",games!$B469)</f>
        <v>2026</v>
      </c>
      <c r="C469" t="str">
        <f>IF($A469="","",games!$C469)</f>
        <v>Action</v>
      </c>
      <c r="D469">
        <f>IF($A469="","",COUNTIF(connections!$A$2:$A$1400,$A469)+COUNTIF(connections!$B$2:$B$1400,$A469))</f>
        <v>1</v>
      </c>
      <c r="E469">
        <f t="shared" si="91"/>
        <v>1</v>
      </c>
      <c r="F469">
        <f t="shared" si="92"/>
        <v>27</v>
      </c>
      <c r="G469">
        <f t="shared" si="93"/>
        <v>2026</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Moria</v>
      </c>
      <c r="B470">
        <f>IF($A470="","",games!$B470)</f>
        <v>1983</v>
      </c>
      <c r="C470" t="str">
        <f>IF($A470="","",games!$C470)</f>
        <v>Traditional</v>
      </c>
      <c r="D470">
        <f>IF($A470="","",COUNTIF(connections!$A$2:$A$1400,$A470)+COUNTIF(connections!$B$2:$B$1400,$A470))</f>
        <v>4</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1983</v>
      </c>
      <c r="N470">
        <f t="shared" si="100"/>
        <v>4.6440000000000001</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Morimens</v>
      </c>
      <c r="B471">
        <f>IF($A471="","",games!$B471)</f>
        <v>2024</v>
      </c>
      <c r="C471" t="str">
        <f>IF($A471="","",games!$C471)</f>
        <v>Deckbuilder</v>
      </c>
      <c r="D471">
        <f>IF($A471="","",COUNTIF(connections!$A$2:$A$1400,$A471)+COUNTIF(connections!$B$2:$B$1400,$A471))</f>
        <v>1</v>
      </c>
      <c r="E471">
        <f t="shared" si="91"/>
        <v>3</v>
      </c>
      <c r="F471">
        <f t="shared" si="92"/>
        <v>29</v>
      </c>
      <c r="G471" t="e">
        <f t="shared" si="93"/>
        <v>#N/A</v>
      </c>
      <c r="H471" t="e">
        <f t="shared" si="94"/>
        <v>#N/A</v>
      </c>
      <c r="I471" t="e">
        <f t="shared" si="95"/>
        <v>#N/A</v>
      </c>
      <c r="J471" t="e">
        <f t="shared" si="96"/>
        <v>#N/A</v>
      </c>
      <c r="K471">
        <f t="shared" si="97"/>
        <v>2024</v>
      </c>
      <c r="L471">
        <f t="shared" si="98"/>
        <v>3.6669999999999998</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Morsels</v>
      </c>
      <c r="B472">
        <f>IF($A472="","",games!$B472)</f>
        <v>2025</v>
      </c>
      <c r="C472" t="str">
        <f>IF($A472="","",games!$C472)</f>
        <v>Action</v>
      </c>
      <c r="D472">
        <f>IF($A472="","",COUNTIF(connections!$A$2:$A$1400,$A472)+COUNTIF(connections!$B$2:$B$1400,$A472))</f>
        <v>0</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4.7199999999999998E-4</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Mortal Sin</v>
      </c>
      <c r="B473">
        <f>IF($A473="","",games!$B473)</f>
        <v>2023</v>
      </c>
      <c r="C473" t="str">
        <f>IF($A473="","",games!$C473)</f>
        <v>Action</v>
      </c>
      <c r="D473">
        <f>IF($A473="","",COUNTIF(connections!$A$2:$A$1400,$A473)+COUNTIF(connections!$B$2:$B$1400,$A473))</f>
        <v>2</v>
      </c>
      <c r="E473">
        <f t="shared" si="91"/>
        <v>1</v>
      </c>
      <c r="F473">
        <f t="shared" si="92"/>
        <v>31</v>
      </c>
      <c r="G473">
        <f t="shared" si="93"/>
        <v>2023</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v>
      </c>
      <c r="B474">
        <f>IF($A474="","",games!$B474)</f>
        <v>2018</v>
      </c>
      <c r="C474" t="str">
        <f>IF($A474="","",games!$C474)</f>
        <v>Action</v>
      </c>
      <c r="D474">
        <f>IF($A474="","",COUNTIF(connections!$A$2:$A$1400,$A474)+COUNTIF(connections!$B$2:$B$1400,$A474))</f>
        <v>2</v>
      </c>
      <c r="E474">
        <f t="shared" si="91"/>
        <v>1</v>
      </c>
      <c r="F474">
        <f t="shared" si="92"/>
        <v>32</v>
      </c>
      <c r="G474">
        <f t="shared" si="93"/>
        <v>2018</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Mothergunship: Forge</v>
      </c>
      <c r="B475">
        <f>IF($A475="","",games!$B475)</f>
        <v>2022</v>
      </c>
      <c r="C475" t="str">
        <f>IF($A475="","",games!$C475)</f>
        <v>Action</v>
      </c>
      <c r="D475">
        <f>IF($A475="","",COUNTIF(connections!$A$2:$A$1400,$A475)+COUNTIF(connections!$B$2:$B$1400,$A475))</f>
        <v>1</v>
      </c>
      <c r="E475">
        <f t="shared" si="91"/>
        <v>1</v>
      </c>
      <c r="F475">
        <f t="shared" si="92"/>
        <v>33</v>
      </c>
      <c r="G475">
        <f t="shared" si="93"/>
        <v>2022</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Motto!? Fushigi no Gensoukyou: Under the Moonlight</v>
      </c>
      <c r="B476">
        <f>IF($A476="","",games!$B476)</f>
        <v>2011</v>
      </c>
      <c r="C476" t="str">
        <f>IF($A476="","",games!$C476)</f>
        <v>Traditional</v>
      </c>
      <c r="D476">
        <f>IF($A476="","",COUNTIF(connections!$A$2:$A$1400,$A476)+COUNTIF(connections!$B$2:$B$1400,$A476))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2.0004759999999999</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Mr. Sun's Hatbox</v>
      </c>
      <c r="B477">
        <f>IF($A477="","",games!$B477)</f>
        <v>2023</v>
      </c>
      <c r="C477" t="str">
        <f>IF($A477="","",games!$C477)</f>
        <v>Action</v>
      </c>
      <c r="D477">
        <f>IF($A477="","",COUNTIF(connections!$A$2:$A$1400,$A477)+COUNTIF(connections!$B$2:$B$1400,$A477))</f>
        <v>1</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Muck</v>
      </c>
      <c r="B478">
        <f>IF($A478="","",games!$B478)</f>
        <v>2021</v>
      </c>
      <c r="C478" t="str">
        <f>IF($A478="","",games!$C478)</f>
        <v>Action</v>
      </c>
      <c r="D478">
        <f>IF($A478="","",COUNTIF(connections!$A$2:$A$1400,$A478)+COUNTIF(connections!$B$2:$B$1400,$A478))</f>
        <v>3</v>
      </c>
      <c r="E478">
        <f t="shared" si="91"/>
        <v>1</v>
      </c>
      <c r="F478">
        <f t="shared" si="92"/>
        <v>2</v>
      </c>
      <c r="G478">
        <f t="shared" si="93"/>
        <v>2021</v>
      </c>
      <c r="H478">
        <f t="shared" si="94"/>
        <v>1.046</v>
      </c>
      <c r="I478" t="e">
        <f t="shared" si="95"/>
        <v>#N/A</v>
      </c>
      <c r="J478" t="e">
        <f t="shared" si="96"/>
        <v>#N/A</v>
      </c>
      <c r="K478" t="e">
        <f t="shared" si="97"/>
        <v>#N/A</v>
      </c>
      <c r="L478" t="e">
        <f t="shared" si="98"/>
        <v>#N/A</v>
      </c>
      <c r="M478" t="e">
        <f t="shared" si="99"/>
        <v>#N/A</v>
      </c>
      <c r="N478" t="e">
        <f t="shared" si="100"/>
        <v>#N/A</v>
      </c>
      <c r="O478">
        <f t="shared" si="101"/>
        <v>3.0004780000000002</v>
      </c>
      <c r="P478" t="str">
        <f>IF(OR($A478="",games!$H478=""),"",games!$H478)</f>
        <v>Yes</v>
      </c>
      <c r="Q478">
        <f t="shared" si="102"/>
        <v>3.0004780000000002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 Card Is Better Than Your Card!</v>
      </c>
      <c r="B479">
        <f>IF($A479="","",games!$B479)</f>
        <v>2025</v>
      </c>
      <c r="C479" t="str">
        <f>IF($A479="","",games!$C479)</f>
        <v>Deckbuilder</v>
      </c>
      <c r="D479">
        <f>IF($A479="","",COUNTIF(connections!$A$2:$A$1400,$A479)+COUNTIF(connections!$B$2:$B$1400,$A479))</f>
        <v>1</v>
      </c>
      <c r="E479">
        <f t="shared" si="91"/>
        <v>3</v>
      </c>
      <c r="F479">
        <f t="shared" si="92"/>
        <v>3</v>
      </c>
      <c r="G479" t="e">
        <f t="shared" si="93"/>
        <v>#N/A</v>
      </c>
      <c r="H479" t="e">
        <f t="shared" si="94"/>
        <v>#N/A</v>
      </c>
      <c r="I479" t="e">
        <f t="shared" si="95"/>
        <v>#N/A</v>
      </c>
      <c r="J479" t="e">
        <f t="shared" si="96"/>
        <v>#N/A</v>
      </c>
      <c r="K479">
        <f t="shared" si="97"/>
        <v>2025</v>
      </c>
      <c r="L479">
        <f t="shared" si="98"/>
        <v>3.069</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Chronicle: One Way Heroics</v>
      </c>
      <c r="B480">
        <f>IF($A480="","",games!$B480)</f>
        <v>2016</v>
      </c>
      <c r="C480" t="str">
        <f>IF($A480="","",games!$C480)</f>
        <v>Traditional</v>
      </c>
      <c r="D480">
        <f>IF($A480="","",COUNTIF(connections!$A$2:$A$1400,$A480)+COUNTIF(connections!$B$2:$B$1400,$A480))</f>
        <v>1</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2016</v>
      </c>
      <c r="N480">
        <f t="shared" si="100"/>
        <v>4.0919999999999996</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Mystery Dungeon 2: Shiren the Wanderer</v>
      </c>
      <c r="B481">
        <f>IF($A481="","",games!$B481)</f>
        <v>1995</v>
      </c>
      <c r="C481" t="str">
        <f>IF($A481="","",games!$C481)</f>
        <v>Traditional</v>
      </c>
      <c r="D481">
        <f>IF($A481="","",COUNTIF(connections!$A$2:$A$1400,$A481)+COUNTIF(connections!$B$2:$B$1400,$A481))</f>
        <v>9</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1995</v>
      </c>
      <c r="N481">
        <f t="shared" si="100"/>
        <v>4.1150000000000002</v>
      </c>
      <c r="O481">
        <f t="shared" si="101"/>
        <v>9.0004810000000006</v>
      </c>
      <c r="P481" t="str">
        <f>IF(OR($A481="",games!$H481=""),"",games!$H481)</f>
        <v>Yes</v>
      </c>
      <c r="Q481">
        <f t="shared" si="102"/>
        <v>9.0004810000000006</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Mythical Concept Starnaut</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Nadir</v>
      </c>
      <c r="B483">
        <f>IF($A483="","",games!$B483)</f>
        <v>2022</v>
      </c>
      <c r="C483" t="str">
        <f>IF($A483="","",games!$C483)</f>
        <v>Deckbuilder</v>
      </c>
      <c r="D483">
        <f>IF($A483="","",COUNTIF(connections!$A$2:$A$1400,$A483)+COUNTIF(connections!$B$2:$B$1400,$A483))</f>
        <v>2</v>
      </c>
      <c r="E483">
        <f t="shared" si="91"/>
        <v>3</v>
      </c>
      <c r="F483">
        <f t="shared" si="92"/>
        <v>7</v>
      </c>
      <c r="G483" t="e">
        <f t="shared" si="93"/>
        <v>#N/A</v>
      </c>
      <c r="H483" t="e">
        <f t="shared" si="94"/>
        <v>#N/A</v>
      </c>
      <c r="I483" t="e">
        <f t="shared" si="95"/>
        <v>#N/A</v>
      </c>
      <c r="J483" t="e">
        <f t="shared" si="96"/>
        <v>#N/A</v>
      </c>
      <c r="K483">
        <f t="shared" si="97"/>
        <v>2022</v>
      </c>
      <c r="L483">
        <f t="shared" si="98"/>
        <v>3.161</v>
      </c>
      <c r="M483" t="e">
        <f t="shared" si="99"/>
        <v>#N/A</v>
      </c>
      <c r="N483" t="e">
        <f t="shared" si="100"/>
        <v>#N/A</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NecroBouncer</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Necroking</v>
      </c>
      <c r="B485">
        <f>IF($A485="","",games!$B485)</f>
        <v>2024</v>
      </c>
      <c r="C485" t="str">
        <f>IF($A485="","",games!$C485)</f>
        <v>Strategy</v>
      </c>
      <c r="D485">
        <f>IF($A485="","",COUNTIF(connections!$A$2:$A$1400,$A485)+COUNTIF(connections!$B$2:$B$1400,$A485))</f>
        <v>0</v>
      </c>
      <c r="E485">
        <f t="shared" si="91"/>
        <v>2</v>
      </c>
      <c r="F485">
        <f t="shared" si="92"/>
        <v>9</v>
      </c>
      <c r="G485" t="e">
        <f t="shared" si="93"/>
        <v>#N/A</v>
      </c>
      <c r="H485" t="e">
        <f t="shared" si="94"/>
        <v>#N/A</v>
      </c>
      <c r="I485">
        <f t="shared" si="95"/>
        <v>2024</v>
      </c>
      <c r="J485">
        <f t="shared" si="96"/>
        <v>2.2069999999999999</v>
      </c>
      <c r="K485" t="e">
        <f t="shared" si="97"/>
        <v>#N/A</v>
      </c>
      <c r="L485" t="e">
        <f t="shared" si="98"/>
        <v>#N/A</v>
      </c>
      <c r="M485" t="e">
        <f t="shared" si="99"/>
        <v>#N/A</v>
      </c>
      <c r="N485" t="e">
        <f t="shared" si="100"/>
        <v>#N/A</v>
      </c>
      <c r="O485">
        <f t="shared" si="101"/>
        <v>4.8500000000000003E-4</v>
      </c>
      <c r="P485" t="str">
        <f>IF(OR($A485="",games!$H485=""),"",games!$H485)</f>
        <v>Yes</v>
      </c>
      <c r="Q485">
        <f t="shared" si="102"/>
        <v>4.8500000000000003E-4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v>
      </c>
      <c r="B486">
        <f>IF($A486="","",games!$B486)</f>
        <v>2022</v>
      </c>
      <c r="C486" t="str">
        <f>IF($A486="","",games!$C486)</f>
        <v>Action</v>
      </c>
      <c r="D486">
        <f>IF($A486="","",COUNTIF(connections!$A$2:$A$1400,$A486)+COUNTIF(connections!$B$2:$B$1400,$A486))</f>
        <v>2</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Necrosmith 2</v>
      </c>
      <c r="B487">
        <f>IF($A487="","",games!$B487)</f>
        <v>2024</v>
      </c>
      <c r="C487" t="str">
        <f>IF($A487="","",games!$C487)</f>
        <v>Action</v>
      </c>
      <c r="D487">
        <f>IF($A487="","",COUNTIF(connections!$A$2:$A$1400,$A487)+COUNTIF(connections!$B$2:$B$1400,$A487))</f>
        <v>1</v>
      </c>
      <c r="E487">
        <f t="shared" si="91"/>
        <v>1</v>
      </c>
      <c r="F487">
        <f t="shared" si="92"/>
        <v>11</v>
      </c>
      <c r="G487">
        <f t="shared" si="93"/>
        <v>2024</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v>
      </c>
      <c r="B488">
        <f>IF($A488="","",games!$B488)</f>
        <v>2019</v>
      </c>
      <c r="C488" t="str">
        <f>IF($A488="","",games!$C488)</f>
        <v>Action</v>
      </c>
      <c r="D488">
        <f>IF($A488="","",COUNTIF(connections!$A$2:$A$1400,$A488)+COUNTIF(connections!$B$2:$B$1400,$A488))</f>
        <v>2</v>
      </c>
      <c r="E488">
        <f t="shared" si="91"/>
        <v>1</v>
      </c>
      <c r="F488">
        <f t="shared" si="92"/>
        <v>12</v>
      </c>
      <c r="G488">
        <f t="shared" si="93"/>
        <v>2019</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Neon Abyss 2</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Neophyte</v>
      </c>
      <c r="B490">
        <f>IF($A490="","",games!$B490)</f>
        <v>2022</v>
      </c>
      <c r="C490" t="str">
        <f>IF($A490="","",games!$C490)</f>
        <v>Action</v>
      </c>
      <c r="D490">
        <f>IF($A490="","",COUNTIF(connections!$A$2:$A$1400,$A490)+COUNTIF(connections!$B$2:$B$1400,$A490))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NetHack</v>
      </c>
      <c r="B491">
        <f>IF($A491="","",games!$B491)</f>
        <v>1987</v>
      </c>
      <c r="C491" t="str">
        <f>IF($A491="","",games!$C491)</f>
        <v>Traditional</v>
      </c>
      <c r="D491">
        <f>IF($A491="","",COUNTIF(connections!$A$2:$A$1400,$A491)+COUNTIF(connections!$B$2:$B$1400,$A491))</f>
        <v>30</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1987</v>
      </c>
      <c r="N491">
        <f t="shared" si="100"/>
        <v>4.3449999999999998</v>
      </c>
      <c r="O491">
        <f t="shared" si="101"/>
        <v>30.000491</v>
      </c>
      <c r="P491" t="str">
        <f>IF(OR($A491="",games!$H491=""),"",games!$H491)</f>
        <v>Yes</v>
      </c>
      <c r="Q491">
        <f t="shared" si="102"/>
        <v>30.000491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Netherworld Covenant</v>
      </c>
      <c r="B492">
        <f>IF($A492="","",games!$B492)</f>
        <v>2025</v>
      </c>
      <c r="C492" t="str">
        <f>IF($A492="","",games!$C492)</f>
        <v>Action</v>
      </c>
      <c r="D492">
        <f>IF($A492="","",COUNTIF(connections!$A$2:$A$1400,$A492)+COUNTIF(connections!$B$2:$B$1400,$A492))</f>
        <v>2</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Nigate Tale</v>
      </c>
      <c r="B493">
        <f>IF($A493="","",games!$B493)</f>
        <v>2021</v>
      </c>
      <c r="C493" t="str">
        <f>IF($A493="","",games!$C493)</f>
        <v>Action</v>
      </c>
      <c r="D493">
        <f>IF($A493="","",COUNTIF(connections!$A$2:$A$1400,$A493)+COUNTIF(connections!$B$2:$B$1400,$A493))</f>
        <v>1</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Night Swarm</v>
      </c>
      <c r="B494">
        <f>IF($A494="","",games!$B494)</f>
        <v>2025</v>
      </c>
      <c r="C494" t="str">
        <f>IF($A494="","",games!$C494)</f>
        <v>Action</v>
      </c>
      <c r="D494">
        <f>IF($A494="","",COUNTIF(connections!$A$2:$A$1400,$A494)+COUNTIF(connections!$B$2:$B$1400,$A494))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Nimrods</v>
      </c>
      <c r="B495">
        <f>IF($A495="","",games!$B495)</f>
        <v>2024</v>
      </c>
      <c r="C495" t="str">
        <f>IF($A495="","",games!$C495)</f>
        <v>Action</v>
      </c>
      <c r="D495">
        <f>IF($A495="","",COUNTIF(connections!$A$2:$A$1400,$A495)+COUNTIF(connections!$B$2:$B$1400,$A495))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Crown</v>
      </c>
      <c r="B496">
        <f>IF($A496="","",games!$B496)</f>
        <v>2026</v>
      </c>
      <c r="C496" t="str">
        <f>IF($A496="","",games!$C496)</f>
        <v>Deckbuilder</v>
      </c>
      <c r="D496">
        <f>IF($A496="","",COUNTIF(connections!$A$2:$A$1400,$A496)+COUNTIF(connections!$B$2:$B$1400,$A496))</f>
        <v>5</v>
      </c>
      <c r="E496">
        <f t="shared" si="91"/>
        <v>3</v>
      </c>
      <c r="F496">
        <f t="shared" si="92"/>
        <v>20</v>
      </c>
      <c r="G496" t="e">
        <f t="shared" si="93"/>
        <v>#N/A</v>
      </c>
      <c r="H496" t="e">
        <f t="shared" si="94"/>
        <v>#N/A</v>
      </c>
      <c r="I496" t="e">
        <f t="shared" si="95"/>
        <v>#N/A</v>
      </c>
      <c r="J496" t="e">
        <f t="shared" si="96"/>
        <v>#N/A</v>
      </c>
      <c r="K496">
        <f t="shared" si="97"/>
        <v>2026</v>
      </c>
      <c r="L496">
        <f t="shared" si="98"/>
        <v>3.46</v>
      </c>
      <c r="M496" t="e">
        <f t="shared" si="99"/>
        <v>#N/A</v>
      </c>
      <c r="N496" t="e">
        <f t="shared" si="100"/>
        <v>#N/A</v>
      </c>
      <c r="O496">
        <f t="shared" si="101"/>
        <v>5.0004960000000001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Node Farm</v>
      </c>
      <c r="B497">
        <f>IF($A497="","",games!$B497)</f>
        <v>2024</v>
      </c>
      <c r="C497" t="str">
        <f>IF($A497="","",games!$C497)</f>
        <v>Strategy</v>
      </c>
      <c r="D497">
        <f>IF($A497="","",COUNTIF(connections!$A$2:$A$1400,$A497)+COUNTIF(connections!$B$2:$B$1400,$A497))</f>
        <v>1</v>
      </c>
      <c r="E497">
        <f t="shared" si="91"/>
        <v>2</v>
      </c>
      <c r="F497">
        <f t="shared" si="92"/>
        <v>21</v>
      </c>
      <c r="G497" t="e">
        <f t="shared" si="93"/>
        <v>#N/A</v>
      </c>
      <c r="H497" t="e">
        <f t="shared" si="94"/>
        <v>#N/A</v>
      </c>
      <c r="I497">
        <f t="shared" si="95"/>
        <v>2024</v>
      </c>
      <c r="J497">
        <f t="shared" si="96"/>
        <v>2.4830000000000001</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Noita</v>
      </c>
      <c r="B498">
        <f>IF($A498="","",games!$B498)</f>
        <v>2019</v>
      </c>
      <c r="C498" t="str">
        <f>IF($A498="","",games!$C498)</f>
        <v>Action</v>
      </c>
      <c r="D498">
        <f>IF($A498="","",COUNTIF(connections!$A$2:$A$1400,$A498)+COUNTIF(connections!$B$2:$B$1400,$A498))</f>
        <v>6</v>
      </c>
      <c r="E498">
        <f t="shared" si="91"/>
        <v>1</v>
      </c>
      <c r="F498">
        <f t="shared" si="92"/>
        <v>22</v>
      </c>
      <c r="G498">
        <f t="shared" si="93"/>
        <v>2019</v>
      </c>
      <c r="H498">
        <f t="shared" si="94"/>
        <v>1.506</v>
      </c>
      <c r="I498" t="e">
        <f t="shared" si="95"/>
        <v>#N/A</v>
      </c>
      <c r="J498" t="e">
        <f t="shared" si="96"/>
        <v>#N/A</v>
      </c>
      <c r="K498" t="e">
        <f t="shared" si="97"/>
        <v>#N/A</v>
      </c>
      <c r="L498" t="e">
        <f t="shared" si="98"/>
        <v>#N/A</v>
      </c>
      <c r="M498" t="e">
        <f t="shared" si="99"/>
        <v>#N/A</v>
      </c>
      <c r="N498" t="e">
        <f t="shared" si="100"/>
        <v>#N/A</v>
      </c>
      <c r="O498">
        <f t="shared" si="101"/>
        <v>6.0004980000000003</v>
      </c>
      <c r="P498" t="str">
        <f>IF(OR($A498="",games!$H498=""),"",games!$H498)</f>
        <v>Yes</v>
      </c>
      <c r="Q498">
        <f t="shared" si="102"/>
        <v>6.0004980000000003</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Nomad Survival</v>
      </c>
      <c r="B499">
        <f>IF($A499="","",games!$B499)</f>
        <v>2022</v>
      </c>
      <c r="C499" t="str">
        <f>IF($A499="","",games!$C499)</f>
        <v>Action</v>
      </c>
      <c r="D499">
        <f>IF($A499="","",COUNTIF(connections!$A$2:$A$1400,$A499)+COUNTIF(connections!$B$2:$B$1400,$A499))</f>
        <v>1</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Are Coming</v>
      </c>
      <c r="B500">
        <f>IF($A500="","",games!$B500)</f>
        <v>2025</v>
      </c>
      <c r="C500" t="str">
        <f>IF($A500="","",games!$C500)</f>
        <v>Action</v>
      </c>
      <c r="D500">
        <f>IF($A500="","",COUNTIF(connections!$A$2:$A$1400,$A500)+COUNTIF(connections!$B$2:$B$1400,$A500))</f>
        <v>2</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Noobs Want to Live</v>
      </c>
      <c r="B501">
        <f>IF($A501="","",games!$B501)</f>
        <v>2023</v>
      </c>
      <c r="C501" t="str">
        <f>IF($A501="","",games!$C501)</f>
        <v>Action</v>
      </c>
      <c r="D501">
        <f>IF($A501="","",COUNTIF(connections!$A$2:$A$1400,$A501)+COUNTIF(connections!$B$2:$B$1400,$A501))</f>
        <v>1</v>
      </c>
      <c r="E501">
        <f t="shared" si="91"/>
        <v>1</v>
      </c>
      <c r="F501">
        <f t="shared" si="92"/>
        <v>25</v>
      </c>
      <c r="G501">
        <f t="shared" si="93"/>
        <v>2023</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Nordhold</v>
      </c>
      <c r="B502">
        <f>IF($A502="","",games!$B502)</f>
        <v>2025</v>
      </c>
      <c r="C502" t="str">
        <f>IF($A502="","",games!$C502)</f>
        <v>Strategy</v>
      </c>
      <c r="D502">
        <f>IF($A502="","",COUNTIF(connections!$A$2:$A$1400,$A502)+COUNTIF(connections!$B$2:$B$1400,$A502))</f>
        <v>2</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Nordic Ashes: Survivors of Ragnarok</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No-Skin</v>
      </c>
      <c r="B504">
        <f>IF($A504="","",games!$B504)</f>
        <v>2025</v>
      </c>
      <c r="C504" t="str">
        <f>IF($A504="","",games!$C504)</f>
        <v>Strategy</v>
      </c>
      <c r="D504">
        <f>IF($A504="","",COUNTIF(connections!$A$2:$A$1400,$A504)+COUNTIF(connections!$B$2:$B$1400,$A504))</f>
        <v>0</v>
      </c>
      <c r="E504">
        <f t="shared" si="91"/>
        <v>2</v>
      </c>
      <c r="F504">
        <f t="shared" si="92"/>
        <v>28</v>
      </c>
      <c r="G504" t="e">
        <f t="shared" si="93"/>
        <v>#N/A</v>
      </c>
      <c r="H504" t="e">
        <f t="shared" si="94"/>
        <v>#N/A</v>
      </c>
      <c r="I504">
        <f t="shared" si="95"/>
        <v>2025</v>
      </c>
      <c r="J504">
        <f t="shared" si="96"/>
        <v>2.6440000000000001</v>
      </c>
      <c r="K504" t="e">
        <f t="shared" si="97"/>
        <v>#N/A</v>
      </c>
      <c r="L504" t="e">
        <f t="shared" si="98"/>
        <v>#N/A</v>
      </c>
      <c r="M504" t="e">
        <f t="shared" si="99"/>
        <v>#N/A</v>
      </c>
      <c r="N504" t="e">
        <f t="shared" si="100"/>
        <v>#N/A</v>
      </c>
      <c r="O504">
        <f t="shared" si="101"/>
        <v>5.04E-4</v>
      </c>
      <c r="P504" t="str">
        <f>IF(OR($A504="",games!$H504=""),"",games!$H504)</f>
        <v/>
      </c>
      <c r="Q504" t="str">
        <f t="shared" si="102"/>
        <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Nova Drift</v>
      </c>
      <c r="B505">
        <f>IF($A505="","",games!$B505)</f>
        <v>2019</v>
      </c>
      <c r="C505" t="str">
        <f>IF($A505="","",games!$C505)</f>
        <v>Action</v>
      </c>
      <c r="D505">
        <f>IF($A505="","",COUNTIF(connections!$A$2:$A$1400,$A505)+COUNTIF(connections!$B$2:$B$1400,$A505))</f>
        <v>1</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Nowhere Prophet</v>
      </c>
      <c r="B506">
        <f>IF($A506="","",games!$B506)</f>
        <v>2019</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2019</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Nubby's Number Factory</v>
      </c>
      <c r="B507">
        <f>IF($A507="","",games!$B507)</f>
        <v>2024</v>
      </c>
      <c r="C507" t="str">
        <f>IF($A507="","",games!$C507)</f>
        <v>Strategy</v>
      </c>
      <c r="D507">
        <f>IF($A507="","",COUNTIF(connections!$A$2:$A$1400,$A507)+COUNTIF(connections!$B$2:$B$1400,$A507))</f>
        <v>5</v>
      </c>
      <c r="E507">
        <f t="shared" si="91"/>
        <v>2</v>
      </c>
      <c r="F507">
        <f t="shared" si="92"/>
        <v>31</v>
      </c>
      <c r="G507" t="e">
        <f t="shared" si="93"/>
        <v>#N/A</v>
      </c>
      <c r="H507" t="e">
        <f t="shared" si="94"/>
        <v>#N/A</v>
      </c>
      <c r="I507">
        <f t="shared" si="95"/>
        <v>2024</v>
      </c>
      <c r="J507">
        <f t="shared" si="96"/>
        <v>2.7130000000000001</v>
      </c>
      <c r="K507" t="e">
        <f t="shared" si="97"/>
        <v>#N/A</v>
      </c>
      <c r="L507" t="e">
        <f t="shared" si="98"/>
        <v>#N/A</v>
      </c>
      <c r="M507" t="e">
        <f t="shared" si="99"/>
        <v>#N/A</v>
      </c>
      <c r="N507" t="e">
        <f t="shared" si="100"/>
        <v>#N/A</v>
      </c>
      <c r="O507">
        <f t="shared" si="101"/>
        <v>5.0005069999999998</v>
      </c>
      <c r="P507" t="str">
        <f>IF(OR($A507="",games!$H507=""),"",games!$H507)</f>
        <v>Yes</v>
      </c>
      <c r="Q507">
        <f t="shared" si="102"/>
        <v>5.0005069999999998</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Nuclear Throne</v>
      </c>
      <c r="B508">
        <f>IF($A508="","",games!$B508)</f>
        <v>2015</v>
      </c>
      <c r="C508" t="str">
        <f>IF($A508="","",games!$C508)</f>
        <v>Action</v>
      </c>
      <c r="D508">
        <f>IF($A508="","",COUNTIF(connections!$A$2:$A$1400,$A508)+COUNTIF(connections!$B$2:$B$1400,$A508))</f>
        <v>23</v>
      </c>
      <c r="E508">
        <f t="shared" si="91"/>
        <v>1</v>
      </c>
      <c r="F508">
        <f t="shared" si="92"/>
        <v>32</v>
      </c>
      <c r="G508">
        <f t="shared" si="93"/>
        <v>2015</v>
      </c>
      <c r="H508">
        <f t="shared" si="94"/>
        <v>1.736</v>
      </c>
      <c r="I508" t="e">
        <f t="shared" si="95"/>
        <v>#N/A</v>
      </c>
      <c r="J508" t="e">
        <f t="shared" si="96"/>
        <v>#N/A</v>
      </c>
      <c r="K508" t="e">
        <f t="shared" si="97"/>
        <v>#N/A</v>
      </c>
      <c r="L508" t="e">
        <f t="shared" si="98"/>
        <v>#N/A</v>
      </c>
      <c r="M508" t="e">
        <f t="shared" si="99"/>
        <v>#N/A</v>
      </c>
      <c r="N508" t="e">
        <f t="shared" si="100"/>
        <v>#N/A</v>
      </c>
      <c r="O508">
        <f t="shared" si="101"/>
        <v>23.000508</v>
      </c>
      <c r="P508" t="str">
        <f>IF(OR($A508="",games!$H508=""),"",games!$H508)</f>
        <v>Yes</v>
      </c>
      <c r="Q508">
        <f t="shared" si="102"/>
        <v>23.000508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Nunholy</v>
      </c>
      <c r="B509">
        <f>IF($A509="","",games!$B509)</f>
        <v>2025</v>
      </c>
      <c r="C509" t="str">
        <f>IF($A509="","",games!$C509)</f>
        <v>Action</v>
      </c>
      <c r="D509">
        <f>IF($A509="","",COUNTIF(connections!$A$2:$A$1400,$A509)+COUNTIF(connections!$B$2:$B$1400,$A509))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Oaken Tower</v>
      </c>
      <c r="B510">
        <f>IF($A510="","",games!$B510)</f>
        <v>2026</v>
      </c>
      <c r="C510" t="str">
        <f>IF($A510="","",games!$C510)</f>
        <v>Strategy</v>
      </c>
      <c r="D510">
        <f>IF($A510="","",COUNTIF(connections!$A$2:$A$1400,$A510)+COUNTIF(connections!$B$2:$B$1400,$A510))</f>
        <v>3</v>
      </c>
      <c r="E510">
        <f t="shared" si="91"/>
        <v>2</v>
      </c>
      <c r="F510">
        <f t="shared" si="92"/>
        <v>0</v>
      </c>
      <c r="G510" t="e">
        <f t="shared" si="93"/>
        <v>#N/A</v>
      </c>
      <c r="H510" t="e">
        <f t="shared" si="94"/>
        <v>#N/A</v>
      </c>
      <c r="I510">
        <f t="shared" si="95"/>
        <v>2026</v>
      </c>
      <c r="J510">
        <f t="shared" si="96"/>
        <v>2</v>
      </c>
      <c r="K510" t="e">
        <f t="shared" si="97"/>
        <v>#N/A</v>
      </c>
      <c r="L510" t="e">
        <f t="shared" si="98"/>
        <v>#N/A</v>
      </c>
      <c r="M510" t="e">
        <f t="shared" si="99"/>
        <v>#N/A</v>
      </c>
      <c r="N510" t="e">
        <f t="shared" si="100"/>
        <v>#N/A</v>
      </c>
      <c r="O510">
        <f t="shared" si="101"/>
        <v>3.0005099999999998</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Oblivion Override</v>
      </c>
      <c r="B511">
        <f>IF($A511="","",games!$B511)</f>
        <v>2023</v>
      </c>
      <c r="C511" t="str">
        <f>IF($A511="","",games!$C511)</f>
        <v>Action</v>
      </c>
      <c r="D511">
        <f>IF($A511="","",COUNTIF(connections!$A$2:$A$1400,$A511)+COUNTIF(connections!$B$2:$B$1400,$A511))</f>
        <v>1</v>
      </c>
      <c r="E511">
        <f t="shared" si="91"/>
        <v>1</v>
      </c>
      <c r="F511">
        <f t="shared" si="92"/>
        <v>1</v>
      </c>
      <c r="G511">
        <f t="shared" si="93"/>
        <v>2023</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Obsidian Prince</v>
      </c>
      <c r="B512">
        <f>IF($A512="","",games!$B512)</f>
        <v>2021</v>
      </c>
      <c r="C512" t="str">
        <f>IF($A512="","",games!$C512)</f>
        <v>Deckbuilder</v>
      </c>
      <c r="D512">
        <f>IF($A512="","",COUNTIF(connections!$A$2:$A$1400,$A512)+COUNTIF(connections!$B$2:$B$1400,$A512))</f>
        <v>2</v>
      </c>
      <c r="E512">
        <f t="shared" si="91"/>
        <v>3</v>
      </c>
      <c r="F512">
        <f t="shared" si="92"/>
        <v>2</v>
      </c>
      <c r="G512" t="e">
        <f t="shared" si="93"/>
        <v>#N/A</v>
      </c>
      <c r="H512" t="e">
        <f t="shared" si="94"/>
        <v>#N/A</v>
      </c>
      <c r="I512" t="e">
        <f t="shared" si="95"/>
        <v>#N/A</v>
      </c>
      <c r="J512" t="e">
        <f t="shared" si="96"/>
        <v>#N/A</v>
      </c>
      <c r="K512">
        <f t="shared" si="97"/>
        <v>2021</v>
      </c>
      <c r="L512">
        <f t="shared" si="98"/>
        <v>3.0459999999999998</v>
      </c>
      <c r="M512" t="e">
        <f t="shared" si="99"/>
        <v>#N/A</v>
      </c>
      <c r="N512" t="e">
        <f t="shared" si="100"/>
        <v>#N/A</v>
      </c>
      <c r="O512">
        <f t="shared" si="101"/>
        <v>2.0005120000000001</v>
      </c>
      <c r="P512" t="str">
        <f>IF(OR($A512="",games!$H512=""),"",games!$H512)</f>
        <v>Yes</v>
      </c>
      <c r="Q512">
        <f t="shared" si="102"/>
        <v>2.0005120000000001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Octogeddon</v>
      </c>
      <c r="B513">
        <f>IF($A513="","",games!$B513)</f>
        <v>2018</v>
      </c>
      <c r="C513" t="str">
        <f>IF($A513="","",games!$C513)</f>
        <v>Action</v>
      </c>
      <c r="D513">
        <f>IF($A513="","",COUNTIF(connections!$A$2:$A$1400,$A513)+COUNTIF(connections!$B$2:$B$1400,$A513))</f>
        <v>0</v>
      </c>
      <c r="E513">
        <f t="shared" si="91"/>
        <v>1</v>
      </c>
      <c r="F513">
        <f t="shared" si="92"/>
        <v>3</v>
      </c>
      <c r="G513">
        <f t="shared" si="93"/>
        <v>2018</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Yes</v>
      </c>
      <c r="Q513">
        <f t="shared" si="102"/>
        <v>5.13E-4</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Oddcore</v>
      </c>
      <c r="B514">
        <f>IF($A514="","",games!$B514)</f>
        <v>2026</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Odinfall</v>
      </c>
      <c r="B515">
        <f>IF($A515="","",games!$B515)</f>
        <v>2025</v>
      </c>
      <c r="C515" t="str">
        <f>IF($A515="","",games!$C515)</f>
        <v>Action</v>
      </c>
      <c r="D515">
        <f>IF($A515="","",COUNTIF(connections!$A$2:$A$1400,$A515)+COUNTIF(connections!$B$2:$B$1400,$A515))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Ogre Chambers 2222</v>
      </c>
      <c r="B516">
        <f>IF($A516="","",games!$B516)</f>
        <v>2026</v>
      </c>
      <c r="C516" t="str">
        <f>IF($A516="","",games!$C516)</f>
        <v>Action</v>
      </c>
      <c r="D516">
        <f>IF($A516="","",COUNTIF(connections!$A$2:$A$1400,$A516)+COUNTIF(connections!$B$2:$B$1400,$A516))</f>
        <v>3</v>
      </c>
      <c r="E516">
        <f t="shared" si="104"/>
        <v>1</v>
      </c>
      <c r="F516">
        <f t="shared" si="105"/>
        <v>6</v>
      </c>
      <c r="G516">
        <f t="shared" si="106"/>
        <v>2026</v>
      </c>
      <c r="H516">
        <f t="shared" si="107"/>
        <v>1.1379999999999999</v>
      </c>
      <c r="I516" t="e">
        <f t="shared" si="108"/>
        <v>#N/A</v>
      </c>
      <c r="J516" t="e">
        <f t="shared" si="109"/>
        <v>#N/A</v>
      </c>
      <c r="K516" t="e">
        <f t="shared" si="110"/>
        <v>#N/A</v>
      </c>
      <c r="L516" t="e">
        <f t="shared" si="111"/>
        <v>#N/A</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v>
      </c>
      <c r="B517">
        <f>IF($A517="","",games!$B517)</f>
        <v>1987</v>
      </c>
      <c r="C517" t="str">
        <f>IF($A517="","",games!$C517)</f>
        <v>Traditional</v>
      </c>
      <c r="D517">
        <f>IF($A517="","",COUNTIF(connections!$A$2:$A$1400,$A517)+COUNTIF(connections!$B$2:$B$1400,$A517))</f>
        <v>3</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1987</v>
      </c>
      <c r="N517">
        <f t="shared" si="113"/>
        <v>4.1609999999999996</v>
      </c>
      <c r="O517">
        <f t="shared" si="114"/>
        <v>3.0005169999999999</v>
      </c>
      <c r="P517" t="str">
        <f>IF(OR($A517="",games!$H517=""),"",games!$H517)</f>
        <v>Yes</v>
      </c>
      <c r="Q517">
        <f t="shared" si="115"/>
        <v>3.0005169999999999</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v>
      </c>
      <c r="B518">
        <f>IF($A518="","",games!$B518)</f>
        <v>2015</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2015</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Life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 Labyrinth Z</v>
      </c>
      <c r="B520">
        <f>IF($A520="","",games!$B520)</f>
        <v>2017</v>
      </c>
      <c r="C520" t="str">
        <f>IF($A520="","",games!$C520)</f>
        <v>Traditional</v>
      </c>
      <c r="D520">
        <f>IF($A520="","",COUNTIF(connections!$A$2:$A$1400,$A520)+COUNTIF(connections!$B$2:$B$1400,$A520))</f>
        <v>2</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2017</v>
      </c>
      <c r="N520">
        <f t="shared" si="113"/>
        <v>4.2300000000000004</v>
      </c>
      <c r="O520">
        <f t="shared" si="114"/>
        <v>2.0005199999999999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Omelet You Cook</v>
      </c>
      <c r="B521">
        <f>IF($A521="","",games!$B521)</f>
        <v>2025</v>
      </c>
      <c r="C521" t="str">
        <f>IF($A521="","",games!$C521)</f>
        <v>Deckbuilder</v>
      </c>
      <c r="D521">
        <f>IF($A521="","",COUNTIF(connections!$A$2:$A$1400,$A521)+COUNTIF(connections!$B$2:$B$1400,$A521))</f>
        <v>3</v>
      </c>
      <c r="E521">
        <f t="shared" si="104"/>
        <v>3</v>
      </c>
      <c r="F521">
        <f t="shared" si="105"/>
        <v>11</v>
      </c>
      <c r="G521" t="e">
        <f t="shared" si="106"/>
        <v>#N/A</v>
      </c>
      <c r="H521" t="e">
        <f t="shared" si="107"/>
        <v>#N/A</v>
      </c>
      <c r="I521" t="e">
        <f t="shared" si="108"/>
        <v>#N/A</v>
      </c>
      <c r="J521" t="e">
        <f t="shared" si="109"/>
        <v>#N/A</v>
      </c>
      <c r="K521">
        <f t="shared" si="110"/>
        <v>2025</v>
      </c>
      <c r="L521">
        <f t="shared" si="111"/>
        <v>3.2530000000000001</v>
      </c>
      <c r="M521" t="e">
        <f t="shared" si="112"/>
        <v>#N/A</v>
      </c>
      <c r="N521" t="e">
        <f t="shared" si="113"/>
        <v>#N/A</v>
      </c>
      <c r="O521">
        <f t="shared" si="114"/>
        <v>3.000521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Step From Eden</v>
      </c>
      <c r="B522">
        <f>IF($A522="","",games!$B522)</f>
        <v>2020</v>
      </c>
      <c r="C522" t="str">
        <f>IF($A522="","",games!$C522)</f>
        <v>Action</v>
      </c>
      <c r="D522">
        <f>IF($A522="","",COUNTIF(connections!$A$2:$A$1400,$A522)+COUNTIF(connections!$B$2:$B$1400,$A522))</f>
        <v>3</v>
      </c>
      <c r="E522">
        <f t="shared" si="104"/>
        <v>1</v>
      </c>
      <c r="F522">
        <f t="shared" si="105"/>
        <v>12</v>
      </c>
      <c r="G522">
        <f t="shared" si="106"/>
        <v>2020</v>
      </c>
      <c r="H522">
        <f t="shared" si="107"/>
        <v>1.276</v>
      </c>
      <c r="I522" t="e">
        <f t="shared" si="108"/>
        <v>#N/A</v>
      </c>
      <c r="J522" t="e">
        <f t="shared" si="109"/>
        <v>#N/A</v>
      </c>
      <c r="K522" t="e">
        <f t="shared" si="110"/>
        <v>#N/A</v>
      </c>
      <c r="L522" t="e">
        <f t="shared" si="111"/>
        <v>#N/A</v>
      </c>
      <c r="M522" t="e">
        <f t="shared" si="112"/>
        <v>#N/A</v>
      </c>
      <c r="N522" t="e">
        <f t="shared" si="113"/>
        <v>#N/A</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 Way Heroics</v>
      </c>
      <c r="B523">
        <f>IF($A523="","",games!$B523)</f>
        <v>2014</v>
      </c>
      <c r="C523" t="str">
        <f>IF($A523="","",games!$C523)</f>
        <v>Traditional</v>
      </c>
      <c r="D523">
        <f>IF($A523="","",COUNTIF(connections!$A$2:$A$1400,$A523)+COUNTIF(connections!$B$2:$B$1400,$A523))</f>
        <v>3</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2014</v>
      </c>
      <c r="N523">
        <f t="shared" si="113"/>
        <v>4.2990000000000004</v>
      </c>
      <c r="O523">
        <f t="shared" si="114"/>
        <v>3.0005229999999998</v>
      </c>
      <c r="P523" t="str">
        <f>IF(OR($A523="",games!$H523=""),"",games!$H523)</f>
        <v>Yes</v>
      </c>
      <c r="Q523">
        <f t="shared" si="115"/>
        <v>3.0005229999999998</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OneBit Adventure</v>
      </c>
      <c r="B524">
        <f>IF($A524="","",games!$B524)</f>
        <v>2019</v>
      </c>
      <c r="C524" t="str">
        <f>IF($A524="","",games!$C524)</f>
        <v>Traditional</v>
      </c>
      <c r="D524">
        <f>IF($A524="","",COUNTIF(connections!$A$2:$A$1400,$A524)+COUNTIF(connections!$B$2:$B$1400,$A524))</f>
        <v>1</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2019</v>
      </c>
      <c r="N524">
        <f t="shared" si="113"/>
        <v>4.3220000000000001</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Order Automatica</v>
      </c>
      <c r="B525">
        <f>IF($A525="","",games!$B525)</f>
        <v>2026</v>
      </c>
      <c r="C525" t="str">
        <f>IF($A525="","",games!$C525)</f>
        <v>Deckbuilder</v>
      </c>
      <c r="D525">
        <f>IF($A525="","",COUNTIF(connections!$A$2:$A$1400,$A525)+COUNTIF(connections!$B$2:$B$1400,$A525))</f>
        <v>2</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OTXO</v>
      </c>
      <c r="B526">
        <f>IF($A526="","",games!$B526)</f>
        <v>2023</v>
      </c>
      <c r="C526" t="str">
        <f>IF($A526="","",games!$C526)</f>
        <v>Action</v>
      </c>
      <c r="D526">
        <f>IF($A526="","",COUNTIF(connections!$A$2:$A$1400,$A526)+COUNTIF(connections!$B$2:$B$1400,$A526))</f>
        <v>0</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Our Darker Purpose</v>
      </c>
      <c r="B527">
        <f>IF($A527="","",games!$B527)</f>
        <v>2014</v>
      </c>
      <c r="C527" t="str">
        <f>IF($A527="","",games!$C527)</f>
        <v>Action</v>
      </c>
      <c r="D527">
        <f>IF($A527="","",COUNTIF(connections!$A$2:$A$1400,$A527)+COUNTIF(connections!$B$2:$B$1400,$A527))</f>
        <v>2</v>
      </c>
      <c r="E527">
        <f t="shared" si="104"/>
        <v>1</v>
      </c>
      <c r="F527">
        <f t="shared" si="105"/>
        <v>17</v>
      </c>
      <c r="G527">
        <f t="shared" si="106"/>
        <v>2014</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Overlooting</v>
      </c>
      <c r="B528">
        <f>IF($A528="","",games!$B528)</f>
        <v>2025</v>
      </c>
      <c r="C528" t="str">
        <f>IF($A528="","",games!$C528)</f>
        <v>Strategy</v>
      </c>
      <c r="D528">
        <f>IF($A528="","",COUNTIF(connections!$A$2:$A$1400,$A528)+COUNTIF(connections!$B$2:$B$1400,$A528))</f>
        <v>0</v>
      </c>
      <c r="E528">
        <f t="shared" si="104"/>
        <v>2</v>
      </c>
      <c r="F528">
        <f t="shared" si="105"/>
        <v>18</v>
      </c>
      <c r="G528" t="e">
        <f t="shared" si="106"/>
        <v>#N/A</v>
      </c>
      <c r="H528" t="e">
        <f t="shared" si="107"/>
        <v>#N/A</v>
      </c>
      <c r="I528">
        <f t="shared" si="108"/>
        <v>2025</v>
      </c>
      <c r="J528">
        <f t="shared" si="109"/>
        <v>2.4140000000000001</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Overworld</v>
      </c>
      <c r="B529">
        <f>IF($A529="","",games!$B529)</f>
        <v>2022</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2022</v>
      </c>
      <c r="N529">
        <f t="shared" si="113"/>
        <v>4.4370000000000003</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Pairs &amp; Perils</v>
      </c>
      <c r="B530">
        <f>IF($A530="","",games!$B530)</f>
        <v>2025</v>
      </c>
      <c r="C530" t="str">
        <f>IF($A530="","",games!$C530)</f>
        <v>Deckbuilder</v>
      </c>
      <c r="D530">
        <f>IF($A530="","",COUNTIF(connections!$A$2:$A$1400,$A530)+COUNTIF(connections!$B$2:$B$1400,$A530))</f>
        <v>1</v>
      </c>
      <c r="E530">
        <f t="shared" si="104"/>
        <v>3</v>
      </c>
      <c r="F530">
        <f t="shared" si="105"/>
        <v>20</v>
      </c>
      <c r="G530" t="e">
        <f t="shared" si="106"/>
        <v>#N/A</v>
      </c>
      <c r="H530" t="e">
        <f t="shared" si="107"/>
        <v>#N/A</v>
      </c>
      <c r="I530" t="e">
        <f t="shared" si="108"/>
        <v>#N/A</v>
      </c>
      <c r="J530" t="e">
        <f t="shared" si="109"/>
        <v>#N/A</v>
      </c>
      <c r="K530">
        <f t="shared" si="110"/>
        <v>2025</v>
      </c>
      <c r="L530">
        <f t="shared" si="111"/>
        <v>3.46</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Paper Animal Adventure</v>
      </c>
      <c r="B531">
        <f>IF($A531="","",games!$B531)</f>
        <v>2025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2025</v>
      </c>
      <c r="N531">
        <f t="shared" si="113"/>
        <v>4.4829999999999997</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Paper Planet</v>
      </c>
      <c r="B532">
        <f>IF($A532="","",games!$B532)</f>
        <v>2023</v>
      </c>
      <c r="C532" t="str">
        <f>IF($A532="","",games!$C532)</f>
        <v>Action</v>
      </c>
      <c r="D532">
        <f>IF($A532="","",COUNTIF(connections!$A$2:$A$1400,$A532)+COUNTIF(connections!$B$2:$B$1400,$A532))</f>
        <v>1</v>
      </c>
      <c r="E532">
        <f t="shared" si="104"/>
        <v>1</v>
      </c>
      <c r="F532">
        <f t="shared" si="105"/>
        <v>22</v>
      </c>
      <c r="G532">
        <f t="shared" si="106"/>
        <v>2023</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Passant: A Chess Roguelike</v>
      </c>
      <c r="B533">
        <f>IF($A533="","",games!$B533)</f>
        <v>2025</v>
      </c>
      <c r="C533" t="str">
        <f>IF($A533="","",games!$C533)</f>
        <v>Strategy</v>
      </c>
      <c r="D533">
        <f>IF($A533="","",COUNTIF(connections!$A$2:$A$1400,$A533)+COUNTIF(connections!$B$2:$B$1400,$A533))</f>
        <v>1</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1.0005329999999999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Patch Quest</v>
      </c>
      <c r="B534">
        <f>IF($A534="","",games!$B534)</f>
        <v>2021</v>
      </c>
      <c r="C534" t="str">
        <f>IF($A534="","",games!$C534)</f>
        <v>Action</v>
      </c>
      <c r="D534">
        <f>IF($A534="","",COUNTIF(connections!$A$2:$A$1400,$A534)+COUNTIF(connections!$B$2:$B$1400,$A534))</f>
        <v>2</v>
      </c>
      <c r="E534">
        <f t="shared" si="104"/>
        <v>1</v>
      </c>
      <c r="F534">
        <f t="shared" si="105"/>
        <v>24</v>
      </c>
      <c r="G534">
        <f t="shared" si="106"/>
        <v>2021</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Yes</v>
      </c>
      <c r="Q534">
        <f t="shared" si="115"/>
        <v>2.000534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 of Achra</v>
      </c>
      <c r="B535">
        <f>IF($A535="","",games!$B535)</f>
        <v>2023</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2023</v>
      </c>
      <c r="N535">
        <f t="shared" si="113"/>
        <v>4.5750000000000002</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Pathogenic</v>
      </c>
      <c r="B536">
        <f>IF($A536="","",games!$B536)</f>
        <v>2026</v>
      </c>
      <c r="C536" t="str">
        <f>IF($A536="","",games!$C536)</f>
        <v>Action</v>
      </c>
      <c r="D536">
        <f>IF($A536="","",COUNTIF(connections!$A$2:$A$1400,$A536)+COUNTIF(connections!$B$2:$B$1400,$A536))</f>
        <v>3</v>
      </c>
      <c r="E536">
        <f t="shared" si="104"/>
        <v>1</v>
      </c>
      <c r="F536">
        <f t="shared" si="105"/>
        <v>26</v>
      </c>
      <c r="G536">
        <f t="shared" si="106"/>
        <v>2026</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Pathos: Nethack Codex</v>
      </c>
      <c r="B537">
        <f>IF($A537="","",games!$B537)</f>
        <v>2015</v>
      </c>
      <c r="C537" t="str">
        <f>IF($A537="","",games!$C537)</f>
        <v>Traditional</v>
      </c>
      <c r="D537">
        <f>IF($A537="","",COUNTIF(connections!$A$2:$A$1400,$A537)+COUNTIF(connections!$B$2:$B$1400,$A537))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2015</v>
      </c>
      <c r="N537">
        <f t="shared" si="113"/>
        <v>4.6210000000000004</v>
      </c>
      <c r="O537">
        <f t="shared" si="114"/>
        <v>1.000537</v>
      </c>
      <c r="P537" t="str">
        <f>IF(OR($A537="",games!$H537=""),"",games!$H537)</f>
        <v>Yes</v>
      </c>
      <c r="Q537">
        <f t="shared" si="115"/>
        <v>1.000537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Pawnbarian</v>
      </c>
      <c r="B538">
        <f>IF($A538="","",games!$B538)</f>
        <v>2021</v>
      </c>
      <c r="C538" t="str">
        <f>IF($A538="","",games!$C538)</f>
        <v>Strategy</v>
      </c>
      <c r="D538">
        <f>IF($A538="","",COUNTIF(connections!$A$2:$A$1400,$A538)+COUNTIF(connections!$B$2:$B$1400,$A538))</f>
        <v>3</v>
      </c>
      <c r="E538">
        <f t="shared" si="104"/>
        <v>2</v>
      </c>
      <c r="F538">
        <f t="shared" si="105"/>
        <v>28</v>
      </c>
      <c r="G538" t="e">
        <f t="shared" si="106"/>
        <v>#N/A</v>
      </c>
      <c r="H538" t="e">
        <f t="shared" si="107"/>
        <v>#N/A</v>
      </c>
      <c r="I538">
        <f t="shared" si="108"/>
        <v>2021</v>
      </c>
      <c r="J538">
        <f t="shared" si="109"/>
        <v>2.6440000000000001</v>
      </c>
      <c r="K538" t="e">
        <f t="shared" si="110"/>
        <v>#N/A</v>
      </c>
      <c r="L538" t="e">
        <f t="shared" si="111"/>
        <v>#N/A</v>
      </c>
      <c r="M538" t="e">
        <f t="shared" si="112"/>
        <v>#N/A</v>
      </c>
      <c r="N538" t="e">
        <f t="shared" si="113"/>
        <v>#N/A</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Peglin</v>
      </c>
      <c r="B539">
        <f>IF($A539="","",games!$B539)</f>
        <v>2022</v>
      </c>
      <c r="C539" t="str">
        <f>IF($A539="","",games!$C539)</f>
        <v>Deckbuilder</v>
      </c>
      <c r="D539">
        <f>IF($A539="","",COUNTIF(connections!$A$2:$A$1400,$A539)+COUNTIF(connections!$B$2:$B$1400,$A539))</f>
        <v>7</v>
      </c>
      <c r="E539">
        <f t="shared" si="104"/>
        <v>3</v>
      </c>
      <c r="F539">
        <f t="shared" si="105"/>
        <v>29</v>
      </c>
      <c r="G539" t="e">
        <f t="shared" si="106"/>
        <v>#N/A</v>
      </c>
      <c r="H539" t="e">
        <f t="shared" si="107"/>
        <v>#N/A</v>
      </c>
      <c r="I539" t="e">
        <f t="shared" si="108"/>
        <v>#N/A</v>
      </c>
      <c r="J539" t="e">
        <f t="shared" si="109"/>
        <v>#N/A</v>
      </c>
      <c r="K539">
        <f t="shared" si="110"/>
        <v>2022</v>
      </c>
      <c r="L539">
        <f t="shared" si="111"/>
        <v>3.6669999999999998</v>
      </c>
      <c r="M539" t="e">
        <f t="shared" si="112"/>
        <v>#N/A</v>
      </c>
      <c r="N539" t="e">
        <f t="shared" si="113"/>
        <v>#N/A</v>
      </c>
      <c r="O539">
        <f t="shared" si="114"/>
        <v>7.0005389999999998</v>
      </c>
      <c r="P539" t="str">
        <f>IF(OR($A539="",games!$H539=""),"",games!$H539)</f>
        <v>Yes</v>
      </c>
      <c r="Q539">
        <f t="shared" si="115"/>
        <v>7.0005389999999998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Pegs X Stickers</v>
      </c>
      <c r="B540">
        <f>IF($A540="","",games!$B540)</f>
        <v>2026</v>
      </c>
      <c r="C540" t="str">
        <f>IF($A540="","",games!$C540)</f>
        <v>Deckbuilder</v>
      </c>
      <c r="D540">
        <f>IF($A540="","",COUNTIF(connections!$A$2:$A$1400,$A540)+COUNTIF(connections!$B$2:$B$1400,$A540))</f>
        <v>3</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3.00054</v>
      </c>
      <c r="P540" t="str">
        <f>IF(OR($A540="",games!$H540=""),"",games!$H540)</f>
        <v/>
      </c>
      <c r="Q540" t="str">
        <f t="shared" si="115"/>
        <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PengPong</v>
      </c>
      <c r="B541">
        <f>IF($A541="","",games!$B541)</f>
        <v>2026</v>
      </c>
      <c r="C541" t="str">
        <f>IF($A541="","",games!$C541)</f>
        <v>Action</v>
      </c>
      <c r="D541">
        <f>IF($A541="","",COUNTIF(connections!$A$2:$A$1400,$A541)+COUNTIF(connections!$B$2:$B$1400,$A541))</f>
        <v>7</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7.0005410000000001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Pesticide Not Required</v>
      </c>
      <c r="B542">
        <f>IF($A542="","",games!$B542)</f>
        <v>2024</v>
      </c>
      <c r="C542" t="str">
        <f>IF($A542="","",games!$C542)</f>
        <v>Action</v>
      </c>
      <c r="D542">
        <f>IF($A542="","",COUNTIF(connections!$A$2:$A$1400,$A542)+COUNTIF(connections!$B$2:$B$1400,$A542))</f>
        <v>3</v>
      </c>
      <c r="E542">
        <f t="shared" si="104"/>
        <v>1</v>
      </c>
      <c r="F542">
        <f t="shared" si="105"/>
        <v>32</v>
      </c>
      <c r="G542">
        <f t="shared" si="106"/>
        <v>2024</v>
      </c>
      <c r="H542">
        <f t="shared" si="107"/>
        <v>1.736</v>
      </c>
      <c r="I542" t="e">
        <f t="shared" si="108"/>
        <v>#N/A</v>
      </c>
      <c r="J542" t="e">
        <f t="shared" si="109"/>
        <v>#N/A</v>
      </c>
      <c r="K542" t="e">
        <f t="shared" si="110"/>
        <v>#N/A</v>
      </c>
      <c r="L542" t="e">
        <f t="shared" si="111"/>
        <v>#N/A</v>
      </c>
      <c r="M542" t="e">
        <f t="shared" si="112"/>
        <v>#N/A</v>
      </c>
      <c r="N542" t="e">
        <f t="shared" si="113"/>
        <v>#N/A</v>
      </c>
      <c r="O542">
        <f t="shared" si="114"/>
        <v>3.0005419999999998</v>
      </c>
      <c r="P542" t="str">
        <f>IF(OR($A542="",games!$H542=""),"",games!$H542)</f>
        <v>Yes</v>
      </c>
      <c r="Q542">
        <f t="shared" si="115"/>
        <v>3.0005419999999998</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Picayune Dreams</v>
      </c>
      <c r="B543">
        <f>IF($A543="","",games!$B543)</f>
        <v>2023</v>
      </c>
      <c r="C543" t="str">
        <f>IF($A543="","",games!$C543)</f>
        <v>Action</v>
      </c>
      <c r="D543">
        <f>IF($A543="","",COUNTIF(connections!$A$2:$A$1400,$A543)+COUNTIF(connections!$B$2:$B$1400,$A543))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Pip My Dice</v>
      </c>
      <c r="B544">
        <f>IF($A544="","",games!$B544)</f>
        <v>2025</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Pixel Dungeon</v>
      </c>
      <c r="B545">
        <f>IF($A545="","",games!$B545)</f>
        <v>2012</v>
      </c>
      <c r="C545" t="str">
        <f>IF($A545="","",games!$C545)</f>
        <v>Traditional</v>
      </c>
      <c r="D545">
        <f>IF($A545="","",COUNTIF(connections!$A$2:$A$1400,$A545)+COUNTIF(connections!$B$2:$B$1400,$A545))</f>
        <v>3</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2012</v>
      </c>
      <c r="N545">
        <f t="shared" si="113"/>
        <v>4.0229999999999997</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PlateUp!</v>
      </c>
      <c r="B546">
        <f>IF($A546="","",games!$B546)</f>
        <v>2022</v>
      </c>
      <c r="C546" t="str">
        <f>IF($A546="","",games!$C546)</f>
        <v>Strategy</v>
      </c>
      <c r="D546">
        <f>IF($A546="","",COUNTIF(connections!$A$2:$A$1400,$A546)+COUNTIF(connections!$B$2:$B$1400,$A546))</f>
        <v>0</v>
      </c>
      <c r="E546">
        <f t="shared" si="104"/>
        <v>2</v>
      </c>
      <c r="F546">
        <f t="shared" si="105"/>
        <v>2</v>
      </c>
      <c r="G546" t="e">
        <f t="shared" si="106"/>
        <v>#N/A</v>
      </c>
      <c r="H546" t="e">
        <f t="shared" si="107"/>
        <v>#N/A</v>
      </c>
      <c r="I546">
        <f t="shared" si="108"/>
        <v>2022</v>
      </c>
      <c r="J546">
        <f t="shared" si="109"/>
        <v>2.0459999999999998</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Plinbo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Plinko Panic!</v>
      </c>
      <c r="B548">
        <f>IF($A548="","",games!$B548)</f>
        <v>2021</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2021</v>
      </c>
      <c r="L548">
        <f t="shared" si="111"/>
        <v>3.0920000000000001</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Pluto</v>
      </c>
      <c r="B549">
        <f>IF($A549="","",games!$B549)</f>
        <v>2026</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2026</v>
      </c>
      <c r="L549">
        <f t="shared" si="111"/>
        <v>3.1150000000000002</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Pocket Crystal League</v>
      </c>
      <c r="B550">
        <f>IF($A550="","",games!$B550)</f>
        <v>2022</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2022</v>
      </c>
      <c r="L550">
        <f t="shared" si="111"/>
        <v>3.1379999999999999</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Pogo Rogue</v>
      </c>
      <c r="B551">
        <f>IF($A551="","",games!$B551)</f>
        <v>2024</v>
      </c>
      <c r="C551" t="str">
        <f>IF($A551="","",games!$C551)</f>
        <v>Action</v>
      </c>
      <c r="D551">
        <f>IF($A551="","",COUNTIF(connections!$A$2:$A$1400,$A551)+COUNTIF(connections!$B$2:$B$1400,$A551))</f>
        <v>0</v>
      </c>
      <c r="E551">
        <f t="shared" si="104"/>
        <v>1</v>
      </c>
      <c r="F551">
        <f t="shared" si="105"/>
        <v>7</v>
      </c>
      <c r="G551">
        <f t="shared" si="106"/>
        <v>2024</v>
      </c>
      <c r="H551">
        <f t="shared" si="107"/>
        <v>1.161</v>
      </c>
      <c r="I551" t="e">
        <f t="shared" si="108"/>
        <v>#N/A</v>
      </c>
      <c r="J551" t="e">
        <f t="shared" si="109"/>
        <v>#N/A</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Pokelike</v>
      </c>
      <c r="B552">
        <f>IF($A552="","",games!$B552)</f>
        <v>2026</v>
      </c>
      <c r="C552" t="str">
        <f>IF($A552="","",games!$C552)</f>
        <v>Strategy</v>
      </c>
      <c r="D552">
        <f>IF($A552="","",COUNTIF(connections!$A$2:$A$1400,$A552)+COUNTIF(connections!$B$2:$B$1400,$A552))</f>
        <v>1</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Auto Chess</v>
      </c>
      <c r="B553">
        <f>IF($A553="","",games!$B553)</f>
        <v>2021</v>
      </c>
      <c r="C553" t="str">
        <f>IF($A553="","",games!$C553)</f>
        <v>Strategy</v>
      </c>
      <c r="D553">
        <f>IF($A553="","",COUNTIF(connections!$A$2:$A$1400,$A553)+COUNTIF(connections!$B$2:$B$1400,$A553))</f>
        <v>2</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Auto Spire</v>
      </c>
      <c r="B554">
        <f>IF($A554="","",games!$B554)</f>
        <v>2026</v>
      </c>
      <c r="C554" t="str">
        <f>IF($A554="","",games!$C554)</f>
        <v>Strategy</v>
      </c>
      <c r="D554">
        <f>IF($A554="","",COUNTIF(connections!$A$2:$A$1400,$A554)+COUNTIF(connections!$B$2:$B$1400,$A554))</f>
        <v>2</v>
      </c>
      <c r="E554">
        <f t="shared" si="104"/>
        <v>2</v>
      </c>
      <c r="F554">
        <f t="shared" si="105"/>
        <v>10</v>
      </c>
      <c r="G554" t="e">
        <f t="shared" si="106"/>
        <v>#N/A</v>
      </c>
      <c r="H554" t="e">
        <f t="shared" si="107"/>
        <v>#N/A</v>
      </c>
      <c r="I554">
        <f t="shared" si="108"/>
        <v>2026</v>
      </c>
      <c r="J554">
        <f t="shared" si="109"/>
        <v>2.23</v>
      </c>
      <c r="K554" t="e">
        <f t="shared" si="110"/>
        <v>#N/A</v>
      </c>
      <c r="L554" t="e">
        <f t="shared" si="111"/>
        <v>#N/A</v>
      </c>
      <c r="M554" t="e">
        <f t="shared" si="112"/>
        <v>#N/A</v>
      </c>
      <c r="N554" t="e">
        <f t="shared" si="113"/>
        <v>#N/A</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Explorers of Sky</v>
      </c>
      <c r="B555">
        <f>IF($A555="","",games!$B555)</f>
        <v>2009</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2009</v>
      </c>
      <c r="N555">
        <f t="shared" si="113"/>
        <v>4.2530000000000001</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Explorers of Time and Explorers of Darkness</v>
      </c>
      <c r="B556">
        <f>IF($A556="","",games!$B556)</f>
        <v>2007</v>
      </c>
      <c r="C556" t="str">
        <f>IF($A556="","",games!$C556)</f>
        <v>Traditional</v>
      </c>
      <c r="D556">
        <f>IF($A556="","",COUNTIF(connections!$A$2:$A$1400,$A556)+COUNTIF(connections!$B$2:$B$1400,$A556))</f>
        <v>2</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2007</v>
      </c>
      <c r="N556">
        <f t="shared" si="113"/>
        <v>4.2759999999999998</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Gates to Infinity</v>
      </c>
      <c r="B557">
        <f>IF($A557="","",games!$B557)</f>
        <v>2012</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Red and Blue Rescue Team</v>
      </c>
      <c r="B558">
        <f>IF($A558="","",games!$B558)</f>
        <v>2005</v>
      </c>
      <c r="C558" t="str">
        <f>IF($A558="","",games!$C558)</f>
        <v>Traditional</v>
      </c>
      <c r="D558">
        <f>IF($A558="","",COUNTIF(connections!$A$2:$A$1400,$A558)+COUNTIF(connections!$B$2:$B$1400,$A558))</f>
        <v>6</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2005</v>
      </c>
      <c r="N558">
        <f t="shared" si="113"/>
        <v>4.3220000000000001</v>
      </c>
      <c r="O558">
        <f t="shared" si="114"/>
        <v>6.0005579999999998</v>
      </c>
      <c r="P558" t="str">
        <f>IF(OR($A558="",games!$H558=""),"",games!$H558)</f>
        <v>Yes</v>
      </c>
      <c r="Q558">
        <f t="shared" si="115"/>
        <v>6.0005579999999998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Rescue Team DX</v>
      </c>
      <c r="B559">
        <f>IF($A559="","",games!$B559)</f>
        <v>2020</v>
      </c>
      <c r="C559" t="str">
        <f>IF($A559="","",games!$C559)</f>
        <v>Traditional</v>
      </c>
      <c r="D559">
        <f>IF($A559="","",COUNTIF(connections!$A$2:$A$1400,$A559)+COUNTIF(connections!$B$2:$B$1400,$A559))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2020</v>
      </c>
      <c r="N559">
        <f t="shared" si="113"/>
        <v>4.3449999999999998</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Super Mystery Dungeon</v>
      </c>
      <c r="B560">
        <f>IF($A560="","",games!$B560)</f>
        <v>2015</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2015</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PokéRogue</v>
      </c>
      <c r="B561">
        <f>IF($A561="","",games!$B561)</f>
        <v>2024</v>
      </c>
      <c r="C561" t="str">
        <f>IF($A561="","",games!$C561)</f>
        <v>Strategy</v>
      </c>
      <c r="D561">
        <f>IF($A561="","",COUNTIF(connections!$A$2:$A$1400,$A561)+COUNTIF(connections!$B$2:$B$1400,$A561))</f>
        <v>3</v>
      </c>
      <c r="E561">
        <f t="shared" si="104"/>
        <v>2</v>
      </c>
      <c r="F561">
        <f t="shared" si="105"/>
        <v>17</v>
      </c>
      <c r="G561" t="e">
        <f t="shared" si="106"/>
        <v>#N/A</v>
      </c>
      <c r="H561" t="e">
        <f t="shared" si="107"/>
        <v>#N/A</v>
      </c>
      <c r="I561">
        <f t="shared" si="108"/>
        <v>2024</v>
      </c>
      <c r="J561">
        <f t="shared" si="109"/>
        <v>2.391</v>
      </c>
      <c r="K561" t="e">
        <f t="shared" si="110"/>
        <v>#N/A</v>
      </c>
      <c r="L561" t="e">
        <f t="shared" si="111"/>
        <v>#N/A</v>
      </c>
      <c r="M561" t="e">
        <f t="shared" si="112"/>
        <v>#N/A</v>
      </c>
      <c r="N561" t="e">
        <f t="shared" si="113"/>
        <v>#N/A</v>
      </c>
      <c r="O561">
        <f t="shared" si="114"/>
        <v>3.0005609999999998</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PokeVoid</v>
      </c>
      <c r="B562">
        <f>IF($A562="","",games!$B562)</f>
        <v>2025</v>
      </c>
      <c r="C562" t="str">
        <f>IF($A562="","",games!$C562)</f>
        <v>Strategy</v>
      </c>
      <c r="D562">
        <f>IF($A562="","",COUNTIF(connections!$A$2:$A$1400,$A562)+COUNTIF(connections!$B$2:$B$1400,$A562))</f>
        <v>3</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Popup Dungeon</v>
      </c>
      <c r="B563">
        <f>IF($A563="","",games!$B563)</f>
        <v>2020</v>
      </c>
      <c r="C563" t="str">
        <f>IF($A563="","",games!$C563)</f>
        <v>Strategy</v>
      </c>
      <c r="D563">
        <f>IF($A563="","",COUNTIF(connections!$A$2:$A$1400,$A563)+COUNTIF(connections!$B$2:$B$1400,$A563))</f>
        <v>1</v>
      </c>
      <c r="E563">
        <f t="shared" si="104"/>
        <v>2</v>
      </c>
      <c r="F563">
        <f t="shared" si="105"/>
        <v>19</v>
      </c>
      <c r="G563" t="e">
        <f t="shared" si="106"/>
        <v>#N/A</v>
      </c>
      <c r="H563" t="e">
        <f t="shared" si="107"/>
        <v>#N/A</v>
      </c>
      <c r="I563">
        <f t="shared" si="108"/>
        <v>2020</v>
      </c>
      <c r="J563">
        <f t="shared" si="109"/>
        <v>2.4369999999999998</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Powder</v>
      </c>
      <c r="B564">
        <f>IF($A564="","",games!$B564)</f>
        <v>2003</v>
      </c>
      <c r="C564" t="str">
        <f>IF($A564="","",games!$C564)</f>
        <v>Traditional</v>
      </c>
      <c r="D564">
        <f>IF($A564="","",COUNTIF(connections!$A$2:$A$1400,$A564)+COUNTIF(connections!$B$2:$B$1400,$A564))</f>
        <v>11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2003</v>
      </c>
      <c r="N564">
        <f t="shared" si="113"/>
        <v>4.46</v>
      </c>
      <c r="O564">
        <f t="shared" si="114"/>
        <v>11.000564000000001</v>
      </c>
      <c r="P564" t="str">
        <f>IF(OR($A564="",games!$H564=""),"",games!$H564)</f>
        <v>Yes</v>
      </c>
      <c r="Q564">
        <f t="shared" si="115"/>
        <v>11.000564000000001</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Primordialis</v>
      </c>
      <c r="B565">
        <f>IF($A565="","",games!$B565)</f>
        <v>2024</v>
      </c>
      <c r="C565" t="str">
        <f>IF($A565="","",games!$C565)</f>
        <v>Action</v>
      </c>
      <c r="D565">
        <f>IF($A565="","",COUNTIF(connections!$A$2:$A$1400,$A565)+COUNTIF(connections!$B$2:$B$1400,$A565))</f>
        <v>1</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Pronoun Palace</v>
      </c>
      <c r="B566">
        <f>IF($A566="","",games!$B566)</f>
        <v>2026</v>
      </c>
      <c r="C566" t="str">
        <f>IF($A566="","",games!$C566)</f>
        <v>Strategy</v>
      </c>
      <c r="D566">
        <f>IF($A566="","",COUNTIF(connections!$A$2:$A$1400,$A566)+COUNTIF(connections!$B$2:$B$1400,$A566))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Putrid Shot Ultra</v>
      </c>
      <c r="B567">
        <f>IF($A567="","",games!$B567)</f>
        <v>2022</v>
      </c>
      <c r="C567" t="str">
        <f>IF($A567="","",games!$C567)</f>
        <v>Action</v>
      </c>
      <c r="D567">
        <f>IF($A567="","",COUNTIF(connections!$A$2:$A$1400,$A567)+COUNTIF(connections!$B$2:$B$1400,$A567))</f>
        <v>3</v>
      </c>
      <c r="E567">
        <f t="shared" si="104"/>
        <v>1</v>
      </c>
      <c r="F567">
        <f t="shared" si="105"/>
        <v>23</v>
      </c>
      <c r="G567">
        <f t="shared" si="106"/>
        <v>2022</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Quasimorph</v>
      </c>
      <c r="B568">
        <f>IF($A568="","",games!$B568)</f>
        <v>2023</v>
      </c>
      <c r="C568" t="str">
        <f>IF($A568="","",games!$C568)</f>
        <v>Traditional</v>
      </c>
      <c r="D568">
        <f>IF($A568="","",COUNTIF(connections!$A$2:$A$1400,$A568)+COUNTIF(connections!$B$2:$B$1400,$A568))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2023</v>
      </c>
      <c r="N568">
        <f t="shared" si="113"/>
        <v>4.5519999999999996</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Quest of Dungeons</v>
      </c>
      <c r="B569">
        <f>IF($A569="","",games!$B569)</f>
        <v>2014</v>
      </c>
      <c r="C569" t="str">
        <f>IF($A569="","",games!$C569)</f>
        <v>Traditional</v>
      </c>
      <c r="D569">
        <f>IF($A569="","",COUNTIF(connections!$A$2:$A$1400,$A569)+COUNTIF(connections!$B$2:$B$1400,$A569))</f>
        <v>2</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2014</v>
      </c>
      <c r="N569">
        <f t="shared" si="113"/>
        <v>4.5750000000000002</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Rabbit and Steel</v>
      </c>
      <c r="B570">
        <f>IF($A570="","",games!$B570)</f>
        <v>2024</v>
      </c>
      <c r="C570" t="str">
        <f>IF($A570="","",games!$C570)</f>
        <v>Action</v>
      </c>
      <c r="D570">
        <f>IF($A570="","",COUNTIF(connections!$A$2:$A$1400,$A570)+COUNTIF(connections!$B$2:$B$1400,$A570))</f>
        <v>0</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Raccoin: Coin Pusher Roguelike</v>
      </c>
      <c r="B571">
        <f>IF($A571="","",games!$B571)</f>
        <v>2026</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2026</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Rack and Slay</v>
      </c>
      <c r="B572">
        <f>IF($A572="","",games!$B572)</f>
        <v>2024</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2024</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Ragnarok</v>
      </c>
      <c r="B573">
        <f>IF($A573="","",games!$B573)</f>
        <v>1992</v>
      </c>
      <c r="C573" t="str">
        <f>IF($A573="","",games!$C573)</f>
        <v>Traditional</v>
      </c>
      <c r="D573">
        <f>IF($A573="","",COUNTIF(connections!$A$2:$A$1400,$A573)+COUNTIF(connections!$B$2:$B$1400,$A573))</f>
        <v>3</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1992</v>
      </c>
      <c r="N573">
        <f t="shared" si="113"/>
        <v>4.6669999999999998</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RAM: Random Access Mayhem</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Rampage Knights</v>
      </c>
      <c r="B575">
        <f>IF($A575="","",games!$B575)</f>
        <v>2015</v>
      </c>
      <c r="C575" t="str">
        <f>IF($A575="","",games!$C575)</f>
        <v>Action</v>
      </c>
      <c r="D575">
        <f>IF($A575="","",COUNTIF(connections!$A$2:$A$1400,$A575)+COUNTIF(connections!$B$2:$B$1400,$A575))</f>
        <v>1</v>
      </c>
      <c r="E575">
        <f t="shared" si="104"/>
        <v>1</v>
      </c>
      <c r="F575">
        <f t="shared" si="105"/>
        <v>31</v>
      </c>
      <c r="G575">
        <f t="shared" si="106"/>
        <v>2015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Ratropolis</v>
      </c>
      <c r="B576">
        <f>IF($A576="","",games!$B576)</f>
        <v>2019</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2019</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Ravenswatch</v>
      </c>
      <c r="B577">
        <f>IF($A577="","",games!$B577)</f>
        <v>2023</v>
      </c>
      <c r="C577" t="str">
        <f>IF($A577="","",games!$C577)</f>
        <v>Action</v>
      </c>
      <c r="D577">
        <f>IF($A577="","",COUNTIF(connections!$A$2:$A$1400,$A577)+COUNTIF(connections!$B$2:$B$1400,$A577))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Reality Break</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Realm of Ink</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Realm of the Mad God</v>
      </c>
      <c r="B580">
        <f>IF($A580="","",games!$B580)</f>
        <v>2010</v>
      </c>
      <c r="C580" t="str">
        <f>IF($A580="","",games!$C580)</f>
        <v>Action</v>
      </c>
      <c r="D580">
        <f>IF($A580="","",COUNTIF(connections!$A$2:$A$1400,$A580)+COUNTIF(connections!$B$2:$B$1400,$A580))</f>
        <v>2</v>
      </c>
      <c r="E580">
        <f t="shared" si="117"/>
        <v>1</v>
      </c>
      <c r="F580">
        <f t="shared" si="118"/>
        <v>2</v>
      </c>
      <c r="G580">
        <f t="shared" si="119"/>
        <v>2010</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Red Rogue</v>
      </c>
      <c r="B581">
        <f>IF($A581="","",games!$B581)</f>
        <v>2012</v>
      </c>
      <c r="C581" t="str">
        <f>IF($A581="","",games!$C581)</f>
        <v>Action</v>
      </c>
      <c r="D581">
        <f>IF($A581="","",COUNTIF(connections!$A$2:$A$1400,$A581)+COUNTIF(connections!$B$2:$B$1400,$A581))</f>
        <v>3</v>
      </c>
      <c r="E581">
        <f t="shared" si="117"/>
        <v>1</v>
      </c>
      <c r="F581">
        <f t="shared" si="118"/>
        <v>3</v>
      </c>
      <c r="G581">
        <f t="shared" si="119"/>
        <v>2012</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Yes</v>
      </c>
      <c r="Q581">
        <f t="shared" si="128"/>
        <v>3.0005809999999999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Renowned Explorers: International Society</v>
      </c>
      <c r="B582">
        <f>IF($A582="","",games!$B582)</f>
        <v>2015</v>
      </c>
      <c r="C582" t="str">
        <f>IF($A582="","",games!$C582)</f>
        <v>Strategy</v>
      </c>
      <c r="D582">
        <f>IF($A582="","",COUNTIF(connections!$A$2:$A$1400,$A582)+COUNTIF(connections!$B$2:$B$1400,$A582))</f>
        <v>2</v>
      </c>
      <c r="E582">
        <f t="shared" si="117"/>
        <v>2</v>
      </c>
      <c r="F582">
        <f t="shared" si="118"/>
        <v>4</v>
      </c>
      <c r="G582" t="e">
        <f t="shared" si="119"/>
        <v>#N/A</v>
      </c>
      <c r="H582" t="e">
        <f t="shared" si="120"/>
        <v>#N/A</v>
      </c>
      <c r="I582">
        <f t="shared" si="121"/>
        <v>2015</v>
      </c>
      <c r="J582">
        <f t="shared" si="122"/>
        <v>2.0920000000000001</v>
      </c>
      <c r="K582" t="e">
        <f t="shared" si="123"/>
        <v>#N/A</v>
      </c>
      <c r="L582" t="e">
        <f t="shared" si="124"/>
        <v>#N/A</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Repetendium</v>
      </c>
      <c r="B583">
        <f>IF($A583="","",games!$B583)</f>
        <v>2022</v>
      </c>
      <c r="C583" t="str">
        <f>IF($A583="","",games!$C583)</f>
        <v>Action</v>
      </c>
      <c r="D583">
        <f>IF($A583="","",COUNTIF(connections!$A$2:$A$1400,$A583)+COUNTIF(connections!$B$2:$B$1400,$A583))</f>
        <v>1</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Replicat</v>
      </c>
      <c r="B584">
        <f>IF($A584="","",games!$B584)</f>
        <v>2025</v>
      </c>
      <c r="C584" t="str">
        <f>IF($A584="","",games!$C584)</f>
        <v>Deckbuilder</v>
      </c>
      <c r="D584">
        <f>IF($A584="","",COUNTIF(connections!$A$2:$A$1400,$A584)+COUNTIF(connections!$B$2:$B$1400,$A584))</f>
        <v>2</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Return to Abyss</v>
      </c>
      <c r="B585">
        <f>IF($A585="","",games!$B585)</f>
        <v>2023</v>
      </c>
      <c r="C585" t="str">
        <f>IF($A585="","",games!$C585)</f>
        <v>Action</v>
      </c>
      <c r="D585">
        <f>IF($A585="","",COUNTIF(connections!$A$2:$A$1400,$A585)+COUNTIF(connections!$B$2:$B$1400,$A585))</f>
        <v>1</v>
      </c>
      <c r="E585">
        <f t="shared" si="117"/>
        <v>1</v>
      </c>
      <c r="F585">
        <f t="shared" si="118"/>
        <v>7</v>
      </c>
      <c r="G585">
        <f t="shared" si="119"/>
        <v>2023</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Returnal</v>
      </c>
      <c r="B586">
        <f>IF($A586="","",games!$B586)</f>
        <v>2023</v>
      </c>
      <c r="C586" t="str">
        <f>IF($A586="","",games!$C586)</f>
        <v>Action</v>
      </c>
      <c r="D586">
        <f>IF($A586="","",COUNTIF(connections!$A$2:$A$1400,$A586)+COUNTIF(connections!$B$2:$B$1400,$A586))</f>
        <v>2</v>
      </c>
      <c r="E586">
        <f t="shared" si="117"/>
        <v>1</v>
      </c>
      <c r="F586">
        <f t="shared" si="118"/>
        <v>8</v>
      </c>
      <c r="G586">
        <f t="shared" si="119"/>
        <v>2023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Revita</v>
      </c>
      <c r="B587">
        <f>IF($A587="","",games!$B587)</f>
        <v>2021</v>
      </c>
      <c r="C587" t="str">
        <f>IF($A587="","",games!$C587)</f>
        <v>Action</v>
      </c>
      <c r="D587">
        <f>IF($A587="","",COUNTIF(connections!$A$2:$A$1400,$A587)+COUNTIF(connections!$B$2:$B$1400,$A587))</f>
        <v>1</v>
      </c>
      <c r="E587">
        <f t="shared" si="117"/>
        <v>1</v>
      </c>
      <c r="F587">
        <f t="shared" si="118"/>
        <v>9</v>
      </c>
      <c r="G587">
        <f t="shared" si="119"/>
        <v>2021</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Rhythm Witch: Beat Death</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v>
      </c>
      <c r="B589">
        <f>IF($A589="","",games!$B589)</f>
        <v>2020</v>
      </c>
      <c r="C589" t="str">
        <f>IF($A589="","",games!$C589)</f>
        <v>Traditional</v>
      </c>
      <c r="D589">
        <f>IF($A589="","",COUNTIF(connections!$A$2:$A$1400,$A589)+COUNTIF(connections!$B$2:$B$1400,$A589))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2020</v>
      </c>
      <c r="N589">
        <f t="shared" si="126"/>
        <v>4.2530000000000001</v>
      </c>
      <c r="O589">
        <f t="shared" si="127"/>
        <v>6.0005889999999997</v>
      </c>
      <c r="P589" t="str">
        <f>IF(OR($A589="",games!$H589=""),"",games!$H589)</f>
        <v>Yes</v>
      </c>
      <c r="Q589">
        <f t="shared" si="128"/>
        <v>6.0005889999999997</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Rift Wizard 2</v>
      </c>
      <c r="B590">
        <f>IF($A590="","",games!$B590)</f>
        <v>2024</v>
      </c>
      <c r="C590" t="str">
        <f>IF($A590="","",games!$C590)</f>
        <v>Traditional</v>
      </c>
      <c r="D590">
        <f>IF($A590="","",COUNTIF(connections!$A$2:$A$1400,$A590)+COUNTIF(connections!$B$2:$B$1400,$A590))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2024</v>
      </c>
      <c r="N590">
        <f t="shared" si="126"/>
        <v>4.2759999999999998</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Rift Wizard 3</v>
      </c>
      <c r="B591">
        <f>IF($A591="","",games!$B591)</f>
        <v>2026</v>
      </c>
      <c r="C591" t="str">
        <f>IF($A591="","",games!$C591)</f>
        <v>Traditional</v>
      </c>
      <c r="D591">
        <f>IF($A591="","",COUNTIF(connections!$A$2:$A$1400,$A591)+COUNTIF(connections!$B$2:$B$1400,$A591))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2026</v>
      </c>
      <c r="N591">
        <f t="shared" si="126"/>
        <v>4.2990000000000004</v>
      </c>
      <c r="O591">
        <f t="shared" si="127"/>
        <v>1.000591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Right and Down</v>
      </c>
      <c r="B592">
        <f>IF($A592="","",games!$B592)</f>
        <v>2022</v>
      </c>
      <c r="C592" t="str">
        <f>IF($A592="","",games!$C592)</f>
        <v>Deckbuilder</v>
      </c>
      <c r="D592">
        <f>IF($A592="","",COUNTIF(connections!$A$2:$A$1400,$A592)+COUNTIF(connections!$B$2:$B$1400,$A592))</f>
        <v>1</v>
      </c>
      <c r="E592">
        <f t="shared" si="117"/>
        <v>3</v>
      </c>
      <c r="F592">
        <f t="shared" si="118"/>
        <v>14</v>
      </c>
      <c r="G592" t="e">
        <f t="shared" si="119"/>
        <v>#N/A</v>
      </c>
      <c r="H592" t="e">
        <f t="shared" si="120"/>
        <v>#N/A</v>
      </c>
      <c r="I592" t="e">
        <f t="shared" si="121"/>
        <v>#N/A</v>
      </c>
      <c r="J592" t="e">
        <f t="shared" si="122"/>
        <v>#N/A</v>
      </c>
      <c r="K592">
        <f t="shared" si="123"/>
        <v>2022</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Ring of Pain</v>
      </c>
      <c r="B593">
        <f>IF($A593="","",games!$B593)</f>
        <v>2020</v>
      </c>
      <c r="C593" t="str">
        <f>IF($A593="","",games!$C593)</f>
        <v>Strategy</v>
      </c>
      <c r="D593">
        <f>IF($A593="","",COUNTIF(connections!$A$2:$A$1400,$A593)+COUNTIF(connections!$B$2:$B$1400,$A593))</f>
        <v>2</v>
      </c>
      <c r="E593">
        <f t="shared" si="117"/>
        <v>2</v>
      </c>
      <c r="F593">
        <f t="shared" si="118"/>
        <v>15</v>
      </c>
      <c r="G593" t="e">
        <f t="shared" si="119"/>
        <v>#N/A</v>
      </c>
      <c r="H593" t="e">
        <f t="shared" si="120"/>
        <v>#N/A</v>
      </c>
      <c r="I593">
        <f t="shared" si="121"/>
        <v>2020</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Ringer</v>
      </c>
      <c r="B594">
        <f>IF($A594="","",games!$B594)</f>
        <v>2025</v>
      </c>
      <c r="C594" t="str">
        <f>IF($A594="","",games!$C594)</f>
        <v>Deckbuilder</v>
      </c>
      <c r="D594">
        <f>IF($A594="","",COUNTIF(connections!$A$2:$A$1400,$A594)+COUNTIF(connections!$B$2:$B$1400,$A594))</f>
        <v>0</v>
      </c>
      <c r="E594">
        <f t="shared" si="117"/>
        <v>3</v>
      </c>
      <c r="F594">
        <f t="shared" si="118"/>
        <v>16</v>
      </c>
      <c r="G594" t="e">
        <f t="shared" si="119"/>
        <v>#N/A</v>
      </c>
      <c r="H594" t="e">
        <f t="shared" si="120"/>
        <v>#N/A</v>
      </c>
      <c r="I594" t="e">
        <f t="shared" si="121"/>
        <v>#N/A</v>
      </c>
      <c r="J594" t="e">
        <f t="shared" si="122"/>
        <v>#N/A</v>
      </c>
      <c r="K594">
        <f t="shared" si="123"/>
        <v>2025</v>
      </c>
      <c r="L594">
        <f t="shared" si="124"/>
        <v>3.3679999999999999</v>
      </c>
      <c r="M594" t="e">
        <f t="shared" si="125"/>
        <v>#N/A</v>
      </c>
      <c r="N594" t="e">
        <f t="shared" si="126"/>
        <v>#N/A</v>
      </c>
      <c r="O594">
        <f t="shared" si="127"/>
        <v>5.9400000000000002E-4</v>
      </c>
      <c r="P594" t="str">
        <f>IF(OR($A594="",games!$H594=""),"",games!$H594)</f>
        <v>Yes</v>
      </c>
      <c r="Q594">
        <f t="shared" si="128"/>
        <v>5.9400000000000002E-4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Riptale</v>
      </c>
      <c r="B595">
        <f>IF($A595="","",games!$B595)</f>
        <v>2017</v>
      </c>
      <c r="C595" t="str">
        <f>IF($A595="","",games!$C595)</f>
        <v>Action</v>
      </c>
      <c r="D595">
        <f>IF($A595="","",COUNTIF(connections!$A$2:$A$1400,$A595)+COUNTIF(connections!$B$2:$B$1400,$A595))</f>
        <v>2</v>
      </c>
      <c r="E595">
        <f t="shared" si="117"/>
        <v>1</v>
      </c>
      <c r="F595">
        <f t="shared" si="118"/>
        <v>17</v>
      </c>
      <c r="G595">
        <f t="shared" si="119"/>
        <v>2017</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v>
      </c>
      <c r="B596">
        <f>IF($A596="","",games!$B596)</f>
        <v>2013</v>
      </c>
      <c r="C596" t="str">
        <f>IF($A596="","",games!$C596)</f>
        <v>Action</v>
      </c>
      <c r="D596">
        <f>IF($A596="","",COUNTIF(connections!$A$2:$A$1400,$A596)+COUNTIF(connections!$B$2:$B$1400,$A596))</f>
        <v>8</v>
      </c>
      <c r="E596">
        <f t="shared" si="117"/>
        <v>1</v>
      </c>
      <c r="F596">
        <f t="shared" si="118"/>
        <v>18</v>
      </c>
      <c r="G596">
        <f t="shared" si="119"/>
        <v>2013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8.0005959999999998</v>
      </c>
      <c r="P596" t="str">
        <f>IF(OR($A596="",games!$H596=""),"",games!$H596)</f>
        <v>Yes</v>
      </c>
      <c r="Q596">
        <f t="shared" si="128"/>
        <v>8.0005959999999998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Risk of Rain 2</v>
      </c>
      <c r="B597">
        <f>IF($A597="","",games!$B597)</f>
        <v>2020</v>
      </c>
      <c r="C597" t="str">
        <f>IF($A597="","",games!$C597)</f>
        <v>Action</v>
      </c>
      <c r="D597">
        <f>IF($A597="","",COUNTIF(connections!$A$2:$A$1400,$A597)+COUNTIF(connections!$B$2:$B$1400,$A597))</f>
        <v>16</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16.000596999999999</v>
      </c>
      <c r="P597" t="str">
        <f>IF(OR($A597="",games!$H597=""),"",games!$H597)</f>
        <v>Yes</v>
      </c>
      <c r="Q597">
        <f t="shared" si="128"/>
        <v>16.000596999999999</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Risk of Rain Returns</v>
      </c>
      <c r="B598">
        <f>IF($A598="","",games!$B598)</f>
        <v>2023</v>
      </c>
      <c r="C598" t="str">
        <f>IF($A598="","",games!$C598)</f>
        <v>Action</v>
      </c>
      <c r="D598">
        <f>IF($A598="","",COUNTIF(connections!$A$2:$A$1400,$A598)+COUNTIF(connections!$B$2:$B$1400,$A598))</f>
        <v>1</v>
      </c>
      <c r="E598">
        <f t="shared" si="117"/>
        <v>1</v>
      </c>
      <c r="F598">
        <f t="shared" si="118"/>
        <v>20</v>
      </c>
      <c r="G598">
        <f t="shared" si="119"/>
        <v>2023</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Road Not Taken</v>
      </c>
      <c r="B599">
        <f>IF($A599="","",games!$B599)</f>
        <v>2014</v>
      </c>
      <c r="C599" t="str">
        <f>IF($A599="","",games!$C599)</f>
        <v>Strategy</v>
      </c>
      <c r="D599">
        <f>IF($A599="","",COUNTIF(connections!$A$2:$A$1400,$A599)+COUNTIF(connections!$B$2:$B$1400,$A599))</f>
        <v>2</v>
      </c>
      <c r="E599">
        <f t="shared" si="117"/>
        <v>2</v>
      </c>
      <c r="F599">
        <f t="shared" si="118"/>
        <v>21</v>
      </c>
      <c r="G599" t="e">
        <f t="shared" si="119"/>
        <v>#N/A</v>
      </c>
      <c r="H599" t="e">
        <f t="shared" si="120"/>
        <v>#N/A</v>
      </c>
      <c r="I599">
        <f t="shared" si="121"/>
        <v>2014</v>
      </c>
      <c r="J599">
        <f t="shared" si="122"/>
        <v>2.4830000000000001</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Roboquest</v>
      </c>
      <c r="B600">
        <f>IF($A600="","",games!$B600)</f>
        <v>2020</v>
      </c>
      <c r="C600" t="str">
        <f>IF($A600="","",games!$C600)</f>
        <v>Action</v>
      </c>
      <c r="D600">
        <f>IF($A600="","",COUNTIF(connections!$A$2:$A$1400,$A600)+COUNTIF(connections!$B$2:$B$1400,$A600))</f>
        <v>5</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5.0006000000000004</v>
      </c>
      <c r="P600" t="str">
        <f>IF(OR($A600="",games!$H600=""),"",games!$H600)</f>
        <v>Yes</v>
      </c>
      <c r="Q600">
        <f t="shared" si="128"/>
        <v>5.0006000000000004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Rocket Rats</v>
      </c>
      <c r="B601">
        <f>IF($A601="","",games!$B601)</f>
        <v>2024</v>
      </c>
      <c r="C601" t="str">
        <f>IF($A601="","",games!$C601)</f>
        <v>Action</v>
      </c>
      <c r="D601">
        <f>IF($A601="","",COUNTIF(connections!$A$2:$A$1400,$A601)+COUNTIF(connections!$B$2:$B$1400,$A601))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v>
      </c>
      <c r="B602">
        <f>IF($A602="","",games!$B602)</f>
        <v>1980</v>
      </c>
      <c r="C602" t="str">
        <f>IF($A602="","",games!$C602)</f>
        <v>Traditional</v>
      </c>
      <c r="D602">
        <f>IF($A602="","",COUNTIF(connections!$A$2:$A$1400,$A602)+COUNTIF(connections!$B$2:$B$1400,$A602))</f>
        <v>23</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1980</v>
      </c>
      <c r="N602">
        <f t="shared" si="126"/>
        <v>4.5519999999999996</v>
      </c>
      <c r="O602">
        <f t="shared" si="127"/>
        <v>23.000602000000001</v>
      </c>
      <c r="P602" t="str">
        <f>IF(OR($A602="",games!$H602=""),"",games!$H602)</f>
        <v>Yes</v>
      </c>
      <c r="Q602">
        <f t="shared" si="128"/>
        <v>23.000602000000001</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Command</v>
      </c>
      <c r="B603">
        <f>IF($A603="","",games!$B603)</f>
        <v>2024</v>
      </c>
      <c r="C603" t="str">
        <f>IF($A603="","",games!$C603)</f>
        <v>Strategy</v>
      </c>
      <c r="D603">
        <f>IF($A603="","",COUNTIF(connections!$A$2:$A$1400,$A603)+COUNTIF(connections!$B$2:$B$1400,$A603))</f>
        <v>3</v>
      </c>
      <c r="E603">
        <f t="shared" si="117"/>
        <v>2</v>
      </c>
      <c r="F603">
        <f t="shared" si="118"/>
        <v>25</v>
      </c>
      <c r="G603" t="e">
        <f t="shared" si="119"/>
        <v>#N/A</v>
      </c>
      <c r="H603" t="e">
        <f t="shared" si="120"/>
        <v>#N/A</v>
      </c>
      <c r="I603">
        <f t="shared" si="121"/>
        <v>2024</v>
      </c>
      <c r="J603">
        <f t="shared" si="122"/>
        <v>2.5750000000000002</v>
      </c>
      <c r="K603" t="e">
        <f t="shared" si="123"/>
        <v>#N/A</v>
      </c>
      <c r="L603" t="e">
        <f t="shared" si="124"/>
        <v>#N/A</v>
      </c>
      <c r="M603" t="e">
        <f t="shared" si="125"/>
        <v>#N/A</v>
      </c>
      <c r="N603" t="e">
        <f t="shared" si="126"/>
        <v>#N/A</v>
      </c>
      <c r="O603">
        <f t="shared" si="127"/>
        <v>3.0006029999999999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Empire</v>
      </c>
      <c r="B604">
        <f>IF($A604="","",games!$B604)</f>
        <v>2019</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2019</v>
      </c>
      <c r="N604">
        <f t="shared" si="126"/>
        <v>4.5979999999999999</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Factory</v>
      </c>
      <c r="B605">
        <f>IF($A605="","",games!$B605)</f>
        <v>2026</v>
      </c>
      <c r="C605" t="str">
        <f>IF($A605="","",games!$C605)</f>
        <v>Action</v>
      </c>
      <c r="D605">
        <f>IF($A605="","",COUNTIF(connections!$A$2:$A$1400,$A605)+COUNTIF(connections!$B$2:$B$1400,$A605))</f>
        <v>2</v>
      </c>
      <c r="E605">
        <f t="shared" si="117"/>
        <v>1</v>
      </c>
      <c r="F605">
        <f t="shared" si="118"/>
        <v>27</v>
      </c>
      <c r="G605">
        <f t="shared" si="119"/>
        <v>2026</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Flight</v>
      </c>
      <c r="B606">
        <f>IF($A606="","",games!$B606)</f>
        <v>2024</v>
      </c>
      <c r="C606" t="str">
        <f>IF($A606="","",games!$C606)</f>
        <v>Action</v>
      </c>
      <c r="D606">
        <f>IF($A606="","",COUNTIF(connections!$A$2:$A$1400,$A606)+COUNTIF(connections!$B$2:$B$1400,$A606))</f>
        <v>0</v>
      </c>
      <c r="E606">
        <f t="shared" si="117"/>
        <v>1</v>
      </c>
      <c r="F606">
        <f t="shared" si="118"/>
        <v>28</v>
      </c>
      <c r="G606">
        <f t="shared" si="119"/>
        <v>2024</v>
      </c>
      <c r="H606">
        <f t="shared" si="120"/>
        <v>1.6440000000000001</v>
      </c>
      <c r="I606" t="e">
        <f t="shared" si="121"/>
        <v>#N/A</v>
      </c>
      <c r="J606" t="e">
        <f t="shared" si="122"/>
        <v>#N/A</v>
      </c>
      <c r="K606" t="e">
        <f t="shared" si="123"/>
        <v>#N/A</v>
      </c>
      <c r="L606" t="e">
        <f t="shared" si="124"/>
        <v>#N/A</v>
      </c>
      <c r="M606" t="e">
        <f t="shared" si="125"/>
        <v>#N/A</v>
      </c>
      <c r="N606" t="e">
        <f t="shared" si="126"/>
        <v>#N/A</v>
      </c>
      <c r="O606">
        <f t="shared" si="127"/>
        <v>6.0599999999999998E-4</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Hearts Dungeon</v>
      </c>
      <c r="B607">
        <f>IF($A607="","",games!$B607)</f>
        <v>2007</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2007</v>
      </c>
      <c r="N607">
        <f t="shared" si="126"/>
        <v>4.6669999999999998</v>
      </c>
      <c r="O607">
        <f t="shared" si="127"/>
        <v>2.000607</v>
      </c>
      <c r="P607" t="str">
        <f>IF(OR($A607="",games!$H607=""),"",games!$H607)</f>
        <v>Yes</v>
      </c>
      <c r="Q607">
        <f t="shared" si="128"/>
        <v>2.000607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Heroes: Ruins of Tasos</v>
      </c>
      <c r="B608">
        <f>IF($A608="","",games!$B608)</f>
        <v>2021</v>
      </c>
      <c r="C608" t="str">
        <f>IF($A608="","",games!$C608)</f>
        <v>Action</v>
      </c>
      <c r="D608">
        <f>IF($A608="","",COUNTIF(connections!$A$2:$A$1400,$A608)+COUNTIF(connections!$B$2:$B$1400,$A608))</f>
        <v>1</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Legacy</v>
      </c>
      <c r="B609">
        <f>IF($A609="","",games!$B609)</f>
        <v>2013</v>
      </c>
      <c r="C609" t="str">
        <f>IF($A609="","",games!$C609)</f>
        <v>Action</v>
      </c>
      <c r="D609">
        <f>IF($A609="","",COUNTIF(connections!$A$2:$A$1400,$A609)+COUNTIF(connections!$B$2:$B$1400,$A609))</f>
        <v>14</v>
      </c>
      <c r="E609">
        <f t="shared" si="117"/>
        <v>1</v>
      </c>
      <c r="F609">
        <f t="shared" si="118"/>
        <v>31</v>
      </c>
      <c r="G609">
        <f t="shared" si="119"/>
        <v>2013</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14.000609000000001</v>
      </c>
      <c r="P609" t="str">
        <f>IF(OR($A609="",games!$H609=""),"",games!$H609)</f>
        <v>Yes</v>
      </c>
      <c r="Q609">
        <f t="shared" si="128"/>
        <v>14.000609000000001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Legacy 2</v>
      </c>
      <c r="B610">
        <f>IF($A610="","",games!$B610)</f>
        <v>2020</v>
      </c>
      <c r="C610" t="str">
        <f>IF($A610="","",games!$C610)</f>
        <v>Action</v>
      </c>
      <c r="D610">
        <f>IF($A610="","",COUNTIF(connections!$A$2:$A$1400,$A610)+COUNTIF(connections!$B$2:$B$1400,$A610))</f>
        <v>1</v>
      </c>
      <c r="E610">
        <f t="shared" si="117"/>
        <v>1</v>
      </c>
      <c r="F610">
        <f t="shared" si="118"/>
        <v>32</v>
      </c>
      <c r="G610">
        <f t="shared" si="119"/>
        <v>2020</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Lords</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Tower</v>
      </c>
      <c r="B612">
        <f>IF($A612="","",games!$B612)</f>
        <v>2022</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2022</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Voltage</v>
      </c>
      <c r="B613">
        <f>IF($A613="","",games!$B613)</f>
        <v>2024</v>
      </c>
      <c r="C613" t="str">
        <f>IF($A613="","",games!$C613)</f>
        <v>Deckbuilder</v>
      </c>
      <c r="D613">
        <f>IF($A613="","",COUNTIF(connections!$A$2:$A$1400,$A613)+COUNTIF(connections!$B$2:$B$1400,$A613))</f>
        <v>4</v>
      </c>
      <c r="E613">
        <f t="shared" si="117"/>
        <v>3</v>
      </c>
      <c r="F613">
        <f t="shared" si="118"/>
        <v>1</v>
      </c>
      <c r="G613" t="e">
        <f t="shared" si="119"/>
        <v>#N/A</v>
      </c>
      <c r="H613" t="e">
        <f t="shared" si="120"/>
        <v>#N/A</v>
      </c>
      <c r="I613" t="e">
        <f t="shared" si="121"/>
        <v>#N/A</v>
      </c>
      <c r="J613" t="e">
        <f t="shared" si="122"/>
        <v>#N/A</v>
      </c>
      <c r="K613">
        <f t="shared" si="123"/>
        <v>2024</v>
      </c>
      <c r="L613">
        <f t="shared" si="124"/>
        <v>3.0230000000000001</v>
      </c>
      <c r="M613" t="e">
        <f t="shared" si="125"/>
        <v>#N/A</v>
      </c>
      <c r="N613" t="e">
        <f t="shared" si="126"/>
        <v>#N/A</v>
      </c>
      <c r="O613">
        <f t="shared" si="127"/>
        <v>4.0006130000000004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Wizards</v>
      </c>
      <c r="B614">
        <f>IF($A614="","",games!$B614)</f>
        <v>2016</v>
      </c>
      <c r="C614" t="str">
        <f>IF($A614="","",games!$C614)</f>
        <v>Strategy</v>
      </c>
      <c r="D614">
        <f>IF($A614="","",COUNTIF(connections!$A$2:$A$1400,$A614)+COUNTIF(connections!$B$2:$B$1400,$A614))</f>
        <v>2</v>
      </c>
      <c r="E614">
        <f t="shared" si="117"/>
        <v>2</v>
      </c>
      <c r="F614">
        <f t="shared" si="118"/>
        <v>2</v>
      </c>
      <c r="G614" t="e">
        <f t="shared" si="119"/>
        <v>#N/A</v>
      </c>
      <c r="H614" t="e">
        <f t="shared" si="120"/>
        <v>#N/A</v>
      </c>
      <c r="I614">
        <f t="shared" si="121"/>
        <v>2016</v>
      </c>
      <c r="J614">
        <f t="shared" si="122"/>
        <v>2.0459999999999998</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Genesia</v>
      </c>
      <c r="B615">
        <f>IF($A615="","",games!$B615)</f>
        <v>2022</v>
      </c>
      <c r="C615" t="str">
        <f>IF($A615="","",games!$C615)</f>
        <v>Action</v>
      </c>
      <c r="D615">
        <f>IF($A615="","",COUNTIF(connections!$A$2:$A$1400,$A615)+COUNTIF(connections!$B$2:$B$1400,$A615))</f>
        <v>1</v>
      </c>
      <c r="E615">
        <f t="shared" si="117"/>
        <v>1</v>
      </c>
      <c r="F615">
        <f t="shared" si="118"/>
        <v>3</v>
      </c>
      <c r="G615">
        <f t="shared" si="119"/>
        <v>2022</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Roguebook</v>
      </c>
      <c r="B616">
        <f>IF($A616="","",games!$B616)</f>
        <v>2021</v>
      </c>
      <c r="C616" t="str">
        <f>IF($A616="","",games!$C616)</f>
        <v>Deckbuilder</v>
      </c>
      <c r="D616">
        <f>IF($A616="","",COUNTIF(connections!$A$2:$A$1400,$A616)+COUNTIF(connections!$B$2:$B$1400,$A616))</f>
        <v>3</v>
      </c>
      <c r="E616">
        <f t="shared" si="117"/>
        <v>3</v>
      </c>
      <c r="F616">
        <f t="shared" si="118"/>
        <v>4</v>
      </c>
      <c r="G616" t="e">
        <f t="shared" si="119"/>
        <v>#N/A</v>
      </c>
      <c r="H616" t="e">
        <f t="shared" si="120"/>
        <v>#N/A</v>
      </c>
      <c r="I616" t="e">
        <f t="shared" si="121"/>
        <v>#N/A</v>
      </c>
      <c r="J616" t="e">
        <f t="shared" si="122"/>
        <v>#N/A</v>
      </c>
      <c r="K616">
        <f t="shared" si="123"/>
        <v>2021</v>
      </c>
      <c r="L616">
        <f t="shared" si="124"/>
        <v>3.0920000000000001</v>
      </c>
      <c r="M616" t="e">
        <f t="shared" si="125"/>
        <v>#N/A</v>
      </c>
      <c r="N616" t="e">
        <f t="shared" si="126"/>
        <v>#N/A</v>
      </c>
      <c r="O616">
        <f t="shared" si="127"/>
        <v>3.0006159999999999</v>
      </c>
      <c r="P616" t="str">
        <f>IF(OR($A616="",games!$H616=""),"",games!$H616)</f>
        <v>Yes</v>
      </c>
      <c r="Q616">
        <f t="shared" si="128"/>
        <v>3.0006159999999999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Rogue-Fp</v>
      </c>
      <c r="B617">
        <f>IF($A617="","",games!$B617)</f>
        <v>2023</v>
      </c>
      <c r="C617" t="str">
        <f>IF($A617="","",games!$C617)</f>
        <v>Traditional</v>
      </c>
      <c r="D617">
        <f>IF($A617="","",COUNTIF(connections!$A$2:$A$1400,$A617)+COUNTIF(connections!$B$2:$B$1400,$A617))</f>
        <v>2</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2023</v>
      </c>
      <c r="N617">
        <f t="shared" si="126"/>
        <v>4.1150000000000002</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RogueJack21</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Rogue's Tale</v>
      </c>
      <c r="B619">
        <f>IF($A619="","",games!$B619)</f>
        <v>2014</v>
      </c>
      <c r="C619" t="str">
        <f>IF($A619="","",games!$C619)</f>
        <v>Traditional</v>
      </c>
      <c r="D619">
        <f>IF($A619="","",COUNTIF(connections!$A$2:$A$1400,$A619)+COUNTIF(connections!$B$2:$B$1400,$A619))</f>
        <v>1</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2014</v>
      </c>
      <c r="N619">
        <f t="shared" si="126"/>
        <v>4.1609999999999996</v>
      </c>
      <c r="O619">
        <f t="shared" si="127"/>
        <v>1.0006189999999999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RogueSlide</v>
      </c>
      <c r="B620">
        <f>IF($A620="","",games!$B620)</f>
        <v>2022</v>
      </c>
      <c r="C620" t="str">
        <f>IF($A620="","",games!$C620)</f>
        <v>Strategy</v>
      </c>
      <c r="D620">
        <f>IF($A620="","",COUNTIF(connections!$A$2:$A$1400,$A620)+COUNTIF(connections!$B$2:$B$1400,$A620))</f>
        <v>0</v>
      </c>
      <c r="E620">
        <f t="shared" si="117"/>
        <v>2</v>
      </c>
      <c r="F620">
        <f t="shared" si="118"/>
        <v>8</v>
      </c>
      <c r="G620" t="e">
        <f t="shared" si="119"/>
        <v>#N/A</v>
      </c>
      <c r="H620" t="e">
        <f t="shared" si="120"/>
        <v>#N/A</v>
      </c>
      <c r="I620">
        <f t="shared" si="121"/>
        <v>2022</v>
      </c>
      <c r="J620">
        <f t="shared" si="122"/>
        <v>2.1840000000000002</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Roll</v>
      </c>
      <c r="B621">
        <f>IF($A621="","",games!$B621)</f>
        <v>2021</v>
      </c>
      <c r="C621" t="str">
        <f>IF($A621="","",games!$C621)</f>
        <v>Strategy</v>
      </c>
      <c r="D621">
        <f>IF($A621="","",COUNTIF(connections!$A$2:$A$1400,$A621)+COUNTIF(connections!$B$2:$B$1400,$A621))</f>
        <v>1</v>
      </c>
      <c r="E621">
        <f t="shared" si="117"/>
        <v>2</v>
      </c>
      <c r="F621">
        <f t="shared" si="118"/>
        <v>9</v>
      </c>
      <c r="G621" t="e">
        <f t="shared" si="119"/>
        <v>#N/A</v>
      </c>
      <c r="H621" t="e">
        <f t="shared" si="120"/>
        <v>#N/A</v>
      </c>
      <c r="I621">
        <f t="shared" si="121"/>
        <v>2021</v>
      </c>
      <c r="J621">
        <f t="shared" si="122"/>
        <v>2.2069999999999999</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RollScape</v>
      </c>
      <c r="B622">
        <f>IF($A622="","",games!$B622)</f>
        <v>2024</v>
      </c>
      <c r="C622" t="str">
        <f>IF($A622="","",games!$C622)</f>
        <v>Strategy</v>
      </c>
      <c r="D622">
        <f>IF($A622="","",COUNTIF(connections!$A$2:$A$1400,$A622)+COUNTIF(connections!$B$2:$B$1400,$A622))</f>
        <v>2</v>
      </c>
      <c r="E622">
        <f t="shared" si="117"/>
        <v>2</v>
      </c>
      <c r="F622">
        <f t="shared" si="118"/>
        <v>10</v>
      </c>
      <c r="G622" t="e">
        <f t="shared" si="119"/>
        <v>#N/A</v>
      </c>
      <c r="H622" t="e">
        <f t="shared" si="120"/>
        <v>#N/A</v>
      </c>
      <c r="I622">
        <f t="shared" si="121"/>
        <v>2024</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Roulette Dungeon</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Roulette Hero</v>
      </c>
      <c r="B624">
        <f>IF($A624="","",games!$B624)</f>
        <v>2025</v>
      </c>
      <c r="C624" t="str">
        <f>IF($A624="","",games!$C624)</f>
        <v>Deckbuilder</v>
      </c>
      <c r="D624">
        <f>IF($A624="","",COUNTIF(connections!$A$2:$A$1400,$A624)+COUNTIF(connections!$B$2:$B$1400,$A624))</f>
        <v>4</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4.0006240000000002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Rounds</v>
      </c>
      <c r="B625">
        <f>IF($A625="","",games!$B625)</f>
        <v>2021</v>
      </c>
      <c r="C625" t="str">
        <f>IF($A625="","",games!$C625)</f>
        <v>Action</v>
      </c>
      <c r="D625">
        <f>IF($A625="","",COUNTIF(connections!$A$2:$A$1400,$A625)+COUNTIF(connections!$B$2:$B$1400,$A625))</f>
        <v>0</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6.2500000000000001E-4</v>
      </c>
      <c r="P625" t="str">
        <f>IF(OR($A625="",games!$H625=""),"",games!$H625)</f>
        <v>Yes</v>
      </c>
      <c r="Q625">
        <f t="shared" si="128"/>
        <v>6.2500000000000001E-4</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 Dice</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Runeborn</v>
      </c>
      <c r="B627">
        <f>IF($A627="","",games!$B627)</f>
        <v>2025</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Yes</v>
      </c>
      <c r="Q627">
        <f t="shared" si="128"/>
        <v>2.0006270000000002</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Runeveil</v>
      </c>
      <c r="B628">
        <f>IF($A628="","",games!$B628)</f>
        <v>2026</v>
      </c>
      <c r="C628" t="str">
        <f>IF($A628="","",games!$C628)</f>
        <v>Deckbuilder</v>
      </c>
      <c r="D628">
        <f>IF($A628="","",COUNTIF(connections!$A$2:$A$1400,$A628)+COUNTIF(connections!$B$2:$B$1400,$A628))</f>
        <v>2</v>
      </c>
      <c r="E628">
        <f t="shared" si="117"/>
        <v>3</v>
      </c>
      <c r="F628">
        <f t="shared" si="118"/>
        <v>16</v>
      </c>
      <c r="G628" t="e">
        <f t="shared" si="119"/>
        <v>#N/A</v>
      </c>
      <c r="H628" t="e">
        <f t="shared" si="120"/>
        <v>#N/A</v>
      </c>
      <c r="I628" t="e">
        <f t="shared" si="121"/>
        <v>#N/A</v>
      </c>
      <c r="J628" t="e">
        <f t="shared" si="122"/>
        <v>#N/A</v>
      </c>
      <c r="K628">
        <f t="shared" si="123"/>
        <v>2026</v>
      </c>
      <c r="L628">
        <f t="shared" si="124"/>
        <v>3.3679999999999999</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Rungore</v>
      </c>
      <c r="B629">
        <f>IF($A629="","",games!$B629)</f>
        <v>2023</v>
      </c>
      <c r="C629" t="str">
        <f>IF($A629="","",games!$C629)</f>
        <v>Deckbuilder</v>
      </c>
      <c r="D629">
        <f>IF($A629="","",COUNTIF(connections!$A$2:$A$1400,$A629)+COUNTIF(connections!$B$2:$B$1400,$A629))</f>
        <v>2</v>
      </c>
      <c r="E629">
        <f t="shared" si="117"/>
        <v>3</v>
      </c>
      <c r="F629">
        <f t="shared" si="118"/>
        <v>17</v>
      </c>
      <c r="G629" t="e">
        <f t="shared" si="119"/>
        <v>#N/A</v>
      </c>
      <c r="H629" t="e">
        <f t="shared" si="120"/>
        <v>#N/A</v>
      </c>
      <c r="I629" t="e">
        <f t="shared" si="121"/>
        <v>#N/A</v>
      </c>
      <c r="J629" t="e">
        <f t="shared" si="122"/>
        <v>#N/A</v>
      </c>
      <c r="K629">
        <f t="shared" si="123"/>
        <v>2023</v>
      </c>
      <c r="L629">
        <f t="shared" si="124"/>
        <v>3.391</v>
      </c>
      <c r="M629" t="e">
        <f t="shared" si="125"/>
        <v>#N/A</v>
      </c>
      <c r="N629" t="e">
        <f t="shared" si="126"/>
        <v>#N/A</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Sanae no Chou Tokkyuu: The Express Trial</v>
      </c>
      <c r="B630">
        <f>IF($A630="","",games!$B630)</f>
        <v>2010</v>
      </c>
      <c r="C630" t="str">
        <f>IF($A630="","",games!$C630)</f>
        <v>Traditional</v>
      </c>
      <c r="D630">
        <f>IF($A630="","",COUNTIF(connections!$A$2:$A$1400,$A630)+COUNTIF(connections!$B$2:$B$1400,$A630))</f>
        <v>1</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2010</v>
      </c>
      <c r="N630">
        <f t="shared" si="126"/>
        <v>4.4139999999999997</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Sandwalkers</v>
      </c>
      <c r="B631">
        <f>IF($A631="","",games!$B631)</f>
        <v>2024</v>
      </c>
      <c r="C631" t="str">
        <f>IF($A631="","",games!$C631)</f>
        <v>Action</v>
      </c>
      <c r="D631">
        <f>IF($A631="","",COUNTIF(connections!$A$2:$A$1400,$A631)+COUNTIF(connections!$B$2:$B$1400,$A631))</f>
        <v>3</v>
      </c>
      <c r="E631">
        <f t="shared" si="117"/>
        <v>1</v>
      </c>
      <c r="F631">
        <f t="shared" si="118"/>
        <v>19</v>
      </c>
      <c r="G631">
        <f t="shared" si="119"/>
        <v>2024</v>
      </c>
      <c r="H631">
        <f t="shared" si="120"/>
        <v>1.4370000000000001</v>
      </c>
      <c r="I631" t="e">
        <f t="shared" si="121"/>
        <v>#N/A</v>
      </c>
      <c r="J631" t="e">
        <f t="shared" si="122"/>
        <v>#N/A</v>
      </c>
      <c r="K631" t="e">
        <f t="shared" si="123"/>
        <v>#N/A</v>
      </c>
      <c r="L631" t="e">
        <f t="shared" si="124"/>
        <v>#N/A</v>
      </c>
      <c r="M631" t="e">
        <f t="shared" si="125"/>
        <v>#N/A</v>
      </c>
      <c r="N631" t="e">
        <f t="shared" si="126"/>
        <v>#N/A</v>
      </c>
      <c r="O631">
        <f t="shared" si="127"/>
        <v>3.0006309999999998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Scarlet Tower</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Schism</v>
      </c>
      <c r="B633">
        <f>IF($A633="","",games!$B633)</f>
        <v>2023</v>
      </c>
      <c r="C633" t="str">
        <f>IF($A633="","",games!$C633)</f>
        <v>Action</v>
      </c>
      <c r="D633">
        <f>IF($A633="","",COUNTIF(connections!$A$2:$A$1400,$A633)+COUNTIF(connections!$B$2:$B$1400,$A633))</f>
        <v>2</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Scourgebringer</v>
      </c>
      <c r="B634">
        <f>IF($A634="","",games!$B634)</f>
        <v>2020</v>
      </c>
      <c r="C634" t="str">
        <f>IF($A634="","",games!$C634)</f>
        <v>Action</v>
      </c>
      <c r="D634">
        <f>IF($A634="","",COUNTIF(connections!$A$2:$A$1400,$A634)+COUNTIF(connections!$B$2:$B$1400,$A634))</f>
        <v>7</v>
      </c>
      <c r="E634">
        <f t="shared" si="117"/>
        <v>1</v>
      </c>
      <c r="F634">
        <f t="shared" si="118"/>
        <v>22</v>
      </c>
      <c r="G634">
        <f t="shared" si="119"/>
        <v>2020</v>
      </c>
      <c r="H634">
        <f t="shared" si="120"/>
        <v>1.506</v>
      </c>
      <c r="I634" t="e">
        <f t="shared" si="121"/>
        <v>#N/A</v>
      </c>
      <c r="J634" t="e">
        <f t="shared" si="122"/>
        <v>#N/A</v>
      </c>
      <c r="K634" t="e">
        <f t="shared" si="123"/>
        <v>#N/A</v>
      </c>
      <c r="L634" t="e">
        <f t="shared" si="124"/>
        <v>#N/A</v>
      </c>
      <c r="M634" t="e">
        <f t="shared" si="125"/>
        <v>#N/A</v>
      </c>
      <c r="N634" t="e">
        <f t="shared" si="126"/>
        <v>#N/A</v>
      </c>
      <c r="O634">
        <f t="shared" si="127"/>
        <v>7.0006339999999998</v>
      </c>
      <c r="P634" t="str">
        <f>IF(OR($A634="",games!$H634=""),"",games!$H634)</f>
        <v>Yes</v>
      </c>
      <c r="Q634">
        <f t="shared" si="128"/>
        <v>7.0006339999999998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Sea of Survivors</v>
      </c>
      <c r="B635">
        <f>IF($A635="","",games!$B635)</f>
        <v>2023</v>
      </c>
      <c r="C635" t="str">
        <f>IF($A635="","",games!$C635)</f>
        <v>Action</v>
      </c>
      <c r="D635">
        <f>IF($A635="","",COUNTIF(connections!$A$2:$A$1400,$A635)+COUNTIF(connections!$B$2:$B$1400,$A635))</f>
        <v>1</v>
      </c>
      <c r="E635">
        <f t="shared" si="117"/>
        <v>1</v>
      </c>
      <c r="F635">
        <f t="shared" si="118"/>
        <v>23</v>
      </c>
      <c r="G635">
        <f t="shared" si="119"/>
        <v>2023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Section 13</v>
      </c>
      <c r="B636">
        <f>IF($A636="","",games!$B636)</f>
        <v>2023</v>
      </c>
      <c r="C636" t="str">
        <f>IF($A636="","",games!$C636)</f>
        <v>Action</v>
      </c>
      <c r="D636">
        <f>IF($A636="","",COUNTIF(connections!$A$2:$A$1400,$A636)+COUNTIF(connections!$B$2:$B$1400,$A636))</f>
        <v>0</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Seedborne Soldiers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Sephiria</v>
      </c>
      <c r="B638">
        <f>IF($A638="","",games!$B638)</f>
        <v>2025</v>
      </c>
      <c r="C638" t="str">
        <f>IF($A638="","",games!$C638)</f>
        <v>Action</v>
      </c>
      <c r="D638">
        <f>IF($A638="","",COUNTIF(connections!$A$2:$A$1400,$A638)+COUNTIF(connections!$B$2:$B$1400,$A638))</f>
        <v>2</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Seraph's Last Stand</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Serpent's Gaze</v>
      </c>
      <c r="B640">
        <f>IF($A640="","",games!$B640)</f>
        <v>2026</v>
      </c>
      <c r="C640" t="str">
        <f>IF($A640="","",games!$C640)</f>
        <v>Action</v>
      </c>
      <c r="D640">
        <f>IF($A640="","",COUNTIF(connections!$A$2:$A$1400,$A640)+COUNTIF(connections!$B$2:$B$1400,$A640))</f>
        <v>3</v>
      </c>
      <c r="E640">
        <f t="shared" si="117"/>
        <v>1</v>
      </c>
      <c r="F640">
        <f t="shared" si="118"/>
        <v>28</v>
      </c>
      <c r="G640">
        <f t="shared" si="119"/>
        <v>2026</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Shadow of the Wyrm</v>
      </c>
      <c r="B641">
        <f>IF($A641="","",games!$B641)</f>
        <v>2015</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2015</v>
      </c>
      <c r="N641">
        <f t="shared" si="126"/>
        <v>4.6669999999999998</v>
      </c>
      <c r="O641">
        <f t="shared" si="127"/>
        <v>2.0006409999999999</v>
      </c>
      <c r="P641" t="str">
        <f>IF(OR($A641="",games!$H641=""),"",games!$H641)</f>
        <v>Yes</v>
      </c>
      <c r="Q641">
        <f t="shared" si="128"/>
        <v>2.0006409999999999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Shadowveil: Legend of The Five Rings</v>
      </c>
      <c r="B642">
        <f>IF($A642="","",games!$B642)</f>
        <v>2025</v>
      </c>
      <c r="C642" t="str">
        <f>IF($A642="","",games!$C642)</f>
        <v>Strategy</v>
      </c>
      <c r="D642">
        <f>IF($A642="","",COUNTIF(connections!$A$2:$A$1400,$A642)+COUNTIF(connections!$B$2:$B$1400,$A642))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2025</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Shape of Dreams</v>
      </c>
      <c r="B643">
        <f>IF($A643="","",games!$B643)</f>
        <v>2025</v>
      </c>
      <c r="C643" t="str">
        <f>IF($A643="","",games!$C643)</f>
        <v>Action</v>
      </c>
      <c r="D643">
        <f>IF($A643="","",COUNTIF(connections!$A$2:$A$1400,$A643)+COUNTIF(connections!$B$2:$B$1400,$A643))</f>
        <v>3</v>
      </c>
      <c r="E643">
        <f t="shared" si="130"/>
        <v>1</v>
      </c>
      <c r="F643">
        <f t="shared" si="131"/>
        <v>31</v>
      </c>
      <c r="G643">
        <f t="shared" si="132"/>
        <v>2025</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Shape Shifter: Formations</v>
      </c>
      <c r="B644">
        <f>IF($A644="","",games!$B644)</f>
        <v>2023</v>
      </c>
      <c r="C644" t="str">
        <f>IF($A644="","",games!$C644)</f>
        <v>Action</v>
      </c>
      <c r="D644">
        <f>IF($A644="","",COUNTIF(connections!$A$2:$A$1400,$A644)+COUNTIF(connections!$B$2:$B$1400,$A644))</f>
        <v>2</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Shattered Pixel Dungeon</v>
      </c>
      <c r="B645">
        <f>IF($A645="","",games!$B645)</f>
        <v>2014</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2014</v>
      </c>
      <c r="N645">
        <f t="shared" si="139"/>
        <v>4.7590000000000003</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Ship of Fools</v>
      </c>
      <c r="B646">
        <f>IF($A646="","",games!$B646)</f>
        <v>2022</v>
      </c>
      <c r="C646" t="str">
        <f>IF($A646="","",games!$C646)</f>
        <v>Action</v>
      </c>
      <c r="D646">
        <f>IF($A646="","",COUNTIF(connections!$A$2:$A$1400,$A646)+COUNTIF(connections!$B$2:$B$1400,$A646))</f>
        <v>3</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(2008)</v>
      </c>
      <c r="B647">
        <f>IF($A647="","",games!$B647)</f>
        <v>2008</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2008</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2: Shiren's Castle and the Oni Invasion</v>
      </c>
      <c r="B648">
        <f>IF($A648="","",games!$B648)</f>
        <v>2000</v>
      </c>
      <c r="C648" t="str">
        <f>IF($A648="","",games!$C648)</f>
        <v>Traditional</v>
      </c>
      <c r="D648">
        <f>IF($A648="","",COUNTIF(connections!$A$2:$A$1400,$A648)+COUNTIF(connections!$B$2:$B$1400,$A648))</f>
        <v>3</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2000</v>
      </c>
      <c r="N648">
        <f t="shared" si="139"/>
        <v>4.0460000000000003</v>
      </c>
      <c r="O648">
        <f t="shared" si="140"/>
        <v>3.000648</v>
      </c>
      <c r="P648" t="str">
        <f>IF(OR($A648="",games!$H648=""),"",games!$H648)</f>
        <v>Yes</v>
      </c>
      <c r="Q648">
        <f t="shared" si="141"/>
        <v>3.000648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4: The Eye of God and the Devil's Navel</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Gaiden: Asuka the Swordswoman</v>
      </c>
      <c r="B650">
        <f>IF($A650="","",games!$B650)</f>
        <v>2002</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2002</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GB: Monster of Moonlight Village</v>
      </c>
      <c r="B651">
        <f>IF($A651="","",games!$B651)</f>
        <v>1996</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1996</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GB2: Magic Castle of the Desert</v>
      </c>
      <c r="B652">
        <f>IF($A652="","",games!$B652)</f>
        <v>2001</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2001</v>
      </c>
      <c r="N652">
        <f t="shared" si="139"/>
        <v>4.1379999999999999</v>
      </c>
      <c r="O652">
        <f t="shared" si="140"/>
        <v>1.0006520000000001</v>
      </c>
      <c r="P652" t="str">
        <f>IF(OR($A652="",games!$H652=""),"",games!$H652)</f>
        <v>Yes</v>
      </c>
      <c r="Q652">
        <f t="shared" si="141"/>
        <v>1.0006520000000001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The Mystery Dungeon of Serpentcoil Island</v>
      </c>
      <c r="B653">
        <f>IF($A653="","",games!$B653)</f>
        <v>2024</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2024</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The Tower of Fortune and the Dice of Fate</v>
      </c>
      <c r="B654">
        <f>IF($A654="","",games!$B654)</f>
        <v>2010</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2010</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Shogun Showdown</v>
      </c>
      <c r="B655">
        <f>IF($A655="","",games!$B655)</f>
        <v>2023</v>
      </c>
      <c r="C655" t="str">
        <f>IF($A655="","",games!$C655)</f>
        <v>Strategy</v>
      </c>
      <c r="D655">
        <f>IF($A655="","",COUNTIF(connections!$A$2:$A$1400,$A655)+COUNTIF(connections!$B$2:$B$1400,$A655))</f>
        <v>5</v>
      </c>
      <c r="E655">
        <f t="shared" si="130"/>
        <v>2</v>
      </c>
      <c r="F655">
        <f t="shared" si="131"/>
        <v>9</v>
      </c>
      <c r="G655" t="e">
        <f t="shared" si="132"/>
        <v>#N/A</v>
      </c>
      <c r="H655" t="e">
        <f t="shared" si="133"/>
        <v>#N/A</v>
      </c>
      <c r="I655">
        <f t="shared" si="134"/>
        <v>2023</v>
      </c>
      <c r="J655">
        <f t="shared" si="135"/>
        <v>2.2069999999999999</v>
      </c>
      <c r="K655" t="e">
        <f t="shared" si="136"/>
        <v>#N/A</v>
      </c>
      <c r="L655" t="e">
        <f t="shared" si="137"/>
        <v>#N/A</v>
      </c>
      <c r="M655" t="e">
        <f t="shared" si="138"/>
        <v>#N/A</v>
      </c>
      <c r="N655" t="e">
        <f t="shared" si="139"/>
        <v>#N/A</v>
      </c>
      <c r="O655">
        <f t="shared" si="140"/>
        <v>5.0006550000000001</v>
      </c>
      <c r="P655" t="str">
        <f>IF(OR($A655="",games!$H655=""),"",games!$H655)</f>
        <v>Yes</v>
      </c>
      <c r="Q655">
        <f t="shared" si="141"/>
        <v>5.0006550000000001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Shoot First</v>
      </c>
      <c r="B656">
        <f>IF($A656="","",games!$B656)</f>
        <v>2010</v>
      </c>
      <c r="C656" t="str">
        <f>IF($A656="","",games!$C656)</f>
        <v>Action</v>
      </c>
      <c r="D656">
        <f>IF($A656="","",COUNTIF(connections!$A$2:$A$1400,$A656)+COUNTIF(connections!$B$2:$B$1400,$A656))</f>
        <v>1</v>
      </c>
      <c r="E656">
        <f t="shared" si="130"/>
        <v>1</v>
      </c>
      <c r="F656">
        <f t="shared" si="131"/>
        <v>10</v>
      </c>
      <c r="G656">
        <f t="shared" si="132"/>
        <v>2010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Shotgun King: The Final Checkmate</v>
      </c>
      <c r="B657">
        <f>IF($A657="","",games!$B657)</f>
        <v>2022</v>
      </c>
      <c r="C657" t="str">
        <f>IF($A657="","",games!$C657)</f>
        <v>Strategy</v>
      </c>
      <c r="D657">
        <f>IF($A657="","",COUNTIF(connections!$A$2:$A$1400,$A657)+COUNTIF(connections!$B$2:$B$1400,$A657))</f>
        <v>3</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Shovel Knight Dig</v>
      </c>
      <c r="B658">
        <f>IF($A658="","",games!$B658)</f>
        <v>2022</v>
      </c>
      <c r="C658" t="str">
        <f>IF($A658="","",games!$C658)</f>
        <v>Action</v>
      </c>
      <c r="D658">
        <f>IF($A658="","",COUNTIF(connections!$A$2:$A$1400,$A658)+COUNTIF(connections!$B$2:$B$1400,$A658))</f>
        <v>2</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Sil</v>
      </c>
      <c r="B659">
        <f>IF($A659="","",games!$B659)</f>
        <v>2012</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2012</v>
      </c>
      <c r="N659">
        <f t="shared" si="139"/>
        <v>4.2990000000000004</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Sir, We Have an Orc Problem</v>
      </c>
      <c r="B660">
        <f>IF($A660="","",games!$B660)</f>
        <v>2026</v>
      </c>
      <c r="C660" t="str">
        <f>IF($A660="","",games!$C660)</f>
        <v>Strategy</v>
      </c>
      <c r="D660">
        <f>IF($A660="","",COUNTIF(connections!$A$2:$A$1400,$A660)+COUNTIF(connections!$B$2:$B$1400,$A660))</f>
        <v>1</v>
      </c>
      <c r="E660">
        <f t="shared" si="130"/>
        <v>2</v>
      </c>
      <c r="F660">
        <f t="shared" si="131"/>
        <v>14</v>
      </c>
      <c r="G660" t="e">
        <f t="shared" si="132"/>
        <v>#N/A</v>
      </c>
      <c r="H660" t="e">
        <f t="shared" si="133"/>
        <v>#N/A</v>
      </c>
      <c r="I660">
        <f t="shared" si="134"/>
        <v>2026</v>
      </c>
      <c r="J660">
        <f t="shared" si="135"/>
        <v>2.3220000000000001</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Skul: The Hero Slayer</v>
      </c>
      <c r="B661">
        <f>IF($A661="","",games!$B661)</f>
        <v>2020</v>
      </c>
      <c r="C661" t="str">
        <f>IF($A661="","",games!$C661)</f>
        <v>Action</v>
      </c>
      <c r="D661">
        <f>IF($A661="","",COUNTIF(connections!$A$2:$A$1400,$A661)+COUNTIF(connections!$B$2:$B$1400,$A661))</f>
        <v>1</v>
      </c>
      <c r="E661">
        <f t="shared" si="130"/>
        <v>1</v>
      </c>
      <c r="F661">
        <f t="shared" si="131"/>
        <v>15</v>
      </c>
      <c r="G661">
        <f t="shared" si="132"/>
        <v>2020</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Skull Horde</v>
      </c>
      <c r="B662">
        <f>IF($A662="","",games!$B662)</f>
        <v>2026</v>
      </c>
      <c r="C662" t="str">
        <f>IF($A662="","",games!$C662)</f>
        <v>Action</v>
      </c>
      <c r="D662">
        <f>IF($A662="","",COUNTIF(connections!$A$2:$A$1400,$A662)+COUNTIF(connections!$B$2:$B$1400,$A662))</f>
        <v>3</v>
      </c>
      <c r="E662">
        <f t="shared" si="130"/>
        <v>1</v>
      </c>
      <c r="F662">
        <f t="shared" si="131"/>
        <v>16</v>
      </c>
      <c r="G662">
        <f t="shared" si="132"/>
        <v>2026</v>
      </c>
      <c r="H662">
        <f t="shared" si="133"/>
        <v>1.3679999999999999</v>
      </c>
      <c r="I662" t="e">
        <f t="shared" si="134"/>
        <v>#N/A</v>
      </c>
      <c r="J662" t="e">
        <f t="shared" si="135"/>
        <v>#N/A</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Sky Rogue</v>
      </c>
      <c r="B663">
        <f>IF($A663="","",games!$B663)</f>
        <v>2014</v>
      </c>
      <c r="C663" t="str">
        <f>IF($A663="","",games!$C663)</f>
        <v>Action</v>
      </c>
      <c r="D663">
        <f>IF($A663="","",COUNTIF(connections!$A$2:$A$1400,$A663)+COUNTIF(connections!$B$2:$B$1400,$A663))</f>
        <v>1</v>
      </c>
      <c r="E663">
        <f t="shared" si="130"/>
        <v>1</v>
      </c>
      <c r="F663">
        <f t="shared" si="131"/>
        <v>17</v>
      </c>
      <c r="G663">
        <f t="shared" si="132"/>
        <v>2014</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Sky's The Limit MAH-JONG</v>
      </c>
      <c r="B664">
        <f>IF($A664="","",games!$B664)</f>
        <v>2024</v>
      </c>
      <c r="C664" t="str">
        <f>IF($A664="","",games!$C664)</f>
        <v>Deckbuilder</v>
      </c>
      <c r="D664">
        <f>IF($A664="","",COUNTIF(connections!$A$2:$A$1400,$A664)+COUNTIF(connections!$B$2:$B$1400,$A664))</f>
        <v>1</v>
      </c>
      <c r="E664">
        <f t="shared" si="130"/>
        <v>3</v>
      </c>
      <c r="F664">
        <f t="shared" si="131"/>
        <v>18</v>
      </c>
      <c r="G664" t="e">
        <f t="shared" si="132"/>
        <v>#N/A</v>
      </c>
      <c r="H664" t="e">
        <f t="shared" si="133"/>
        <v>#N/A</v>
      </c>
      <c r="I664" t="e">
        <f t="shared" si="134"/>
        <v>#N/A</v>
      </c>
      <c r="J664" t="e">
        <f t="shared" si="135"/>
        <v>#N/A</v>
      </c>
      <c r="K664">
        <f t="shared" si="136"/>
        <v>2024</v>
      </c>
      <c r="L664">
        <f t="shared" si="137"/>
        <v>3.4140000000000001</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Slash'EM</v>
      </c>
      <c r="B665">
        <f>IF($A665="","",games!$B665)</f>
        <v>2006</v>
      </c>
      <c r="C665" t="str">
        <f>IF($A665="","",games!$C665)</f>
        <v>Traditional</v>
      </c>
      <c r="D665">
        <f>IF($A665="","",COUNTIF(connections!$A$2:$A$1400,$A665)+COUNTIF(connections!$B$2:$B$1400,$A665))</f>
        <v>2</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2006</v>
      </c>
      <c r="N665">
        <f t="shared" si="139"/>
        <v>4.4370000000000003</v>
      </c>
      <c r="O665">
        <f t="shared" si="140"/>
        <v>2.0006650000000001</v>
      </c>
      <c r="P665" t="str">
        <f>IF(OR($A665="",games!$H665=""),"",games!$H665)</f>
        <v>Yes</v>
      </c>
      <c r="Q665">
        <f t="shared" si="141"/>
        <v>2.0006650000000001</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Slasher's Keep</v>
      </c>
      <c r="B666">
        <f>IF($A666="","",games!$B666)</f>
        <v>2018</v>
      </c>
      <c r="C666" t="str">
        <f>IF($A666="","",games!$C666)</f>
        <v>Action</v>
      </c>
      <c r="D666">
        <f>IF($A666="","",COUNTIF(connections!$A$2:$A$1400,$A666)+COUNTIF(connections!$B$2:$B$1400,$A666))</f>
        <v>0</v>
      </c>
      <c r="E666">
        <f t="shared" si="130"/>
        <v>1</v>
      </c>
      <c r="F666">
        <f t="shared" si="131"/>
        <v>20</v>
      </c>
      <c r="G666">
        <f t="shared" si="132"/>
        <v>2018</v>
      </c>
      <c r="H666">
        <f t="shared" si="133"/>
        <v>1.46</v>
      </c>
      <c r="I666" t="e">
        <f t="shared" si="134"/>
        <v>#N/A</v>
      </c>
      <c r="J666" t="e">
        <f t="shared" si="135"/>
        <v>#N/A</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Slay the Spire</v>
      </c>
      <c r="B667">
        <f>IF($A667="","",games!$B667)</f>
        <v>2017</v>
      </c>
      <c r="C667" t="str">
        <f>IF($A667="","",games!$C667)</f>
        <v>Deckbuilder</v>
      </c>
      <c r="D667">
        <f>IF($A667="","",COUNTIF(connections!$A$2:$A$1400,$A667)+COUNTIF(connections!$B$2:$B$1400,$A667))</f>
        <v>146</v>
      </c>
      <c r="E667">
        <f t="shared" si="130"/>
        <v>3</v>
      </c>
      <c r="F667">
        <f t="shared" si="131"/>
        <v>21</v>
      </c>
      <c r="G667" t="e">
        <f t="shared" si="132"/>
        <v>#N/A</v>
      </c>
      <c r="H667" t="e">
        <f t="shared" si="133"/>
        <v>#N/A</v>
      </c>
      <c r="I667" t="e">
        <f t="shared" si="134"/>
        <v>#N/A</v>
      </c>
      <c r="J667" t="e">
        <f t="shared" si="135"/>
        <v>#N/A</v>
      </c>
      <c r="K667">
        <f t="shared" si="136"/>
        <v>2017</v>
      </c>
      <c r="L667">
        <f t="shared" si="137"/>
        <v>3.4830000000000001</v>
      </c>
      <c r="M667" t="e">
        <f t="shared" si="138"/>
        <v>#N/A</v>
      </c>
      <c r="N667" t="e">
        <f t="shared" si="139"/>
        <v>#N/A</v>
      </c>
      <c r="O667">
        <f t="shared" si="140"/>
        <v>146.00066699999999</v>
      </c>
      <c r="P667" t="str">
        <f>IF(OR($A667="",games!$H667=""),"",games!$H667)</f>
        <v>Yes</v>
      </c>
      <c r="Q667">
        <f t="shared" si="141"/>
        <v>146.00066699999999</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Slay the Spire 2</v>
      </c>
      <c r="B668">
        <f>IF($A668="","",games!$B668)</f>
        <v>2026</v>
      </c>
      <c r="C668" t="str">
        <f>IF($A668="","",games!$C668)</f>
        <v>Deckbuilder</v>
      </c>
      <c r="D668">
        <f>IF($A668="","",COUNTIF(connections!$A$2:$A$1400,$A668)+COUNTIF(connections!$B$2:$B$1400,$A668))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Slice &amp; Dice</v>
      </c>
      <c r="B669">
        <f>IF($A669="","",games!$B669)</f>
        <v>2018</v>
      </c>
      <c r="C669" t="str">
        <f>IF($A669="","",games!$C669)</f>
        <v>Strategy</v>
      </c>
      <c r="D669">
        <f>IF($A669="","",COUNTIF(connections!$A$2:$A$1400,$A669)+COUNTIF(connections!$B$2:$B$1400,$A669))</f>
        <v>4</v>
      </c>
      <c r="E669">
        <f t="shared" si="130"/>
        <v>2</v>
      </c>
      <c r="F669">
        <f t="shared" si="131"/>
        <v>23</v>
      </c>
      <c r="G669" t="e">
        <f t="shared" si="132"/>
        <v>#N/A</v>
      </c>
      <c r="H669" t="e">
        <f t="shared" si="133"/>
        <v>#N/A</v>
      </c>
      <c r="I669">
        <f t="shared" si="134"/>
        <v>2018</v>
      </c>
      <c r="J669">
        <f t="shared" si="135"/>
        <v>2.5289999999999999</v>
      </c>
      <c r="K669" t="e">
        <f t="shared" si="136"/>
        <v>#N/A</v>
      </c>
      <c r="L669" t="e">
        <f t="shared" si="137"/>
        <v>#N/A</v>
      </c>
      <c r="M669" t="e">
        <f t="shared" si="138"/>
        <v>#N/A</v>
      </c>
      <c r="N669" t="e">
        <f t="shared" si="139"/>
        <v>#N/A</v>
      </c>
      <c r="O669">
        <f t="shared" si="140"/>
        <v>4.0006690000000003</v>
      </c>
      <c r="P669" t="str">
        <f>IF(OR($A669="",games!$H669=""),"",games!$H669)</f>
        <v>Yes</v>
      </c>
      <c r="Q669">
        <f t="shared" si="141"/>
        <v>4.0006690000000003</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Slime 3K: Rise Against Despot</v>
      </c>
      <c r="B670">
        <f>IF($A670="","",games!$B670)</f>
        <v>2023</v>
      </c>
      <c r="C670" t="str">
        <f>IF($A670="","",games!$C670)</f>
        <v>Action</v>
      </c>
      <c r="D670">
        <f>IF($A670="","",COUNTIF(connections!$A$2:$A$1400,$A670)+COUNTIF(connections!$B$2:$B$1400,$A670))</f>
        <v>3</v>
      </c>
      <c r="E670">
        <f t="shared" si="130"/>
        <v>1</v>
      </c>
      <c r="F670">
        <f t="shared" si="131"/>
        <v>24</v>
      </c>
      <c r="G670">
        <f t="shared" si="132"/>
        <v>2023</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 &amp; Dungeons</v>
      </c>
      <c r="B671">
        <f>IF($A671="","",games!$B671)</f>
        <v>2025</v>
      </c>
      <c r="C671" t="str">
        <f>IF($A671="","",games!$C671)</f>
        <v>Deckbuilder</v>
      </c>
      <c r="D671">
        <f>IF($A671="","",COUNTIF(connections!$A$2:$A$1400,$A671)+COUNTIF(connections!$B$2:$B$1400,$A671))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
      </c>
      <c r="Q671" t="str">
        <f t="shared" si="141"/>
        <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Slot or Not</v>
      </c>
      <c r="B672">
        <f>IF($A672="","",games!$B672)</f>
        <v>2026</v>
      </c>
      <c r="C672" t="str">
        <f>IF($A672="","",games!$C672)</f>
        <v>Deckbuilder</v>
      </c>
      <c r="D672">
        <f>IF($A672="","",COUNTIF(connections!$A$2:$A$1400,$A672)+COUNTIF(connections!$B$2:$B$1400,$A672))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Slots &amp; Daggers</v>
      </c>
      <c r="B673">
        <f>IF($A673="","",games!$B673)</f>
        <v>2025</v>
      </c>
      <c r="C673" t="str">
        <f>IF($A673="","",games!$C673)</f>
        <v>Deckbuilder</v>
      </c>
      <c r="D673">
        <f>IF($A673="","",COUNTIF(connections!$A$2:$A$1400,$A673)+COUNTIF(connections!$B$2:$B$1400,$A673))</f>
        <v>0</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SNKRX</v>
      </c>
      <c r="B674">
        <f>IF($A674="","",games!$B674)</f>
        <v>2021</v>
      </c>
      <c r="C674" t="str">
        <f>IF($A674="","",games!$C674)</f>
        <v>Action</v>
      </c>
      <c r="D674">
        <f>IF($A674="","",COUNTIF(connections!$A$2:$A$1400,$A674)+COUNTIF(connections!$B$2:$B$1400,$A674))</f>
        <v>6</v>
      </c>
      <c r="E674">
        <f t="shared" si="130"/>
        <v>1</v>
      </c>
      <c r="F674">
        <f t="shared" si="131"/>
        <v>28</v>
      </c>
      <c r="G674">
        <f t="shared" si="132"/>
        <v>2021</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6.0006740000000001</v>
      </c>
      <c r="P674" t="str">
        <f>IF(OR($A674="",games!$H674=""),"",games!$H674)</f>
        <v>Yes</v>
      </c>
      <c r="Q674">
        <f t="shared" si="141"/>
        <v>6.0006740000000001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Sodaman</v>
      </c>
      <c r="B675">
        <f>IF($A675="","",games!$B675)</f>
        <v>2025</v>
      </c>
      <c r="C675" t="str">
        <f>IF($A675="","",games!$C675)</f>
        <v>Action</v>
      </c>
      <c r="D675">
        <f>IF($A675="","",COUNTIF(connections!$A$2:$A$1400,$A675)+COUNTIF(connections!$B$2:$B$1400,$A675))</f>
        <v>3</v>
      </c>
      <c r="E675">
        <f t="shared" si="130"/>
        <v>1</v>
      </c>
      <c r="F675">
        <f t="shared" si="131"/>
        <v>29</v>
      </c>
      <c r="G675">
        <f t="shared" si="132"/>
        <v>2025</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Sol Cesto</v>
      </c>
      <c r="B676">
        <f>IF($A676="","",games!$B676)</f>
        <v>2025</v>
      </c>
      <c r="C676" t="str">
        <f>IF($A676="","",games!$C676)</f>
        <v>Strategy</v>
      </c>
      <c r="D676">
        <f>IF($A676="","",COUNTIF(connections!$A$2:$A$1400,$A676)+COUNTIF(connections!$B$2:$B$1400,$A676))</f>
        <v>1</v>
      </c>
      <c r="E676">
        <f t="shared" si="130"/>
        <v>2</v>
      </c>
      <c r="F676">
        <f t="shared" si="131"/>
        <v>30</v>
      </c>
      <c r="G676" t="e">
        <f t="shared" si="132"/>
        <v>#N/A</v>
      </c>
      <c r="H676" t="e">
        <f t="shared" si="133"/>
        <v>#N/A</v>
      </c>
      <c r="I676">
        <f t="shared" si="134"/>
        <v>2025</v>
      </c>
      <c r="J676">
        <f t="shared" si="135"/>
        <v>2.69</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Solitairica</v>
      </c>
      <c r="B677">
        <f>IF($A677="","",games!$B677)</f>
        <v>2016</v>
      </c>
      <c r="C677" t="str">
        <f>IF($A677="","",games!$C677)</f>
        <v>Deckbuilder</v>
      </c>
      <c r="D677">
        <f>IF($A677="","",COUNTIF(connections!$A$2:$A$1400,$A677)+COUNTIF(connections!$B$2:$B$1400,$A677))</f>
        <v>1</v>
      </c>
      <c r="E677">
        <f t="shared" si="130"/>
        <v>3</v>
      </c>
      <c r="F677">
        <f t="shared" si="131"/>
        <v>31</v>
      </c>
      <c r="G677" t="e">
        <f t="shared" si="132"/>
        <v>#N/A</v>
      </c>
      <c r="H677" t="e">
        <f t="shared" si="133"/>
        <v>#N/A</v>
      </c>
      <c r="I677" t="e">
        <f t="shared" si="134"/>
        <v>#N/A</v>
      </c>
      <c r="J677" t="e">
        <f t="shared" si="135"/>
        <v>#N/A</v>
      </c>
      <c r="K677">
        <f t="shared" si="136"/>
        <v>2016</v>
      </c>
      <c r="L677">
        <f t="shared" si="137"/>
        <v>3.7130000000000001</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Soulash</v>
      </c>
      <c r="B678">
        <f>IF($A678="","",games!$B678)</f>
        <v>2022</v>
      </c>
      <c r="C678" t="str">
        <f>IF($A678="","",games!$C678)</f>
        <v>Traditional</v>
      </c>
      <c r="D678">
        <f>IF($A678="","",COUNTIF(connections!$A$2:$A$1400,$A678)+COUNTIF(connections!$B$2:$B$1400,$A678))</f>
        <v>3</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2022</v>
      </c>
      <c r="N678">
        <f t="shared" si="139"/>
        <v>4.7359999999999998</v>
      </c>
      <c r="O678">
        <f t="shared" si="140"/>
        <v>3.0006780000000002</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Soulash 2</v>
      </c>
      <c r="B679">
        <f>IF($A679="","",games!$B679)</f>
        <v>2023</v>
      </c>
      <c r="C679" t="str">
        <f>IF($A679="","",games!$C679)</f>
        <v>Traditional</v>
      </c>
      <c r="D679">
        <f>IF($A679="","",COUNTIF(connections!$A$2:$A$1400,$A679)+COUNTIF(connections!$B$2:$B$1400,$A679))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2023</v>
      </c>
      <c r="N679">
        <f t="shared" si="139"/>
        <v>4.7590000000000003</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Soulstone Survivors</v>
      </c>
      <c r="B680">
        <f>IF($A680="","",games!$B680)</f>
        <v>2022</v>
      </c>
      <c r="C680" t="str">
        <f>IF($A680="","",games!$C680)</f>
        <v>Action</v>
      </c>
      <c r="D680">
        <f>IF($A680="","",COUNTIF(connections!$A$2:$A$1400,$A680)+COUNTIF(connections!$B$2:$B$1400,$A680))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Beast Terror Fright</v>
      </c>
      <c r="B681">
        <f>IF($A681="","",games!$B681)</f>
        <v>2015</v>
      </c>
      <c r="C681" t="str">
        <f>IF($A681="","",games!$C681)</f>
        <v>Action</v>
      </c>
      <c r="D681">
        <f>IF($A681="","",COUNTIF(connections!$A$2:$A$1400,$A681)+COUNTIF(connections!$B$2:$B$1400,$A681))</f>
        <v>0</v>
      </c>
      <c r="E681">
        <f t="shared" si="130"/>
        <v>1</v>
      </c>
      <c r="F681">
        <f t="shared" si="131"/>
        <v>1</v>
      </c>
      <c r="G681">
        <f t="shared" si="132"/>
        <v>2015</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6.8099999999999996E-4</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Space Gladiators</v>
      </c>
      <c r="B682">
        <f>IF($A682="","",games!$B682)</f>
        <v>2019</v>
      </c>
      <c r="C682" t="str">
        <f>IF($A682="","",games!$C682)</f>
        <v>Action</v>
      </c>
      <c r="D682">
        <f>IF($A682="","",COUNTIF(connections!$A$2:$A$1400,$A682)+COUNTIF(connections!$B$2:$B$1400,$A682))</f>
        <v>4</v>
      </c>
      <c r="E682">
        <f t="shared" si="130"/>
        <v>1</v>
      </c>
      <c r="F682">
        <f t="shared" si="131"/>
        <v>2</v>
      </c>
      <c r="G682">
        <f t="shared" si="132"/>
        <v>2019</v>
      </c>
      <c r="H682">
        <f t="shared" si="133"/>
        <v>1.046</v>
      </c>
      <c r="I682" t="e">
        <f t="shared" si="134"/>
        <v>#N/A</v>
      </c>
      <c r="J682" t="e">
        <f t="shared" si="135"/>
        <v>#N/A</v>
      </c>
      <c r="K682" t="e">
        <f t="shared" si="136"/>
        <v>#N/A</v>
      </c>
      <c r="L682" t="e">
        <f t="shared" si="137"/>
        <v>#N/A</v>
      </c>
      <c r="M682" t="e">
        <f t="shared" si="138"/>
        <v>#N/A</v>
      </c>
      <c r="N682" t="e">
        <f t="shared" si="139"/>
        <v>#N/A</v>
      </c>
      <c r="O682">
        <f t="shared" si="140"/>
        <v>4.0006820000000003</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Space Grunts</v>
      </c>
      <c r="B683">
        <f>IF($A683="","",games!$B683)</f>
        <v>2016</v>
      </c>
      <c r="C683" t="str">
        <f>IF($A683="","",games!$C683)</f>
        <v>Traditional</v>
      </c>
      <c r="D683">
        <f>IF($A683="","",COUNTIF(connections!$A$2:$A$1400,$A683)+COUNTIF(connections!$B$2:$B$1400,$A683))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2016</v>
      </c>
      <c r="N683">
        <f t="shared" si="139"/>
        <v>4.069</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Spellbook Demonslayers</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Spellmasons</v>
      </c>
      <c r="B685">
        <f>IF($A685="","",games!$B685)</f>
        <v>2023</v>
      </c>
      <c r="C685" t="str">
        <f>IF($A685="","",games!$C685)</f>
        <v>Strategy</v>
      </c>
      <c r="D685">
        <f>IF($A685="","",COUNTIF(connections!$A$2:$A$1400,$A685)+COUNTIF(connections!$B$2:$B$1400,$A685))</f>
        <v>1</v>
      </c>
      <c r="E685">
        <f t="shared" si="130"/>
        <v>2</v>
      </c>
      <c r="F685">
        <f t="shared" si="131"/>
        <v>5</v>
      </c>
      <c r="G685" t="e">
        <f t="shared" si="132"/>
        <v>#N/A</v>
      </c>
      <c r="H685" t="e">
        <f t="shared" si="133"/>
        <v>#N/A</v>
      </c>
      <c r="I685">
        <f t="shared" si="134"/>
        <v>2023</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SpellRogue</v>
      </c>
      <c r="B686">
        <f>IF($A686="","",games!$B686)</f>
        <v>2024</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v>
      </c>
      <c r="B687">
        <f>IF($A687="","",games!$B687)</f>
        <v>2012</v>
      </c>
      <c r="C687" t="str">
        <f>IF($A687="","",games!$C687)</f>
        <v>Action</v>
      </c>
      <c r="D687">
        <f>IF($A687="","",COUNTIF(connections!$A$2:$A$1400,$A687)+COUNTIF(connections!$B$2:$B$1400,$A687))</f>
        <v>2</v>
      </c>
      <c r="E687">
        <f t="shared" si="130"/>
        <v>1</v>
      </c>
      <c r="F687">
        <f t="shared" si="131"/>
        <v>7</v>
      </c>
      <c r="G687">
        <f t="shared" si="132"/>
        <v>2012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Spelunky 2</v>
      </c>
      <c r="B688">
        <f>IF($A688="","",games!$B688)</f>
        <v>2020</v>
      </c>
      <c r="C688" t="str">
        <f>IF($A688="","",games!$C688)</f>
        <v>Action</v>
      </c>
      <c r="D688">
        <f>IF($A688="","",COUNTIF(connections!$A$2:$A$1400,$A688)+COUNTIF(connections!$B$2:$B$1400,$A688))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Spelunky Classic</v>
      </c>
      <c r="B689">
        <f>IF($A689="","",games!$B689)</f>
        <v>2008</v>
      </c>
      <c r="C689" t="str">
        <f>IF($A689="","",games!$C689)</f>
        <v>Action</v>
      </c>
      <c r="D689">
        <f>IF($A689="","",COUNTIF(connections!$A$2:$A$1400,$A689)+COUNTIF(connections!$B$2:$B$1400,$A689))</f>
        <v>37</v>
      </c>
      <c r="E689">
        <f t="shared" si="130"/>
        <v>1</v>
      </c>
      <c r="F689">
        <f t="shared" si="131"/>
        <v>9</v>
      </c>
      <c r="G689">
        <f t="shared" si="132"/>
        <v>2008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37.000689000000001</v>
      </c>
      <c r="P689" t="str">
        <f>IF(OR($A689="",games!$H689=""),"",games!$H689)</f>
        <v>Yes</v>
      </c>
      <c r="Q689">
        <f t="shared" si="141"/>
        <v>37.000689000000001</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Spin Hero</v>
      </c>
      <c r="B690">
        <f>IF($A690="","",games!$B690)</f>
        <v>2024</v>
      </c>
      <c r="C690" t="str">
        <f>IF($A690="","",games!$C690)</f>
        <v>Deckbuilder</v>
      </c>
      <c r="D690">
        <f>IF($A690="","",COUNTIF(connections!$A$2:$A$1400,$A690)+COUNTIF(connections!$B$2:$B$1400,$A690))</f>
        <v>3</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3.0006900000000001</v>
      </c>
      <c r="P690" t="str">
        <f>IF(OR($A690="",games!$H690=""),"",games!$H690)</f>
        <v>Yes</v>
      </c>
      <c r="Q690">
        <f t="shared" si="141"/>
        <v>3.0006900000000001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 Hunters: Infinite Horde</v>
      </c>
      <c r="B691">
        <f>IF($A691="","",games!$B691)</f>
        <v>2022</v>
      </c>
      <c r="C691" t="str">
        <f>IF($A691="","",games!$C691)</f>
        <v>Action</v>
      </c>
      <c r="D691">
        <f>IF($A691="","",COUNTIF(connections!$A$2:$A$1400,$A691)+COUNTIF(connections!$B$2:$B$1400,$A691))</f>
        <v>1</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Spiritfall</v>
      </c>
      <c r="B692">
        <f>IF($A692="","",games!$B692)</f>
        <v>2023</v>
      </c>
      <c r="C692" t="str">
        <f>IF($A692="","",games!$C692)</f>
        <v>Action</v>
      </c>
      <c r="D692">
        <f>IF($A692="","",COUNTIF(connections!$A$2:$A$1400,$A692)+COUNTIF(connections!$B$2:$B$1400,$A692))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Spirits Abyss</v>
      </c>
      <c r="B693">
        <f>IF($A693="","",games!$B693)</f>
        <v>2019</v>
      </c>
      <c r="C693" t="str">
        <f>IF($A693="","",games!$C693)</f>
        <v>Action</v>
      </c>
      <c r="D693">
        <f>IF($A693="","",COUNTIF(connections!$A$2:$A$1400,$A693)+COUNTIF(connections!$B$2:$B$1400,$A693))</f>
        <v>2</v>
      </c>
      <c r="E693">
        <f t="shared" si="130"/>
        <v>1</v>
      </c>
      <c r="F693">
        <f t="shared" si="131"/>
        <v>13</v>
      </c>
      <c r="G693">
        <f t="shared" si="132"/>
        <v>2019</v>
      </c>
      <c r="H693">
        <f t="shared" si="133"/>
        <v>1.2989999999999999</v>
      </c>
      <c r="I693" t="e">
        <f t="shared" si="134"/>
        <v>#N/A</v>
      </c>
      <c r="J693" t="e">
        <f t="shared" si="135"/>
        <v>#N/A</v>
      </c>
      <c r="K693" t="e">
        <f t="shared" si="136"/>
        <v>#N/A</v>
      </c>
      <c r="L693" t="e">
        <f t="shared" si="137"/>
        <v>#N/A</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Sproggiwood</v>
      </c>
      <c r="B694">
        <f>IF($A694="","",games!$B694)</f>
        <v>2014</v>
      </c>
      <c r="C694" t="str">
        <f>IF($A694="","",games!$C694)</f>
        <v>Traditional</v>
      </c>
      <c r="D694">
        <f>IF($A694="","",COUNTIF(connections!$A$2:$A$1400,$A694)+COUNTIF(connections!$B$2:$B$1400,$A694))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Squeaky Squad</v>
      </c>
      <c r="B695">
        <f>IF($A695="","",games!$B695)</f>
        <v>2024</v>
      </c>
      <c r="C695" t="str">
        <f>IF($A695="","",games!$C695)</f>
        <v>Action</v>
      </c>
      <c r="D695">
        <f>IF($A695="","",COUNTIF(connections!$A$2:$A$1400,$A695)+COUNTIF(connections!$B$2:$B$1400,$A695))</f>
        <v>0</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Stackflow</v>
      </c>
      <c r="B696">
        <f>IF($A696="","",games!$B696)</f>
        <v>2025</v>
      </c>
      <c r="C696" t="str">
        <f>IF($A696="","",games!$C696)</f>
        <v>Deckbuilder</v>
      </c>
      <c r="D696">
        <f>IF($A696="","",COUNTIF(connections!$A$2:$A$1400,$A696)+COUNTIF(connections!$B$2:$B$1400,$A696))</f>
        <v>2</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 of Providence</v>
      </c>
      <c r="B697">
        <f>IF($A697="","",games!$B697)</f>
        <v>2017</v>
      </c>
      <c r="C697" t="str">
        <f>IF($A697="","",games!$C697)</f>
        <v>Action</v>
      </c>
      <c r="D697">
        <f>IF($A697="","",COUNTIF(connections!$A$2:$A$1400,$A697)+COUNTIF(connections!$B$2:$B$1400,$A697))</f>
        <v>2</v>
      </c>
      <c r="E697">
        <f t="shared" si="130"/>
        <v>1</v>
      </c>
      <c r="F697">
        <f t="shared" si="131"/>
        <v>17</v>
      </c>
      <c r="G697">
        <f t="shared" si="132"/>
        <v>2017</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 Survivor</v>
      </c>
      <c r="B698">
        <f>IF($A698="","",games!$B698)</f>
        <v>2023</v>
      </c>
      <c r="C698" t="str">
        <f>IF($A698="","",games!$C698)</f>
        <v>Action</v>
      </c>
      <c r="D698">
        <f>IF($A698="","",COUNTIF(connections!$A$2:$A$1400,$A698)+COUNTIF(connections!$B$2:$B$1400,$A698))</f>
        <v>1</v>
      </c>
      <c r="E698">
        <f t="shared" si="130"/>
        <v>1</v>
      </c>
      <c r="F698">
        <f t="shared" si="131"/>
        <v>18</v>
      </c>
      <c r="G698">
        <f t="shared" si="132"/>
        <v>2023</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Starlight Revolver</v>
      </c>
      <c r="B699">
        <f>IF($A699="","",games!$B699)</f>
        <v>2025</v>
      </c>
      <c r="C699" t="str">
        <f>IF($A699="","",games!$C699)</f>
        <v>Action</v>
      </c>
      <c r="D699">
        <f>IF($A699="","",COUNTIF(connections!$A$2:$A$1400,$A699)+COUNTIF(connections!$B$2:$B$1400,$A699))</f>
        <v>1</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StarVaders</v>
      </c>
      <c r="B700">
        <f>IF($A700="","",games!$B700)</f>
        <v>2025</v>
      </c>
      <c r="C700" t="str">
        <f>IF($A700="","",games!$C700)</f>
        <v>Deckbuilder</v>
      </c>
      <c r="D700">
        <f>IF($A700="","",COUNTIF(connections!$A$2:$A$1400,$A700)+COUNTIF(connections!$B$2:$B$1400,$A700))</f>
        <v>1</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Steve's Warehouse: Physics. Roguelike. Chaos.</v>
      </c>
      <c r="B701">
        <f>IF($A701="","",games!$B701)</f>
        <v>2025</v>
      </c>
      <c r="C701" t="str">
        <f>IF($A701="","",games!$C701)</f>
        <v>Deckbuilder</v>
      </c>
      <c r="D701">
        <f>IF($A701="","",COUNTIF(connections!$A$2:$A$1400,$A701)+COUNTIF(connections!$B$2:$B$1400,$A701))</f>
        <v>3</v>
      </c>
      <c r="E701">
        <f t="shared" si="130"/>
        <v>3</v>
      </c>
      <c r="F701">
        <f t="shared" si="131"/>
        <v>21</v>
      </c>
      <c r="G701" t="e">
        <f t="shared" si="132"/>
        <v>#N/A</v>
      </c>
      <c r="H701" t="e">
        <f t="shared" si="133"/>
        <v>#N/A</v>
      </c>
      <c r="I701" t="e">
        <f t="shared" si="134"/>
        <v>#N/A</v>
      </c>
      <c r="J701" t="e">
        <f t="shared" si="135"/>
        <v>#N/A</v>
      </c>
      <c r="K701">
        <f t="shared" si="136"/>
        <v>2025</v>
      </c>
      <c r="L701">
        <f t="shared" si="137"/>
        <v>3.4830000000000001</v>
      </c>
      <c r="M701" t="e">
        <f t="shared" si="138"/>
        <v>#N/A</v>
      </c>
      <c r="N701" t="e">
        <f t="shared" si="139"/>
        <v>#N/A</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Stick It to the Stickman</v>
      </c>
      <c r="B702">
        <f>IF($A702="","",games!$B702)</f>
        <v>2025</v>
      </c>
      <c r="C702" t="str">
        <f>IF($A702="","",games!$C702)</f>
        <v>Action</v>
      </c>
      <c r="D702">
        <f>IF($A702="","",COUNTIF(connections!$A$2:$A$1400,$A702)+COUNTIF(connections!$B$2:$B$1400,$A702))</f>
        <v>0</v>
      </c>
      <c r="E702">
        <f t="shared" si="130"/>
        <v>1</v>
      </c>
      <c r="F702">
        <f t="shared" si="131"/>
        <v>22</v>
      </c>
      <c r="G702">
        <f t="shared" si="132"/>
        <v>2025</v>
      </c>
      <c r="H702">
        <f t="shared" si="133"/>
        <v>1.506</v>
      </c>
      <c r="I702" t="e">
        <f t="shared" si="134"/>
        <v>#N/A</v>
      </c>
      <c r="J702" t="e">
        <f t="shared" si="135"/>
        <v>#N/A</v>
      </c>
      <c r="K702" t="e">
        <f t="shared" si="136"/>
        <v>#N/A</v>
      </c>
      <c r="L702" t="e">
        <f t="shared" si="137"/>
        <v>#N/A</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Stoneshard</v>
      </c>
      <c r="B703">
        <f>IF($A703="","",games!$B703)</f>
        <v>2020</v>
      </c>
      <c r="C703" t="str">
        <f>IF($A703="","",games!$C703)</f>
        <v>Traditional</v>
      </c>
      <c r="D703">
        <f>IF($A703="","",COUNTIF(connections!$A$2:$A$1400,$A703)+COUNTIF(connections!$B$2:$B$1400,$A703))</f>
        <v>3</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2020</v>
      </c>
      <c r="N703">
        <f t="shared" si="139"/>
        <v>4.5289999999999999</v>
      </c>
      <c r="O703">
        <f t="shared" si="140"/>
        <v>3.0007030000000001</v>
      </c>
      <c r="P703" t="str">
        <f>IF(OR($A703="",games!$H703=""),"",games!$H703)</f>
        <v/>
      </c>
      <c r="Q703" t="str">
        <f t="shared" si="141"/>
        <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Stories from the Outbreak</v>
      </c>
      <c r="B704">
        <f>IF($A704="","",games!$B704)</f>
        <v>2023</v>
      </c>
      <c r="C704" t="str">
        <f>IF($A704="","",games!$C704)</f>
        <v>Strategy</v>
      </c>
      <c r="D704">
        <f>IF($A704="","",COUNTIF(connections!$A$2:$A$1400,$A704)+COUNTIF(connections!$B$2:$B$1400,$A704))</f>
        <v>0</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Strafe</v>
      </c>
      <c r="B705">
        <f>IF($A705="","",games!$B705)</f>
        <v>2017</v>
      </c>
      <c r="C705" t="str">
        <f>IF($A705="","",games!$C705)</f>
        <v>Action</v>
      </c>
      <c r="D705">
        <f>IF($A705="","",COUNTIF(connections!$A$2:$A$1400,$A705)+COUNTIF(connections!$B$2:$B$1400,$A705))</f>
        <v>1</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Yes</v>
      </c>
      <c r="Q705">
        <f t="shared" si="141"/>
        <v>1.000705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Strange Adventures in Infinite Space</v>
      </c>
      <c r="B706">
        <f>IF($A706="","",games!$B706)</f>
        <v>2002</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2002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Streets of Rogue</v>
      </c>
      <c r="B707">
        <f>IF($A707="","",games!$B707)</f>
        <v>2019</v>
      </c>
      <c r="C707" t="str">
        <f>IF($A707="","",games!$C707)</f>
        <v>Action</v>
      </c>
      <c r="D707">
        <f>IF($A707="","",COUNTIF(connections!$A$2:$A$1400,$A707)+COUNTIF(connections!$B$2:$B$1400,$A707))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SULFUR</v>
      </c>
      <c r="B708">
        <f>IF($A708="","",games!$B708)</f>
        <v>2024</v>
      </c>
      <c r="C708" t="str">
        <f>IF($A708="","",games!$C708)</f>
        <v>Action</v>
      </c>
      <c r="D708">
        <f>IF($A708="","",COUNTIF(connections!$A$2:$A$1400,$A708)+COUNTIF(connections!$B$2:$B$1400,$A708))</f>
        <v>1</v>
      </c>
      <c r="E708">
        <f t="shared" si="143"/>
        <v>1</v>
      </c>
      <c r="F708">
        <f t="shared" si="144"/>
        <v>28</v>
      </c>
      <c r="G708">
        <f t="shared" si="145"/>
        <v>2024</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Sundered</v>
      </c>
      <c r="B709">
        <f>IF($A709="","",games!$B709)</f>
        <v>2017</v>
      </c>
      <c r="C709" t="str">
        <f>IF($A709="","",games!$C709)</f>
        <v>Action</v>
      </c>
      <c r="D709">
        <f>IF($A709="","",COUNTIF(connections!$A$2:$A$1400,$A709)+COUNTIF(connections!$B$2:$B$1400,$A709))</f>
        <v>2</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2.0007090000000001</v>
      </c>
      <c r="P709" t="str">
        <f>IF(OR($A709="",games!$H709=""),"",games!$H709)</f>
        <v>Yes</v>
      </c>
      <c r="Q709">
        <f t="shared" si="154"/>
        <v>2.0007090000000001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Sunless Sea</v>
      </c>
      <c r="B710">
        <f>IF($A710="","",games!$B710)</f>
        <v>2015</v>
      </c>
      <c r="C710" t="str">
        <f>IF($A710="","",games!$C710)</f>
        <v>Strategy</v>
      </c>
      <c r="D710">
        <f>IF($A710="","",COUNTIF(connections!$A$2:$A$1400,$A710)+COUNTIF(connections!$B$2:$B$1400,$A710))</f>
        <v>2</v>
      </c>
      <c r="E710">
        <f t="shared" si="143"/>
        <v>2</v>
      </c>
      <c r="F710">
        <f t="shared" si="144"/>
        <v>30</v>
      </c>
      <c r="G710" t="e">
        <f t="shared" si="145"/>
        <v>#N/A</v>
      </c>
      <c r="H710" t="e">
        <f t="shared" si="146"/>
        <v>#N/A</v>
      </c>
      <c r="I710">
        <f t="shared" si="147"/>
        <v>2015</v>
      </c>
      <c r="J710">
        <f t="shared" si="148"/>
        <v>2.69</v>
      </c>
      <c r="K710" t="e">
        <f t="shared" si="149"/>
        <v>#N/A</v>
      </c>
      <c r="L710" t="e">
        <f t="shared" si="150"/>
        <v>#N/A</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Auto Pets</v>
      </c>
      <c r="B711">
        <f>IF($A711="","",games!$B711)</f>
        <v>2021</v>
      </c>
      <c r="C711" t="str">
        <f>IF($A711="","",games!$C711)</f>
        <v>Strategy</v>
      </c>
      <c r="D711">
        <f>IF($A711="","",COUNTIF(connections!$A$2:$A$1400,$A711)+COUNTIF(connections!$B$2:$B$1400,$A711))</f>
        <v>14</v>
      </c>
      <c r="E711">
        <f t="shared" si="143"/>
        <v>2</v>
      </c>
      <c r="F711">
        <f t="shared" si="144"/>
        <v>31</v>
      </c>
      <c r="G711" t="e">
        <f t="shared" si="145"/>
        <v>#N/A</v>
      </c>
      <c r="H711" t="e">
        <f t="shared" si="146"/>
        <v>#N/A</v>
      </c>
      <c r="I711">
        <f t="shared" si="147"/>
        <v>2021</v>
      </c>
      <c r="J711">
        <f t="shared" si="148"/>
        <v>2.7130000000000001</v>
      </c>
      <c r="K711" t="e">
        <f t="shared" si="149"/>
        <v>#N/A</v>
      </c>
      <c r="L711" t="e">
        <f t="shared" si="150"/>
        <v>#N/A</v>
      </c>
      <c r="M711" t="e">
        <f t="shared" si="151"/>
        <v>#N/A</v>
      </c>
      <c r="N711" t="e">
        <f t="shared" si="152"/>
        <v>#N/A</v>
      </c>
      <c r="O711">
        <f t="shared" si="153"/>
        <v>14.000711000000001</v>
      </c>
      <c r="P711" t="str">
        <f>IF(OR($A711="",games!$H711=""),"",games!$H711)</f>
        <v>Yes</v>
      </c>
      <c r="Q711">
        <f t="shared" si="154"/>
        <v>14.000711000000001</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Bullet Break</v>
      </c>
      <c r="B712">
        <f>IF($A712="","",games!$B712)</f>
        <v>2022</v>
      </c>
      <c r="C712" t="str">
        <f>IF($A712="","",games!$C712)</f>
        <v>Deckbuilder</v>
      </c>
      <c r="D712">
        <f>IF($A712="","",COUNTIF(connections!$A$2:$A$1400,$A712)+COUNTIF(connections!$B$2:$B$1400,$A712))</f>
        <v>0</v>
      </c>
      <c r="E712">
        <f t="shared" si="143"/>
        <v>3</v>
      </c>
      <c r="F712">
        <f t="shared" si="144"/>
        <v>32</v>
      </c>
      <c r="G712" t="e">
        <f t="shared" si="145"/>
        <v>#N/A</v>
      </c>
      <c r="H712" t="e">
        <f t="shared" si="146"/>
        <v>#N/A</v>
      </c>
      <c r="I712" t="e">
        <f t="shared" si="147"/>
        <v>#N/A</v>
      </c>
      <c r="J712" t="e">
        <f t="shared" si="148"/>
        <v>#N/A</v>
      </c>
      <c r="K712">
        <f t="shared" si="149"/>
        <v>2022</v>
      </c>
      <c r="L712">
        <f t="shared" si="150"/>
        <v>3.7359999999999998</v>
      </c>
      <c r="M712" t="e">
        <f t="shared" si="151"/>
        <v>#N/A</v>
      </c>
      <c r="N712" t="e">
        <f t="shared" si="152"/>
        <v>#N/A</v>
      </c>
      <c r="O712">
        <f t="shared" si="153"/>
        <v>7.1199999999999996E-4</v>
      </c>
      <c r="P712" t="str">
        <f>IF(OR($A712="",games!$H712=""),"",games!$H712)</f>
        <v>Yes</v>
      </c>
      <c r="Q712">
        <f t="shared" si="154"/>
        <v>7.1199999999999996E-4</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Fantasy Kingdom</v>
      </c>
      <c r="B713">
        <f>IF($A713="","",games!$B713)</f>
        <v>2025</v>
      </c>
      <c r="C713" t="str">
        <f>IF($A713="","",games!$C713)</f>
        <v>Strategy</v>
      </c>
      <c r="D713">
        <f>IF($A713="","",COUNTIF(connections!$A$2:$A$1400,$A713)+COUNTIF(connections!$B$2:$B$1400,$A713))</f>
        <v>3</v>
      </c>
      <c r="E713">
        <f t="shared" si="143"/>
        <v>2</v>
      </c>
      <c r="F713">
        <f t="shared" si="144"/>
        <v>33</v>
      </c>
      <c r="G713" t="e">
        <f t="shared" si="145"/>
        <v>#N/A</v>
      </c>
      <c r="H713" t="e">
        <f t="shared" si="146"/>
        <v>#N/A</v>
      </c>
      <c r="I713">
        <f t="shared" si="147"/>
        <v>2025</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Super House of Dead Ninjas</v>
      </c>
      <c r="B714">
        <f>IF($A714="","",games!$B714)</f>
        <v>2013</v>
      </c>
      <c r="C714" t="str">
        <f>IF($A714="","",games!$C714)</f>
        <v>Action</v>
      </c>
      <c r="D714">
        <f>IF($A714="","",COUNTIF(connections!$A$2:$A$1400,$A714)+COUNTIF(connections!$B$2:$B$1400,$A714))</f>
        <v>1</v>
      </c>
      <c r="E714">
        <f t="shared" si="143"/>
        <v>1</v>
      </c>
      <c r="F714">
        <f t="shared" si="144"/>
        <v>0</v>
      </c>
      <c r="G714">
        <f t="shared" si="145"/>
        <v>2013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Tax City</v>
      </c>
      <c r="B715">
        <f>IF($A715="","",games!$B715)</f>
        <v>2025</v>
      </c>
      <c r="C715" t="str">
        <f>IF($A715="","",games!$C715)</f>
        <v>Deckbuilder</v>
      </c>
      <c r="D715">
        <f>IF($A715="","",COUNTIF(connections!$A$2:$A$1400,$A715)+COUNTIF(connections!$B$2:$B$1400,$A715))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Swapmeat</v>
      </c>
      <c r="B716">
        <f>IF($A716="","",games!$B716)</f>
        <v>2025</v>
      </c>
      <c r="C716" t="str">
        <f>IF($A716="","",games!$C716)</f>
        <v>Action</v>
      </c>
      <c r="D716">
        <f>IF($A716="","",COUNTIF(connections!$A$2:$A$1400,$A716)+COUNTIF(connections!$B$2:$B$1400,$A716))</f>
        <v>3</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Swarm Grinder</v>
      </c>
      <c r="B717">
        <f>IF($A717="","",games!$B717)</f>
        <v>2023</v>
      </c>
      <c r="C717" t="str">
        <f>IF($A717="","",games!$C717)</f>
        <v>Action</v>
      </c>
      <c r="D717">
        <f>IF($A717="","",COUNTIF(connections!$A$2:$A$1400,$A717)+COUNTIF(connections!$B$2:$B$1400,$A717))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Switchcars</v>
      </c>
      <c r="B718">
        <f>IF($A718="","",games!$B718)</f>
        <v>2016</v>
      </c>
      <c r="C718" t="str">
        <f>IF($A718="","",games!$C718)</f>
        <v>Action</v>
      </c>
      <c r="D718">
        <f>IF($A718="","",COUNTIF(connections!$A$2:$A$1400,$A718)+COUNTIF(connections!$B$2:$B$1400,$A718))</f>
        <v>3</v>
      </c>
      <c r="E718">
        <f t="shared" si="143"/>
        <v>1</v>
      </c>
      <c r="F718">
        <f t="shared" si="144"/>
        <v>4</v>
      </c>
      <c r="G718">
        <f t="shared" si="145"/>
        <v>2016</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Fargoal</v>
      </c>
      <c r="B719">
        <f>IF($A719="","",games!$B719)</f>
        <v>1982</v>
      </c>
      <c r="C719" t="str">
        <f>IF($A719="","",games!$C719)</f>
        <v>Traditional</v>
      </c>
      <c r="D719">
        <f>IF($A719="","",COUNTIF(connections!$A$2:$A$1400,$A719)+COUNTIF(connections!$B$2:$B$1400,$A719))</f>
        <v>1</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1982</v>
      </c>
      <c r="N719">
        <f t="shared" si="152"/>
        <v>4.1150000000000002</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Necromancer</v>
      </c>
      <c r="B720">
        <f>IF($A720="","",games!$B720)</f>
        <v>2021</v>
      </c>
      <c r="C720" t="str">
        <f>IF($A720="","",games!$C720)</f>
        <v>Action</v>
      </c>
      <c r="D720">
        <f>IF($A720="","",COUNTIF(connections!$A$2:$A$1400,$A720)+COUNTIF(connections!$B$2:$B$1400,$A720))</f>
        <v>3</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 of the Necromancer: Resurrection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
      </c>
      <c r="Q721" t="str">
        <f t="shared" si="154"/>
        <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Sword of the Stars: The Pit</v>
      </c>
      <c r="B722">
        <f>IF($A722="","",games!$B722)</f>
        <v>2013</v>
      </c>
      <c r="C722" t="str">
        <f>IF($A722="","",games!$C722)</f>
        <v>Traditional</v>
      </c>
      <c r="D722">
        <f>IF($A722="","",COUNTIF(connections!$A$2:$A$1400,$A722)+COUNTIF(connections!$B$2:$B$1400,$A722))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2013</v>
      </c>
      <c r="N722">
        <f t="shared" si="152"/>
        <v>4.1840000000000002</v>
      </c>
      <c r="O722">
        <f t="shared" si="153"/>
        <v>3.0007220000000001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Swordship</v>
      </c>
      <c r="B723">
        <f>IF($A723="","",games!$B723)</f>
        <v>2022</v>
      </c>
      <c r="C723" t="str">
        <f>IF($A723="","",games!$C723)</f>
        <v>Action</v>
      </c>
      <c r="D723">
        <f>IF($A723="","",COUNTIF(connections!$A$2:$A$1400,$A723)+COUNTIF(connections!$B$2:$B$1400,$A723))</f>
        <v>1</v>
      </c>
      <c r="E723">
        <f t="shared" si="143"/>
        <v>1</v>
      </c>
      <c r="F723">
        <f t="shared" si="144"/>
        <v>9</v>
      </c>
      <c r="G723">
        <f t="shared" si="145"/>
        <v>2022</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Sworn</v>
      </c>
      <c r="B724">
        <f>IF($A724="","",games!$B724)</f>
        <v>2025</v>
      </c>
      <c r="C724" t="str">
        <f>IF($A724="","",games!$C724)</f>
        <v>Action</v>
      </c>
      <c r="D724">
        <f>IF($A724="","",COUNTIF(connections!$A$2:$A$1400,$A724)+COUNTIF(connections!$B$2:$B$1400,$A724))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Synthetik 2</v>
      </c>
      <c r="B725">
        <f>IF($A725="","",games!$B725)</f>
        <v>2021</v>
      </c>
      <c r="C725" t="str">
        <f>IF($A725="","",games!$C725)</f>
        <v>Action</v>
      </c>
      <c r="D725">
        <f>IF($A725="","",COUNTIF(connections!$A$2:$A$1400,$A725)+COUNTIF(connections!$B$2:$B$1400,$A725))</f>
        <v>1</v>
      </c>
      <c r="E725">
        <f t="shared" si="143"/>
        <v>1</v>
      </c>
      <c r="F725">
        <f t="shared" si="144"/>
        <v>11</v>
      </c>
      <c r="G725">
        <f t="shared" si="145"/>
        <v>2021</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Synthetik: Legion Rising</v>
      </c>
      <c r="B726">
        <f>IF($A726="","",games!$B726)</f>
        <v>2018</v>
      </c>
      <c r="C726" t="str">
        <f>IF($A726="","",games!$C726)</f>
        <v>Action</v>
      </c>
      <c r="D726">
        <f>IF($A726="","",COUNTIF(connections!$A$2:$A$1400,$A726)+COUNTIF(connections!$B$2:$B$1400,$A726))</f>
        <v>2</v>
      </c>
      <c r="E726">
        <f t="shared" si="143"/>
        <v>1</v>
      </c>
      <c r="F726">
        <f t="shared" si="144"/>
        <v>12</v>
      </c>
      <c r="G726">
        <f t="shared" si="145"/>
        <v>2018</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Tabletop Tavern</v>
      </c>
      <c r="B727">
        <f>IF($A727="","",games!$B727)</f>
        <v>2026</v>
      </c>
      <c r="C727" t="str">
        <f>IF($A727="","",games!$C727)</f>
        <v>Strategy</v>
      </c>
      <c r="D727">
        <f>IF($A727="","",COUNTIF(connections!$A$2:$A$1400,$A727)+COUNTIF(connections!$B$2:$B$1400,$A727))</f>
        <v>2</v>
      </c>
      <c r="E727">
        <f t="shared" si="143"/>
        <v>2</v>
      </c>
      <c r="F727">
        <f t="shared" si="144"/>
        <v>13</v>
      </c>
      <c r="G727" t="e">
        <f t="shared" si="145"/>
        <v>#N/A</v>
      </c>
      <c r="H727" t="e">
        <f t="shared" si="146"/>
        <v>#N/A</v>
      </c>
      <c r="I727">
        <f t="shared" si="147"/>
        <v>2026</v>
      </c>
      <c r="J727">
        <f t="shared" si="148"/>
        <v>2.2989999999999999</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Tainted Grail: Conquest</v>
      </c>
      <c r="B728">
        <f>IF($A728="","",games!$B728)</f>
        <v>2020</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2020</v>
      </c>
      <c r="L728">
        <f t="shared" si="150"/>
        <v>3.3220000000000001</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Talented</v>
      </c>
      <c r="B729">
        <f>IF($A729="","",games!$B729)</f>
        <v>2023</v>
      </c>
      <c r="C729" t="str">
        <f>IF($A729="","",games!$C729)</f>
        <v>Action</v>
      </c>
      <c r="D729">
        <f>IF($A729="","",COUNTIF(connections!$A$2:$A$1400,$A729)+COUNTIF(connections!$B$2:$B$1400,$A729))</f>
        <v>2</v>
      </c>
      <c r="E729">
        <f t="shared" si="143"/>
        <v>1</v>
      </c>
      <c r="F729">
        <f t="shared" si="144"/>
        <v>15</v>
      </c>
      <c r="G729">
        <f t="shared" si="145"/>
        <v>2023</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Tales of Maj'Eyal</v>
      </c>
      <c r="B730">
        <f>IF($A730="","",games!$B730)</f>
        <v>1998</v>
      </c>
      <c r="C730" t="str">
        <f>IF($A730="","",games!$C730)</f>
        <v>Traditional</v>
      </c>
      <c r="D730">
        <f>IF($A730="","",COUNTIF(connections!$A$2:$A$1400,$A730)+COUNTIF(connections!$B$2:$B$1400,$A730))</f>
        <v>9</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1998</v>
      </c>
      <c r="N730">
        <f t="shared" si="152"/>
        <v>4.3680000000000003</v>
      </c>
      <c r="O730">
        <f t="shared" si="153"/>
        <v>9.0007300000000008</v>
      </c>
      <c r="P730" t="str">
        <f>IF(OR($A730="",games!$H730=""),"",games!$H730)</f>
        <v>Yes</v>
      </c>
      <c r="Q730">
        <f t="shared" si="154"/>
        <v>9.0007300000000008</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Talespinner</v>
      </c>
      <c r="B731">
        <f>IF($A731="","",games!$B731)</f>
        <v>2026</v>
      </c>
      <c r="C731" t="str">
        <f>IF($A731="","",games!$C731)</f>
        <v>Deckbuilder</v>
      </c>
      <c r="D731">
        <f>IF($A731="","",COUNTIF(connections!$A$2:$A$1400,$A731)+COUNTIF(connections!$B$2:$B$1400,$A731))</f>
        <v>1</v>
      </c>
      <c r="E731">
        <f t="shared" si="143"/>
        <v>3</v>
      </c>
      <c r="F731">
        <f t="shared" si="144"/>
        <v>17</v>
      </c>
      <c r="G731" t="e">
        <f t="shared" si="145"/>
        <v>#N/A</v>
      </c>
      <c r="H731" t="e">
        <f t="shared" si="146"/>
        <v>#N/A</v>
      </c>
      <c r="I731" t="e">
        <f t="shared" si="147"/>
        <v>#N/A</v>
      </c>
      <c r="J731" t="e">
        <f t="shared" si="148"/>
        <v>#N/A</v>
      </c>
      <c r="K731">
        <f t="shared" si="149"/>
        <v>2026</v>
      </c>
      <c r="L731">
        <f t="shared" si="150"/>
        <v>3.391</v>
      </c>
      <c r="M731" t="e">
        <f t="shared" si="151"/>
        <v>#N/A</v>
      </c>
      <c r="N731" t="e">
        <f t="shared" si="152"/>
        <v>#N/A</v>
      </c>
      <c r="O731">
        <f t="shared" si="153"/>
        <v>1.000731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Tangledeep</v>
      </c>
      <c r="B732">
        <f>IF($A732="","",games!$B732)</f>
        <v>2017</v>
      </c>
      <c r="C732" t="str">
        <f>IF($A732="","",games!$C732)</f>
        <v>Traditional</v>
      </c>
      <c r="D732">
        <f>IF($A732="","",COUNTIF(connections!$A$2:$A$1400,$A732)+COUNTIF(connections!$B$2:$B$1400,$A732))</f>
        <v>4</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2017</v>
      </c>
      <c r="N732">
        <f t="shared" si="152"/>
        <v>4.4139999999999997</v>
      </c>
      <c r="O732">
        <f t="shared" si="153"/>
        <v>4.0007320000000002</v>
      </c>
      <c r="P732" t="str">
        <f>IF(OR($A732="",games!$H732=""),"",games!$H732)</f>
        <v>Yes</v>
      </c>
      <c r="Q732">
        <f t="shared" si="154"/>
        <v>4.0007320000000002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Tangy TD</v>
      </c>
      <c r="B733">
        <f>IF($A733="","",games!$B733)</f>
        <v>2026</v>
      </c>
      <c r="C733" t="str">
        <f>IF($A733="","",games!$C733)</f>
        <v>Strategy</v>
      </c>
      <c r="D733">
        <f>IF($A733="","",COUNTIF(connections!$A$2:$A$1400,$A733)+COUNTIF(connections!$B$2:$B$1400,$A733))</f>
        <v>0</v>
      </c>
      <c r="E733">
        <f t="shared" si="143"/>
        <v>2</v>
      </c>
      <c r="F733">
        <f t="shared" si="144"/>
        <v>19</v>
      </c>
      <c r="G733" t="e">
        <f t="shared" si="145"/>
        <v>#N/A</v>
      </c>
      <c r="H733" t="e">
        <f t="shared" si="146"/>
        <v>#N/A</v>
      </c>
      <c r="I733">
        <f t="shared" si="147"/>
        <v>2026</v>
      </c>
      <c r="J733">
        <f t="shared" si="148"/>
        <v>2.4369999999999998</v>
      </c>
      <c r="K733" t="e">
        <f t="shared" si="149"/>
        <v>#N/A</v>
      </c>
      <c r="L733" t="e">
        <f t="shared" si="150"/>
        <v>#N/A</v>
      </c>
      <c r="M733" t="e">
        <f t="shared" si="151"/>
        <v>#N/A</v>
      </c>
      <c r="N733" t="e">
        <f t="shared" si="152"/>
        <v>#N/A</v>
      </c>
      <c r="O733">
        <f t="shared" si="153"/>
        <v>7.3300000000000004E-4</v>
      </c>
      <c r="P733" t="str">
        <f>IF(OR($A733="",games!$H733=""),"",games!$H733)</f>
        <v>Yes</v>
      </c>
      <c r="Q733">
        <f t="shared" si="154"/>
        <v>7.3300000000000004E-4</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Tao's Adventure: Curse of the Demon Seal</v>
      </c>
      <c r="B734">
        <f>IF($A734="","",games!$B734)</f>
        <v>2006</v>
      </c>
      <c r="C734" t="str">
        <f>IF($A734="","",games!$C734)</f>
        <v>Traditional</v>
      </c>
      <c r="D734">
        <f>IF($A734="","",COUNTIF(connections!$A$2:$A$1400,$A734)+COUNTIF(connections!$B$2:$B$1400,$A734))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Tape to Tape</v>
      </c>
      <c r="B735">
        <f>IF($A735="","",games!$B735)</f>
        <v>2023</v>
      </c>
      <c r="C735" t="str">
        <f>IF($A735="","",games!$C735)</f>
        <v>Action</v>
      </c>
      <c r="D735">
        <f>IF($A735="","",COUNTIF(connections!$A$2:$A$1400,$A735)+COUNTIF(connections!$B$2:$B$1400,$A735))</f>
        <v>2</v>
      </c>
      <c r="E735">
        <f t="shared" si="143"/>
        <v>1</v>
      </c>
      <c r="F735">
        <f t="shared" si="144"/>
        <v>21</v>
      </c>
      <c r="G735">
        <f t="shared" si="145"/>
        <v>2023</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Teamfight Tactics</v>
      </c>
      <c r="B736">
        <f>IF($A736="","",games!$B736)</f>
        <v>2019</v>
      </c>
      <c r="C736" t="str">
        <f>IF($A736="","",games!$C736)</f>
        <v>Strategy</v>
      </c>
      <c r="D736">
        <f>IF($A736="","",COUNTIF(connections!$A$2:$A$1400,$A736)+COUNTIF(connections!$B$2:$B$1400,$A736))</f>
        <v>6</v>
      </c>
      <c r="E736">
        <f t="shared" si="143"/>
        <v>2</v>
      </c>
      <c r="F736">
        <f t="shared" si="144"/>
        <v>22</v>
      </c>
      <c r="G736" t="e">
        <f t="shared" si="145"/>
        <v>#N/A</v>
      </c>
      <c r="H736" t="e">
        <f t="shared" si="146"/>
        <v>#N/A</v>
      </c>
      <c r="I736">
        <f t="shared" si="147"/>
        <v>2019</v>
      </c>
      <c r="J736">
        <f t="shared" si="148"/>
        <v>2.5060000000000002</v>
      </c>
      <c r="K736" t="e">
        <f t="shared" si="149"/>
        <v>#N/A</v>
      </c>
      <c r="L736" t="e">
        <f t="shared" si="150"/>
        <v>#N/A</v>
      </c>
      <c r="M736" t="e">
        <f t="shared" si="151"/>
        <v>#N/A</v>
      </c>
      <c r="N736" t="e">
        <f t="shared" si="152"/>
        <v>#N/A</v>
      </c>
      <c r="O736">
        <f t="shared" si="153"/>
        <v>6.0007359999999998</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Tears of Metal</v>
      </c>
      <c r="B737">
        <f>IF($A737="","",games!$B737)</f>
        <v>2026</v>
      </c>
      <c r="C737" t="str">
        <f>IF($A737="","",games!$C737)</f>
        <v>Action</v>
      </c>
      <c r="D737">
        <f>IF($A737="","",COUNTIF(connections!$A$2:$A$1400,$A737)+COUNTIF(connections!$B$2:$B$1400,$A737))</f>
        <v>1</v>
      </c>
      <c r="E737">
        <f t="shared" si="143"/>
        <v>1</v>
      </c>
      <c r="F737">
        <f t="shared" si="144"/>
        <v>23</v>
      </c>
      <c r="G737">
        <f t="shared" si="145"/>
        <v>2026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Teenage Mutant Ninja Turtles: Splintered Fate</v>
      </c>
      <c r="B738">
        <f>IF($A738="","",games!$B738)</f>
        <v>2024</v>
      </c>
      <c r="C738" t="str">
        <f>IF($A738="","",games!$C738)</f>
        <v>Action</v>
      </c>
      <c r="D738">
        <f>IF($A738="","",COUNTIF(connections!$A$2:$A$1400,$A738)+COUNTIF(connections!$B$2:$B$1400,$A738))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Temtem: Swarm</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Terraformers</v>
      </c>
      <c r="B740">
        <f>IF($A740="","",games!$B740)</f>
        <v>2022</v>
      </c>
      <c r="C740" t="str">
        <f>IF($A740="","",games!$C740)</f>
        <v>Strategy</v>
      </c>
      <c r="D740">
        <f>IF($A740="","",COUNTIF(connections!$A$2:$A$1400,$A740)+COUNTIF(connections!$B$2:$B$1400,$A740))</f>
        <v>1</v>
      </c>
      <c r="E740">
        <f t="shared" si="143"/>
        <v>2</v>
      </c>
      <c r="F740">
        <f t="shared" si="144"/>
        <v>26</v>
      </c>
      <c r="G740" t="e">
        <f t="shared" si="145"/>
        <v>#N/A</v>
      </c>
      <c r="H740" t="e">
        <f t="shared" si="146"/>
        <v>#N/A</v>
      </c>
      <c r="I740">
        <f t="shared" si="147"/>
        <v>2022</v>
      </c>
      <c r="J740">
        <f t="shared" si="148"/>
        <v>2.5979999999999999</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TerraTech Legion</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TerRoguelike</v>
      </c>
      <c r="B742">
        <f>IF($A742="","",games!$B742)</f>
        <v>2024</v>
      </c>
      <c r="C742" t="str">
        <f>IF($A742="","",games!$C742)</f>
        <v>Action</v>
      </c>
      <c r="D742">
        <f>IF($A742="","",COUNTIF(connections!$A$2:$A$1400,$A742)+COUNTIF(connections!$B$2:$B$1400,$A742))</f>
        <v>1</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Bazaar</v>
      </c>
      <c r="B743">
        <f>IF($A743="","",games!$B743)</f>
        <v>2025</v>
      </c>
      <c r="C743" t="str">
        <f>IF($A743="","",games!$C743)</f>
        <v>Strategy</v>
      </c>
      <c r="D743">
        <f>IF($A743="","",COUNTIF(connections!$A$2:$A$1400,$A743)+COUNTIF(connections!$B$2:$B$1400,$A743))</f>
        <v>4</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4.0007429999999999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Binding of Isaac</v>
      </c>
      <c r="B744">
        <f>IF($A744="","",games!$B744)</f>
        <v>2011</v>
      </c>
      <c r="C744" t="str">
        <f>IF($A744="","",games!$C744)</f>
        <v>Action</v>
      </c>
      <c r="D744">
        <f>IF($A744="","",COUNTIF(connections!$A$2:$A$1400,$A744)+COUNTIF(connections!$B$2:$B$1400,$A744))</f>
        <v>70</v>
      </c>
      <c r="E744">
        <f t="shared" si="143"/>
        <v>1</v>
      </c>
      <c r="F744">
        <f t="shared" si="144"/>
        <v>30</v>
      </c>
      <c r="G744">
        <f t="shared" si="145"/>
        <v>2011</v>
      </c>
      <c r="H744">
        <f t="shared" si="146"/>
        <v>1.69</v>
      </c>
      <c r="I744" t="e">
        <f t="shared" si="147"/>
        <v>#N/A</v>
      </c>
      <c r="J744" t="e">
        <f t="shared" si="148"/>
        <v>#N/A</v>
      </c>
      <c r="K744" t="e">
        <f t="shared" si="149"/>
        <v>#N/A</v>
      </c>
      <c r="L744" t="e">
        <f t="shared" si="150"/>
        <v>#N/A</v>
      </c>
      <c r="M744" t="e">
        <f t="shared" si="151"/>
        <v>#N/A</v>
      </c>
      <c r="N744" t="e">
        <f t="shared" si="152"/>
        <v>#N/A</v>
      </c>
      <c r="O744">
        <f t="shared" si="153"/>
        <v>70.000743999999997</v>
      </c>
      <c r="P744" t="str">
        <f>IF(OR($A744="",games!$H744=""),"",games!$H744)</f>
        <v>Yes</v>
      </c>
      <c r="Q744">
        <f t="shared" si="154"/>
        <v>70.000743999999997</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Binding of Isaac: Rebirth</v>
      </c>
      <c r="B745">
        <f>IF($A745="","",games!$B745)</f>
        <v>2014</v>
      </c>
      <c r="C745" t="str">
        <f>IF($A745="","",games!$C745)</f>
        <v>Action</v>
      </c>
      <c r="D745">
        <f>IF($A745="","",COUNTIF(connections!$A$2:$A$1400,$A745)+COUNTIF(connections!$B$2:$B$1400,$A745))</f>
        <v>1</v>
      </c>
      <c r="E745">
        <f t="shared" si="143"/>
        <v>1</v>
      </c>
      <c r="F745">
        <f t="shared" si="144"/>
        <v>31</v>
      </c>
      <c r="G745">
        <f t="shared" si="145"/>
        <v>2014</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Doors of Trithius</v>
      </c>
      <c r="B746">
        <f>IF($A746="","",games!$B746)</f>
        <v>2021</v>
      </c>
      <c r="C746" t="str">
        <f>IF($A746="","",games!$C746)</f>
        <v>Traditional</v>
      </c>
      <c r="D746">
        <f>IF($A746="","",COUNTIF(connections!$A$2:$A$1400,$A746)+COUNTIF(connections!$B$2:$B$1400,$A746))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2021</v>
      </c>
      <c r="N746">
        <f t="shared" si="152"/>
        <v>4.7359999999999998</v>
      </c>
      <c r="O746">
        <f t="shared" si="153"/>
        <v>3.0007459999999999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Dungeon RPG</v>
      </c>
      <c r="B747">
        <f>IF($A747="","",games!$B747)</f>
        <v>2000</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2000</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Fable: Manga Build Roguelike</v>
      </c>
      <c r="B748">
        <f>IF($A748="","",games!$B748)</f>
        <v>2025</v>
      </c>
      <c r="C748" t="str">
        <f>IF($A748="","",games!$C748)</f>
        <v>Deckbuilder</v>
      </c>
      <c r="D748">
        <f>IF($A748="","",COUNTIF(connections!$A$2:$A$1400,$A748)+COUNTIF(connections!$B$2:$B$1400,$A748))</f>
        <v>0</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7.4799999999999997E-4</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Flame in the Flood</v>
      </c>
      <c r="B749">
        <f>IF($A749="","",games!$B749)</f>
        <v>2016</v>
      </c>
      <c r="C749" t="str">
        <f>IF($A749="","",games!$C749)</f>
        <v>Action</v>
      </c>
      <c r="D749">
        <f>IF($A749="","",COUNTIF(connections!$A$2:$A$1400,$A749)+COUNTIF(connections!$B$2:$B$1400,$A749))</f>
        <v>1</v>
      </c>
      <c r="E749">
        <f t="shared" si="143"/>
        <v>1</v>
      </c>
      <c r="F749">
        <f t="shared" si="144"/>
        <v>1</v>
      </c>
      <c r="G749">
        <f t="shared" si="145"/>
        <v>2016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Ground Gives Way</v>
      </c>
      <c r="B750">
        <f>IF($A750="","",games!$B750)</f>
        <v>2014</v>
      </c>
      <c r="C750" t="str">
        <f>IF($A750="","",games!$C750)</f>
        <v>Traditional</v>
      </c>
      <c r="D750">
        <f>IF($A750="","",COUNTIF(connections!$A$2:$A$1400,$A750)+COUNTIF(connections!$B$2:$B$1400,$A750))</f>
        <v>4</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4.00075</v>
      </c>
      <c r="P750" t="str">
        <f>IF(OR($A750="",games!$H750=""),"",games!$H750)</f>
        <v>Yes</v>
      </c>
      <c r="Q750">
        <f t="shared" si="154"/>
        <v>4.00075</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Guided Fate Paradox</v>
      </c>
      <c r="B751">
        <f>IF($A751="","",games!$B751)</f>
        <v>2013</v>
      </c>
      <c r="C751" t="str">
        <f>IF($A751="","",games!$C751)</f>
        <v>Traditional</v>
      </c>
      <c r="D751">
        <f>IF($A751="","",COUNTIF(connections!$A$2:$A$1400,$A751)+COUNTIF(connections!$B$2:$B$1400,$A751))</f>
        <v>1</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2013</v>
      </c>
      <c r="N751">
        <f t="shared" si="152"/>
        <v>4.069</v>
      </c>
      <c r="O751">
        <f t="shared" si="153"/>
        <v>1.0007509999999999</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King is Watching</v>
      </c>
      <c r="B752">
        <f>IF($A752="","",games!$B752)</f>
        <v>2025</v>
      </c>
      <c r="C752" t="str">
        <f>IF($A752="","",games!$C752)</f>
        <v>Strategy</v>
      </c>
      <c r="D752">
        <f>IF($A752="","",COUNTIF(connections!$A$2:$A$1400,$A752)+COUNTIF(connections!$B$2:$B$1400,$A752))</f>
        <v>0</v>
      </c>
      <c r="E752">
        <f t="shared" si="143"/>
        <v>2</v>
      </c>
      <c r="F752">
        <f t="shared" si="144"/>
        <v>4</v>
      </c>
      <c r="G752" t="e">
        <f t="shared" si="145"/>
        <v>#N/A</v>
      </c>
      <c r="H752" t="e">
        <f t="shared" si="146"/>
        <v>#N/A</v>
      </c>
      <c r="I752">
        <f t="shared" si="147"/>
        <v>2025</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Flame</v>
      </c>
      <c r="B753">
        <f>IF($A753="","",games!$B753)</f>
        <v>2024</v>
      </c>
      <c r="C753" t="str">
        <f>IF($A753="","",games!$C753)</f>
        <v>Strategy</v>
      </c>
      <c r="D753">
        <f>IF($A753="","",COUNTIF(connections!$A$2:$A$1400,$A753)+COUNTIF(connections!$B$2:$B$1400,$A753))</f>
        <v>2</v>
      </c>
      <c r="E753">
        <f t="shared" si="143"/>
        <v>2</v>
      </c>
      <c r="F753">
        <f t="shared" si="144"/>
        <v>5</v>
      </c>
      <c r="G753" t="e">
        <f t="shared" si="145"/>
        <v>#N/A</v>
      </c>
      <c r="H753" t="e">
        <f t="shared" si="146"/>
        <v>#N/A</v>
      </c>
      <c r="I753">
        <f t="shared" si="147"/>
        <v>2024</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Last Game</v>
      </c>
      <c r="B754">
        <f>IF($A754="","",games!$B754)</f>
        <v>2023</v>
      </c>
      <c r="C754" t="str">
        <f>IF($A754="","",games!$C754)</f>
        <v>Action</v>
      </c>
      <c r="D754">
        <f>IF($A754="","",COUNTIF(connections!$A$2:$A$1400,$A754)+COUNTIF(connections!$B$2:$B$1400,$A754))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Last Spell</v>
      </c>
      <c r="B755">
        <f>IF($A755="","",games!$B755)</f>
        <v>2021</v>
      </c>
      <c r="C755" t="str">
        <f>IF($A755="","",games!$C755)</f>
        <v>Strategy</v>
      </c>
      <c r="D755">
        <f>IF($A755="","",COUNTIF(connections!$A$2:$A$1400,$A755)+COUNTIF(connections!$B$2:$B$1400,$A755))</f>
        <v>3</v>
      </c>
      <c r="E755">
        <f t="shared" si="143"/>
        <v>2</v>
      </c>
      <c r="F755">
        <f t="shared" si="144"/>
        <v>7</v>
      </c>
      <c r="G755" t="e">
        <f t="shared" si="145"/>
        <v>#N/A</v>
      </c>
      <c r="H755" t="e">
        <f t="shared" si="146"/>
        <v>#N/A</v>
      </c>
      <c r="I755">
        <f t="shared" si="147"/>
        <v>2021</v>
      </c>
      <c r="J755">
        <f t="shared" si="148"/>
        <v>2.161</v>
      </c>
      <c r="K755" t="e">
        <f t="shared" si="149"/>
        <v>#N/A</v>
      </c>
      <c r="L755" t="e">
        <f t="shared" si="150"/>
        <v>#N/A</v>
      </c>
      <c r="M755" t="e">
        <f t="shared" si="151"/>
        <v>#N/A</v>
      </c>
      <c r="N755" t="e">
        <f t="shared" si="152"/>
        <v>#N/A</v>
      </c>
      <c r="O755">
        <f t="shared" si="153"/>
        <v>3.0007549999999998</v>
      </c>
      <c r="P755" t="str">
        <f>IF(OR($A755="",games!$H755=""),"",games!$H755)</f>
        <v>Yes</v>
      </c>
      <c r="Q755">
        <f t="shared" si="154"/>
        <v>3.0007549999999998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Legend of Bum-Bo</v>
      </c>
      <c r="B756">
        <f>IF($A756="","",games!$B756)</f>
        <v>2019</v>
      </c>
      <c r="C756" t="str">
        <f>IF($A756="","",games!$C756)</f>
        <v>Strategy</v>
      </c>
      <c r="D756">
        <f>IF($A756="","",COUNTIF(connections!$A$2:$A$1400,$A756)+COUNTIF(connections!$B$2:$B$1400,$A756))</f>
        <v>3</v>
      </c>
      <c r="E756">
        <f t="shared" si="143"/>
        <v>2</v>
      </c>
      <c r="F756">
        <f t="shared" si="144"/>
        <v>8</v>
      </c>
      <c r="G756" t="e">
        <f t="shared" si="145"/>
        <v>#N/A</v>
      </c>
      <c r="H756" t="e">
        <f t="shared" si="146"/>
        <v>#N/A</v>
      </c>
      <c r="I756">
        <f t="shared" si="147"/>
        <v>2019</v>
      </c>
      <c r="J756">
        <f t="shared" si="148"/>
        <v>2.1840000000000002</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Nightmare of Druaga</v>
      </c>
      <c r="B757">
        <f>IF($A757="","",games!$B757)</f>
        <v>2004</v>
      </c>
      <c r="C757" t="str">
        <f>IF($A757="","",games!$C757)</f>
        <v>Traditional</v>
      </c>
      <c r="D757">
        <f>IF($A757="","",COUNTIF(connections!$A$2:$A$1400,$A757)+COUNTIF(connections!$B$2:$B$1400,$A757))</f>
        <v>1</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2004</v>
      </c>
      <c r="N757">
        <f t="shared" si="152"/>
        <v>4.2069999999999999</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Ouroboros King</v>
      </c>
      <c r="B758">
        <f>IF($A758="","",games!$B758)</f>
        <v>2023</v>
      </c>
      <c r="C758" t="str">
        <f>IF($A758="","",games!$C758)</f>
        <v>Strategy</v>
      </c>
      <c r="D758">
        <f>IF($A758="","",COUNTIF(connections!$A$2:$A$1400,$A758)+COUNTIF(connections!$B$2:$B$1400,$A758))</f>
        <v>4</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Rogue Prince of Persia</v>
      </c>
      <c r="B759">
        <f>IF($A759="","",games!$B759)</f>
        <v>2024</v>
      </c>
      <c r="C759" t="str">
        <f>IF($A759="","",games!$C759)</f>
        <v>Action</v>
      </c>
      <c r="D759">
        <f>IF($A759="","",COUNTIF(connections!$A$2:$A$1400,$A759)+COUNTIF(connections!$B$2:$B$1400,$A759))</f>
        <v>1</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Royal Writ</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Spell Brigade</v>
      </c>
      <c r="B761">
        <f>IF($A761="","",games!$B761)</f>
        <v>2024</v>
      </c>
      <c r="C761" t="str">
        <f>IF($A761="","",games!$C761)</f>
        <v>Action</v>
      </c>
      <c r="D761">
        <f>IF($A761="","",COUNTIF(connections!$A$2:$A$1400,$A761)+COUNTIF(connections!$B$2:$B$1400,$A761))</f>
        <v>3</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Spirit Lift</v>
      </c>
      <c r="B762">
        <f>IF($A762="","",games!$B762)</f>
        <v>2026</v>
      </c>
      <c r="C762" t="str">
        <f>IF($A762="","",games!$C762)</f>
        <v>Deckbuilder</v>
      </c>
      <c r="D762">
        <f>IF($A762="","",COUNTIF(connections!$A$2:$A$1400,$A762)+COUNTIF(connections!$B$2:$B$1400,$A762))</f>
        <v>2</v>
      </c>
      <c r="E762">
        <f t="shared" si="143"/>
        <v>3</v>
      </c>
      <c r="F762">
        <f t="shared" si="144"/>
        <v>14</v>
      </c>
      <c r="G762" t="e">
        <f t="shared" si="145"/>
        <v>#N/A</v>
      </c>
      <c r="H762" t="e">
        <f t="shared" si="146"/>
        <v>#N/A</v>
      </c>
      <c r="I762" t="e">
        <f t="shared" si="147"/>
        <v>#N/A</v>
      </c>
      <c r="J762" t="e">
        <f t="shared" si="148"/>
        <v>#N/A</v>
      </c>
      <c r="K762">
        <f t="shared" si="149"/>
        <v>2026</v>
      </c>
      <c r="L762">
        <f t="shared" si="150"/>
        <v>3.3220000000000001</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Unliving</v>
      </c>
      <c r="B763">
        <f>IF($A763="","",games!$B763)</f>
        <v>2022</v>
      </c>
      <c r="C763" t="str">
        <f>IF($A763="","",games!$C763)</f>
        <v>Action</v>
      </c>
      <c r="D763">
        <f>IF($A763="","",COUNTIF(connections!$A$2:$A$1400,$A763)+COUNTIF(connections!$B$2:$B$1400,$A763))</f>
        <v>3</v>
      </c>
      <c r="E763">
        <f t="shared" si="143"/>
        <v>1</v>
      </c>
      <c r="F763">
        <f t="shared" si="144"/>
        <v>15</v>
      </c>
      <c r="G763">
        <f t="shared" si="145"/>
        <v>2022</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Void Rains Upon Her Heart</v>
      </c>
      <c r="B764">
        <f>IF($A764="","",games!$B764)</f>
        <v>2018</v>
      </c>
      <c r="C764" t="str">
        <f>IF($A764="","",games!$C764)</f>
        <v>Action</v>
      </c>
      <c r="D764">
        <f>IF($A764="","",COUNTIF(connections!$A$2:$A$1400,$A764)+COUNTIF(connections!$B$2:$B$1400,$A764))</f>
        <v>1</v>
      </c>
      <c r="E764">
        <f t="shared" si="143"/>
        <v>1</v>
      </c>
      <c r="F764">
        <f t="shared" si="144"/>
        <v>16</v>
      </c>
      <c r="G764">
        <f t="shared" si="145"/>
        <v>2018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World is Your Weapon</v>
      </c>
      <c r="B765">
        <f>IF($A765="","",games!$B765)</f>
        <v>2014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There Are No Orcs</v>
      </c>
      <c r="B766">
        <f>IF($A766="","",games!$B766)</f>
        <v>2025</v>
      </c>
      <c r="C766" t="str">
        <f>IF($A766="","",games!$C766)</f>
        <v>Strategy</v>
      </c>
      <c r="D766">
        <f>IF($A766="","",COUNTIF(connections!$A$2:$A$1400,$A766)+COUNTIF(connections!$B$2:$B$1400,$A766))</f>
        <v>0</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7.6599999999999997E-4</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Tic Tactic</v>
      </c>
      <c r="B767">
        <f>IF($A767="","",games!$B767)</f>
        <v>2025</v>
      </c>
      <c r="C767" t="str">
        <f>IF($A767="","",games!$C767)</f>
        <v>Deckbuilder</v>
      </c>
      <c r="D767">
        <f>IF($A767="","",COUNTIF(connections!$A$2:$A$1400,$A767)+COUNTIF(connections!$B$2:$B$1400,$A767))</f>
        <v>3</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3.0007670000000002</v>
      </c>
      <c r="P767" t="str">
        <f>IF(OR($A767="",games!$H767=""),"",games!$H767)</f>
        <v/>
      </c>
      <c r="Q767" t="str">
        <f t="shared" si="154"/>
        <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Time Survivors</v>
      </c>
      <c r="B768">
        <f>IF($A768="","",games!$B768)</f>
        <v>2023</v>
      </c>
      <c r="C768" t="str">
        <f>IF($A768="","",games!$C768)</f>
        <v>Action</v>
      </c>
      <c r="D768">
        <f>IF($A768="","",COUNTIF(connections!$A$2:$A$1400,$A768)+COUNTIF(connections!$B$2:$B$1400,$A768))</f>
        <v>1</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Time Wasters</v>
      </c>
      <c r="B769">
        <f>IF($A769="","",games!$B769)</f>
        <v>2023</v>
      </c>
      <c r="C769" t="str">
        <f>IF($A769="","",games!$C769)</f>
        <v>Action</v>
      </c>
      <c r="D769">
        <f>IF($A769="","",COUNTIF(connections!$A$2:$A$1400,$A769)+COUNTIF(connections!$B$2:$B$1400,$A769))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 Auto Knights</v>
      </c>
      <c r="B770">
        <f>IF($A770="","",games!$B770)</f>
        <v>2025</v>
      </c>
      <c r="C770" t="str">
        <f>IF($A770="","",games!$C770)</f>
        <v>Deckbuilder</v>
      </c>
      <c r="D770">
        <f>IF($A770="","",COUNTIF(connections!$A$2:$A$1400,$A770)+COUNTIF(connections!$B$2:$B$1400,$A770))</f>
        <v>5</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Tiny Rogues</v>
      </c>
      <c r="B771">
        <f>IF($A771="","",games!$B771)</f>
        <v>2022</v>
      </c>
      <c r="C771" t="str">
        <f>IF($A771="","",games!$C771)</f>
        <v>Action</v>
      </c>
      <c r="D771">
        <f>IF($A771="","",COUNTIF(connections!$A$2:$A$1400,$A771)+COUNTIF(connections!$B$2:$B$1400,$A771))</f>
        <v>6</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6.0007710000000003</v>
      </c>
      <c r="P771" t="str">
        <f>IF(OR($A771="",games!$H771=""),"",games!$H771)</f>
        <v>Yes</v>
      </c>
      <c r="Q771">
        <f t="shared" si="167"/>
        <v>6.0007710000000003</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Tinyfolks</v>
      </c>
      <c r="B772">
        <f>IF($A772="","",games!$B772)</f>
        <v>2022</v>
      </c>
      <c r="C772" t="str">
        <f>IF($A772="","",games!$C772)</f>
        <v>Strategy</v>
      </c>
      <c r="D772">
        <f>IF($A772="","",COUNTIF(connections!$A$2:$A$1400,$A772)+COUNTIF(connections!$B$2:$B$1400,$A772))</f>
        <v>1</v>
      </c>
      <c r="E772">
        <f t="shared" si="156"/>
        <v>2</v>
      </c>
      <c r="F772">
        <f t="shared" si="157"/>
        <v>24</v>
      </c>
      <c r="G772" t="e">
        <f t="shared" si="158"/>
        <v>#N/A</v>
      </c>
      <c r="H772" t="e">
        <f t="shared" si="159"/>
        <v>#N/A</v>
      </c>
      <c r="I772">
        <f t="shared" si="160"/>
        <v>2022</v>
      </c>
      <c r="J772">
        <f t="shared" si="161"/>
        <v>2.552</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ToeJam &amp; Earl</v>
      </c>
      <c r="B773">
        <f>IF($A773="","",games!$B773)</f>
        <v>1991</v>
      </c>
      <c r="C773" t="str">
        <f>IF($A773="","",games!$C773)</f>
        <v>Action</v>
      </c>
      <c r="D773">
        <f>IF($A773="","",COUNTIF(connections!$A$2:$A$1400,$A773)+COUNTIF(connections!$B$2:$B$1400,$A773))</f>
        <v>3</v>
      </c>
      <c r="E773">
        <f t="shared" si="156"/>
        <v>1</v>
      </c>
      <c r="F773">
        <f t="shared" si="157"/>
        <v>25</v>
      </c>
      <c r="G773">
        <f t="shared" si="158"/>
        <v>1991</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ToeJam &amp; Earl: Back in the Groove!</v>
      </c>
      <c r="B774">
        <f>IF($A774="","",games!$B774)</f>
        <v>2019</v>
      </c>
      <c r="C774" t="str">
        <f>IF($A774="","",games!$C774)</f>
        <v>Action</v>
      </c>
      <c r="D774">
        <f>IF($A774="","",COUNTIF(connections!$A$2:$A$1400,$A774)+COUNTIF(connections!$B$2:$B$1400,$A774))</f>
        <v>1</v>
      </c>
      <c r="E774">
        <f t="shared" si="156"/>
        <v>1</v>
      </c>
      <c r="F774">
        <f t="shared" si="157"/>
        <v>26</v>
      </c>
      <c r="G774">
        <f t="shared" si="158"/>
        <v>2019</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TombStar</v>
      </c>
      <c r="B775">
        <f>IF($A775="","",games!$B775)</f>
        <v>2022</v>
      </c>
      <c r="C775" t="str">
        <f>IF($A775="","",games!$C775)</f>
        <v>Action</v>
      </c>
      <c r="D775">
        <f>IF($A775="","",COUNTIF(connections!$A$2:$A$1400,$A775)+COUNTIF(connections!$B$2:$B$1400,$A775))</f>
        <v>2</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2.000775</v>
      </c>
      <c r="P775" t="str">
        <f>IF(OR($A775="",games!$H775=""),"",games!$H775)</f>
        <v>Yes</v>
      </c>
      <c r="Q775">
        <f t="shared" si="167"/>
        <v>2.000775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 The Last Hope</v>
      </c>
      <c r="B776">
        <f>IF($A776="","",games!$B776)</f>
        <v>1999</v>
      </c>
      <c r="C776" t="str">
        <f>IF($A776="","",games!$C776)</f>
        <v>Traditional</v>
      </c>
      <c r="D776">
        <f>IF($A776="","",COUNTIF(connections!$A$2:$A$1400,$A776)+COUNTIF(connections!$B$2:$B$1400,$A776))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1999</v>
      </c>
      <c r="N776">
        <f t="shared" si="165"/>
        <v>4.6440000000000001</v>
      </c>
      <c r="O776">
        <f t="shared" si="166"/>
        <v>3.0007760000000001</v>
      </c>
      <c r="P776" t="str">
        <f>IF(OR($A776="",games!$H776=""),"",games!$H776)</f>
        <v>Yes</v>
      </c>
      <c r="Q776">
        <f t="shared" si="167"/>
        <v>3.0007760000000001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Torneko's Great Adventure 3</v>
      </c>
      <c r="B777">
        <f>IF($A777="","",games!$B777)</f>
        <v>2002</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2002</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Torneko's Great Adventure: Mystery Dungeon</v>
      </c>
      <c r="B778">
        <f>IF($A778="","",games!$B778)</f>
        <v>1993</v>
      </c>
      <c r="C778" t="str">
        <f>IF($A778="","",games!$C778)</f>
        <v>Traditional</v>
      </c>
      <c r="D778">
        <f>IF($A778="","",COUNTIF(connections!$A$2:$A$1400,$A778)+COUNTIF(connections!$B$2:$B$1400,$A778))</f>
        <v>26</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1993</v>
      </c>
      <c r="N778">
        <f t="shared" si="165"/>
        <v>4.6899999999999995</v>
      </c>
      <c r="O778">
        <f t="shared" si="166"/>
        <v>26.000778</v>
      </c>
      <c r="P778" t="str">
        <f>IF(OR($A778="",games!$H778=""),"",games!$H778)</f>
        <v>Yes</v>
      </c>
      <c r="Q778">
        <f t="shared" si="167"/>
        <v>26.000778</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Crawl</v>
      </c>
      <c r="B779">
        <f>IF($A779="","",games!$B779)</f>
        <v>2025</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2025</v>
      </c>
      <c r="N779">
        <f t="shared" si="165"/>
        <v>4.7130000000000001</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Genso Wanderer: Foresight</v>
      </c>
      <c r="B780">
        <f>IF($A780="","",games!$B780)</f>
        <v>2024</v>
      </c>
      <c r="C780" t="str">
        <f>IF($A780="","",games!$C780)</f>
        <v>Traditional</v>
      </c>
      <c r="D780">
        <f>IF($A780="","",COUNTIF(connections!$A$2:$A$1400,$A780)+COUNTIF(connections!$B$2:$B$1400,$A780))</f>
        <v>1</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2024</v>
      </c>
      <c r="N780">
        <f t="shared" si="165"/>
        <v>4.7359999999999998</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Touhou Genso Wanderer: Lotus Labyrinth R</v>
      </c>
      <c r="B781">
        <f>IF($A781="","",games!$B781)</f>
        <v>2021</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2021</v>
      </c>
      <c r="N781">
        <f t="shared" si="165"/>
        <v>4.7590000000000003</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Touhou: Lost Branch of Legend</v>
      </c>
      <c r="B782">
        <f>IF($A782="","",games!$B782)</f>
        <v>2022</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2022</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Dominion</v>
      </c>
      <c r="B783">
        <f>IF($A783="","",games!$B783)</f>
        <v>2025</v>
      </c>
      <c r="C783" t="str">
        <f>IF($A783="","",games!$C783)</f>
        <v>Strategy</v>
      </c>
      <c r="D783">
        <f>IF($A783="","",COUNTIF(connections!$A$2:$A$1400,$A783)+COUNTIF(connections!$B$2:$B$1400,$A783))</f>
        <v>1</v>
      </c>
      <c r="E783">
        <f t="shared" si="156"/>
        <v>2</v>
      </c>
      <c r="F783">
        <f t="shared" si="157"/>
        <v>1</v>
      </c>
      <c r="G783" t="e">
        <f t="shared" si="158"/>
        <v>#N/A</v>
      </c>
      <c r="H783" t="e">
        <f t="shared" si="159"/>
        <v>#N/A</v>
      </c>
      <c r="I783">
        <f t="shared" si="160"/>
        <v>2025</v>
      </c>
      <c r="J783">
        <f t="shared" si="161"/>
        <v>2.0230000000000001</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Escape</v>
      </c>
      <c r="B784">
        <f>IF($A784="","",games!$B784)</f>
        <v>2023</v>
      </c>
      <c r="C784" t="str">
        <f>IF($A784="","",games!$C784)</f>
        <v>Deckbuilder</v>
      </c>
      <c r="D784">
        <f>IF($A784="","",COUNTIF(connections!$A$2:$A$1400,$A784)+COUNTIF(connections!$B$2:$B$1400,$A784))</f>
        <v>2</v>
      </c>
      <c r="E784">
        <f t="shared" si="156"/>
        <v>3</v>
      </c>
      <c r="F784">
        <f t="shared" si="157"/>
        <v>2</v>
      </c>
      <c r="G784" t="e">
        <f t="shared" si="158"/>
        <v>#N/A</v>
      </c>
      <c r="H784" t="e">
        <f t="shared" si="159"/>
        <v>#N/A</v>
      </c>
      <c r="I784" t="e">
        <f t="shared" si="160"/>
        <v>#N/A</v>
      </c>
      <c r="J784" t="e">
        <f t="shared" si="161"/>
        <v>#N/A</v>
      </c>
      <c r="K784">
        <f t="shared" si="162"/>
        <v>2023</v>
      </c>
      <c r="L784">
        <f t="shared" si="163"/>
        <v>3.0459999999999998</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Factory</v>
      </c>
      <c r="B785">
        <f>IF($A785="","",games!$B785)</f>
        <v>2024</v>
      </c>
      <c r="C785" t="str">
        <f>IF($A785="","",games!$C785)</f>
        <v>Strategy</v>
      </c>
      <c r="D785">
        <f>IF($A785="","",COUNTIF(connections!$A$2:$A$1400,$A785)+COUNTIF(connections!$B$2:$B$1400,$A785))</f>
        <v>2</v>
      </c>
      <c r="E785">
        <f t="shared" si="156"/>
        <v>2</v>
      </c>
      <c r="F785">
        <f t="shared" si="157"/>
        <v>3</v>
      </c>
      <c r="G785" t="e">
        <f t="shared" si="158"/>
        <v>#N/A</v>
      </c>
      <c r="H785" t="e">
        <f t="shared" si="159"/>
        <v>#N/A</v>
      </c>
      <c r="I785">
        <f t="shared" si="160"/>
        <v>2024</v>
      </c>
      <c r="J785">
        <f t="shared" si="161"/>
        <v>2.069</v>
      </c>
      <c r="K785" t="e">
        <f t="shared" si="162"/>
        <v>#N/A</v>
      </c>
      <c r="L785" t="e">
        <f t="shared" si="163"/>
        <v>#N/A</v>
      </c>
      <c r="M785" t="e">
        <f t="shared" si="164"/>
        <v>#N/A</v>
      </c>
      <c r="N785" t="e">
        <f t="shared" si="165"/>
        <v>#N/A</v>
      </c>
      <c r="O785">
        <f t="shared" si="166"/>
        <v>2.000785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Fortress</v>
      </c>
      <c r="B786">
        <f>IF($A786="","",games!$B786)</f>
        <v>2017</v>
      </c>
      <c r="C786" t="str">
        <f>IF($A786="","",games!$C786)</f>
        <v>Action</v>
      </c>
      <c r="D786">
        <f>IF($A786="","",COUNTIF(connections!$A$2:$A$1400,$A786)+COUNTIF(connections!$B$2:$B$1400,$A786))</f>
        <v>1</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of Guns</v>
      </c>
      <c r="B787">
        <f>IF($A787="","",games!$B787)</f>
        <v>2014</v>
      </c>
      <c r="C787" t="str">
        <f>IF($A787="","",games!$C787)</f>
        <v>Action</v>
      </c>
      <c r="D787">
        <f>IF($A787="","",COUNTIF(connections!$A$2:$A$1400,$A787)+COUNTIF(connections!$B$2:$B$1400,$A787))</f>
        <v>2</v>
      </c>
      <c r="E787">
        <f t="shared" si="156"/>
        <v>1</v>
      </c>
      <c r="F787">
        <f t="shared" si="157"/>
        <v>5</v>
      </c>
      <c r="G787">
        <f t="shared" si="158"/>
        <v>2014</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Tactics: Liberation</v>
      </c>
      <c r="B788">
        <f>IF($A788="","",games!$B788)</f>
        <v>2021</v>
      </c>
      <c r="C788" t="str">
        <f>IF($A788="","",games!$C788)</f>
        <v>Deckbuilder</v>
      </c>
      <c r="D788">
        <f>IF($A788="","",COUNTIF(connections!$A$2:$A$1400,$A788)+COUNTIF(connections!$B$2:$B$1400,$A788))</f>
        <v>3</v>
      </c>
      <c r="E788">
        <f t="shared" si="156"/>
        <v>3</v>
      </c>
      <c r="F788">
        <f t="shared" si="157"/>
        <v>6</v>
      </c>
      <c r="G788" t="e">
        <f t="shared" si="158"/>
        <v>#N/A</v>
      </c>
      <c r="H788" t="e">
        <f t="shared" si="159"/>
        <v>#N/A</v>
      </c>
      <c r="I788" t="e">
        <f t="shared" si="160"/>
        <v>#N/A</v>
      </c>
      <c r="J788" t="e">
        <f t="shared" si="161"/>
        <v>#N/A</v>
      </c>
      <c r="K788">
        <f t="shared" si="162"/>
        <v>2021</v>
      </c>
      <c r="L788">
        <f t="shared" si="163"/>
        <v>3.1379999999999999</v>
      </c>
      <c r="M788" t="e">
        <f t="shared" si="164"/>
        <v>#N/A</v>
      </c>
      <c r="N788" t="e">
        <f t="shared" si="165"/>
        <v>#N/A</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Toy Smash Kaboom!</v>
      </c>
      <c r="B789">
        <f>IF($A789="","",games!$B789)</f>
        <v>2025</v>
      </c>
      <c r="C789" t="str">
        <f>IF($A789="","",games!$C789)</f>
        <v>Deckbuilder</v>
      </c>
      <c r="D789">
        <f>IF($A789="","",COUNTIF(connections!$A$2:$A$1400,$A789)+COUNTIF(connections!$B$2:$B$1400,$A789))</f>
        <v>1</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Trials of Fire</v>
      </c>
      <c r="B790">
        <f>IF($A790="","",games!$B790)</f>
        <v>2019</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2019</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TumbleSeed</v>
      </c>
      <c r="B791">
        <f>IF($A791="","",games!$B791)</f>
        <v>2017</v>
      </c>
      <c r="C791" t="str">
        <f>IF($A791="","",games!$C791)</f>
        <v>Action</v>
      </c>
      <c r="D791">
        <f>IF($A791="","",COUNTIF(connections!$A$2:$A$1400,$A791)+COUNTIF(connections!$B$2:$B$1400,$A791))</f>
        <v>3</v>
      </c>
      <c r="E791">
        <f t="shared" si="156"/>
        <v>1</v>
      </c>
      <c r="F791">
        <f t="shared" si="157"/>
        <v>9</v>
      </c>
      <c r="G791">
        <f t="shared" si="158"/>
        <v>2017</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Turnbound</v>
      </c>
      <c r="B792">
        <f>IF($A792="","",games!$B792)</f>
        <v>2026</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2026</v>
      </c>
      <c r="L792">
        <f t="shared" si="163"/>
        <v>3.23</v>
      </c>
      <c r="M792" t="e">
        <f t="shared" si="164"/>
        <v>#N/A</v>
      </c>
      <c r="N792" t="e">
        <f t="shared" si="165"/>
        <v>#N/A</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Tyrant's Realm</v>
      </c>
      <c r="B793">
        <f>IF($A793="","",games!$B793)</f>
        <v>2025</v>
      </c>
      <c r="C793" t="str">
        <f>IF($A793="","",games!$C793)</f>
        <v>Action</v>
      </c>
      <c r="D793">
        <f>IF($A793="","",COUNTIF(connections!$A$2:$A$1400,$A793)+COUNTIF(connections!$B$2:$B$1400,$A793))</f>
        <v>1</v>
      </c>
      <c r="E793">
        <f t="shared" si="156"/>
        <v>1</v>
      </c>
      <c r="F793">
        <f t="shared" si="157"/>
        <v>11</v>
      </c>
      <c r="G793">
        <f t="shared" si="158"/>
        <v>2025</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Ultima Ratio Regum</v>
      </c>
      <c r="B794">
        <f>IF($A794="","",games!$B794)</f>
        <v>2012</v>
      </c>
      <c r="C794" t="str">
        <f>IF($A794="","",games!$C794)</f>
        <v>Traditional</v>
      </c>
      <c r="D794">
        <f>IF($A794="","",COUNTIF(connections!$A$2:$A$1400,$A794)+COUNTIF(connections!$B$2:$B$1400,$A794))</f>
        <v>2</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2012</v>
      </c>
      <c r="N794">
        <f t="shared" si="165"/>
        <v>4.2759999999999998</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Ultimate ADOM</v>
      </c>
      <c r="B795">
        <f>IF($A795="","",games!$B795)</f>
        <v>2021</v>
      </c>
      <c r="C795" t="str">
        <f>IF($A795="","",games!$C795)</f>
        <v>Traditional</v>
      </c>
      <c r="D795">
        <f>IF($A795="","",COUNTIF(connections!$A$2:$A$1400,$A795)+COUNTIF(connections!$B$2:$B$1400,$A795))</f>
        <v>1</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2021</v>
      </c>
      <c r="N795">
        <f t="shared" si="165"/>
        <v>4.2990000000000004</v>
      </c>
      <c r="O795">
        <f t="shared" si="166"/>
        <v>1.0007950000000001</v>
      </c>
      <c r="P795" t="str">
        <f>IF(OR($A795="",games!$H795=""),"",games!$H795)</f>
        <v>Yes</v>
      </c>
      <c r="Q795">
        <f t="shared" si="167"/>
        <v>1.0007950000000001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Ultrapool</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Uma Musume: Pretty Derby</v>
      </c>
      <c r="B797">
        <f>IF($A797="","",games!$B797)</f>
        <v>2021</v>
      </c>
      <c r="C797" t="str">
        <f>IF($A797="","",games!$C797)</f>
        <v>Strategy</v>
      </c>
      <c r="D797">
        <f>IF($A797="","",COUNTIF(connections!$A$2:$A$1400,$A797)+COUNTIF(connections!$B$2:$B$1400,$A797))</f>
        <v>0</v>
      </c>
      <c r="E797">
        <f t="shared" si="156"/>
        <v>2</v>
      </c>
      <c r="F797">
        <f t="shared" si="157"/>
        <v>15</v>
      </c>
      <c r="G797" t="e">
        <f t="shared" si="158"/>
        <v>#N/A</v>
      </c>
      <c r="H797" t="e">
        <f t="shared" si="159"/>
        <v>#N/A</v>
      </c>
      <c r="I797">
        <f t="shared" si="160"/>
        <v>2021</v>
      </c>
      <c r="J797">
        <f t="shared" si="161"/>
        <v>2.3449999999999998</v>
      </c>
      <c r="K797" t="e">
        <f t="shared" si="162"/>
        <v>#N/A</v>
      </c>
      <c r="L797" t="e">
        <f t="shared" si="163"/>
        <v>#N/A</v>
      </c>
      <c r="M797" t="e">
        <f t="shared" si="164"/>
        <v>#N/A</v>
      </c>
      <c r="N797" t="e">
        <f t="shared" si="165"/>
        <v>#N/A</v>
      </c>
      <c r="O797">
        <f t="shared" si="166"/>
        <v>7.9699999999999997E-4</v>
      </c>
      <c r="P797" t="str">
        <f>IF(OR($A797="",games!$H797=""),"",games!$H797)</f>
        <v>Yes</v>
      </c>
      <c r="Q797">
        <f t="shared" si="167"/>
        <v>7.9699999999999997E-4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Underdogs</v>
      </c>
      <c r="B798">
        <f>IF($A798="","",games!$B798)</f>
        <v>2024</v>
      </c>
      <c r="C798" t="str">
        <f>IF($A798="","",games!$C798)</f>
        <v>Action</v>
      </c>
      <c r="D798">
        <f>IF($A798="","",COUNTIF(connections!$A$2:$A$1400,$A798)+COUNTIF(connections!$B$2:$B$1400,$A798))</f>
        <v>0</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UnderMine</v>
      </c>
      <c r="B799">
        <f>IF($A799="","",games!$B799)</f>
        <v>2019</v>
      </c>
      <c r="C799" t="str">
        <f>IF($A799="","",games!$C799)</f>
        <v>Action</v>
      </c>
      <c r="D799">
        <f>IF($A799="","",COUNTIF(connections!$A$2:$A$1400,$A799)+COUNTIF(connections!$B$2:$B$1400,$A799))</f>
        <v>5</v>
      </c>
      <c r="E799">
        <f t="shared" si="156"/>
        <v>1</v>
      </c>
      <c r="F799">
        <f t="shared" si="157"/>
        <v>17</v>
      </c>
      <c r="G799">
        <f t="shared" si="158"/>
        <v>2019</v>
      </c>
      <c r="H799">
        <f t="shared" si="159"/>
        <v>1.391</v>
      </c>
      <c r="I799" t="e">
        <f t="shared" si="160"/>
        <v>#N/A</v>
      </c>
      <c r="J799" t="e">
        <f t="shared" si="161"/>
        <v>#N/A</v>
      </c>
      <c r="K799" t="e">
        <f t="shared" si="162"/>
        <v>#N/A</v>
      </c>
      <c r="L799" t="e">
        <f t="shared" si="163"/>
        <v>#N/A</v>
      </c>
      <c r="M799" t="e">
        <f t="shared" si="164"/>
        <v>#N/A</v>
      </c>
      <c r="N799" t="e">
        <f t="shared" si="165"/>
        <v>#N/A</v>
      </c>
      <c r="O799">
        <f t="shared" si="166"/>
        <v>5.0007989999999998</v>
      </c>
      <c r="P799" t="str">
        <f>IF(OR($A799="",games!$H799=""),"",games!$H799)</f>
        <v>Yes</v>
      </c>
      <c r="Q799">
        <f t="shared" si="167"/>
        <v>5.0007989999999998</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UnderMine 2</v>
      </c>
      <c r="B800">
        <f>IF($A800="","",games!$B800)</f>
        <v>2025</v>
      </c>
      <c r="C800" t="str">
        <f>IF($A800="","",games!$C800)</f>
        <v>Action</v>
      </c>
      <c r="D800">
        <f>IF($A800="","",COUNTIF(connections!$A$2:$A$1400,$A800)+COUNTIF(connections!$B$2:$B$1400,$A800))</f>
        <v>1</v>
      </c>
      <c r="E800">
        <f t="shared" si="156"/>
        <v>1</v>
      </c>
      <c r="F800">
        <f t="shared" si="157"/>
        <v>18</v>
      </c>
      <c r="G800">
        <f t="shared" si="158"/>
        <v>2025</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Unexplored</v>
      </c>
      <c r="B801">
        <f>IF($A801="","",games!$B801)</f>
        <v>2017</v>
      </c>
      <c r="C801" t="str">
        <f>IF($A801="","",games!$C801)</f>
        <v>Action</v>
      </c>
      <c r="D801">
        <f>IF($A801="","",COUNTIF(connections!$A$2:$A$1400,$A801)+COUNTIF(connections!$B$2:$B$1400,$A801))</f>
        <v>3</v>
      </c>
      <c r="E801">
        <f t="shared" si="156"/>
        <v>1</v>
      </c>
      <c r="F801">
        <f t="shared" si="157"/>
        <v>19</v>
      </c>
      <c r="G801">
        <f t="shared" si="158"/>
        <v>2017</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Unexplored 2: The Wayfarer's Legacy</v>
      </c>
      <c r="B802">
        <f>IF($A802="","",games!$B802)</f>
        <v>2022</v>
      </c>
      <c r="C802" t="str">
        <f>IF($A802="","",games!$C802)</f>
        <v>Action</v>
      </c>
      <c r="D802">
        <f>IF($A802="","",COUNTIF(connections!$A$2:$A$1400,$A802)+COUNTIF(connections!$B$2:$B$1400,$A802))</f>
        <v>1</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UnReal World</v>
      </c>
      <c r="B803">
        <f>IF($A803="","",games!$B803)</f>
        <v>1992</v>
      </c>
      <c r="C803" t="str">
        <f>IF($A803="","",games!$C803)</f>
        <v>Traditional</v>
      </c>
      <c r="D803">
        <f>IF($A803="","",COUNTIF(connections!$A$2:$A$1400,$A803)+COUNTIF(connections!$B$2:$B$1400,$A803))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1992</v>
      </c>
      <c r="N803">
        <f t="shared" si="165"/>
        <v>4.4829999999999997</v>
      </c>
      <c r="O803">
        <f t="shared" si="166"/>
        <v>3.0008029999999999</v>
      </c>
      <c r="P803" t="str">
        <f>IF(OR($A803="",games!$H803=""),"",games!$H803)</f>
        <v>Yes</v>
      </c>
      <c r="Q803">
        <f t="shared" si="167"/>
        <v>3.0008029999999999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Vagante</v>
      </c>
      <c r="B804">
        <f>IF($A804="","",games!$B804)</f>
        <v>2018</v>
      </c>
      <c r="C804" t="str">
        <f>IF($A804="","",games!$C804)</f>
        <v>Action</v>
      </c>
      <c r="D804">
        <f>IF($A804="","",COUNTIF(connections!$A$2:$A$1400,$A804)+COUNTIF(connections!$B$2:$B$1400,$A804))</f>
        <v>2</v>
      </c>
      <c r="E804">
        <f t="shared" si="156"/>
        <v>1</v>
      </c>
      <c r="F804">
        <f t="shared" si="157"/>
        <v>22</v>
      </c>
      <c r="G804">
        <f t="shared" si="158"/>
        <v>2018</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Crawlers</v>
      </c>
      <c r="B805">
        <f>IF($A805="","",games!$B805)</f>
        <v>2026</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Vampire Hunters</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Vampire Survivors</v>
      </c>
      <c r="B807">
        <f>IF($A807="","",games!$B807)</f>
        <v>2021</v>
      </c>
      <c r="C807" t="str">
        <f>IF($A807="","",games!$C807)</f>
        <v>Action</v>
      </c>
      <c r="D807">
        <f>IF($A807="","",COUNTIF(connections!$A$2:$A$1400,$A807)+COUNTIF(connections!$B$2:$B$1400,$A807))</f>
        <v>88</v>
      </c>
      <c r="E807">
        <f t="shared" si="156"/>
        <v>1</v>
      </c>
      <c r="F807">
        <f t="shared" si="157"/>
        <v>25</v>
      </c>
      <c r="G807">
        <f t="shared" si="158"/>
        <v>2021</v>
      </c>
      <c r="H807">
        <f t="shared" si="159"/>
        <v>1.575</v>
      </c>
      <c r="I807" t="e">
        <f t="shared" si="160"/>
        <v>#N/A</v>
      </c>
      <c r="J807" t="e">
        <f t="shared" si="161"/>
        <v>#N/A</v>
      </c>
      <c r="K807" t="e">
        <f t="shared" si="162"/>
        <v>#N/A</v>
      </c>
      <c r="L807" t="e">
        <f t="shared" si="163"/>
        <v>#N/A</v>
      </c>
      <c r="M807" t="e">
        <f t="shared" si="164"/>
        <v>#N/A</v>
      </c>
      <c r="N807" t="e">
        <f t="shared" si="165"/>
        <v>#N/A</v>
      </c>
      <c r="O807">
        <f t="shared" si="166"/>
        <v>88.000806999999995</v>
      </c>
      <c r="P807" t="str">
        <f>IF(OR($A807="",games!$H807=""),"",games!$H807)</f>
        <v>Yes</v>
      </c>
      <c r="Q807">
        <f t="shared" si="167"/>
        <v>88.000806999999995</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Vault of the Void</v>
      </c>
      <c r="B808">
        <f>IF($A808="","",games!$B808)</f>
        <v>2020</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Vellum</v>
      </c>
      <c r="B809">
        <f>IF($A809="","",games!$B809)</f>
        <v>2024</v>
      </c>
      <c r="C809" t="str">
        <f>IF($A809="","",games!$C809)</f>
        <v>Action</v>
      </c>
      <c r="D809">
        <f>IF($A809="","",COUNTIF(connections!$A$2:$A$1400,$A809)+COUNTIF(connections!$B$2:$B$1400,$A809))</f>
        <v>6</v>
      </c>
      <c r="E809">
        <f t="shared" si="156"/>
        <v>1</v>
      </c>
      <c r="F809">
        <f t="shared" si="157"/>
        <v>27</v>
      </c>
      <c r="G809">
        <f t="shared" si="158"/>
        <v>2024</v>
      </c>
      <c r="H809">
        <f t="shared" si="159"/>
        <v>1.621</v>
      </c>
      <c r="I809" t="e">
        <f t="shared" si="160"/>
        <v>#N/A</v>
      </c>
      <c r="J809" t="e">
        <f t="shared" si="161"/>
        <v>#N/A</v>
      </c>
      <c r="K809" t="e">
        <f t="shared" si="162"/>
        <v>#N/A</v>
      </c>
      <c r="L809" t="e">
        <f t="shared" si="163"/>
        <v>#N/A</v>
      </c>
      <c r="M809" t="e">
        <f t="shared" si="164"/>
        <v>#N/A</v>
      </c>
      <c r="N809" t="e">
        <f t="shared" si="165"/>
        <v>#N/A</v>
      </c>
      <c r="O809">
        <f t="shared" si="166"/>
        <v>6.0008090000000003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Vital Shell</v>
      </c>
      <c r="B810">
        <f>IF($A810="","",games!$B810)</f>
        <v>2026</v>
      </c>
      <c r="C810" t="str">
        <f>IF($A810="","",games!$C810)</f>
        <v>Action</v>
      </c>
      <c r="D810">
        <f>IF($A810="","",COUNTIF(connections!$A$2:$A$1400,$A810)+COUNTIF(connections!$B$2:$B$1400,$A810))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Vivid Knight</v>
      </c>
      <c r="B811">
        <f>IF($A811="","",games!$B811)</f>
        <v>2021</v>
      </c>
      <c r="C811" t="str">
        <f>IF($A811="","",games!$C811)</f>
        <v>Deckbuilder</v>
      </c>
      <c r="D811">
        <f>IF($A811="","",COUNTIF(connections!$A$2:$A$1400,$A811)+COUNTIF(connections!$B$2:$B$1400,$A811))</f>
        <v>4</v>
      </c>
      <c r="E811">
        <f t="shared" si="156"/>
        <v>3</v>
      </c>
      <c r="F811">
        <f t="shared" si="157"/>
        <v>29</v>
      </c>
      <c r="G811" t="e">
        <f t="shared" si="158"/>
        <v>#N/A</v>
      </c>
      <c r="H811" t="e">
        <f t="shared" si="159"/>
        <v>#N/A</v>
      </c>
      <c r="I811" t="e">
        <f t="shared" si="160"/>
        <v>#N/A</v>
      </c>
      <c r="J811" t="e">
        <f t="shared" si="161"/>
        <v>#N/A</v>
      </c>
      <c r="K811">
        <f t="shared" si="162"/>
        <v>2021</v>
      </c>
      <c r="L811">
        <f t="shared" si="163"/>
        <v>3.6669999999999998</v>
      </c>
      <c r="M811" t="e">
        <f t="shared" si="164"/>
        <v>#N/A</v>
      </c>
      <c r="N811" t="e">
        <f t="shared" si="165"/>
        <v>#N/A</v>
      </c>
      <c r="O811">
        <f t="shared" si="166"/>
        <v>4.0008109999999997</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Vivid World</v>
      </c>
      <c r="B812">
        <f>IF($A812="","",games!$B812)</f>
        <v>2025</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2025</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Voice of Belldona</v>
      </c>
      <c r="B813">
        <f>IF($A813="","",games!$B813)</f>
        <v>2026</v>
      </c>
      <c r="C813" t="str">
        <f>IF($A813="","",games!$C813)</f>
        <v>Deckbuilder</v>
      </c>
      <c r="D813">
        <f>IF($A813="","",COUNTIF(connections!$A$2:$A$1400,$A813)+COUNTIF(connections!$B$2:$B$1400,$A813))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Bastards</v>
      </c>
      <c r="B814">
        <f>IF($A814="","",games!$B814)</f>
        <v>2019</v>
      </c>
      <c r="C814" t="str">
        <f>IF($A814="","",games!$C814)</f>
        <v>Action</v>
      </c>
      <c r="D814">
        <f>IF($A814="","",COUNTIF(connections!$A$2:$A$1400,$A814)+COUNTIF(connections!$B$2:$B$1400,$A814))</f>
        <v>2</v>
      </c>
      <c r="E814">
        <f t="shared" si="156"/>
        <v>1</v>
      </c>
      <c r="F814">
        <f t="shared" si="157"/>
        <v>32</v>
      </c>
      <c r="G814">
        <f t="shared" si="158"/>
        <v>2019</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 Scrappers</v>
      </c>
      <c r="B815">
        <f>IF($A815="","",games!$B815)</f>
        <v>2022</v>
      </c>
      <c r="C815" t="str">
        <f>IF($A815="","",games!$C815)</f>
        <v>Action</v>
      </c>
      <c r="D815">
        <f>IF($A815="","",COUNTIF(connections!$A$2:$A$1400,$A815)+COUNTIF(connections!$B$2:$B$1400,$A815))</f>
        <v>2</v>
      </c>
      <c r="E815">
        <f t="shared" si="156"/>
        <v>1</v>
      </c>
      <c r="F815">
        <f t="shared" si="157"/>
        <v>33</v>
      </c>
      <c r="G815">
        <f t="shared" si="158"/>
        <v>2022</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 War</v>
      </c>
      <c r="B816">
        <f>IF($A816="","",games!$B816)</f>
        <v>2024</v>
      </c>
      <c r="C816" t="str">
        <f>IF($A816="","",games!$C816)</f>
        <v>Strategy</v>
      </c>
      <c r="D816">
        <f>IF($A816="","",COUNTIF(connections!$A$2:$A$1400,$A816)+COUNTIF(connections!$B$2:$B$1400,$A816))</f>
        <v>2</v>
      </c>
      <c r="E816">
        <f t="shared" si="156"/>
        <v>2</v>
      </c>
      <c r="F816">
        <f t="shared" si="157"/>
        <v>0</v>
      </c>
      <c r="G816" t="e">
        <f t="shared" si="158"/>
        <v>#N/A</v>
      </c>
      <c r="H816" t="e">
        <f t="shared" si="159"/>
        <v>#N/A</v>
      </c>
      <c r="I816">
        <f t="shared" si="160"/>
        <v>2024</v>
      </c>
      <c r="J816">
        <f t="shared" si="161"/>
        <v>2</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Voidigo</v>
      </c>
      <c r="B817">
        <f>IF($A817="","",games!$B817)</f>
        <v>2023</v>
      </c>
      <c r="C817" t="str">
        <f>IF($A817="","",games!$C817)</f>
        <v>Action</v>
      </c>
      <c r="D817">
        <f>IF($A817="","",COUNTIF(connections!$A$2:$A$1400,$A817)+COUNTIF(connections!$B$2:$B$1400,$A817))</f>
        <v>1</v>
      </c>
      <c r="E817">
        <f t="shared" si="156"/>
        <v>1</v>
      </c>
      <c r="F817">
        <f t="shared" si="157"/>
        <v>1</v>
      </c>
      <c r="G817">
        <f t="shared" si="158"/>
        <v>2023</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Voids Vigil</v>
      </c>
      <c r="B818">
        <f>IF($A818="","",games!$B818)</f>
        <v>2024</v>
      </c>
      <c r="C818" t="str">
        <f>IF($A818="","",games!$C818)</f>
        <v>Action</v>
      </c>
      <c r="D818">
        <f>IF($A818="","",COUNTIF(connections!$A$2:$A$1400,$A818)+COUNTIF(connections!$B$2:$B$1400,$A818))</f>
        <v>2</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Voin</v>
      </c>
      <c r="B819">
        <f>IF($A819="","",games!$B819)</f>
        <v>2024</v>
      </c>
      <c r="C819" t="str">
        <f>IF($A819="","",games!$C819)</f>
        <v>Action</v>
      </c>
      <c r="D819">
        <f>IF($A819="","",COUNTIF(connections!$A$2:$A$1400,$A819)+COUNTIF(connections!$B$2:$B$1400,$A819))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Waku Waku Puyo Puyo Dungeon</v>
      </c>
      <c r="B820">
        <f>IF($A820="","",games!$B820)</f>
        <v>1998</v>
      </c>
      <c r="C820" t="str">
        <f>IF($A820="","",games!$C820)</f>
        <v>Traditional</v>
      </c>
      <c r="D820">
        <f>IF($A820="","",COUNTIF(connections!$A$2:$A$1400,$A820)+COUNTIF(connections!$B$2:$B$1400,$A820))</f>
        <v>1</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1998</v>
      </c>
      <c r="N820">
        <f t="shared" si="165"/>
        <v>4.0919999999999996</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Wall World</v>
      </c>
      <c r="B821">
        <f>IF($A821="","",games!$B821)</f>
        <v>2023</v>
      </c>
      <c r="C821" t="str">
        <f>IF($A821="","",games!$C821)</f>
        <v>Strategy</v>
      </c>
      <c r="D821">
        <f>IF($A821="","",COUNTIF(connections!$A$2:$A$1400,$A821)+COUNTIF(connections!$B$2:$B$1400,$A821))</f>
        <v>2</v>
      </c>
      <c r="E821">
        <f t="shared" si="156"/>
        <v>2</v>
      </c>
      <c r="F821">
        <f t="shared" si="157"/>
        <v>5</v>
      </c>
      <c r="G821" t="e">
        <f t="shared" si="158"/>
        <v>#N/A</v>
      </c>
      <c r="H821" t="e">
        <f t="shared" si="159"/>
        <v>#N/A</v>
      </c>
      <c r="I821">
        <f t="shared" si="160"/>
        <v>2023</v>
      </c>
      <c r="J821">
        <f t="shared" si="161"/>
        <v>2.1150000000000002</v>
      </c>
      <c r="K821" t="e">
        <f t="shared" si="162"/>
        <v>#N/A</v>
      </c>
      <c r="L821" t="e">
        <f t="shared" si="163"/>
        <v>#N/A</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Wall World 2</v>
      </c>
      <c r="B822">
        <f>IF($A822="","",games!$B822)</f>
        <v>2025</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2025</v>
      </c>
      <c r="J822">
        <f t="shared" si="161"/>
        <v>2.1379999999999999</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Warhammer Survivors</v>
      </c>
      <c r="B823">
        <f>IF($A823="","",games!$B823)</f>
        <v>2026</v>
      </c>
      <c r="C823" t="str">
        <f>IF($A823="","",games!$C823)</f>
        <v>Action</v>
      </c>
      <c r="D823">
        <f>IF($A823="","",COUNTIF(connections!$A$2:$A$1400,$A823)+COUNTIF(connections!$B$2:$B$1400,$A823))</f>
        <v>1</v>
      </c>
      <c r="E823">
        <f t="shared" si="156"/>
        <v>1</v>
      </c>
      <c r="F823">
        <f t="shared" si="157"/>
        <v>7</v>
      </c>
      <c r="G823">
        <f t="shared" si="158"/>
        <v>2026</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WarpVector</v>
      </c>
      <c r="B824">
        <f>IF($A824="","",games!$B824)</f>
        <v>2023</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2023</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Warriors: Abyss</v>
      </c>
      <c r="B825">
        <f>IF($A825="","",games!$B825)</f>
        <v>2025</v>
      </c>
      <c r="C825" t="str">
        <f>IF($A825="","",games!$C825)</f>
        <v>Action</v>
      </c>
      <c r="D825">
        <f>IF($A825="","",COUNTIF(connections!$A$2:$A$1400,$A825)+COUNTIF(connections!$B$2:$B$1400,$A825))</f>
        <v>1</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Warsim: The Realm of Aslona</v>
      </c>
      <c r="B826">
        <f>IF($A826="","",games!$B826)</f>
        <v>2017</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2017</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Wayward</v>
      </c>
      <c r="B827">
        <f>IF($A827="","",games!$B827)</f>
        <v>2011</v>
      </c>
      <c r="C827" t="str">
        <f>IF($A827="","",games!$C827)</f>
        <v>Traditional</v>
      </c>
      <c r="D827">
        <f>IF($A827="","",COUNTIF(connections!$A$2:$A$1400,$A827)+COUNTIF(connections!$B$2:$B$1400,$A827))</f>
        <v>2</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2011</v>
      </c>
      <c r="N827">
        <f t="shared" si="165"/>
        <v>4.2530000000000001</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WazHack</v>
      </c>
      <c r="B828">
        <f>IF($A828="","",games!$B828)</f>
        <v>2012</v>
      </c>
      <c r="C828" t="str">
        <f>IF($A828="","",games!$C828)</f>
        <v>Strategy</v>
      </c>
      <c r="D828">
        <f>IF($A828="","",COUNTIF(connections!$A$2:$A$1400,$A828)+COUNTIF(connections!$B$2:$B$1400,$A828))</f>
        <v>1</v>
      </c>
      <c r="E828">
        <f t="shared" si="156"/>
        <v>2</v>
      </c>
      <c r="F828">
        <f t="shared" si="157"/>
        <v>12</v>
      </c>
      <c r="G828" t="e">
        <f t="shared" si="158"/>
        <v>#N/A</v>
      </c>
      <c r="H828" t="e">
        <f t="shared" si="159"/>
        <v>#N/A</v>
      </c>
      <c r="I828">
        <f t="shared" si="160"/>
        <v>2012</v>
      </c>
      <c r="J828">
        <f t="shared" si="161"/>
        <v>2.2759999999999998</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 Need To Go Deeper</v>
      </c>
      <c r="B829">
        <f>IF($A829="","",games!$B829)</f>
        <v>2017</v>
      </c>
      <c r="C829" t="str">
        <f>IF($A829="","",games!$C829)</f>
        <v>Action</v>
      </c>
      <c r="D829">
        <f>IF($A829="","",COUNTIF(connections!$A$2:$A$1400,$A829)+COUNTIF(connections!$B$2:$B$1400,$A829))</f>
        <v>0</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Yes</v>
      </c>
      <c r="Q829">
        <f t="shared" si="167"/>
        <v>8.2899999999999998E-4</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Weird Worlds: Return to Infinite Space</v>
      </c>
      <c r="B830">
        <f>IF($A830="","",games!$B830)</f>
        <v>2005</v>
      </c>
      <c r="C830" t="str">
        <f>IF($A830="","",games!$C830)</f>
        <v>Strategy</v>
      </c>
      <c r="D830">
        <f>IF($A830="","",COUNTIF(connections!$A$2:$A$1400,$A830)+COUNTIF(connections!$B$2:$B$1400,$A830))</f>
        <v>2</v>
      </c>
      <c r="E830">
        <f t="shared" si="156"/>
        <v>2</v>
      </c>
      <c r="F830">
        <f t="shared" si="157"/>
        <v>14</v>
      </c>
      <c r="G830" t="e">
        <f t="shared" si="158"/>
        <v>#N/A</v>
      </c>
      <c r="H830" t="e">
        <f t="shared" si="159"/>
        <v>#N/A</v>
      </c>
      <c r="I830">
        <f t="shared" si="160"/>
        <v>2005</v>
      </c>
      <c r="J830">
        <f t="shared" si="161"/>
        <v>2.3220000000000001</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West of Dead</v>
      </c>
      <c r="B831">
        <f>IF($A831="","",games!$B831)</f>
        <v>2020</v>
      </c>
      <c r="C831" t="str">
        <f>IF($A831="","",games!$C831)</f>
        <v>Action</v>
      </c>
      <c r="D831">
        <f>IF($A831="","",COUNTIF(connections!$A$2:$A$1400,$A831)+COUNTIF(connections!$B$2:$B$1400,$A831))</f>
        <v>1</v>
      </c>
      <c r="E831">
        <f t="shared" si="156"/>
        <v>1</v>
      </c>
      <c r="F831">
        <f t="shared" si="157"/>
        <v>15</v>
      </c>
      <c r="G831">
        <f t="shared" si="158"/>
        <v>2020</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Whisker Squadron: Survivor</v>
      </c>
      <c r="B832">
        <f>IF($A832="","",games!$B832)</f>
        <v>2025</v>
      </c>
      <c r="C832" t="str">
        <f>IF($A832="","",games!$C832)</f>
        <v>Action</v>
      </c>
      <c r="D832">
        <f>IF($A832="","",COUNTIF(connections!$A$2:$A$1400,$A832)+COUNTIF(connections!$B$2:$B$1400,$A832))</f>
        <v>1</v>
      </c>
      <c r="E832">
        <f t="shared" si="156"/>
        <v>1</v>
      </c>
      <c r="F832">
        <f t="shared" si="157"/>
        <v>16</v>
      </c>
      <c r="G832">
        <f t="shared" si="158"/>
        <v>2025</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White Knuckle</v>
      </c>
      <c r="B833">
        <f>IF($A833="","",games!$B833)</f>
        <v>2025</v>
      </c>
      <c r="C833" t="str">
        <f>IF($A833="","",games!$C833)</f>
        <v>Action</v>
      </c>
      <c r="D833">
        <f>IF($A833="","",COUNTIF(connections!$A$2:$A$1400,$A833)+COUNTIF(connections!$B$2:$B$1400,$A833))</f>
        <v>0</v>
      </c>
      <c r="E833">
        <f t="shared" si="156"/>
        <v>1</v>
      </c>
      <c r="F833">
        <f t="shared" si="157"/>
        <v>17</v>
      </c>
      <c r="G833">
        <f t="shared" si="158"/>
        <v>2025</v>
      </c>
      <c r="H833">
        <f t="shared" si="159"/>
        <v>1.391</v>
      </c>
      <c r="I833" t="e">
        <f t="shared" si="160"/>
        <v>#N/A</v>
      </c>
      <c r="J833" t="e">
        <f t="shared" si="161"/>
        <v>#N/A</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 Bastards</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Wildermyth</v>
      </c>
      <c r="B835">
        <f>IF($A835="","",games!$B835)</f>
        <v>2019</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2019</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Wildfrost</v>
      </c>
      <c r="B836">
        <f>IF($A836="","",games!$B836)</f>
        <v>2023</v>
      </c>
      <c r="C836" t="str">
        <f>IF($A836="","",games!$C836)</f>
        <v>Deckbuilder</v>
      </c>
      <c r="D836">
        <f>IF($A836="","",COUNTIF(connections!$A$2:$A$1400,$A836)+COUNTIF(connections!$B$2:$B$1400,$A836))</f>
        <v>8</v>
      </c>
      <c r="E836">
        <f t="shared" si="169"/>
        <v>3</v>
      </c>
      <c r="F836">
        <f t="shared" si="170"/>
        <v>20</v>
      </c>
      <c r="G836" t="e">
        <f t="shared" si="171"/>
        <v>#N/A</v>
      </c>
      <c r="H836" t="e">
        <f t="shared" si="172"/>
        <v>#N/A</v>
      </c>
      <c r="I836" t="e">
        <f t="shared" si="173"/>
        <v>#N/A</v>
      </c>
      <c r="J836" t="e">
        <f t="shared" si="174"/>
        <v>#N/A</v>
      </c>
      <c r="K836">
        <f t="shared" si="175"/>
        <v>2023</v>
      </c>
      <c r="L836">
        <f t="shared" si="176"/>
        <v>3.46</v>
      </c>
      <c r="M836" t="e">
        <f t="shared" si="177"/>
        <v>#N/A</v>
      </c>
      <c r="N836" t="e">
        <f t="shared" si="178"/>
        <v>#N/A</v>
      </c>
      <c r="O836">
        <f t="shared" si="179"/>
        <v>8.0008359999999996</v>
      </c>
      <c r="P836" t="str">
        <f>IF(OR($A836="",games!$H836=""),"",games!$H836)</f>
        <v>Yes</v>
      </c>
      <c r="Q836">
        <f t="shared" si="180"/>
        <v>8.0008359999999996</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Windblown</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Winnie's Hole</v>
      </c>
      <c r="B838">
        <f>IF($A838="","",games!$B838)</f>
        <v>2026</v>
      </c>
      <c r="C838" t="str">
        <f>IF($A838="","",games!$C838)</f>
        <v>Deckbuilder</v>
      </c>
      <c r="D838">
        <f>IF($A838="","",COUNTIF(connections!$A$2:$A$1400,$A838)+COUNTIF(connections!$B$2:$B$1400,$A838))</f>
        <v>3</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Wireworks</v>
      </c>
      <c r="B839">
        <f>IF($A839="","",games!$B839)</f>
        <v>2026</v>
      </c>
      <c r="C839" t="str">
        <f>IF($A839="","",games!$C839)</f>
        <v>Strategy</v>
      </c>
      <c r="D839">
        <f>IF($A839="","",COUNTIF(connections!$A$2:$A$1400,$A839)+COUNTIF(connections!$B$2:$B$1400,$A839))</f>
        <v>0</v>
      </c>
      <c r="E839">
        <f t="shared" si="169"/>
        <v>2</v>
      </c>
      <c r="F839">
        <f t="shared" si="170"/>
        <v>23</v>
      </c>
      <c r="G839" t="e">
        <f t="shared" si="171"/>
        <v>#N/A</v>
      </c>
      <c r="H839" t="e">
        <f t="shared" si="172"/>
        <v>#N/A</v>
      </c>
      <c r="I839">
        <f t="shared" si="173"/>
        <v>2026</v>
      </c>
      <c r="J839">
        <f t="shared" si="174"/>
        <v>2.5289999999999999</v>
      </c>
      <c r="K839" t="e">
        <f t="shared" si="175"/>
        <v>#N/A</v>
      </c>
      <c r="L839" t="e">
        <f t="shared" si="176"/>
        <v>#N/A</v>
      </c>
      <c r="M839" t="e">
        <f t="shared" si="177"/>
        <v>#N/A</v>
      </c>
      <c r="N839" t="e">
        <f t="shared" si="178"/>
        <v>#N/A</v>
      </c>
      <c r="O839">
        <f t="shared" si="179"/>
        <v>8.3900000000000001E-4</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Witchfire</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Witch's Apocalyptic Journey</v>
      </c>
      <c r="B841">
        <f>IF($A841="","",games!$B841)</f>
        <v>2026</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 of Legend</v>
      </c>
      <c r="B842">
        <f>IF($A842="","",games!$B842)</f>
        <v>2018</v>
      </c>
      <c r="C842" t="str">
        <f>IF($A842="","",games!$C842)</f>
        <v>Action</v>
      </c>
      <c r="D842">
        <f>IF($A842="","",COUNTIF(connections!$A$2:$A$1400,$A842)+COUNTIF(connections!$B$2:$B$1400,$A842))</f>
        <v>4</v>
      </c>
      <c r="E842">
        <f t="shared" si="169"/>
        <v>1</v>
      </c>
      <c r="F842">
        <f t="shared" si="170"/>
        <v>26</v>
      </c>
      <c r="G842">
        <f t="shared" si="171"/>
        <v>2018</v>
      </c>
      <c r="H842">
        <f t="shared" si="172"/>
        <v>1.5979999999999999</v>
      </c>
      <c r="I842" t="e">
        <f t="shared" si="173"/>
        <v>#N/A</v>
      </c>
      <c r="J842" t="e">
        <f t="shared" si="174"/>
        <v>#N/A</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Wizard of Legend 2</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WizardChess</v>
      </c>
      <c r="B844">
        <f>IF($A844="","",games!$B844)</f>
        <v>2021</v>
      </c>
      <c r="C844" t="str">
        <f>IF($A844="","",games!$C844)</f>
        <v>Strategy</v>
      </c>
      <c r="D844">
        <f>IF($A844="","",COUNTIF(connections!$A$2:$A$1400,$A844)+COUNTIF(connections!$B$2:$B$1400,$A844))</f>
        <v>1</v>
      </c>
      <c r="E844">
        <f t="shared" si="169"/>
        <v>2</v>
      </c>
      <c r="F844">
        <f t="shared" si="170"/>
        <v>28</v>
      </c>
      <c r="G844" t="e">
        <f t="shared" si="171"/>
        <v>#N/A</v>
      </c>
      <c r="H844" t="e">
        <f t="shared" si="172"/>
        <v>#N/A</v>
      </c>
      <c r="I844">
        <f t="shared" si="173"/>
        <v>2021</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 Play</v>
      </c>
      <c r="B845">
        <f>IF($A845="","",games!$B845)</f>
        <v>2025</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2025</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Wordatro!</v>
      </c>
      <c r="B846">
        <f>IF($A846="","",games!$B846)</f>
        <v>2025</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Words Can Kill</v>
      </c>
      <c r="B847">
        <f>IF($A847="","",games!$B847)</f>
        <v>2022</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2022</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Worlds Upon The Wind</v>
      </c>
      <c r="B848">
        <f>IF($A848="","",games!$B848)</f>
        <v>2026</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Yasha: Legends of the Demon Blade</v>
      </c>
      <c r="B849">
        <f>IF($A849="","",games!$B849)</f>
        <v>2025</v>
      </c>
      <c r="C849" t="str">
        <f>IF($A849="","",games!$C849)</f>
        <v>Action</v>
      </c>
      <c r="D849">
        <f>IF($A849="","",COUNTIF(connections!$A$2:$A$1400,$A849)+COUNTIF(connections!$B$2:$B$1400,$A849))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Yet Another Zombie Survivors</v>
      </c>
      <c r="B850">
        <f>IF($A850="","",games!$B850)</f>
        <v>2023</v>
      </c>
      <c r="C850" t="str">
        <f>IF($A850="","",games!$C850)</f>
        <v>Action</v>
      </c>
      <c r="D850">
        <f>IF($A850="","",COUNTIF(connections!$A$2:$A$1400,$A850)+COUNTIF(connections!$B$2:$B$1400,$A850))</f>
        <v>1</v>
      </c>
      <c r="E850">
        <f t="shared" si="169"/>
        <v>1</v>
      </c>
      <c r="F850">
        <f t="shared" si="170"/>
        <v>0</v>
      </c>
      <c r="G850">
        <f t="shared" si="171"/>
        <v>2023</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Yohane the Parhelion: Numazu in the Mirage</v>
      </c>
      <c r="B851">
        <f>IF($A851="","",games!$B851)</f>
        <v>2024</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Youdanji</v>
      </c>
      <c r="B852">
        <f>IF($A852="","",games!$B852)</f>
        <v>2017</v>
      </c>
      <c r="C852" t="str">
        <f>IF($A852="","",games!$C852)</f>
        <v>Traditional</v>
      </c>
      <c r="D852">
        <f>IF($A852="","",COUNTIF(connections!$A$2:$A$1400,$A852)+COUNTIF(connections!$B$2:$B$1400,$A852))</f>
        <v>1</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2017</v>
      </c>
      <c r="N852">
        <f t="shared" si="178"/>
        <v>4.0460000000000003</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Z.H.P. Unlosing Ranger VS Darkdeath Evilman</v>
      </c>
      <c r="B853">
        <f>IF($A853="","",games!$B853)</f>
        <v>2010</v>
      </c>
      <c r="C853" t="str">
        <f>IF($A853="","",games!$C853)</f>
        <v>Traditional</v>
      </c>
      <c r="D853">
        <f>IF($A853="","",COUNTIF(connections!$A$2:$A$1400,$A853)+COUNTIF(connections!$B$2:$B$1400,$A853))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2010</v>
      </c>
      <c r="N853">
        <f t="shared" si="178"/>
        <v>4.069</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Zangband</v>
      </c>
      <c r="B854">
        <f>IF($A854="","",games!$B854)</f>
        <v>1994</v>
      </c>
      <c r="C854" t="str">
        <f>IF($A854="","",games!$C854)</f>
        <v>Traditional</v>
      </c>
      <c r="D854">
        <f>IF($A854="","",COUNTIF(connections!$A$2:$A$1400,$A854)+COUNTIF(connections!$B$2:$B$1400,$A854))</f>
        <v>4</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1994</v>
      </c>
      <c r="N854">
        <f t="shared" si="178"/>
        <v>4.0919999999999996</v>
      </c>
      <c r="O854">
        <f t="shared" si="179"/>
        <v>4.0008540000000004</v>
      </c>
      <c r="P854" t="str">
        <f>IF(OR($A854="",games!$H854=""),"",games!$H854)</f>
        <v>Yes</v>
      </c>
      <c r="Q854">
        <f t="shared" si="180"/>
        <v>4.0008540000000004</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Zet Zillions</v>
      </c>
      <c r="B855">
        <f>IF($A855="","",games!$B855)</f>
        <v>2024</v>
      </c>
      <c r="C855" t="str">
        <f>IF($A855="","",games!$C855)</f>
        <v>Deckbuilder</v>
      </c>
      <c r="D855">
        <f>IF($A855="","",COUNTIF(connections!$A$2:$A$1400,$A855)+COUNTIF(connections!$B$2:$B$1400,$A855))</f>
        <v>2</v>
      </c>
      <c r="E855">
        <f t="shared" si="169"/>
        <v>3</v>
      </c>
      <c r="F855">
        <f t="shared" si="170"/>
        <v>5</v>
      </c>
      <c r="G855" t="e">
        <f t="shared" si="171"/>
        <v>#N/A</v>
      </c>
      <c r="H855" t="e">
        <f t="shared" si="172"/>
        <v>#N/A</v>
      </c>
      <c r="I855" t="e">
        <f t="shared" si="173"/>
        <v>#N/A</v>
      </c>
      <c r="J855" t="e">
        <f t="shared" si="174"/>
        <v>#N/A</v>
      </c>
      <c r="K855">
        <f t="shared" si="175"/>
        <v>2024</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Ziggurat</v>
      </c>
      <c r="B856">
        <f>IF($A856="","",games!$B856)</f>
        <v>2014</v>
      </c>
      <c r="C856" t="str">
        <f>IF($A856="","",games!$C856)</f>
        <v>Action</v>
      </c>
      <c r="D856">
        <f>IF($A856="","",COUNTIF(connections!$A$2:$A$1400,$A856)+COUNTIF(connections!$B$2:$B$1400,$A856))</f>
        <v>2</v>
      </c>
      <c r="E856">
        <f t="shared" si="169"/>
        <v>1</v>
      </c>
      <c r="F856">
        <f t="shared" si="170"/>
        <v>6</v>
      </c>
      <c r="G856">
        <f t="shared" si="171"/>
        <v>2014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Yes</v>
      </c>
      <c r="Q856">
        <f t="shared" si="180"/>
        <v>2.0008560000000002</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Ziggurat 2</v>
      </c>
      <c r="B857">
        <f>IF($A857="","",games!$B857)</f>
        <v>2020</v>
      </c>
      <c r="C857" t="str">
        <f>IF($A857="","",games!$C857)</f>
        <v>Action</v>
      </c>
      <c r="D857">
        <f>IF($A857="","",COUNTIF(connections!$A$2:$A$1400,$A857)+COUNTIF(connections!$B$2:$B$1400,$A857))</f>
        <v>1</v>
      </c>
      <c r="E857">
        <f t="shared" si="169"/>
        <v>1</v>
      </c>
      <c r="F857">
        <f t="shared" si="170"/>
        <v>7</v>
      </c>
      <c r="G857">
        <f t="shared" si="171"/>
        <v>2020</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ZMAngband</v>
      </c>
      <c r="B858">
        <f>IF($A858="","",games!$B858)</f>
        <v>2025</v>
      </c>
      <c r="C858" t="str">
        <f>IF($A858="","",games!$C858)</f>
        <v>Traditional</v>
      </c>
      <c r="D858">
        <f>IF($A858="","",COUNTIF(connections!$A$2:$A$1400,$A858)+COUNTIF(connections!$B$2:$B$1400,$A858))</f>
        <v>6</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2025</v>
      </c>
      <c r="N858">
        <f t="shared" si="178"/>
        <v>4.1840000000000002</v>
      </c>
      <c r="O858">
        <f t="shared" si="179"/>
        <v>6.000858</v>
      </c>
      <c r="P858" t="str">
        <f>IF(OR($A858="",games!$H858=""),"",games!$H858)</f>
        <v>Yes</v>
      </c>
      <c r="Q858">
        <f t="shared" si="180"/>
        <v>6.000858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Zoeti</v>
      </c>
      <c r="B859">
        <f>IF($A859="","",games!$B859)</f>
        <v>2023</v>
      </c>
      <c r="C859" t="str">
        <f>IF($A859="","",games!$C859)</f>
        <v>Deckbuilder</v>
      </c>
      <c r="D859">
        <f>IF($A859="","",COUNTIF(connections!$A$2:$A$1400,$A859)+COUNTIF(connections!$B$2:$B$1400,$A859))</f>
        <v>3</v>
      </c>
      <c r="E859">
        <f t="shared" si="169"/>
        <v>3</v>
      </c>
      <c r="F859">
        <f t="shared" si="170"/>
        <v>9</v>
      </c>
      <c r="G859" t="e">
        <f t="shared" si="171"/>
        <v>#N/A</v>
      </c>
      <c r="H859" t="e">
        <f t="shared" si="172"/>
        <v>#N/A</v>
      </c>
      <c r="I859" t="e">
        <f t="shared" si="173"/>
        <v>#N/A</v>
      </c>
      <c r="J859" t="e">
        <f t="shared" si="174"/>
        <v>#N/A</v>
      </c>
      <c r="K859">
        <f t="shared" si="175"/>
        <v>2023</v>
      </c>
      <c r="L859">
        <f t="shared" si="176"/>
        <v>3.2069999999999999</v>
      </c>
      <c r="M859" t="e">
        <f t="shared" si="177"/>
        <v>#N/A</v>
      </c>
      <c r="N859" t="e">
        <f t="shared" si="178"/>
        <v>#N/A</v>
      </c>
      <c r="O859">
        <f t="shared" si="179"/>
        <v>3.0008590000000002</v>
      </c>
      <c r="P859" t="str">
        <f>IF(OR($A859="",games!$H859=""),"",games!$H859)</f>
        <v>Yes</v>
      </c>
      <c r="Q859">
        <f t="shared" si="180"/>
        <v>3.0008590000000002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Zoominoes</v>
      </c>
      <c r="B860">
        <f>IF($A860="","",games!$B860)</f>
        <v>2026</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1.0008600000000001</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Zorbus</v>
      </c>
      <c r="B861">
        <f>IF($A861="","",games!$B861)</f>
        <v>2022</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2022</v>
      </c>
      <c r="N861">
        <f t="shared" si="178"/>
        <v>4.2530000000000001</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Curse of Pirates</v>
      </c>
      <c r="B862">
        <f>IF($A862="","",games!$B862)</f>
        <v>2026</v>
      </c>
      <c r="C862" t="str">
        <f>IF($A862="","",games!$C862)</f>
        <v>Action</v>
      </c>
      <c r="D862">
        <f>IF($A862="","",COUNTIF(connections!$A$2:$A$1400,$A862)+COUNTIF(connections!$B$2:$B$1400,$A862))</f>
        <v>2</v>
      </c>
      <c r="E862">
        <f t="shared" si="169"/>
        <v>1</v>
      </c>
      <c r="F862">
        <f t="shared" si="170"/>
        <v>12</v>
      </c>
      <c r="G862">
        <f t="shared" si="171"/>
        <v>2026</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2026-09-07T21:13:06Z</dcterms:modified>
  <dc:language>en-US</dc:language>
</cp:coreProperties>
</file>