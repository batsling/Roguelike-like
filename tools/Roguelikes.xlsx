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65F71FA-3782-47BB-B79B-CD87F8425053}"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4" i="2" l="1"/>
  <c r="D534" i="2"/>
  <c r="E420" i="2"/>
  <c r="D420" i="2"/>
  <c r="E511" i="2"/>
  <c r="D511"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V1208" i="42" s="1"/>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V1192" i="42" s="1"/>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V1117" i="42" s="1"/>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P855" i="42"/>
  <c r="Q855" i="42" s="1"/>
  <c r="J855" i="42"/>
  <c r="I855" i="42"/>
  <c r="H855" i="42"/>
  <c r="G855" i="42"/>
  <c r="F855" i="42"/>
  <c r="E855" i="42"/>
  <c r="D855" i="42"/>
  <c r="A855" i="42"/>
  <c r="U854" i="42"/>
  <c r="T854" i="42"/>
  <c r="P854" i="42"/>
  <c r="O854" i="42"/>
  <c r="N854" i="42"/>
  <c r="M854" i="42"/>
  <c r="L854" i="42"/>
  <c r="K854" i="42"/>
  <c r="J854" i="42"/>
  <c r="I854" i="42"/>
  <c r="H854" i="42"/>
  <c r="G854" i="42"/>
  <c r="F854" i="42"/>
  <c r="E854" i="42"/>
  <c r="D854" i="42"/>
  <c r="C854" i="42"/>
  <c r="B854" i="42"/>
  <c r="A854" i="42"/>
  <c r="Q854" i="42" s="1"/>
  <c r="U853" i="42"/>
  <c r="T853" i="42"/>
  <c r="C853" i="42"/>
  <c r="A853" i="42"/>
  <c r="B853" i="42" s="1"/>
  <c r="U852" i="42"/>
  <c r="T852" i="42"/>
  <c r="A852" i="42"/>
  <c r="P852" i="42" s="1"/>
  <c r="Q852" i="42" s="1"/>
  <c r="U851" i="42"/>
  <c r="T851" i="42"/>
  <c r="A851" i="42"/>
  <c r="F851" i="42" s="1"/>
  <c r="U850" i="42"/>
  <c r="T850" i="42"/>
  <c r="F850" i="42"/>
  <c r="D850" i="42"/>
  <c r="O850" i="42" s="1"/>
  <c r="A850" i="42"/>
  <c r="U849" i="42"/>
  <c r="T849" i="42"/>
  <c r="A849" i="42"/>
  <c r="P849" i="42" s="1"/>
  <c r="U848" i="42"/>
  <c r="T848" i="42"/>
  <c r="P848" i="42"/>
  <c r="A848" i="42"/>
  <c r="U847" i="42"/>
  <c r="T847" i="42"/>
  <c r="P847" i="42"/>
  <c r="D847" i="42"/>
  <c r="O847" i="42" s="1"/>
  <c r="A847" i="42"/>
  <c r="F847" i="42" s="1"/>
  <c r="U846" i="42"/>
  <c r="T846" i="42"/>
  <c r="C846" i="42"/>
  <c r="A846" i="42"/>
  <c r="U845" i="42"/>
  <c r="T845" i="42"/>
  <c r="B845" i="42"/>
  <c r="A845" i="42"/>
  <c r="U844" i="42"/>
  <c r="T844" i="42"/>
  <c r="A844" i="42"/>
  <c r="U843" i="42"/>
  <c r="T843" i="42"/>
  <c r="F843" i="42"/>
  <c r="A843" i="42"/>
  <c r="P843" i="42" s="1"/>
  <c r="U842" i="42"/>
  <c r="T842" i="42"/>
  <c r="P842" i="42"/>
  <c r="C842" i="42"/>
  <c r="M842" i="42" s="1"/>
  <c r="A842" i="42"/>
  <c r="U841" i="42"/>
  <c r="T841" i="42"/>
  <c r="P841" i="42"/>
  <c r="C841" i="42"/>
  <c r="B841" i="42"/>
  <c r="A841" i="42"/>
  <c r="U840" i="42"/>
  <c r="T840" i="42"/>
  <c r="A840" i="42"/>
  <c r="U839" i="42"/>
  <c r="T839" i="42"/>
  <c r="F839" i="42"/>
  <c r="A839" i="42"/>
  <c r="P839" i="42" s="1"/>
  <c r="U838" i="42"/>
  <c r="T838" i="42"/>
  <c r="P838" i="42"/>
  <c r="F838" i="42"/>
  <c r="D838" i="42"/>
  <c r="O838" i="42" s="1"/>
  <c r="C838" i="42"/>
  <c r="E838" i="42" s="1"/>
  <c r="B838" i="42"/>
  <c r="A838" i="42"/>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P831" i="42"/>
  <c r="A831" i="42"/>
  <c r="U830" i="42"/>
  <c r="T830" i="42"/>
  <c r="A830" i="42"/>
  <c r="U829" i="42"/>
  <c r="T829" i="42"/>
  <c r="A829" i="42"/>
  <c r="U828" i="42"/>
  <c r="T828" i="42"/>
  <c r="A828" i="42"/>
  <c r="U827" i="42"/>
  <c r="T827" i="42"/>
  <c r="F827" i="42"/>
  <c r="D827" i="42"/>
  <c r="B827" i="42"/>
  <c r="A827" i="42"/>
  <c r="P827" i="42" s="1"/>
  <c r="Q827" i="42" s="1"/>
  <c r="U826" i="42"/>
  <c r="T826" i="42"/>
  <c r="D826" i="42"/>
  <c r="O826" i="42" s="1"/>
  <c r="B826" i="42"/>
  <c r="A826" i="42"/>
  <c r="P826" i="42" s="1"/>
  <c r="U825" i="42"/>
  <c r="T825" i="42"/>
  <c r="P825" i="42"/>
  <c r="B825" i="42"/>
  <c r="A825" i="42"/>
  <c r="U824" i="42"/>
  <c r="T824" i="42"/>
  <c r="A824" i="42"/>
  <c r="U823" i="42"/>
  <c r="T823" i="42"/>
  <c r="P823" i="42"/>
  <c r="E823" i="42"/>
  <c r="D823" i="42"/>
  <c r="O823" i="42" s="1"/>
  <c r="C823" i="42"/>
  <c r="A823" i="42"/>
  <c r="N823" i="42" s="1"/>
  <c r="U822" i="42"/>
  <c r="T822" i="42"/>
  <c r="A822" i="42"/>
  <c r="U821" i="42"/>
  <c r="T821" i="42"/>
  <c r="A821" i="42"/>
  <c r="U820" i="42"/>
  <c r="T820" i="42"/>
  <c r="A820" i="42"/>
  <c r="U819" i="42"/>
  <c r="T819" i="42"/>
  <c r="A819" i="42"/>
  <c r="U818" i="42"/>
  <c r="T818" i="42"/>
  <c r="P818" i="42"/>
  <c r="D818" i="42"/>
  <c r="O818" i="42" s="1"/>
  <c r="C818" i="42"/>
  <c r="B818" i="42"/>
  <c r="A818" i="42"/>
  <c r="U817" i="42"/>
  <c r="T817" i="42"/>
  <c r="A817" i="42"/>
  <c r="U816" i="42"/>
  <c r="T816" i="42"/>
  <c r="A816" i="42"/>
  <c r="D816" i="42" s="1"/>
  <c r="O816" i="42" s="1"/>
  <c r="U815" i="42"/>
  <c r="T815" i="42"/>
  <c r="P815" i="42"/>
  <c r="N815" i="42"/>
  <c r="C815" i="42"/>
  <c r="E815" i="42" s="1"/>
  <c r="A815" i="42"/>
  <c r="D815" i="42" s="1"/>
  <c r="Q815" i="42" s="1"/>
  <c r="U814" i="42"/>
  <c r="T814" i="42"/>
  <c r="P814" i="42"/>
  <c r="D814" i="42"/>
  <c r="O814" i="42" s="1"/>
  <c r="A814" i="42"/>
  <c r="U813" i="42"/>
  <c r="T813" i="42"/>
  <c r="B813" i="42"/>
  <c r="A813" i="42"/>
  <c r="U812" i="42"/>
  <c r="T812" i="42"/>
  <c r="A812" i="42"/>
  <c r="U811" i="42"/>
  <c r="T811" i="42"/>
  <c r="F811" i="42"/>
  <c r="D811" i="42"/>
  <c r="O811" i="42" s="1"/>
  <c r="A811" i="42"/>
  <c r="C811" i="42" s="1"/>
  <c r="U810" i="42"/>
  <c r="T810" i="42"/>
  <c r="P810" i="42"/>
  <c r="D810" i="42"/>
  <c r="O810" i="42" s="1"/>
  <c r="C810" i="42"/>
  <c r="B810" i="42"/>
  <c r="A810" i="42"/>
  <c r="U809" i="42"/>
  <c r="T809" i="42"/>
  <c r="A809" i="42"/>
  <c r="U808" i="42"/>
  <c r="T808" i="42"/>
  <c r="A808" i="42"/>
  <c r="U807" i="42"/>
  <c r="T807" i="42"/>
  <c r="P807" i="42"/>
  <c r="Q807" i="42" s="1"/>
  <c r="A807" i="42"/>
  <c r="D807" i="42" s="1"/>
  <c r="U806" i="42"/>
  <c r="T806" i="42"/>
  <c r="P806" i="42"/>
  <c r="M806" i="42"/>
  <c r="D806" i="42"/>
  <c r="O806" i="42" s="1"/>
  <c r="C806" i="42"/>
  <c r="B806" i="42"/>
  <c r="A806" i="42"/>
  <c r="J806" i="42" s="1"/>
  <c r="U805" i="42"/>
  <c r="T805" i="42"/>
  <c r="B805" i="42"/>
  <c r="A805" i="42"/>
  <c r="U804" i="42"/>
  <c r="T804" i="42"/>
  <c r="F804" i="42"/>
  <c r="D804" i="42"/>
  <c r="Q804" i="42" s="1"/>
  <c r="B804" i="42"/>
  <c r="A804" i="42"/>
  <c r="P804" i="42" s="1"/>
  <c r="U803" i="42"/>
  <c r="T803" i="42"/>
  <c r="A803" i="42"/>
  <c r="U802" i="42"/>
  <c r="T802" i="42"/>
  <c r="A802" i="42"/>
  <c r="U801" i="42"/>
  <c r="T801" i="42"/>
  <c r="P801" i="42"/>
  <c r="Q801" i="42" s="1"/>
  <c r="B801" i="42"/>
  <c r="A801" i="42"/>
  <c r="U800" i="42"/>
  <c r="T800" i="42"/>
  <c r="A800" i="42"/>
  <c r="U799" i="42"/>
  <c r="T799" i="42"/>
  <c r="C799" i="42"/>
  <c r="A799" i="42"/>
  <c r="U798" i="42"/>
  <c r="T798" i="42"/>
  <c r="D798" i="42"/>
  <c r="O798" i="42" s="1"/>
  <c r="A798" i="42"/>
  <c r="U797" i="42"/>
  <c r="T797" i="42"/>
  <c r="C797" i="42"/>
  <c r="B797" i="42"/>
  <c r="A797" i="42"/>
  <c r="U796" i="42"/>
  <c r="T796" i="42"/>
  <c r="A796" i="42"/>
  <c r="U795" i="42"/>
  <c r="T795" i="42"/>
  <c r="P795" i="42"/>
  <c r="F795" i="42"/>
  <c r="D795" i="42"/>
  <c r="Q795" i="42" s="1"/>
  <c r="C795" i="42"/>
  <c r="J795" i="42" s="1"/>
  <c r="A795" i="42"/>
  <c r="U794" i="42"/>
  <c r="T794" i="42"/>
  <c r="P794" i="42"/>
  <c r="D794" i="42"/>
  <c r="O794" i="42" s="1"/>
  <c r="B794" i="42"/>
  <c r="A794" i="42"/>
  <c r="U793" i="42"/>
  <c r="T793" i="42"/>
  <c r="P793" i="42"/>
  <c r="Q793" i="42" s="1"/>
  <c r="K793" i="42"/>
  <c r="C793" i="42"/>
  <c r="N793" i="42" s="1"/>
  <c r="B793" i="42"/>
  <c r="A793" i="42"/>
  <c r="M793" i="42" s="1"/>
  <c r="U792" i="42"/>
  <c r="T792" i="42"/>
  <c r="P792" i="42"/>
  <c r="D792" i="42"/>
  <c r="Q792" i="42" s="1"/>
  <c r="A792" i="42"/>
  <c r="B792" i="42" s="1"/>
  <c r="U791" i="42"/>
  <c r="T791" i="42"/>
  <c r="Q791" i="42"/>
  <c r="P791" i="42"/>
  <c r="F791" i="42"/>
  <c r="D791" i="42"/>
  <c r="O791" i="42" s="1"/>
  <c r="C791" i="42"/>
  <c r="A791" i="42"/>
  <c r="N791" i="42" s="1"/>
  <c r="U790" i="42"/>
  <c r="T790" i="42"/>
  <c r="D790" i="42"/>
  <c r="O790" i="42" s="1"/>
  <c r="A790" i="42"/>
  <c r="U789" i="42"/>
  <c r="T789" i="42"/>
  <c r="K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F783" i="42"/>
  <c r="D783" i="42"/>
  <c r="O783" i="42" s="1"/>
  <c r="C783" i="42"/>
  <c r="A783" i="42"/>
  <c r="P783" i="42" s="1"/>
  <c r="Q783" i="42" s="1"/>
  <c r="U782" i="42"/>
  <c r="T782" i="42"/>
  <c r="A782" i="42"/>
  <c r="U781" i="42"/>
  <c r="T781" i="42"/>
  <c r="P781" i="42"/>
  <c r="C781" i="42"/>
  <c r="A781" i="42"/>
  <c r="F781" i="42" s="1"/>
  <c r="U780" i="42"/>
  <c r="T780" i="42"/>
  <c r="P780" i="42"/>
  <c r="D780" i="42"/>
  <c r="O780" i="42" s="1"/>
  <c r="A780" i="42"/>
  <c r="U779" i="42"/>
  <c r="T779" i="42"/>
  <c r="A779" i="42"/>
  <c r="U778" i="42"/>
  <c r="T778" i="42"/>
  <c r="P778" i="42"/>
  <c r="F778" i="42"/>
  <c r="C778" i="42"/>
  <c r="N778" i="42" s="1"/>
  <c r="A778" i="42"/>
  <c r="U777" i="42"/>
  <c r="T777" i="42"/>
  <c r="P777" i="42"/>
  <c r="B777" i="42"/>
  <c r="A777" i="42"/>
  <c r="U776" i="42"/>
  <c r="T776" i="42"/>
  <c r="B776" i="42"/>
  <c r="A776" i="42"/>
  <c r="U775" i="42"/>
  <c r="T775" i="42"/>
  <c r="C775" i="42"/>
  <c r="E775" i="42" s="1"/>
  <c r="A775" i="42"/>
  <c r="U774" i="42"/>
  <c r="T774" i="42"/>
  <c r="P774" i="42"/>
  <c r="M774" i="42"/>
  <c r="F774" i="42"/>
  <c r="D774" i="42"/>
  <c r="O774" i="42" s="1"/>
  <c r="C774" i="42"/>
  <c r="E774" i="42" s="1"/>
  <c r="B774" i="42"/>
  <c r="A774" i="42"/>
  <c r="U773" i="42"/>
  <c r="T773" i="42"/>
  <c r="A773" i="42"/>
  <c r="U772" i="42"/>
  <c r="T772" i="42"/>
  <c r="F772" i="42"/>
  <c r="A772" i="42"/>
  <c r="U771" i="42"/>
  <c r="T771" i="42"/>
  <c r="A771" i="42"/>
  <c r="D771" i="42" s="1"/>
  <c r="U770" i="42"/>
  <c r="T770" i="42"/>
  <c r="D770" i="42"/>
  <c r="O770" i="42" s="1"/>
  <c r="A770" i="42"/>
  <c r="U769" i="42"/>
  <c r="T769" i="42"/>
  <c r="A769" i="42"/>
  <c r="P769" i="42" s="1"/>
  <c r="U768" i="42"/>
  <c r="T768" i="42"/>
  <c r="A768" i="42"/>
  <c r="U767" i="42"/>
  <c r="T767" i="42"/>
  <c r="A767" i="42"/>
  <c r="U766" i="42"/>
  <c r="T766" i="42"/>
  <c r="P766" i="42"/>
  <c r="I766" i="42"/>
  <c r="C766" i="42"/>
  <c r="L766" i="42" s="1"/>
  <c r="B766" i="42"/>
  <c r="A766" i="42"/>
  <c r="U765" i="42"/>
  <c r="T765" i="42"/>
  <c r="C765" i="42"/>
  <c r="M765" i="42" s="1"/>
  <c r="A765" i="42"/>
  <c r="U764" i="42"/>
  <c r="T764" i="42"/>
  <c r="B764" i="42"/>
  <c r="A764" i="42"/>
  <c r="F764" i="42" s="1"/>
  <c r="U763" i="42"/>
  <c r="T763" i="42"/>
  <c r="A763" i="42"/>
  <c r="U762" i="42"/>
  <c r="T762" i="42"/>
  <c r="A762" i="42"/>
  <c r="U761" i="42"/>
  <c r="T761" i="42"/>
  <c r="A761" i="42"/>
  <c r="U760" i="42"/>
  <c r="T760" i="42"/>
  <c r="C760" i="42"/>
  <c r="B760" i="42"/>
  <c r="A760" i="42"/>
  <c r="D760" i="42" s="1"/>
  <c r="U759" i="42"/>
  <c r="T759" i="42"/>
  <c r="A759" i="42"/>
  <c r="U758" i="42"/>
  <c r="T758" i="42"/>
  <c r="P758" i="42"/>
  <c r="A758" i="42"/>
  <c r="U757" i="42"/>
  <c r="T757" i="42"/>
  <c r="D757" i="42"/>
  <c r="A757" i="42"/>
  <c r="P757" i="42" s="1"/>
  <c r="U756" i="42"/>
  <c r="T756" i="42"/>
  <c r="F756" i="42"/>
  <c r="D756" i="42"/>
  <c r="A756" i="42"/>
  <c r="B756" i="42" s="1"/>
  <c r="U755" i="42"/>
  <c r="T755" i="42"/>
  <c r="A755" i="42"/>
  <c r="U754" i="42"/>
  <c r="T754" i="42"/>
  <c r="A754" i="42"/>
  <c r="D754" i="42" s="1"/>
  <c r="U753" i="42"/>
  <c r="T753" i="42"/>
  <c r="F753" i="42"/>
  <c r="D753" i="42"/>
  <c r="A753" i="42"/>
  <c r="U752" i="42"/>
  <c r="T752" i="42"/>
  <c r="F752" i="42"/>
  <c r="D752" i="42"/>
  <c r="B752" i="42"/>
  <c r="A752" i="42"/>
  <c r="U751" i="42"/>
  <c r="T751" i="42"/>
  <c r="A751" i="42"/>
  <c r="C751" i="42" s="1"/>
  <c r="U750" i="42"/>
  <c r="T750" i="42"/>
  <c r="A750" i="42"/>
  <c r="U749" i="42"/>
  <c r="T749" i="42"/>
  <c r="P749" i="42"/>
  <c r="F749" i="42"/>
  <c r="D749" i="42"/>
  <c r="C749" i="42"/>
  <c r="B749" i="42"/>
  <c r="A749" i="42"/>
  <c r="U748" i="42"/>
  <c r="T748" i="42"/>
  <c r="A748" i="42"/>
  <c r="U747" i="42"/>
  <c r="T747" i="42"/>
  <c r="P747" i="42"/>
  <c r="F747" i="42"/>
  <c r="D747" i="42"/>
  <c r="Q747" i="42" s="1"/>
  <c r="C747" i="42"/>
  <c r="B747" i="42"/>
  <c r="A747" i="42"/>
  <c r="U746" i="42"/>
  <c r="T746" i="42"/>
  <c r="F746" i="42"/>
  <c r="A746" i="42"/>
  <c r="P746" i="42" s="1"/>
  <c r="U745" i="42"/>
  <c r="T745" i="42"/>
  <c r="A745" i="42"/>
  <c r="U744" i="42"/>
  <c r="T744" i="42"/>
  <c r="A744" i="42"/>
  <c r="U743" i="42"/>
  <c r="T743" i="42"/>
  <c r="A743" i="42"/>
  <c r="C743" i="42" s="1"/>
  <c r="L743" i="42" s="1"/>
  <c r="U742" i="42"/>
  <c r="T742" i="42"/>
  <c r="D742" i="42"/>
  <c r="O742" i="42" s="1"/>
  <c r="A742" i="42"/>
  <c r="U741" i="42"/>
  <c r="T741" i="42"/>
  <c r="P741" i="42"/>
  <c r="D741" i="42"/>
  <c r="O741" i="42" s="1"/>
  <c r="B741" i="42"/>
  <c r="A741" i="42"/>
  <c r="U740" i="42"/>
  <c r="T740" i="42"/>
  <c r="A740" i="42"/>
  <c r="U739" i="42"/>
  <c r="T739" i="42"/>
  <c r="P739" i="42"/>
  <c r="A739" i="42"/>
  <c r="B739" i="42" s="1"/>
  <c r="U738" i="42"/>
  <c r="T738" i="42"/>
  <c r="A738" i="42"/>
  <c r="U737" i="42"/>
  <c r="T737" i="42"/>
  <c r="P737" i="42"/>
  <c r="D737" i="42"/>
  <c r="O737" i="42" s="1"/>
  <c r="C737" i="42"/>
  <c r="A737" i="42"/>
  <c r="U736" i="42"/>
  <c r="T736" i="42"/>
  <c r="P736" i="42"/>
  <c r="Q736" i="42" s="1"/>
  <c r="F736" i="42"/>
  <c r="D736" i="42"/>
  <c r="B736" i="42"/>
  <c r="A736" i="42"/>
  <c r="U735" i="42"/>
  <c r="T735" i="42"/>
  <c r="A735" i="42"/>
  <c r="B735" i="42" s="1"/>
  <c r="U734" i="42"/>
  <c r="T734" i="42"/>
  <c r="B734" i="42"/>
  <c r="A734" i="42"/>
  <c r="D734" i="42" s="1"/>
  <c r="O734" i="42" s="1"/>
  <c r="U733" i="42"/>
  <c r="T733" i="42"/>
  <c r="F733" i="42"/>
  <c r="A733" i="42"/>
  <c r="U732" i="42"/>
  <c r="T732" i="42"/>
  <c r="P732" i="42"/>
  <c r="Q732" i="42" s="1"/>
  <c r="B732" i="42"/>
  <c r="A732" i="42"/>
  <c r="F732" i="42" s="1"/>
  <c r="U731" i="42"/>
  <c r="T731" i="42"/>
  <c r="P731" i="42"/>
  <c r="F731" i="42"/>
  <c r="D731" i="42"/>
  <c r="O731" i="42" s="1"/>
  <c r="B731" i="42"/>
  <c r="A731" i="42"/>
  <c r="C731" i="42" s="1"/>
  <c r="U730" i="42"/>
  <c r="T730" i="42"/>
  <c r="B730" i="42"/>
  <c r="A730" i="42"/>
  <c r="D730" i="42" s="1"/>
  <c r="U729" i="42"/>
  <c r="T729" i="42"/>
  <c r="P729" i="42"/>
  <c r="B729" i="42"/>
  <c r="A729" i="42"/>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C722" i="42"/>
  <c r="A722" i="42"/>
  <c r="U721" i="42"/>
  <c r="T721" i="42"/>
  <c r="P721" i="42"/>
  <c r="M721" i="42"/>
  <c r="K721" i="42"/>
  <c r="H721" i="42"/>
  <c r="F721" i="42"/>
  <c r="L721" i="42" s="1"/>
  <c r="D721" i="42"/>
  <c r="O721" i="42" s="1"/>
  <c r="C721" i="42"/>
  <c r="B721" i="42"/>
  <c r="A721" i="42"/>
  <c r="U720" i="42"/>
  <c r="T720" i="42"/>
  <c r="F720" i="42"/>
  <c r="A720" i="42"/>
  <c r="B720" i="42" s="1"/>
  <c r="U719" i="42"/>
  <c r="T719" i="42"/>
  <c r="A719" i="42"/>
  <c r="U718" i="42"/>
  <c r="T718" i="42"/>
  <c r="F718" i="42"/>
  <c r="D718" i="42"/>
  <c r="A718" i="42"/>
  <c r="U717" i="42"/>
  <c r="T717" i="42"/>
  <c r="A717" i="42"/>
  <c r="U716" i="42"/>
  <c r="T716" i="42"/>
  <c r="A716" i="42"/>
  <c r="U715" i="42"/>
  <c r="T715" i="42"/>
  <c r="A715" i="42"/>
  <c r="U714" i="42"/>
  <c r="T714" i="42"/>
  <c r="A714" i="42"/>
  <c r="U713" i="42"/>
  <c r="T713" i="42"/>
  <c r="P713" i="42"/>
  <c r="F713" i="42"/>
  <c r="D713" i="42"/>
  <c r="O713" i="42" s="1"/>
  <c r="B713" i="42"/>
  <c r="A713" i="42"/>
  <c r="U712" i="42"/>
  <c r="T712" i="42"/>
  <c r="Q712" i="42"/>
  <c r="F712" i="42"/>
  <c r="D712" i="42"/>
  <c r="O712" i="42" s="1"/>
  <c r="B712" i="42"/>
  <c r="A712" i="42"/>
  <c r="P712" i="42" s="1"/>
  <c r="U711" i="42"/>
  <c r="T711" i="42"/>
  <c r="A711" i="42"/>
  <c r="U710" i="42"/>
  <c r="T710" i="42"/>
  <c r="A710" i="42"/>
  <c r="U709" i="42"/>
  <c r="T709" i="42"/>
  <c r="P709" i="42"/>
  <c r="L709" i="42"/>
  <c r="C709" i="42"/>
  <c r="B709" i="42"/>
  <c r="A709" i="42"/>
  <c r="U708" i="42"/>
  <c r="T708" i="42"/>
  <c r="A708" i="42"/>
  <c r="B708" i="42" s="1"/>
  <c r="U707" i="42"/>
  <c r="T707" i="42"/>
  <c r="A707" i="42"/>
  <c r="U706" i="42"/>
  <c r="T706" i="42"/>
  <c r="P706" i="42"/>
  <c r="B706" i="42"/>
  <c r="A706" i="42"/>
  <c r="D706" i="42" s="1"/>
  <c r="O706" i="42" s="1"/>
  <c r="U705" i="42"/>
  <c r="T705" i="42"/>
  <c r="P705" i="42"/>
  <c r="D705" i="42"/>
  <c r="O705" i="42" s="1"/>
  <c r="C705" i="42"/>
  <c r="K705" i="42" s="1"/>
  <c r="B705" i="42"/>
  <c r="A705" i="42"/>
  <c r="F705" i="42" s="1"/>
  <c r="U704" i="42"/>
  <c r="T704" i="42"/>
  <c r="A704" i="42"/>
  <c r="U703" i="42"/>
  <c r="T703" i="42"/>
  <c r="F703" i="42"/>
  <c r="D703" i="42"/>
  <c r="B703" i="42"/>
  <c r="A703" i="42"/>
  <c r="P703" i="42" s="1"/>
  <c r="U702" i="42"/>
  <c r="T702" i="42"/>
  <c r="A702" i="42"/>
  <c r="U701" i="42"/>
  <c r="T701" i="42"/>
  <c r="F701" i="42"/>
  <c r="C701" i="42"/>
  <c r="B701" i="42"/>
  <c r="A701" i="42"/>
  <c r="U700" i="42"/>
  <c r="T700" i="42"/>
  <c r="A700" i="42"/>
  <c r="B700" i="42" s="1"/>
  <c r="U699" i="42"/>
  <c r="T699" i="42"/>
  <c r="F699" i="42"/>
  <c r="A699" i="42"/>
  <c r="P699" i="42" s="1"/>
  <c r="U698" i="42"/>
  <c r="T698" i="42"/>
  <c r="P698" i="42"/>
  <c r="F698" i="42"/>
  <c r="D698" i="42"/>
  <c r="O698" i="42" s="1"/>
  <c r="C698" i="42"/>
  <c r="H698" i="42" s="1"/>
  <c r="A698" i="42"/>
  <c r="U697" i="42"/>
  <c r="T697" i="42"/>
  <c r="C697" i="42"/>
  <c r="A697" i="42"/>
  <c r="U696" i="42"/>
  <c r="T696" i="42"/>
  <c r="P696" i="42"/>
  <c r="F696" i="42"/>
  <c r="D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P691" i="42"/>
  <c r="Q691" i="42" s="1"/>
  <c r="D691" i="42"/>
  <c r="O691" i="42" s="1"/>
  <c r="A691" i="42"/>
  <c r="U690" i="42"/>
  <c r="T690" i="42"/>
  <c r="P690" i="42"/>
  <c r="D690" i="42"/>
  <c r="O690" i="42" s="1"/>
  <c r="A690" i="42"/>
  <c r="U689" i="42"/>
  <c r="T689" i="42"/>
  <c r="B689" i="42"/>
  <c r="A689" i="42"/>
  <c r="U688" i="42"/>
  <c r="T688" i="42"/>
  <c r="A688" i="42"/>
  <c r="U687" i="42"/>
  <c r="T687" i="42"/>
  <c r="A687" i="42"/>
  <c r="U686" i="42"/>
  <c r="T686" i="42"/>
  <c r="P686" i="42"/>
  <c r="F686" i="42"/>
  <c r="D686" i="42"/>
  <c r="O686" i="42" s="1"/>
  <c r="B686" i="42"/>
  <c r="A686" i="42"/>
  <c r="U685" i="42"/>
  <c r="T685" i="42"/>
  <c r="F685" i="42"/>
  <c r="D685" i="42"/>
  <c r="O685" i="42" s="1"/>
  <c r="B685" i="42"/>
  <c r="A685" i="42"/>
  <c r="P685" i="42" s="1"/>
  <c r="U684" i="42"/>
  <c r="T684" i="42"/>
  <c r="B684" i="42"/>
  <c r="A684" i="42"/>
  <c r="U683" i="42"/>
  <c r="T683" i="42"/>
  <c r="A683" i="42"/>
  <c r="U682" i="42"/>
  <c r="T682" i="42"/>
  <c r="P682" i="42"/>
  <c r="B682" i="42"/>
  <c r="A682" i="42"/>
  <c r="F682" i="42" s="1"/>
  <c r="U681" i="42"/>
  <c r="T681" i="42"/>
  <c r="A681" i="42"/>
  <c r="U680" i="42"/>
  <c r="T680" i="42"/>
  <c r="N680" i="42"/>
  <c r="M680" i="42"/>
  <c r="K680" i="42"/>
  <c r="F680" i="42"/>
  <c r="H680" i="42" s="1"/>
  <c r="C680" i="42"/>
  <c r="I680" i="42" s="1"/>
  <c r="B680" i="42"/>
  <c r="G680" i="42" s="1"/>
  <c r="A680" i="42"/>
  <c r="L680" i="42" s="1"/>
  <c r="U679" i="42"/>
  <c r="T679" i="42"/>
  <c r="A679" i="42"/>
  <c r="U678" i="42"/>
  <c r="T678" i="42"/>
  <c r="A678" i="42"/>
  <c r="B678" i="42" s="1"/>
  <c r="U677" i="42"/>
  <c r="T677" i="42"/>
  <c r="A677" i="42"/>
  <c r="U676" i="42"/>
  <c r="T676" i="42"/>
  <c r="P676" i="42"/>
  <c r="C676" i="42"/>
  <c r="B676" i="42"/>
  <c r="A676" i="42"/>
  <c r="U675" i="42"/>
  <c r="T675" i="42"/>
  <c r="A675" i="42"/>
  <c r="U674" i="42"/>
  <c r="T674" i="42"/>
  <c r="P674" i="42"/>
  <c r="F674" i="42"/>
  <c r="C674" i="42"/>
  <c r="B674" i="42"/>
  <c r="A674" i="42"/>
  <c r="U673" i="42"/>
  <c r="T673" i="42"/>
  <c r="P673" i="42"/>
  <c r="J673" i="42"/>
  <c r="I673" i="42"/>
  <c r="G673" i="42"/>
  <c r="F673" i="42"/>
  <c r="H673" i="42" s="1"/>
  <c r="D673" i="42"/>
  <c r="O673" i="42" s="1"/>
  <c r="C673" i="42"/>
  <c r="B673" i="42"/>
  <c r="A673" i="42"/>
  <c r="E673" i="42" s="1"/>
  <c r="U672" i="42"/>
  <c r="T672" i="42"/>
  <c r="C672" i="42"/>
  <c r="A672" i="42"/>
  <c r="U671" i="42"/>
  <c r="T671" i="42"/>
  <c r="Q671" i="42"/>
  <c r="P671" i="42"/>
  <c r="A671" i="42"/>
  <c r="F671" i="42" s="1"/>
  <c r="U670" i="42"/>
  <c r="T670" i="42"/>
  <c r="A670" i="42"/>
  <c r="U669" i="42"/>
  <c r="T669" i="42"/>
  <c r="P669" i="42"/>
  <c r="D669" i="42"/>
  <c r="O669" i="42" s="1"/>
  <c r="A669" i="42"/>
  <c r="U668" i="42"/>
  <c r="T668" i="42"/>
  <c r="A668" i="42"/>
  <c r="U667" i="42"/>
  <c r="T667" i="42"/>
  <c r="P667" i="42"/>
  <c r="C667" i="42"/>
  <c r="E667" i="42" s="1"/>
  <c r="A667" i="42"/>
  <c r="U666" i="42"/>
  <c r="T666" i="42"/>
  <c r="A666" i="42"/>
  <c r="D666" i="42" s="1"/>
  <c r="U665" i="42"/>
  <c r="T665" i="42"/>
  <c r="P665" i="42"/>
  <c r="F665" i="42"/>
  <c r="D665" i="42"/>
  <c r="O665" i="42" s="1"/>
  <c r="B665" i="42"/>
  <c r="A665" i="42"/>
  <c r="C665" i="42" s="1"/>
  <c r="U664" i="42"/>
  <c r="T664" i="42"/>
  <c r="P664" i="42"/>
  <c r="M664" i="42"/>
  <c r="D664" i="42"/>
  <c r="O664" i="42" s="1"/>
  <c r="C664" i="42"/>
  <c r="B664" i="42"/>
  <c r="A664" i="42"/>
  <c r="F664" i="42" s="1"/>
  <c r="L664" i="42" s="1"/>
  <c r="U663" i="42"/>
  <c r="T663" i="42"/>
  <c r="P663" i="42"/>
  <c r="D663" i="42"/>
  <c r="Q663" i="42" s="1"/>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B655" i="42"/>
  <c r="A655" i="42"/>
  <c r="F655" i="42" s="1"/>
  <c r="U654" i="42"/>
  <c r="T654" i="42"/>
  <c r="P654" i="42"/>
  <c r="F654" i="42"/>
  <c r="H654" i="42" s="1"/>
  <c r="C654" i="42"/>
  <c r="A654" i="42"/>
  <c r="B654" i="42" s="1"/>
  <c r="U653" i="42"/>
  <c r="T653" i="42"/>
  <c r="A653" i="42"/>
  <c r="U652" i="42"/>
  <c r="T652" i="42"/>
  <c r="A652" i="42"/>
  <c r="U651" i="42"/>
  <c r="T651" i="42"/>
  <c r="D651" i="42"/>
  <c r="A651" i="42"/>
  <c r="C651" i="42" s="1"/>
  <c r="U650" i="42"/>
  <c r="T650" i="42"/>
  <c r="F650" i="42"/>
  <c r="C650" i="42"/>
  <c r="A650" i="42"/>
  <c r="U649" i="42"/>
  <c r="T649" i="42"/>
  <c r="P649" i="42"/>
  <c r="Q649" i="42" s="1"/>
  <c r="C649" i="42"/>
  <c r="A649" i="42"/>
  <c r="U648" i="42"/>
  <c r="T648" i="42"/>
  <c r="P648" i="42"/>
  <c r="F648" i="42"/>
  <c r="D648" i="42"/>
  <c r="O648" i="42" s="1"/>
  <c r="C648" i="42"/>
  <c r="L648" i="42" s="1"/>
  <c r="A648" i="42"/>
  <c r="U647" i="42"/>
  <c r="T647" i="42"/>
  <c r="D647" i="42"/>
  <c r="A647" i="42"/>
  <c r="F647" i="42" s="1"/>
  <c r="U646" i="42"/>
  <c r="T646" i="42"/>
  <c r="P646" i="42"/>
  <c r="F646" i="42"/>
  <c r="D646" i="42"/>
  <c r="O646" i="42" s="1"/>
  <c r="A646" i="42"/>
  <c r="U645" i="42"/>
  <c r="T645" i="42"/>
  <c r="L645" i="42"/>
  <c r="C645" i="42"/>
  <c r="B645" i="42"/>
  <c r="A645" i="42"/>
  <c r="P645" i="42" s="1"/>
  <c r="U644" i="42"/>
  <c r="T644" i="42"/>
  <c r="D644" i="42"/>
  <c r="O644" i="42" s="1"/>
  <c r="A644" i="42"/>
  <c r="U643" i="42"/>
  <c r="T643" i="42"/>
  <c r="A643" i="42"/>
  <c r="P643" i="42" s="1"/>
  <c r="U642" i="42"/>
  <c r="T642" i="42"/>
  <c r="I642" i="42"/>
  <c r="H642" i="42"/>
  <c r="C642" i="42"/>
  <c r="J642" i="42" s="1"/>
  <c r="A642" i="42"/>
  <c r="U641" i="42"/>
  <c r="T641" i="42"/>
  <c r="C641" i="42"/>
  <c r="A641" i="42"/>
  <c r="U640" i="42"/>
  <c r="T640" i="42"/>
  <c r="B640" i="42"/>
  <c r="A640" i="42"/>
  <c r="U639" i="42"/>
  <c r="T639" i="42"/>
  <c r="C639" i="42"/>
  <c r="A639" i="42"/>
  <c r="U638" i="42"/>
  <c r="T638" i="42"/>
  <c r="P638" i="42"/>
  <c r="L638" i="42"/>
  <c r="D638" i="42"/>
  <c r="O638" i="42" s="1"/>
  <c r="C638" i="42"/>
  <c r="H638" i="42" s="1"/>
  <c r="A638" i="42"/>
  <c r="B638" i="42" s="1"/>
  <c r="U637" i="42"/>
  <c r="T637" i="42"/>
  <c r="C637" i="42"/>
  <c r="A637" i="42"/>
  <c r="U636" i="42"/>
  <c r="T636" i="42"/>
  <c r="A636" i="42"/>
  <c r="U635" i="42"/>
  <c r="T635" i="42"/>
  <c r="P635" i="42"/>
  <c r="D635" i="42"/>
  <c r="A635" i="42"/>
  <c r="U634" i="42"/>
  <c r="T634" i="42"/>
  <c r="F634" i="42"/>
  <c r="E634" i="42"/>
  <c r="D634" i="42"/>
  <c r="O634" i="42" s="1"/>
  <c r="C634" i="42"/>
  <c r="A634" i="42"/>
  <c r="B634" i="42" s="1"/>
  <c r="U633" i="42"/>
  <c r="T633" i="42"/>
  <c r="C633" i="42"/>
  <c r="A633" i="42"/>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M628" i="42"/>
  <c r="K628" i="42"/>
  <c r="D628" i="42"/>
  <c r="O628" i="42" s="1"/>
  <c r="C628" i="42"/>
  <c r="A628" i="42"/>
  <c r="U627" i="42"/>
  <c r="T627" i="42"/>
  <c r="A627" i="42"/>
  <c r="U626" i="42"/>
  <c r="T626" i="42"/>
  <c r="P626" i="42"/>
  <c r="D626" i="42"/>
  <c r="O626" i="42" s="1"/>
  <c r="A626" i="42"/>
  <c r="U625" i="42"/>
  <c r="T625" i="42"/>
  <c r="A625" i="42"/>
  <c r="C625" i="42" s="1"/>
  <c r="J625" i="42" s="1"/>
  <c r="U624" i="42"/>
  <c r="T624" i="42"/>
  <c r="D624" i="42"/>
  <c r="Q624" i="42" s="1"/>
  <c r="A624" i="42"/>
  <c r="P624" i="42" s="1"/>
  <c r="U623" i="42"/>
  <c r="T623" i="42"/>
  <c r="I623" i="42"/>
  <c r="C623" i="42"/>
  <c r="E623" i="42" s="1"/>
  <c r="A623" i="42"/>
  <c r="U622" i="42"/>
  <c r="T622" i="42"/>
  <c r="P622" i="42"/>
  <c r="F622" i="42"/>
  <c r="D622" i="42"/>
  <c r="O622" i="42" s="1"/>
  <c r="C622" i="42"/>
  <c r="A622" i="42"/>
  <c r="B622" i="42" s="1"/>
  <c r="U621" i="42"/>
  <c r="T621" i="42"/>
  <c r="A621" i="42"/>
  <c r="U620" i="42"/>
  <c r="T620" i="42"/>
  <c r="F620" i="42"/>
  <c r="A620" i="42"/>
  <c r="U619" i="42"/>
  <c r="T619" i="42"/>
  <c r="A619" i="42"/>
  <c r="U618" i="42"/>
  <c r="T618" i="42"/>
  <c r="D618" i="42"/>
  <c r="O618" i="42" s="1"/>
  <c r="A618" i="42"/>
  <c r="U617" i="42"/>
  <c r="T617" i="42"/>
  <c r="B617" i="42"/>
  <c r="A617" i="42"/>
  <c r="U616" i="42"/>
  <c r="T616" i="42"/>
  <c r="P616" i="42"/>
  <c r="Q616" i="42" s="1"/>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P609" i="42"/>
  <c r="D609" i="42"/>
  <c r="A609" i="42"/>
  <c r="U608" i="42"/>
  <c r="T608" i="42"/>
  <c r="N608" i="42"/>
  <c r="C608" i="42"/>
  <c r="A608" i="42"/>
  <c r="U607" i="42"/>
  <c r="T607" i="42"/>
  <c r="P607" i="42"/>
  <c r="C607" i="42"/>
  <c r="B607" i="42"/>
  <c r="A607" i="42"/>
  <c r="U606" i="42"/>
  <c r="T606" i="42"/>
  <c r="A606" i="42"/>
  <c r="F606" i="42" s="1"/>
  <c r="U605" i="42"/>
  <c r="T605" i="42"/>
  <c r="P605" i="42"/>
  <c r="F605" i="42"/>
  <c r="J605" i="42" s="1"/>
  <c r="C605" i="42"/>
  <c r="M605" i="42" s="1"/>
  <c r="A605" i="42"/>
  <c r="U604" i="42"/>
  <c r="T604" i="42"/>
  <c r="P604" i="42"/>
  <c r="Q604" i="42" s="1"/>
  <c r="D604" i="42"/>
  <c r="A604" i="42"/>
  <c r="U603" i="42"/>
  <c r="T603" i="42"/>
  <c r="A603" i="42"/>
  <c r="D603" i="42" s="1"/>
  <c r="U602" i="42"/>
  <c r="T602" i="42"/>
  <c r="D602" i="42"/>
  <c r="O602" i="42" s="1"/>
  <c r="C602" i="42"/>
  <c r="B602" i="42"/>
  <c r="A602" i="42"/>
  <c r="U601" i="42"/>
  <c r="T601" i="42"/>
  <c r="P601" i="42"/>
  <c r="F601" i="42"/>
  <c r="B601" i="42"/>
  <c r="A601" i="42"/>
  <c r="C601" i="42" s="1"/>
  <c r="U600" i="42"/>
  <c r="T600" i="42"/>
  <c r="A600" i="42"/>
  <c r="U599" i="42"/>
  <c r="T599" i="42"/>
  <c r="B599" i="42"/>
  <c r="A599" i="42"/>
  <c r="P599" i="42" s="1"/>
  <c r="U598" i="42"/>
  <c r="T598" i="42"/>
  <c r="A598" i="42"/>
  <c r="U597" i="42"/>
  <c r="T597" i="42"/>
  <c r="A597" i="42"/>
  <c r="F597" i="42" s="1"/>
  <c r="U596" i="42"/>
  <c r="T596" i="42"/>
  <c r="A596" i="42"/>
  <c r="U595" i="42"/>
  <c r="T595" i="42"/>
  <c r="A595" i="42"/>
  <c r="U594" i="42"/>
  <c r="T594" i="42"/>
  <c r="F594" i="42"/>
  <c r="A594" i="42"/>
  <c r="U593" i="42"/>
  <c r="T593" i="42"/>
  <c r="A593" i="42"/>
  <c r="U592" i="42"/>
  <c r="T592" i="42"/>
  <c r="A592" i="42"/>
  <c r="F592" i="42" s="1"/>
  <c r="U591" i="42"/>
  <c r="T591" i="42"/>
  <c r="D591" i="42"/>
  <c r="O591" i="42" s="1"/>
  <c r="A591" i="42"/>
  <c r="U590" i="42"/>
  <c r="T590" i="42"/>
  <c r="E590" i="42"/>
  <c r="D590" i="42"/>
  <c r="C590" i="42"/>
  <c r="N590" i="42" s="1"/>
  <c r="A590" i="42"/>
  <c r="U589" i="42"/>
  <c r="T589" i="42"/>
  <c r="B589" i="42"/>
  <c r="A589" i="42"/>
  <c r="C589" i="42" s="1"/>
  <c r="U588" i="42"/>
  <c r="T588" i="42"/>
  <c r="D588" i="42"/>
  <c r="B588" i="42"/>
  <c r="A588" i="42"/>
  <c r="U587" i="42"/>
  <c r="T587" i="42"/>
  <c r="B587" i="42"/>
  <c r="A587" i="42"/>
  <c r="U586" i="42"/>
  <c r="T586" i="42"/>
  <c r="A586" i="42"/>
  <c r="U585" i="42"/>
  <c r="T585" i="42"/>
  <c r="P585" i="42"/>
  <c r="F585" i="42"/>
  <c r="C585" i="42"/>
  <c r="B585" i="42"/>
  <c r="K585" i="42" s="1"/>
  <c r="A585" i="42"/>
  <c r="U584" i="42"/>
  <c r="T584" i="42"/>
  <c r="F584" i="42"/>
  <c r="D584" i="42"/>
  <c r="O584" i="42" s="1"/>
  <c r="B584" i="42"/>
  <c r="A584" i="42"/>
  <c r="U583" i="42"/>
  <c r="T583" i="42"/>
  <c r="B583" i="42"/>
  <c r="A583" i="42"/>
  <c r="U582" i="42"/>
  <c r="T582" i="42"/>
  <c r="A582" i="42"/>
  <c r="U581" i="42"/>
  <c r="T581" i="42"/>
  <c r="P581" i="42"/>
  <c r="F581" i="42"/>
  <c r="A581" i="42"/>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F572" i="42"/>
  <c r="B572" i="42"/>
  <c r="A572" i="42"/>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P560" i="42"/>
  <c r="C560" i="42"/>
  <c r="B560" i="42"/>
  <c r="A560" i="42"/>
  <c r="U559" i="42"/>
  <c r="T559" i="42"/>
  <c r="B559" i="42"/>
  <c r="A559" i="42"/>
  <c r="U558" i="42"/>
  <c r="T558" i="42"/>
  <c r="F558" i="42"/>
  <c r="E558" i="42"/>
  <c r="C558" i="42"/>
  <c r="B558" i="42"/>
  <c r="A558" i="42"/>
  <c r="D558" i="42" s="1"/>
  <c r="O558" i="42" s="1"/>
  <c r="U557" i="42"/>
  <c r="T557" i="42"/>
  <c r="F557" i="42"/>
  <c r="A557" i="42"/>
  <c r="U556" i="42"/>
  <c r="T556" i="42"/>
  <c r="K556" i="42"/>
  <c r="D556" i="42"/>
  <c r="O556" i="42" s="1"/>
  <c r="C556" i="42"/>
  <c r="H556" i="42" s="1"/>
  <c r="A556" i="42"/>
  <c r="U555" i="42"/>
  <c r="T555" i="42"/>
  <c r="A555" i="42"/>
  <c r="U554" i="42"/>
  <c r="T554" i="42"/>
  <c r="N554" i="42"/>
  <c r="J554" i="42"/>
  <c r="C554" i="42"/>
  <c r="H554" i="42" s="1"/>
  <c r="B554" i="42"/>
  <c r="A554" i="42"/>
  <c r="F554" i="42" s="1"/>
  <c r="U553" i="42"/>
  <c r="T553" i="42"/>
  <c r="C553" i="42"/>
  <c r="M553" i="42" s="1"/>
  <c r="B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F548" i="42"/>
  <c r="D548" i="42"/>
  <c r="B548" i="42"/>
  <c r="A548" i="42"/>
  <c r="U547" i="42"/>
  <c r="T547" i="42"/>
  <c r="A547" i="42"/>
  <c r="U546" i="42"/>
  <c r="T546" i="42"/>
  <c r="P546" i="42"/>
  <c r="A546" i="42"/>
  <c r="U545" i="42"/>
  <c r="T545" i="42"/>
  <c r="A545" i="42"/>
  <c r="P545" i="42" s="1"/>
  <c r="U544" i="42"/>
  <c r="T544" i="42"/>
  <c r="A544" i="42"/>
  <c r="U543" i="42"/>
  <c r="T543" i="42"/>
  <c r="P543" i="42"/>
  <c r="A543" i="42"/>
  <c r="U542" i="42"/>
  <c r="T542" i="42"/>
  <c r="P542" i="42"/>
  <c r="N542" i="42"/>
  <c r="C542" i="42"/>
  <c r="A542" i="42"/>
  <c r="U541" i="42"/>
  <c r="T541" i="42"/>
  <c r="A541" i="42"/>
  <c r="B541" i="42" s="1"/>
  <c r="U540" i="42"/>
  <c r="T540" i="42"/>
  <c r="M540" i="42"/>
  <c r="F540" i="42"/>
  <c r="L540" i="42" s="1"/>
  <c r="E540" i="42"/>
  <c r="D540" i="42"/>
  <c r="C540" i="42"/>
  <c r="B540" i="42"/>
  <c r="A540" i="42"/>
  <c r="P540" i="42" s="1"/>
  <c r="U539" i="42"/>
  <c r="T539" i="42"/>
  <c r="F539" i="42"/>
  <c r="A539" i="42"/>
  <c r="P539" i="42" s="1"/>
  <c r="U538" i="42"/>
  <c r="T538" i="42"/>
  <c r="P538" i="42"/>
  <c r="B538" i="42"/>
  <c r="A538" i="42"/>
  <c r="U537" i="42"/>
  <c r="T537" i="42"/>
  <c r="C537" i="42"/>
  <c r="N537" i="42" s="1"/>
  <c r="A537" i="42"/>
  <c r="D537" i="42" s="1"/>
  <c r="O537" i="42" s="1"/>
  <c r="U536" i="42"/>
  <c r="T536" i="42"/>
  <c r="F536" i="42"/>
  <c r="B536" i="42"/>
  <c r="A536" i="42"/>
  <c r="U535" i="42"/>
  <c r="T535" i="42"/>
  <c r="A535" i="42"/>
  <c r="U534" i="42"/>
  <c r="T534" i="42"/>
  <c r="P534" i="42"/>
  <c r="K534" i="42"/>
  <c r="F534" i="42"/>
  <c r="E534" i="42"/>
  <c r="D534" i="42"/>
  <c r="O534" i="42" s="1"/>
  <c r="C534" i="42"/>
  <c r="B534" i="42"/>
  <c r="A534" i="42"/>
  <c r="U533" i="42"/>
  <c r="T533" i="42"/>
  <c r="C533" i="42"/>
  <c r="A533" i="42"/>
  <c r="U532" i="42"/>
  <c r="T532" i="42"/>
  <c r="F532" i="42"/>
  <c r="C532" i="42"/>
  <c r="B532" i="42"/>
  <c r="A532" i="42"/>
  <c r="P532" i="42" s="1"/>
  <c r="U531" i="42"/>
  <c r="T531" i="42"/>
  <c r="A531" i="42"/>
  <c r="P531" i="42" s="1"/>
  <c r="U530" i="42"/>
  <c r="T530" i="42"/>
  <c r="P530" i="42"/>
  <c r="D530" i="42"/>
  <c r="O530" i="42" s="1"/>
  <c r="C530" i="42"/>
  <c r="A530" i="42"/>
  <c r="U529" i="42"/>
  <c r="T529" i="42"/>
  <c r="P529" i="42"/>
  <c r="B529" i="42"/>
  <c r="A529" i="42"/>
  <c r="C529" i="42" s="1"/>
  <c r="U528" i="42"/>
  <c r="T528" i="42"/>
  <c r="M528" i="42"/>
  <c r="H528" i="42"/>
  <c r="F528" i="42"/>
  <c r="C528" i="42"/>
  <c r="J528" i="42" s="1"/>
  <c r="B528" i="42"/>
  <c r="A528" i="42"/>
  <c r="P528" i="42" s="1"/>
  <c r="U527" i="42"/>
  <c r="T527" i="42"/>
  <c r="F527" i="42"/>
  <c r="A527" i="42"/>
  <c r="P527" i="42" s="1"/>
  <c r="U526" i="42"/>
  <c r="T526" i="42"/>
  <c r="P526" i="42"/>
  <c r="N526" i="42"/>
  <c r="M526" i="42"/>
  <c r="L526" i="42"/>
  <c r="K526" i="42"/>
  <c r="J526" i="42"/>
  <c r="F526" i="42"/>
  <c r="E526" i="42"/>
  <c r="C526" i="42"/>
  <c r="B526" i="42"/>
  <c r="A526" i="42"/>
  <c r="D526" i="42" s="1"/>
  <c r="O526" i="42" s="1"/>
  <c r="U525" i="42"/>
  <c r="T525" i="42"/>
  <c r="P525" i="42"/>
  <c r="Q525" i="42" s="1"/>
  <c r="G525" i="42"/>
  <c r="F525" i="42"/>
  <c r="N525" i="42" s="1"/>
  <c r="D525" i="42"/>
  <c r="O525" i="42" s="1"/>
  <c r="C525" i="42"/>
  <c r="B525" i="42"/>
  <c r="A525" i="42"/>
  <c r="U524" i="42"/>
  <c r="T524" i="42"/>
  <c r="A524" i="42"/>
  <c r="U523" i="42"/>
  <c r="T523" i="42"/>
  <c r="A523" i="42"/>
  <c r="U522" i="42"/>
  <c r="T522" i="42"/>
  <c r="P522" i="42"/>
  <c r="A522" i="42"/>
  <c r="U521" i="42"/>
  <c r="T521" i="42"/>
  <c r="P521" i="42"/>
  <c r="D521" i="42"/>
  <c r="O521" i="42" s="1"/>
  <c r="A521" i="42"/>
  <c r="U520" i="42"/>
  <c r="T520" i="42"/>
  <c r="M520" i="42"/>
  <c r="L520" i="42"/>
  <c r="G520" i="42"/>
  <c r="D520" i="42"/>
  <c r="C520" i="42"/>
  <c r="E520" i="42" s="1"/>
  <c r="B520" i="42"/>
  <c r="A520" i="42"/>
  <c r="U519" i="42"/>
  <c r="T519" i="42"/>
  <c r="P519" i="42"/>
  <c r="A519" i="42"/>
  <c r="U518" i="42"/>
  <c r="T518" i="42"/>
  <c r="F518" i="42"/>
  <c r="A518" i="42"/>
  <c r="U517" i="42"/>
  <c r="T517" i="42"/>
  <c r="P517" i="42"/>
  <c r="F517" i="42"/>
  <c r="D517" i="42"/>
  <c r="Q517" i="42" s="1"/>
  <c r="C517" i="42"/>
  <c r="B517" i="42"/>
  <c r="A517" i="42"/>
  <c r="U516" i="42"/>
  <c r="T516" i="42"/>
  <c r="G516" i="42"/>
  <c r="E516" i="42"/>
  <c r="D516" i="42"/>
  <c r="C516" i="42"/>
  <c r="N516" i="42" s="1"/>
  <c r="B516" i="42"/>
  <c r="A516" i="42"/>
  <c r="P516" i="42" s="1"/>
  <c r="U515" i="42"/>
  <c r="T515" i="42"/>
  <c r="F515" i="42"/>
  <c r="B515" i="42"/>
  <c r="A515" i="42"/>
  <c r="P515" i="42" s="1"/>
  <c r="U514" i="42"/>
  <c r="T514" i="42"/>
  <c r="P514" i="42"/>
  <c r="C514" i="42"/>
  <c r="E514" i="42" s="1"/>
  <c r="B514" i="42"/>
  <c r="A514" i="42"/>
  <c r="F514" i="42" s="1"/>
  <c r="U513" i="42"/>
  <c r="T513" i="42"/>
  <c r="D513" i="42"/>
  <c r="C513" i="42"/>
  <c r="B513" i="42"/>
  <c r="A513" i="42"/>
  <c r="P513" i="42" s="1"/>
  <c r="Q513" i="42" s="1"/>
  <c r="U512" i="42"/>
  <c r="T512" i="42"/>
  <c r="C512" i="42"/>
  <c r="E512" i="42" s="1"/>
  <c r="B512" i="42"/>
  <c r="A512" i="42"/>
  <c r="P512" i="42" s="1"/>
  <c r="U511" i="42"/>
  <c r="T511" i="42"/>
  <c r="B511" i="42"/>
  <c r="A511" i="42"/>
  <c r="U510" i="42"/>
  <c r="T510" i="42"/>
  <c r="P510" i="42"/>
  <c r="F510" i="42"/>
  <c r="D510" i="42"/>
  <c r="O510" i="42" s="1"/>
  <c r="B510" i="42"/>
  <c r="A510" i="42"/>
  <c r="U509" i="42"/>
  <c r="T509" i="42"/>
  <c r="B509" i="42"/>
  <c r="A509" i="42"/>
  <c r="U508" i="42"/>
  <c r="T508" i="42"/>
  <c r="F508" i="42"/>
  <c r="D508" i="42"/>
  <c r="A508" i="42"/>
  <c r="U507" i="42"/>
  <c r="T507" i="42"/>
  <c r="F507" i="42"/>
  <c r="A507" i="42"/>
  <c r="U506" i="42"/>
  <c r="T506" i="42"/>
  <c r="P506" i="42"/>
  <c r="B506" i="42"/>
  <c r="A506" i="42"/>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F498" i="42"/>
  <c r="C498" i="42"/>
  <c r="A498" i="42"/>
  <c r="U497" i="42"/>
  <c r="T497" i="42"/>
  <c r="D497" i="42"/>
  <c r="O497" i="42" s="1"/>
  <c r="A497" i="42"/>
  <c r="U496" i="42"/>
  <c r="T496" i="42"/>
  <c r="A496" i="42"/>
  <c r="U495" i="42"/>
  <c r="T495" i="42"/>
  <c r="A495" i="42"/>
  <c r="U494" i="42"/>
  <c r="T494" i="42"/>
  <c r="P494" i="42"/>
  <c r="J494" i="42"/>
  <c r="I494" i="42"/>
  <c r="F494" i="42"/>
  <c r="D494" i="42"/>
  <c r="O494" i="42" s="1"/>
  <c r="C494" i="42"/>
  <c r="B494" i="42"/>
  <c r="A494" i="42"/>
  <c r="U493" i="42"/>
  <c r="T493" i="42"/>
  <c r="B493" i="42"/>
  <c r="A493" i="42"/>
  <c r="U492" i="42"/>
  <c r="T492" i="42"/>
  <c r="A492" i="42"/>
  <c r="U491" i="42"/>
  <c r="T491" i="42"/>
  <c r="F491" i="42"/>
  <c r="B491" i="42"/>
  <c r="A491" i="42"/>
  <c r="U490" i="42"/>
  <c r="T490" i="42"/>
  <c r="P490" i="42"/>
  <c r="J490" i="42"/>
  <c r="E490" i="42"/>
  <c r="D490" i="42"/>
  <c r="O490" i="42" s="1"/>
  <c r="C490" i="42"/>
  <c r="N490" i="42" s="1"/>
  <c r="B490" i="42"/>
  <c r="K490" i="42" s="1"/>
  <c r="A490" i="42"/>
  <c r="U489" i="42"/>
  <c r="T489" i="42"/>
  <c r="F489" i="42"/>
  <c r="C489" i="42"/>
  <c r="B489" i="42"/>
  <c r="A489" i="42"/>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P482" i="42"/>
  <c r="M482" i="42"/>
  <c r="L482" i="42"/>
  <c r="K482" i="42"/>
  <c r="J482" i="42"/>
  <c r="I482" i="42"/>
  <c r="F482" i="42"/>
  <c r="D482" i="42"/>
  <c r="O482" i="42" s="1"/>
  <c r="C482" i="42"/>
  <c r="N482" i="42" s="1"/>
  <c r="B482" i="42"/>
  <c r="A482" i="42"/>
  <c r="U481" i="42"/>
  <c r="T481" i="42"/>
  <c r="C481" i="42"/>
  <c r="A481" i="42"/>
  <c r="U480" i="42"/>
  <c r="T480" i="42"/>
  <c r="A480" i="42"/>
  <c r="U479" i="42"/>
  <c r="T479" i="42"/>
  <c r="P479" i="42"/>
  <c r="A479" i="42"/>
  <c r="U478" i="42"/>
  <c r="T478" i="42"/>
  <c r="F478" i="42"/>
  <c r="C478" i="42"/>
  <c r="M478" i="42" s="1"/>
  <c r="B478" i="42"/>
  <c r="A478" i="42"/>
  <c r="U477" i="42"/>
  <c r="T477" i="42"/>
  <c r="A477" i="42"/>
  <c r="U476" i="42"/>
  <c r="T476" i="42"/>
  <c r="A476" i="42"/>
  <c r="U475" i="42"/>
  <c r="T475" i="42"/>
  <c r="A475" i="42"/>
  <c r="P475" i="42" s="1"/>
  <c r="U474" i="42"/>
  <c r="T474" i="42"/>
  <c r="P474" i="42"/>
  <c r="F474" i="42"/>
  <c r="D474" i="42"/>
  <c r="O474" i="42" s="1"/>
  <c r="C474" i="42"/>
  <c r="A474" i="42"/>
  <c r="U473" i="42"/>
  <c r="T473" i="42"/>
  <c r="A473" i="42"/>
  <c r="U472" i="42"/>
  <c r="T472" i="42"/>
  <c r="G472" i="42"/>
  <c r="F472" i="42"/>
  <c r="D472" i="42"/>
  <c r="O472" i="42" s="1"/>
  <c r="C472" i="42"/>
  <c r="B472" i="42"/>
  <c r="A472" i="42"/>
  <c r="U471" i="42"/>
  <c r="T471" i="42"/>
  <c r="C471" i="42"/>
  <c r="A471" i="42"/>
  <c r="U470" i="42"/>
  <c r="T470" i="42"/>
  <c r="A470" i="42"/>
  <c r="U469" i="42"/>
  <c r="T469" i="42"/>
  <c r="P469" i="42"/>
  <c r="A469" i="42"/>
  <c r="U468" i="42"/>
  <c r="T468" i="42"/>
  <c r="A468" i="42"/>
  <c r="U467" i="42"/>
  <c r="T467" i="42"/>
  <c r="K467" i="42"/>
  <c r="I467" i="42"/>
  <c r="C467" i="42"/>
  <c r="L467" i="42" s="1"/>
  <c r="A467" i="42"/>
  <c r="U466" i="42"/>
  <c r="T466" i="42"/>
  <c r="M466" i="42"/>
  <c r="D466" i="42"/>
  <c r="O466" i="42" s="1"/>
  <c r="C466" i="42"/>
  <c r="J466" i="42" s="1"/>
  <c r="B466" i="42"/>
  <c r="K466" i="42" s="1"/>
  <c r="A466" i="42"/>
  <c r="U465" i="42"/>
  <c r="T465" i="42"/>
  <c r="A465" i="42"/>
  <c r="U464" i="42"/>
  <c r="T464" i="42"/>
  <c r="A464" i="42"/>
  <c r="B464" i="42" s="1"/>
  <c r="U463" i="42"/>
  <c r="T463" i="42"/>
  <c r="C463" i="42"/>
  <c r="A463" i="42"/>
  <c r="U462" i="42"/>
  <c r="T462" i="42"/>
  <c r="A462" i="42"/>
  <c r="U461" i="42"/>
  <c r="T461" i="42"/>
  <c r="A461" i="42"/>
  <c r="U460" i="42"/>
  <c r="T460" i="42"/>
  <c r="A460" i="42"/>
  <c r="P460" i="42" s="1"/>
  <c r="U459" i="42"/>
  <c r="T459" i="42"/>
  <c r="C459" i="42"/>
  <c r="A459" i="42"/>
  <c r="U458" i="42"/>
  <c r="T458" i="42"/>
  <c r="A458" i="42"/>
  <c r="B458" i="42" s="1"/>
  <c r="U457" i="42"/>
  <c r="T457" i="42"/>
  <c r="P457" i="42"/>
  <c r="A457" i="42"/>
  <c r="F457" i="42" s="1"/>
  <c r="U456" i="42"/>
  <c r="T456" i="42"/>
  <c r="P456" i="42"/>
  <c r="D456" i="42"/>
  <c r="O456" i="42" s="1"/>
  <c r="C456" i="42"/>
  <c r="B456" i="42"/>
  <c r="A456" i="42"/>
  <c r="F456" i="42" s="1"/>
  <c r="U455" i="42"/>
  <c r="T455" i="42"/>
  <c r="A455" i="42"/>
  <c r="U454" i="42"/>
  <c r="T454" i="42"/>
  <c r="A454" i="42"/>
  <c r="U453" i="42"/>
  <c r="T453" i="42"/>
  <c r="A453" i="42"/>
  <c r="B453" i="42" s="1"/>
  <c r="U452" i="42"/>
  <c r="T452" i="42"/>
  <c r="B452" i="42"/>
  <c r="A452" i="42"/>
  <c r="U451" i="42"/>
  <c r="T451" i="42"/>
  <c r="A451" i="42"/>
  <c r="D451" i="42" s="1"/>
  <c r="U450" i="42"/>
  <c r="T450" i="42"/>
  <c r="P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F443" i="42"/>
  <c r="D443" i="42"/>
  <c r="A443" i="42"/>
  <c r="U442" i="42"/>
  <c r="T442" i="42"/>
  <c r="P442" i="42"/>
  <c r="D442" i="42"/>
  <c r="O442" i="42" s="1"/>
  <c r="A442" i="42"/>
  <c r="B442" i="42" s="1"/>
  <c r="U441" i="42"/>
  <c r="T441" i="42"/>
  <c r="A441" i="42"/>
  <c r="P441" i="42" s="1"/>
  <c r="U440" i="42"/>
  <c r="T440" i="42"/>
  <c r="A440" i="42"/>
  <c r="U439" i="42"/>
  <c r="T439" i="42"/>
  <c r="A439" i="42"/>
  <c r="U438" i="42"/>
  <c r="T438" i="42"/>
  <c r="A438" i="42"/>
  <c r="U437" i="42"/>
  <c r="T437" i="42"/>
  <c r="B437" i="42"/>
  <c r="A437" i="42"/>
  <c r="F437" i="42" s="1"/>
  <c r="U436" i="42"/>
  <c r="T436" i="42"/>
  <c r="P436" i="42"/>
  <c r="A436" i="42"/>
  <c r="U435" i="42"/>
  <c r="T435" i="42"/>
  <c r="A435" i="42"/>
  <c r="U434" i="42"/>
  <c r="T434" i="42"/>
  <c r="A434" i="42"/>
  <c r="U433" i="42"/>
  <c r="T433" i="42"/>
  <c r="F433" i="42"/>
  <c r="C433" i="42"/>
  <c r="A433" i="42"/>
  <c r="U432" i="42"/>
  <c r="T432" i="42"/>
  <c r="B432" i="42"/>
  <c r="A432" i="42"/>
  <c r="U431" i="42"/>
  <c r="T431" i="42"/>
  <c r="A431" i="42"/>
  <c r="U430" i="42"/>
  <c r="T430" i="42"/>
  <c r="P430" i="42"/>
  <c r="A430" i="42"/>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C421" i="42"/>
  <c r="I421" i="42" s="1"/>
  <c r="A421" i="42"/>
  <c r="B421" i="42" s="1"/>
  <c r="U420" i="42"/>
  <c r="T420" i="42"/>
  <c r="P420" i="42"/>
  <c r="N420" i="42"/>
  <c r="F420" i="42"/>
  <c r="E420" i="42"/>
  <c r="D420" i="42"/>
  <c r="O420" i="42" s="1"/>
  <c r="C420" i="42"/>
  <c r="B420" i="42"/>
  <c r="A420" i="42"/>
  <c r="U419" i="42"/>
  <c r="T419" i="42"/>
  <c r="A419" i="42"/>
  <c r="U418" i="42"/>
  <c r="T418" i="42"/>
  <c r="A418" i="42"/>
  <c r="U417" i="42"/>
  <c r="T417" i="42"/>
  <c r="P417" i="42"/>
  <c r="C417" i="42"/>
  <c r="E417" i="42" s="1"/>
  <c r="A417" i="42"/>
  <c r="B417" i="42" s="1"/>
  <c r="U416" i="42"/>
  <c r="T416" i="42"/>
  <c r="A416" i="42"/>
  <c r="U415" i="42"/>
  <c r="T415" i="42"/>
  <c r="C415" i="42"/>
  <c r="N415" i="42" s="1"/>
  <c r="A415" i="42"/>
  <c r="U414" i="42"/>
  <c r="T414" i="42"/>
  <c r="A414" i="42"/>
  <c r="B414" i="42" s="1"/>
  <c r="U413" i="42"/>
  <c r="T413" i="42"/>
  <c r="P413" i="42"/>
  <c r="F413" i="42"/>
  <c r="D413" i="42"/>
  <c r="C413" i="42"/>
  <c r="A413" i="42"/>
  <c r="B413" i="42" s="1"/>
  <c r="U412" i="42"/>
  <c r="T412" i="42"/>
  <c r="P412" i="42"/>
  <c r="F412" i="42"/>
  <c r="D412" i="42"/>
  <c r="O412" i="42" s="1"/>
  <c r="C412" i="42"/>
  <c r="B412" i="42"/>
  <c r="A412" i="42"/>
  <c r="U411" i="42"/>
  <c r="T411" i="42"/>
  <c r="C411" i="42"/>
  <c r="K411" i="42" s="1"/>
  <c r="A411" i="42"/>
  <c r="U410" i="42"/>
  <c r="T410" i="42"/>
  <c r="A410" i="42"/>
  <c r="U409" i="42"/>
  <c r="T409" i="42"/>
  <c r="C409" i="42"/>
  <c r="A409" i="42"/>
  <c r="U408" i="42"/>
  <c r="T408" i="42"/>
  <c r="P408" i="42"/>
  <c r="F408" i="42"/>
  <c r="D408" i="42"/>
  <c r="O408" i="42" s="1"/>
  <c r="C408" i="42"/>
  <c r="B408" i="42"/>
  <c r="A408" i="42"/>
  <c r="U407" i="42"/>
  <c r="T407" i="42"/>
  <c r="M407" i="42"/>
  <c r="C407" i="42"/>
  <c r="L407" i="42" s="1"/>
  <c r="A407" i="42"/>
  <c r="K407" i="42" s="1"/>
  <c r="U406" i="42"/>
  <c r="T406" i="42"/>
  <c r="A406" i="42"/>
  <c r="P406" i="42" s="1"/>
  <c r="U405" i="42"/>
  <c r="T405" i="42"/>
  <c r="F405" i="42"/>
  <c r="D405" i="42"/>
  <c r="A405" i="42"/>
  <c r="U404" i="42"/>
  <c r="T404" i="42"/>
  <c r="A404" i="42"/>
  <c r="U403" i="42"/>
  <c r="T403" i="42"/>
  <c r="A403" i="42"/>
  <c r="U402" i="42"/>
  <c r="T402" i="42"/>
  <c r="A402" i="42"/>
  <c r="F402" i="42" s="1"/>
  <c r="U401" i="42"/>
  <c r="T401" i="42"/>
  <c r="A401" i="42"/>
  <c r="D401" i="42" s="1"/>
  <c r="U400" i="42"/>
  <c r="T400" i="42"/>
  <c r="P400" i="42"/>
  <c r="N400" i="42"/>
  <c r="L400" i="42"/>
  <c r="K400" i="42"/>
  <c r="G400" i="42"/>
  <c r="F400" i="42"/>
  <c r="E400" i="42"/>
  <c r="D400" i="42"/>
  <c r="O400" i="42" s="1"/>
  <c r="C400" i="42"/>
  <c r="J400" i="42" s="1"/>
  <c r="B400" i="42"/>
  <c r="A400" i="42"/>
  <c r="U399" i="42"/>
  <c r="T399" i="42"/>
  <c r="B399" i="42"/>
  <c r="A399" i="42"/>
  <c r="U398" i="42"/>
  <c r="T398" i="42"/>
  <c r="A398" i="42"/>
  <c r="P398" i="42" s="1"/>
  <c r="U397" i="42"/>
  <c r="T397" i="42"/>
  <c r="C397" i="42"/>
  <c r="A397" i="42"/>
  <c r="U396" i="42"/>
  <c r="T396" i="42"/>
  <c r="P396" i="42"/>
  <c r="N396" i="42"/>
  <c r="M396" i="42"/>
  <c r="K396" i="42"/>
  <c r="J396" i="42"/>
  <c r="F396" i="42"/>
  <c r="C396" i="42"/>
  <c r="B396" i="42"/>
  <c r="A396" i="42"/>
  <c r="L396" i="42" s="1"/>
  <c r="U395" i="42"/>
  <c r="T395" i="42"/>
  <c r="A395" i="42"/>
  <c r="U394" i="42"/>
  <c r="T394" i="42"/>
  <c r="B394" i="42"/>
  <c r="A394" i="42"/>
  <c r="F394" i="42" s="1"/>
  <c r="U393" i="42"/>
  <c r="T393" i="42"/>
  <c r="A393" i="42"/>
  <c r="U392" i="42"/>
  <c r="T392" i="42"/>
  <c r="P392" i="42"/>
  <c r="F392" i="42"/>
  <c r="D392" i="42"/>
  <c r="O392" i="42" s="1"/>
  <c r="C392" i="42"/>
  <c r="A392" i="42"/>
  <c r="U391" i="42"/>
  <c r="T391" i="42"/>
  <c r="A391" i="42"/>
  <c r="U390" i="42"/>
  <c r="T390" i="42"/>
  <c r="B390" i="42"/>
  <c r="A390" i="42"/>
  <c r="P390" i="42" s="1"/>
  <c r="U389" i="42"/>
  <c r="T389" i="42"/>
  <c r="A389" i="42"/>
  <c r="U388" i="42"/>
  <c r="T388" i="42"/>
  <c r="A388" i="42"/>
  <c r="U387" i="42"/>
  <c r="T387" i="42"/>
  <c r="A387" i="42"/>
  <c r="U386" i="42"/>
  <c r="T386" i="42"/>
  <c r="C386" i="42"/>
  <c r="G386" i="42" s="1"/>
  <c r="A386" i="42"/>
  <c r="B386" i="42" s="1"/>
  <c r="U385" i="42"/>
  <c r="T385" i="42"/>
  <c r="D385" i="42"/>
  <c r="A385" i="42"/>
  <c r="P385" i="42" s="1"/>
  <c r="U384" i="42"/>
  <c r="T384" i="42"/>
  <c r="P384" i="42"/>
  <c r="K384" i="42"/>
  <c r="J384" i="42"/>
  <c r="C384" i="42"/>
  <c r="L384" i="42" s="1"/>
  <c r="B384" i="42"/>
  <c r="A384" i="42"/>
  <c r="N384" i="42" s="1"/>
  <c r="U383" i="42"/>
  <c r="T383" i="42"/>
  <c r="D383" i="42"/>
  <c r="A383" i="42"/>
  <c r="U382" i="42"/>
  <c r="T382" i="42"/>
  <c r="A382" i="42"/>
  <c r="U381" i="42"/>
  <c r="T381" i="42"/>
  <c r="B381" i="42"/>
  <c r="A381" i="42"/>
  <c r="U380" i="42"/>
  <c r="T380" i="42"/>
  <c r="P380" i="42"/>
  <c r="F380" i="42"/>
  <c r="D380" i="42"/>
  <c r="O380" i="42" s="1"/>
  <c r="C380" i="42"/>
  <c r="B380" i="42"/>
  <c r="A380" i="42"/>
  <c r="U379" i="42"/>
  <c r="T379" i="42"/>
  <c r="F379" i="42"/>
  <c r="C379" i="42"/>
  <c r="B379" i="42"/>
  <c r="A379" i="42"/>
  <c r="M379" i="42" s="1"/>
  <c r="U378" i="42"/>
  <c r="T378" i="42"/>
  <c r="F378" i="42"/>
  <c r="A378" i="42"/>
  <c r="U377" i="42"/>
  <c r="T377" i="42"/>
  <c r="A377" i="42"/>
  <c r="F377" i="42" s="1"/>
  <c r="U376" i="42"/>
  <c r="T376" i="42"/>
  <c r="P376" i="42"/>
  <c r="F376" i="42"/>
  <c r="D376" i="42"/>
  <c r="O376" i="42" s="1"/>
  <c r="C376" i="42"/>
  <c r="B376" i="42"/>
  <c r="A376" i="42"/>
  <c r="U375" i="42"/>
  <c r="T375" i="42"/>
  <c r="A375" i="42"/>
  <c r="U374" i="42"/>
  <c r="T374" i="42"/>
  <c r="A374" i="42"/>
  <c r="U373" i="42"/>
  <c r="T373" i="42"/>
  <c r="F373" i="42"/>
  <c r="D373" i="42"/>
  <c r="O373" i="42" s="1"/>
  <c r="B373" i="42"/>
  <c r="A373" i="42"/>
  <c r="U372" i="42"/>
  <c r="T372" i="42"/>
  <c r="F372" i="42"/>
  <c r="C372" i="42"/>
  <c r="A372" i="42"/>
  <c r="U371" i="42"/>
  <c r="T371" i="42"/>
  <c r="A371" i="42"/>
  <c r="F371" i="42" s="1"/>
  <c r="U370" i="42"/>
  <c r="T370" i="42"/>
  <c r="C370" i="42"/>
  <c r="B370" i="42"/>
  <c r="A370" i="42"/>
  <c r="U369" i="42"/>
  <c r="T369" i="42"/>
  <c r="P369" i="42"/>
  <c r="Q369" i="42" s="1"/>
  <c r="K369" i="42"/>
  <c r="F369" i="42"/>
  <c r="E369" i="42"/>
  <c r="D369" i="42"/>
  <c r="O369" i="42" s="1"/>
  <c r="C369" i="42"/>
  <c r="L369" i="42" s="1"/>
  <c r="A369" i="42"/>
  <c r="U368" i="42"/>
  <c r="T368" i="42"/>
  <c r="P368" i="42"/>
  <c r="N368" i="42"/>
  <c r="K368" i="42"/>
  <c r="J368" i="42"/>
  <c r="D368" i="42"/>
  <c r="O368" i="42" s="1"/>
  <c r="C368" i="42"/>
  <c r="I368" i="42" s="1"/>
  <c r="B368" i="42"/>
  <c r="A368" i="42"/>
  <c r="F368" i="42" s="1"/>
  <c r="U367" i="42"/>
  <c r="T367" i="42"/>
  <c r="A367" i="42"/>
  <c r="U366" i="42"/>
  <c r="T366" i="42"/>
  <c r="P366" i="42"/>
  <c r="F366" i="42"/>
  <c r="C366" i="42"/>
  <c r="B366" i="42"/>
  <c r="A366" i="42"/>
  <c r="U365" i="42"/>
  <c r="T365" i="42"/>
  <c r="P365" i="42"/>
  <c r="D365" i="42"/>
  <c r="O365" i="42" s="1"/>
  <c r="B365" i="42"/>
  <c r="A365" i="42"/>
  <c r="F365" i="42" s="1"/>
  <c r="U364" i="42"/>
  <c r="T364" i="42"/>
  <c r="B364" i="42"/>
  <c r="A364" i="42"/>
  <c r="U363" i="42"/>
  <c r="T363" i="42"/>
  <c r="A363" i="42"/>
  <c r="U362" i="42"/>
  <c r="T362" i="42"/>
  <c r="F362" i="42"/>
  <c r="D362" i="42"/>
  <c r="O362" i="42" s="1"/>
  <c r="C362" i="42"/>
  <c r="A362" i="42"/>
  <c r="U361" i="42"/>
  <c r="T361" i="42"/>
  <c r="A361" i="42"/>
  <c r="P361" i="42" s="1"/>
  <c r="U360" i="42"/>
  <c r="T360" i="42"/>
  <c r="P360" i="42"/>
  <c r="F360" i="42"/>
  <c r="B360" i="42"/>
  <c r="A360" i="42"/>
  <c r="Q360" i="42" s="1"/>
  <c r="U359" i="42"/>
  <c r="T359" i="42"/>
  <c r="P359" i="42"/>
  <c r="Q359" i="42" s="1"/>
  <c r="A359" i="42"/>
  <c r="U358" i="42"/>
  <c r="T358" i="42"/>
  <c r="B358" i="42"/>
  <c r="A358" i="42"/>
  <c r="F358" i="42" s="1"/>
  <c r="U357" i="42"/>
  <c r="T357" i="42"/>
  <c r="A357" i="42"/>
  <c r="B357" i="42" s="1"/>
  <c r="U356" i="42"/>
  <c r="T356" i="42"/>
  <c r="P356" i="42"/>
  <c r="Q356" i="42" s="1"/>
  <c r="F356" i="42"/>
  <c r="A356" i="42"/>
  <c r="U355" i="42"/>
  <c r="T355" i="42"/>
  <c r="C355" i="42"/>
  <c r="J355" i="42" s="1"/>
  <c r="A355" i="42"/>
  <c r="U354" i="42"/>
  <c r="T354" i="42"/>
  <c r="A354" i="42"/>
  <c r="F354" i="42" s="1"/>
  <c r="U353" i="42"/>
  <c r="T353" i="42"/>
  <c r="Q353" i="42"/>
  <c r="P353" i="42"/>
  <c r="C353" i="42"/>
  <c r="I353" i="42" s="1"/>
  <c r="B353" i="42"/>
  <c r="A353" i="42"/>
  <c r="U352" i="42"/>
  <c r="T352" i="42"/>
  <c r="B352" i="42"/>
  <c r="A352" i="42"/>
  <c r="P352" i="42" s="1"/>
  <c r="U351" i="42"/>
  <c r="T351" i="42"/>
  <c r="A351" i="42"/>
  <c r="U350" i="42"/>
  <c r="T350" i="42"/>
  <c r="D350" i="42"/>
  <c r="O350" i="42" s="1"/>
  <c r="B350" i="42"/>
  <c r="A350" i="42"/>
  <c r="U349" i="42"/>
  <c r="T349" i="42"/>
  <c r="P349" i="42"/>
  <c r="J349" i="42"/>
  <c r="C349" i="42"/>
  <c r="M349" i="42" s="1"/>
  <c r="A349" i="42"/>
  <c r="U348" i="42"/>
  <c r="T348" i="42"/>
  <c r="F348" i="42"/>
  <c r="A348" i="42"/>
  <c r="U347" i="42"/>
  <c r="T347" i="42"/>
  <c r="P347" i="42"/>
  <c r="Q347" i="42" s="1"/>
  <c r="F347" i="42"/>
  <c r="A347" i="42"/>
  <c r="D347" i="42" s="1"/>
  <c r="U346" i="42"/>
  <c r="T346" i="42"/>
  <c r="F346" i="42"/>
  <c r="A346" i="42"/>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P339" i="42"/>
  <c r="A339" i="42"/>
  <c r="D339" i="42" s="1"/>
  <c r="O339" i="42" s="1"/>
  <c r="U338" i="42"/>
  <c r="T338" i="42"/>
  <c r="A338" i="42"/>
  <c r="U337" i="42"/>
  <c r="T337" i="42"/>
  <c r="A337" i="42"/>
  <c r="P337" i="42" s="1"/>
  <c r="Q337" i="42" s="1"/>
  <c r="U336" i="42"/>
  <c r="T336" i="42"/>
  <c r="D336" i="42"/>
  <c r="O336" i="42" s="1"/>
  <c r="B336" i="42"/>
  <c r="A336" i="42"/>
  <c r="P336" i="42" s="1"/>
  <c r="Q336" i="42" s="1"/>
  <c r="U335" i="42"/>
  <c r="T335" i="42"/>
  <c r="P335" i="42"/>
  <c r="Q335" i="42" s="1"/>
  <c r="F335" i="42"/>
  <c r="D335" i="42"/>
  <c r="C335" i="42"/>
  <c r="J335" i="42" s="1"/>
  <c r="B335" i="42"/>
  <c r="A335" i="42"/>
  <c r="U334" i="42"/>
  <c r="T334" i="42"/>
  <c r="F334" i="42"/>
  <c r="A334" i="42"/>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M326" i="42"/>
  <c r="C326" i="42"/>
  <c r="N326" i="42" s="1"/>
  <c r="B326" i="42"/>
  <c r="A326" i="42"/>
  <c r="F326" i="42" s="1"/>
  <c r="U325" i="42"/>
  <c r="T325" i="42"/>
  <c r="A325" i="42"/>
  <c r="P325" i="42" s="1"/>
  <c r="U324" i="42"/>
  <c r="T324" i="42"/>
  <c r="F324" i="42"/>
  <c r="B324" i="42"/>
  <c r="A324" i="42"/>
  <c r="U323" i="42"/>
  <c r="T323" i="42"/>
  <c r="D323" i="42"/>
  <c r="O323" i="42" s="1"/>
  <c r="B323" i="42"/>
  <c r="A323" i="42"/>
  <c r="U322" i="42"/>
  <c r="T322" i="42"/>
  <c r="F322" i="42"/>
  <c r="C322" i="42"/>
  <c r="H322" i="42" s="1"/>
  <c r="B322" i="42"/>
  <c r="A322" i="42"/>
  <c r="U321" i="42"/>
  <c r="T321" i="42"/>
  <c r="F321" i="42"/>
  <c r="B321" i="42"/>
  <c r="A321" i="42"/>
  <c r="P321" i="42" s="1"/>
  <c r="Q321" i="42" s="1"/>
  <c r="U320" i="42"/>
  <c r="T320" i="42"/>
  <c r="F320" i="42"/>
  <c r="A320" i="42"/>
  <c r="U319" i="42"/>
  <c r="T319" i="42"/>
  <c r="A319" i="42"/>
  <c r="U318" i="42"/>
  <c r="T318" i="42"/>
  <c r="A318" i="42"/>
  <c r="U317" i="42"/>
  <c r="T317" i="42"/>
  <c r="A317" i="42"/>
  <c r="U316" i="42"/>
  <c r="T316" i="42"/>
  <c r="P316" i="42"/>
  <c r="D316" i="42"/>
  <c r="O316" i="42" s="1"/>
  <c r="A316" i="42"/>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N309" i="42"/>
  <c r="C309" i="42"/>
  <c r="J309" i="42" s="1"/>
  <c r="B309" i="42"/>
  <c r="A309" i="42"/>
  <c r="U308" i="42"/>
  <c r="T308" i="42"/>
  <c r="P308" i="42"/>
  <c r="B308" i="42"/>
  <c r="A308" i="42"/>
  <c r="U307" i="42"/>
  <c r="T307" i="42"/>
  <c r="D307" i="42"/>
  <c r="A307" i="42"/>
  <c r="U306" i="42"/>
  <c r="T306" i="42"/>
  <c r="F306" i="42"/>
  <c r="E306" i="42"/>
  <c r="C306" i="42"/>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C300" i="42"/>
  <c r="N300" i="42" s="1"/>
  <c r="A300" i="42"/>
  <c r="U299" i="42"/>
  <c r="T299" i="42"/>
  <c r="D299" i="42"/>
  <c r="A299" i="42"/>
  <c r="P299" i="42" s="1"/>
  <c r="Q299" i="42" s="1"/>
  <c r="U298" i="42"/>
  <c r="T298" i="42"/>
  <c r="F298" i="42"/>
  <c r="D298" i="42"/>
  <c r="O298" i="42" s="1"/>
  <c r="C298" i="42"/>
  <c r="A298" i="42"/>
  <c r="I298" i="42" s="1"/>
  <c r="U297" i="42"/>
  <c r="T297" i="42"/>
  <c r="A297" i="42"/>
  <c r="U296" i="42"/>
  <c r="T296" i="42"/>
  <c r="A296" i="42"/>
  <c r="U295" i="42"/>
  <c r="T295" i="42"/>
  <c r="D295" i="42"/>
  <c r="O295" i="42" s="1"/>
  <c r="A295" i="42"/>
  <c r="F295" i="42" s="1"/>
  <c r="U294" i="42"/>
  <c r="T294" i="42"/>
  <c r="A294" i="42"/>
  <c r="B294" i="42" s="1"/>
  <c r="U293" i="42"/>
  <c r="T293" i="42"/>
  <c r="K293" i="42"/>
  <c r="C293" i="42"/>
  <c r="A293" i="42"/>
  <c r="U292" i="42"/>
  <c r="T292" i="42"/>
  <c r="F292" i="42"/>
  <c r="D292" i="42"/>
  <c r="B292" i="42"/>
  <c r="A292" i="42"/>
  <c r="P292" i="42" s="1"/>
  <c r="U291" i="42"/>
  <c r="T291" i="42"/>
  <c r="A291" i="42"/>
  <c r="D291" i="42" s="1"/>
  <c r="U290" i="42"/>
  <c r="T290" i="42"/>
  <c r="Q290" i="42"/>
  <c r="D290" i="42"/>
  <c r="O290" i="42" s="1"/>
  <c r="B290" i="42"/>
  <c r="A290" i="42"/>
  <c r="P290" i="42" s="1"/>
  <c r="U289" i="42"/>
  <c r="T289" i="42"/>
  <c r="A289" i="42"/>
  <c r="F289" i="42" s="1"/>
  <c r="U288" i="42"/>
  <c r="T288" i="42"/>
  <c r="E288" i="42"/>
  <c r="C288" i="42"/>
  <c r="J288" i="42" s="1"/>
  <c r="A288" i="42"/>
  <c r="P288" i="42" s="1"/>
  <c r="U287" i="42"/>
  <c r="T287" i="42"/>
  <c r="F287" i="42"/>
  <c r="A287" i="42"/>
  <c r="U286" i="42"/>
  <c r="T286" i="42"/>
  <c r="F286" i="42"/>
  <c r="C286" i="42"/>
  <c r="A286" i="42"/>
  <c r="U285" i="42"/>
  <c r="T285" i="42"/>
  <c r="A285" i="42"/>
  <c r="F285" i="42" s="1"/>
  <c r="U284" i="42"/>
  <c r="T284" i="42"/>
  <c r="P284" i="42"/>
  <c r="N284" i="42"/>
  <c r="K284" i="42"/>
  <c r="C284" i="42"/>
  <c r="M284" i="42" s="1"/>
  <c r="B284" i="42"/>
  <c r="A284" i="42"/>
  <c r="U283" i="42"/>
  <c r="T283" i="42"/>
  <c r="A283" i="42"/>
  <c r="F283" i="42" s="1"/>
  <c r="U282" i="42"/>
  <c r="T282" i="42"/>
  <c r="A282" i="42"/>
  <c r="U281" i="42"/>
  <c r="T281" i="42"/>
  <c r="A281" i="42"/>
  <c r="F281" i="42" s="1"/>
  <c r="U280" i="42"/>
  <c r="T280" i="42"/>
  <c r="P280" i="42"/>
  <c r="Q280" i="42" s="1"/>
  <c r="F280" i="42"/>
  <c r="A280" i="42"/>
  <c r="U279" i="42"/>
  <c r="T279" i="42"/>
  <c r="P279" i="42"/>
  <c r="F279" i="42"/>
  <c r="B279" i="42"/>
  <c r="A279" i="42"/>
  <c r="U278" i="42"/>
  <c r="T278" i="42"/>
  <c r="A278" i="42"/>
  <c r="F278" i="42" s="1"/>
  <c r="U277" i="42"/>
  <c r="T277" i="42"/>
  <c r="P277" i="42"/>
  <c r="A277" i="42"/>
  <c r="U276" i="42"/>
  <c r="T276" i="42"/>
  <c r="P276" i="42"/>
  <c r="A276" i="42"/>
  <c r="U275" i="42"/>
  <c r="T275" i="42"/>
  <c r="A275" i="42"/>
  <c r="C275" i="42" s="1"/>
  <c r="U274" i="42"/>
  <c r="T274" i="42"/>
  <c r="Q274" i="42"/>
  <c r="F274" i="42"/>
  <c r="E274" i="42"/>
  <c r="C274" i="42"/>
  <c r="A274" i="42"/>
  <c r="P274" i="42" s="1"/>
  <c r="U273" i="42"/>
  <c r="T273" i="42"/>
  <c r="A273" i="42"/>
  <c r="U272" i="42"/>
  <c r="T272" i="42"/>
  <c r="A272" i="42"/>
  <c r="P272" i="42" s="1"/>
  <c r="U271" i="42"/>
  <c r="T271" i="42"/>
  <c r="P271" i="42"/>
  <c r="F271" i="42"/>
  <c r="B271" i="42"/>
  <c r="A271" i="42"/>
  <c r="U270" i="42"/>
  <c r="T270" i="42"/>
  <c r="A270" i="42"/>
  <c r="B270" i="42" s="1"/>
  <c r="U269" i="42"/>
  <c r="T269" i="42"/>
  <c r="A269" i="42"/>
  <c r="C269" i="42" s="1"/>
  <c r="E269" i="42" s="1"/>
  <c r="U268" i="42"/>
  <c r="T268" i="42"/>
  <c r="A268" i="42"/>
  <c r="P268" i="42" s="1"/>
  <c r="Q268" i="42" s="1"/>
  <c r="U267" i="42"/>
  <c r="T267" i="42"/>
  <c r="D267" i="42"/>
  <c r="O267" i="42" s="1"/>
  <c r="A267" i="42"/>
  <c r="U266" i="42"/>
  <c r="T266" i="42"/>
  <c r="P266" i="42"/>
  <c r="F266" i="42"/>
  <c r="A266" i="42"/>
  <c r="U265" i="42"/>
  <c r="T265" i="42"/>
  <c r="A265" i="42"/>
  <c r="U264" i="42"/>
  <c r="T264" i="42"/>
  <c r="F264" i="42"/>
  <c r="D264" i="42"/>
  <c r="A264" i="42"/>
  <c r="P264" i="42" s="1"/>
  <c r="U263" i="42"/>
  <c r="T263" i="42"/>
  <c r="K263" i="42"/>
  <c r="J263" i="42"/>
  <c r="E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C255" i="42"/>
  <c r="N255" i="42" s="1"/>
  <c r="A255" i="42"/>
  <c r="U254" i="42"/>
  <c r="T254" i="42"/>
  <c r="P254" i="42"/>
  <c r="F254" i="42"/>
  <c r="A254" i="42"/>
  <c r="U253" i="42"/>
  <c r="T253" i="42"/>
  <c r="B253" i="42"/>
  <c r="A253" i="42"/>
  <c r="C253" i="42" s="1"/>
  <c r="U252" i="42"/>
  <c r="T252" i="42"/>
  <c r="A252" i="42"/>
  <c r="U251" i="42"/>
  <c r="T251" i="42"/>
  <c r="D251" i="42"/>
  <c r="O251" i="42" s="1"/>
  <c r="C251" i="42"/>
  <c r="N251" i="42" s="1"/>
  <c r="B251" i="42"/>
  <c r="A251" i="42"/>
  <c r="F251" i="42" s="1"/>
  <c r="U250" i="42"/>
  <c r="T250" i="42"/>
  <c r="P250" i="42"/>
  <c r="A250" i="42"/>
  <c r="F250" i="42" s="1"/>
  <c r="U249" i="42"/>
  <c r="T249" i="42"/>
  <c r="A249" i="42"/>
  <c r="C249" i="42" s="1"/>
  <c r="U248" i="42"/>
  <c r="T248" i="42"/>
  <c r="A248" i="42"/>
  <c r="U247" i="42"/>
  <c r="T247" i="42"/>
  <c r="D247" i="42"/>
  <c r="O247" i="42" s="1"/>
  <c r="C247" i="42"/>
  <c r="L247" i="42" s="1"/>
  <c r="B247" i="42"/>
  <c r="A247" i="42"/>
  <c r="U246" i="42"/>
  <c r="T246" i="42"/>
  <c r="A246" i="42"/>
  <c r="P246" i="42" s="1"/>
  <c r="U245" i="42"/>
  <c r="T245" i="42"/>
  <c r="P245" i="42"/>
  <c r="A245" i="42"/>
  <c r="U244" i="42"/>
  <c r="T244" i="42"/>
  <c r="P244" i="42"/>
  <c r="F244" i="42"/>
  <c r="D244" i="42"/>
  <c r="O244" i="42" s="1"/>
  <c r="A244" i="42"/>
  <c r="U243" i="42"/>
  <c r="T243" i="42"/>
  <c r="A243" i="42"/>
  <c r="U242" i="42"/>
  <c r="T242" i="42"/>
  <c r="P242" i="42"/>
  <c r="F242" i="42"/>
  <c r="A242" i="42"/>
  <c r="U241" i="42"/>
  <c r="T241" i="42"/>
  <c r="A241" i="42"/>
  <c r="U240" i="42"/>
  <c r="T240" i="42"/>
  <c r="A240" i="42"/>
  <c r="D240" i="42" s="1"/>
  <c r="U239" i="42"/>
  <c r="T239" i="42"/>
  <c r="I239" i="42"/>
  <c r="C239" i="42"/>
  <c r="K239" i="42" s="1"/>
  <c r="A239" i="42"/>
  <c r="F239" i="42" s="1"/>
  <c r="U238" i="42"/>
  <c r="T238" i="42"/>
  <c r="A238" i="42"/>
  <c r="P238" i="42" s="1"/>
  <c r="U237" i="42"/>
  <c r="T237" i="42"/>
  <c r="A237" i="42"/>
  <c r="P237" i="42" s="1"/>
  <c r="U236" i="42"/>
  <c r="T236" i="42"/>
  <c r="D236" i="42"/>
  <c r="O236" i="42" s="1"/>
  <c r="A236" i="42"/>
  <c r="P236" i="42" s="1"/>
  <c r="Q236" i="42" s="1"/>
  <c r="U235" i="42"/>
  <c r="T235" i="42"/>
  <c r="A235" i="42"/>
  <c r="U234" i="42"/>
  <c r="T234" i="42"/>
  <c r="A234" i="42"/>
  <c r="P234" i="42" s="1"/>
  <c r="U233" i="42"/>
  <c r="T233" i="42"/>
  <c r="D233" i="42"/>
  <c r="O233" i="42" s="1"/>
  <c r="C233" i="42"/>
  <c r="E233" i="42" s="1"/>
  <c r="A233" i="42"/>
  <c r="U232" i="42"/>
  <c r="T232" i="42"/>
  <c r="P232" i="42"/>
  <c r="F232" i="42"/>
  <c r="E232" i="42"/>
  <c r="D232" i="42"/>
  <c r="O232" i="42" s="1"/>
  <c r="C232" i="42"/>
  <c r="N232" i="42" s="1"/>
  <c r="A232" i="42"/>
  <c r="U231" i="42"/>
  <c r="T231" i="42"/>
  <c r="H231" i="42"/>
  <c r="D231" i="42"/>
  <c r="O231" i="42" s="1"/>
  <c r="C231" i="42"/>
  <c r="A231" i="42"/>
  <c r="B231" i="42" s="1"/>
  <c r="U230" i="42"/>
  <c r="T230" i="42"/>
  <c r="A230" i="42"/>
  <c r="U229" i="42"/>
  <c r="T229" i="42"/>
  <c r="A229" i="42"/>
  <c r="U228" i="42"/>
  <c r="T228" i="42"/>
  <c r="A228" i="42"/>
  <c r="P228" i="42" s="1"/>
  <c r="U227" i="42"/>
  <c r="T227" i="42"/>
  <c r="M227" i="42"/>
  <c r="J227" i="42"/>
  <c r="I227" i="42"/>
  <c r="G227" i="42"/>
  <c r="F227" i="42"/>
  <c r="E227" i="42"/>
  <c r="D227" i="42"/>
  <c r="O227" i="42" s="1"/>
  <c r="C227" i="42"/>
  <c r="N227" i="42" s="1"/>
  <c r="B227" i="42"/>
  <c r="K227" i="42" s="1"/>
  <c r="A227" i="42"/>
  <c r="U226" i="42"/>
  <c r="T226" i="42"/>
  <c r="F226" i="42"/>
  <c r="A226" i="42"/>
  <c r="P226" i="42" s="1"/>
  <c r="U225" i="42"/>
  <c r="T225" i="42"/>
  <c r="D225" i="42"/>
  <c r="O225" i="42" s="1"/>
  <c r="A225" i="42"/>
  <c r="P225" i="42" s="1"/>
  <c r="U224" i="42"/>
  <c r="T224" i="42"/>
  <c r="F224" i="42"/>
  <c r="A224" i="42"/>
  <c r="P224" i="42" s="1"/>
  <c r="U223" i="42"/>
  <c r="T223" i="42"/>
  <c r="B223" i="42"/>
  <c r="A223" i="42"/>
  <c r="U222" i="42"/>
  <c r="T222" i="42"/>
  <c r="F222" i="42"/>
  <c r="A222" i="42"/>
  <c r="P222" i="42" s="1"/>
  <c r="U221" i="42"/>
  <c r="T221" i="42"/>
  <c r="A221" i="42"/>
  <c r="U220" i="42"/>
  <c r="T220" i="42"/>
  <c r="F220" i="42"/>
  <c r="A220" i="42"/>
  <c r="P220" i="42" s="1"/>
  <c r="Q220" i="42" s="1"/>
  <c r="U219" i="42"/>
  <c r="T219" i="42"/>
  <c r="A219" i="42"/>
  <c r="D219" i="42" s="1"/>
  <c r="O219" i="42" s="1"/>
  <c r="U218" i="42"/>
  <c r="T218" i="42"/>
  <c r="P218" i="42"/>
  <c r="A218" i="42"/>
  <c r="U217" i="42"/>
  <c r="T217" i="42"/>
  <c r="A217" i="42"/>
  <c r="B217" i="42" s="1"/>
  <c r="U216" i="42"/>
  <c r="T216" i="42"/>
  <c r="C216" i="42"/>
  <c r="I216" i="42" s="1"/>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B207" i="42"/>
  <c r="A207" i="42"/>
  <c r="U206" i="42"/>
  <c r="T206" i="42"/>
  <c r="B206" i="42"/>
  <c r="A206" i="42"/>
  <c r="P206" i="42" s="1"/>
  <c r="U205" i="42"/>
  <c r="T205" i="42"/>
  <c r="P205" i="42"/>
  <c r="Q205" i="42" s="1"/>
  <c r="F205" i="42"/>
  <c r="D205" i="42"/>
  <c r="O205" i="42" s="1"/>
  <c r="C205" i="42"/>
  <c r="A205" i="42"/>
  <c r="B205" i="42" s="1"/>
  <c r="U204" i="42"/>
  <c r="T204" i="42"/>
  <c r="D204" i="42"/>
  <c r="A204" i="42"/>
  <c r="U203" i="42"/>
  <c r="T203" i="42"/>
  <c r="G203" i="42"/>
  <c r="F203" i="42"/>
  <c r="C203" i="42"/>
  <c r="A203" i="42"/>
  <c r="D203" i="42" s="1"/>
  <c r="O203" i="42" s="1"/>
  <c r="U202" i="42"/>
  <c r="T202" i="42"/>
  <c r="A202" i="42"/>
  <c r="B202" i="42" s="1"/>
  <c r="U201" i="42"/>
  <c r="T201" i="42"/>
  <c r="D201" i="42"/>
  <c r="A201" i="42"/>
  <c r="U200" i="42"/>
  <c r="T200" i="42"/>
  <c r="P200" i="42"/>
  <c r="D200" i="42"/>
  <c r="O200" i="42" s="1"/>
  <c r="B200" i="42"/>
  <c r="A200" i="42"/>
  <c r="U199" i="42"/>
  <c r="T199" i="42"/>
  <c r="N199" i="42"/>
  <c r="M199" i="42"/>
  <c r="J199" i="42"/>
  <c r="G199" i="42"/>
  <c r="F199" i="42"/>
  <c r="D199" i="42"/>
  <c r="O199" i="42" s="1"/>
  <c r="C199" i="42"/>
  <c r="L199" i="42" s="1"/>
  <c r="B199" i="42"/>
  <c r="A199" i="42"/>
  <c r="U198" i="42"/>
  <c r="T198" i="42"/>
  <c r="A198" i="42"/>
  <c r="U197" i="42"/>
  <c r="T197" i="42"/>
  <c r="B197" i="42"/>
  <c r="A197" i="42"/>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P185" i="42"/>
  <c r="D185" i="42"/>
  <c r="O185" i="42" s="1"/>
  <c r="C185" i="42"/>
  <c r="B185" i="42"/>
  <c r="A185" i="42"/>
  <c r="U184" i="42"/>
  <c r="T184" i="42"/>
  <c r="A184" i="42"/>
  <c r="P184" i="42" s="1"/>
  <c r="U183" i="42"/>
  <c r="T183" i="42"/>
  <c r="K183" i="42"/>
  <c r="D183" i="42"/>
  <c r="C183" i="42"/>
  <c r="A183" i="42"/>
  <c r="U182" i="42"/>
  <c r="T182" i="42"/>
  <c r="A182" i="42"/>
  <c r="P182" i="42" s="1"/>
  <c r="U181" i="42"/>
  <c r="T181" i="42"/>
  <c r="P181" i="42"/>
  <c r="D181" i="42"/>
  <c r="Q181" i="42" s="1"/>
  <c r="A181" i="42"/>
  <c r="F181" i="42" s="1"/>
  <c r="U180" i="42"/>
  <c r="T180" i="42"/>
  <c r="A180" i="42"/>
  <c r="U179" i="42"/>
  <c r="T179" i="42"/>
  <c r="C179" i="42"/>
  <c r="A179" i="42"/>
  <c r="U178" i="42"/>
  <c r="T178" i="42"/>
  <c r="B178" i="42"/>
  <c r="A178" i="42"/>
  <c r="C178" i="42" s="1"/>
  <c r="U177" i="42"/>
  <c r="T177" i="42"/>
  <c r="A177" i="42"/>
  <c r="U176" i="42"/>
  <c r="T176" i="42"/>
  <c r="C176" i="42"/>
  <c r="A176" i="42"/>
  <c r="U175" i="42"/>
  <c r="T175" i="42"/>
  <c r="P175" i="42"/>
  <c r="F175" i="42"/>
  <c r="D175" i="42"/>
  <c r="O175" i="42" s="1"/>
  <c r="C175" i="42"/>
  <c r="A175" i="42"/>
  <c r="U174" i="42"/>
  <c r="T174" i="42"/>
  <c r="P174" i="42"/>
  <c r="B174" i="42"/>
  <c r="A174" i="42"/>
  <c r="U173" i="42"/>
  <c r="T173" i="42"/>
  <c r="B173" i="42"/>
  <c r="A173" i="42"/>
  <c r="P173" i="42" s="1"/>
  <c r="U172" i="42"/>
  <c r="T172" i="42"/>
  <c r="A172" i="42"/>
  <c r="U171" i="42"/>
  <c r="T171" i="42"/>
  <c r="P171" i="42"/>
  <c r="F171" i="42"/>
  <c r="D171" i="42"/>
  <c r="O171" i="42" s="1"/>
  <c r="C171" i="42"/>
  <c r="A171" i="42"/>
  <c r="B171" i="42" s="1"/>
  <c r="U170" i="42"/>
  <c r="T170" i="42"/>
  <c r="A170" i="42"/>
  <c r="U169" i="42"/>
  <c r="T169" i="42"/>
  <c r="A169" i="42"/>
  <c r="U168" i="42"/>
  <c r="T168" i="42"/>
  <c r="P168" i="42"/>
  <c r="B168" i="42"/>
  <c r="A168" i="42"/>
  <c r="U167" i="42"/>
  <c r="T167" i="42"/>
  <c r="N167" i="42"/>
  <c r="F167" i="42"/>
  <c r="D167" i="42"/>
  <c r="O167" i="42" s="1"/>
  <c r="C167" i="42"/>
  <c r="A167" i="42"/>
  <c r="B167" i="42" s="1"/>
  <c r="U166" i="42"/>
  <c r="T166" i="42"/>
  <c r="A166" i="42"/>
  <c r="P166" i="42" s="1"/>
  <c r="Q166" i="42" s="1"/>
  <c r="U165" i="42"/>
  <c r="T165" i="42"/>
  <c r="F165" i="42"/>
  <c r="A165" i="42"/>
  <c r="P165" i="42" s="1"/>
  <c r="U164" i="42"/>
  <c r="T164" i="42"/>
  <c r="P164" i="42"/>
  <c r="F164" i="42"/>
  <c r="B164" i="42"/>
  <c r="A164" i="42"/>
  <c r="D164" i="42" s="1"/>
  <c r="U163" i="42"/>
  <c r="T163" i="42"/>
  <c r="P163" i="42"/>
  <c r="N163" i="42"/>
  <c r="L163" i="42"/>
  <c r="F163" i="42"/>
  <c r="D163" i="42"/>
  <c r="O163" i="42" s="1"/>
  <c r="C163" i="42"/>
  <c r="B163" i="42"/>
  <c r="A163" i="42"/>
  <c r="U162" i="42"/>
  <c r="T162" i="42"/>
  <c r="P162" i="42"/>
  <c r="A162" i="42"/>
  <c r="U161" i="42"/>
  <c r="T161" i="42"/>
  <c r="P161" i="42"/>
  <c r="F161" i="42"/>
  <c r="A161" i="42"/>
  <c r="U160" i="42"/>
  <c r="T160" i="42"/>
  <c r="A160" i="42"/>
  <c r="P160" i="42" s="1"/>
  <c r="U159" i="42"/>
  <c r="T159" i="42"/>
  <c r="D159" i="42"/>
  <c r="O159" i="42" s="1"/>
  <c r="A159" i="42"/>
  <c r="P159" i="42" s="1"/>
  <c r="U158" i="42"/>
  <c r="T158" i="42"/>
  <c r="Q158" i="42"/>
  <c r="A158" i="42"/>
  <c r="P158" i="42" s="1"/>
  <c r="U157" i="42"/>
  <c r="T157" i="42"/>
  <c r="A157" i="42"/>
  <c r="P157" i="42" s="1"/>
  <c r="U156" i="42"/>
  <c r="T156" i="42"/>
  <c r="F156" i="42"/>
  <c r="A156" i="42"/>
  <c r="P156" i="42" s="1"/>
  <c r="U155" i="42"/>
  <c r="T155" i="42"/>
  <c r="F155" i="42"/>
  <c r="A155" i="42"/>
  <c r="P155" i="42" s="1"/>
  <c r="U154" i="42"/>
  <c r="T154" i="42"/>
  <c r="P154" i="42"/>
  <c r="Q154" i="42" s="1"/>
  <c r="C154" i="42"/>
  <c r="N154" i="42" s="1"/>
  <c r="A154" i="42"/>
  <c r="U153" i="42"/>
  <c r="T153" i="42"/>
  <c r="P153" i="42"/>
  <c r="Q153" i="42" s="1"/>
  <c r="F153" i="42"/>
  <c r="D153" i="42"/>
  <c r="O153" i="42" s="1"/>
  <c r="A153" i="42"/>
  <c r="B153" i="42" s="1"/>
  <c r="U152" i="42"/>
  <c r="T152" i="42"/>
  <c r="C152" i="42"/>
  <c r="A152" i="42"/>
  <c r="D152" i="42" s="1"/>
  <c r="O152" i="42" s="1"/>
  <c r="U151" i="42"/>
  <c r="T151" i="42"/>
  <c r="P151" i="42"/>
  <c r="M151" i="42"/>
  <c r="C151" i="42"/>
  <c r="B151" i="42"/>
  <c r="A151" i="42"/>
  <c r="U150" i="42"/>
  <c r="T150" i="42"/>
  <c r="A150" i="42"/>
  <c r="U149" i="42"/>
  <c r="T149" i="42"/>
  <c r="D149" i="42"/>
  <c r="A149" i="42"/>
  <c r="P149" i="42" s="1"/>
  <c r="U148" i="42"/>
  <c r="T148" i="42"/>
  <c r="P148" i="42"/>
  <c r="D148" i="42"/>
  <c r="A148" i="42"/>
  <c r="U147" i="42"/>
  <c r="T147" i="42"/>
  <c r="A147" i="42"/>
  <c r="U146" i="42"/>
  <c r="T146" i="42"/>
  <c r="P146" i="42"/>
  <c r="H146" i="42"/>
  <c r="G146" i="42"/>
  <c r="C146" i="42"/>
  <c r="J146" i="42" s="1"/>
  <c r="A146" i="42"/>
  <c r="B146" i="42" s="1"/>
  <c r="U145" i="42"/>
  <c r="T145" i="42"/>
  <c r="P145" i="42"/>
  <c r="F145" i="42"/>
  <c r="D145" i="42"/>
  <c r="O145" i="42" s="1"/>
  <c r="B145" i="42"/>
  <c r="A145" i="42"/>
  <c r="U144" i="42"/>
  <c r="T144" i="42"/>
  <c r="P144" i="42"/>
  <c r="K144" i="42"/>
  <c r="J144" i="42"/>
  <c r="F144" i="42"/>
  <c r="D144" i="42"/>
  <c r="O144" i="42" s="1"/>
  <c r="C144" i="42"/>
  <c r="H144" i="42" s="1"/>
  <c r="B144" i="42"/>
  <c r="A144" i="42"/>
  <c r="E144" i="42" s="1"/>
  <c r="U143" i="42"/>
  <c r="T143" i="42"/>
  <c r="P143" i="42"/>
  <c r="F143" i="42"/>
  <c r="D143" i="42"/>
  <c r="O143" i="42" s="1"/>
  <c r="B143" i="42"/>
  <c r="A143" i="42"/>
  <c r="C143" i="42" s="1"/>
  <c r="U142" i="42"/>
  <c r="T142" i="42"/>
  <c r="P142" i="42"/>
  <c r="A142" i="42"/>
  <c r="B142" i="42" s="1"/>
  <c r="U141" i="42"/>
  <c r="T141" i="42"/>
  <c r="A141" i="42"/>
  <c r="U140" i="42"/>
  <c r="T140" i="42"/>
  <c r="P140" i="42"/>
  <c r="F140" i="42"/>
  <c r="B140" i="42"/>
  <c r="A140" i="42"/>
  <c r="D140" i="42" s="1"/>
  <c r="Q140" i="42" s="1"/>
  <c r="U139" i="42"/>
  <c r="T139" i="42"/>
  <c r="F139" i="42"/>
  <c r="C139" i="42"/>
  <c r="A139" i="42"/>
  <c r="U138" i="42"/>
  <c r="T138" i="42"/>
  <c r="D138" i="42"/>
  <c r="B138" i="42"/>
  <c r="A138" i="42"/>
  <c r="U137" i="42"/>
  <c r="T137" i="42"/>
  <c r="P137" i="42"/>
  <c r="B137" i="42"/>
  <c r="A137" i="42"/>
  <c r="U136" i="42"/>
  <c r="T136" i="42"/>
  <c r="D136" i="42"/>
  <c r="O136" i="42" s="1"/>
  <c r="A136" i="42"/>
  <c r="U135" i="42"/>
  <c r="T135" i="42"/>
  <c r="H135" i="42"/>
  <c r="G135" i="42"/>
  <c r="E135" i="42"/>
  <c r="C135" i="42"/>
  <c r="B135" i="42"/>
  <c r="A135" i="42"/>
  <c r="P135" i="42" s="1"/>
  <c r="U134" i="42"/>
  <c r="T134" i="42"/>
  <c r="A134" i="42"/>
  <c r="U133" i="42"/>
  <c r="T133" i="42"/>
  <c r="A133" i="42"/>
  <c r="U132" i="42"/>
  <c r="T132" i="42"/>
  <c r="A132" i="42"/>
  <c r="B132" i="42" s="1"/>
  <c r="U131" i="42"/>
  <c r="T131" i="42"/>
  <c r="N131" i="42"/>
  <c r="F131" i="42"/>
  <c r="D131" i="42"/>
  <c r="O131" i="42" s="1"/>
  <c r="B131" i="42"/>
  <c r="A131" i="42"/>
  <c r="C131" i="42" s="1"/>
  <c r="U130" i="42"/>
  <c r="T130" i="42"/>
  <c r="A130" i="42"/>
  <c r="U129" i="42"/>
  <c r="T129" i="42"/>
  <c r="A129" i="42"/>
  <c r="P129" i="42" s="1"/>
  <c r="U128" i="42"/>
  <c r="T128" i="42"/>
  <c r="C128" i="42"/>
  <c r="A128" i="42"/>
  <c r="U127" i="42"/>
  <c r="T127" i="42"/>
  <c r="F127" i="42"/>
  <c r="C127" i="42"/>
  <c r="B127" i="42"/>
  <c r="A127" i="42"/>
  <c r="P127" i="42" s="1"/>
  <c r="U126" i="42"/>
  <c r="T126" i="42"/>
  <c r="A126" i="42"/>
  <c r="U125" i="42"/>
  <c r="T125" i="42"/>
  <c r="P125" i="42"/>
  <c r="Q125" i="42" s="1"/>
  <c r="F125" i="42"/>
  <c r="D125" i="42"/>
  <c r="O125" i="42" s="1"/>
  <c r="A125" i="42"/>
  <c r="B125" i="42" s="1"/>
  <c r="U124" i="42"/>
  <c r="T124" i="42"/>
  <c r="F124" i="42"/>
  <c r="D124" i="42"/>
  <c r="O124" i="42" s="1"/>
  <c r="A124" i="42"/>
  <c r="P124" i="42" s="1"/>
  <c r="U123" i="42"/>
  <c r="T123" i="42"/>
  <c r="L123" i="42"/>
  <c r="C123" i="42"/>
  <c r="K123" i="42" s="1"/>
  <c r="A123" i="42"/>
  <c r="P123" i="42" s="1"/>
  <c r="U122" i="42"/>
  <c r="T122" i="42"/>
  <c r="P122" i="42"/>
  <c r="A122" i="42"/>
  <c r="U121" i="42"/>
  <c r="T121" i="42"/>
  <c r="F121" i="42"/>
  <c r="A121" i="42"/>
  <c r="P121" i="42" s="1"/>
  <c r="Q121" i="42" s="1"/>
  <c r="U120" i="42"/>
  <c r="T120" i="42"/>
  <c r="A120" i="42"/>
  <c r="B120" i="42" s="1"/>
  <c r="U119" i="42"/>
  <c r="T119" i="42"/>
  <c r="P119" i="42"/>
  <c r="F119" i="42"/>
  <c r="B119" i="42"/>
  <c r="A119" i="42"/>
  <c r="U118" i="42"/>
  <c r="T118" i="42"/>
  <c r="F118" i="42"/>
  <c r="A118" i="42"/>
  <c r="U117" i="42"/>
  <c r="T117" i="42"/>
  <c r="M117" i="42"/>
  <c r="D117" i="42"/>
  <c r="O117" i="42" s="1"/>
  <c r="C117" i="42"/>
  <c r="N117" i="42" s="1"/>
  <c r="A117" i="42"/>
  <c r="E117" i="42" s="1"/>
  <c r="U116" i="42"/>
  <c r="T116" i="42"/>
  <c r="A116" i="42"/>
  <c r="U115" i="42"/>
  <c r="T115" i="42"/>
  <c r="P115" i="42"/>
  <c r="N115" i="42"/>
  <c r="F115" i="42"/>
  <c r="D115" i="42"/>
  <c r="O115" i="42" s="1"/>
  <c r="C115" i="42"/>
  <c r="B115" i="42"/>
  <c r="A115" i="42"/>
  <c r="I115" i="42" s="1"/>
  <c r="U114" i="42"/>
  <c r="T114" i="42"/>
  <c r="A114" i="42"/>
  <c r="U113" i="42"/>
  <c r="T113" i="42"/>
  <c r="A113" i="42"/>
  <c r="P113" i="42" s="1"/>
  <c r="U112" i="42"/>
  <c r="T112" i="42"/>
  <c r="D112" i="42"/>
  <c r="B112" i="42"/>
  <c r="A112" i="42"/>
  <c r="U111" i="42"/>
  <c r="T111" i="42"/>
  <c r="A111" i="42"/>
  <c r="P111" i="42" s="1"/>
  <c r="U110" i="42"/>
  <c r="T110" i="42"/>
  <c r="A110" i="42"/>
  <c r="U109" i="42"/>
  <c r="T109" i="42"/>
  <c r="P109" i="42"/>
  <c r="A109" i="42"/>
  <c r="U108" i="42"/>
  <c r="T108" i="42"/>
  <c r="C108" i="42"/>
  <c r="B108" i="42"/>
  <c r="A108" i="42"/>
  <c r="P108" i="42" s="1"/>
  <c r="Q108" i="42" s="1"/>
  <c r="U107" i="42"/>
  <c r="T107" i="42"/>
  <c r="P107" i="42"/>
  <c r="F107" i="42"/>
  <c r="D107" i="42"/>
  <c r="O107" i="42" s="1"/>
  <c r="C107" i="42"/>
  <c r="I107" i="42" s="1"/>
  <c r="A107" i="42"/>
  <c r="H107" i="42" s="1"/>
  <c r="U106" i="42"/>
  <c r="T106" i="42"/>
  <c r="F106" i="42"/>
  <c r="B106" i="42"/>
  <c r="A106" i="42"/>
  <c r="P106" i="42" s="1"/>
  <c r="U105" i="42"/>
  <c r="T105" i="42"/>
  <c r="C105" i="42"/>
  <c r="A105" i="42"/>
  <c r="B105" i="42" s="1"/>
  <c r="U104" i="42"/>
  <c r="T104" i="42"/>
  <c r="D104" i="42"/>
  <c r="A104" i="42"/>
  <c r="F104" i="42" s="1"/>
  <c r="U103" i="42"/>
  <c r="T103" i="42"/>
  <c r="P103" i="42"/>
  <c r="J103" i="42"/>
  <c r="H103" i="42"/>
  <c r="F103" i="42"/>
  <c r="D103" i="42"/>
  <c r="O103" i="42" s="1"/>
  <c r="C103" i="42"/>
  <c r="B103" i="42"/>
  <c r="K103" i="42" s="1"/>
  <c r="A103" i="42"/>
  <c r="U102" i="42"/>
  <c r="T102" i="42"/>
  <c r="A102" i="42"/>
  <c r="B102" i="42" s="1"/>
  <c r="U101" i="42"/>
  <c r="T101" i="42"/>
  <c r="A101" i="42"/>
  <c r="U100" i="42"/>
  <c r="T100" i="42"/>
  <c r="F100" i="42"/>
  <c r="C100" i="42"/>
  <c r="N100" i="42" s="1"/>
  <c r="A100" i="42"/>
  <c r="K100" i="42" s="1"/>
  <c r="U99" i="42"/>
  <c r="T99" i="42"/>
  <c r="P99" i="42"/>
  <c r="L99" i="42"/>
  <c r="K99" i="42"/>
  <c r="J99" i="42"/>
  <c r="I99" i="42"/>
  <c r="G99" i="42"/>
  <c r="F99" i="42"/>
  <c r="N99" i="42" s="1"/>
  <c r="D99" i="42"/>
  <c r="O99" i="42" s="1"/>
  <c r="C99" i="42"/>
  <c r="H99" i="42" s="1"/>
  <c r="B99" i="42"/>
  <c r="A99" i="42"/>
  <c r="E99" i="42" s="1"/>
  <c r="U98" i="42"/>
  <c r="T98" i="42"/>
  <c r="A98" i="42"/>
  <c r="U97" i="42"/>
  <c r="T97" i="42"/>
  <c r="P97" i="42"/>
  <c r="N97" i="42"/>
  <c r="F97" i="42"/>
  <c r="H97" i="42" s="1"/>
  <c r="C97" i="42"/>
  <c r="K97" i="42" s="1"/>
  <c r="A97" i="42"/>
  <c r="U96" i="42"/>
  <c r="T96" i="42"/>
  <c r="D96" i="42"/>
  <c r="A96" i="42"/>
  <c r="U95" i="42"/>
  <c r="T95" i="42"/>
  <c r="P95" i="42"/>
  <c r="F95" i="42"/>
  <c r="D95" i="42"/>
  <c r="O95" i="42" s="1"/>
  <c r="B95" i="42"/>
  <c r="A95" i="42"/>
  <c r="U94" i="42"/>
  <c r="T94" i="42"/>
  <c r="C94" i="42"/>
  <c r="M94" i="42" s="1"/>
  <c r="B94" i="42"/>
  <c r="A94" i="42"/>
  <c r="U93" i="42"/>
  <c r="T93" i="42"/>
  <c r="D93" i="42"/>
  <c r="A93" i="42"/>
  <c r="P93" i="42" s="1"/>
  <c r="U92" i="42"/>
  <c r="T92" i="42"/>
  <c r="A92" i="42"/>
  <c r="U91" i="42"/>
  <c r="T91" i="42"/>
  <c r="F91" i="42"/>
  <c r="A91" i="42"/>
  <c r="U90" i="42"/>
  <c r="T90" i="42"/>
  <c r="F90" i="42"/>
  <c r="D90" i="42"/>
  <c r="A90" i="42"/>
  <c r="U89" i="42"/>
  <c r="T89" i="42"/>
  <c r="A89" i="42"/>
  <c r="U88" i="42"/>
  <c r="T88" i="42"/>
  <c r="A88" i="42"/>
  <c r="D88" i="42" s="1"/>
  <c r="O88" i="42" s="1"/>
  <c r="U87" i="42"/>
  <c r="T87" i="42"/>
  <c r="P87" i="42"/>
  <c r="F87" i="42"/>
  <c r="C87" i="42"/>
  <c r="A87" i="42"/>
  <c r="D87" i="42" s="1"/>
  <c r="O87" i="42" s="1"/>
  <c r="U86" i="42"/>
  <c r="T86" i="42"/>
  <c r="F86" i="42"/>
  <c r="A86" i="42"/>
  <c r="U85" i="42"/>
  <c r="T85" i="42"/>
  <c r="A85" i="42"/>
  <c r="U84" i="42"/>
  <c r="T84" i="42"/>
  <c r="A84" i="42"/>
  <c r="U83" i="42"/>
  <c r="T83" i="42"/>
  <c r="C83" i="42"/>
  <c r="B83" i="42"/>
  <c r="A83" i="42"/>
  <c r="U82" i="42"/>
  <c r="T82" i="42"/>
  <c r="Q82" i="42"/>
  <c r="P82" i="42"/>
  <c r="F82" i="42"/>
  <c r="E82" i="42"/>
  <c r="D82" i="42"/>
  <c r="O82" i="42" s="1"/>
  <c r="C82" i="42"/>
  <c r="A82" i="42"/>
  <c r="U81" i="42"/>
  <c r="T81" i="42"/>
  <c r="D81" i="42"/>
  <c r="A81" i="42"/>
  <c r="U80" i="42"/>
  <c r="T80" i="42"/>
  <c r="B80" i="42"/>
  <c r="A80" i="42"/>
  <c r="D80" i="42" s="1"/>
  <c r="O80" i="42" s="1"/>
  <c r="U79" i="42"/>
  <c r="T79" i="42"/>
  <c r="P79" i="42"/>
  <c r="Q79" i="42" s="1"/>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F71" i="42"/>
  <c r="D71" i="42"/>
  <c r="O71" i="42" s="1"/>
  <c r="C71" i="42"/>
  <c r="A71" i="42"/>
  <c r="U70" i="42"/>
  <c r="T70" i="42"/>
  <c r="I70" i="42"/>
  <c r="C70" i="42"/>
  <c r="A70" i="42"/>
  <c r="U69" i="42"/>
  <c r="T69" i="42"/>
  <c r="F69" i="42"/>
  <c r="A69" i="42"/>
  <c r="U68" i="42"/>
  <c r="T68" i="42"/>
  <c r="A68" i="42"/>
  <c r="U67" i="42"/>
  <c r="T67" i="42"/>
  <c r="D67" i="42"/>
  <c r="O67" i="42" s="1"/>
  <c r="A67" i="42"/>
  <c r="C67" i="42" s="1"/>
  <c r="U66" i="42"/>
  <c r="T66" i="42"/>
  <c r="B66" i="42"/>
  <c r="A66" i="42"/>
  <c r="U65" i="42"/>
  <c r="T65" i="42"/>
  <c r="A65" i="42"/>
  <c r="F65" i="42" s="1"/>
  <c r="U64" i="42"/>
  <c r="T64" i="42"/>
  <c r="A64" i="42"/>
  <c r="C64" i="42" s="1"/>
  <c r="U63" i="42"/>
  <c r="T63" i="42"/>
  <c r="N63" i="42"/>
  <c r="F63" i="42"/>
  <c r="D63" i="42"/>
  <c r="O63" i="42" s="1"/>
  <c r="C63" i="42"/>
  <c r="J63" i="42" s="1"/>
  <c r="A63" i="42"/>
  <c r="U62" i="42"/>
  <c r="T62" i="42"/>
  <c r="A62" i="42"/>
  <c r="C62" i="42" s="1"/>
  <c r="U61" i="42"/>
  <c r="T61" i="42"/>
  <c r="A61" i="42"/>
  <c r="U60" i="42"/>
  <c r="T60" i="42"/>
  <c r="A60" i="42"/>
  <c r="U59" i="42"/>
  <c r="T59" i="42"/>
  <c r="P59" i="42"/>
  <c r="F59" i="42"/>
  <c r="D59" i="42"/>
  <c r="O59" i="42" s="1"/>
  <c r="C59" i="42"/>
  <c r="M59" i="42" s="1"/>
  <c r="B59" i="42"/>
  <c r="A59" i="42"/>
  <c r="U58" i="42"/>
  <c r="T58" i="42"/>
  <c r="K58" i="42"/>
  <c r="C58" i="42"/>
  <c r="H58" i="42" s="1"/>
  <c r="A58" i="42"/>
  <c r="U57" i="42"/>
  <c r="T57" i="42"/>
  <c r="A57" i="42"/>
  <c r="U56" i="42"/>
  <c r="T56" i="42"/>
  <c r="A56" i="42"/>
  <c r="F56" i="42" s="1"/>
  <c r="U55" i="42"/>
  <c r="T55" i="42"/>
  <c r="P55" i="42"/>
  <c r="F55" i="42"/>
  <c r="E55" i="42"/>
  <c r="D55" i="42"/>
  <c r="O55" i="42" s="1"/>
  <c r="C55" i="42"/>
  <c r="K55" i="42" s="1"/>
  <c r="B55" i="42"/>
  <c r="A55" i="42"/>
  <c r="U54" i="42"/>
  <c r="T54" i="42"/>
  <c r="C54" i="42"/>
  <c r="A54" i="42"/>
  <c r="U53" i="42"/>
  <c r="T53" i="42"/>
  <c r="A53" i="42"/>
  <c r="U52" i="42"/>
  <c r="T52" i="42"/>
  <c r="C52" i="42"/>
  <c r="A52" i="42"/>
  <c r="U51" i="42"/>
  <c r="T51" i="42"/>
  <c r="P51" i="42"/>
  <c r="F51" i="42"/>
  <c r="B51" i="42"/>
  <c r="A51" i="42"/>
  <c r="D51" i="42" s="1"/>
  <c r="O51" i="42" s="1"/>
  <c r="U50" i="42"/>
  <c r="T50" i="42"/>
  <c r="A50" i="42"/>
  <c r="U49" i="42"/>
  <c r="T49" i="42"/>
  <c r="F49" i="42"/>
  <c r="B49" i="42"/>
  <c r="A49" i="42"/>
  <c r="U48" i="42"/>
  <c r="T48" i="42"/>
  <c r="P48" i="42"/>
  <c r="Q48" i="42" s="1"/>
  <c r="N48" i="42"/>
  <c r="J48" i="42"/>
  <c r="F48" i="42"/>
  <c r="C48" i="42"/>
  <c r="K48" i="42" s="1"/>
  <c r="A48" i="42"/>
  <c r="U47" i="42"/>
  <c r="T47" i="42"/>
  <c r="F47" i="42"/>
  <c r="B47" i="42"/>
  <c r="A47" i="42"/>
  <c r="P47" i="42" s="1"/>
  <c r="U46" i="42"/>
  <c r="T46" i="42"/>
  <c r="K46" i="42"/>
  <c r="J46" i="42"/>
  <c r="C46" i="42"/>
  <c r="N46" i="42" s="1"/>
  <c r="A46" i="42"/>
  <c r="U45" i="42"/>
  <c r="T45" i="42"/>
  <c r="A45" i="42"/>
  <c r="B45" i="42" s="1"/>
  <c r="U44" i="42"/>
  <c r="T44" i="42"/>
  <c r="C44" i="42"/>
  <c r="E44" i="42" s="1"/>
  <c r="A44" i="42"/>
  <c r="F44" i="42" s="1"/>
  <c r="U43" i="42"/>
  <c r="T43" i="42"/>
  <c r="E43" i="42"/>
  <c r="C43" i="42"/>
  <c r="N43" i="42" s="1"/>
  <c r="B43" i="42"/>
  <c r="A43" i="42"/>
  <c r="D43" i="42" s="1"/>
  <c r="O43" i="42" s="1"/>
  <c r="U42" i="42"/>
  <c r="T42" i="42"/>
  <c r="F42" i="42"/>
  <c r="C42" i="42"/>
  <c r="K42" i="42" s="1"/>
  <c r="B42" i="42"/>
  <c r="A42" i="42"/>
  <c r="U41" i="42"/>
  <c r="T41" i="42"/>
  <c r="A41" i="42"/>
  <c r="B41" i="42" s="1"/>
  <c r="U40" i="42"/>
  <c r="T40" i="42"/>
  <c r="B40" i="42"/>
  <c r="A40" i="42"/>
  <c r="U39" i="42"/>
  <c r="T39" i="42"/>
  <c r="D39" i="42"/>
  <c r="O39" i="42" s="1"/>
  <c r="C39" i="42"/>
  <c r="N39" i="42" s="1"/>
  <c r="B39" i="42"/>
  <c r="A39" i="42"/>
  <c r="F39" i="42" s="1"/>
  <c r="U38" i="42"/>
  <c r="T38" i="42"/>
  <c r="A38" i="42"/>
  <c r="U37" i="42"/>
  <c r="T37" i="42"/>
  <c r="B37" i="42"/>
  <c r="A37" i="42"/>
  <c r="U36" i="42"/>
  <c r="T36" i="42"/>
  <c r="A36" i="42"/>
  <c r="B36" i="42" s="1"/>
  <c r="U35" i="42"/>
  <c r="T35" i="42"/>
  <c r="A35" i="42"/>
  <c r="U34" i="42"/>
  <c r="T34" i="42"/>
  <c r="A34" i="42"/>
  <c r="U33" i="42"/>
  <c r="T33" i="42"/>
  <c r="A33" i="42"/>
  <c r="U32" i="42"/>
  <c r="T32" i="42"/>
  <c r="A32" i="42"/>
  <c r="U31" i="42"/>
  <c r="T31" i="42"/>
  <c r="A31" i="42"/>
  <c r="B31" i="42" s="1"/>
  <c r="U30" i="42"/>
  <c r="T30" i="42"/>
  <c r="D30" i="42"/>
  <c r="O30" i="42" s="1"/>
  <c r="A30" i="42"/>
  <c r="U29" i="42"/>
  <c r="T29" i="42"/>
  <c r="F29" i="42"/>
  <c r="E29" i="42"/>
  <c r="C29" i="42"/>
  <c r="J29" i="42" s="1"/>
  <c r="A29" i="42"/>
  <c r="U28" i="42"/>
  <c r="T28" i="42"/>
  <c r="A28" i="42"/>
  <c r="B28" i="42" s="1"/>
  <c r="U27" i="42"/>
  <c r="T27" i="42"/>
  <c r="C27" i="42"/>
  <c r="E27" i="42" s="1"/>
  <c r="A27" i="42"/>
  <c r="F27" i="42" s="1"/>
  <c r="U26" i="42"/>
  <c r="T26" i="42"/>
  <c r="N26" i="42"/>
  <c r="G26" i="42"/>
  <c r="F26" i="42"/>
  <c r="J26" i="42" s="1"/>
  <c r="C26" i="42"/>
  <c r="K26" i="42" s="1"/>
  <c r="B26" i="42"/>
  <c r="I26" i="42" s="1"/>
  <c r="A26" i="42"/>
  <c r="U25" i="42"/>
  <c r="T25" i="42"/>
  <c r="A25" i="42"/>
  <c r="U24" i="42"/>
  <c r="T24" i="42"/>
  <c r="P24" i="42"/>
  <c r="A24" i="42"/>
  <c r="U23" i="42"/>
  <c r="T23" i="42"/>
  <c r="B23" i="42"/>
  <c r="A23" i="42"/>
  <c r="P23" i="42" s="1"/>
  <c r="Q23" i="42" s="1"/>
  <c r="U22" i="42"/>
  <c r="T22" i="42"/>
  <c r="A22" i="42"/>
  <c r="D22" i="42" s="1"/>
  <c r="O22" i="42" s="1"/>
  <c r="U21" i="42"/>
  <c r="T21" i="42"/>
  <c r="A21" i="42"/>
  <c r="U20" i="42"/>
  <c r="T20" i="42"/>
  <c r="B20" i="42"/>
  <c r="A20" i="42"/>
  <c r="U19" i="42"/>
  <c r="T19" i="42"/>
  <c r="P19" i="42"/>
  <c r="F19" i="42"/>
  <c r="C19" i="42"/>
  <c r="I19" i="42" s="1"/>
  <c r="A19" i="42"/>
  <c r="D19" i="42" s="1"/>
  <c r="U18" i="42"/>
  <c r="T18" i="42"/>
  <c r="F18" i="42"/>
  <c r="D18" i="42"/>
  <c r="A18" i="42"/>
  <c r="B18" i="42" s="1"/>
  <c r="U17" i="42"/>
  <c r="T17" i="42"/>
  <c r="L17" i="42"/>
  <c r="F17" i="42"/>
  <c r="C17" i="42"/>
  <c r="H17" i="42" s="1"/>
  <c r="A17" i="42"/>
  <c r="U16" i="42"/>
  <c r="T16" i="42"/>
  <c r="C16" i="42"/>
  <c r="M16" i="42" s="1"/>
  <c r="A16" i="42"/>
  <c r="U15" i="42"/>
  <c r="T15" i="42"/>
  <c r="P15" i="42"/>
  <c r="F15" i="42"/>
  <c r="D15" i="42"/>
  <c r="O15" i="42" s="1"/>
  <c r="C15" i="42"/>
  <c r="N15" i="42" s="1"/>
  <c r="B15" i="42"/>
  <c r="A15" i="42"/>
  <c r="U14" i="42"/>
  <c r="T14" i="42"/>
  <c r="F14" i="42"/>
  <c r="A14" i="42"/>
  <c r="D14" i="42" s="1"/>
  <c r="O14" i="42" s="1"/>
  <c r="U13" i="42"/>
  <c r="T13" i="42"/>
  <c r="A13" i="42"/>
  <c r="U12" i="42"/>
  <c r="T12" i="42"/>
  <c r="A12" i="42"/>
  <c r="P12" i="42" s="1"/>
  <c r="Q12" i="42" s="1"/>
  <c r="U11" i="42"/>
  <c r="T11" i="42"/>
  <c r="D11" i="42"/>
  <c r="Q11" i="42" s="1"/>
  <c r="B11" i="42"/>
  <c r="A11" i="42"/>
  <c r="P11" i="42" s="1"/>
  <c r="U10" i="42"/>
  <c r="T10" i="42"/>
  <c r="B10" i="42"/>
  <c r="A10" i="42"/>
  <c r="U9" i="42"/>
  <c r="T9" i="42"/>
  <c r="A9" i="42"/>
  <c r="C9" i="42" s="1"/>
  <c r="U8" i="42"/>
  <c r="T8" i="42"/>
  <c r="P8" i="42"/>
  <c r="Q8" i="42" s="1"/>
  <c r="C8" i="42"/>
  <c r="N8" i="42" s="1"/>
  <c r="B8" i="42"/>
  <c r="A8" i="42"/>
  <c r="F8" i="42" s="1"/>
  <c r="U7" i="42"/>
  <c r="T7" i="42"/>
  <c r="F7" i="42"/>
  <c r="B7" i="42"/>
  <c r="A7" i="42"/>
  <c r="D7" i="42" s="1"/>
  <c r="U6" i="42"/>
  <c r="T6" i="42"/>
  <c r="G6" i="42"/>
  <c r="F6" i="42"/>
  <c r="C6" i="42"/>
  <c r="E6" i="42" s="1"/>
  <c r="B6" i="42"/>
  <c r="A6" i="42"/>
  <c r="U5" i="42"/>
  <c r="T5" i="42"/>
  <c r="A5" i="42"/>
  <c r="U4" i="42"/>
  <c r="T4" i="42"/>
  <c r="P4" i="42"/>
  <c r="Q4" i="42" s="1"/>
  <c r="F4" i="42"/>
  <c r="B4" i="42"/>
  <c r="A4" i="42"/>
  <c r="U3" i="42"/>
  <c r="T3" i="42"/>
  <c r="P3" i="42"/>
  <c r="Q3" i="42" s="1"/>
  <c r="F3" i="42"/>
  <c r="D3" i="42"/>
  <c r="O3" i="42" s="1"/>
  <c r="A3" i="42"/>
  <c r="U2" i="42"/>
  <c r="T2" i="42"/>
  <c r="A2" i="42"/>
  <c r="B2" i="42" s="1"/>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E625" i="2"/>
  <c r="D625" i="2"/>
  <c r="E624" i="2"/>
  <c r="D624" i="2"/>
  <c r="E623" i="2"/>
  <c r="D623" i="2"/>
  <c r="E622" i="2"/>
  <c r="D622" i="2"/>
  <c r="E621" i="2"/>
  <c r="D621" i="2"/>
  <c r="E620" i="2"/>
  <c r="D620" i="2"/>
  <c r="E619" i="2"/>
  <c r="D619" i="2"/>
  <c r="E618" i="2"/>
  <c r="D618" i="2"/>
  <c r="E617" i="2"/>
  <c r="D617" i="2"/>
  <c r="E616" i="2"/>
  <c r="E615" i="2"/>
  <c r="D615" i="2"/>
  <c r="E614" i="2"/>
  <c r="D614" i="2"/>
  <c r="E613" i="2"/>
  <c r="D613" i="2"/>
  <c r="E612" i="2"/>
  <c r="D612" i="2"/>
  <c r="E611" i="2"/>
  <c r="D611" i="2"/>
  <c r="E610" i="2"/>
  <c r="D610" i="2"/>
  <c r="E609" i="2"/>
  <c r="D609" i="2"/>
  <c r="E608" i="2"/>
  <c r="D608" i="2"/>
  <c r="E607" i="2"/>
  <c r="E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3" i="2"/>
  <c r="D533" i="2"/>
  <c r="E532" i="2"/>
  <c r="D532" i="2"/>
  <c r="E531" i="2"/>
  <c r="D531" i="2"/>
  <c r="E530" i="2"/>
  <c r="E529" i="2"/>
  <c r="D529" i="2"/>
  <c r="E528" i="2"/>
  <c r="D528" i="2"/>
  <c r="E527" i="2"/>
  <c r="D527" i="2"/>
  <c r="E526" i="2"/>
  <c r="D526" i="2"/>
  <c r="E525" i="2"/>
  <c r="D525" i="2"/>
  <c r="E524" i="2"/>
  <c r="D524" i="2"/>
  <c r="E523" i="2"/>
  <c r="D523" i="2"/>
  <c r="E522" i="2"/>
  <c r="D522" i="2"/>
  <c r="E521" i="2"/>
  <c r="E520" i="2"/>
  <c r="D520" i="2"/>
  <c r="E519" i="2"/>
  <c r="D519" i="2"/>
  <c r="E518" i="2"/>
  <c r="D518" i="2"/>
  <c r="E517" i="2"/>
  <c r="D517" i="2"/>
  <c r="E516" i="2"/>
  <c r="D516" i="2"/>
  <c r="E515" i="2"/>
  <c r="D515" i="2"/>
  <c r="E514" i="2"/>
  <c r="D514" i="2"/>
  <c r="E513" i="2"/>
  <c r="D513" i="2"/>
  <c r="E512" i="2"/>
  <c r="D512" i="2"/>
  <c r="E510" i="2"/>
  <c r="D510" i="2"/>
  <c r="E509" i="2"/>
  <c r="D509" i="2"/>
  <c r="E508" i="2"/>
  <c r="D508" i="2"/>
  <c r="E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C606" i="42" l="1"/>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H178" i="42"/>
  <c r="P374" i="42"/>
  <c r="B374" i="42"/>
  <c r="F374" i="42"/>
  <c r="G27" i="42"/>
  <c r="N64" i="42"/>
  <c r="P67" i="42"/>
  <c r="Q91"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F112" i="42"/>
  <c r="C112" i="42"/>
  <c r="N112" i="42" s="1"/>
  <c r="P118" i="42"/>
  <c r="D118" i="42"/>
  <c r="D121" i="42"/>
  <c r="H143" i="42"/>
  <c r="Q145" i="42"/>
  <c r="L147"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G286" i="42"/>
  <c r="E286" i="42"/>
  <c r="I16" i="42"/>
  <c r="C25" i="42"/>
  <c r="E25" i="42" s="1"/>
  <c r="F30" i="42"/>
  <c r="C56" i="42"/>
  <c r="N56" i="42" s="1"/>
  <c r="P85" i="42"/>
  <c r="I85" i="42"/>
  <c r="P91" i="42"/>
  <c r="Q112" i="42"/>
  <c r="E131" i="42"/>
  <c r="N143" i="42"/>
  <c r="P147" i="42"/>
  <c r="I151" i="42"/>
  <c r="B169" i="42"/>
  <c r="P169" i="42"/>
  <c r="F169" i="42"/>
  <c r="I183" i="42"/>
  <c r="M183" i="42"/>
  <c r="L183" i="42"/>
  <c r="L195" i="42"/>
  <c r="P252" i="42"/>
  <c r="Q252" i="42" s="1"/>
  <c r="F252" i="42"/>
  <c r="I6" i="42"/>
  <c r="B12" i="42"/>
  <c r="E15" i="42"/>
  <c r="J16" i="42"/>
  <c r="F25" i="42"/>
  <c r="H26" i="42"/>
  <c r="I46" i="42"/>
  <c r="B46" i="42"/>
  <c r="G46" i="42" s="1"/>
  <c r="P63" i="42"/>
  <c r="I63" i="42"/>
  <c r="B63" i="42"/>
  <c r="G63" i="42" s="1"/>
  <c r="E79" i="42"/>
  <c r="C85" i="42"/>
  <c r="L97" i="42"/>
  <c r="B97" i="42"/>
  <c r="M97" i="42"/>
  <c r="N103" i="42"/>
  <c r="Q109" i="42"/>
  <c r="F109" i="42"/>
  <c r="K135" i="42"/>
  <c r="N135" i="42"/>
  <c r="J135" i="42"/>
  <c r="F160" i="42"/>
  <c r="D169" i="42"/>
  <c r="O169" i="42" s="1"/>
  <c r="P172" i="42"/>
  <c r="F172" i="42"/>
  <c r="D172" i="42"/>
  <c r="O172" i="42" s="1"/>
  <c r="B172" i="42"/>
  <c r="D179" i="42"/>
  <c r="J6" i="42"/>
  <c r="K16" i="42"/>
  <c r="G59" i="42"/>
  <c r="I79" i="42"/>
  <c r="G119" i="42"/>
  <c r="E119" i="42"/>
  <c r="D119" i="42"/>
  <c r="O119" i="42" s="1"/>
  <c r="H128" i="42"/>
  <c r="F128" i="42"/>
  <c r="K151" i="42"/>
  <c r="G151" i="42"/>
  <c r="E151" i="42"/>
  <c r="N151" i="42"/>
  <c r="N367" i="42"/>
  <c r="C367" i="42"/>
  <c r="C5" i="42"/>
  <c r="M6" i="42"/>
  <c r="B9" i="42"/>
  <c r="G15" i="42"/>
  <c r="N16" i="42"/>
  <c r="B22" i="42"/>
  <c r="H25" i="42"/>
  <c r="F28" i="42"/>
  <c r="I59" i="42"/>
  <c r="J79" i="42"/>
  <c r="M119" i="42"/>
  <c r="J151" i="42"/>
  <c r="F215" i="42"/>
  <c r="D215" i="42"/>
  <c r="O215" i="42" s="1"/>
  <c r="C215" i="42"/>
  <c r="J215" i="42" s="1"/>
  <c r="B215" i="42"/>
  <c r="L298" i="42"/>
  <c r="H298" i="42"/>
  <c r="F5" i="42"/>
  <c r="I15" i="42"/>
  <c r="B19" i="42"/>
  <c r="I25" i="42"/>
  <c r="N59" i="42"/>
  <c r="J97" i="42"/>
  <c r="C119" i="42"/>
  <c r="I119" i="42" s="1"/>
  <c r="E128" i="42"/>
  <c r="Q148" i="42"/>
  <c r="L151" i="42"/>
  <c r="P170" i="42"/>
  <c r="C170" i="42"/>
  <c r="P204" i="42"/>
  <c r="F204" i="42"/>
  <c r="N211" i="42"/>
  <c r="M211" i="42"/>
  <c r="K211" i="42"/>
  <c r="J211" i="42"/>
  <c r="H211" i="42"/>
  <c r="F211" i="42"/>
  <c r="E211" i="42"/>
  <c r="D211" i="42"/>
  <c r="O211" i="42" s="1"/>
  <c r="C211" i="42"/>
  <c r="B211" i="42"/>
  <c r="K215"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J188" i="42"/>
  <c r="F188" i="42"/>
  <c r="E188" i="42"/>
  <c r="D188" i="42"/>
  <c r="O188" i="42" s="1"/>
  <c r="C188" i="42"/>
  <c r="K188" i="42" s="1"/>
  <c r="M58" i="42"/>
  <c r="P136" i="42"/>
  <c r="F136" i="42"/>
  <c r="C136" i="42"/>
  <c r="L136" i="42" s="1"/>
  <c r="B136" i="42"/>
  <c r="N188" i="42"/>
  <c r="J27" i="42"/>
  <c r="J67" i="42"/>
  <c r="L83" i="42"/>
  <c r="P96" i="42"/>
  <c r="Q96" i="42" s="1"/>
  <c r="I96" i="42"/>
  <c r="F96" i="42"/>
  <c r="C96" i="42"/>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r="G58" i="42"/>
  <c r="B67" i="42"/>
  <c r="B96" i="42"/>
  <c r="H100" i="42"/>
  <c r="D100" i="42"/>
  <c r="B100" i="42"/>
  <c r="P100" i="42"/>
  <c r="Q100" i="42" s="1"/>
  <c r="C111" i="42"/>
  <c r="N111" i="42" s="1"/>
  <c r="J123" i="42"/>
  <c r="P139" i="42"/>
  <c r="M146" i="42"/>
  <c r="P152" i="42"/>
  <c r="B152" i="42"/>
  <c r="M205" i="42"/>
  <c r="L205" i="42"/>
  <c r="K205" i="42"/>
  <c r="D212" i="42"/>
  <c r="O212" i="42" s="1"/>
  <c r="M408" i="42"/>
  <c r="L408" i="42"/>
  <c r="K408" i="42"/>
  <c r="J408" i="42"/>
  <c r="I408" i="42"/>
  <c r="H408" i="42"/>
  <c r="Q416" i="42"/>
  <c r="H416" i="42"/>
  <c r="F416" i="42"/>
  <c r="E416" i="42"/>
  <c r="D416" i="42"/>
  <c r="O416" i="42" s="1"/>
  <c r="B416" i="42"/>
  <c r="H470" i="42"/>
  <c r="B470" i="42"/>
  <c r="F470" i="42"/>
  <c r="C470" i="42"/>
  <c r="K470" i="42"/>
  <c r="P470" i="42"/>
  <c r="N470" i="42"/>
  <c r="J470" i="42"/>
  <c r="I470" i="42"/>
  <c r="D470" i="42"/>
  <c r="O470" i="42" s="1"/>
  <c r="J82" i="42"/>
  <c r="I146" i="42"/>
  <c r="J155" i="42"/>
  <c r="H163" i="42"/>
  <c r="D173" i="42"/>
  <c r="O173" i="42" s="1"/>
  <c r="C195" i="42"/>
  <c r="J239" i="42"/>
  <c r="D255" i="42"/>
  <c r="O255" i="42" s="1"/>
  <c r="G280" i="42"/>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N155" i="42"/>
  <c r="B159" i="42"/>
  <c r="B165" i="42"/>
  <c r="F195" i="42"/>
  <c r="H195" i="42" s="1"/>
  <c r="H199" i="42"/>
  <c r="C223" i="42"/>
  <c r="D237" i="42"/>
  <c r="O237" i="42" s="1"/>
  <c r="B243" i="42"/>
  <c r="G243" i="42" s="1"/>
  <c r="E247" i="42"/>
  <c r="H255" i="42"/>
  <c r="C280" i="42"/>
  <c r="J280" i="42" s="1"/>
  <c r="I284" i="42"/>
  <c r="D429" i="42"/>
  <c r="M99" i="42"/>
  <c r="P131" i="42"/>
  <c r="D135" i="42"/>
  <c r="O135" i="42" s="1"/>
  <c r="M143" i="42"/>
  <c r="N146" i="42"/>
  <c r="C148" i="42"/>
  <c r="J148" i="42" s="1"/>
  <c r="B154" i="42"/>
  <c r="K154" i="42" s="1"/>
  <c r="C159" i="42"/>
  <c r="D165" i="42"/>
  <c r="O165" i="42" s="1"/>
  <c r="M167" i="42"/>
  <c r="N171" i="42"/>
  <c r="B181" i="42"/>
  <c r="G195" i="42"/>
  <c r="I199" i="42"/>
  <c r="N203" i="42"/>
  <c r="D220" i="42"/>
  <c r="O220" i="42" s="1"/>
  <c r="D223" i="42"/>
  <c r="O223" i="42" s="1"/>
  <c r="C225" i="42"/>
  <c r="H227" i="42"/>
  <c r="C243" i="42"/>
  <c r="I255" i="42"/>
  <c r="D280" i="42"/>
  <c r="O280" i="42" s="1"/>
  <c r="J284" i="42"/>
  <c r="D288" i="42"/>
  <c r="F293" i="42"/>
  <c r="H293" i="42" s="1"/>
  <c r="B295" i="42"/>
  <c r="C321" i="42"/>
  <c r="G408" i="42"/>
  <c r="P416" i="42"/>
  <c r="P429" i="42"/>
  <c r="E433" i="42"/>
  <c r="J255" i="42"/>
  <c r="L280" i="42"/>
  <c r="E372" i="42"/>
  <c r="P372" i="42"/>
  <c r="Q372" i="42" s="1"/>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M221" i="42" s="1"/>
  <c r="F231" i="42"/>
  <c r="C236" i="42"/>
  <c r="I236" i="42" s="1"/>
  <c r="L243" i="42"/>
  <c r="H251" i="42"/>
  <c r="L263" i="42"/>
  <c r="F273" i="42"/>
  <c r="Q276" i="42"/>
  <c r="F291" i="42"/>
  <c r="C299" i="42"/>
  <c r="P309" i="42"/>
  <c r="M309" i="42"/>
  <c r="C315" i="42"/>
  <c r="J322" i="42"/>
  <c r="I322" i="42"/>
  <c r="G322" i="42"/>
  <c r="D322" i="42"/>
  <c r="O322" i="42" s="1"/>
  <c r="F342" i="42"/>
  <c r="P355" i="42"/>
  <c r="I355" i="42"/>
  <c r="F355" i="42"/>
  <c r="H355" i="42" s="1"/>
  <c r="E355" i="42"/>
  <c r="D355" i="42"/>
  <c r="O355" i="42" s="1"/>
  <c r="B355" i="42"/>
  <c r="C388" i="42"/>
  <c r="J388" i="42" s="1"/>
  <c r="L392" i="42"/>
  <c r="M392" i="42"/>
  <c r="I392" i="42"/>
  <c r="E392" i="42"/>
  <c r="B409" i="42"/>
  <c r="I409" i="42" s="1"/>
  <c r="F409" i="42"/>
  <c r="K409" i="42"/>
  <c r="D409" i="42"/>
  <c r="M412" i="42"/>
  <c r="I412" i="42"/>
  <c r="H412" i="42"/>
  <c r="G412" i="42"/>
  <c r="E412" i="42"/>
  <c r="N412" i="42"/>
  <c r="C423" i="42"/>
  <c r="L423" i="42" s="1"/>
  <c r="Q155" i="42"/>
  <c r="C219" i="42"/>
  <c r="I251" i="42"/>
  <c r="E272" i="42"/>
  <c r="C272" i="42"/>
  <c r="K272" i="42" s="1"/>
  <c r="D315" i="42"/>
  <c r="O315" i="42" s="1"/>
  <c r="P345" i="42"/>
  <c r="I345" i="42"/>
  <c r="C345" i="42"/>
  <c r="L345" i="42" s="1"/>
  <c r="J370" i="42"/>
  <c r="K370" i="42"/>
  <c r="G370" i="42"/>
  <c r="H404" i="42"/>
  <c r="C404" i="42"/>
  <c r="N404" i="42"/>
  <c r="L404" i="42"/>
  <c r="K404" i="42"/>
  <c r="J404" i="42"/>
  <c r="I404" i="42"/>
  <c r="F404" i="42"/>
  <c r="D404" i="42"/>
  <c r="O404" i="42" s="1"/>
  <c r="C427" i="42"/>
  <c r="N427" i="42" s="1"/>
  <c r="F502" i="42"/>
  <c r="D502" i="42"/>
  <c r="O502" i="42" s="1"/>
  <c r="P502" i="42"/>
  <c r="C502" i="42"/>
  <c r="B502" i="42"/>
  <c r="K108" i="42"/>
  <c r="M135" i="42"/>
  <c r="F151" i="42"/>
  <c r="B155" i="42"/>
  <c r="B191" i="42"/>
  <c r="F200" i="42"/>
  <c r="E219" i="42"/>
  <c r="L223" i="42"/>
  <c r="E236" i="42"/>
  <c r="F246" i="42"/>
  <c r="J251" i="42"/>
  <c r="H259" i="42"/>
  <c r="F267" i="42"/>
  <c r="B272" i="42"/>
  <c r="B283" i="42"/>
  <c r="C294" i="42"/>
  <c r="F299" i="42"/>
  <c r="B312" i="42"/>
  <c r="E315" i="42"/>
  <c r="B345" i="42"/>
  <c r="E370" i="42"/>
  <c r="P388" i="42"/>
  <c r="B404" i="42"/>
  <c r="M404" i="42" s="1"/>
  <c r="E409" i="42"/>
  <c r="N423" i="42"/>
  <c r="Q107" i="42"/>
  <c r="C155" i="42"/>
  <c r="Q175" i="42"/>
  <c r="C191" i="42"/>
  <c r="B196" i="42"/>
  <c r="F210" i="42"/>
  <c r="F219" i="42"/>
  <c r="F228" i="42"/>
  <c r="F234" i="42"/>
  <c r="F236" i="42"/>
  <c r="Q244" i="42"/>
  <c r="K251" i="42"/>
  <c r="B267" i="42"/>
  <c r="M267" i="42" s="1"/>
  <c r="B269" i="42"/>
  <c r="D272" i="42"/>
  <c r="M279" i="42"/>
  <c r="B281" i="42"/>
  <c r="P287" i="42"/>
  <c r="D287" i="42"/>
  <c r="E294" i="42"/>
  <c r="E309" i="42"/>
  <c r="D312" i="42"/>
  <c r="O312" i="42" s="1"/>
  <c r="F315" i="42"/>
  <c r="C325" i="42"/>
  <c r="M325" i="42" s="1"/>
  <c r="B328" i="42"/>
  <c r="B332" i="42"/>
  <c r="M342" i="42"/>
  <c r="H370" i="42"/>
  <c r="G392" i="42"/>
  <c r="E404" i="42"/>
  <c r="P409" i="42"/>
  <c r="J412" i="42"/>
  <c r="C448" i="42"/>
  <c r="E448" i="42" s="1"/>
  <c r="B448" i="42"/>
  <c r="P448" i="42"/>
  <c r="I448" i="42"/>
  <c r="D448" i="42"/>
  <c r="L39" i="42"/>
  <c r="Q103" i="42"/>
  <c r="B107" i="42"/>
  <c r="M107" i="42" s="1"/>
  <c r="C113" i="42"/>
  <c r="N113" i="42" s="1"/>
  <c r="D155" i="42"/>
  <c r="O155" i="42" s="1"/>
  <c r="B175" i="42"/>
  <c r="F185" i="42"/>
  <c r="D191" i="42"/>
  <c r="O191" i="42" s="1"/>
  <c r="C196" i="42"/>
  <c r="E199" i="42"/>
  <c r="C200" i="42"/>
  <c r="B203" i="42"/>
  <c r="Q210" i="42"/>
  <c r="J216" i="42"/>
  <c r="L227" i="42"/>
  <c r="H236" i="42"/>
  <c r="B239" i="42"/>
  <c r="C244" i="42"/>
  <c r="L251" i="42"/>
  <c r="C264" i="42"/>
  <c r="N264" i="42" s="1"/>
  <c r="C267" i="42"/>
  <c r="P269" i="42"/>
  <c r="G272" i="42"/>
  <c r="B274" i="42"/>
  <c r="N279" i="42"/>
  <c r="B287" i="42"/>
  <c r="G294" i="42"/>
  <c r="F309" i="42"/>
  <c r="F312" i="42"/>
  <c r="Q315" i="42"/>
  <c r="M322" i="42"/>
  <c r="J325" i="42"/>
  <c r="D328" i="42"/>
  <c r="O328" i="42" s="1"/>
  <c r="F332" i="42"/>
  <c r="K335" i="42"/>
  <c r="M370" i="42"/>
  <c r="H392" i="42"/>
  <c r="G404" i="42"/>
  <c r="K412" i="42"/>
  <c r="F255" i="42"/>
  <c r="L255" i="42" s="1"/>
  <c r="G255" i="42"/>
  <c r="I294" i="42"/>
  <c r="P298" i="42"/>
  <c r="N298" i="42"/>
  <c r="M298" i="42"/>
  <c r="J298" i="42"/>
  <c r="P307" i="42"/>
  <c r="F307" i="42"/>
  <c r="N322" i="42"/>
  <c r="F328" i="42"/>
  <c r="C346" i="42"/>
  <c r="P348" i="42"/>
  <c r="B348" i="42"/>
  <c r="J392" i="42"/>
  <c r="P404" i="42"/>
  <c r="F424" i="42"/>
  <c r="P424" i="42"/>
  <c r="B424" i="42"/>
  <c r="E195" i="42"/>
  <c r="D224" i="42"/>
  <c r="O224" i="42" s="1"/>
  <c r="V228" i="42"/>
  <c r="N236" i="42"/>
  <c r="D239" i="42"/>
  <c r="O239" i="42" s="1"/>
  <c r="E244" i="42"/>
  <c r="F247" i="42"/>
  <c r="K247" i="42"/>
  <c r="B255" i="42"/>
  <c r="K255" i="42" s="1"/>
  <c r="L259" i="42"/>
  <c r="D274" i="42"/>
  <c r="O274" i="42" s="1"/>
  <c r="L284" i="42"/>
  <c r="G284" i="42"/>
  <c r="D284" i="42"/>
  <c r="P286" i="42"/>
  <c r="D286" i="42"/>
  <c r="O286" i="42" s="1"/>
  <c r="B286" i="42"/>
  <c r="I286" i="42" s="1"/>
  <c r="Q287" i="42"/>
  <c r="J294" i="42"/>
  <c r="B298" i="42"/>
  <c r="M300" i="42"/>
  <c r="C307" i="42"/>
  <c r="K309" i="42"/>
  <c r="P343" i="42"/>
  <c r="F343" i="42"/>
  <c r="C343" i="42"/>
  <c r="J343" i="42" s="1"/>
  <c r="D346" i="42"/>
  <c r="O346" i="42" s="1"/>
  <c r="D348" i="42"/>
  <c r="N392" i="42"/>
  <c r="D424" i="42"/>
  <c r="O424" i="42" s="1"/>
  <c r="D436" i="42"/>
  <c r="O436" i="42" s="1"/>
  <c r="B436" i="42"/>
  <c r="P552" i="42"/>
  <c r="F552" i="42"/>
  <c r="B552" i="42"/>
  <c r="J347"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L546" i="42"/>
  <c r="K546" i="42"/>
  <c r="F546" i="42"/>
  <c r="D546" i="42"/>
  <c r="O546" i="42" s="1"/>
  <c r="B546" i="42"/>
  <c r="C552" i="42"/>
  <c r="E552" i="42" s="1"/>
  <c r="F596" i="42"/>
  <c r="C596" i="42"/>
  <c r="L596" i="42" s="1"/>
  <c r="B596" i="42"/>
  <c r="H537" i="42"/>
  <c r="D552" i="42"/>
  <c r="O552" i="42" s="1"/>
  <c r="D561" i="42"/>
  <c r="C561" i="42"/>
  <c r="B561" i="42"/>
  <c r="L561" i="42"/>
  <c r="D675" i="42"/>
  <c r="C675" i="42"/>
  <c r="N675" i="42" s="1"/>
  <c r="L781" i="42"/>
  <c r="N781" i="42"/>
  <c r="N498" i="42"/>
  <c r="P523" i="42"/>
  <c r="F523" i="42"/>
  <c r="P555" i="42"/>
  <c r="F555" i="42"/>
  <c r="F561" i="42"/>
  <c r="D571" i="42"/>
  <c r="O571" i="42" s="1"/>
  <c r="B571" i="42"/>
  <c r="E710"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I433" i="42"/>
  <c r="E452" i="42"/>
  <c r="C452" i="42"/>
  <c r="M452" i="42" s="1"/>
  <c r="N459" i="42"/>
  <c r="M459" i="42"/>
  <c r="F459" i="42"/>
  <c r="H459" i="42" s="1"/>
  <c r="L478" i="42"/>
  <c r="P489" i="42"/>
  <c r="Q489" i="42" s="1"/>
  <c r="K506" i="42"/>
  <c r="F506" i="42"/>
  <c r="D506" i="42"/>
  <c r="O506" i="42" s="1"/>
  <c r="C506" i="42"/>
  <c r="J506" i="42" s="1"/>
  <c r="P511" i="42"/>
  <c r="Q511" i="42" s="1"/>
  <c r="H525" i="42"/>
  <c r="J532" i="42"/>
  <c r="N538" i="42"/>
  <c r="M561" i="42"/>
  <c r="H607" i="42"/>
  <c r="D476" i="42"/>
  <c r="C476" i="42"/>
  <c r="P524" i="42"/>
  <c r="G524" i="42"/>
  <c r="C524" i="42"/>
  <c r="N524" i="42" s="1"/>
  <c r="P561" i="42"/>
  <c r="D610" i="42"/>
  <c r="O610" i="42" s="1"/>
  <c r="F610" i="42"/>
  <c r="B610" i="42"/>
  <c r="P610" i="42"/>
  <c r="J610" i="42"/>
  <c r="C610" i="42"/>
  <c r="L610" i="42" s="1"/>
  <c r="L745" i="42"/>
  <c r="E745" i="42"/>
  <c r="D745" i="42"/>
  <c r="O745" i="42" s="1"/>
  <c r="N745" i="42"/>
  <c r="M745" i="42"/>
  <c r="H745" i="42"/>
  <c r="F745" i="42"/>
  <c r="J745" i="42" s="1"/>
  <c r="P745" i="42"/>
  <c r="K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I509" i="42"/>
  <c r="C509" i="42"/>
  <c r="P509" i="42"/>
  <c r="Q509" i="42" s="1"/>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L544" i="42" s="1"/>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Q364" i="42"/>
  <c r="F364" i="42"/>
  <c r="E366" i="42"/>
  <c r="J369" i="42"/>
  <c r="C375" i="42"/>
  <c r="N375" i="42" s="1"/>
  <c r="D379" i="42"/>
  <c r="O379" i="42" s="1"/>
  <c r="D384" i="42"/>
  <c r="O384" i="42" s="1"/>
  <c r="D396" i="42"/>
  <c r="O396" i="42" s="1"/>
  <c r="I417" i="42"/>
  <c r="F428" i="42"/>
  <c r="D428" i="42"/>
  <c r="O428" i="42" s="1"/>
  <c r="E456" i="42"/>
  <c r="F469" i="42"/>
  <c r="H469" i="42" s="1"/>
  <c r="D485" i="42"/>
  <c r="O485" i="42" s="1"/>
  <c r="F524" i="42"/>
  <c r="L524" i="42" s="1"/>
  <c r="L562" i="42"/>
  <c r="E562" i="42"/>
  <c r="K577" i="42"/>
  <c r="J577" i="42"/>
  <c r="F577" i="42"/>
  <c r="C577" i="42"/>
  <c r="N577" i="42" s="1"/>
  <c r="M701" i="42"/>
  <c r="K701" i="42"/>
  <c r="I701" i="42"/>
  <c r="D735" i="42"/>
  <c r="C354" i="42"/>
  <c r="J354" i="42" s="1"/>
  <c r="E368" i="42"/>
  <c r="D375" i="42"/>
  <c r="P382" i="42"/>
  <c r="Q382" i="42" s="1"/>
  <c r="E384" i="42"/>
  <c r="B425" i="42"/>
  <c r="D425" i="42"/>
  <c r="F477" i="42"/>
  <c r="B477" i="42"/>
  <c r="P485" i="42"/>
  <c r="C488" i="42"/>
  <c r="K488" i="42" s="1"/>
  <c r="F488" i="42"/>
  <c r="D488" i="42"/>
  <c r="B488" i="42"/>
  <c r="G488" i="42" s="1"/>
  <c r="N517" i="42"/>
  <c r="H517" i="42"/>
  <c r="G517" i="42"/>
  <c r="C522" i="42"/>
  <c r="M522" i="42" s="1"/>
  <c r="J524" i="42"/>
  <c r="P787" i="42"/>
  <c r="N787" i="42"/>
  <c r="C787" i="42"/>
  <c r="J787" i="42" s="1"/>
  <c r="D787" i="42"/>
  <c r="O787" i="42" s="1"/>
  <c r="Q787" i="42"/>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I577" i="42"/>
  <c r="B719" i="42"/>
  <c r="F719" i="42"/>
  <c r="D719" i="42"/>
  <c r="C347" i="42"/>
  <c r="N349" i="42"/>
  <c r="F352" i="42"/>
  <c r="D358" i="42"/>
  <c r="O358" i="42" s="1"/>
  <c r="D364" i="42"/>
  <c r="O364" i="42" s="1"/>
  <c r="M366" i="42"/>
  <c r="H368" i="42"/>
  <c r="C371" i="42"/>
  <c r="K375" i="42"/>
  <c r="N378" i="42"/>
  <c r="P378" i="42"/>
  <c r="G378" i="42"/>
  <c r="C382" i="42"/>
  <c r="J382" i="42" s="1"/>
  <c r="K392" i="42"/>
  <c r="H396" i="42"/>
  <c r="F398" i="42"/>
  <c r="I400" i="42"/>
  <c r="P410" i="42"/>
  <c r="Q410" i="42" s="1"/>
  <c r="F425" i="42"/>
  <c r="D447" i="42"/>
  <c r="P453" i="42"/>
  <c r="P467" i="42"/>
  <c r="N467" i="42"/>
  <c r="J469" i="42"/>
  <c r="P477" i="42"/>
  <c r="M494" i="42"/>
  <c r="F497" i="42"/>
  <c r="P497" i="42"/>
  <c r="B497" i="42"/>
  <c r="N512" i="42"/>
  <c r="D522" i="42"/>
  <c r="O522" i="42" s="1"/>
  <c r="H542" i="42"/>
  <c r="J542" i="42"/>
  <c r="E542" i="42"/>
  <c r="M542" i="42"/>
  <c r="K560" i="42"/>
  <c r="I560" i="42"/>
  <c r="P577" i="42"/>
  <c r="K581" i="42"/>
  <c r="I649" i="42"/>
  <c r="H263" i="42"/>
  <c r="C290" i="42"/>
  <c r="B349" i="42"/>
  <c r="P364" i="42"/>
  <c r="N366" i="42"/>
  <c r="C378" i="42"/>
  <c r="I384" i="42"/>
  <c r="L386" i="42"/>
  <c r="B392" i="42"/>
  <c r="I396" i="42"/>
  <c r="D432" i="42"/>
  <c r="O432" i="42" s="1"/>
  <c r="C447" i="42"/>
  <c r="B467" i="42"/>
  <c r="G467" i="42" s="1"/>
  <c r="K469" i="42"/>
  <c r="C497" i="42"/>
  <c r="H497" i="42" s="1"/>
  <c r="F504" i="42"/>
  <c r="B504" i="42"/>
  <c r="F522" i="42"/>
  <c r="E528" i="42"/>
  <c r="K542" i="42"/>
  <c r="I554" i="42"/>
  <c r="G570" i="42"/>
  <c r="J681" i="42"/>
  <c r="D681" i="42"/>
  <c r="O681" i="42" s="1"/>
  <c r="M681" i="42"/>
  <c r="F681" i="42"/>
  <c r="P681" i="42"/>
  <c r="H681" i="42"/>
  <c r="C681" i="42"/>
  <c r="L681" i="42" s="1"/>
  <c r="B681" i="42"/>
  <c r="L494" i="42"/>
  <c r="E494" i="42"/>
  <c r="J522" i="42"/>
  <c r="Q537" i="42"/>
  <c r="P537" i="42"/>
  <c r="I537" i="42"/>
  <c r="B537" i="42"/>
  <c r="F591" i="42"/>
  <c r="B591" i="42"/>
  <c r="M747" i="42"/>
  <c r="N747" i="42"/>
  <c r="E747" i="42"/>
  <c r="D762" i="42"/>
  <c r="O762" i="42" s="1"/>
  <c r="P762" i="42"/>
  <c r="F762" i="42"/>
  <c r="C762" i="42"/>
  <c r="N762" i="42" s="1"/>
  <c r="J762" i="42"/>
  <c r="B762" i="42"/>
  <c r="D784" i="42"/>
  <c r="O784" i="42" s="1"/>
  <c r="B784" i="42"/>
  <c r="P784" i="42"/>
  <c r="Q784" i="42" s="1"/>
  <c r="F784" i="42"/>
  <c r="H466" i="42"/>
  <c r="P466" i="42"/>
  <c r="D528" i="42"/>
  <c r="D532" i="42"/>
  <c r="G550" i="42"/>
  <c r="J550" i="42"/>
  <c r="M560" i="42"/>
  <c r="F560" i="42"/>
  <c r="H560" i="42" s="1"/>
  <c r="B618" i="42"/>
  <c r="C618" i="42"/>
  <c r="F618" i="42"/>
  <c r="L634" i="42"/>
  <c r="H634" i="42"/>
  <c r="G634" i="42"/>
  <c r="L642" i="42"/>
  <c r="D682" i="42"/>
  <c r="O682" i="42" s="1"/>
  <c r="C685" i="42"/>
  <c r="H749" i="42"/>
  <c r="C790" i="42"/>
  <c r="B790" i="42"/>
  <c r="M790" i="42"/>
  <c r="K805" i="42"/>
  <c r="C805" i="42"/>
  <c r="M805" i="42" s="1"/>
  <c r="P805" i="42"/>
  <c r="Q805" i="42"/>
  <c r="C830" i="42"/>
  <c r="B830" i="42"/>
  <c r="N830" i="42"/>
  <c r="K830" i="42"/>
  <c r="I830" i="42"/>
  <c r="E830" i="42"/>
  <c r="M830" i="42"/>
  <c r="J830" i="42"/>
  <c r="H830" i="42"/>
  <c r="G830" i="42"/>
  <c r="F830" i="42"/>
  <c r="L830" i="42" s="1"/>
  <c r="D830" i="42"/>
  <c r="O830" i="42" s="1"/>
  <c r="E630" i="42"/>
  <c r="K630" i="42"/>
  <c r="G630" i="42"/>
  <c r="N630" i="42"/>
  <c r="J630" i="42"/>
  <c r="E693" i="42"/>
  <c r="G693" i="42"/>
  <c r="B722" i="42"/>
  <c r="F722" i="42"/>
  <c r="H722" i="42" s="1"/>
  <c r="P790" i="42"/>
  <c r="E466" i="42"/>
  <c r="G474" i="42"/>
  <c r="F513" i="42"/>
  <c r="K528" i="42"/>
  <c r="N585" i="42"/>
  <c r="J585" i="42"/>
  <c r="I634" i="42"/>
  <c r="P647" i="42"/>
  <c r="Q669" i="42"/>
  <c r="B669" i="42"/>
  <c r="I672" i="42"/>
  <c r="P672" i="42"/>
  <c r="C683" i="42"/>
  <c r="M683" i="42" s="1"/>
  <c r="B683" i="42"/>
  <c r="K685" i="42"/>
  <c r="F691" i="42"/>
  <c r="H691" i="42" s="1"/>
  <c r="L691" i="42"/>
  <c r="C691" i="42"/>
  <c r="J691" i="42" s="1"/>
  <c r="I693" i="42"/>
  <c r="Q696" i="42"/>
  <c r="D722" i="42"/>
  <c r="Q722" i="42" s="1"/>
  <c r="C730" i="42"/>
  <c r="N730" i="42" s="1"/>
  <c r="J782" i="42"/>
  <c r="E782" i="42"/>
  <c r="D782" i="42"/>
  <c r="O782" i="42" s="1"/>
  <c r="N782" i="42"/>
  <c r="M782" i="42"/>
  <c r="I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P820" i="42"/>
  <c r="D820" i="42"/>
  <c r="P824" i="42"/>
  <c r="Q824" i="42" s="1"/>
  <c r="D824" i="42"/>
  <c r="O824" i="42" s="1"/>
  <c r="F824" i="42"/>
  <c r="P614" i="42"/>
  <c r="B614" i="42"/>
  <c r="C614" i="42"/>
  <c r="H622" i="42"/>
  <c r="I630" i="42"/>
  <c r="Q661" i="42"/>
  <c r="P661" i="42"/>
  <c r="D661" i="42"/>
  <c r="O661" i="42" s="1"/>
  <c r="K693" i="42"/>
  <c r="L698" i="42"/>
  <c r="F714" i="42"/>
  <c r="B714" i="42"/>
  <c r="L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Q608" i="42" s="1"/>
  <c r="D614" i="42"/>
  <c r="O614" i="42" s="1"/>
  <c r="L630" i="42"/>
  <c r="G635"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G542" i="42"/>
  <c r="B542" i="42"/>
  <c r="F614" i="42"/>
  <c r="P617" i="42"/>
  <c r="B626" i="42"/>
  <c r="M626" i="42"/>
  <c r="C626" i="42"/>
  <c r="L626" i="42" s="1"/>
  <c r="F626" i="42"/>
  <c r="M630" i="42"/>
  <c r="E638" i="42"/>
  <c r="L644" i="42"/>
  <c r="C644" i="42"/>
  <c r="K644" i="42" s="1"/>
  <c r="E650" i="42"/>
  <c r="C661" i="42"/>
  <c r="N661" i="42" s="1"/>
  <c r="F666" i="42"/>
  <c r="F672" i="42"/>
  <c r="D674" i="42"/>
  <c r="O674" i="42" s="1"/>
  <c r="E674" i="42"/>
  <c r="F689" i="42"/>
  <c r="H689" i="42" s="1"/>
  <c r="N693" i="42"/>
  <c r="D714" i="42"/>
  <c r="O714" i="42" s="1"/>
  <c r="I721" i="42"/>
  <c r="G721" i="42"/>
  <c r="N721" i="42"/>
  <c r="Q729" i="42"/>
  <c r="C729" i="42"/>
  <c r="M729" i="42"/>
  <c r="L729" i="42"/>
  <c r="F729" i="42"/>
  <c r="H729" i="42" s="1"/>
  <c r="C733" i="42"/>
  <c r="N733" i="42" s="1"/>
  <c r="B748" i="42"/>
  <c r="P761" i="42"/>
  <c r="F761" i="42"/>
  <c r="C761" i="42"/>
  <c r="D763" i="42"/>
  <c r="P763" i="42"/>
  <c r="J763" i="42"/>
  <c r="F763" i="42"/>
  <c r="K763" i="42"/>
  <c r="I763" i="42"/>
  <c r="C763" i="42"/>
  <c r="P782" i="42"/>
  <c r="Q782" i="42" s="1"/>
  <c r="D796" i="42"/>
  <c r="F796" i="42"/>
  <c r="B796" i="42"/>
  <c r="M633" i="42"/>
  <c r="N633" i="42"/>
  <c r="B658" i="42"/>
  <c r="D658" i="42"/>
  <c r="O658" i="42" s="1"/>
  <c r="F661" i="42"/>
  <c r="P666" i="42"/>
  <c r="F697" i="42"/>
  <c r="P697" i="42"/>
  <c r="J697" i="42"/>
  <c r="M697" i="42"/>
  <c r="D697" i="42"/>
  <c r="O697" i="42" s="1"/>
  <c r="F748" i="42"/>
  <c r="B754" i="42"/>
  <c r="B758" i="42"/>
  <c r="D758" i="42"/>
  <c r="O758" i="42" s="1"/>
  <c r="F758" i="42"/>
  <c r="B761" i="42"/>
  <c r="B763" i="42"/>
  <c r="F770" i="42"/>
  <c r="P770" i="42"/>
  <c r="Q770" i="42" s="1"/>
  <c r="B770" i="42"/>
  <c r="P796" i="42"/>
  <c r="G369"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J661" i="42"/>
  <c r="Q672" i="42"/>
  <c r="B697" i="42"/>
  <c r="M705" i="42"/>
  <c r="P718" i="42"/>
  <c r="B718" i="42"/>
  <c r="E721" i="42"/>
  <c r="D729" i="42"/>
  <c r="O729" i="42" s="1"/>
  <c r="P733" i="42"/>
  <c r="C758" i="42"/>
  <c r="H761" i="42"/>
  <c r="G763" i="42"/>
  <c r="C770" i="42"/>
  <c r="G770" i="42" s="1"/>
  <c r="C777" i="42"/>
  <c r="I777" i="42" s="1"/>
  <c r="M777" i="42"/>
  <c r="D800" i="42"/>
  <c r="O800" i="42" s="1"/>
  <c r="Q800" i="42"/>
  <c r="P800" i="42"/>
  <c r="F800" i="42"/>
  <c r="B800" i="42"/>
  <c r="Q565" i="42"/>
  <c r="C581" i="42"/>
  <c r="B581" i="42"/>
  <c r="C594" i="42"/>
  <c r="L633" i="42"/>
  <c r="F658" i="42"/>
  <c r="P677" i="42"/>
  <c r="B677" i="42"/>
  <c r="C677" i="42"/>
  <c r="M677" i="42" s="1"/>
  <c r="M709" i="42"/>
  <c r="E709" i="42"/>
  <c r="K709" i="42"/>
  <c r="C711" i="42"/>
  <c r="K711" i="42" s="1"/>
  <c r="P711" i="42"/>
  <c r="D711" i="42"/>
  <c r="K494" i="42"/>
  <c r="F512" i="42"/>
  <c r="F538" i="42"/>
  <c r="L538" i="42" s="1"/>
  <c r="F542" i="42"/>
  <c r="L542" i="42" s="1"/>
  <c r="M578" i="42"/>
  <c r="C578" i="42"/>
  <c r="B594" i="42"/>
  <c r="B597" i="42"/>
  <c r="B611" i="42"/>
  <c r="K626" i="42"/>
  <c r="E642" i="42"/>
  <c r="P644" i="42"/>
  <c r="Q644" i="42" s="1"/>
  <c r="P658" i="42"/>
  <c r="D677" i="42"/>
  <c r="O677" i="42" s="1"/>
  <c r="H697" i="42"/>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K677" i="42"/>
  <c r="E685" i="42"/>
  <c r="M685" i="42"/>
  <c r="I685" i="42"/>
  <c r="C690" i="42"/>
  <c r="N690" i="42" s="1"/>
  <c r="N697" i="42"/>
  <c r="I709" i="42"/>
  <c r="K797" i="42"/>
  <c r="N797" i="42"/>
  <c r="G797" i="42"/>
  <c r="Q607" i="42"/>
  <c r="I607" i="42"/>
  <c r="N698" i="42"/>
  <c r="B698" i="42"/>
  <c r="D701" i="42"/>
  <c r="O701" i="42" s="1"/>
  <c r="P701" i="42"/>
  <c r="G701" i="42"/>
  <c r="C713" i="42"/>
  <c r="L713" i="42"/>
  <c r="E713" i="42"/>
  <c r="J721" i="42"/>
  <c r="C725" i="42"/>
  <c r="J725" i="42" s="1"/>
  <c r="P725" i="42"/>
  <c r="E725" i="42"/>
  <c r="C741" i="42"/>
  <c r="L741" i="42"/>
  <c r="F741" i="42"/>
  <c r="P829" i="42"/>
  <c r="B829" i="42"/>
  <c r="L841" i="42"/>
  <c r="G841" i="42"/>
  <c r="Q841" i="42"/>
  <c r="K785" i="42"/>
  <c r="G793" i="42"/>
  <c r="N795" i="42"/>
  <c r="N818"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D709" i="42"/>
  <c r="O709" i="42" s="1"/>
  <c r="J709" i="42"/>
  <c r="F709" i="42"/>
  <c r="N709" i="42" s="1"/>
  <c r="F739" i="42"/>
  <c r="C753" i="42"/>
  <c r="K765" i="42"/>
  <c r="D772" i="42"/>
  <c r="B772" i="42"/>
  <c r="B778" i="42"/>
  <c r="C798" i="42"/>
  <c r="J798" i="42" s="1"/>
  <c r="P803" i="42"/>
  <c r="D834" i="42"/>
  <c r="O834" i="42" s="1"/>
  <c r="F836" i="42"/>
  <c r="B839" i="42"/>
  <c r="N842" i="42"/>
  <c r="B846" i="42"/>
  <c r="M846" i="42" s="1"/>
  <c r="N801" i="42"/>
  <c r="P828" i="42"/>
  <c r="Q828" i="42" s="1"/>
  <c r="B828" i="42"/>
  <c r="C828" i="42"/>
  <c r="G846" i="42"/>
  <c r="B849" i="42"/>
  <c r="C616" i="42"/>
  <c r="B633" i="42"/>
  <c r="P633" i="42"/>
  <c r="Q633" i="42" s="1"/>
  <c r="G633" i="42"/>
  <c r="F693" i="42"/>
  <c r="L693" i="42" s="1"/>
  <c r="H693" i="42"/>
  <c r="C695" i="42"/>
  <c r="L695" i="42" s="1"/>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G828" i="42"/>
  <c r="B831" i="42"/>
  <c r="P834" i="42"/>
  <c r="F831" i="42"/>
  <c r="P846" i="42"/>
  <c r="G850" i="42"/>
  <c r="C850" i="42"/>
  <c r="N850" i="42" s="1"/>
  <c r="B850" i="42"/>
  <c r="P850" i="42"/>
  <c r="J850" i="42"/>
  <c r="P634" i="42"/>
  <c r="D654" i="42"/>
  <c r="O654" i="42" s="1"/>
  <c r="F788" i="42"/>
  <c r="F792" i="42"/>
  <c r="C794" i="42"/>
  <c r="P797" i="42"/>
  <c r="Q823" i="42"/>
  <c r="C826" i="42"/>
  <c r="P853" i="42"/>
  <c r="N632" i="42"/>
  <c r="M826" i="42"/>
  <c r="Q826" i="42"/>
  <c r="F638" i="42"/>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436" i="42"/>
  <c r="Q149" i="42"/>
  <c r="Q572"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Q683"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Q21" i="42" s="1"/>
  <c r="D32" i="42"/>
  <c r="O32" i="42" s="1"/>
  <c r="D33" i="42"/>
  <c r="O33" i="42" s="1"/>
  <c r="P33" i="42"/>
  <c r="Q33" i="42" s="1"/>
  <c r="P34" i="42"/>
  <c r="D34" i="42"/>
  <c r="P35" i="42"/>
  <c r="P38" i="42"/>
  <c r="D38" i="42"/>
  <c r="Q38" i="42" s="1"/>
  <c r="D53" i="42"/>
  <c r="O53" i="42" s="1"/>
  <c r="C53" i="42"/>
  <c r="I53" i="42" s="1"/>
  <c r="P53" i="42"/>
  <c r="H53" i="42"/>
  <c r="K5" i="42"/>
  <c r="E9" i="42"/>
  <c r="C10" i="42"/>
  <c r="H10" i="42" s="1"/>
  <c r="I17" i="42"/>
  <c r="E19" i="42"/>
  <c r="C20" i="42"/>
  <c r="J20" i="42" s="1"/>
  <c r="B21" i="42"/>
  <c r="G21" i="42" s="1"/>
  <c r="P22" i="42"/>
  <c r="Q22" i="42" s="1"/>
  <c r="G29" i="42"/>
  <c r="E30" i="42"/>
  <c r="C31" i="42"/>
  <c r="B32" i="42"/>
  <c r="B33" i="42"/>
  <c r="B34" i="42"/>
  <c r="B35" i="42"/>
  <c r="G35" i="42" s="1"/>
  <c r="D36" i="42"/>
  <c r="O36" i="42" s="1"/>
  <c r="D37" i="42"/>
  <c r="O37" i="42" s="1"/>
  <c r="P37" i="42"/>
  <c r="B38" i="42"/>
  <c r="C40" i="42"/>
  <c r="E41" i="42"/>
  <c r="G42" i="42"/>
  <c r="G44" i="42"/>
  <c r="B53" i="42"/>
  <c r="K53" i="42" s="1"/>
  <c r="F54" i="42"/>
  <c r="I56" i="42"/>
  <c r="D61" i="42"/>
  <c r="O61" i="42" s="1"/>
  <c r="C61" i="42"/>
  <c r="B61" i="42"/>
  <c r="P61" i="42"/>
  <c r="Q61" i="42" s="1"/>
  <c r="F62" i="42"/>
  <c r="J75" i="42"/>
  <c r="G75" i="42"/>
  <c r="B78" i="42"/>
  <c r="I78" i="42" s="1"/>
  <c r="K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C33" i="42"/>
  <c r="C34" i="42"/>
  <c r="C35" i="42"/>
  <c r="C38" i="42"/>
  <c r="F41" i="42"/>
  <c r="L41" i="42" s="1"/>
  <c r="H42" i="42"/>
  <c r="G43" i="42"/>
  <c r="I44" i="42"/>
  <c r="L51" i="42"/>
  <c r="H52" i="42"/>
  <c r="G52" i="42"/>
  <c r="D52" i="42"/>
  <c r="M52" i="42"/>
  <c r="L52" i="42"/>
  <c r="E53" i="42"/>
  <c r="G54" i="42"/>
  <c r="G55" i="42"/>
  <c r="J56" i="42"/>
  <c r="G62" i="42"/>
  <c r="J71" i="42"/>
  <c r="G71" i="42"/>
  <c r="P76" i="42"/>
  <c r="F78" i="42"/>
  <c r="J78" i="42" s="1"/>
  <c r="K79" i="42"/>
  <c r="C84" i="42"/>
  <c r="I84" i="42"/>
  <c r="D84" i="42"/>
  <c r="O84" i="42" s="1"/>
  <c r="B84" i="42"/>
  <c r="P180" i="42"/>
  <c r="H180" i="42"/>
  <c r="F180" i="42"/>
  <c r="M180" i="42"/>
  <c r="D180" i="42"/>
  <c r="O180" i="42" s="1"/>
  <c r="C180" i="42"/>
  <c r="I180" i="42" s="1"/>
  <c r="B180" i="42"/>
  <c r="P2" i="42"/>
  <c r="Q2" i="42" s="1"/>
  <c r="M5" i="42"/>
  <c r="K6" i="42"/>
  <c r="I8" i="42"/>
  <c r="G9" i="42"/>
  <c r="E10" i="42"/>
  <c r="C11" i="42"/>
  <c r="D12" i="42"/>
  <c r="O12" i="42" s="1"/>
  <c r="V13" i="42"/>
  <c r="K17" i="42"/>
  <c r="G19" i="42"/>
  <c r="F20" i="42"/>
  <c r="C22" i="42"/>
  <c r="I22" i="42" s="1"/>
  <c r="M27" i="42"/>
  <c r="I29" i="42"/>
  <c r="G30" i="42"/>
  <c r="E32" i="42"/>
  <c r="E33" i="42"/>
  <c r="D35" i="42"/>
  <c r="O35" i="42" s="1"/>
  <c r="C36" i="42"/>
  <c r="E36" i="42" s="1"/>
  <c r="C37" i="42"/>
  <c r="F38" i="42"/>
  <c r="E39" i="42"/>
  <c r="F40" i="42"/>
  <c r="G41" i="42"/>
  <c r="I42" i="42"/>
  <c r="I43" i="42"/>
  <c r="J44" i="42"/>
  <c r="M46" i="42"/>
  <c r="B52" i="42"/>
  <c r="F53" i="42"/>
  <c r="H54" i="42"/>
  <c r="I55" i="42"/>
  <c r="V58" i="42"/>
  <c r="F61" i="42"/>
  <c r="H62"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H60" i="42"/>
  <c r="F60" i="42"/>
  <c r="D60" i="42"/>
  <c r="O60" i="42" s="1"/>
  <c r="P74" i="42"/>
  <c r="D74" i="42"/>
  <c r="O74" i="42" s="1"/>
  <c r="M92" i="42"/>
  <c r="F92" i="42"/>
  <c r="K92" i="42"/>
  <c r="H92" i="42"/>
  <c r="P92" i="42"/>
  <c r="C2" i="42"/>
  <c r="L3" i="42"/>
  <c r="N6" i="42"/>
  <c r="K8" i="42"/>
  <c r="I9" i="42"/>
  <c r="G10" i="42"/>
  <c r="C12" i="42"/>
  <c r="E12" i="42" s="1"/>
  <c r="B13" i="42"/>
  <c r="P14" i="42"/>
  <c r="Q14" i="42" s="1"/>
  <c r="L14" i="42"/>
  <c r="M17" i="42"/>
  <c r="J19" i="42"/>
  <c r="E22" i="42"/>
  <c r="C23" i="42"/>
  <c r="L23" i="42" s="1"/>
  <c r="D24" i="42"/>
  <c r="O24" i="42" s="1"/>
  <c r="K29" i="42"/>
  <c r="I30" i="42"/>
  <c r="G32" i="42"/>
  <c r="F35" i="42"/>
  <c r="F36" i="42"/>
  <c r="L36" i="42" s="1"/>
  <c r="F37" i="42"/>
  <c r="L37" i="42" s="1"/>
  <c r="G39" i="42"/>
  <c r="I40" i="42"/>
  <c r="K41" i="42"/>
  <c r="K43" i="42"/>
  <c r="N44" i="42"/>
  <c r="B50" i="42"/>
  <c r="E52" i="42"/>
  <c r="J53" i="42"/>
  <c r="J54" i="42"/>
  <c r="M55" i="42"/>
  <c r="L59" i="42"/>
  <c r="B60" i="42"/>
  <c r="J62" i="42"/>
  <c r="C66" i="42"/>
  <c r="J66" i="42" s="1"/>
  <c r="G67" i="42"/>
  <c r="P70" i="42"/>
  <c r="N70" i="42"/>
  <c r="L70" i="42"/>
  <c r="K70" i="42"/>
  <c r="J70" i="42"/>
  <c r="E70" i="42"/>
  <c r="D70" i="42"/>
  <c r="O70" i="42" s="1"/>
  <c r="P72" i="42"/>
  <c r="B74" i="42"/>
  <c r="I75" i="42"/>
  <c r="L78" i="42"/>
  <c r="I87" i="42"/>
  <c r="B92" i="42"/>
  <c r="O96" i="42"/>
  <c r="E98" i="42"/>
  <c r="D98" i="42"/>
  <c r="O98" i="42" s="1"/>
  <c r="F98" i="42"/>
  <c r="C98" i="42"/>
  <c r="N98" i="42" s="1"/>
  <c r="B98" i="42"/>
  <c r="P98" i="42"/>
  <c r="D2" i="42"/>
  <c r="B3" i="42"/>
  <c r="V4" i="42"/>
  <c r="O6" i="42"/>
  <c r="L8" i="42"/>
  <c r="J9" i="42"/>
  <c r="F11" i="42"/>
  <c r="C13" i="42"/>
  <c r="B14" i="42"/>
  <c r="P16" i="42"/>
  <c r="Q16" i="42" s="1"/>
  <c r="N17" i="42"/>
  <c r="K19" i="42"/>
  <c r="H21" i="42"/>
  <c r="F22" i="42"/>
  <c r="D23" i="42"/>
  <c r="O23" i="42" s="1"/>
  <c r="B24" i="42"/>
  <c r="D25" i="42"/>
  <c r="O25" i="42" s="1"/>
  <c r="P25" i="42"/>
  <c r="P27" i="42"/>
  <c r="Q27" i="42" s="1"/>
  <c r="L29" i="42"/>
  <c r="J30" i="42"/>
  <c r="G36" i="42"/>
  <c r="G37" i="42"/>
  <c r="I39" i="42"/>
  <c r="M42" i="42"/>
  <c r="M43" i="42"/>
  <c r="V46" i="42"/>
  <c r="D49" i="42"/>
  <c r="O49" i="42" s="1"/>
  <c r="C49" i="42"/>
  <c r="I49" i="42" s="1"/>
  <c r="P49" i="42"/>
  <c r="C50" i="42"/>
  <c r="J50" i="42" s="1"/>
  <c r="E51" i="42"/>
  <c r="F52" i="42"/>
  <c r="K54" i="42"/>
  <c r="N55" i="42"/>
  <c r="P56" i="42"/>
  <c r="C60" i="42"/>
  <c r="K62" i="42"/>
  <c r="F66" i="42"/>
  <c r="I67" i="42"/>
  <c r="P68" i="42"/>
  <c r="B70" i="42"/>
  <c r="G70" i="42" s="1"/>
  <c r="I71" i="42"/>
  <c r="C74" i="42"/>
  <c r="M75" i="42"/>
  <c r="L77" i="42"/>
  <c r="M84" i="42"/>
  <c r="B86" i="42"/>
  <c r="K86" i="42"/>
  <c r="D86" i="42"/>
  <c r="O86" i="42" s="1"/>
  <c r="C86" i="42"/>
  <c r="P86" i="42"/>
  <c r="J86" i="42"/>
  <c r="J87" i="42"/>
  <c r="C92" i="42"/>
  <c r="E92" i="42" s="1"/>
  <c r="E94" i="42"/>
  <c r="H94" i="42"/>
  <c r="L94" i="42"/>
  <c r="K94" i="42"/>
  <c r="J94" i="42"/>
  <c r="G94" i="42"/>
  <c r="F94" i="42"/>
  <c r="D94" i="42"/>
  <c r="O94" i="42" s="1"/>
  <c r="P94" i="42"/>
  <c r="N94" i="42"/>
  <c r="G98" i="42"/>
  <c r="C3" i="42"/>
  <c r="H3" i="42" s="1"/>
  <c r="H4" i="42"/>
  <c r="D4" i="42"/>
  <c r="O4" i="42" s="1"/>
  <c r="V5" i="42"/>
  <c r="O7" i="42"/>
  <c r="M8" i="42"/>
  <c r="K9" i="42"/>
  <c r="I10" i="42"/>
  <c r="F12" i="42"/>
  <c r="C14" i="42"/>
  <c r="L15" i="42"/>
  <c r="H15" i="42"/>
  <c r="M19" i="42"/>
  <c r="I21" i="42"/>
  <c r="E23" i="42"/>
  <c r="C24" i="42"/>
  <c r="P26" i="42"/>
  <c r="Q26" i="42" s="1"/>
  <c r="L26" i="42"/>
  <c r="K30" i="42"/>
  <c r="J32" i="42"/>
  <c r="J33" i="42"/>
  <c r="J39" i="42"/>
  <c r="K40" i="42"/>
  <c r="M41" i="42"/>
  <c r="N42" i="42"/>
  <c r="P44" i="42"/>
  <c r="Q44" i="42" s="1"/>
  <c r="F50" i="42"/>
  <c r="I52" i="42"/>
  <c r="M54" i="42"/>
  <c r="K59" i="42"/>
  <c r="J59" i="42"/>
  <c r="L61" i="42"/>
  <c r="M62" i="42"/>
  <c r="D65" i="42"/>
  <c r="O65" i="42" s="1"/>
  <c r="C65" i="42"/>
  <c r="N65" i="42" s="1"/>
  <c r="B65" i="42"/>
  <c r="P65" i="42"/>
  <c r="I65" i="42"/>
  <c r="H65" i="42"/>
  <c r="G66" i="42"/>
  <c r="M67" i="42"/>
  <c r="M71" i="42"/>
  <c r="F74" i="42"/>
  <c r="N78" i="42"/>
  <c r="P84" i="42"/>
  <c r="Q84" i="42" s="1"/>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7" i="42"/>
  <c r="K39" i="42"/>
  <c r="N41" i="42"/>
  <c r="L47" i="42"/>
  <c r="H48" i="42"/>
  <c r="G48" i="42"/>
  <c r="D48" i="42"/>
  <c r="O48" i="42" s="1"/>
  <c r="M48" i="42"/>
  <c r="L48" i="42"/>
  <c r="G51" i="42"/>
  <c r="J52" i="42"/>
  <c r="M53" i="42"/>
  <c r="N54" i="42"/>
  <c r="P58" i="42"/>
  <c r="Q58" i="42" s="1"/>
  <c r="N58" i="42"/>
  <c r="L58" i="42"/>
  <c r="E58" i="42"/>
  <c r="D58" i="42"/>
  <c r="O58" i="42" s="1"/>
  <c r="I60" i="42"/>
  <c r="N67" i="42"/>
  <c r="F70" i="42"/>
  <c r="H70" i="42" s="1"/>
  <c r="N71" i="42"/>
  <c r="Q75" i="42"/>
  <c r="O78" i="42"/>
  <c r="C80" i="42"/>
  <c r="L80" i="42" s="1"/>
  <c r="P80" i="42"/>
  <c r="Q80" i="42" s="1"/>
  <c r="N80" i="42"/>
  <c r="F80" i="42"/>
  <c r="E80" i="42"/>
  <c r="L81" i="42"/>
  <c r="N83" i="42"/>
  <c r="G83" i="42"/>
  <c r="K83" i="42"/>
  <c r="J83" i="42"/>
  <c r="I83" i="42"/>
  <c r="F83" i="42"/>
  <c r="H83" i="42" s="1"/>
  <c r="E83" i="42"/>
  <c r="D83" i="42"/>
  <c r="O83" i="42" s="1"/>
  <c r="P83" i="42"/>
  <c r="L87" i="42"/>
  <c r="D89" i="42"/>
  <c r="O89" i="42" s="1"/>
  <c r="I92" i="42"/>
  <c r="E3" i="42"/>
  <c r="B5" i="42"/>
  <c r="P6" i="42"/>
  <c r="Q6" i="42" s="1"/>
  <c r="L6" i="42"/>
  <c r="M9" i="42"/>
  <c r="E14" i="42"/>
  <c r="H16" i="42"/>
  <c r="D16" i="42"/>
  <c r="O16" i="42" s="1"/>
  <c r="V17" i="42"/>
  <c r="K21" i="42"/>
  <c r="G23" i="42"/>
  <c r="F24" i="42"/>
  <c r="L27" i="42"/>
  <c r="H27" i="42"/>
  <c r="M32" i="42"/>
  <c r="L33" i="42"/>
  <c r="K36" i="42"/>
  <c r="M39" i="42"/>
  <c r="V44" i="42"/>
  <c r="B48" i="42"/>
  <c r="I48" i="42" s="1"/>
  <c r="I51" i="42"/>
  <c r="K52" i="42"/>
  <c r="N53" i="42"/>
  <c r="B58" i="42"/>
  <c r="I58" i="42" s="1"/>
  <c r="N61" i="42"/>
  <c r="V62" i="42"/>
  <c r="D73" i="42"/>
  <c r="O73" i="42" s="1"/>
  <c r="C73" i="42"/>
  <c r="B73" i="42"/>
  <c r="P73" i="42"/>
  <c r="Q73" i="42" s="1"/>
  <c r="N73" i="42"/>
  <c r="I73" i="42"/>
  <c r="Q81" i="42"/>
  <c r="V95" i="42"/>
  <c r="M10" i="42"/>
  <c r="D17" i="42"/>
  <c r="O17" i="42" s="1"/>
  <c r="P17" i="42"/>
  <c r="L21" i="42"/>
  <c r="V28" i="42"/>
  <c r="M35" i="42"/>
  <c r="M36" i="42"/>
  <c r="M37" i="42"/>
  <c r="P40" i="42"/>
  <c r="P46" i="42"/>
  <c r="L46" i="42"/>
  <c r="E46" i="42"/>
  <c r="D46" i="42"/>
  <c r="O46" i="42" s="1"/>
  <c r="J51" i="42"/>
  <c r="N52" i="42"/>
  <c r="D57" i="42"/>
  <c r="O57" i="42" s="1"/>
  <c r="C57" i="42"/>
  <c r="J57" i="42" s="1"/>
  <c r="P57" i="42"/>
  <c r="K60" i="42"/>
  <c r="H64" i="42"/>
  <c r="G64" i="42"/>
  <c r="F64" i="42"/>
  <c r="L64" i="42" s="1"/>
  <c r="D64" i="42"/>
  <c r="M64" i="42"/>
  <c r="K66" i="42"/>
  <c r="D69" i="42"/>
  <c r="O69" i="42" s="1"/>
  <c r="C69" i="42"/>
  <c r="G69" i="42" s="1"/>
  <c r="B69" i="42"/>
  <c r="P69" i="42"/>
  <c r="N69" i="42"/>
  <c r="I69" i="42"/>
  <c r="V81" i="42"/>
  <c r="B101" i="42"/>
  <c r="L101" i="42"/>
  <c r="P101" i="42"/>
  <c r="F101" i="42"/>
  <c r="C101" i="42"/>
  <c r="G101" i="42" s="1"/>
  <c r="H110" i="42"/>
  <c r="F110" i="42"/>
  <c r="N110" i="42" s="1"/>
  <c r="L110" i="42"/>
  <c r="M110" i="42"/>
  <c r="K110" i="42"/>
  <c r="J110" i="42"/>
  <c r="I110" i="42"/>
  <c r="G110" i="42"/>
  <c r="D110" i="42"/>
  <c r="O110" i="42" s="1"/>
  <c r="C110" i="42"/>
  <c r="E110" i="42" s="1"/>
  <c r="B110" i="42"/>
  <c r="P110" i="42"/>
  <c r="E5" i="42"/>
  <c r="M11" i="42"/>
  <c r="B17" i="42"/>
  <c r="G17" i="42" s="1"/>
  <c r="P18" i="42"/>
  <c r="Q18" i="42" s="1"/>
  <c r="L18" i="42"/>
  <c r="M21" i="42"/>
  <c r="K22" i="42"/>
  <c r="D28" i="42"/>
  <c r="O28" i="42" s="1"/>
  <c r="V29" i="42"/>
  <c r="N33" i="42"/>
  <c r="N34" i="42"/>
  <c r="N35" i="42"/>
  <c r="N36" i="42"/>
  <c r="V41" i="42"/>
  <c r="D45" i="42"/>
  <c r="O45" i="42" s="1"/>
  <c r="P45" i="42"/>
  <c r="Q45" i="42" s="1"/>
  <c r="E48" i="42"/>
  <c r="M51" i="42"/>
  <c r="B57" i="42"/>
  <c r="F58" i="42"/>
  <c r="J58" i="42" s="1"/>
  <c r="N60" i="42"/>
  <c r="L63" i="42"/>
  <c r="B64" i="42"/>
  <c r="K64" i="42" s="1"/>
  <c r="M66" i="42"/>
  <c r="E69" i="42"/>
  <c r="L85" i="42"/>
  <c r="I91" i="42"/>
  <c r="N91" i="42"/>
  <c r="M91" i="42"/>
  <c r="L91" i="42"/>
  <c r="J91" i="42"/>
  <c r="H91" i="42"/>
  <c r="G91" i="42"/>
  <c r="D101" i="42"/>
  <c r="O101" i="42" s="1"/>
  <c r="K139" i="42"/>
  <c r="N139" i="42"/>
  <c r="M139" i="42"/>
  <c r="I139" i="42"/>
  <c r="G139" i="42"/>
  <c r="E139" i="42"/>
  <c r="L139" i="42"/>
  <c r="J139" i="42"/>
  <c r="H139" i="42"/>
  <c r="P20" i="42"/>
  <c r="N21" i="42"/>
  <c r="D29" i="42"/>
  <c r="O29" i="42" s="1"/>
  <c r="P29" i="42"/>
  <c r="Q29" i="42" s="1"/>
  <c r="P32" i="42"/>
  <c r="L43" i="42"/>
  <c r="H44" i="42"/>
  <c r="D44" i="42"/>
  <c r="O44" i="42" s="1"/>
  <c r="L44" i="42"/>
  <c r="K50" i="42"/>
  <c r="N51" i="42"/>
  <c r="P52" i="42"/>
  <c r="L55" i="42"/>
  <c r="H56" i="42"/>
  <c r="G56" i="42"/>
  <c r="D56" i="42"/>
  <c r="O56" i="42" s="1"/>
  <c r="M56" i="42"/>
  <c r="L56" i="42"/>
  <c r="Q74" i="42"/>
  <c r="J76" i="42"/>
  <c r="D76" i="42"/>
  <c r="O76" i="42" s="1"/>
  <c r="C76" i="42"/>
  <c r="M79" i="42"/>
  <c r="H79" i="42"/>
  <c r="C116" i="42"/>
  <c r="I116" i="42" s="1"/>
  <c r="F116" i="42"/>
  <c r="D116" i="42"/>
  <c r="O116" i="42" s="1"/>
  <c r="B116" i="42"/>
  <c r="G5" i="42"/>
  <c r="C7" i="42"/>
  <c r="N7" i="42" s="1"/>
  <c r="H8" i="42"/>
  <c r="D8" i="42"/>
  <c r="O8" i="42" s="1"/>
  <c r="V9" i="42"/>
  <c r="O11" i="42"/>
  <c r="M12" i="42"/>
  <c r="E17" i="42"/>
  <c r="C18" i="42"/>
  <c r="L19" i="42"/>
  <c r="H19" i="42"/>
  <c r="O21" i="42"/>
  <c r="N22" i="42"/>
  <c r="M23" i="42"/>
  <c r="C28" i="42"/>
  <c r="M28" i="42" s="1"/>
  <c r="B29" i="42"/>
  <c r="M29" i="42" s="1"/>
  <c r="P30" i="42"/>
  <c r="Q30" i="42" s="1"/>
  <c r="L30" i="42"/>
  <c r="Q35" i="42"/>
  <c r="P36" i="42"/>
  <c r="Q36" i="42" s="1"/>
  <c r="Q37" i="42"/>
  <c r="V38" i="42"/>
  <c r="P42" i="42"/>
  <c r="L42" i="42"/>
  <c r="E42" i="42"/>
  <c r="D42" i="42"/>
  <c r="O42" i="42" s="1"/>
  <c r="B44" i="42"/>
  <c r="M44" i="42" s="1"/>
  <c r="C45" i="42"/>
  <c r="L45" i="42" s="1"/>
  <c r="F46" i="42"/>
  <c r="H46" i="42" s="1"/>
  <c r="M50" i="42"/>
  <c r="B56" i="42"/>
  <c r="K56" i="42" s="1"/>
  <c r="F57" i="42"/>
  <c r="P60" i="42"/>
  <c r="Q60" i="42" s="1"/>
  <c r="E64" i="42"/>
  <c r="V66" i="42"/>
  <c r="B76" i="42"/>
  <c r="I80" i="42"/>
  <c r="L82" i="42"/>
  <c r="H82" i="42"/>
  <c r="G82" i="42"/>
  <c r="M83" i="42"/>
  <c r="J88" i="42"/>
  <c r="C88" i="42"/>
  <c r="N88" i="42" s="1"/>
  <c r="P88" i="42"/>
  <c r="Q88" i="42" s="1"/>
  <c r="M88" i="42"/>
  <c r="F88" i="42"/>
  <c r="B88" i="42"/>
  <c r="E91" i="42"/>
  <c r="H101" i="42"/>
  <c r="D114" i="42"/>
  <c r="O114" i="42" s="1"/>
  <c r="P114" i="42"/>
  <c r="Q114" i="42" s="1"/>
  <c r="F114" i="42"/>
  <c r="C114" i="42"/>
  <c r="B114" i="42"/>
  <c r="P116" i="42"/>
  <c r="V126" i="42"/>
  <c r="D9" i="42"/>
  <c r="O9" i="42" s="1"/>
  <c r="P9" i="42"/>
  <c r="Q9" i="42" s="1"/>
  <c r="V20" i="42"/>
  <c r="V32" i="42"/>
  <c r="V33" i="42"/>
  <c r="V34" i="42"/>
  <c r="V37" i="42"/>
  <c r="D41" i="42"/>
  <c r="Q41" i="42" s="1"/>
  <c r="P41" i="42"/>
  <c r="I41" i="42"/>
  <c r="H41" i="42"/>
  <c r="P54" i="42"/>
  <c r="Q54" i="42" s="1"/>
  <c r="L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J101" i="42"/>
  <c r="P10" i="42"/>
  <c r="Q10" i="42" s="1"/>
  <c r="L10" i="42"/>
  <c r="H20" i="42"/>
  <c r="D20" i="42"/>
  <c r="O20" i="42" s="1"/>
  <c r="V21" i="42"/>
  <c r="L31" i="42"/>
  <c r="H31" i="42"/>
  <c r="P31" i="42"/>
  <c r="Q31" i="42" s="1"/>
  <c r="V36" i="42"/>
  <c r="H40" i="42"/>
  <c r="D40" i="42"/>
  <c r="O40" i="42" s="1"/>
  <c r="M40" i="42"/>
  <c r="B54" i="42"/>
  <c r="I54" i="42" s="1"/>
  <c r="E56" i="42"/>
  <c r="V60" i="42"/>
  <c r="B62" i="42"/>
  <c r="I62" i="42" s="1"/>
  <c r="E63" i="42"/>
  <c r="J64" i="42"/>
  <c r="L67" i="42"/>
  <c r="C68" i="42"/>
  <c r="K69" i="42"/>
  <c r="L73" i="42"/>
  <c r="K76" i="42"/>
  <c r="K91" i="42"/>
  <c r="B93" i="42"/>
  <c r="Q95" i="42"/>
  <c r="V90" i="42"/>
  <c r="P102" i="42"/>
  <c r="N107" i="42"/>
  <c r="D120" i="42"/>
  <c r="O120" i="42" s="1"/>
  <c r="B129" i="42"/>
  <c r="J154" i="42"/>
  <c r="H189" i="42"/>
  <c r="F189" i="42"/>
  <c r="E189" i="42"/>
  <c r="D189" i="42"/>
  <c r="O189" i="42" s="1"/>
  <c r="P189" i="42"/>
  <c r="Q189" i="42" s="1"/>
  <c r="C189" i="42"/>
  <c r="N189" i="42" s="1"/>
  <c r="B189" i="42"/>
  <c r="P39" i="42"/>
  <c r="P43" i="42"/>
  <c r="Q43" i="42" s="1"/>
  <c r="K77" i="42"/>
  <c r="K85" i="42"/>
  <c r="C90" i="42"/>
  <c r="K90" i="42" s="1"/>
  <c r="N95" i="42"/>
  <c r="C102" i="42"/>
  <c r="E102" i="42" s="1"/>
  <c r="B104" i="42"/>
  <c r="O118" i="42"/>
  <c r="Q118" i="42"/>
  <c r="N118" i="42"/>
  <c r="C118" i="42"/>
  <c r="K119" i="42"/>
  <c r="N119" i="42"/>
  <c r="L119" i="42"/>
  <c r="C120" i="42"/>
  <c r="M120" i="42" s="1"/>
  <c r="N128" i="42"/>
  <c r="M128" i="42"/>
  <c r="G128" i="42"/>
  <c r="L128" i="42"/>
  <c r="K128" i="42"/>
  <c r="J128" i="42"/>
  <c r="D128" i="42"/>
  <c r="O128" i="42" s="1"/>
  <c r="F129" i="42"/>
  <c r="J133" i="42"/>
  <c r="C133" i="42"/>
  <c r="E133" i="42" s="1"/>
  <c r="F133" i="42"/>
  <c r="D133" i="42"/>
  <c r="O133" i="42" s="1"/>
  <c r="K150" i="42"/>
  <c r="Q39" i="42"/>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L117" i="42"/>
  <c r="F117" i="42"/>
  <c r="B118" i="42"/>
  <c r="B128" i="42"/>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M113" i="42"/>
  <c r="B113" i="42"/>
  <c r="G113" i="42" s="1"/>
  <c r="H115" i="42"/>
  <c r="L115" i="42"/>
  <c r="E126" i="42"/>
  <c r="P126" i="42"/>
  <c r="Q126" i="42" s="1"/>
  <c r="N126" i="42"/>
  <c r="C126" i="42"/>
  <c r="J126" i="42" s="1"/>
  <c r="F132" i="42"/>
  <c r="D132" i="42"/>
  <c r="O132" i="42" s="1"/>
  <c r="P132" i="42"/>
  <c r="Q132" i="42" s="1"/>
  <c r="I137" i="42"/>
  <c r="C137" i="42"/>
  <c r="K137" i="42" s="1"/>
  <c r="L137" i="42"/>
  <c r="H137" i="42"/>
  <c r="E137" i="42"/>
  <c r="D141" i="42"/>
  <c r="O149" i="42"/>
  <c r="C109" i="42"/>
  <c r="E109" i="42" s="1"/>
  <c r="J112" i="42"/>
  <c r="E112" i="42"/>
  <c r="G117" i="42"/>
  <c r="B126" i="42"/>
  <c r="F141" i="42"/>
  <c r="K192" i="42"/>
  <c r="J192" i="42"/>
  <c r="I192" i="42"/>
  <c r="E192" i="42"/>
  <c r="L100" i="42"/>
  <c r="K102"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J137" i="42" s="1"/>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K117" i="42"/>
  <c r="P120" i="42"/>
  <c r="Q123" i="42"/>
  <c r="P128" i="42"/>
  <c r="Q128" i="42" s="1"/>
  <c r="G137" i="42"/>
  <c r="N140" i="42"/>
  <c r="M140" i="42"/>
  <c r="G140" i="42"/>
  <c r="O140" i="42"/>
  <c r="L140" i="42"/>
  <c r="K140" i="42"/>
  <c r="E140" i="42"/>
  <c r="C140" i="42"/>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J130" i="42" s="1"/>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N137" i="42"/>
  <c r="O148" i="42"/>
  <c r="H152" i="42"/>
  <c r="L75" i="42"/>
  <c r="G77"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H121" i="42"/>
  <c r="B121" i="42"/>
  <c r="O121" i="42"/>
  <c r="D122" i="42"/>
  <c r="J131" i="42"/>
  <c r="H136" i="42"/>
  <c r="I152" i="42"/>
  <c r="C129" i="42"/>
  <c r="J129" i="42" s="1"/>
  <c r="D129" i="42"/>
  <c r="O129" i="42" s="1"/>
  <c r="Q129" i="42"/>
  <c r="Q142" i="42"/>
  <c r="H154" i="42"/>
  <c r="G154" i="42"/>
  <c r="M154" i="42"/>
  <c r="I200" i="42"/>
  <c r="H200" i="42"/>
  <c r="F229" i="42"/>
  <c r="P229" i="42"/>
  <c r="Q229" i="42" s="1"/>
  <c r="D229" i="42"/>
  <c r="O229" i="42" s="1"/>
  <c r="C229" i="42"/>
  <c r="N229" i="42" s="1"/>
  <c r="B229" i="42"/>
  <c r="G265" i="42"/>
  <c r="F265" i="42"/>
  <c r="E265" i="42"/>
  <c r="P265" i="42"/>
  <c r="D265" i="42"/>
  <c r="O265" i="42" s="1"/>
  <c r="C265" i="42"/>
  <c r="M265" i="42" s="1"/>
  <c r="B265" i="42"/>
  <c r="M108" i="42"/>
  <c r="Q119" i="42"/>
  <c r="I123" i="42"/>
  <c r="Q127" i="42"/>
  <c r="N147" i="42"/>
  <c r="L155" i="42"/>
  <c r="J159" i="42"/>
  <c r="K162"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I233" i="42"/>
  <c r="H233" i="42"/>
  <c r="G233" i="42"/>
  <c r="F233" i="42"/>
  <c r="P233" i="42"/>
  <c r="Q233" i="42" s="1"/>
  <c r="M233" i="42"/>
  <c r="L233" i="42"/>
  <c r="K233" i="42"/>
  <c r="J233" i="42"/>
  <c r="B233" i="42"/>
  <c r="B248" i="42"/>
  <c r="M248" i="42"/>
  <c r="J248" i="42"/>
  <c r="P248" i="42"/>
  <c r="Q248" i="42" s="1"/>
  <c r="H248" i="42"/>
  <c r="F248" i="42"/>
  <c r="D248" i="42"/>
  <c r="O248" i="42" s="1"/>
  <c r="C248" i="42"/>
  <c r="E248" i="42" s="1"/>
  <c r="K185" i="42"/>
  <c r="J185" i="42"/>
  <c r="I185" i="42"/>
  <c r="J208" i="42"/>
  <c r="N235" i="42"/>
  <c r="L235" i="42"/>
  <c r="K235" i="42"/>
  <c r="J235" i="42"/>
  <c r="I235" i="42"/>
  <c r="E235" i="42"/>
  <c r="N176" i="42"/>
  <c r="M176" i="42"/>
  <c r="L176" i="42"/>
  <c r="E176" i="42"/>
  <c r="D194" i="42"/>
  <c r="O194" i="42" s="1"/>
  <c r="F194" i="42"/>
  <c r="C194" i="42"/>
  <c r="H194" i="42" s="1"/>
  <c r="B194" i="42"/>
  <c r="P194" i="42"/>
  <c r="L203" i="42"/>
  <c r="G207" i="42"/>
  <c r="E207" i="42"/>
  <c r="N207" i="42"/>
  <c r="J207" i="42"/>
  <c r="F142" i="42"/>
  <c r="E142" i="42"/>
  <c r="O142" i="42"/>
  <c r="Q143" i="42"/>
  <c r="V150" i="42"/>
  <c r="N159" i="42"/>
  <c r="F174" i="42"/>
  <c r="E174" i="42"/>
  <c r="D174" i="42"/>
  <c r="O174" i="42" s="1"/>
  <c r="K175" i="42"/>
  <c r="I175" i="42"/>
  <c r="B176" i="42"/>
  <c r="G176" i="42" s="1"/>
  <c r="G178" i="42"/>
  <c r="L184" i="42"/>
  <c r="D184" i="42"/>
  <c r="O184" i="42" s="1"/>
  <c r="C184" i="42"/>
  <c r="N184" i="42" s="1"/>
  <c r="B184" i="42"/>
  <c r="M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Q151" i="42"/>
  <c r="V158" i="42"/>
  <c r="V166" i="42"/>
  <c r="G172"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M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I207" i="42"/>
  <c r="D230" i="42"/>
  <c r="C230" i="42"/>
  <c r="K230" i="42" s="1"/>
  <c r="B230" i="42"/>
  <c r="P230" i="42"/>
  <c r="M235" i="42"/>
  <c r="N241" i="42"/>
  <c r="F241" i="42"/>
  <c r="H241" i="42" s="1"/>
  <c r="E241" i="42"/>
  <c r="P241" i="42"/>
  <c r="Q241" i="42" s="1"/>
  <c r="L241" i="42"/>
  <c r="D241" i="42"/>
  <c r="O241" i="42" s="1"/>
  <c r="C241" i="42"/>
  <c r="M241" i="42" s="1"/>
  <c r="B241" i="42"/>
  <c r="G241" i="42" s="1"/>
  <c r="B148" i="42"/>
  <c r="K148" i="42" s="1"/>
  <c r="B149" i="42"/>
  <c r="B150" i="42"/>
  <c r="M150" i="42" s="1"/>
  <c r="M152" i="42"/>
  <c r="L152" i="42"/>
  <c r="G152" i="42"/>
  <c r="C153" i="42"/>
  <c r="F154" i="42"/>
  <c r="L154" i="42" s="1"/>
  <c r="E154" i="42"/>
  <c r="D154" i="42"/>
  <c r="O154" i="42" s="1"/>
  <c r="Q159" i="42"/>
  <c r="Q167" i="42"/>
  <c r="B170" i="42"/>
  <c r="G170" i="42" s="1"/>
  <c r="C172" i="42"/>
  <c r="G175" i="42"/>
  <c r="K178" i="42"/>
  <c r="L179" i="42"/>
  <c r="V181" i="42"/>
  <c r="B183" i="42"/>
  <c r="G183" i="42" s="1"/>
  <c r="M185" i="42"/>
  <c r="M191" i="42"/>
  <c r="B193" i="42"/>
  <c r="N194"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G156" i="42"/>
  <c r="C157" i="42"/>
  <c r="E157" i="42" s="1"/>
  <c r="F158" i="42"/>
  <c r="E158" i="42"/>
  <c r="D158" i="42"/>
  <c r="O158" i="42" s="1"/>
  <c r="I174" i="42"/>
  <c r="H175" i="42"/>
  <c r="I176" i="42"/>
  <c r="N185" i="42"/>
  <c r="N191" i="42"/>
  <c r="C193" i="42"/>
  <c r="H193" i="42" s="1"/>
  <c r="F197" i="42"/>
  <c r="D197" i="42"/>
  <c r="Q197" i="42" s="1"/>
  <c r="P197" i="42"/>
  <c r="L207" i="42"/>
  <c r="I213" i="42"/>
  <c r="G213" i="42"/>
  <c r="C213" i="42"/>
  <c r="V215" i="42"/>
  <c r="G225" i="42"/>
  <c r="E225" i="42"/>
  <c r="V241" i="42"/>
  <c r="B156" i="42"/>
  <c r="B157" i="42"/>
  <c r="B158" i="42"/>
  <c r="N160" i="42"/>
  <c r="L160" i="42"/>
  <c r="C161" i="42"/>
  <c r="E161" i="42" s="1"/>
  <c r="F162" i="42"/>
  <c r="D162" i="42"/>
  <c r="O162" i="42" s="1"/>
  <c r="F166" i="42"/>
  <c r="D166" i="42"/>
  <c r="O166" i="42" s="1"/>
  <c r="K167" i="42"/>
  <c r="I167" i="42"/>
  <c r="J174" i="42"/>
  <c r="J175" i="42"/>
  <c r="J176" i="42"/>
  <c r="D182" i="42"/>
  <c r="O182" i="42" s="1"/>
  <c r="B182" i="42"/>
  <c r="P198" i="42"/>
  <c r="Q198" i="42" s="1"/>
  <c r="M207" i="42"/>
  <c r="Q135" i="42"/>
  <c r="J142" i="42"/>
  <c r="G147" i="42"/>
  <c r="E148" i="42"/>
  <c r="F149" i="42"/>
  <c r="H150" i="42"/>
  <c r="E155" i="42"/>
  <c r="C156" i="42"/>
  <c r="J156" i="42" s="1"/>
  <c r="D157" i="42"/>
  <c r="C158" i="42"/>
  <c r="B160" i="42"/>
  <c r="I160" i="42" s="1"/>
  <c r="B161" i="42"/>
  <c r="B162" i="42"/>
  <c r="N164"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Q216" i="42" s="1"/>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I170" i="42"/>
  <c r="H171" i="42"/>
  <c r="L174" i="42"/>
  <c r="M175" i="42"/>
  <c r="P201" i="42"/>
  <c r="Q201" i="42" s="1"/>
  <c r="O201" i="42"/>
  <c r="F201" i="42"/>
  <c r="B201" i="42"/>
  <c r="E213" i="42"/>
  <c r="P217" i="42"/>
  <c r="M96" i="42"/>
  <c r="N108" i="42"/>
  <c r="M112" i="42"/>
  <c r="E123" i="42"/>
  <c r="C124" i="42"/>
  <c r="H124" i="42" s="1"/>
  <c r="C125" i="42"/>
  <c r="I125" i="42" s="1"/>
  <c r="N136" i="42"/>
  <c r="M136" i="42"/>
  <c r="G136" i="42"/>
  <c r="L142" i="42"/>
  <c r="J143" i="42"/>
  <c r="I144" i="42"/>
  <c r="K146" i="42"/>
  <c r="I147" i="42"/>
  <c r="H148" i="42"/>
  <c r="J150" i="42"/>
  <c r="H151" i="42"/>
  <c r="F152" i="42"/>
  <c r="N152" i="42" s="1"/>
  <c r="I154" i="42"/>
  <c r="G155" i="42"/>
  <c r="F157" i="42"/>
  <c r="H158" i="42"/>
  <c r="D160" i="42"/>
  <c r="O160" i="42" s="1"/>
  <c r="G162" i="42"/>
  <c r="E163" i="42"/>
  <c r="C164"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I201" i="42" s="1"/>
  <c r="P202" i="42"/>
  <c r="E205" i="42"/>
  <c r="J212" i="42"/>
  <c r="I212" i="42"/>
  <c r="E212" i="42"/>
  <c r="F213" i="42"/>
  <c r="D216" i="42"/>
  <c r="O216" i="42" s="1"/>
  <c r="V223" i="42"/>
  <c r="V239" i="42"/>
  <c r="B208" i="42"/>
  <c r="M208" i="42"/>
  <c r="L208" i="42"/>
  <c r="F208" i="42"/>
  <c r="D208" i="42"/>
  <c r="O208" i="42" s="1"/>
  <c r="P208" i="42"/>
  <c r="Q208" i="42" s="1"/>
  <c r="I208" i="42"/>
  <c r="C208" i="42"/>
  <c r="N208" i="42" s="1"/>
  <c r="N231" i="42"/>
  <c r="M231" i="42"/>
  <c r="L231" i="42"/>
  <c r="K231" i="42"/>
  <c r="J231" i="42"/>
  <c r="G231" i="42"/>
  <c r="E231" i="42"/>
  <c r="V247" i="42"/>
  <c r="L275" i="42"/>
  <c r="P275" i="42"/>
  <c r="M275" i="42"/>
  <c r="K275" i="42"/>
  <c r="I275" i="42"/>
  <c r="H275" i="42"/>
  <c r="G275" i="42"/>
  <c r="F275" i="42"/>
  <c r="E275" i="42"/>
  <c r="N275" i="42"/>
  <c r="J275" i="42"/>
  <c r="D275" i="42"/>
  <c r="O275" i="42" s="1"/>
  <c r="B275" i="42"/>
  <c r="V311" i="42"/>
  <c r="G252"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I314" i="42"/>
  <c r="C314" i="42"/>
  <c r="N314" i="42" s="1"/>
  <c r="L314" i="42"/>
  <c r="J314" i="42"/>
  <c r="F314" i="42"/>
  <c r="F256" i="42"/>
  <c r="B260" i="42"/>
  <c r="M260" i="42" s="1"/>
  <c r="O260" i="42"/>
  <c r="L260" i="42"/>
  <c r="K260" i="42"/>
  <c r="J260" i="42"/>
  <c r="I260" i="42"/>
  <c r="D261" i="42"/>
  <c r="O261" i="42" s="1"/>
  <c r="P270" i="42"/>
  <c r="F270" i="42"/>
  <c r="L270" i="42" s="1"/>
  <c r="E270" i="42"/>
  <c r="D270" i="42"/>
  <c r="O270" i="42" s="1"/>
  <c r="C270" i="42"/>
  <c r="G270" i="42" s="1"/>
  <c r="N306" i="42"/>
  <c r="L306" i="42"/>
  <c r="J306" i="42"/>
  <c r="I306" i="42"/>
  <c r="H306" i="42"/>
  <c r="D314" i="42"/>
  <c r="Q314" i="42" s="1"/>
  <c r="Q165" i="42"/>
  <c r="Q169" i="42"/>
  <c r="Q173" i="42"/>
  <c r="Q177" i="42"/>
  <c r="B228" i="42"/>
  <c r="M228" i="42"/>
  <c r="H256" i="42"/>
  <c r="L261" i="42"/>
  <c r="H304" i="42"/>
  <c r="C304" i="42"/>
  <c r="L304" i="42" s="1"/>
  <c r="P304" i="42"/>
  <c r="F304" i="42"/>
  <c r="J304" i="42" s="1"/>
  <c r="D304" i="42"/>
  <c r="O304" i="42" s="1"/>
  <c r="J321" i="42"/>
  <c r="N321" i="42"/>
  <c r="L321" i="42"/>
  <c r="K321" i="42"/>
  <c r="I321" i="42"/>
  <c r="L188" i="42"/>
  <c r="B204" i="42"/>
  <c r="B220" i="42"/>
  <c r="N221" i="42"/>
  <c r="I221" i="42"/>
  <c r="F221" i="42"/>
  <c r="H221" i="42" s="1"/>
  <c r="D222" i="42"/>
  <c r="B222" i="42"/>
  <c r="B224" i="42"/>
  <c r="N225" i="42"/>
  <c r="I225" i="42"/>
  <c r="H225" i="42"/>
  <c r="F225" i="42"/>
  <c r="E226" i="42"/>
  <c r="D226" i="42"/>
  <c r="B226" i="42"/>
  <c r="C228" i="42"/>
  <c r="L228" i="42" s="1"/>
  <c r="B240" i="42"/>
  <c r="K296" i="42"/>
  <c r="F296" i="42"/>
  <c r="N296" i="42" s="1"/>
  <c r="D296" i="42"/>
  <c r="O296" i="42" s="1"/>
  <c r="C296" i="42"/>
  <c r="E296" i="42" s="1"/>
  <c r="B296" i="42"/>
  <c r="P296" i="42"/>
  <c r="G298" i="42"/>
  <c r="B304" i="42"/>
  <c r="E321" i="42"/>
  <c r="B389" i="42"/>
  <c r="F389" i="42"/>
  <c r="D389" i="42"/>
  <c r="O389" i="42" s="1"/>
  <c r="P389" i="42"/>
  <c r="Q389" i="42" s="1"/>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B225" i="42"/>
  <c r="M225" i="42" s="1"/>
  <c r="C226" i="42"/>
  <c r="K226" i="42" s="1"/>
  <c r="D228" i="42"/>
  <c r="Q228" i="42" s="1"/>
  <c r="H232" i="42"/>
  <c r="C240" i="42"/>
  <c r="J243" i="42"/>
  <c r="P256" i="42"/>
  <c r="N259" i="42"/>
  <c r="F260" i="42"/>
  <c r="N260" i="42" s="1"/>
  <c r="B264" i="42"/>
  <c r="O264" i="42"/>
  <c r="M264" i="42"/>
  <c r="L264" i="42"/>
  <c r="K264" i="42"/>
  <c r="J264" i="42"/>
  <c r="I264" i="42"/>
  <c r="I296" i="42"/>
  <c r="G319" i="42"/>
  <c r="F319" i="42"/>
  <c r="L319" i="42" s="1"/>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N253" i="42"/>
  <c r="K253" i="42"/>
  <c r="I253" i="42"/>
  <c r="G253" i="42"/>
  <c r="F253" i="42"/>
  <c r="H253" i="42" s="1"/>
  <c r="E253" i="42"/>
  <c r="P261" i="42"/>
  <c r="Q261" i="42" s="1"/>
  <c r="D269" i="42"/>
  <c r="Q269" i="42" s="1"/>
  <c r="L269" i="42"/>
  <c r="I269" i="42"/>
  <c r="H269" i="42"/>
  <c r="G269" i="42"/>
  <c r="F269" i="42"/>
  <c r="J269" i="42" s="1"/>
  <c r="N274" i="42"/>
  <c r="L274" i="42"/>
  <c r="K274" i="42"/>
  <c r="J274" i="42"/>
  <c r="I274" i="42"/>
  <c r="H274" i="42"/>
  <c r="Q284" i="42"/>
  <c r="O284" i="42"/>
  <c r="H321" i="42"/>
  <c r="K389" i="42"/>
  <c r="Q286" i="42"/>
  <c r="M315" i="42"/>
  <c r="K315" i="42"/>
  <c r="J315" i="42"/>
  <c r="I315" i="42"/>
  <c r="I351" i="42"/>
  <c r="E351" i="42"/>
  <c r="K351" i="42"/>
  <c r="J351" i="42"/>
  <c r="H351" i="42"/>
  <c r="P363" i="42"/>
  <c r="F363" i="42"/>
  <c r="C363" i="42"/>
  <c r="I363" i="42" s="1"/>
  <c r="N239" i="42"/>
  <c r="M239" i="42"/>
  <c r="L327" i="42"/>
  <c r="G327" i="42"/>
  <c r="N327" i="42"/>
  <c r="H327" i="42"/>
  <c r="B327" i="42"/>
  <c r="M327" i="42" s="1"/>
  <c r="P327" i="42"/>
  <c r="K327" i="42"/>
  <c r="J327" i="42"/>
  <c r="F327" i="42"/>
  <c r="B363" i="42"/>
  <c r="I245" i="42"/>
  <c r="F245" i="42"/>
  <c r="G247" i="42"/>
  <c r="B252" i="42"/>
  <c r="D253" i="42"/>
  <c r="O253" i="42" s="1"/>
  <c r="B268" i="42"/>
  <c r="D305" i="42"/>
  <c r="O305" i="42" s="1"/>
  <c r="P305" i="42"/>
  <c r="I305" i="42"/>
  <c r="B305" i="42"/>
  <c r="K305" i="42"/>
  <c r="J305" i="42"/>
  <c r="G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H224" i="42"/>
  <c r="J225" i="42"/>
  <c r="Q232" i="42"/>
  <c r="I237" i="42"/>
  <c r="F237" i="42"/>
  <c r="E239" i="42"/>
  <c r="B245" i="42"/>
  <c r="H247" i="42"/>
  <c r="C252" i="42"/>
  <c r="N252" i="42" s="1"/>
  <c r="J253" i="42"/>
  <c r="F257" i="42"/>
  <c r="G264" i="42"/>
  <c r="C268" i="42"/>
  <c r="K269" i="42"/>
  <c r="Q272" i="42"/>
  <c r="G274" i="42"/>
  <c r="J276" i="42"/>
  <c r="F276" i="42"/>
  <c r="D276" i="42"/>
  <c r="O276" i="42" s="1"/>
  <c r="C276" i="42"/>
  <c r="M276" i="42" s="1"/>
  <c r="I288" i="42"/>
  <c r="J300" i="42"/>
  <c r="G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M244" i="42"/>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Q297" i="42" s="1"/>
  <c r="E305" i="42"/>
  <c r="D313" i="42"/>
  <c r="O313" i="42" s="1"/>
  <c r="P313" i="42"/>
  <c r="F313" i="42"/>
  <c r="C313" i="42"/>
  <c r="B313" i="42"/>
  <c r="B320" i="42"/>
  <c r="E327" i="42"/>
  <c r="H185" i="42"/>
  <c r="I188" i="42"/>
  <c r="C190" i="42"/>
  <c r="M190" i="42" s="1"/>
  <c r="H196" i="42"/>
  <c r="M200" i="42"/>
  <c r="L200" i="42"/>
  <c r="J204" i="42"/>
  <c r="J205" i="42"/>
  <c r="C210" i="42"/>
  <c r="B212" i="42"/>
  <c r="K212" i="42" s="1"/>
  <c r="M212" i="42"/>
  <c r="L212" i="42"/>
  <c r="V214" i="42"/>
  <c r="L221" i="42"/>
  <c r="L225" i="42"/>
  <c r="C237" i="42"/>
  <c r="H239" i="42"/>
  <c r="O240" i="42"/>
  <c r="D245" i="42"/>
  <c r="Q245" i="42" s="1"/>
  <c r="J247" i="42"/>
  <c r="M253" i="42"/>
  <c r="C257" i="42"/>
  <c r="E257" i="42" s="1"/>
  <c r="N269" i="42"/>
  <c r="M305" i="42"/>
  <c r="B256" i="42"/>
  <c r="P317" i="42"/>
  <c r="Q317" i="42" s="1"/>
  <c r="B397" i="42"/>
  <c r="G397" i="42" s="1"/>
  <c r="N397" i="42"/>
  <c r="M397" i="42"/>
  <c r="L397" i="42"/>
  <c r="K397" i="42"/>
  <c r="I397" i="42"/>
  <c r="F397" i="42"/>
  <c r="H397" i="42" s="1"/>
  <c r="E397" i="42"/>
  <c r="P397" i="42"/>
  <c r="J397" i="42"/>
  <c r="D397" i="42"/>
  <c r="O397" i="42" s="1"/>
  <c r="C303" i="42"/>
  <c r="B303" i="42"/>
  <c r="M303" i="42" s="1"/>
  <c r="J307" i="42"/>
  <c r="G358" i="42"/>
  <c r="E358" i="42"/>
  <c r="N358" i="42"/>
  <c r="J358" i="42"/>
  <c r="Q246" i="42"/>
  <c r="M251" i="42"/>
  <c r="M255" i="42"/>
  <c r="Q258" i="42"/>
  <c r="M259" i="42"/>
  <c r="M263" i="42"/>
  <c r="D277" i="42"/>
  <c r="O277" i="42" s="1"/>
  <c r="N280" i="42"/>
  <c r="M281" i="42"/>
  <c r="M282" i="42"/>
  <c r="K288" i="42"/>
  <c r="M293" i="42"/>
  <c r="P302" i="42"/>
  <c r="Q302" i="42" s="1"/>
  <c r="F302" i="42"/>
  <c r="D303" i="42"/>
  <c r="O303" i="42" s="1"/>
  <c r="E326" i="42"/>
  <c r="P330" i="42"/>
  <c r="B330" i="42"/>
  <c r="F330" i="42"/>
  <c r="I340" i="42"/>
  <c r="C340" i="42"/>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H277" i="42" s="1"/>
  <c r="P281" i="42"/>
  <c r="Q281" i="42" s="1"/>
  <c r="P283" i="42"/>
  <c r="N288" i="42"/>
  <c r="O292" i="42"/>
  <c r="P293" i="42"/>
  <c r="Q293" i="42" s="1"/>
  <c r="D301" i="42"/>
  <c r="B301" i="42"/>
  <c r="G301" i="42" s="1"/>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J339" i="42"/>
  <c r="F339" i="42"/>
  <c r="C339" i="42"/>
  <c r="L339" i="42" s="1"/>
  <c r="F340" i="42"/>
  <c r="K345" i="42"/>
  <c r="O348" i="42"/>
  <c r="G349" i="42"/>
  <c r="N353" i="42"/>
  <c r="I358" i="42"/>
  <c r="Q239" i="42"/>
  <c r="E254" i="42"/>
  <c r="E266" i="42"/>
  <c r="Q267" i="42"/>
  <c r="D271" i="42"/>
  <c r="O271" i="42" s="1"/>
  <c r="H272" i="42"/>
  <c r="O273" i="42"/>
  <c r="F277" i="42"/>
  <c r="D278" i="42"/>
  <c r="O278" i="42" s="1"/>
  <c r="V281" i="42"/>
  <c r="L299" i="42"/>
  <c r="O299" i="42"/>
  <c r="N299" i="42"/>
  <c r="H299" i="42"/>
  <c r="B299" i="42"/>
  <c r="G299" i="42" s="1"/>
  <c r="B300" i="42"/>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G266"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J281" i="42"/>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I285" i="42"/>
  <c r="L288" i="42"/>
  <c r="F288" i="42"/>
  <c r="H288" i="42" s="1"/>
  <c r="Q288" i="42"/>
  <c r="D289" i="42"/>
  <c r="O289" i="42" s="1"/>
  <c r="C289" i="42"/>
  <c r="L289" i="42" s="1"/>
  <c r="C291" i="42"/>
  <c r="K291" i="42" s="1"/>
  <c r="O291" i="42"/>
  <c r="L302" i="42"/>
  <c r="L307" i="42"/>
  <c r="M307" i="42"/>
  <c r="K307" i="42"/>
  <c r="E307" i="42"/>
  <c r="Q307" i="42"/>
  <c r="N330" i="42"/>
  <c r="D337" i="42"/>
  <c r="O337" i="42" s="1"/>
  <c r="F337" i="42"/>
  <c r="F338" i="42"/>
  <c r="P340" i="42"/>
  <c r="F359" i="42"/>
  <c r="D359" i="42"/>
  <c r="O359" i="42" s="1"/>
  <c r="G362" i="42"/>
  <c r="L391" i="42"/>
  <c r="F272" i="42"/>
  <c r="C273" i="42"/>
  <c r="K273" i="42" s="1"/>
  <c r="H279" i="42"/>
  <c r="E280" i="42"/>
  <c r="E281" i="42"/>
  <c r="C283" i="42"/>
  <c r="B285" i="42"/>
  <c r="M285" i="42" s="1"/>
  <c r="O287" i="42"/>
  <c r="C287" i="42"/>
  <c r="L287" i="42" s="1"/>
  <c r="B288" i="42"/>
  <c r="G288" i="42" s="1"/>
  <c r="B289" i="42"/>
  <c r="B291" i="42"/>
  <c r="C292" i="42"/>
  <c r="N292" i="42" s="1"/>
  <c r="E293" i="42"/>
  <c r="D294" i="42"/>
  <c r="O294" i="42" s="1"/>
  <c r="I300" i="42"/>
  <c r="L301" i="42"/>
  <c r="P303" i="42"/>
  <c r="B307" i="42"/>
  <c r="G307" i="42" s="1"/>
  <c r="F308" i="42"/>
  <c r="I309" i="42"/>
  <c r="L310" i="42"/>
  <c r="H316" i="42"/>
  <c r="C316" i="42"/>
  <c r="M316" i="42"/>
  <c r="F316" i="42"/>
  <c r="B316" i="42"/>
  <c r="Q316" i="42"/>
  <c r="M321" i="42"/>
  <c r="E323" i="42"/>
  <c r="N325" i="42"/>
  <c r="Q334" i="42"/>
  <c r="V335" i="42"/>
  <c r="B337" i="42"/>
  <c r="E343" i="42"/>
  <c r="I347" i="42"/>
  <c r="E347" i="42"/>
  <c r="L353" i="42"/>
  <c r="B359" i="42"/>
  <c r="H362" i="42"/>
  <c r="G364" i="42"/>
  <c r="M391" i="42"/>
  <c r="C332" i="42"/>
  <c r="J332" i="42" s="1"/>
  <c r="D332" i="42"/>
  <c r="O332" i="42" s="1"/>
  <c r="C337" i="42"/>
  <c r="L337" i="42" s="1"/>
  <c r="I338" i="42"/>
  <c r="L342" i="42"/>
  <c r="H342" i="42"/>
  <c r="E342" i="42"/>
  <c r="V349" i="42"/>
  <c r="O351" i="42"/>
  <c r="M353" i="42"/>
  <c r="H356" i="42"/>
  <c r="C356" i="42"/>
  <c r="I356" i="42" s="1"/>
  <c r="E356" i="42"/>
  <c r="D356" i="42"/>
  <c r="O356" i="42" s="1"/>
  <c r="B356" i="42"/>
  <c r="L356" i="42"/>
  <c r="C359" i="42"/>
  <c r="N359" i="42" s="1"/>
  <c r="M367" i="42"/>
  <c r="M373" i="42"/>
  <c r="K373" i="42"/>
  <c r="J373" i="42"/>
  <c r="E373" i="42"/>
  <c r="V375" i="42"/>
  <c r="H377" i="42"/>
  <c r="D377" i="42"/>
  <c r="O377" i="42" s="1"/>
  <c r="C377" i="42"/>
  <c r="L377" i="42" s="1"/>
  <c r="B377" i="42"/>
  <c r="P377" i="42"/>
  <c r="Q388" i="42"/>
  <c r="N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I435" i="42"/>
  <c r="F435" i="42"/>
  <c r="D435" i="42"/>
  <c r="O435" i="42" s="1"/>
  <c r="B435" i="42"/>
  <c r="P435" i="42"/>
  <c r="M435" i="42"/>
  <c r="K435" i="42"/>
  <c r="M477" i="42"/>
  <c r="I477" i="42"/>
  <c r="G477" i="42"/>
  <c r="N477" i="42"/>
  <c r="V317" i="42"/>
  <c r="P326" i="42"/>
  <c r="K326" i="42"/>
  <c r="J345" i="42"/>
  <c r="I346" i="42"/>
  <c r="I350" i="42"/>
  <c r="I354" i="42"/>
  <c r="V368" i="42"/>
  <c r="E371" i="42"/>
  <c r="P371" i="42"/>
  <c r="N371" i="42"/>
  <c r="J371" i="42"/>
  <c r="N372" i="42"/>
  <c r="M372" i="42"/>
  <c r="K372" i="42"/>
  <c r="G372" i="42"/>
  <c r="G373" i="42"/>
  <c r="D381" i="42"/>
  <c r="O381" i="42" s="1"/>
  <c r="C381" i="42"/>
  <c r="J381" i="42" s="1"/>
  <c r="P381" i="42"/>
  <c r="V386" i="42"/>
  <c r="C435" i="42"/>
  <c r="H435" i="42" s="1"/>
  <c r="P444" i="42"/>
  <c r="L444" i="42"/>
  <c r="F444" i="42"/>
  <c r="N444" i="42" s="1"/>
  <c r="E444" i="42"/>
  <c r="B444" i="42"/>
  <c r="M444" i="42" s="1"/>
  <c r="D444" i="42"/>
  <c r="O444" i="42" s="1"/>
  <c r="K405" i="42"/>
  <c r="I405" i="42"/>
  <c r="E405" i="42"/>
  <c r="C444" i="42"/>
  <c r="H444" i="42" s="1"/>
  <c r="E361" i="42"/>
  <c r="D361" i="42"/>
  <c r="Q361" i="42" s="1"/>
  <c r="C361" i="42"/>
  <c r="K361" i="42" s="1"/>
  <c r="F361" i="42"/>
  <c r="Q368" i="42"/>
  <c r="Q380" i="42"/>
  <c r="F387" i="42"/>
  <c r="P387" i="42"/>
  <c r="D387" i="42"/>
  <c r="O387" i="42" s="1"/>
  <c r="C387" i="42"/>
  <c r="G387" i="42" s="1"/>
  <c r="K449" i="42"/>
  <c r="F449" i="42"/>
  <c r="D449" i="42"/>
  <c r="B449" i="42"/>
  <c r="M449" i="42" s="1"/>
  <c r="P449" i="42"/>
  <c r="C449" i="42"/>
  <c r="L473" i="42"/>
  <c r="J473" i="42"/>
  <c r="F473" i="42"/>
  <c r="C473" i="42"/>
  <c r="E473" i="42" s="1"/>
  <c r="B473" i="42"/>
  <c r="P473" i="42"/>
  <c r="D473" i="42"/>
  <c r="O473" i="42" s="1"/>
  <c r="H284" i="42"/>
  <c r="K298" i="42"/>
  <c r="G306" i="42"/>
  <c r="D309" i="42"/>
  <c r="H315" i="42"/>
  <c r="D326" i="42"/>
  <c r="O326" i="42" s="1"/>
  <c r="C328" i="42"/>
  <c r="J328" i="42"/>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Q367" i="42" s="1"/>
  <c r="F367" i="42"/>
  <c r="H367" i="42" s="1"/>
  <c r="D367" i="42"/>
  <c r="O367" i="42" s="1"/>
  <c r="L379" i="42"/>
  <c r="L380" i="42"/>
  <c r="N380" i="42"/>
  <c r="I380" i="42"/>
  <c r="E380" i="42"/>
  <c r="I387" i="42"/>
  <c r="B393" i="42"/>
  <c r="F393" i="42"/>
  <c r="J395" i="42"/>
  <c r="F395" i="42"/>
  <c r="E395" i="42"/>
  <c r="D395" i="42"/>
  <c r="O395" i="42" s="1"/>
  <c r="P395" i="42"/>
  <c r="Q395" i="42" s="1"/>
  <c r="I395" i="42"/>
  <c r="H395" i="42"/>
  <c r="C395" i="42"/>
  <c r="G395" i="42" s="1"/>
  <c r="B367" i="42"/>
  <c r="G367" i="42" s="1"/>
  <c r="P383" i="42"/>
  <c r="Q383" i="42" s="1"/>
  <c r="O383" i="42"/>
  <c r="C383" i="42"/>
  <c r="L383" i="42" s="1"/>
  <c r="B383" i="42"/>
  <c r="L387" i="42"/>
  <c r="C393" i="42"/>
  <c r="B395" i="42"/>
  <c r="K426" i="42"/>
  <c r="J426" i="42"/>
  <c r="F426" i="42"/>
  <c r="D426" i="42"/>
  <c r="O426" i="42" s="1"/>
  <c r="C426" i="42"/>
  <c r="L426" i="42" s="1"/>
  <c r="P426" i="42"/>
  <c r="G426" i="42"/>
  <c r="D393" i="42"/>
  <c r="O393" i="42" s="1"/>
  <c r="K395" i="42"/>
  <c r="J361" i="42"/>
  <c r="I367" i="42"/>
  <c r="G380" i="42"/>
  <c r="Q381" i="42"/>
  <c r="F383" i="42"/>
  <c r="N387" i="42"/>
  <c r="M395" i="42"/>
  <c r="G403" i="42"/>
  <c r="F403" i="42"/>
  <c r="E403" i="42"/>
  <c r="D403" i="42"/>
  <c r="O403" i="42" s="1"/>
  <c r="P403" i="42"/>
  <c r="H403" i="42"/>
  <c r="C403" i="42"/>
  <c r="J403" i="42" s="1"/>
  <c r="E426" i="42"/>
  <c r="H280" i="42"/>
  <c r="L282" i="42"/>
  <c r="F284" i="42"/>
  <c r="F290" i="42"/>
  <c r="N290" i="42" s="1"/>
  <c r="Q298" i="42"/>
  <c r="M306" i="42"/>
  <c r="G309" i="42"/>
  <c r="C312" i="42"/>
  <c r="N315" i="42"/>
  <c r="D321" i="42"/>
  <c r="O321" i="42" s="1"/>
  <c r="I326" i="42"/>
  <c r="L335" i="42"/>
  <c r="G335" i="42"/>
  <c r="N335" i="42"/>
  <c r="V337" i="42"/>
  <c r="V341" i="42"/>
  <c r="M355" i="42"/>
  <c r="L355" i="42"/>
  <c r="K355" i="42"/>
  <c r="G355" i="42"/>
  <c r="N355" i="42"/>
  <c r="K360" i="42"/>
  <c r="H366" i="42"/>
  <c r="G366" i="42"/>
  <c r="J366" i="42"/>
  <c r="J367" i="42"/>
  <c r="K371" i="42"/>
  <c r="I374" i="42"/>
  <c r="D374" i="42"/>
  <c r="O374" i="42" s="1"/>
  <c r="K374" i="42"/>
  <c r="J374" i="42"/>
  <c r="H374" i="42"/>
  <c r="C374" i="42"/>
  <c r="L374" i="42"/>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O353" i="42" s="1"/>
  <c r="F353" i="42"/>
  <c r="J353" i="42" s="1"/>
  <c r="L361" i="42"/>
  <c r="M365" i="42"/>
  <c r="G365" i="42"/>
  <c r="C365" i="42"/>
  <c r="K365" i="42" s="1"/>
  <c r="K367" i="42"/>
  <c r="L371" i="42"/>
  <c r="M375" i="42"/>
  <c r="J380" i="42"/>
  <c r="B401" i="42"/>
  <c r="O401" i="42"/>
  <c r="F401" i="42"/>
  <c r="C401" i="42"/>
  <c r="K403" i="42"/>
  <c r="K429" i="42"/>
  <c r="I429" i="42"/>
  <c r="E429" i="42"/>
  <c r="D465" i="42"/>
  <c r="Q465" i="42" s="1"/>
  <c r="I344" i="42"/>
  <c r="C344" i="42"/>
  <c r="E344" i="42" s="1"/>
  <c r="E345" i="42"/>
  <c r="D345" i="42"/>
  <c r="Q345" i="42" s="1"/>
  <c r="F345" i="42"/>
  <c r="H345" i="42" s="1"/>
  <c r="M361" i="42"/>
  <c r="L367" i="42"/>
  <c r="N411" i="42"/>
  <c r="L411" i="42"/>
  <c r="H411" i="42"/>
  <c r="M427" i="42"/>
  <c r="B342" i="42"/>
  <c r="G342" i="42" s="1"/>
  <c r="B346" i="42"/>
  <c r="G346" i="42" s="1"/>
  <c r="B362" i="42"/>
  <c r="M362" i="42" s="1"/>
  <c r="V362" i="42"/>
  <c r="I370" i="42"/>
  <c r="D370" i="42"/>
  <c r="O370" i="42" s="1"/>
  <c r="D390" i="42"/>
  <c r="O390" i="42" s="1"/>
  <c r="C390" i="42"/>
  <c r="H390" i="42" s="1"/>
  <c r="K421" i="42"/>
  <c r="N382"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H385" i="42"/>
  <c r="B422" i="42"/>
  <c r="I471" i="42"/>
  <c r="E471" i="42"/>
  <c r="M489" i="42"/>
  <c r="J489" i="42"/>
  <c r="G489" i="42"/>
  <c r="C385" i="42"/>
  <c r="M385" i="42" s="1"/>
  <c r="D394" i="42"/>
  <c r="O394" i="42" s="1"/>
  <c r="C394" i="42"/>
  <c r="Q400" i="42"/>
  <c r="H402" i="42"/>
  <c r="D402" i="42"/>
  <c r="O402" i="42" s="1"/>
  <c r="C402" i="42"/>
  <c r="E402" i="42" s="1"/>
  <c r="G407" i="42"/>
  <c r="F407" i="42"/>
  <c r="J407" i="42" s="1"/>
  <c r="E407" i="42"/>
  <c r="D407" i="42"/>
  <c r="O407" i="42" s="1"/>
  <c r="B407" i="42"/>
  <c r="I407" i="42" s="1"/>
  <c r="P407" i="42"/>
  <c r="G431" i="42"/>
  <c r="F431" i="42"/>
  <c r="D431" i="42"/>
  <c r="O431" i="42" s="1"/>
  <c r="B431" i="42"/>
  <c r="P431" i="42"/>
  <c r="O448" i="42"/>
  <c r="C431" i="42"/>
  <c r="J431" i="42" s="1"/>
  <c r="N434" i="42"/>
  <c r="J434" i="42"/>
  <c r="F434" i="42"/>
  <c r="D434" i="42"/>
  <c r="O434" i="42" s="1"/>
  <c r="C434" i="42"/>
  <c r="M434" i="42" s="1"/>
  <c r="P434" i="42"/>
  <c r="B455" i="42"/>
  <c r="P455" i="42"/>
  <c r="I455" i="42"/>
  <c r="F455" i="42"/>
  <c r="C455" i="42"/>
  <c r="K455" i="42" s="1"/>
  <c r="L505" i="42"/>
  <c r="K505" i="42"/>
  <c r="F505" i="42"/>
  <c r="D505" i="42"/>
  <c r="O505" i="42" s="1"/>
  <c r="C505" i="42"/>
  <c r="J505" i="42" s="1"/>
  <c r="B505" i="42"/>
  <c r="P505" i="42"/>
  <c r="Q505" i="42" s="1"/>
  <c r="N505" i="42"/>
  <c r="G505" i="42"/>
  <c r="K342" i="42"/>
  <c r="K346" i="42"/>
  <c r="K350" i="42"/>
  <c r="K354" i="42"/>
  <c r="K358" i="42"/>
  <c r="K362" i="42"/>
  <c r="I366" i="42"/>
  <c r="D366" i="42"/>
  <c r="L370" i="42"/>
  <c r="F382" i="42"/>
  <c r="H382" i="42" s="1"/>
  <c r="F386" i="42"/>
  <c r="H386" i="42" s="1"/>
  <c r="H407" i="42"/>
  <c r="J411" i="42"/>
  <c r="I411" i="42"/>
  <c r="F411" i="42"/>
  <c r="E411" i="42"/>
  <c r="D411" i="42"/>
  <c r="O411" i="42" s="1"/>
  <c r="B411" i="42"/>
  <c r="G411" i="42" s="1"/>
  <c r="P411" i="42"/>
  <c r="Q411" i="42" s="1"/>
  <c r="E425" i="42"/>
  <c r="H431" i="42"/>
  <c r="B434" i="42"/>
  <c r="P445" i="42"/>
  <c r="L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Q484" i="42" s="1"/>
  <c r="D484" i="42"/>
  <c r="O484" i="42" s="1"/>
  <c r="C484" i="42"/>
  <c r="M484" i="42" s="1"/>
  <c r="B484" i="42"/>
  <c r="F484" i="42"/>
  <c r="F399" i="42"/>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M451" i="42"/>
  <c r="J451" i="42"/>
  <c r="F451" i="42"/>
  <c r="E451" i="42"/>
  <c r="C451" i="42"/>
  <c r="I451" i="42" s="1"/>
  <c r="L382" i="42"/>
  <c r="M386" i="42"/>
  <c r="C399" i="42"/>
  <c r="E399" i="42" s="1"/>
  <c r="F406" i="42"/>
  <c r="D406" i="42"/>
  <c r="C406" i="42"/>
  <c r="E406" i="42" s="1"/>
  <c r="N407" i="42"/>
  <c r="G419" i="42"/>
  <c r="F419" i="42"/>
  <c r="D419" i="42"/>
  <c r="O419" i="42" s="1"/>
  <c r="B419" i="42"/>
  <c r="P419" i="42"/>
  <c r="E421" i="42"/>
  <c r="H430" i="42"/>
  <c r="F430" i="42"/>
  <c r="D430" i="42"/>
  <c r="C430" i="42"/>
  <c r="N430" i="42" s="1"/>
  <c r="N431" i="42"/>
  <c r="F438" i="42"/>
  <c r="P438" i="42"/>
  <c r="B438" i="42"/>
  <c r="F440" i="42"/>
  <c r="D440" i="42"/>
  <c r="O440" i="42" s="1"/>
  <c r="B440" i="42"/>
  <c r="P440" i="42"/>
  <c r="Q440" i="42" s="1"/>
  <c r="P342" i="42"/>
  <c r="Q342" i="42" s="1"/>
  <c r="P346" i="42"/>
  <c r="Q346" i="42" s="1"/>
  <c r="P350" i="42"/>
  <c r="Q350" i="42" s="1"/>
  <c r="P354" i="42"/>
  <c r="Q354" i="42" s="1"/>
  <c r="P358" i="42"/>
  <c r="Q358" i="42" s="1"/>
  <c r="P362" i="42"/>
  <c r="Q362" i="42" s="1"/>
  <c r="M369" i="42"/>
  <c r="H369" i="42"/>
  <c r="I378" i="42"/>
  <c r="D378" i="42"/>
  <c r="M382" i="42"/>
  <c r="H399" i="42"/>
  <c r="B406" i="42"/>
  <c r="M411" i="42"/>
  <c r="K415" i="42"/>
  <c r="C419" i="42"/>
  <c r="E419" i="42" s="1"/>
  <c r="K427" i="42"/>
  <c r="B430" i="42"/>
  <c r="C438" i="42"/>
  <c r="N438" i="42" s="1"/>
  <c r="C440" i="42"/>
  <c r="N440" i="42" s="1"/>
  <c r="F462" i="42"/>
  <c r="D462" i="42"/>
  <c r="O462" i="42" s="1"/>
  <c r="C462" i="42"/>
  <c r="L462" i="42" s="1"/>
  <c r="P462" i="42"/>
  <c r="K462" i="42"/>
  <c r="I462" i="42"/>
  <c r="B462" i="42"/>
  <c r="B369" i="42"/>
  <c r="I369" i="42" s="1"/>
  <c r="V370" i="42"/>
  <c r="B378" i="42"/>
  <c r="M378" i="42" s="1"/>
  <c r="E379" i="42"/>
  <c r="P379" i="42"/>
  <c r="Q379" i="42" s="1"/>
  <c r="L385" i="42"/>
  <c r="P386" i="42"/>
  <c r="Q386" i="42" s="1"/>
  <c r="P394" i="42"/>
  <c r="Q396" i="42"/>
  <c r="D398" i="42"/>
  <c r="C398" i="42"/>
  <c r="I399" i="42"/>
  <c r="P402" i="42"/>
  <c r="Q402" i="42" s="1"/>
  <c r="Q404" i="42"/>
  <c r="V407" i="42"/>
  <c r="F410" i="42"/>
  <c r="D410" i="42"/>
  <c r="O410" i="42" s="1"/>
  <c r="C410" i="42"/>
  <c r="M410" i="42" s="1"/>
  <c r="L415" i="42"/>
  <c r="J423"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K499" i="42"/>
  <c r="F499" i="42"/>
  <c r="C566" i="42"/>
  <c r="K566" i="42" s="1"/>
  <c r="G405" i="42"/>
  <c r="G409" i="42"/>
  <c r="G413" i="42"/>
  <c r="G417" i="42"/>
  <c r="G421" i="42"/>
  <c r="G425" i="42"/>
  <c r="G429" i="42"/>
  <c r="G433" i="42"/>
  <c r="M441" i="42"/>
  <c r="F446" i="42"/>
  <c r="D446" i="42"/>
  <c r="C446" i="42"/>
  <c r="B447" i="42"/>
  <c r="K447" i="42" s="1"/>
  <c r="P447" i="42"/>
  <c r="Q447" i="42" s="1"/>
  <c r="O447" i="42"/>
  <c r="H453" i="42"/>
  <c r="G453" i="42"/>
  <c r="D453" i="42"/>
  <c r="C453" i="42"/>
  <c r="J453" i="42" s="1"/>
  <c r="B463" i="42"/>
  <c r="P463" i="42"/>
  <c r="Q463" i="42" s="1"/>
  <c r="O463" i="42"/>
  <c r="L463" i="42"/>
  <c r="K463" i="42"/>
  <c r="C464" i="42"/>
  <c r="M464" i="42" s="1"/>
  <c r="P483" i="42"/>
  <c r="Q483" i="42" s="1"/>
  <c r="E486" i="42"/>
  <c r="G490" i="42"/>
  <c r="M490" i="42"/>
  <c r="L490" i="42"/>
  <c r="I490" i="42"/>
  <c r="C493" i="42"/>
  <c r="G499" i="42"/>
  <c r="V520" i="42"/>
  <c r="L364" i="42"/>
  <c r="L368" i="42"/>
  <c r="L372" i="42"/>
  <c r="H405" i="42"/>
  <c r="H409" i="42"/>
  <c r="H413" i="42"/>
  <c r="H417" i="42"/>
  <c r="H421" i="42"/>
  <c r="H425" i="42"/>
  <c r="H429" i="42"/>
  <c r="H433" i="42"/>
  <c r="N448" i="42"/>
  <c r="K448" i="42"/>
  <c r="N452" i="42"/>
  <c r="K452" i="42"/>
  <c r="H452" i="42"/>
  <c r="G452" i="42"/>
  <c r="I456" i="42"/>
  <c r="D464" i="42"/>
  <c r="O464" i="42" s="1"/>
  <c r="V470" i="42"/>
  <c r="N472" i="42"/>
  <c r="M472" i="42"/>
  <c r="J472" i="42"/>
  <c r="H472" i="42"/>
  <c r="G493" i="42"/>
  <c r="V497" i="42"/>
  <c r="K536" i="42"/>
  <c r="J536" i="42"/>
  <c r="M536" i="42"/>
  <c r="L536" i="42"/>
  <c r="H536" i="42"/>
  <c r="G536" i="42"/>
  <c r="E536" i="42"/>
  <c r="F541" i="42"/>
  <c r="D541" i="42"/>
  <c r="O541" i="42" s="1"/>
  <c r="C541" i="42"/>
  <c r="N541" i="42" s="1"/>
  <c r="P541" i="42"/>
  <c r="C564" i="42"/>
  <c r="N564" i="42" s="1"/>
  <c r="D564" i="42"/>
  <c r="O564" i="42" s="1"/>
  <c r="B564" i="42"/>
  <c r="P564" i="42"/>
  <c r="Q564" i="42" s="1"/>
  <c r="M564" i="42"/>
  <c r="H564" i="42"/>
  <c r="H476" i="42"/>
  <c r="E476" i="42"/>
  <c r="I486" i="42"/>
  <c r="N499" i="42"/>
  <c r="J405" i="42"/>
  <c r="J409" i="42"/>
  <c r="J413" i="42"/>
  <c r="J417" i="42"/>
  <c r="J421" i="42"/>
  <c r="J425" i="42"/>
  <c r="J429" i="42"/>
  <c r="J433" i="42"/>
  <c r="F450" i="42"/>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K480" i="42" s="1"/>
  <c r="B480" i="42"/>
  <c r="I480" i="42" s="1"/>
  <c r="I481" i="42"/>
  <c r="N486" i="42"/>
  <c r="H498" i="42"/>
  <c r="G498" i="42"/>
  <c r="L498" i="42"/>
  <c r="K498" i="42"/>
  <c r="J498" i="42"/>
  <c r="I498" i="42"/>
  <c r="E498" i="42"/>
  <c r="L545"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Q459" i="42" s="1"/>
  <c r="L459" i="42"/>
  <c r="K459" i="42"/>
  <c r="B460" i="42"/>
  <c r="G460" i="42" s="1"/>
  <c r="H463" i="42"/>
  <c r="K464" i="42"/>
  <c r="M470" i="42"/>
  <c r="L470" i="42"/>
  <c r="F471" i="42"/>
  <c r="K472" i="42"/>
  <c r="J476" i="42"/>
  <c r="D480" i="42"/>
  <c r="O480" i="42" s="1"/>
  <c r="J481" i="42"/>
  <c r="F549" i="42"/>
  <c r="E549" i="42"/>
  <c r="D549" i="42"/>
  <c r="O549" i="42" s="1"/>
  <c r="C549" i="42"/>
  <c r="K549" i="42" s="1"/>
  <c r="P549" i="42"/>
  <c r="Q549" i="42" s="1"/>
  <c r="N405" i="42"/>
  <c r="N409" i="42"/>
  <c r="N413" i="42"/>
  <c r="N417" i="42"/>
  <c r="N421" i="42"/>
  <c r="N425" i="42"/>
  <c r="N429" i="42"/>
  <c r="N433" i="42"/>
  <c r="P437" i="42"/>
  <c r="Q437" i="42" s="1"/>
  <c r="C441" i="42"/>
  <c r="J441" i="42" s="1"/>
  <c r="P443" i="42"/>
  <c r="Q443" i="42" s="1"/>
  <c r="I447" i="42"/>
  <c r="G448" i="42"/>
  <c r="H450" i="42"/>
  <c r="I452" i="42"/>
  <c r="C460" i="42"/>
  <c r="K460" i="42" s="1"/>
  <c r="I463" i="42"/>
  <c r="P468" i="42"/>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L450" i="42"/>
  <c r="P452" i="42"/>
  <c r="Q452" i="42" s="1"/>
  <c r="N456" i="42"/>
  <c r="L456" i="42"/>
  <c r="K456" i="42"/>
  <c r="H456" i="42"/>
  <c r="G456" i="42"/>
  <c r="B457" i="42"/>
  <c r="H468" i="42"/>
  <c r="N471" i="42"/>
  <c r="V476" i="42"/>
  <c r="F479" i="42"/>
  <c r="L480" i="42"/>
  <c r="D491" i="42"/>
  <c r="O491" i="42" s="1"/>
  <c r="C491" i="42"/>
  <c r="J491" i="42" s="1"/>
  <c r="Q491" i="42"/>
  <c r="P491" i="42"/>
  <c r="P495" i="42"/>
  <c r="K500" i="42"/>
  <c r="M512" i="42"/>
  <c r="L512" i="42"/>
  <c r="K512" i="42"/>
  <c r="J512" i="42"/>
  <c r="H512" i="42"/>
  <c r="G512" i="42"/>
  <c r="V521" i="42"/>
  <c r="D535" i="42"/>
  <c r="O535" i="42" s="1"/>
  <c r="C535" i="42"/>
  <c r="K535" i="42" s="1"/>
  <c r="M535" i="42"/>
  <c r="P535" i="42"/>
  <c r="L535" i="42"/>
  <c r="J535" i="42"/>
  <c r="I535" i="42"/>
  <c r="F535" i="42"/>
  <c r="N535" i="42" s="1"/>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E619" i="42"/>
  <c r="G466" i="42"/>
  <c r="F467" i="42"/>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Q551" i="42" s="1"/>
  <c r="D551" i="42"/>
  <c r="O551" i="42" s="1"/>
  <c r="C551" i="42"/>
  <c r="G551" i="42" s="1"/>
  <c r="N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L587" i="42"/>
  <c r="K587" i="42"/>
  <c r="F587" i="42"/>
  <c r="C587" i="42"/>
  <c r="G587" i="42" s="1"/>
  <c r="H486" i="42"/>
  <c r="D507" i="42"/>
  <c r="O507" i="42" s="1"/>
  <c r="C507" i="42"/>
  <c r="L507" i="42" s="1"/>
  <c r="M507" i="42"/>
  <c r="P508" i="42"/>
  <c r="Q508" i="42" s="1"/>
  <c r="O508" i="42"/>
  <c r="I508" i="42"/>
  <c r="L521" i="42"/>
  <c r="K521" i="42"/>
  <c r="E521" i="42"/>
  <c r="Q522" i="42"/>
  <c r="D523" i="42"/>
  <c r="O523" i="42" s="1"/>
  <c r="C523" i="42"/>
  <c r="E523" i="42"/>
  <c r="G529" i="42"/>
  <c r="H532" i="42"/>
  <c r="N533" i="42"/>
  <c r="M534" i="42"/>
  <c r="D543" i="42"/>
  <c r="Q543" i="42" s="1"/>
  <c r="C543" i="42"/>
  <c r="F551" i="42"/>
  <c r="P472" i="42"/>
  <c r="Q472" i="42" s="1"/>
  <c r="I472" i="42"/>
  <c r="K476" i="42"/>
  <c r="J477" i="42"/>
  <c r="J478"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J531" i="42"/>
  <c r="K532" i="42"/>
  <c r="O533" i="42"/>
  <c r="N534" i="42"/>
  <c r="B543" i="42"/>
  <c r="D547" i="42"/>
  <c r="O547" i="42" s="1"/>
  <c r="C547" i="42"/>
  <c r="N547" i="42" s="1"/>
  <c r="P547" i="42"/>
  <c r="Q547" i="42" s="1"/>
  <c r="F653" i="42"/>
  <c r="H653" i="42" s="1"/>
  <c r="D653" i="42"/>
  <c r="O653" i="42" s="1"/>
  <c r="P653" i="42"/>
  <c r="Q653" i="42" s="1"/>
  <c r="N653" i="42"/>
  <c r="L653" i="42"/>
  <c r="C653" i="42"/>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Q627" i="42" s="1"/>
  <c r="K627" i="42"/>
  <c r="D511" i="42"/>
  <c r="O511" i="42" s="1"/>
  <c r="C511" i="42"/>
  <c r="M511" i="42" s="1"/>
  <c r="E511" i="42"/>
  <c r="H518" i="42"/>
  <c r="G518" i="42"/>
  <c r="I518" i="42"/>
  <c r="G523" i="42"/>
  <c r="L530" i="42"/>
  <c r="M532" i="42"/>
  <c r="F547" i="42"/>
  <c r="H553" i="42"/>
  <c r="O553" i="42"/>
  <c r="N553" i="42"/>
  <c r="K553" i="42"/>
  <c r="I553" i="42"/>
  <c r="G553" i="42"/>
  <c r="F553" i="42"/>
  <c r="J553" i="42" s="1"/>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D597" i="42"/>
  <c r="O597" i="42" s="1"/>
  <c r="P597" i="42"/>
  <c r="C597" i="42"/>
  <c r="E608" i="42"/>
  <c r="L608" i="42"/>
  <c r="F621" i="42"/>
  <c r="E621" i="42"/>
  <c r="D621" i="42"/>
  <c r="O621" i="42" s="1"/>
  <c r="P621" i="42"/>
  <c r="Q621" i="42" s="1"/>
  <c r="L621" i="42"/>
  <c r="C621" i="42"/>
  <c r="M621" i="42" s="1"/>
  <c r="B621" i="42"/>
  <c r="N623" i="42"/>
  <c r="L623" i="42"/>
  <c r="K623" i="42"/>
  <c r="J623" i="42"/>
  <c r="F623" i="42"/>
  <c r="H623" i="42" s="1"/>
  <c r="D623" i="42"/>
  <c r="O623" i="42" s="1"/>
  <c r="P623" i="42"/>
  <c r="Q623" i="42" s="1"/>
  <c r="B623" i="42"/>
  <c r="G623" i="42" s="1"/>
  <c r="P636" i="42"/>
  <c r="L636" i="42"/>
  <c r="F636" i="42"/>
  <c r="C636" i="42"/>
  <c r="B636" i="42"/>
  <c r="G567" i="42"/>
  <c r="P567" i="42"/>
  <c r="L578" i="42"/>
  <c r="V585" i="42"/>
  <c r="C588" i="42"/>
  <c r="P588" i="42"/>
  <c r="D589" i="42"/>
  <c r="O589" i="42" s="1"/>
  <c r="P589" i="42"/>
  <c r="M589" i="42"/>
  <c r="I589" i="42"/>
  <c r="E589" i="42"/>
  <c r="H596" i="42"/>
  <c r="N596" i="42"/>
  <c r="K596" i="42"/>
  <c r="J596" i="42"/>
  <c r="E596" i="42"/>
  <c r="F613" i="42"/>
  <c r="E613" i="42"/>
  <c r="H613" i="42"/>
  <c r="C613" i="42"/>
  <c r="B613" i="42"/>
  <c r="K613" i="42" s="1"/>
  <c r="P613" i="42"/>
  <c r="Q613" i="42" s="1"/>
  <c r="N613" i="42"/>
  <c r="M613" i="42"/>
  <c r="G613" i="42"/>
  <c r="N625" i="42"/>
  <c r="D636" i="42"/>
  <c r="O636" i="42" s="1"/>
  <c r="V554" i="42"/>
  <c r="M556" i="42"/>
  <c r="G558" i="42"/>
  <c r="L560" i="42"/>
  <c r="L563" i="42"/>
  <c r="D567" i="42"/>
  <c r="Q567" i="42" s="1"/>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G583" i="42"/>
  <c r="D583" i="42"/>
  <c r="O583" i="42" s="1"/>
  <c r="P583" i="42"/>
  <c r="L583" i="42"/>
  <c r="F588" i="42"/>
  <c r="G589" i="42"/>
  <c r="I590" i="42"/>
  <c r="C595" i="42"/>
  <c r="L595" i="42" s="1"/>
  <c r="B595" i="42"/>
  <c r="F600" i="42"/>
  <c r="C600" i="42"/>
  <c r="K600" i="42" s="1"/>
  <c r="B600" i="42"/>
  <c r="F567" i="42"/>
  <c r="M573" i="42"/>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I583" i="42" s="1"/>
  <c r="E584" i="42"/>
  <c r="E585" i="42"/>
  <c r="J589" i="42"/>
  <c r="L590" i="42"/>
  <c r="N594" i="42"/>
  <c r="I596" i="42"/>
  <c r="C599" i="42"/>
  <c r="K599" i="42" s="1"/>
  <c r="M599" i="42"/>
  <c r="F599" i="42"/>
  <c r="E600" i="42"/>
  <c r="N605" i="42"/>
  <c r="J548" i="42"/>
  <c r="C555" i="42"/>
  <c r="E555" i="42" s="1"/>
  <c r="E560" i="42"/>
  <c r="V562" i="42"/>
  <c r="I567" i="42"/>
  <c r="D569" i="42"/>
  <c r="P571" i="42"/>
  <c r="Q571" i="42" s="1"/>
  <c r="P573" i="42"/>
  <c r="D579" i="42"/>
  <c r="O579" i="42" s="1"/>
  <c r="P579" i="42"/>
  <c r="C582" i="42"/>
  <c r="E583" i="42"/>
  <c r="K589" i="42"/>
  <c r="F595" i="42"/>
  <c r="P620" i="42"/>
  <c r="C620" i="42"/>
  <c r="J620" i="42" s="1"/>
  <c r="L629" i="42"/>
  <c r="K629" i="42"/>
  <c r="J629" i="42"/>
  <c r="I629" i="42"/>
  <c r="G554" i="42"/>
  <c r="D555" i="42"/>
  <c r="O555" i="42" s="1"/>
  <c r="L556" i="42"/>
  <c r="K562" i="42"/>
  <c r="D562" i="42"/>
  <c r="O562" i="42" s="1"/>
  <c r="J567" i="42"/>
  <c r="K578" i="42"/>
  <c r="D578" i="42"/>
  <c r="O578" i="42" s="1"/>
  <c r="P578" i="42"/>
  <c r="B579" i="42"/>
  <c r="E582"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Q596" i="42" s="1"/>
  <c r="O604" i="42"/>
  <c r="F604" i="42"/>
  <c r="C604" i="42"/>
  <c r="B604" i="42"/>
  <c r="L604" i="42"/>
  <c r="H605" i="42"/>
  <c r="J606" i="42"/>
  <c r="F609" i="42"/>
  <c r="L609" i="42" s="1"/>
  <c r="Q609" i="42"/>
  <c r="C609" i="42"/>
  <c r="J609" i="42" s="1"/>
  <c r="B609" i="42"/>
  <c r="O609" i="42"/>
  <c r="D620" i="42"/>
  <c r="O620" i="42" s="1"/>
  <c r="N629" i="42"/>
  <c r="I651" i="42"/>
  <c r="E651" i="42"/>
  <c r="E660" i="42"/>
  <c r="M660" i="42"/>
  <c r="L660" i="42"/>
  <c r="K660" i="42"/>
  <c r="J660" i="42"/>
  <c r="I660" i="42"/>
  <c r="P660" i="42"/>
  <c r="F660" i="42"/>
  <c r="H660" i="42" s="1"/>
  <c r="N660" i="42"/>
  <c r="D660" i="42"/>
  <c r="O660" i="42" s="1"/>
  <c r="C660" i="42"/>
  <c r="B660" i="42"/>
  <c r="G660" i="42" s="1"/>
  <c r="D575" i="42"/>
  <c r="O575" i="42" s="1"/>
  <c r="P575" i="42"/>
  <c r="K593" i="42"/>
  <c r="D593" i="42"/>
  <c r="O593" i="42" s="1"/>
  <c r="F593" i="42"/>
  <c r="B593" i="42"/>
  <c r="G593" i="42" s="1"/>
  <c r="Q593" i="42"/>
  <c r="P593" i="42"/>
  <c r="L593" i="42"/>
  <c r="P598" i="42"/>
  <c r="F598" i="42"/>
  <c r="B598" i="42"/>
  <c r="J612" i="42"/>
  <c r="K612" i="42"/>
  <c r="H612" i="42"/>
  <c r="E612" i="42"/>
  <c r="D612" i="42"/>
  <c r="O612" i="42" s="1"/>
  <c r="B612" i="42"/>
  <c r="I612" i="42" s="1"/>
  <c r="P612" i="42"/>
  <c r="M612" i="42"/>
  <c r="G612" i="42"/>
  <c r="F612" i="42"/>
  <c r="N612" i="42" s="1"/>
  <c r="H573" i="42"/>
  <c r="D573" i="42"/>
  <c r="O573" i="42" s="1"/>
  <c r="D574" i="42"/>
  <c r="O574" i="42" s="1"/>
  <c r="P574" i="42"/>
  <c r="B575" i="42"/>
  <c r="I582" i="42"/>
  <c r="O588" i="42"/>
  <c r="Q589" i="42"/>
  <c r="H592" i="42"/>
  <c r="D592" i="42"/>
  <c r="O592" i="42" s="1"/>
  <c r="C593" i="42"/>
  <c r="C598" i="42"/>
  <c r="I598" i="42" s="1"/>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J582" i="42"/>
  <c r="K583" i="42"/>
  <c r="M584" i="42"/>
  <c r="M585" i="42"/>
  <c r="Q588" i="42"/>
  <c r="V589" i="42"/>
  <c r="B592" i="42"/>
  <c r="D598" i="42"/>
  <c r="O598" i="42" s="1"/>
  <c r="P600" i="42"/>
  <c r="O603" i="42"/>
  <c r="G604" i="42"/>
  <c r="N606" i="42"/>
  <c r="L612" i="42"/>
  <c r="V624" i="42"/>
  <c r="L552" i="42"/>
  <c r="L554" i="42"/>
  <c r="I555" i="42"/>
  <c r="F556" i="42"/>
  <c r="J556" i="42" s="1"/>
  <c r="G562" i="42"/>
  <c r="O565" i="42"/>
  <c r="H565" i="42"/>
  <c r="K569" i="42"/>
  <c r="C573" i="42"/>
  <c r="K573" i="42" s="1"/>
  <c r="C574" i="42"/>
  <c r="N574" i="42" s="1"/>
  <c r="L582" i="42"/>
  <c r="M583" i="42"/>
  <c r="C591" i="42"/>
  <c r="L591" i="42" s="1"/>
  <c r="P591" i="42"/>
  <c r="Q591" i="42" s="1"/>
  <c r="C592" i="42"/>
  <c r="G592" i="42" s="1"/>
  <c r="P595" i="42"/>
  <c r="Q595" i="42" s="1"/>
  <c r="E598" i="42"/>
  <c r="P652" i="42"/>
  <c r="Q652" i="42" s="1"/>
  <c r="G652" i="42"/>
  <c r="E652" i="42"/>
  <c r="F652" i="42"/>
  <c r="D652" i="42"/>
  <c r="O652" i="42" s="1"/>
  <c r="C652" i="42"/>
  <c r="L652" i="42" s="1"/>
  <c r="B652" i="42"/>
  <c r="J594" i="42"/>
  <c r="G614" i="42"/>
  <c r="N650" i="42"/>
  <c r="M650" i="42"/>
  <c r="K650" i="42"/>
  <c r="I650" i="42"/>
  <c r="N655" i="42"/>
  <c r="P655" i="42"/>
  <c r="H655" i="42"/>
  <c r="G655" i="42"/>
  <c r="E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I640"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N631" i="42"/>
  <c r="L631" i="42"/>
  <c r="C631" i="42"/>
  <c r="J631" i="42" s="1"/>
  <c r="B631" i="42"/>
  <c r="G631" i="42" s="1"/>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G625" i="42" s="1"/>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G639" i="42"/>
  <c r="F639" i="42"/>
  <c r="H639" i="42" s="1"/>
  <c r="D639" i="42"/>
  <c r="O639" i="42" s="1"/>
  <c r="N643" i="42"/>
  <c r="M643" i="42"/>
  <c r="L643" i="42"/>
  <c r="F643" i="42"/>
  <c r="D643" i="42"/>
  <c r="Q643" i="42" s="1"/>
  <c r="C643" i="42"/>
  <c r="B643" i="42"/>
  <c r="I656" i="42"/>
  <c r="P656" i="42"/>
  <c r="L656" i="42"/>
  <c r="D656" i="42"/>
  <c r="C656" i="42"/>
  <c r="E656" i="42" s="1"/>
  <c r="G594" i="42"/>
  <c r="P594" i="42"/>
  <c r="Q594" i="42" s="1"/>
  <c r="F603" i="42"/>
  <c r="B605" i="42"/>
  <c r="M607" i="42"/>
  <c r="E607" i="42"/>
  <c r="D607" i="42"/>
  <c r="O607" i="42" s="1"/>
  <c r="M608" i="42"/>
  <c r="M625" i="42"/>
  <c r="B639" i="42"/>
  <c r="M639" i="42" s="1"/>
  <c r="P640" i="42"/>
  <c r="J649" i="42"/>
  <c r="N654" i="42"/>
  <c r="M654" i="42"/>
  <c r="L654" i="42"/>
  <c r="K654" i="42"/>
  <c r="J654" i="42"/>
  <c r="I654" i="42"/>
  <c r="G654" i="42"/>
  <c r="E654" i="42"/>
  <c r="B656" i="42"/>
  <c r="H658" i="42"/>
  <c r="K665" i="42"/>
  <c r="G667" i="42"/>
  <c r="H643" i="42"/>
  <c r="E648" i="42"/>
  <c r="F656" i="42"/>
  <c r="N667" i="42"/>
  <c r="I611" i="42"/>
  <c r="H617" i="42"/>
  <c r="H618" i="42"/>
  <c r="F624" i="42"/>
  <c r="C624" i="42"/>
  <c r="I631" i="42"/>
  <c r="N635" i="42"/>
  <c r="M635" i="42"/>
  <c r="L635" i="42"/>
  <c r="Q635" i="42"/>
  <c r="O635" i="42"/>
  <c r="K635" i="42"/>
  <c r="J635" i="42"/>
  <c r="H635" i="42"/>
  <c r="E639" i="42"/>
  <c r="I643" i="42"/>
  <c r="D594" i="42"/>
  <c r="O594" i="42" s="1"/>
  <c r="I601" i="42"/>
  <c r="J602" i="42"/>
  <c r="F607" i="42"/>
  <c r="H610" i="42"/>
  <c r="I617" i="42"/>
  <c r="I618" i="42"/>
  <c r="B624" i="42"/>
  <c r="P625" i="42"/>
  <c r="Q625" i="42" s="1"/>
  <c r="B635" i="42"/>
  <c r="I635" i="42" s="1"/>
  <c r="I639" i="42"/>
  <c r="J643" i="42"/>
  <c r="O647" i="42"/>
  <c r="V632" i="42"/>
  <c r="N638" i="42"/>
  <c r="M638" i="42"/>
  <c r="K638" i="42"/>
  <c r="J638" i="42"/>
  <c r="I638" i="42"/>
  <c r="G638" i="42"/>
  <c r="K648" i="42"/>
  <c r="N651" i="42"/>
  <c r="M651" i="42"/>
  <c r="L651" i="42"/>
  <c r="P651" i="42"/>
  <c r="Q651" i="42" s="1"/>
  <c r="O651" i="42"/>
  <c r="K651" i="42"/>
  <c r="J651" i="42"/>
  <c r="H651" i="42"/>
  <c r="F651" i="42"/>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J659" i="42"/>
  <c r="H659" i="42"/>
  <c r="G659" i="42"/>
  <c r="E659" i="42"/>
  <c r="D659" i="42"/>
  <c r="O659" i="42" s="1"/>
  <c r="C659" i="42"/>
  <c r="I659" i="42" s="1"/>
  <c r="E695" i="42"/>
  <c r="K695" i="42"/>
  <c r="O730" i="42"/>
  <c r="Q730" i="42"/>
  <c r="V678" i="42"/>
  <c r="C688" i="42"/>
  <c r="E688" i="42" s="1"/>
  <c r="F688" i="42"/>
  <c r="D688" i="42"/>
  <c r="O688" i="42" s="1"/>
  <c r="B688" i="42"/>
  <c r="P688" i="42"/>
  <c r="M688" i="42"/>
  <c r="J695" i="42"/>
  <c r="J669" i="42"/>
  <c r="M669" i="42"/>
  <c r="K669" i="42"/>
  <c r="H669" i="42"/>
  <c r="G669" i="42"/>
  <c r="E669" i="42"/>
  <c r="M695" i="42"/>
  <c r="C704" i="42"/>
  <c r="H704" i="42" s="1"/>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Q694" i="42" s="1"/>
  <c r="C750" i="42"/>
  <c r="L750" i="42" s="1"/>
  <c r="I750" i="42"/>
  <c r="P750" i="42"/>
  <c r="N750" i="42"/>
  <c r="H750" i="42"/>
  <c r="G750" i="42"/>
  <c r="F750" i="42"/>
  <c r="E750" i="42"/>
  <c r="D750" i="42"/>
  <c r="O750" i="42" s="1"/>
  <c r="B750" i="42"/>
  <c r="J628" i="42"/>
  <c r="I628" i="42"/>
  <c r="J644" i="42"/>
  <c r="I644" i="42"/>
  <c r="H644" i="42"/>
  <c r="G664" i="42"/>
  <c r="N664" i="42"/>
  <c r="P668" i="42"/>
  <c r="Q668" i="42" s="1"/>
  <c r="J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I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O649" i="42" s="1"/>
  <c r="G662" i="42"/>
  <c r="K664" i="42"/>
  <c r="I667" i="42"/>
  <c r="Q667" i="42"/>
  <c r="O667" i="42"/>
  <c r="M667" i="42"/>
  <c r="L667" i="42"/>
  <c r="K667" i="42"/>
  <c r="J667" i="42"/>
  <c r="H667" i="42"/>
  <c r="F667" i="42"/>
  <c r="L672" i="42"/>
  <c r="V676" i="42"/>
  <c r="J683" i="42"/>
  <c r="I705" i="42"/>
  <c r="J705" i="42"/>
  <c r="H705" i="42"/>
  <c r="G705" i="42"/>
  <c r="N705" i="42"/>
  <c r="L705" i="42"/>
  <c r="E705" i="42"/>
  <c r="C716" i="42"/>
  <c r="J716" i="42" s="1"/>
  <c r="D716" i="42"/>
  <c r="O716" i="42" s="1"/>
  <c r="B716" i="42"/>
  <c r="P716" i="42"/>
  <c r="E676" i="42"/>
  <c r="F676" i="42"/>
  <c r="G689" i="42"/>
  <c r="H690" i="42"/>
  <c r="K691" i="42"/>
  <c r="F716" i="42"/>
  <c r="O727" i="42"/>
  <c r="C727" i="42"/>
  <c r="B727" i="42"/>
  <c r="M727" i="42" s="1"/>
  <c r="P727" i="42"/>
  <c r="Q727" i="42" s="1"/>
  <c r="L727" i="42"/>
  <c r="D676" i="42"/>
  <c r="O676" i="42" s="1"/>
  <c r="P678" i="42"/>
  <c r="K689" i="42"/>
  <c r="N691" i="42"/>
  <c r="C708" i="42"/>
  <c r="N708" i="42" s="1"/>
  <c r="D708" i="42"/>
  <c r="O708" i="42" s="1"/>
  <c r="H708" i="42"/>
  <c r="F727" i="42"/>
  <c r="I755" i="42"/>
  <c r="P755" i="42"/>
  <c r="Q755" i="42" s="1"/>
  <c r="E755" i="42"/>
  <c r="J755" i="42"/>
  <c r="F755" i="42"/>
  <c r="D755" i="42"/>
  <c r="O755" i="42" s="1"/>
  <c r="C755" i="42"/>
  <c r="G755" i="42" s="1"/>
  <c r="B755" i="42"/>
  <c r="M755" i="42" s="1"/>
  <c r="K673" i="42"/>
  <c r="H676" i="42"/>
  <c r="E677" i="42"/>
  <c r="C678" i="42"/>
  <c r="E680" i="42"/>
  <c r="J680" i="42"/>
  <c r="P680" i="42"/>
  <c r="M689" i="42"/>
  <c r="E700" i="42"/>
  <c r="C700" i="42"/>
  <c r="D700" i="42"/>
  <c r="O700" i="42" s="1"/>
  <c r="J700" i="42"/>
  <c r="P700" i="42"/>
  <c r="F708" i="42"/>
  <c r="N716" i="42"/>
  <c r="V727" i="42"/>
  <c r="D671" i="42"/>
  <c r="O671" i="42" s="1"/>
  <c r="L673" i="42"/>
  <c r="I676" i="42"/>
  <c r="D678" i="42"/>
  <c r="O678" i="42" s="1"/>
  <c r="Q681" i="42"/>
  <c r="V682" i="42"/>
  <c r="N689" i="42"/>
  <c r="N701" i="42"/>
  <c r="L701" i="42"/>
  <c r="P707" i="42"/>
  <c r="F707" i="42"/>
  <c r="J708" i="42"/>
  <c r="I715" i="42"/>
  <c r="E715"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H700" i="42" s="1"/>
  <c r="B707" i="42"/>
  <c r="K708" i="42"/>
  <c r="C715" i="42"/>
  <c r="L715" i="42" s="1"/>
  <c r="C728" i="42"/>
  <c r="D728" i="42"/>
  <c r="O728" i="42" s="1"/>
  <c r="B728" i="42"/>
  <c r="P728" i="42"/>
  <c r="C663" i="42"/>
  <c r="M663" i="42" s="1"/>
  <c r="E664" i="42"/>
  <c r="J664" i="42"/>
  <c r="C671" i="42"/>
  <c r="I671" i="42" s="1"/>
  <c r="K676" i="42"/>
  <c r="I677" i="42"/>
  <c r="G678" i="42"/>
  <c r="D680" i="42"/>
  <c r="O680" i="42" s="1"/>
  <c r="C682" i="42"/>
  <c r="M682" i="42" s="1"/>
  <c r="I682" i="42"/>
  <c r="I683" i="42"/>
  <c r="G683" i="42"/>
  <c r="F683" i="42"/>
  <c r="C699" i="42"/>
  <c r="L699" i="42" s="1"/>
  <c r="G700" i="42"/>
  <c r="E701" i="42"/>
  <c r="C707" i="42"/>
  <c r="K707" i="42" s="1"/>
  <c r="F715" i="42"/>
  <c r="E722" i="42"/>
  <c r="N722" i="42"/>
  <c r="L722" i="42"/>
  <c r="F728" i="42"/>
  <c r="H731" i="42"/>
  <c r="B779" i="42"/>
  <c r="F779" i="42"/>
  <c r="C779" i="42"/>
  <c r="N779" i="42" s="1"/>
  <c r="D779" i="42"/>
  <c r="O779" i="42" s="1"/>
  <c r="P779" i="42"/>
  <c r="Q779" i="42" s="1"/>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D695" i="42"/>
  <c r="Q695" i="42" s="1"/>
  <c r="E697" i="42"/>
  <c r="E698" i="42"/>
  <c r="K700" i="42"/>
  <c r="H701" i="42"/>
  <c r="C706" i="42"/>
  <c r="M706" i="42" s="1"/>
  <c r="P708" i="42"/>
  <c r="M715" i="42"/>
  <c r="K717" i="42"/>
  <c r="G717" i="42"/>
  <c r="N717" i="42"/>
  <c r="M717" i="42"/>
  <c r="I713" i="42"/>
  <c r="J713" i="42"/>
  <c r="H713" i="42"/>
  <c r="I722" i="42"/>
  <c r="F726" i="42"/>
  <c r="E733" i="42"/>
  <c r="C740" i="42"/>
  <c r="K740" i="42"/>
  <c r="B740" i="42"/>
  <c r="H740" i="42"/>
  <c r="F740" i="42"/>
  <c r="N740" i="42" s="1"/>
  <c r="D740" i="42"/>
  <c r="O740" i="42" s="1"/>
  <c r="P740" i="42"/>
  <c r="C768" i="42"/>
  <c r="P768" i="42"/>
  <c r="G768" i="42"/>
  <c r="F768" i="42"/>
  <c r="D768" i="42"/>
  <c r="O768" i="42" s="1"/>
  <c r="B768" i="42"/>
  <c r="C666" i="42"/>
  <c r="N666" i="42" s="1"/>
  <c r="N673" i="42"/>
  <c r="N677" i="42"/>
  <c r="L678" i="42"/>
  <c r="F695" i="42"/>
  <c r="H695" i="42" s="1"/>
  <c r="G697" i="42"/>
  <c r="M700" i="42"/>
  <c r="J701" i="42"/>
  <c r="E717" i="42"/>
  <c r="J722" i="42"/>
  <c r="M734" i="42"/>
  <c r="I734" i="42"/>
  <c r="G735" i="42"/>
  <c r="O735" i="42"/>
  <c r="P735" i="42"/>
  <c r="Q735" i="42" s="1"/>
  <c r="H735" i="42"/>
  <c r="G737" i="42"/>
  <c r="L737" i="42"/>
  <c r="E737" i="42"/>
  <c r="F738" i="42"/>
  <c r="K743" i="42"/>
  <c r="L747" i="42"/>
  <c r="I760" i="42"/>
  <c r="J760" i="42"/>
  <c r="G760" i="42"/>
  <c r="P760" i="42"/>
  <c r="Q760" i="42" s="1"/>
  <c r="M760" i="42"/>
  <c r="L760" i="42"/>
  <c r="C776" i="42"/>
  <c r="I776" i="42" s="1"/>
  <c r="J821" i="42"/>
  <c r="E821" i="42"/>
  <c r="D821" i="42"/>
  <c r="O821" i="42" s="1"/>
  <c r="C821" i="42"/>
  <c r="M821" i="42" s="1"/>
  <c r="Q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E735" i="42"/>
  <c r="I737" i="42"/>
  <c r="P742" i="42"/>
  <c r="Q742" i="42" s="1"/>
  <c r="P743" i="42"/>
  <c r="V747" i="42"/>
  <c r="Q749" i="42"/>
  <c r="D751" i="42"/>
  <c r="O751" i="42" s="1"/>
  <c r="B759" i="42"/>
  <c r="P759" i="42"/>
  <c r="E760" i="42"/>
  <c r="L761" i="42"/>
  <c r="F771" i="42"/>
  <c r="D773" i="42"/>
  <c r="O773" i="42" s="1"/>
  <c r="P773" i="42"/>
  <c r="Q773" i="42" s="1"/>
  <c r="C773" i="42"/>
  <c r="B773" i="42"/>
  <c r="F776" i="42"/>
  <c r="I711" i="42"/>
  <c r="O711" i="42"/>
  <c r="O718" i="42"/>
  <c r="P719" i="42"/>
  <c r="Q719" i="42" s="1"/>
  <c r="P720" i="42"/>
  <c r="M723" i="42"/>
  <c r="I730" i="42"/>
  <c r="F734" i="42"/>
  <c r="F735" i="42"/>
  <c r="J737" i="42"/>
  <c r="E751" i="42"/>
  <c r="V753" i="42"/>
  <c r="M756" i="42"/>
  <c r="C759" i="42"/>
  <c r="F760" i="42"/>
  <c r="F773" i="42"/>
  <c r="M810" i="42"/>
  <c r="J810" i="42"/>
  <c r="I810" i="42"/>
  <c r="G810" i="42"/>
  <c r="E810" i="42"/>
  <c r="N810" i="42"/>
  <c r="L810" i="42"/>
  <c r="M698" i="42"/>
  <c r="K698" i="42"/>
  <c r="G698" i="42"/>
  <c r="B711" i="42"/>
  <c r="G711" i="42" s="1"/>
  <c r="E712" i="42"/>
  <c r="C712" i="42"/>
  <c r="M712" i="42"/>
  <c r="J730" i="42"/>
  <c r="G734" i="42"/>
  <c r="J735" i="42"/>
  <c r="K737" i="42"/>
  <c r="G749" i="42"/>
  <c r="N749" i="42"/>
  <c r="J749" i="42"/>
  <c r="F751" i="42"/>
  <c r="H751" i="42" s="1"/>
  <c r="Q758" i="42"/>
  <c r="D759" i="42"/>
  <c r="O759" i="42" s="1"/>
  <c r="H760" i="42"/>
  <c r="P776" i="42"/>
  <c r="Q776" i="42" s="1"/>
  <c r="Q713" i="42"/>
  <c r="L730" i="42"/>
  <c r="K735" i="42"/>
  <c r="M737" i="42"/>
  <c r="P738" i="42"/>
  <c r="Q738" i="42" s="1"/>
  <c r="V741" i="42"/>
  <c r="J751" i="42"/>
  <c r="M754" i="42"/>
  <c r="C754" i="42"/>
  <c r="K754" i="42" s="1"/>
  <c r="P754" i="42"/>
  <c r="Q754" i="42" s="1"/>
  <c r="O754" i="42"/>
  <c r="N754" i="42"/>
  <c r="J754" i="42"/>
  <c r="F754" i="42"/>
  <c r="V756" i="42"/>
  <c r="K760" i="42"/>
  <c r="V782" i="42"/>
  <c r="M714" i="42"/>
  <c r="K714" i="42"/>
  <c r="G714" i="42"/>
  <c r="J734" i="42"/>
  <c r="L735" i="42"/>
  <c r="N737" i="42"/>
  <c r="E749" i="42"/>
  <c r="K751" i="42"/>
  <c r="M758" i="42"/>
  <c r="E758" i="42"/>
  <c r="N758" i="42"/>
  <c r="I758" i="42"/>
  <c r="F759" i="42"/>
  <c r="N760" i="42"/>
  <c r="K770" i="42"/>
  <c r="L770" i="42"/>
  <c r="I770" i="42"/>
  <c r="M770" i="42"/>
  <c r="J770" i="42"/>
  <c r="H770" i="42"/>
  <c r="E770" i="42"/>
  <c r="E786" i="42"/>
  <c r="L786" i="42"/>
  <c r="I786" i="42"/>
  <c r="N786" i="42"/>
  <c r="M786" i="42"/>
  <c r="G786" i="42"/>
  <c r="M742" i="42"/>
  <c r="C742" i="42"/>
  <c r="L742" i="42" s="1"/>
  <c r="G742" i="42"/>
  <c r="G743" i="42"/>
  <c r="E743" i="42"/>
  <c r="C744" i="42"/>
  <c r="F744" i="42"/>
  <c r="Q744" i="42"/>
  <c r="M746" i="42"/>
  <c r="C746" i="42"/>
  <c r="N746" i="42" s="1"/>
  <c r="D746" i="42"/>
  <c r="Q746" i="42" s="1"/>
  <c r="B746" i="42"/>
  <c r="L751" i="42"/>
  <c r="E757" i="42"/>
  <c r="B757" i="42"/>
  <c r="Q757" i="42"/>
  <c r="F757" i="42"/>
  <c r="H757" i="42" s="1"/>
  <c r="O757" i="42"/>
  <c r="K757" i="42"/>
  <c r="G759" i="42"/>
  <c r="O760" i="42"/>
  <c r="C772" i="42"/>
  <c r="I772" i="42" s="1"/>
  <c r="N772" i="42"/>
  <c r="H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N751" i="42"/>
  <c r="C757" i="42"/>
  <c r="N757" i="42" s="1"/>
  <c r="I783" i="42"/>
  <c r="N783" i="42"/>
  <c r="I703" i="42"/>
  <c r="G703" i="42"/>
  <c r="O703" i="42"/>
  <c r="C718" i="42"/>
  <c r="C719" i="42"/>
  <c r="D720" i="42"/>
  <c r="O720" i="42" s="1"/>
  <c r="I723" i="42"/>
  <c r="G723" i="42"/>
  <c r="E723" i="42"/>
  <c r="Q723" i="42"/>
  <c r="C724" i="42"/>
  <c r="L724" i="42" s="1"/>
  <c r="D724" i="42"/>
  <c r="Q724" i="42" s="1"/>
  <c r="P734" i="42"/>
  <c r="Q734" i="42" s="1"/>
  <c r="C739" i="42"/>
  <c r="G741" i="42"/>
  <c r="H741" i="42"/>
  <c r="E742" i="42"/>
  <c r="D743" i="42"/>
  <c r="O743" i="42" s="1"/>
  <c r="G746" i="42"/>
  <c r="K749" i="42"/>
  <c r="G757" i="42"/>
  <c r="I765" i="42"/>
  <c r="N770" i="42"/>
  <c r="E772" i="42"/>
  <c r="P775" i="42"/>
  <c r="E790" i="42"/>
  <c r="L790" i="42"/>
  <c r="I790" i="42"/>
  <c r="N790" i="42"/>
  <c r="C808" i="42"/>
  <c r="N808" i="42" s="1"/>
  <c r="F808" i="42"/>
  <c r="D808" i="42"/>
  <c r="O808" i="42" s="1"/>
  <c r="B808" i="42"/>
  <c r="P808" i="42"/>
  <c r="Q808" i="42" s="1"/>
  <c r="M738" i="42"/>
  <c r="C738" i="42"/>
  <c r="I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2" i="42"/>
  <c r="H743" i="42"/>
  <c r="I744" i="42"/>
  <c r="J747" i="42"/>
  <c r="M749" i="42"/>
  <c r="E752"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J756" i="42" s="1"/>
  <c r="H756" i="42"/>
  <c r="P756" i="42"/>
  <c r="Q756" i="42" s="1"/>
  <c r="N756" i="42"/>
  <c r="G756" i="42"/>
  <c r="L757" i="42"/>
  <c r="K772" i="42"/>
  <c r="J790" i="42"/>
  <c r="E806" i="42"/>
  <c r="L806" i="42"/>
  <c r="I806" i="42"/>
  <c r="N806" i="42"/>
  <c r="G806" i="42"/>
  <c r="L793" i="42"/>
  <c r="I793" i="42"/>
  <c r="J815" i="42"/>
  <c r="K799" i="42"/>
  <c r="I799" i="42"/>
  <c r="L789" i="42"/>
  <c r="I789" i="42"/>
  <c r="J799"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G819" i="42"/>
  <c r="F819" i="42"/>
  <c r="B819" i="42"/>
  <c r="L819" i="42"/>
  <c r="K819" i="42"/>
  <c r="J819" i="42"/>
  <c r="I819" i="42"/>
  <c r="H819" i="42"/>
  <c r="E819" i="42"/>
  <c r="D819" i="42"/>
  <c r="O819" i="42" s="1"/>
  <c r="C819" i="42"/>
  <c r="N819" i="42" s="1"/>
  <c r="P819" i="42"/>
  <c r="K778" i="42"/>
  <c r="I778" i="42"/>
  <c r="G778" i="42"/>
  <c r="M778" i="42"/>
  <c r="J778" i="42"/>
  <c r="I785" i="42"/>
  <c r="N789" i="42"/>
  <c r="L801" i="42"/>
  <c r="I801" i="42"/>
  <c r="N805" i="42"/>
  <c r="P812" i="42"/>
  <c r="P817" i="42"/>
  <c r="E765" i="42"/>
  <c r="N765" i="42"/>
  <c r="L765" i="42"/>
  <c r="B765" i="42"/>
  <c r="G765" i="42" s="1"/>
  <c r="P765" i="42"/>
  <c r="E766" i="42"/>
  <c r="E769" i="42"/>
  <c r="D769" i="42"/>
  <c r="Q769" i="42" s="1"/>
  <c r="M769" i="42"/>
  <c r="K769" i="42"/>
  <c r="K791" i="42"/>
  <c r="I791" i="42"/>
  <c r="O792" i="42"/>
  <c r="G798" i="42"/>
  <c r="O807" i="42"/>
  <c r="O795" i="42"/>
  <c r="D809" i="42"/>
  <c r="O809" i="42" s="1"/>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E794" i="42"/>
  <c r="I794" i="42"/>
  <c r="M798" i="42"/>
  <c r="B809" i="42"/>
  <c r="C748" i="42"/>
  <c r="M748" i="42" s="1"/>
  <c r="K748" i="42"/>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Q813" i="42"/>
  <c r="P813" i="42"/>
  <c r="K813" i="42"/>
  <c r="F813" i="42"/>
  <c r="K787" i="42"/>
  <c r="I787" i="42"/>
  <c r="K803" i="42"/>
  <c r="I803" i="42"/>
  <c r="P809" i="42"/>
  <c r="I832" i="42"/>
  <c r="P832" i="42"/>
  <c r="D832" i="42"/>
  <c r="O832" i="42" s="1"/>
  <c r="C832" i="42"/>
  <c r="B832" i="42"/>
  <c r="G832" i="42" s="1"/>
  <c r="N832" i="42"/>
  <c r="K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c r="J785" i="42"/>
  <c r="E785" i="42"/>
  <c r="D785" i="42"/>
  <c r="Q785" i="42" s="1"/>
  <c r="B787" i="42"/>
  <c r="G787" i="42" s="1"/>
  <c r="L787" i="42"/>
  <c r="C788" i="42"/>
  <c r="N788" i="42" s="1"/>
  <c r="H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E800" i="42" s="1"/>
  <c r="N800" i="42"/>
  <c r="I800" i="42"/>
  <c r="J801" i="42"/>
  <c r="E801" i="42"/>
  <c r="D801" i="42"/>
  <c r="O801" i="42" s="1"/>
  <c r="B803" i="42"/>
  <c r="G803" i="42" s="1"/>
  <c r="M803" i="42"/>
  <c r="L803" i="42"/>
  <c r="C804" i="42"/>
  <c r="N804" i="42" s="1"/>
  <c r="H804" i="42"/>
  <c r="J805" i="42"/>
  <c r="E805" i="42"/>
  <c r="D805" i="42"/>
  <c r="O805" i="42" s="1"/>
  <c r="C807" i="42"/>
  <c r="I807" i="42" s="1"/>
  <c r="H811" i="42"/>
  <c r="N814" i="42"/>
  <c r="K820" i="42"/>
  <c r="N822" i="42"/>
  <c r="H835" i="42"/>
  <c r="J835" i="42"/>
  <c r="F837" i="42"/>
  <c r="D837" i="42"/>
  <c r="O837" i="42" s="1"/>
  <c r="B837" i="42"/>
  <c r="P837" i="42"/>
  <c r="Q837" i="42" s="1"/>
  <c r="L820" i="42"/>
  <c r="D825" i="42"/>
  <c r="Q825" i="42" s="1"/>
  <c r="C825" i="42"/>
  <c r="N831" i="42"/>
  <c r="J831" i="42"/>
  <c r="G831" i="42"/>
  <c r="E831" i="42"/>
  <c r="E835" i="42"/>
  <c r="C837" i="42"/>
  <c r="G837" i="42" s="1"/>
  <c r="J811" i="42"/>
  <c r="M820" i="42"/>
  <c r="O749" i="42"/>
  <c r="O753" i="42"/>
  <c r="Q762" i="42"/>
  <c r="O763" i="42"/>
  <c r="F780" i="42"/>
  <c r="G781" i="42"/>
  <c r="E783" i="42"/>
  <c r="F785" i="42"/>
  <c r="L785" i="42" s="1"/>
  <c r="E787" i="42"/>
  <c r="F789" i="42"/>
  <c r="H789" i="42" s="1"/>
  <c r="E791" i="42"/>
  <c r="F793" i="42"/>
  <c r="H793" i="42" s="1"/>
  <c r="E795" i="42"/>
  <c r="F797" i="42"/>
  <c r="L797" i="42" s="1"/>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N848" i="42"/>
  <c r="M848"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B823" i="42"/>
  <c r="G823" i="42" s="1"/>
  <c r="M823" i="42"/>
  <c r="L823" i="42"/>
  <c r="K823" i="42"/>
  <c r="H825" i="42"/>
  <c r="I826" i="42"/>
  <c r="E829" i="42"/>
  <c r="D829" i="42"/>
  <c r="O829" i="42" s="1"/>
  <c r="F829" i="42"/>
  <c r="C829" i="42"/>
  <c r="Q829" i="42"/>
  <c r="L829" i="42"/>
  <c r="K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L827" i="42"/>
  <c r="J836" i="42"/>
  <c r="K842" i="42"/>
  <c r="C847" i="42"/>
  <c r="E847" i="42" s="1"/>
  <c r="B848" i="42"/>
  <c r="G848" i="42" s="1"/>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H810" i="42" s="1"/>
  <c r="F814" i="42"/>
  <c r="H814" i="42" s="1"/>
  <c r="F818" i="42"/>
  <c r="F822" i="42"/>
  <c r="H822" i="42" s="1"/>
  <c r="F826" i="42"/>
  <c r="H826" i="42" s="1"/>
  <c r="C827" i="42"/>
  <c r="M827" i="42" s="1"/>
  <c r="I828" i="42"/>
  <c r="H828" i="42"/>
  <c r="J833" i="42"/>
  <c r="D835" i="42"/>
  <c r="O835" i="42" s="1"/>
  <c r="C836" i="42"/>
  <c r="H836" i="42" s="1"/>
  <c r="H846" i="42"/>
  <c r="D848" i="42"/>
  <c r="C849" i="42"/>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E841" i="42"/>
  <c r="D841" i="42"/>
  <c r="O841" i="42" s="1"/>
  <c r="Q842" i="42"/>
  <c r="P844" i="42"/>
  <c r="L846" i="42"/>
  <c r="I847" i="42"/>
  <c r="K848" i="42"/>
  <c r="J849" i="42"/>
  <c r="D851" i="42"/>
  <c r="O851" i="42" s="1"/>
  <c r="D852" i="42"/>
  <c r="O852" i="42" s="1"/>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N841" i="42" l="1"/>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<sst xmlns="http://schemas.openxmlformats.org/spreadsheetml/2006/main" count="19198" uniqueCount="7138">
  <si>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</si>
  <si>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</si>
  <si>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</si>
  <si>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</si>
  <si>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</si>
  <si>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</si>
  <si>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</si>
  <si>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</si>
  <si>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</si>
  <si>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</si>
  <si>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</si>
  <si>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</si>
  <si>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</si>
  <si>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</si>
  <si>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</si>
  <si>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</si>
  <si>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</si>
  <si>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</si>
  <si>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</si>
  <si>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</si>
  <si>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</si>
  <si>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</si>
  <si>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</si>
  <si>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</si>
  <si>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</si>
  <si>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</si>
  <si>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</si>
  <si>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</si>
  <si>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</si>
  <si>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</si>
  <si>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</si>
  <si>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</si>
  <si>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</si>
  <si>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</si>
  <si>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</si>
  <si>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</si>
  <si>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</si>
  <si>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</si>
  <si>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</si>
  <si>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</si>
  <si>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</si>
  <si>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</si>
  <si>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</si>
  <si>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</si>
  <si>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</si>
  <si>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</si>
  <si>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</si>
  <si>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</si>
  <si>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</si>
  <si>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</si>
  <si>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</si>
  <si>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</si>
  <si>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</si>
  <si>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</si>
  <si>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</si>
  <si>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</si>
  <si>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</si>
  <si>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</si>
  <si>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</si>
  <si>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</si>
  <si>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</si>
  <si>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</si>
  <si>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</si>
  <si>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</si>
  <si>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</si>
  <si>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</si>
  <si>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</si>
  <si>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</si>
  <si>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</si>
  <si>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</si>
  <si>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</si>
  <si>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</si>
  <si>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</si>
  <si>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</si>
  <si>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</si>
  <si>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</si>
  <si>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</si>
  <si>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</si>
  <si>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</si>
  <si>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</si>
  <si>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</si>
  <si>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</si>
  <si>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</si>
  <si>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</si>
  <si>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</si>
  <si>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</si>
  <si>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</si>
  <si>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</si>
  <si>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</si>
  <si>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</si>
  <si>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</si>
  <si>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</si>
  <si>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</si>
  <si>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</si>
  <si>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</si>
  <si>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</si>
  <si>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</si>
  <si>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</si>
  <si>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</si>
  <si>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</si>
  <si>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</si>
  <si>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</si>
  <si>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</si>
  <si>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</si>
  <si>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</si>
  <si>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</si>
  <si>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</si>
  <si>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</si>
  <si>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</si>
  <si>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</si>
  <si>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</si>
  <si>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</si>
  <si>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</si>
  <si>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</si>
  <si>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</si>
  <si>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</si>
  <si>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</si>
  <si>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</si>
  <si>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</si>
  <si>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</si>
  <si>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</si>
  <si>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</si>
  <si>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</si>
  <si>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</si>
  <si>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</si>
  <si>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</si>
  <si>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</si>
  <si>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</si>
  <si>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</si>
  <si>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</si>
  <si>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</si>
  <si>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</si>
  <si>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</si>
  <si>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</si>
  <si>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</si>
  <si>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</si>
  <si>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</si>
  <si>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</si>
  <si>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</si>
  <si>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</si>
  <si>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</si>
  <si>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</si>
  <si>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</si>
  <si>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</si>
  <si>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</si>
  <si>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</si>
  <si>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</si>
  <si>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</si>
  <si>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</si>
  <si>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</si>
  <si>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</si>
  <si>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</si>
  <si>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</si>
  <si>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</si>
  <si>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</si>
  <si>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</si>
  <si>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</si>
  <si>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</si>
  <si>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</si>
  <si>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</si>
  <si>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</si>
  <si>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</si>
  <si>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</si>
  <si>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</si>
  <si>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</si>
  <si>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</si>
  <si>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</si>
  <si>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</si>
  <si>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</si>
  <si>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</si>
  <si>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</si>
  <si>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</si>
  <si>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</si>
  <si>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</si>
  <si>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</si>
  <si>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</si>
  <si>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</si>
  <si>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</si>
  <si>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</si>
  <si>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</si>
  <si>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</si>
  <si>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</si>
  <si>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</si>
  <si>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</si>
  <si>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</si>
  <si>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</si>
  <si>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</si>
  <si>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</si>
  <si>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</si>
  <si>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</si>
  <si>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</si>
  <si>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</si>
  <si>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</si>
  <si>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</si>
  <si>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</si>
  <si>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</si>
  <si>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</si>
  <si>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</si>
  <si>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</si>
  <si>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</si>
  <si>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</si>
  <si>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</si>
  <si>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</si>
  <si>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</si>
  <si>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</si>
  <si>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</si>
  <si>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</si>
  <si>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</si>
  <si>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</si>
  <si>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</si>
  <si>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</si>
  <si>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</si>
  <si>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</si>
  <si>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</si>
  <si>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</si>
  <si>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</si>
  <si>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</si>
  <si>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</si>
  <si>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</si>
  <si>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</si>
  <si>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</si>
  <si>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</si>
  <si>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</si>
  <si>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</si>
  <si>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</si>
  <si>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</si>
  <si>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</si>
  <si>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</si>
  <si>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</si>
  <si>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</si>
  <si>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</si>
  <si>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</si>
  <si>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</si>
  <si>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</si>
  <si>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</si>
  <si>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</si>
  <si>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</si>
  <si>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</si>
  <si>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</si>
  <si>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</si>
  <si>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</si>
  <si>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</si>
  <si>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</si>
  <si>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</si>
  <si>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</si>
  <si>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</si>
  <si>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</si>
  <si>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</si>
  <si>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</si>
  <si>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</si>
  <si>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</si>
  <si>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</si>
  <si>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</si>
  <si>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</si>
  <si>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</si>
  <si>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</si>
  <si>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</si>
  <si>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</si>
  <si>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</si>
  <si>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</si>
  <si>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</si>
  <si>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</si>
  <si>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</si>
  <si>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</si>
  <si>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</si>
  <si>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</si>
  <si>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</si>
  <si>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</si>
  <si>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</si>
  <si>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</si>
  <si>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</si>
  <si>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</si>
  <si>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</si>
  <si>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</si>
  <si>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</si>
  <si>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</si>
  <si>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</si>
  <si>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</si>
  <si>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</si>
  <si>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</si>
  <si>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</si>
  <si>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</si>
  <si>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</si>
  <si>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</si>
  <si>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</si>
  <si>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</si>
  <si>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</si>
  <si>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</si>
  <si>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</si>
  <si>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</si>
  <si>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</si>
  <si>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</si>
  <si>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</si>
  <si>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</si>
  <si>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</si>
  <si>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</si>
  <si>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</si>
  <si>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</si>
  <si>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</si>
  <si>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</si>
  <si>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</si>
  <si>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</si>
  <si>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</si>
  <si>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</si>
  <si>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</si>
  <si>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</si>
  <si>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</si>
  <si>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</si>
  <si>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</si>
  <si>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</si>
  <si>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</si>
  <si>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</si>
  <si>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</si>
  <si>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</si>
  <si>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</si>
  <si>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</si>
  <si>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</si>
  <si>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</si>
  <si>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</si>
  <si>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</si>
  <si>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</si>
  <si>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</si>
  <si>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</si>
  <si>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</si>
  <si>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</si>
  <si>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</si>
  <si>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</si>
  <si>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</si>
  <si>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</si>
  <si>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</si>
  <si>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</si>
  <si>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</si>
  <si>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</si>
  <si>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</si>
  <si>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</si>
  <si>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</si>
  <si>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</si>
  <si>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</si>
  <si>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</si>
  <si>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</si>
  <si>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</si>
  <si>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</si>
  <si>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</si>
  <si>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</si>
  <si>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</si>
  <si>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</si>
  <si>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</si>
  <si>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</si>
  <si>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</si>
  <si>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</si>
  <si>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</si>
  <si>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</si>
  <si>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</si>
  <si>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</si>
  <si>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</si>
  <si>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</si>
  <si>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</si>
  <si>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</si>
  <si>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</si>
  <si>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</si>
  <si>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</si>
  <si>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</si>
  <si>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</si>
  <si>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</si>
  <si>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</si>
  <si>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</si>
  <si>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</si>
  <si>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</si>
  <si>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</si>
  <si>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</si>
  <si>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</si>
  <si>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</si>
  <si>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</si>
  <si>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</si>
  <si>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</si>
  <si>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</si>
  <si>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</si>
  <si>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</si>
  <si>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</si>
  <si>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</si>
  <si>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</si>
  <si>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</si>
  <si>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</si>
  <si>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</si>
  <si>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</si>
  <si>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</si>
  <si>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</si>
  <si>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</si>
  <si>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</si>
  <si>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</si>
  <si>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</si>
  <si>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</si>
  <si>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</si>
  <si>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</si>
  <si>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</si>
  <si>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</si>
  <si>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</si>
  <si>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</si>
  <si>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</si>
  <si>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</si>
  <si>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</si>
  <si>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</si>
  <si>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</si>
  <si>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</si>
  <si>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</si>
  <si>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</si>
  <si>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</si>
  <si>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</si>
  <si>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</si>
  <si>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</si>
  <si>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</si>
  <si>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</si>
  <si>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</si>
  <si>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</si>
  <si>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</si>
  <si>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</si>
  <si>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</si>
  <si>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</si>
  <si>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</si>
  <si>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</si>
  <si>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</si>
  <si>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</si>
  <si>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</si>
  <si>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</si>
  <si>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</si>
  <si>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</si>
  <si>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</si>
  <si>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</si>
  <si>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</si>
  <si>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</si>
  <si>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</si>
  <si>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</si>
  <si>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</si>
  <si>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</si>
  <si>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</si>
  <si>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</si>
  <si>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</si>
  <si>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</si>
  <si>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</si>
  <si>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</si>
  <si>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</si>
  <si>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</si>
  <si>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</si>
  <si>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</si>
  <si>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</si>
  <si>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</si>
  <si>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</si>
  <si>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</si>
  <si>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</si>
  <si>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</si>
  <si>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</si>
  <si>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</si>
  <si>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</si>
  <si>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</si>
  <si>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</si>
  <si>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</si>
  <si>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</si>
  <si>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</si>
  <si>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</si>
  <si>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</si>
  <si>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</si>
  <si>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</si>
  <si>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</si>
  <si>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</si>
  <si>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</si>
  <si>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</si>
  <si>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</si>
  <si>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</si>
  <si>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</si>
  <si>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</si>
  <si>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</si>
  <si>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</si>
  <si>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</si>
  <si>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</si>
  <si>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</si>
  <si>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</si>
  <si>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</si>
  <si>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</si>
  <si>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</si>
  <si>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</si>
  <si>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</si>
  <si>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</si>
  <si>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</si>
  <si>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</si>
  <si>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</si>
  <si>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</si>
  <si>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</si>
  <si>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</si>
  <si>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</si>
  <si>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</si>
  <si>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</si>
  <si>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</si>
  <si>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</si>
  <si>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</si>
  <si>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</si>
  <si>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</si>
  <si>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</si>
  <si>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</si>
  <si>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</si>
  <si>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</si>
  <si>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</si>
  <si>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</si>
  <si>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</si>
  <si>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</si>
  <si>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</si>
  <si>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</si>
  <si>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</si>
  <si>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</si>
  <si>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</si>
  <si>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</si>
  <si>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</si>
  <si>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</si>
  <si>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</si>
  <si>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</si>
  <si>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</si>
  <si>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</si>
  <si>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</si>
  <si>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</si>
  <si>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</si>
  <si>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</si>
  <si>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</si>
  <si>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</si>
  <si>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</si>
  <si>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</si>
  <si>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</si>
  <si>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</si>
  <si>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</si>
  <si>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</si>
  <si>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</si>
  <si>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</si>
  <si>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</si>
  <si>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</si>
  <si>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</si>
  <si>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</si>
  <si>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</si>
  <si>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</si>
  <si>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</si>
  <si>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</si>
  <si>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</si>
  <si>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</si>
  <si>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</si>
  <si>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</si>
  <si>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</si>
  <si>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</si>
  <si>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</si>
  <si>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</si>
  <si>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</si>
  <si>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</si>
  <si>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</si>
  <si>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</si>
  <si>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</si>
  <si>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</si>
  <si>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</si>
  <si>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</si>
  <si>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</si>
  <si>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</si>
  <si>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</si>
  <si>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</si>
  <si>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</si>
  <si>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</si>
  <si>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</si>
  <si>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</si>
  <si>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</si>
  <si>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</si>
  <si>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</si>
  <si>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</si>
  <si>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</si>
  <si>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</si>
  <si>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</si>
  <si>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</si>
  <si>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</si>
  <si>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</si>
  <si>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</si>
  <si>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</si>
  <si>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</si>
  <si>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</si>
  <si>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</si>
  <si>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</si>
  <si>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</si>
  <si>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</si>
  <si>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</si>
  <si>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</si>
  <si>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</si>
  <si>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</si>
  <si>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</si>
  <si>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</si>
  <si>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</si>
  <si>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</si>
  <si>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</si>
  <si>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</si>
  <si>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</si>
  <si>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</si>
  <si>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</si>
  <si>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</si>
  <si>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</si>
  <si>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</si>
  <si>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</si>
  <si>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</si>
  <si>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</si>
  <si>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</si>
  <si>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</si>
  <si>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</si>
  <si>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</si>
  <si>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</si>
  <si>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</si>
  <si>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</si>
  <si>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</si>
  <si>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</si>
  <si>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</si>
  <si>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</si>
  <si>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</si>
  <si>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</si>
  <si>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</si>
  <si>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</si>
  <si>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</si>
  <si>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</si>
  <si>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</si>
  <si>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</si>
  <si>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</si>
  <si>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</si>
  <si>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</si>
  <si>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</si>
  <si>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</si>
  <si>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</si>
  <si>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</si>
  <si>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</si>
  <si>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</si>
  <si>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</si>
  <si>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</si>
  <si>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</si>
  <si>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</si>
  <si>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</si>
  <si>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</si>
  <si>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</si>
  <si>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</si>
  <si>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</si>
  <si>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</si>
  <si>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</si>
  <si>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</si>
  <si>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</si>
  <si>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</si>
  <si>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</si>
  <si>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</si>
  <si>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</si>
  <si>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</si>
  <si>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</si>
  <si>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</si>
  <si>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</si>
  <si>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</si>
  <si>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</si>
  <si>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</si>
  <si>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</si>
  <si>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</si>
  <si>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</si>
  <si>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</si>
  <si>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</si>
  <si>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</si>
  <si>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</si>
  <si>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</si>
  <si>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</si>
  <si>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</si>
  <si>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</si>
  <si>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</si>
  <si>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</si>
  <si>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</si>
  <si>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</si>
  <si>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</si>
  <si>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</si>
  <si>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</si>
  <si>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</si>
  <si>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</si>
  <si>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</si>
  <si>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</si>
  <si>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</si>
  <si>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</si>
  <si>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</si>
  <si>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</si>
  <si>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</si>
  <si>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</si>
  <si>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</si>
  <si>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</si>
  <si>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</si>
  <si>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</si>
  <si>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</si>
  <si>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</si>
  <si>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</si>
  <si>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</si>
  <si>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</si>
  <si>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</si>
  <si>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</si>
  <si>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</si>
  <si>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</si>
  <si>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</si>
  <si>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</si>
  <si>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</si>
  <si>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</si>
  <si>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</si>
  <si>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</si>
  <si>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</si>
  <si>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</si>
  <si>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</si>
  <si>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</si>
  <si>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</si>
  <si>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</si>
  <si>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</si>
  <si>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</si>
  <si>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</si>
  <si>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</si>
  <si>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</si>
  <si>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</si>
  <si>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</si>
  <si>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</si>
  <si>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</si>
  <si>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</si>
  <si>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</si>
  <si>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</si>
  <si>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</si>
  <si>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</si>
  <si>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</si>
  <si>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</si>
  <si>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</si>
  <si>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</si>
  <si>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</si>
  <si>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</si>
  <si>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</si>
  <si>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</si>
  <si>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</si>
  <si>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</si>
  <si>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</si>
  <si>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</si>
  <si>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</si>
  <si>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</si>
  <si>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</si>
  <si>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</si>
  <si>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</si>
  <si>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</si>
  <si>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</si>
  <si>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</si>
  <si>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</si>
  <si>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</si>
  <si>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</si>
  <si>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</si>
  <si>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</si>
  <si>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</si>
  <si>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</si>
  <si>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</si>
  <si>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</si>
  <si>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</si>
  <si>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</si>
  <si>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</si>
  <si>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</si>
  <si>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</si>
  <si>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</si>
  <si>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</si>
  <si>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</si>
  <si>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</si>
  <si>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</si>
  <si>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</si>
  <si>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</si>
  <si>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</si>
  <si>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</si>
  <si>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</si>
  <si>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</si>
  <si>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</si>
  <si>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</si>
  <si>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</si>
  <si>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</si>
  <si>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</si>
  <si>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</si>
  <si>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</si>
  <si>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</si>
  <si>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</si>
  <si>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</si>
  <si>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</si>
  <si>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</si>
  <si>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</si>
  <si>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</si>
  <si>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</si>
  <si>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</si>
  <si>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</si>
  <si>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</si>
  <si>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</si>
  <si>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</si>
  <si>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</si>
  <si>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</si>
  <si>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</si>
  <si>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</si>
  <si>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</si>
  <si>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</si>
  <si>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</si>
  <si>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</si>
  <si>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</si>
  <si>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</si>
  <si>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</si>
  <si>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</si>
  <si>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</si>
  <si>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</si>
  <si>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</si>
  <si>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</si>
  <si>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</si>
  <si>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</si>
  <si>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</si>
  <si>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</si>
  <si>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</si>
  <si>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</si>
  <si>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</si>
  <si>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</si>
  <si>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</si>
  <si>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</si>
  <si>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</si>
  <si>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</si>
  <si>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</si>
  <si>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</si>
  <si>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</si>
  <si>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</si>
  <si>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</si>
  <si>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</si>
  <si>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</si>
  <si>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</si>
  <si>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</si>
  <si>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</si>
  <si>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</si>
  <si>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</si>
  <si>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</si>
  <si>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</si>
  <si>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</si>
  <si>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</si>
  <si>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</si>
  <si>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</si>
  <si>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</si>
  <si>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</si>
  <si>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</si>
  <si>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</si>
  <si>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</si>
  <si>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</si>
  <si>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</si>
  <si>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</si>
  <si>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</si>
  <si>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</si>
  <si>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</si>
  <si>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</si>
  <si>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</si>
  <si>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</si>
  <si>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</si>
  <si>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</si>
  <si>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</si>
  <si>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</si>
  <si>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</si>
  <si>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</si>
  <si>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</si>
  <si>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</si>
  <si>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</si>
  <si>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</si>
  <si>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</si>
  <si>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</si>
  <si>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</si>
  <si>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</si>
  <si>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</si>
  <si>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</si>
  <si>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</si>
  <si>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</si>
  <si>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</si>
  <si>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</si>
  <si>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</si>
  <si>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</si>
  <si>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</si>
  <si>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</si>
  <si>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</si>
  <si>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</si>
  <si>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</si>
  <si>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</si>
  <si>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</si>
  <si>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</si>
  <si>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</si>
  <si>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</si>
  <si>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</si>
  <si>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</si>
  <si>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</si>
  <si>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</si>
  <si>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</si>
  <si>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</si>
  <si>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</si>
  <si>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</si>
  <si>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</si>
  <si>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</si>
  <si>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</si>
  <si>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</si>
  <si>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</si>
  <si>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</si>
  <si>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</si>
  <si>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</si>
  <si>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</si>
  <si>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</si>
  <si>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</si>
  <si>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</si>
  <si>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</si>
  <si>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</si>
  <si>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</si>
  <si>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</si>
  <si>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</si>
  <si>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</si>
  <si>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</si>
  <si>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</si>
  <si>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</si>
  <si>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</si>
  <si>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</si>
  <si>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</si>
  <si>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</si>
  <si>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</si>
  <si>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</si>
  <si>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</si>
  <si>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</si>
  <si>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</si>
  <si>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</si>
  <si>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</si>
  <si>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</si>
  <si>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</si>
  <si>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</si>
  <si>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</si>
  <si>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</si>
  <si>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</si>
  <si>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</si>
  <si>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</si>
  <si>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</si>
  <si>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</si>
  <si>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</si>
  <si>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</si>
  <si>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</si>
  <si>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</si>
  <si>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</si>
  <si>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</si>
  <si>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</si>
  <si>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</si>
  <si>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</si>
  <si>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</si>
  <si>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</si>
  <si>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</si>
  <si>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</si>
  <si>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</si>
  <si>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</si>
  <si>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</si>
  <si>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</si>
  <si>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</si>
  <si>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</si>
  <si>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</si>
  <si>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</si>
  <si>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</si>
  <si>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</si>
  <si>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</si>
  <si>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</si>
  <si>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</si>
  <si>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</si>
  <si>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</si>
  <si>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</si>
  <si>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</si>
  <si>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</si>
  <si>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</si>
  <si>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</si>
  <si>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</si>
  <si>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</si>
  <si>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</si>
  <si>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</si>
  <si>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</si>
  <si>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</si>
  <si>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</si>
  <si>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</si>
  <si>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</si>
  <si>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</si>
  <si>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</si>
  <si>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</si>
  <si>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</si>
  <si>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</si>
  <si>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</si>
  <si>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</si>
  <si>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</si>
  <si>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</si>
  <si>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</si>
  <si>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</si>
  <si>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</si>
  <si>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</si>
  <si>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</si>
  <si>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</si>
  <si>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</si>
  <si>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</si>
  <si>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</si>
  <si>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</si>
  <si>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</si>
  <si>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</si>
  <si>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</si>
  <si>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</si>
  <si>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</si>
  <si>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</si>
  <si>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</si>
  <si>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</si>
  <si>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</si>
  <si>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</si>
  <si>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</si>
  <si>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</si>
  <si>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</si>
  <si>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</si>
  <si>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</si>
  <si>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</si>
  <si>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</si>
  <si>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</si>
  <si>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</si>
  <si>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</si>
  <si>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</si>
  <si>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</si>
  <si>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</si>
  <si>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</si>
  <si>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</si>
  <si>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</si>
  <si>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</si>
  <si>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</si>
  <si>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</si>
  <si>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</si>
  <si>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</si>
  <si>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</si>
  <si>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</si>
  <si>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</si>
  <si>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</si>
  <si>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</si>
  <si>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</si>
  <si>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</si>
  <si>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</si>
  <si>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</si>
  <si>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</si>
  <si>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</si>
  <si>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</si>
  <si>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</si>
  <si>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</si>
  <si>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</si>
  <si>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</si>
  <si>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</si>
  <si>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</si>
  <si>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</si>
  <si>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</si>
  <si>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</si>
  <si>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</si>
  <si>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</si>
  <si>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</si>
  <si>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</si>
  <si>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</si>
  <si>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</si>
  <si>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</si>
  <si>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</si>
  <si>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</si>
  <si>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</si>
  <si>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</si>
  <si>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</si>
  <si>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</si>
  <si>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</si>
  <si>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</si>
  <si>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</si>
  <si>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</si>
  <si>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</si>
  <si>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</si>
  <si>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</si>
  <si>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</si>
  <si>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</si>
  <si>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</si>
  <si>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</si>
  <si>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</si>
  <si>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</si>
  <si>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</si>
  <si>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</si>
  <si>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</si>
  <si>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</si>
  <si>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</si>
  <si>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</si>
  <si>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</si>
  <si>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</si>
  <si>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</si>
  <si>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</si>
  <si>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</si>
  <si>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</si>
  <si>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</si>
  <si>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</si>
  <si>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</si>
  <si>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</si>
  <si>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</si>
  <si>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</si>
  <si>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</si>
  <si>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</si>
  <si>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</si>
  <si>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</si>
  <si>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</si>
  <si>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</si>
  <si>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</si>
  <si>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</si>
  <si>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</si>
  <si>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</si>
  <si>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</si>
  <si>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</si>
  <si>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</si>
  <si>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</si>
  <si>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</si>
  <si>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</si>
  <si>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</si>
  <si>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</si>
  <si>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</si>
  <si>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</si>
  <si>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</si>
  <si>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</si>
  <si>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</si>
  <si>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</si>
  <si>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</si>
  <si>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</si>
  <si>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</si>
  <si>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</si>
  <si>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</si>
  <si>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</si>
  <si>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</si>
  <si>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</si>
  <si>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</si>
  <si>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</si>
  <si>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</si>
  <si>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</si>
  <si>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</si>
  <si>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</si>
  <si>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</si>
  <si>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</si>
  <si>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</si>
  <si>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</si>
  <si>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</si>
  <si>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</si>
  <si>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</si>
  <si>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</si>
  <si>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</si>
  <si>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</si>
  <si>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</si>
  <si>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</si>
  <si>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</si>
  <si>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</si>
  <si>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</si>
  <si>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</si>
  <si>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</si>
  <si>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</si>
  <si>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</si>
  <si>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</si>
  <si>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</si>
  <si>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</si>
  <si>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</si>
  <si>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</si>
  <si>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</si>
  <si>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</si>
  <si>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</si>
  <si>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</si>
  <si>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</si>
  <si>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</si>
  <si>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</si>
  <si>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</si>
  <si>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</si>
  <si>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</si>
  <si>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</si>
  <si>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</si>
  <si>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</si>
  <si>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</si>
  <si>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</si>
  <si>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</si>
  <si>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</si>
  <si>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</si>
  <si>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</si>
  <si>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</si>
  <si>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</si>
  <si>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</si>
  <si>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</si>
  <si>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</si>
  <si>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</si>
  <si>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</si>
  <si>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</si>
  <si>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</si>
  <si>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</si>
  <si>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</si>
  <si>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</si>
  <si>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</si>
  <si>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</si>
  <si>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</si>
  <si>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</si>
  <si>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</si>
  <si>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</si>
  <si>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</si>
  <si>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</si>
  <si>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</si>
  <si>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</si>
  <si>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</si>
  <si>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</si>
  <si>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</si>
  <si>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</si>
  <si>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</si>
  <si>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</si>
  <si>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</si>
  <si>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</si>
  <si>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</si>
  <si>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</si>
  <si>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</si>
  <si>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</si>
  <si>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</si>
  <si>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</si>
  <si>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</si>
  <si>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</si>
  <si>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</si>
  <si>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</si>
  <si>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</si>
  <si>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</si>
  <si>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</si>
  <si>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</si>
  <si>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</si>
  <si>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</si>
  <si>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</si>
  <si>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</si>
  <si>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</si>
  <si>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</si>
  <si>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</si>
  <si>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</si>
  <si>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</si>
  <si>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</si>
  <si>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</si>
  <si>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</si>
  <si>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</si>
  <si>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</si>
  <si>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</si>
  <si>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</si>
  <si>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</si>
  <si>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</si>
  <si>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</si>
  <si>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</si>
  <si>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</si>
  <si>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</si>
  <si>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</si>
  <si>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</si>
  <si>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</si>
  <si>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</si>
  <si>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</si>
  <si>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</si>
  <si>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</si>
  <si>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</si>
  <si>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</si>
  <si>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</si>
  <si>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</si>
  <si>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</si>
  <si>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</si>
  <si>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</si>
  <si>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</si>
  <si>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</si>
  <si>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</si>
  <si>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</si>
  <si>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</si>
  <si>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</si>
  <si>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</si>
  <si>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</si>
  <si>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</si>
  <si>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</si>
  <si>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</si>
  <si>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</si>
  <si>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</si>
  <si>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</si>
  <si>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</si>
  <si>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</si>
  <si>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</si>
  <si>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</si>
  <si>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</si>
  <si>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</si>
  <si>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</si>
  <si>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</si>
  <si>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</si>
  <si>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</si>
  <si>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</si>
  <si>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</si>
  <si>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</si>
  <si>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</si>
  <si>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</si>
  <si>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</si>
  <si>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</si>
  <si>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</si>
  <si>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</si>
  <si>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</si>
  <si>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</si>
  <si>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</si>
  <si>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</si>
  <si>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</si>
  <si>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</si>
  <si>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</si>
  <si>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</si>
  <si>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</si>
  <si>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</si>
  <si>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</si>
  <si>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</si>
  <si>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</si>
  <si>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</si>
  <si>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</si>
  <si>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</si>
  <si>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</si>
  <si>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</si>
  <si>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</si>
  <si>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</si>
  <si>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</si>
  <si>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</si>
  <si>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</si>
  <si>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</si>
  <si>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</si>
  <si>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</si>
  <si>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</si>
  <si>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</si>
  <si>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</si>
  <si>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</si>
  <si>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</si>
  <si>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</si>
  <si>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</si>
  <si>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</si>
  <si>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</si>
  <si>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</si>
  <si>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</si>
  <si>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</si>
  <si>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</si>
  <si>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</si>
  <si>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</si>
  <si>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</si>
  <si>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</si>
  <si>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</si>
  <si>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</si>
  <si>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</si>
  <si>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</si>
  <si>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</si>
  <si>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</si>
  <si>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</si>
  <si>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</si>
  <si>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</si>
  <si>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</si>
  <si>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</si>
  <si>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</si>
  <si>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</si>
  <si>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</si>
  <si>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</si>
  <si>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</si>
  <si>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</si>
  <si>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</si>
  <si>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</si>
  <si>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</si>
  <si>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</si>
  <si>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</si>
  <si>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</si>
  <si>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</si>
  <si>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</si>
  <si>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</si>
  <si>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</si>
  <si>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</si>
  <si>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</si>
  <si>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</si>
  <si>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</si>
  <si>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</si>
  <si>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</si>
  <si>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</si>
  <si>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</si>
  <si>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</si>
  <si>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</si>
  <si>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</si>
  <si>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</si>
  <si>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</si>
  <si>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</si>
  <si>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</si>
  <si>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</si>
  <si>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</si>
  <si>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</si>
  <si>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</si>
  <si>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</si>
  <si>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</si>
  <si>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</si>
  <si>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</si>
  <si>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</si>
  <si>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</si>
  <si>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</si>
  <si>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</si>
  <si>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</si>
  <si>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</si>
  <si>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</si>
  <si>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</si>
  <si>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</si>
  <si>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</si>
  <si>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</si>
  <si>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</si>
  <si>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</si>
  <si>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</si>
  <si>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</si>
  <si>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</si>
  <si>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</si>
  <si>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</si>
  <si>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</si>
  <si>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</si>
  <si>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</si>
  <si>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</si>
  <si>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</si>
  <si>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</si>
  <si>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</si>
  <si>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</si>
  <si>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</si>
  <si>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</si>
  <si>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</si>
  <si>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</si>
  <si>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</si>
  <si>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</si>
  <si>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</si>
  <si>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</si>
  <si>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</si>
  <si>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</si>
  <si>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</si>
  <si>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</si>
  <si>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</si>
  <si>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</si>
  <si>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</si>
  <si>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</si>
  <si>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</si>
  <si>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</si>
  <si>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</si>
  <si>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</si>
  <si>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</si>
  <si>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</si>
  <si>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</si>
  <si>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</si>
  <si>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</si>
  <si>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</si>
  <si>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</si>
  <si>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</si>
  <si>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</si>
  <si>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</si>
  <si>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</si>
  <si>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</si>
  <si>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</si>
  <si>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</si>
  <si>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</si>
  <si>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</si>
  <si>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</si>
  <si>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</si>
  <si>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</si>
  <si>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</si>
  <si>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</si>
  <si>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</si>
  <si>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</si>
  <si>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</si>
  <si>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</si>
  <si>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</si>
  <si>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</si>
  <si>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</si>
  <si>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</si>
  <si>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</si>
  <si>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</si>
  <si>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</si>
  <si>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</si>
  <si>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</si>
  <si>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</si>
  <si>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</si>
  <si>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</si>
  <si>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</si>
  <si>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</si>
  <si>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</si>
  <si>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</si>
  <si>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</si>
  <si>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</si>
  <si>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</si>
  <si>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</si>
  <si>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</si>
  <si>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</si>
  <si>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</si>
  <si>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</si>
  <si>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</si>
  <si>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</si>
  <si>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</si>
  <si>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</si>
  <si>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</si>
  <si>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</si>
  <si>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</si>
  <si>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</si>
  <si>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</si>
  <si>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</si>
  <si>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</si>
  <si>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</si>
  <si>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</si>
  <si>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</si>
  <si>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</si>
  <si>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</si>
  <si>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</si>
  <si>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</si>
  <si>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</si>
  <si>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</si>
  <si>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</si>
  <si>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</si>
  <si>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</si>
  <si>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</si>
  <si>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</si>
  <si>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</si>
  <si>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</si>
  <si>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</si>
  <si>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</si>
  <si>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</si>
  <si>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</si>
  <si>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</si>
  <si>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</si>
  <si>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</si>
  <si>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</si>
  <si>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</si>
  <si>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</si>
  <si>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</si>
  <si>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</si>
  <si>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</si>
  <si>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</si>
  <si>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</si>
  <si>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</si>
  <si>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</si>
  <si>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</si>
  <si>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</si>
  <si>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</si>
  <si>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</si>
  <si>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</si>
  <si>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</si>
  <si>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</si>
  <si>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</si>
  <si>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</si>
  <si>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</si>
  <si>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</si>
  <si>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</si>
  <si>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</si>
  <si>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</si>
  <si>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</si>
  <si>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</si>
  <si>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</si>
  <si>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</si>
  <si>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</si>
  <si>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</si>
  <si>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</si>
  <si>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</si>
  <si>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</si>
  <si>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</si>
  <si>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</si>
  <si>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</si>
  <si>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</si>
  <si>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</si>
  <si>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</si>
  <si>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</si>
  <si>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</si>
  <si>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</si>
  <si>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</si>
  <si>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</si>
  <si>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</si>
  <si>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</si>
  <si>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</si>
  <si>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</si>
  <si>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</si>
  <si>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</si>
  <si>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</si>
  <si>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</si>
  <si>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</si>
  <si>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</si>
  <si>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</si>
  <si>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</si>
  <si>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</si>
  <si>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</si>
  <si>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</si>
  <si>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</si>
  <si>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</si>
  <si>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</si>
  <si>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</si>
  <si>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</si>
  <si>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</si>
  <si>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</si>
  <si>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</si>
  <si>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</si>
  <si>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</si>
  <si>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</si>
  <si>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</si>
  <si>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</si>
  <si>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</si>
  <si>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</si>
  <si>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</si>
  <si>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</si>
  <si>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</si>
  <si>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</si>
  <si>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</si>
  <si>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</si>
  <si>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</si>
  <si>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</si>
  <si>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</si>
  <si>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</si>
  <si>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</si>
  <si>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</si>
  <si>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</si>
  <si>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</si>
  <si>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</si>
  <si>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</si>
  <si>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</si>
  <si>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</si>
  <si>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</si>
  <si>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</si>
  <si>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</si>
  <si>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</si>
  <si>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</si>
  <si>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</si>
  <si>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</si>
  <si>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</si>
  <si>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</si>
  <si>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</si>
  <si>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</si>
  <si>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</si>
  <si>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</si>
  <si>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</si>
  <si>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</si>
  <si>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</si>
  <si>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</si>
  <si>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</si>
  <si>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</si>
  <si>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</si>
  <si>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</si>
  <si>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</si>
  <si>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</si>
  <si>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</si>
  <si>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</si>
  <si>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</si>
  <si>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</si>
  <si>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</si>
  <si>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</si>
  <si>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</si>
  <si>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</si>
  <si>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</si>
  <si>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</si>
  <si>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</si>
  <si>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</si>
  <si>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</si>
  <si>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</si>
  <si>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</si>
  <si>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</si>
  <si>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</si>
  <si>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</si>
  <si>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</si>
  <si>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</si>
  <si>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</si>
  <si>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</si>
  <si>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</si>
  <si>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</si>
  <si>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</si>
  <si>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</si>
  <si>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</si>
  <si>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</si>
  <si>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</si>
  <si>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</si>
  <si>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</si>
  <si>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</si>
  <si>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</si>
  <si>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</si>
  <si>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</si>
  <si>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</si>
  <si>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</si>
  <si>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</si>
  <si>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</si>
  <si>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</si>
  <si>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</si>
  <si>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</si>
  <si>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</si>
  <si>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</si>
  <si>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</si>
  <si>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</si>
  <si>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</si>
  <si>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</si>
  <si>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</si>
  <si>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</si>
  <si>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</si>
  <si>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</si>
  <si>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</si>
  <si>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</si>
  <si>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</si>
  <si>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</si>
  <si>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</si>
  <si>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</si>
  <si>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</si>
  <si>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</si>
  <si>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</si>
  <si>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</si>
  <si>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</si>
  <si>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</si>
  <si>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</si>
  <si>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</si>
  <si>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</si>
  <si>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</si>
  <si>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</si>
  <si>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</si>
  <si>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</si>
  <si>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</si>
  <si>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</si>
  <si>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</si>
  <si>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</si>
  <si>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</si>
  <si>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</si>
  <si>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</si>
  <si>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</si>
  <si>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</si>
  <si>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</si>
  <si>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</si>
  <si>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</si>
  <si>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</si>
  <si>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</si>
  <si>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</si>
  <si>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</si>
  <si>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</si>
  <si>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</si>
  <si>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</si>
  <si>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</si>
  <si>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</si>
  <si>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</si>
  <si>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</si>
  <si>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</si>
  <si>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</si>
  <si>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</si>
  <si>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</si>
  <si>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</si>
  <si>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</si>
  <si>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</si>
  <si>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</si>
  <si>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</si>
  <si>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</si>
  <si>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</si>
  <si>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</si>
  <si>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</si>
  <si>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</si>
  <si>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</si>
  <si>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</si>
  <si>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</si>
  <si>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</si>
  <si>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</si>
  <si>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</si>
  <si>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</si>
  <si>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</si>
  <si>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</si>
  <si>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</si>
  <si>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</si>
  <si>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</si>
  <si>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</si>
  <si>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</si>
  <si>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</si>
  <si>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</si>
  <si>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</si>
  <si>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</si>
  <si>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</si>
  <si>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</si>
  <si>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</si>
  <si>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</si>
  <si>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</si>
  <si>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</si>
  <si>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</si>
  <si>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</si>
  <si>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</si>
  <si>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</si>
  <si>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</si>
  <si>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</si>
  <si>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</si>
  <si>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</si>
  <si>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</si>
  <si>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</si>
  <si>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</si>
  <si>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</si>
  <si>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</si>
  <si>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</si>
  <si>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</si>
  <si>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</si>
  <si>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</si>
  <si>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</si>
  <si>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</si>
  <si>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</si>
  <si>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</si>
  <si>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</si>
  <si>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</si>
  <si>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</si>
  <si>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</si>
  <si>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</si>
  <si>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</si>
  <si>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</si>
  <si>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</si>
  <si>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</si>
  <si>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</si>
  <si>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</si>
  <si>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</si>
  <si>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</si>
  <si>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</si>
  <si>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</si>
  <si>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</si>
  <si>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</si>
  <si>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</si>
  <si>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</si>
  <si>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</si>
  <si>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</si>
  <si>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</si>
  <si>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</si>
  <si>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</si>
  <si>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</si>
  <si>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</si>
  <si>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</si>
  <si>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</si>
  <si>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</si>
  <si>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</si>
  <si>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</si>
  <si>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</si>
  <si>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</si>
  <si>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</si>
  <si>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</si>
  <si>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</si>
  <si>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</si>
  <si>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</si>
  <si>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</si>
  <si>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</si>
  <si>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</si>
  <si>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</si>
  <si>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</si>
  <si>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</si>
  <si>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</si>
  <si>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</si>
  <si>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</si>
  <si>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</si>
  <si>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</si>
  <si>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</si>
  <si>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</si>
  <si>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</si>
  <si>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</si>
  <si>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</si>
  <si>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</si>
  <si>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</si>
  <si>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</si>
  <si>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</si>
  <si>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</si>
  <si>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</si>
  <si>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</si>
  <si>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</si>
  <si>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</si>
  <si>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</si>
  <si>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</si>
  <si>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</si>
  <si>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</si>
  <si>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</si>
  <si>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</si>
  <si>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</si>
  <si>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</si>
  <si>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</si>
  <si>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</si>
  <si>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</si>
  <si>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</si>
  <si>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</si>
  <si>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</si>
  <si>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</si>
  <si>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</si>
  <si>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</si>
  <si>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</si>
  <si>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</si>
  <si>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</si>
  <si>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</si>
  <si>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</si>
  <si>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</si>
  <si>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</si>
  <si>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</si>
  <si>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</si>
  <si>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</si>
  <si>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</si>
  <si>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</si>
  <si>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</si>
  <si>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</si>
  <si>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</si>
  <si>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</si>
  <si>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</si>
  <si>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</si>
  <si>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</si>
  <si>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</si>
  <si>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</si>
  <si>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</si>
  <si>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</si>
  <si>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</si>
  <si>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</si>
  <si>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</si>
  <si>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</si>
  <si>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</si>
  <si>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</si>
  <si>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</si>
  <si>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</si>
  <si>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</si>
  <si>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</si>
  <si>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</si>
  <si>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</si>
  <si>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</si>
  <si>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</si>
  <si>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</si>
  <si>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</si>
  <si>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</si>
  <si>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</si>
  <si>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</si>
  <si>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</si>
  <si>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</si>
  <si>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</si>
  <si>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</si>
  <si>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</si>
  <si>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</si>
  <si>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</si>
  <si>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</si>
  <si>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</si>
  <si>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</si>
  <si>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</si>
  <si>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</si>
  <si>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</si>
  <si>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</si>
  <si>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</si>
  <si>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</si>
  <si>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</si>
  <si>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</si>
  <si>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</si>
  <si>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</si>
  <si>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</si>
  <si>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</si>
  <si>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</si>
  <si>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</si>
  <si>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</si>
  <si>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</si>
  <si>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</si>
  <si>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</si>
  <si>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</si>
  <si>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</si>
  <si>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</si>
  <si>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</si>
  <si>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</si>
  <si>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</si>
  <si>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</si>
  <si>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</si>
  <si>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</si>
  <si>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</si>
  <si>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</si>
  <si>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</si>
  <si>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</si>
  <si>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</si>
  <si>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</si>
  <si>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</si>
  <si>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</si>
  <si>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</si>
  <si>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</si>
  <si>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</si>
  <si>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</si>
  <si>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</si>
  <si>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</si>
  <si>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</si>
  <si>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</si>
  <si>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</si>
  <si>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</si>
  <si>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</si>
  <si>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</si>
  <si>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</si>
  <si>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</si>
  <si>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</si>
  <si>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</si>
  <si>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</si>
  <si>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</si>
  <si>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</si>
  <si>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</si>
  <si>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</si>
  <si>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</si>
  <si>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</si>
  <si>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</si>
  <si>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</si>
  <si>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</si>
  <si>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</si>
  <si>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</si>
  <si>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</si>
  <si>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</si>
  <si>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</si>
  <si>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</si>
  <si>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</si>
  <si>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</si>
  <si>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</si>
  <si>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</si>
  <si>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</si>
  <si>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</si>
  <si>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</si>
  <si>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</si>
  <si>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</si>
  <si>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</si>
  <si>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</si>
  <si>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</si>
  <si>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</si>
  <si>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</si>
  <si>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</si>
  <si>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</si>
  <si>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</si>
  <si>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</si>
  <si>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</si>
  <si>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</si>
  <si>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</si>
  <si>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</si>
  <si>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</si>
  <si>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</si>
  <si>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</si>
  <si>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</si>
  <si>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</si>
  <si>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</si>
  <si>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</si>
  <si>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</si>
  <si>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</si>
  <si>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</si>
  <si>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</si>
  <si>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</si>
  <si>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</si>
  <si>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</si>
  <si>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</si>
  <si>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</si>
  <si>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</si>
  <si>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</si>
  <si>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</si>
  <si>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</si>
  <si>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</si>
  <si>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</si>
  <si>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</si>
  <si>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</si>
  <si>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</si>
  <si>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</si>
  <si>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</si>
  <si>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</si>
  <si>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</si>
  <si>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</si>
  <si>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</si>
  <si>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</si>
  <si>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</si>
  <si>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</si>
  <si>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</si>
  <si>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</si>
  <si>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</si>
  <si>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</si>
  <si>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</si>
  <si>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</si>
  <si>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</si>
  <si>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</si>
  <si>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</si>
  <si>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</si>
  <si>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</si>
  <si>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</si>
  <si>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</si>
  <si>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</si>
  <si>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</si>
  <si>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</si>
  <si>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</si>
  <si>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</si>
  <si>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</si>
  <si>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</si>
  <si>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</si>
  <si>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</si>
  <si>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</si>
  <si>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</si>
  <si>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</si>
  <si>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</si>
  <si>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</si>
  <si>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</si>
  <si>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</si>
  <si>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</si>
  <si>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</si>
  <si>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</si>
  <si>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</si>
  <si>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</si>
  <si>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</si>
  <si>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</si>
  <si>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</si>
  <si>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</si>
  <si>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</si>
  <si>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</si>
  <si>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</si>
  <si>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</si>
  <si>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</si>
  <si>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</si>
  <si>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</si>
  <si>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</si>
  <si>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</si>
  <si>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</si>
  <si>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</si>
  <si>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</si>
  <si>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</si>
  <si>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</si>
  <si>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</si>
  <si>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</si>
  <si>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</si>
  <si>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</si>
  <si>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</si>
  <si>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</si>
  <si>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</si>
  <si>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</si>
  <si>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</si>
  <si>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</si>
  <si>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</si>
  <si>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</si>
  <si>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</si>
  <si>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</si>
  <si>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</si>
  <si>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</si>
  <si>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</si>
  <si>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</si>
  <si>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</si>
  <si>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</si>
  <si>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</si>
  <si>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</si>
  <si>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</si>
  <si>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</si>
  <si>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</si>
  <si>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</si>
  <si>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</si>
  <si>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</si>
  <si>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</si>
  <si>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</si>
  <si>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</si>
  <si>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</si>
  <si>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</si>
  <si>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</si>
  <si>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</si>
  <si>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</si>
  <si>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</si>
  <si>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</si>
  <si>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</si>
  <si>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</si>
  <si>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</si>
  <si>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</si>
  <si>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</si>
  <si>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</si>
  <si>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</si>
  <si>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</si>
  <si>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</si>
  <si>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</si>
  <si>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</si>
  <si>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</si>
  <si>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</si>
  <si>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</si>
  <si>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</si>
  <si>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</si>
  <si>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</si>
  <si>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</si>
  <si>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</si>
  <si>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</si>
  <si>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</si>
  <si>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</si>
  <si>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</si>
  <si>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</si>
  <si>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</si>
  <si>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</si>
  <si>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</si>
  <si>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</si>
  <si>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</si>
  <si>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</si>
  <si>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</si>
  <si>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</si>
  <si>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</si>
  <si>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</si>
  <si>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</si>
  <si>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</si>
  <si>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</si>
  <si>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</si>
  <si>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</si>
  <si>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</si>
  <si>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</si>
  <si>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</si>
  <si>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</si>
  <si>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</si>
  <si>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</si>
  <si>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</si>
  <si>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</si>
  <si>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</si>
  <si>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</si>
  <si>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</si>
  <si>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</si>
  <si>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</si>
  <si>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</si>
  <si>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</si>
  <si>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</si>
  <si>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</si>
  <si>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</si>
  <si>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</si>
  <si>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</si>
  <si>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</si>
  <si>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</si>
  <si>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</si>
  <si>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</si>
  <si>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</si>
  <si>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</si>
  <si>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</si>
  <si>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</si>
  <si>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</si>
  <si>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</si>
  <si>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</si>
  <si>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</si>
  <si>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</si>
  <si>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</si>
  <si>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</si>
  <si>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</si>
  <si>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</si>
  <si>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</si>
  <si>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</si>
  <si>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</si>
  <si>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</si>
  <si>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</si>
  <si>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</si>
  <si>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</si>
  <si>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</si>
  <si>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</si>
  <si>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</si>
  <si>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</si>
  <si>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</si>
  <si>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</si>
  <si>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</si>
  <si>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</si>
  <si>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</si>
  <si>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</si>
  <si>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</si>
  <si>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</si>
  <si>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</si>
  <si>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</si>
  <si>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</si>
  <si>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</si>
  <si>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</si>
  <si>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</si>
  <si>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</si>
  <si>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</si>
  <si>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</si>
  <si>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</si>
  <si>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</si>
  <si>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</si>
  <si>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</si>
  <si>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</si>
  <si>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</si>
  <si>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</si>
  <si>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</si>
  <si>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</si>
  <si>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</si>
  <si>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</si>
  <si>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</si>
  <si>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</si>
  <si>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</si>
  <si>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</si>
  <si>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</si>
  <si>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</si>
  <si>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</si>
  <si>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</si>
  <si>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</si>
  <si>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</si>
  <si>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</si>
  <si>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</si>
  <si>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</si>
  <si>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</si>
  <si>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</si>
  <si>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</si>
  <si>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</si>
  <si>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</si>
  <si>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</si>
  <si>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</si>
  <si>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</si>
  <si>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</si>
  <si>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</si>
  <si>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</si>
  <si>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</si>
  <si>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</si>
  <si>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</si>
  <si>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</si>
  <si>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</si>
  <si>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</si>
  <si>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</si>
  <si>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</si>
  <si>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</si>
  <si>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</si>
  <si>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</si>
  <si>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</si>
  <si>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</si>
  <si>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</si>
  <si>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</si>
  <si>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</si>
  <si>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</si>
  <si>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</si>
  <si>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</si>
  <si>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</si>
  <si>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</si>
  <si>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</si>
  <si>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</si>
  <si>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</si>
  <si>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</si>
  <si>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</si>
  <si>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</si>
  <si>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</si>
  <si>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</si>
  <si>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</si>
  <si>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</si>
  <si>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</si>
  <si>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</si>
  <si>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</si>
  <si>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</si>
  <si>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</si>
  <si>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</si>
  <si>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</si>
  <si>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</si>
  <si>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</si>
  <si>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</si>
  <si>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</si>
  <si>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</si>
  <si>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</si>
  <si>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</si>
  <si>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</si>
  <si>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</si>
  <si>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</si>
  <si>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</si>
  <si>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</si>
  <si>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</si>
  <si>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</si>
  <si>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</si>
  <si>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</si>
  <si>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</si>
  <si>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</si>
  <si>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</si>
  <si>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</si>
  <si>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</si>
  <si>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</si>
  <si>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</si>
  <si>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</si>
  <si>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</si>
  <si>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</si>
  <si>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</si>
  <si>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</si>
  <si>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</si>
  <si>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</si>
  <si>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</si>
  <si>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</si>
  <si>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</si>
  <si>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</si>
  <si>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</si>
  <si>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</si>
  <si>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</si>
  <si>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</si>
  <si>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</si>
  <si>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</si>
  <si>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</si>
  <si>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</si>
  <si>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</si>
  <si>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</si>
  <si>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</si>
  <si>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</si>
  <si>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</si>
  <si>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</si>
  <si>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</si>
  <si>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</si>
  <si>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</si>
  <si>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</si>
  <si>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</si>
  <si>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</si>
  <si>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</si>
  <si>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</si>
  <si>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</si>
  <si>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</si>
  <si>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</si>
  <si>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</si>
  <si>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</si>
  <si>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</si>
  <si>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</si>
  <si>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</si>
  <si>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</si>
  <si>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</si>
  <si>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</si>
  <si>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</si>
  <si>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</si>
  <si>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</si>
  <si>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</si>
  <si>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</si>
  <si>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</si>
  <si>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</si>
  <si>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</si>
  <si>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</si>
  <si>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</si>
  <si>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</si>
  <si>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</si>
  <si>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</si>
  <si>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</si>
  <si>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</si>
  <si>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</si>
  <si>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</si>
  <si>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</si>
  <si>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</si>
  <si>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</si>
  <si>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</si>
  <si>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</si>
  <si>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</si>
  <si>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</si>
  <si>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</si>
  <si>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</si>
  <si>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</si>
  <si>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</si>
  <si>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</si>
  <si>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</si>
  <si>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</si>
  <si>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</si>
  <si>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</si>
  <si>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</si>
  <si>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</si>
  <si>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</si>
  <si>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</si>
  <si>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</si>
  <si>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</si>
  <si>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</si>
  <si>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</si>
  <si>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</si>
  <si>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</si>
  <si>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</si>
  <si>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</si>
  <si>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</si>
  <si>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</si>
  <si>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</si>
  <si>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</si>
  <si>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</si>
  <si>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</si>
  <si>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</si>
  <si>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</si>
  <si>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</si>
  <si>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</si>
  <si>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</si>
  <si>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</si>
  <si>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</si>
  <si>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</si>
  <si>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</si>
  <si>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</si>
  <si>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</si>
  <si>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</si>
  <si>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</si>
  <si>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</si>
  <si>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</si>
  <si>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</si>
  <si>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</si>
  <si>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</si>
  <si>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</si>
  <si>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</si>
  <si>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</si>
  <si>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</si>
  <si>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</si>
  <si>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</si>
  <si>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</si>
  <si>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</si>
  <si>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</si>
  <si>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</si>
  <si>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</si>
  <si>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</si>
  <si>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</si>
  <si>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</si>
  <si>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</si>
  <si>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</si>
  <si>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</si>
  <si>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</si>
  <si>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</si>
  <si>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</si>
  <si>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</si>
  <si>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</si>
  <si>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</si>
  <si>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</si>
  <si>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</si>
  <si>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</si>
  <si>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</si>
  <si>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</si>
  <si>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</si>
  <si>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</si>
  <si>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</si>
  <si>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</si>
  <si>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</si>
  <si>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</si>
  <si>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</si>
  <si>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</si>
  <si>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</si>
  <si>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</si>
  <si>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</si>
  <si>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</si>
  <si>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</si>
  <si>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</si>
  <si>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</si>
  <si>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</si>
  <si>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</si>
  <si>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</si>
  <si>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</si>
  <si>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</si>
  <si>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</si>
  <si>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</si>
  <si>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</si>
  <si>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</si>
  <si>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</si>
  <si>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</si>
  <si>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</si>
  <si>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</si>
  <si>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</si>
  <si>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</si>
  <si>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</si>
  <si>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</si>
  <si>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</si>
  <si>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</si>
  <si>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</si>
  <si>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</si>
  <si>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</si>
  <si>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</si>
  <si>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</si>
  <si>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</si>
  <si>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</si>
  <si>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</si>
  <si>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</si>
  <si>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</si>
  <si>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</si>
  <si>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</si>
  <si>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</si>
  <si>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</si>
  <si>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</si>
  <si>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</si>
  <si>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</si>
  <si>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</si>
  <si>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</si>
  <si>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</si>
  <si>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</si>
  <si>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</si>
  <si>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</si>
  <si>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</si>
  <si>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</si>
  <si>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</si>
  <si>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</si>
  <si>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</si>
  <si>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</si>
  <si>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</si>
  <si>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</si>
  <si>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</si>
  <si>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</si>
  <si>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</si>
  <si>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</si>
  <si>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</si>
  <si>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</si>
  <si>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</si>
  <si>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</si>
  <si>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</si>
  <si>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</si>
  <si>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</si>
  <si>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</si>
  <si>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</si>
  <si>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</si>
  <si>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</si>
  <si>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</si>
  <si>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</si>
  <si>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</si>
  <si>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</si>
  <si>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</si>
  <si>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</si>
  <si>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</si>
  <si>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</si>
  <si>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</si>
  <si>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</si>
  <si>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</si>
  <si>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</si>
  <si>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</si>
  <si>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</si>
  <si>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</si>
  <si>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</si>
  <si>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</si>
  <si>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</si>
  <si>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</si>
  <si>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</si>
  <si>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</si>
  <si>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</si>
  <si>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</si>
  <si>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</si>
  <si>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</si>
  <si>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</si>
  <si>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</si>
  <si>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</si>
  <si>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</si>
  <si>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</si>
  <si>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</si>
  <si>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</si>
  <si>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</si>
  <si>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</si>
  <si>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</si>
  <si>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</si>
  <si>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</si>
  <si>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</si>
  <si>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</si>
  <si>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</si>
  <si>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</si>
  <si>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</si>
  <si>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</si>
  <si>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</si>
  <si>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</si>
  <si>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</si>
  <si>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</si>
  <si>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</si>
  <si>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</si>
  <si>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</si>
  <si>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</si>
  <si>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</si>
  <si>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</si>
  <si>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</si>
  <si>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</si>
  <si>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</si>
  <si>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</si>
  <si>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</si>
  <si>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</si>
  <si>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</si>
  <si>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</si>
  <si>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</si>
  <si>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</si>
  <si>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</si>
  <si>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</si>
  <si>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</si>
  <si>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</si>
  <si>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</si>
  <si>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</si>
  <si>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</si>
  <si>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</si>
  <si>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</si>
  <si>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</si>
  <si>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</si>
  <si>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</si>
  <si>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</si>
  <si>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</si>
  <si>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</si>
  <si>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</si>
  <si>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</si>
  <si>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</si>
  <si>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</si>
  <si>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</si>
  <si>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</si>
  <si>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</si>
  <si>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</si>
  <si>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</si>
  <si>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</si>
  <si>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</si>
  <si>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</si>
  <si>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</si>
  <si>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</si>
  <si>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</si>
  <si>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</si>
  <si>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</si>
  <si>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</si>
  <si>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</si>
  <si>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</si>
  <si>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</si>
  <si>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</si>
  <si>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</si>
  <si>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</si>
  <si>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</si>
  <si>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</si>
  <si>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</si>
  <si>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</si>
  <si>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</si>
  <si>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</si>
  <si>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</si>
  <si>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</si>
  <si>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</si>
  <si>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</si>
  <si>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</si>
  <si>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</si>
  <si>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</si>
  <si>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</si>
  <si>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</si>
  <si>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</si>
  <si>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</si>
  <si>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</si>
  <si>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</si>
  <si>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</si>
  <si>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</si>
  <si>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</si>
  <si>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</si>
  <si>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</si>
  <si>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</si>
  <si>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</si>
  <si>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</si>
  <si>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</si>
  <si>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</si>
  <si>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</si>
  <si>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</si>
  <si>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</si>
  <si>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</si>
  <si>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</si>
  <si>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</si>
  <si>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</si>
  <si>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</si>
  <si>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</si>
  <si>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</si>
  <si>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</si>
  <si>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</si>
  <si>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</si>
  <si>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</si>
  <si>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</si>
  <si>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</si>
  <si>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</si>
  <si>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</si>
  <si>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</si>
  <si>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</si>
  <si>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</si>
  <si>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</si>
  <si>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</si>
  <si>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</si>
  <si>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</si>
  <si>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</si>
  <si>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</si>
  <si>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</si>
  <si>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</si>
  <si>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</si>
  <si>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</si>
  <si>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</si>
  <si>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</si>
  <si>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</si>
  <si>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</si>
  <si>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</si>
  <si>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</si>
  <si>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</si>
  <si>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</si>
  <si>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</si>
  <si>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</si>
  <si>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</si>
  <si>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</si>
  <si>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</si>
  <si>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</si>
  <si>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</si>
  <si>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</si>
  <si>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</si>
  <si>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</si>
  <si>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</si>
  <si>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</si>
  <si>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</si>
  <si>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</si>
  <si>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</si>
  <si>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</si>
  <si>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</si>
  <si>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</si>
  <si>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</si>
  <si>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</si>
  <si>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</si>
  <si>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</si>
  <si>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</si>
  <si>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</si>
  <si>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</si>
  <si>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</si>
  <si>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</si>
  <si>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</si>
  <si>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</si>
  <si>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</si>
  <si>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</si>
  <si>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</si>
  <si>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</si>
  <si>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</si>
  <si>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</si>
  <si>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</si>
  <si>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</si>
  <si>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</si>
  <si>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</si>
  <si>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</si>
  <si>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</si>
  <si>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</si>
  <si>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</si>
  <si>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</si>
  <si>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</si>
  <si>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</si>
  <si>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</si>
  <si>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</si>
  <si>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</si>
  <si>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</si>
  <si>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</si>
  <si>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</si>
  <si>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</si>
  <si>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</si>
  <si>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</si>
  <si>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</si>
  <si>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</si>
  <si>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</si>
  <si>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</si>
  <si>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</si>
  <si>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</si>
  <si>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</si>
  <si>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</si>
  <si>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</si>
  <si>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</si>
  <si>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</si>
  <si>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</si>
  <si>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</si>
  <si>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</si>
  <si>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</si>
  <si>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</si>
  <si>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</si>
  <si>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</si>
  <si>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</si>
  <si>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</si>
  <si>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</si>
  <si>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</si>
  <si>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</si>
  <si>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</si>
  <si>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</si>
  <si>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</si>
  <si>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</si>
  <si>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</si>
  <si>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</si>
  <si>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</si>
  <si>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</si>
  <si>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</si>
  <si>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</si>
  <si>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</si>
  <si>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</si>
  <si>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</si>
  <si>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</si>
  <si>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</si>
  <si>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</si>
  <si>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</si>
  <si>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</si>
  <si>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</si>
  <si>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</si>
  <si>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</si>
  <si>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</si>
  <si>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</si>
  <si>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</si>
  <si>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</si>
  <si>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</si>
  <si>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</si>
  <si>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</si>
  <si>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</si>
  <si>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</si>
  <si>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</si>
  <si>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</si>
  <si>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</si>
  <si>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</si>
  <si>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</si>
  <si>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</si>
  <si>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</si>
  <si>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</si>
  <si>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</si>
  <si>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</si>
  <si>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</si>
  <si>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</si>
  <si>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</si>
  <si>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</si>
  <si>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</si>
  <si>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</si>
  <si>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</si>
  <si>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</si>
  <si>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</si>
  <si>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</si>
  <si>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</si>
  <si>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</si>
  <si>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</si>
  <si>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</si>
  <si>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</si>
  <si>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</si>
  <si>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</si>
  <si>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</si>
  <si>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</si>
  <si>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</si>
  <si>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</si>
  <si>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</si>
  <si>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</si>
  <si>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</si>
  <si>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</si>
  <si>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</si>
  <si>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</si>
  <si>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</si>
  <si>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</si>
  <si>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</si>
  <si>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</si>
  <si>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</si>
  <si>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</si>
  <si>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</si>
  <si>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</si>
  <si>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</si>
  <si>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</si>
  <si>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</si>
  <si>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</si>
  <si>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</si>
  <si>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</si>
  <si>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</si>
  <si>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</si>
  <si>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</si>
  <si>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</si>
  <si>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</si>
  <si>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</si>
  <si>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</si>
  <si>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</si>
  <si>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</si>
  <si>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</si>
  <si>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</si>
  <si>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</si>
  <si>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</si>
  <si>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</si>
  <si>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</si>
  <si>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</si>
  <si>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</si>
  <si>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</si>
  <si>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</si>
  <si>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</si>
  <si>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</si>
  <si>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</si>
  <si>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</si>
  <si>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</si>
  <si>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</si>
  <si>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</si>
  <si>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</si>
  <si>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</si>
  <si>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</si>
  <si>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</si>
  <si>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</si>
  <si>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</si>
  <si>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</si>
  <si>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</si>
  <si>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</si>
  <si>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</si>
  <si>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</si>
  <si>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</si>
  <si>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</si>
  <si>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</si>
  <si>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</si>
  <si>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</si>
  <si>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</si>
  <si>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</si>
  <si>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</si>
  <si>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</si>
  <si>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</si>
  <si>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</si>
  <si>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</si>
  <si>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</si>
  <si>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</si>
  <si>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</si>
  <si>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</si>
  <si>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</si>
  <si>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</si>
  <si>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</si>
  <si>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</si>
  <si>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</si>
  <si>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</si>
  <si>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</si>
  <si>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</si>
  <si>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</si>
  <si>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</si>
  <si>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</si>
  <si>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</si>
  <si>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</si>
  <si>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</si>
  <si>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</si>
  <si>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</si>
  <si>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</si>
  <si>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</si>
  <si>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</si>
  <si>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</si>
  <si>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</si>
  <si>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</si>
  <si>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</si>
  <si>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</si>
  <si>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</si>
  <si>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</si>
  <si>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</si>
  <si>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</si>
  <si>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</si>
  <si>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</si>
  <si>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</si>
  <si>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</si>
  <si>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</si>
  <si>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</si>
  <si>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</si>
  <si>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</si>
  <si>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</si>
  <si>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</si>
  <si>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</si>
  <si>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</si>
  <si>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</si>
  <si>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</si>
  <si>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</si>
  <si>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</si>
  <si>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</si>
  <si>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</si>
  <si>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</si>
  <si>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</si>
  <si>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</si>
  <si>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</si>
  <si>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</si>
  <si>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</si>
  <si>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</si>
  <si>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</si>
  <si>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</si>
  <si>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</si>
  <si>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</si>
  <si>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</si>
  <si>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</si>
  <si>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</si>
  <si>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</si>
  <si>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</si>
  <si>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</si>
  <si>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</si>
  <si>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</si>
  <si>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</si>
  <si>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</si>
  <si>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</si>
  <si>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</si>
  <si>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</si>
  <si>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</si>
  <si>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</si>
  <si>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</si>
  <si>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</si>
  <si>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</si>
  <si>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</si>
  <si>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</si>
  <si>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</si>
  <si>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</si>
  <si>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</si>
  <si>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</si>
  <si>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</si>
  <si>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</si>
  <si>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</si>
  <si>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</si>
  <si>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</si>
  <si>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</si>
  <si>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</si>
  <si>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</si>
  <si>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</si>
  <si>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</si>
  <si>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</si>
  <si>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</si>
  <si>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</si>
  <si>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</si>
  <si>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</si>
  <si>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</si>
  <si>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</si>
  <si>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</si>
  <si>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</si>
  <si>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</si>
  <si>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</si>
  <si>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</si>
  <si>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</si>
  <si>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</si>
  <si>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</si>
  <si>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</si>
  <si>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</si>
  <si>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</si>
  <si>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</si>
  <si>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</si>
  <si>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</si>
  <si>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</si>
  <si>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</si>
  <si>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</si>
  <si>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</si>
  <si>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</si>
  <si>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</si>
  <si>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</si>
  <si>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</si>
  <si>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</si>
  <si>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</si>
  <si>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</si>
  <si>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</si>
  <si>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</si>
  <si>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</si>
  <si>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</si>
  <si>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</si>
  <si>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</si>
  <si>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</si>
  <si>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</si>
  <si>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</si>
  <si>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</si>
  <si>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</si>
  <si>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</si>
  <si>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</si>
  <si>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</si>
  <si>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</si>
  <si>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</si>
  <si>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</si>
  <si>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</si>
  <si>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</si>
  <si>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</si>
  <si>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</si>
  <si>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</si>
  <si>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</si>
  <si>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</si>
  <si>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</si>
  <si>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</si>
  <si>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</si>
  <si>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</si>
  <si>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</si>
  <si>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</si>
  <si>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</si>
  <si>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</si>
  <si>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</si>
  <si>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</si>
  <si>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</si>
  <si>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</si>
  <si>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</si>
  <si>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</si>
  <si>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</si>
  <si>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</si>
  <si>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</si>
  <si>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</si>
  <si>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</si>
  <si>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</si>
  <si>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</si>
  <si>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</si>
  <si>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</si>
  <si>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</si>
  <si>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</si>
  <si>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</si>
  <si>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</si>
  <si>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</si>
  <si>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</si>
  <si>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</si>
  <si>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</si>
  <si>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</si>
  <si>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</si>
  <si>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</si>
  <si>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</si>
  <si>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</si>
  <si>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</si>
  <si>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</si>
  <si>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</si>
  <si>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</si>
  <si>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</si>
  <si>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</si>
  <si>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</si>
  <si>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</si>
  <si>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</si>
  <si>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</si>
  <si>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</si>
  <si>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</si>
  <si>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</si>
  <si>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</si>
  <si>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</si>
  <si>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</si>
  <si>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</si>
  <si>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</si>
  <si>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</si>
  <si>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</si>
  <si>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</si>
  <si>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</si>
  <si>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</si>
  <si>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</si>
  <si>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</si>
  <si>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</si>
  <si>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</si>
  <si>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</si>
  <si>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</si>
  <si>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</si>
  <si>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</si>
  <si>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</si>
  <si>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</si>
  <si>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</si>
  <si>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</si>
  <si>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</si>
  <si>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</si>
  <si>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</si>
  <si>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</si>
  <si>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</si>
  <si>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</si>
  <si>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</si>
  <si>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</si>
  <si>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</si>
  <si>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</si>
  <si>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</si>
  <si>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</si>
  <si>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</si>
  <si>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</si>
  <si>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</si>
  <si>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</si>
  <si>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</si>
  <si>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</si>
  <si>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</si>
  <si>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</si>
  <si>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</si>
  <si>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</si>
  <si>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</si>
  <si>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</si>
  <si>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</si>
  <si>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</si>
  <si>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</si>
  <si>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</si>
  <si>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</si>
  <si>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</si>
  <si>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</si>
  <si>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</si>
  <si>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</si>
  <si>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</si>
  <si>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</si>
  <si>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</si>
  <si>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</si>
  <si>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</si>
  <si>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</si>
  <si>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</si>
  <si>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</si>
  <si>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</si>
  <si>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</si>
  <si>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</si>
  <si>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</si>
  <si>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</si>
  <si>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</si>
  <si>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</si>
  <si>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</si>
  <si>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</si>
  <si>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</si>
  <si>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</si>
  <si>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</si>
  <si>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</si>
  <si>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</si>
  <si>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</si>
  <si>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</si>
  <si>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</si>
  <si>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</si>
  <si>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</si>
  <si>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</si>
  <si>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</si>
  <si>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</si>
  <si>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</si>
  <si>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</si>
  <si>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</si>
  <si>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</si>
  <si>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</si>
  <si>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</si>
  <si>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</si>
  <si>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</si>
  <si>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</si>
  <si>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</si>
  <si>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</si>
  <si>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</si>
  <si>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</si>
  <si>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</si>
  <si>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</si>
  <si>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</si>
  <si>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</si>
  <si>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</si>
  <si>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</si>
  <si>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</si>
  <si>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</si>
  <si>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</si>
  <si>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</si>
  <si>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</si>
  <si>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</si>
  <si>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</si>
  <si>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</si>
  <si>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</si>
  <si>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</si>
  <si>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</si>
  <si>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</si>
  <si>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</si>
  <si>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</si>
  <si>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</si>
  <si>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</si>
  <si>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</si>
  <si>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</si>
  <si>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</si>
  <si>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</si>
  <si>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</si>
  <si>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</si>
  <si>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</si>
  <si>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</si>
  <si>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</si>
  <si>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</si>
  <si>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</si>
  <si>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</si>
  <si>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</si>
  <si>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</si>
  <si>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</si>
  <si>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</si>
  <si>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</si>
  <si>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</si>
  <si>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</si>
  <si>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</si>
  <si>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</si>
  <si>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</si>
  <si>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</si>
  <si>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</si>
  <si>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</si>
  <si>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</si>
  <si>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</si>
  <si>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</si>
  <si>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</si>
  <si>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</si>
  <si>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</si>
  <si>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</si>
  <si>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</si>
  <si>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</si>
  <si>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</si>
  <si>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</si>
  <si>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</si>
  <si>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</si>
  <si>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</si>
  <si>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</si>
  <si>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</si>
  <si>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</si>
  <si>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</si>
  <si>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</si>
  <si>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</si>
  <si>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</si>
  <si>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</si>
  <si>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</si>
  <si>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</si>
  <si>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</si>
  <si>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</si>
  <si>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</si>
  <si>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</si>
  <si>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</si>
  <si>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</si>
  <si>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</si>
  <si>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</si>
  <si>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</si>
  <si>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</si>
  <si>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</si>
  <si>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</si>
  <si>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</si>
  <si>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</si>
  <si>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</si>
  <si>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</si>
  <si>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</si>
  <si>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</si>
  <si>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</si>
  <si>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</si>
  <si>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</si>
  <si>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</si>
  <si>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</si>
  <si>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</si>
  <si>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</si>
  <si>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</si>
  <si>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</si>
  <si>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</si>
  <si>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</si>
  <si>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</si>
  <si>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</si>
  <si>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</si>
  <si>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</si>
  <si>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</si>
  <si>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</si>
  <si>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</si>
  <si>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</si>
  <si>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</si>
  <si>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</si>
  <si>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</si>
  <si>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</si>
  <si>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</si>
  <si>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</si>
  <si>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</si>
  <si>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</si>
  <si>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</si>
  <si>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</si>
  <si>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</si>
  <si>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</si>
  <si>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</si>
  <si>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</si>
  <si>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</si>
  <si>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</si>
  <si>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</si>
  <si>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</si>
  <si>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</si>
  <si>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</si>
  <si>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</si>
  <si>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</si>
  <si>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</si>
  <si>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</si>
  <si>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</si>
  <si>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</si>
  <si>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</si>
  <si>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</si>
  <si>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</si>
  <si>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</si>
  <si>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</si>
  <si>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</si>
  <si>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</si>
  <si>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</si>
  <si>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</si>
  <si>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</si>
  <si>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</si>
  <si>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</si>
  <si>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</si>
  <si>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</si>
  <si>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</si>
  <si>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</si>
  <si>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</si>
  <si>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</si>
  <si>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</si>
  <si>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</si>
  <si>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</si>
  <si>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</si>
  <si>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</si>
  <si>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</si>
  <si>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</si>
  <si>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</si>
  <si>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</si>
  <si>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</si>
  <si>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</si>
  <si>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</si>
  <si>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</si>
  <si>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</si>
  <si>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</si>
  <si>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</si>
  <si>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</si>
  <si>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</si>
  <si>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</si>
  <si>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</si>
  <si>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</si>
  <si>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</si>
  <si>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</si>
  <si>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</si>
  <si>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</si>
  <si>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</si>
  <si>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</si>
  <si>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</si>
  <si>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</si>
  <si>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</si>
  <si>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</si>
  <si>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</si>
  <si>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</si>
  <si>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</si>
  <si>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</si>
  <si>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</si>
  <si>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</si>
  <si>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</si>
  <si>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</si>
  <si>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</si>
  <si>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</si>
  <si>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</si>
  <si>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</si>
  <si>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</si>
  <si>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</si>
  <si>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</si>
  <si>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</si>
  <si>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</si>
  <si>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</si>
  <si>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</si>
  <si>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</si>
  <si>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</si>
  <si>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</si>
  <si>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</si>
  <si>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</si>
  <si>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</si>
  <si>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</si>
  <si>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</si>
  <si>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</si>
  <si>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</si>
  <si>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</si>
  <si>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</si>
  <si>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</si>
  <si>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</si>
  <si>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</si>
  <si>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</si>
  <si>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</si>
  <si>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</si>
  <si>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</si>
  <si>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</si>
  <si>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</si>
  <si>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</si>
  <si>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</si>
  <si>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</si>
  <si>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</si>
  <si>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</si>
  <si>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</si>
  <si>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</si>
  <si>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</si>
  <si>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</si>
  <si>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</si>
  <si>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</si>
  <si>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</si>
  <si>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</si>
  <si>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</si>
  <si>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</si>
  <si>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</si>
  <si>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</si>
  <si>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</si>
  <si>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</si>
  <si>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</si>
  <si>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</si>
  <si>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</si>
  <si>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</si>
  <si>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</si>
  <si>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</si>
  <si>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</si>
  <si>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</si>
  <si>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</si>
  <si>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</si>
  <si>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</si>
  <si>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</si>
  <si>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</si>
  <si>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</si>
  <si>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</si>
  <si>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</si>
  <si>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</si>
  <si>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</si>
  <si>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</si>
  <si>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</si>
  <si>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</si>
  <si>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</si>
  <si>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</si>
  <si>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</si>
  <si>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</si>
  <si>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</si>
  <si>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</si>
  <si>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</si>
  <si>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</si>
  <si>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</si>
  <si>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</si>
  <si>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</si>
  <si>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</si>
  <si>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</si>
  <si>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</si>
  <si>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</si>
  <si>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</si>
  <si>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</si>
  <si>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</si>
  <si>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</si>
  <si>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</si>
  <si>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</si>
  <si>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</si>
  <si>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</si>
  <si>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</si>
  <si>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</si>
  <si>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</si>
  <si>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</si>
  <si>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</si>
  <si>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</si>
  <si>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</si>
  <si>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</si>
  <si>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</si>
  <si>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</si>
  <si>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</si>
  <si>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</si>
  <si>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</si>
  <si>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</si>
  <si>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</si>
  <si>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</si>
  <si>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</si>
  <si>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</si>
  <si>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</si>
  <si>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</si>
  <si>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</si>
  <si>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</si>
  <si>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</si>
  <si>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</si>
  <si>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</si>
  <si>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</si>
  <si>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</si>
  <si>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</si>
  <si>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</si>
  <si>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</si>
  <si>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</si>
  <si>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</si>
  <si>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</si>
  <si>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</si>
  <si>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</si>
  <si>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</si>
  <si>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</si>
  <si>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</si>
  <si>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</si>
  <si>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</si>
  <si>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</si>
  <si>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</si>
  <si>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</si>
  <si>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</si>
  <si>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</si>
  <si>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</si>
  <si>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</si>
  <si>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</si>
  <si>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</si>
  <si>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</si>
  <si>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</si>
  <si>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</si>
  <si>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</si>
  <si>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</si>
  <si>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</si>
  <si>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</si>
  <si>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</si>
  <si>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</si>
  <si>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</si>
  <si>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</si>
  <si>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</si>
  <si>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</si>
  <si>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</si>
  <si>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</si>
  <si>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</si>
  <si>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</si>
  <si>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</si>
  <si>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</si>
  <si>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</si>
  <si>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</si>
  <si>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</si>
  <si>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</si>
  <si>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</si>
  <si>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</si>
  <si>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</si>
  <si>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</si>
  <si>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</si>
  <si>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</si>
  <si>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</si>
  <si>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</si>
  <si>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</si>
  <si>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</si>
  <si>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</si>
  <si>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</si>
  <si>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</si>
  <si>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</si>
  <si>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</si>
  <si>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</si>
  <si>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</si>
  <si>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</si>
  <si>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</si>
  <si>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</si>
  <si>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</si>
  <si>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</si>
  <si>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</si>
  <si>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</si>
  <si>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</si>
  <si>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</si>
  <si>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</si>
  <si>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</si>
  <si>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</si>
  <si>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</si>
  <si>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</si>
  <si>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</si>
  <si>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</si>
  <si>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</si>
  <si>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</si>
  <si>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</si>
  <si>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</si>
  <si>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</si>
  <si>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</si>
  <si>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</si>
  <si>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</si>
  <si>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</si>
  <si>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</si>
  <si>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</si>
  <si>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</si>
  <si>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</si>
  <si>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</si>
  <si>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</si>
  <si>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</si>
  <si>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</si>
  <si>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</si>
  <si>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</si>
  <si>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</si>
  <si>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</si>
  <si>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</si>
  <si>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</si>
  <si>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</si>
  <si>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</si>
  <si>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</si>
  <si>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</si>
  <si>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</si>
  <si>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</si>
  <si>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</si>
  <si>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</si>
  <si>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</si>
  <si>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</si>
  <si>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</si>
  <si>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</si>
  <si>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</si>
  <si>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</si>
  <si>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</si>
  <si>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</si>
  <si>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</si>
  <si>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</si>
  <si>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</si>
  <si>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</si>
  <si>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</si>
  <si>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</si>
  <si>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</si>
  <si>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</si>
  <si>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</si>
  <si>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</si>
  <si>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</si>
  <si>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</si>
  <si>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</si>
  <si>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</si>
  <si>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</si>
  <si>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</si>
  <si>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</si>
  <si>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</si>
  <si>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</si>
  <si>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</si>
  <si>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</si>
  <si>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</si>
  <si>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</si>
  <si>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</si>
  <si>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</si>
  <si>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</si>
  <si>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</si>
  <si>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</si>
  <si>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</si>
  <si>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</si>
  <si>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</si>
  <si>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</si>
  <si>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</si>
  <si>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</si>
  <si>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</si>
  <si>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</si>
  <si>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</si>
  <si>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</si>
  <si>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</si>
  <si>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</si>
  <si>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</si>
  <si>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</si>
  <si>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</si>
  <si>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</si>
  <si>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</si>
  <si>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</si>
  <si>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</si>
  <si>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</si>
  <si>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</si>
  <si>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</si>
  <si>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</si>
  <si>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</si>
  <si>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</si>
  <si>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</si>
  <si>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</si>
  <si>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</si>
  <si>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</si>
  <si>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</si>
  <si>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</si>
  <si>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</si>
  <si>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</si>
  <si>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</si>
  <si>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</si>
  <si>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</si>
  <si>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</si>
  <si>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</si>
  <si>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</si>
  <si>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</si>
  <si>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</si>
  <si>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</si>
  <si>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</si>
  <si>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</si>
  <si>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</si>
  <si>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</si>
  <si>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</si>
  <si>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</si>
  <si>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</si>
  <si>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</si>
  <si>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</si>
  <si>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</si>
  <si>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</si>
  <si>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</si>
  <si>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</si>
  <si>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</si>
  <si>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</si>
  <si>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</si>
  <si>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</si>
  <si>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</si>
  <si>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</si>
  <si>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</si>
  <si>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</si>
  <si>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</si>
  <si>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</si>
  <si>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</si>
  <si>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</si>
  <si>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</si>
  <si>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</si>
  <si>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</si>
  <si>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</si>
  <si>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</si>
  <si>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</si>
  <si>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</si>
  <si>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</si>
  <si>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</si>
  <si>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</si>
  <si>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</si>
  <si>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</si>
  <si>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</si>
  <si>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</si>
  <si>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</si>
  <si>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</si>
  <si>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</si>
  <si>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</si>
  <si>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</si>
  <si>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</si>
  <si>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</si>
  <si>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</si>
  <si>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</si>
  <si>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</si>
  <si>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</si>
  <si>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</si>
  <si>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</si>
  <si>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</si>
  <si>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</si>
  <si>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</si>
  <si>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</si>
  <si>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</si>
  <si>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</si>
  <si>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</si>
  <si>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</si>
  <si>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</si>
  <si>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</si>
  <si>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</si>
  <si>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</si>
  <si>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</si>
  <si>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</si>
  <si>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</si>
  <si>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</si>
  <si>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</si>
  <si>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</si>
  <si>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</si>
  <si>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</si>
  <si>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</si>
  <si>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</si>
  <si>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</si>
  <si>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</si>
  <si>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</si>
  <si>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</si>
  <si>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</si>
  <si>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</si>
  <si>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</si>
  <si>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</si>
  <si>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</si>
  <si>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</si>
  <si>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</si>
  <si>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</si>
  <si>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</si>
  <si>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</si>
  <si>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</si>
  <si>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</si>
  <si>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</si>
  <si>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</si>
  <si>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</si>
  <si>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</si>
  <si>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</si>
  <si>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</si>
  <si>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</si>
  <si>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</si>
  <si>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</si>
  <si>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</si>
  <si>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</si>
  <si>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</si>
  <si>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</si>
  <si>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</si>
  <si>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</si>
  <si>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</si>
  <si>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</si>
  <si>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</si>
  <si>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</si>
  <si>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</si>
  <si>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</si>
  <si>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</si>
  <si>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</si>
  <si>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</si>
  <si>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</si>
  <si>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</si>
  <si>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</si>
  <si>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</si>
  <si>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</si>
  <si>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</si>
  <si>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</si>
  <si>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</si>
  <si>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</si>
  <si>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</si>
  <si>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</si>
  <si>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</si>
  <si>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</si>
  <si>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</si>
  <si>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</si>
  <si>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</si>
  <si>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</si>
  <si>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</si>
  <si>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</si>
  <si>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</si>
  <si>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</si>
  <si>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</si>
  <si>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</si>
  <si>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</si>
  <si>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</si>
  <si>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</si>
  <si>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</si>
  <si>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</si>
  <si>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</si>
  <si>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</si>
  <si>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</si>
  <si>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</si>
  <si>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</si>
  <si>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</si>
  <si>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</si>
  <si>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</si>
  <si>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</si>
  <si>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</si>
  <si>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</si>
  <si>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</si>
  <si>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</si>
  <si>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</si>
  <si>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</si>
  <si>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</si>
  <si>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</si>
  <si>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</si>
  <si>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</si>
  <si>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</si>
  <si>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</si>
  <si>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</si>
  <si>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</si>
  <si>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</si>
  <si>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</si>
  <si>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</si>
  <si>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</si>
  <si>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</si>
  <si>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</si>
  <si>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</si>
  <si>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</si>
  <si>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</si>
  <si>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</si>
  <si>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</si>
  <si>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</si>
  <si>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</si>
  <si>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</si>
  <si>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</si>
  <si>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</si>
  <si>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</si>
  <si>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</si>
  <si>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</si>
  <si>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</si>
  <si>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</si>
  <si>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</si>
  <si>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</si>
  <si>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</si>
  <si>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</si>
  <si>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</si>
  <si>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</si>
  <si>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</si>
  <si>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</si>
  <si>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</si>
  <si>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</si>
  <si>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</si>
  <si>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</si>
  <si>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</si>
  <si>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</si>
  <si>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</si>
  <si>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</si>
  <si>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</si>
  <si>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</si>
  <si>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</si>
  <si>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</si>
  <si>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</si>
  <si>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</si>
  <si>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</si>
  <si>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</si>
  <si>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</si>
  <si>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</si>
  <si>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</si>
  <si>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</si>
  <si>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</si>
  <si>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</si>
  <si>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</si>
  <si>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</si>
  <si>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</si>
  <si>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</si>
  <si>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</si>
  <si>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</si>
  <si>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</si>
  <si>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</si>
  <si>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</si>
  <si>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</si>
  <si>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</si>
  <si>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</si>
  <si>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</si>
  <si>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</si>
  <si>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</si>
  <si>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</si>
  <si>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</si>
  <si>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</si>
  <si>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</si>
  <si>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</si>
  <si>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</si>
  <si>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</si>
  <si>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</si>
  <si>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</si>
  <si>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</si>
  <si>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</si>
  <si>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</si>
  <si>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</si>
  <si>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</si>
  <si>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</si>
  <si>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</si>
  <si>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</si>
  <si>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</si>
  <si>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</si>
  <si>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</si>
  <si>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</si>
  <si>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</si>
  <si>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</si>
  <si>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</si>
  <si>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</si>
  <si>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</si>
  <si>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</si>
  <si>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</si>
  <si>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</si>
  <si>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</si>
  <si>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</si>
  <si>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</si>
  <si>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</si>
  <si>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</si>
  <si>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</si>
  <si>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</si>
  <si>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</si>
  <si>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</si>
  <si>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</si>
  <si>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</si>
  <si>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</si>
  <si>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</si>
  <si>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</si>
  <si>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</si>
  <si>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</si>
  <si>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</si>
  <si>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</si>
  <si>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</si>
  <si>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</si>
  <si>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</si>
  <si>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</si>
  <si>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</si>
  <si>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</si>
  <si>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</si>
  <si>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</si>
  <si>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</si>
  <si>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</si>
  <si>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</si>
  <si>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</si>
  <si>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</si>
  <si>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</si>
  <si>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</si>
  <si>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</si>
  <si>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</si>
  <si>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</si>
  <si>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</si>
  <si>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</si>
  <si>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</si>
  <si>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</si>
  <si>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</si>
  <si>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</si>
  <si>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</si>
  <si>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</si>
  <si>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</si>
  <si>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</si>
  <si>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</si>
  <si>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</si>
  <si>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</si>
  <si>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</si>
  <si>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</si>
  <si>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</si>
  <si>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</si>
  <si>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</si>
  <si>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</si>
  <si>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</si>
  <si>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</si>
  <si>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</si>
  <si>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</si>
  <si>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</si>
  <si>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</si>
  <si>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</si>
  <si>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</si>
  <si>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</si>
  <si>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</si>
  <si>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</si>
  <si>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</si>
  <si>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</si>
  <si>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</si>
  <si>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</si>
  <si>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</si>
  <si>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</si>
  <si>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</si>
  <si>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</si>
  <si>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</si>
  <si>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</si>
  <si>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</si>
  <si>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</si>
  <si>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</si>
  <si>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</si>
  <si>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</si>
  <si>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</si>
  <si>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</si>
  <si>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</si>
  <si>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</si>
  <si>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</si>
  <si>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</si>
  <si>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</si>
  <si>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</si>
  <si>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</si>
  <si>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</si>
  <si>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</si>
  <si>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</si>
  <si>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</si>
  <si>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</si>
  <si>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</si>
  <si>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</si>
  <si>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</si>
  <si>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</si>
  <si>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</si>
  <si>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</si>
  <si>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</si>
  <si>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</si>
  <si>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</si>
  <si>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</si>
  <si>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</si>
  <si>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</si>
  <si>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</si>
  <si>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</si>
  <si>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</si>
  <si>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</si>
  <si>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</si>
  <si>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</si>
  <si>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</si>
  <si>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</si>
  <si>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</si>
  <si>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</si>
  <si>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</si>
  <si>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</si>
  <si>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</si>
  <si>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</si>
  <si>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</si>
  <si>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</si>
  <si>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</si>
  <si>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</si>
  <si>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</si>
  <si>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</si>
  <si>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</si>
  <si>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</si>
  <si>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</si>
  <si>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</si>
  <si>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</si>
  <si>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</si>
  <si>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</si>
  <si>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</si>
  <si>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</si>
  <si>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</si>
  <si>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</si>
  <si>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</si>
  <si>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</si>
  <si>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</si>
  <si>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</si>
  <si>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</si>
  <si>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</si>
  <si>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</si>
  <si>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</si>
  <si>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</si>
  <si>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</si>
  <si>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</si>
  <si>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</si>
  <si>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</si>
  <si>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</si>
  <si>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</si>
  <si>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</si>
  <si>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</si>
  <si>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</si>
  <si>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</si>
  <si>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</si>
  <si>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</si>
  <si>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</si>
  <si>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</si>
  <si>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</si>
  <si>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</si>
  <si>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</si>
  <si>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</si>
  <si>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</si>
  <si>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</si>
  <si>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</si>
  <si>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</si>
  <si>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</si>
  <si>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</si>
  <si>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</si>
  <si>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</si>
  <si>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</si>
  <si>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</si>
  <si>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</si>
  <si>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</si>
  <si>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</si>
  <si>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</si>
  <si>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</si>
  <si>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</si>
  <si>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</si>
  <si>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</si>
  <si>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</si>
  <si>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</si>
  <si>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</si>
  <si>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</si>
  <si>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</si>
  <si>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</si>
  <si>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</si>
  <si>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</si>
  <si>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</si>
  <si>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</si>
  <si>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</si>
  <si>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</si>
  <si>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</si>
  <si>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</si>
  <si>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</si>
  <si>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</si>
  <si>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</si>
  <si>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</si>
  <si>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</si>
  <si>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</si>
  <si>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</si>
  <si>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</si>
  <si>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</si>
  <si>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</si>
  <si>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</si>
  <si>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</si>
  <si>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</si>
  <si>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</si>
  <si>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</si>
  <si>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</si>
  <si>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</si>
  <si>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</si>
  <si>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</si>
  <si>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</si>
  <si>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</si>
  <si>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</si>
  <si>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</si>
  <si>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</si>
  <si>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</si>
  <si>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</si>
  <si>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</si>
  <si>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</si>
  <si>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</si>
  <si>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</si>
  <si>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</si>
  <si>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</si>
  <si>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</si>
  <si>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</si>
  <si>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</si>
  <si>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</si>
  <si>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</si>
  <si>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</si>
  <si>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</si>
  <si>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</si>
  <si>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</si>
  <si>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</si>
  <si>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</si>
  <si>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</si>
  <si>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</si>
  <si>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</si>
  <si>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</si>
  <si>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</si>
  <si>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</si>
  <si>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</si>
  <si>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</si>
  <si>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</si>
  <si>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</si>
  <si>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</si>
  <si>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</si>
  <si>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</si>
  <si>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</si>
  <si>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</si>
  <si>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</si>
  <si>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</si>
  <si>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</si>
  <si>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</si>
  <si>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</si>
  <si>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</si>
  <si>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</si>
  <si>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</si>
  <si>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</si>
  <si>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</si>
  <si>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</si>
  <si>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</si>
  <si>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</si>
  <si>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</si>
  <si>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</si>
  <si>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</si>
  <si>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</si>
  <si>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</si>
  <si>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</si>
  <si>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</si>
  <si>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</si>
  <si>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</si>
  <si>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</si>
  <si>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</si>
  <si>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</si>
  <si>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</si>
  <si>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</si>
  <si>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</si>
  <si>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</si>
  <si>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</si>
  <si>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</si>
  <si>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</si>
  <si>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</si>
  <si>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</si>
  <si>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</si>
  <si>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</si>
  <si>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</si>
  <si>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</si>
  <si>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</si>
  <si>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</si>
  <si>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</si>
  <si>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</si>
  <si>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</si>
  <si>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</si>
  <si>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</si>
  <si>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</si>
  <si>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</si>
  <si>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</si>
  <si>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</si>
  <si>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</si>
  <si>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</si>
  <si>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</si>
  <si>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</si>
  <si>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</si>
  <si>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</si>
  <si>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</si>
  <si>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</si>
  <si>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</si>
  <si>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</si>
  <si>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</si>
  <si>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</si>
  <si>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</si>
  <si>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</si>
  <si>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</si>
  <si>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</si>
  <si>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</si>
  <si>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</si>
  <si>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</si>
  <si>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</si>
  <si>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</si>
  <si>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</si>
  <si>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</si>
  <si>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</si>
  <si>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</si>
  <si>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</si>
  <si>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</si>
  <si>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</si>
  <si>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</si>
  <si>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</si>
  <si>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</si>
  <si>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</si>
  <si>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</si>
  <si>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</si>
  <si>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</si>
  <si>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</si>
  <si>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</si>
  <si>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</si>
  <si>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</si>
  <si>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</si>
  <si>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</si>
  <si>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</si>
  <si>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</si>
  <si>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</si>
  <si>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</si>
  <si>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</si>
  <si>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</si>
  <si>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</si>
  <si>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</si>
  <si>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</si>
  <si>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</si>
  <si>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</si>
  <si>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</si>
  <si>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</si>
  <si>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</si>
  <si>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</si>
  <si>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</si>
  <si>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</si>
  <si>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</si>
  <si>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</si>
  <si>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</si>
  <si>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</si>
  <si>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</si>
  <si>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</si>
  <si>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</si>
  <si>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</si>
  <si>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</si>
  <si>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</si>
  <si>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</si>
  <si>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</si>
  <si>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</si>
  <si>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</si>
  <si>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</si>
  <si>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</si>
  <si>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</si>
  <si>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</si>
  <si>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</si>
  <si>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</si>
  <si>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</si>
  <si>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</si>
  <si>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</si>
  <si>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</si>
  <si>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</si>
  <si>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</si>
  <si>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</si>
  <si>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</si>
  <si>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</si>
  <si>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</si>
  <si>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</si>
  <si>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</si>
  <si>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</si>
  <si>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</si>
  <si>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</si>
  <si>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</si>
  <si>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</si>
  <si>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</si>
  <si>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</si>
  <si>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</si>
  <si>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</si>
  <si>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</si>
  <si>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</si>
  <si>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</si>
  <si>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</si>
  <si>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</si>
  <si>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</si>
  <si>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</si>
  <si>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</si>
  <si>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</si>
  <si>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</si>
  <si>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</si>
  <si>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</si>
  <si>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</si>
  <si>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</si>
  <si>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</si>
  <si>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</si>
  <si>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</si>
  <si>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</si>
  <si>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</si>
  <si>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</si>
  <si>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</si>
  <si>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</si>
  <si>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</si>
  <si>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</si>
  <si>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</si>
  <si>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</si>
  <si>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</si>
  <si>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</si>
  <si>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</si>
  <si>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</si>
  <si>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</si>
  <si>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</si>
  <si>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</si>
  <si>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</si>
  <si>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</si>
  <si>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</si>
  <si>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</si>
  <si>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</si>
  <si>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</si>
  <si>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</si>
  <si>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</si>
  <si>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</si>
  <si>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</si>
  <si>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</si>
  <si>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</si>
  <si>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</si>
  <si>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</si>
  <si>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</si>
  <si>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</si>
  <si>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</si>
  <si>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</si>
  <si>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</si>
  <si>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</si>
  <si>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</si>
  <si>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</si>
  <si>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</si>
  <si>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</si>
  <si>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</si>
  <si>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</si>
  <si>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</si>
  <si>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</si>
  <si>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</si>
  <si>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</si>
  <si>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</si>
  <si>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</si>
  <si>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</si>
  <si>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</si>
  <si>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</si>
  <si>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</si>
  <si>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</si>
  <si>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</si>
  <si>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</si>
  <si>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</si>
  <si>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</si>
  <si>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</si>
  <si>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</si>
  <si>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</si>
  <si>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</si>
  <si>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</si>
  <si>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</si>
  <si>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</si>
  <si>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</si>
  <si>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</si>
  <si>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</si>
  <si>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</si>
  <si>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</si>
  <si>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</si>
  <si>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</si>
  <si>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</si>
  <si>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</si>
  <si>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</si>
  <si>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</si>
  <si>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</si>
  <si>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</si>
  <si>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</si>
  <si>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</si>
  <si>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</si>
  <si>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</si>
  <si>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</si>
  <si>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</si>
  <si>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</si>
  <si>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</si>
  <si>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</si>
  <si>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</si>
  <si>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</si>
  <si>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</si>
  <si>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</si>
  <si>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</si>
  <si>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</si>
  <si>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</si>
  <si>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</si>
  <si>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</si>
  <si>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</si>
  <si>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</si>
  <si>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</si>
  <si>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</si>
  <si>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</si>
  <si>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</si>
  <si>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</si>
  <si>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</si>
  <si>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</si>
  <si>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</si>
  <si>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</si>
  <si>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</si>
  <si>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</si>
  <si>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</si>
  <si>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</si>
  <si>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</si>
  <si>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</si>
  <si>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</si>
  <si>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</si>
  <si>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</si>
  <si>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</si>
  <si>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</si>
  <si>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</si>
  <si>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</si>
  <si>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</si>
  <si>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</si>
  <si>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</si>
  <si>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</si>
  <si>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</si>
  <si>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</si>
  <si>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</si>
  <si>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</si>
  <si>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</si>
  <si>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</si>
  <si>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</si>
  <si>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</si>
  <si>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</si>
  <si>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</si>
  <si>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</si>
  <si>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</si>
  <si>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</si>
  <si>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</si>
  <si>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</si>
  <si>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</si>
  <si>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</si>
  <si>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</si>
  <si>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</si>
  <si>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</si>
  <si>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</si>
  <si>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</si>
  <si>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</si>
  <si>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</si>
  <si>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</si>
  <si>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</si>
  <si>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</si>
  <si>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</si>
  <si>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</si>
  <si>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</si>
  <si>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</si>
  <si>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</si>
  <si>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</si>
  <si>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</si>
  <si>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</si>
  <si>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</si>
  <si>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</si>
  <si>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</si>
  <si>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</si>
  <si>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</si>
  <si>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</si>
  <si>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</si>
  <si>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</si>
  <si>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</si>
  <si>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</si>
  <si>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</si>
  <si>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</si>
  <si>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</si>
  <si>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</si>
  <si>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</si>
  <si>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</si>
  <si>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</si>
  <si>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</si>
  <si>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</si>
  <si>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</si>
  <si>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</si>
  <si>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</si>
  <si>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</si>
  <si>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</si>
  <si>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</si>
  <si>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</si>
  <si>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</si>
  <si>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</si>
  <si>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</si>
  <si>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</si>
  <si>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</si>
  <si>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</si>
  <si>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</si>
  <si>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</si>
  <si>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</si>
  <si>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</si>
  <si>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</si>
  <si>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</si>
  <si>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</si>
  <si>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</si>
  <si>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</si>
  <si>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</si>
  <si>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</si>
  <si>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</si>
  <si>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</si>
  <si>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</si>
  <si>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</si>
  <si>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</si>
  <si>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</si>
  <si>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</si>
  <si>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</si>
  <si>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</si>
  <si>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</si>
  <si>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</si>
  <si>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</si>
  <si>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</si>
  <si>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</si>
  <si>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</si>
  <si>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</si>
  <si>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</si>
  <si>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</si>
  <si>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</si>
  <si>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</si>
  <si>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</si>
  <si>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</si>
  <si>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</si>
  <si>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</si>
  <si>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</si>
  <si>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</si>
  <si>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</si>
  <si>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</si>
  <si>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</si>
  <si>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</si>
  <si>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</si>
  <si>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</si>
  <si>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</si>
  <si>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</si>
  <si>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</si>
  <si>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</si>
  <si>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</si>
  <si>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</si>
  <si>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</si>
  <si>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</si>
  <si>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</si>
  <si>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</si>
  <si>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</si>
  <si>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</si>
  <si>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</si>
  <si>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</si>
  <si>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</si>
  <si>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</si>
  <si>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</si>
  <si>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</si>
  <si>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</si>
  <si>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</si>
  <si>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</si>
  <si>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</si>
  <si>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</si>
  <si>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</si>
  <si>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</si>
  <si>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</si>
  <si>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</si>
  <si>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</si>
  <si>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</si>
  <si>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</si>
  <si>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</si>
  <si>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</si>
  <si>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</si>
  <si>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</si>
  <si>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</si>
  <si>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</si>
  <si>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</si>
  <si>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</si>
  <si>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</si>
  <si>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</si>
  <si>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</si>
  <si>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</si>
  <si>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</si>
  <si>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</si>
  <si>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</si>
  <si>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</si>
  <si>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</si>
  <si>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</si>
  <si>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</si>
  <si>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</si>
  <si>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</si>
  <si>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</si>
  <si>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</si>
  <si>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</si>
  <si>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</si>
  <si>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</si>
  <si>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</si>
  <si>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</si>
  <si>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</si>
  <si>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</si>
  <si>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</si>
  <si>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</si>
  <si>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</si>
  <si>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</si>
  <si>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</si>
  <si>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</si>
  <si>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</si>
  <si>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</si>
  <si>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</si>
  <si>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</si>
  <si>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</si>
  <si>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</si>
  <si>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</si>
  <si>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</si>
  <si>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</si>
  <si>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</si>
  <si>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</si>
  <si>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</si>
  <si>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</si>
  <si>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</si>
  <si>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</si>
  <si>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</si>
  <si>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</si>
  <si>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</si>
  <si>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</si>
  <si>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</si>
  <si>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</si>
  <si>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</si>
  <si>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</si>
  <si>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</si>
  <si>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</si>
  <si>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</si>
  <si>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</si>
  <si>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</si>
  <si>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</si>
  <si>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</si>
  <si>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</si>
  <si>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</si>
  <si>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</si>
  <si>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</si>
  <si>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</si>
  <si>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</si>
  <si>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</si>
  <si>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</si>
  <si>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</si>
  <si>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</si>
  <si>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</si>
  <si>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</si>
  <si>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</si>
  <si>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</si>
  <si>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</si>
  <si>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</si>
  <si>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</si>
  <si>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</si>
  <si>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</si>
  <si>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</si>
  <si>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</si>
  <si>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</si>
  <si>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</si>
  <si>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</si>
  <si>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</si>
  <si>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</si>
  <si>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</si>
  <si>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</si>
  <si>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</si>
  <si>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</si>
  <si>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</si>
  <si>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</si>
  <si>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</si>
  <si>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</si>
  <si>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</si>
  <si>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</si>
  <si>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</si>
  <si>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</si>
  <si>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</si>
  <si>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</si>
  <si>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</si>
  <si>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</si>
  <si>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</si>
  <si>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</si>
  <si>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</si>
  <si>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</si>
  <si>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</si>
  <si>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</si>
  <si>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</si>
  <si>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</si>
  <si>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</si>
  <si>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</si>
  <si>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</si>
  <si>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</si>
  <si>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</si>
  <si>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</si>
  <si>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</si>
  <si>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</si>
  <si>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</si>
  <si>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</si>
  <si>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</si>
  <si>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</si>
  <si>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</si>
  <si>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</si>
  <si>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</si>
  <si>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</si>
  <si>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</si>
  <si>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</si>
  <si>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</si>
  <si>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</si>
  <si>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</si>
  <si>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</si>
  <si>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</si>
  <si>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</si>
  <si>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</si>
  <si>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</si>
  <si>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</si>
  <si>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</si>
  <si>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</si>
  <si>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</si>
  <si>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</si>
  <si>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</si>
  <si>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</si>
  <si>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</si>
  <si>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</si>
  <si>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</si>
  <si>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</si>
  <si>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</si>
  <si>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</si>
  <si>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</si>
  <si>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</si>
  <si>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</si>
  <si>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</si>
  <si>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</si>
  <si>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</si>
  <si>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</si>
  <si>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</si>
  <si>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</si>
  <si>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</si>
  <si>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</si>
  <si>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</si>
  <si>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</si>
  <si>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</si>
  <si>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</si>
  <si>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</si>
  <si>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</si>
  <si>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</si>
  <si>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</si>
  <si>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</si>
  <si>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</si>
  <si>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</si>
  <si>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</si>
  <si>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</si>
  <si>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</si>
  <si>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</si>
  <si>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</si>
  <si>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</si>
  <si>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</si>
  <si>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</si>
  <si>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</si>
  <si>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</si>
  <si>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</si>
  <si>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</si>
  <si>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</si>
  <si>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</si>
  <si>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</si>
  <si>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</si>
  <si>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</si>
  <si>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</si>
  <si>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</si>
  <si>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</si>
  <si>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</si>
  <si>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</si>
  <si>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</si>
  <si>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</si>
  <si>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</si>
  <si>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</si>
  <si>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</si>
  <si>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</si>
  <si>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</si>
  <si>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</si>
  <si>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</si>
  <si>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</si>
  <si>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</si>
  <si>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</si>
  <si>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</si>
  <si>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</si>
  <si>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</si>
  <si>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</si>
  <si>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</si>
  <si>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</si>
  <si>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</si>
  <si>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</si>
  <si>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</si>
  <si>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</si>
  <si>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</si>
  <si>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</si>
  <si>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</si>
  <si>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</si>
  <si>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</si>
  <si>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</si>
  <si>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</si>
  <si>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</si>
  <si>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</si>
  <si>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</si>
  <si>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</si>
  <si>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</si>
  <si>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</si>
  <si>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</si>
  <si>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</si>
  <si>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</si>
  <si>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</si>
  <si>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</si>
  <si>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</si>
  <si>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</si>
  <si>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</si>
  <si>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</si>
  <si>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</si>
  <si>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</si>
  <si>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</si>
  <si>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</si>
  <si>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</si>
  <si>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</si>
  <si>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</si>
  <si>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</si>
  <si>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</si>
  <si>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</si>
  <si>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</si>
  <si>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</si>
  <si>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</si>
  <si>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</si>
  <si>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</si>
  <si>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</si>
  <si>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</si>
  <si>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</si>
  <si>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</si>
  <si>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</si>
  <si>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</si>
  <si>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</si>
  <si>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</si>
  <si>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</si>
  <si>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</si>
  <si>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</si>
  <si>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</si>
  <si>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</si>
  <si>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</si>
  <si>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</si>
  <si>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</si>
  <si>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</si>
  <si>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</si>
  <si>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</si>
  <si>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</si>
  <si>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</si>
  <si>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</si>
  <si>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</si>
  <si>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</si>
  <si>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</si>
  <si>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</si>
  <si>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</si>
  <si>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</si>
  <si>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</si>
  <si>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</si>
  <si>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</si>
  <si>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</si>
  <si>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</si>
  <si>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</si>
  <si>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</si>
  <si>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</si>
  <si>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</si>
  <si>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</si>
  <si>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</si>
  <si>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</si>
  <si>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</si>
  <si>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</si>
  <si>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</si>
  <si>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</si>
  <si>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</si>
  <si>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</si>
  <si>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</si>
  <si>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</si>
  <si>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</si>
  <si>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</si>
  <si>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</si>
  <si>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</si>
  <si>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</si>
  <si>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</si>
  <si>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</si>
  <si>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</si>
  <si>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</si>
  <si>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</si>
  <si>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</si>
  <si>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</si>
  <si>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</si>
  <si>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</si>
  <si>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</si>
  <si>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</si>
  <si>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</si>
  <si>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</si>
  <si>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</si>
  <si>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</si>
  <si>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</si>
  <si>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</si>
  <si>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</si>
  <si>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</si>
  <si>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</si>
  <si>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</si>
  <si>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</si>
  <si>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</si>
  <si>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</si>
  <si>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</si>
  <si>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</si>
  <si>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</si>
  <si>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</si>
  <si>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</si>
  <si>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</si>
  <si>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</si>
  <si>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</si>
  <si>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</si>
  <si>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</si>
  <si>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</si>
  <si>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</si>
  <si>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</si>
  <si>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</si>
  <si>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</si>
  <si>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</si>
  <si>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</si>
  <si>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</si>
  <si>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</si>
  <si>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</si>
  <si>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</si>
  <si>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</si>
  <si>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</si>
  <si>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</si>
  <si>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</si>
  <si>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</si>
  <si>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</si>
  <si>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</si>
  <si>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</si>
  <si>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</si>
  <si>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</si>
  <si>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</si>
  <si>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</si>
  <si>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</si>
  <si>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</si>
  <si>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</si>
  <si>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</si>
  <si>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</si>
  <si>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</si>
  <si>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</si>
  <si>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</si>
  <si>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</si>
  <si>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</si>
  <si>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</si>
  <si>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</si>
  <si>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</si>
  <si>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</si>
  <si>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</si>
  <si>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</si>
  <si>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</si>
  <si>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</si>
  <si>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</si>
  <si>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</si>
  <si>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</si>
  <si>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</si>
  <si>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</si>
  <si>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</si>
  <si>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</si>
  <si>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</si>
  <si>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</si>
  <si>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</si>
  <si>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</si>
  <si>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</si>
  <si>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</si>
  <si>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</si>
  <si>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</si>
  <si>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</si>
  <si>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</si>
  <si>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</si>
  <si>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</si>
  <si>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</si>
  <si>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</si>
  <si>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</si>
  <si>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</si>
  <si>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</si>
  <si>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</si>
  <si>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</si>
  <si>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</si>
  <si>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</si>
  <si>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</si>
  <si>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</si>
  <si>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</si>
  <si>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</si>
  <si>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</si>
  <si>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</si>
  <si>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</si>
  <si>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</si>
  <si>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</si>
  <si>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</si>
  <si>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</si>
  <si>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</si>
  <si>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</si>
  <si>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</si>
  <si>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</si>
  <si>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</si>
  <si>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</si>
  <si>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</si>
  <si>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</si>
  <si>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</si>
  <si>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</si>
  <si>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</si>
  <si>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</si>
  <si>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</si>
  <si>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</si>
  <si>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</si>
  <si>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</si>
  <si>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</si>
  <si>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</si>
  <si>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</si>
  <si>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</si>
  <si>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</si>
  <si>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</si>
  <si>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</si>
  <si>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</si>
  <si>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</si>
  <si>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</si>
  <si>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</si>
  <si>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</si>
  <si>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</si>
  <si>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</si>
  <si>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</si>
  <si>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</si>
  <si>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</si>
  <si>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</si>
  <si>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</si>
  <si>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</si>
  <si>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</si>
  <si>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</si>
  <si>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</si>
  <si>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</si>
  <si>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</si>
  <si>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</si>
  <si>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</si>
  <si>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</si>
  <si>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</si>
  <si>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</si>
  <si>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</si>
  <si>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</si>
  <si>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</si>
  <si>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</si>
  <si>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</si>
  <si>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</si>
  <si>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</si>
  <si>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</si>
  <si>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</si>
  <si>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</si>
  <si>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</si>
  <si>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</si>
  <si>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</si>
  <si>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</si>
  <si>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</si>
  <si>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</si>
  <si>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</si>
  <si>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</si>
  <si>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</si>
  <si>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</si>
  <si>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</si>
  <si>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</si>
  <si>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</si>
  <si>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</si>
  <si>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</si>
  <si>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</si>
  <si>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</si>
  <si>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</si>
  <si>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</si>
  <si>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</si>
  <si>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</si>
  <si>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</si>
  <si>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</si>
  <si>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</si>
  <si>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</si>
  <si>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</si>
  <si>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</si>
  <si>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</si>
  <si>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</si>
  <si>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</si>
  <si>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</si>
  <si>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</si>
  <si>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</si>
  <si>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</si>
  <si>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</si>
  <si>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</si>
  <si>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</si>
  <si>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</si>
  <si>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</si>
  <si>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</si>
  <si>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</si>
  <si>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</si>
  <si>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</si>
  <si>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</si>
  <si>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</si>
  <si>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</si>
  <si>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</si>
  <si>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</si>
  <si>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</si>
  <si>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</si>
  <si>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</si>
  <si>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</si>
  <si>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</si>
  <si>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</si>
  <si>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</si>
  <si>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</si>
  <si>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</si>
  <si>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</si>
  <si>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</si>
  <si>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</si>
  <si>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</si>
  <si>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</si>
  <si>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</si>
  <si>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</si>
  <si>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</si>
  <si>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</si>
  <si>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</si>
  <si>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</si>
  <si>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</si>
  <si>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</si>
  <si>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</si>
  <si>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</si>
  <si>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</si>
  <si>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</si>
  <si>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</si>
  <si>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</si>
  <si>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</si>
  <si>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</si>
  <si>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</si>
  <si>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</si>
  <si>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</si>
  <si>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</si>
  <si>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</si>
  <si>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</si>
  <si>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</si>
  <si>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</si>
  <si>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</si>
  <si>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</si>
  <si>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</si>
  <si>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</si>
  <si>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</si>
  <si>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</si>
  <si>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</si>
  <si>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</si>
  <si>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</si>
  <si>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</si>
  <si>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</si>
  <si>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</si>
  <si>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</si>
  <si>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</si>
  <si>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</si>
  <si>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</si>
  <si>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</si>
  <si>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</si>
  <si>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</si>
  <si>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</si>
  <si>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</si>
  <si>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</si>
  <si>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</si>
  <si>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</si>
  <si>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</si>
  <si>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</si>
  <si>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</si>
  <si>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</si>
  <si>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</si>
  <si>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</si>
  <si>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</si>
  <si>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</si>
  <si>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</si>
  <si>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</si>
  <si>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</si>
  <si>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</si>
  <si>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</si>
  <si>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</si>
  <si>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</si>
  <si>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</si>
  <si>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</si>
  <si>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</si>
  <si>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</si>
  <si>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</si>
  <si>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</si>
  <si>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</si>
  <si>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</si>
  <si>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</si>
  <si>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</si>
  <si>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</si>
  <si>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</si>
  <si>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</si>
  <si>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</si>
  <si>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</si>
  <si>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</si>
  <si>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</si>
  <si>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</si>
  <si>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</si>
  <si>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</si>
  <si>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</si>
  <si>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</si>
  <si>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</si>
  <si>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</si>
  <si>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</si>
  <si>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</si>
  <si>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</si>
  <si>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</si>
  <si>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</si>
  <si>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</si>
  <si>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</si>
  <si>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</si>
  <si>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</si>
  <si>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</si>
  <si>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</si>
  <si>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</si>
  <si>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</si>
  <si>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</si>
  <si>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</si>
  <si>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</si>
  <si>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</si>
  <si>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</si>
  <si>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</si>
  <si>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</si>
  <si>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</si>
  <si>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</si>
  <si>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</si>
  <si>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</si>
  <si>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</si>
  <si>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</si>
  <si>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</si>
  <si>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</si>
  <si>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</si>
  <si>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</si>
  <si>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</si>
  <si>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</si>
  <si>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</si>
  <si>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</si>
  <si>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</si>
  <si>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</si>
  <si>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</si>
  <si>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</si>
  <si>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</si>
  <si>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</si>
  <si>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</si>
  <si>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</si>
  <si>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</si>
  <si>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</si>
  <si>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</si>
  <si>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</si>
  <si>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</si>
  <si>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</si>
  <si>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</si>
  <si>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</si>
  <si>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</si>
  <si>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</si>
  <si>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</si>
  <si>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</si>
  <si>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</si>
  <si>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</si>
  <si>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</si>
  <si>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</si>
  <si>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</si>
  <si>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</si>
  <si>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</si>
  <si>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</si>
  <si>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</si>
  <si>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</si>
  <si>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</si>
  <si>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</si>
  <si>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</si>
  <si>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</si>
  <si>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</si>
  <si>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</si>
  <si>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</si>
  <si>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</si>
  <si>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</si>
  <si>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</si>
  <si>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</si>
  <si>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</si>
  <si>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</si>
  <si>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</si>
  <si>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</si>
  <si>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</si>
  <si>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</si>
  <si>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</si>
  <si>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</si>
  <si>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</si>
  <si>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</si>
  <si>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</si>
  <si>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</si>
  <si>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</si>
  <si>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</si>
  <si>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</si>
  <si>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</si>
  <si>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</si>
  <si>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</si>
  <si>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</si>
  <si>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</si>
  <si>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</si>
  <si>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</si>
  <si>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</si>
  <si>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</si>
  <si>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</si>
  <si>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</si>
  <si>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</si>
  <si>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</si>
  <si>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</si>
  <si>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</si>
  <si>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</si>
  <si>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</si>
  <si>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</si>
  <si>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</si>
  <si>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</si>
  <si>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</si>
  <si>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</si>
  <si>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</si>
  <si>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</si>
  <si>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</si>
  <si>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</si>
  <si>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</si>
  <si>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</si>
  <si>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</si>
  <si>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</si>
  <si>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</si>
  <si>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</si>
  <si>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</si>
  <si>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</si>
  <si>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</si>
  <si>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</si>
  <si>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</si>
  <si>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</si>
  <si>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</si>
  <si>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</si>
  <si>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</si>
  <si>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</si>
  <si>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</si>
  <si>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</si>
  <si>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</si>
  <si>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</si>
  <si>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</si>
  <si>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</si>
  <si>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</si>
  <si>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</si>
  <si>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</si>
  <si>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</si>
  <si>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</si>
  <si>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</si>
  <si>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</si>
  <si>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</si>
  <si>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</si>
  <si>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</si>
  <si>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</si>
  <si>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</si>
  <si>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</si>
  <si>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</si>
  <si>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</si>
  <si>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</si>
  <si>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</si>
  <si>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</si>
  <si>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</si>
  <si>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</si>
  <si>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</si>
  <si>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</si>
  <si>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</si>
  <si>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</si>
  <si>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</si>
  <si>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</si>
  <si>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</si>
  <si>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</si>
  <si>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</si>
  <si>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</si>
  <si>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</si>
  <si>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</si>
  <si>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</si>
  <si>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</si>
  <si>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</si>
  <si>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</si>
  <si>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</si>
  <si>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</si>
  <si>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</si>
  <si>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</si>
  <si>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</si>
  <si>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</si>
  <si>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</si>
  <si>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</si>
  <si>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</si>
  <si>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</si>
  <si>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</si>
  <si>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</si>
  <si>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</si>
  <si>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</si>
  <si>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</si>
  <si>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</si>
  <si>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</si>
  <si>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</si>
  <si>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</si>
  <si>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</si>
  <si>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</si>
  <si>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</si>
  <si>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</si>
  <si>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</si>
  <si>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</si>
  <si>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</si>
  <si>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</si>
  <si>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</si>
  <si>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</si>
  <si>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</si>
  <si>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</si>
  <si>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</si>
  <si>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</si>
  <si>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</si>
  <si>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</si>
  <si>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</si>
  <si>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</si>
  <si>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</si>
  <si>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</si>
  <si>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</si>
  <si>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</si>
  <si>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</si>
  <si>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</si>
  <si>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</si>
  <si>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</si>
  <si>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</si>
  <si>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</si>
  <si>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</si>
  <si>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</si>
  <si>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</si>
  <si>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</si>
  <si>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</si>
  <si>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</si>
  <si>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</si>
  <si>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</si>
  <si>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</si>
  <si>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</si>
  <si>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</si>
  <si>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</si>
  <si>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</si>
  <si>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</si>
  <si>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</si>
  <si>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</si>
  <si>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</si>
  <si>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</si>
  <si>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</si>
  <si>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</si>
  <si>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</si>
  <si>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</si>
  <si>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</si>
  <si>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</si>
  <si>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</si>
  <si>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</si>
  <si>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</si>
  <si>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</si>
  <si>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</si>
  <si>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</si>
  <si>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</si>
  <si>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</si>
  <si>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</si>
  <si>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</si>
  <si>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</si>
  <si>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</si>
  <si>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</si>
  <si>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</si>
  <si>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</si>
  <si>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</si>
  <si>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</si>
  <si>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</si>
  <si>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</si>
  <si>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</si>
  <si>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</si>
  <si>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</si>
  <si>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</si>
  <si>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</si>
  <si>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</si>
  <si>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</si>
  <si>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</si>
  <si>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</si>
  <si>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</si>
  <si>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</si>
  <si>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</si>
  <si>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</si>
  <si>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</si>
  <si>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</si>
  <si>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</si>
  <si>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</si>
  <si>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</si>
  <si>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</si>
  <si>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</si>
  <si>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</si>
  <si>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</si>
  <si>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</si>
  <si>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</si>
  <si>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</si>
  <si>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</si>
  <si>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</si>
  <si>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</si>
  <si>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</si>
  <si>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</si>
  <si>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</si>
  <si>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</si>
  <si>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</si>
  <si>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</si>
  <si>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</si>
  <si>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</si>
  <si>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</si>
  <si>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</si>
  <si>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</si>
  <si>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</si>
  <si>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</si>
  <si>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</si>
  <si>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</si>
  <si>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</si>
  <si>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</si>
  <si>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</si>
  <si>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</si>
  <si>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</si>
  <si>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</si>
  <si>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</si>
  <si>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</si>
  <si>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</si>
  <si>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</si>
  <si>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</si>
  <si>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</si>
  <si>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</si>
  <si>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</si>
  <si>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</si>
  <si>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</si>
  <si>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</si>
  <si>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</si>
  <si>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</si>
  <si>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</si>
  <si>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</si>
  <si>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</si>
  <si>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</si>
  <si>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</si>
  <si>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</si>
  <si>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</si>
  <si>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</si>
  <si>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</si>
  <si>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</si>
  <si>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</si>
  <si>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</si>
  <si>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</si>
  <si>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</si>
  <si>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</si>
  <si>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</si>
  <si>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</si>
  <si>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</si>
  <si>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</si>
  <si>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</si>
  <si>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</si>
  <si>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</si>
  <si>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</si>
  <si>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</si>
  <si>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</si>
  <si>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</si>
  <si>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</si>
  <si>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</si>
  <si>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</si>
  <si>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</si>
  <si>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</si>
  <si>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</si>
  <si>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</si>
  <si>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</si>
  <si>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</si>
  <si>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</si>
  <si>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</si>
  <si>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</si>
  <si>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</si>
  <si>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</si>
  <si>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</si>
  <si>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</si>
  <si>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</si>
  <si>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</si>
  <si>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</si>
  <si>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</si>
  <si>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</si>
  <si>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</si>
  <si>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</si>
  <si>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</si>
  <si>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</si>
  <si>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</si>
  <si>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</si>
  <si>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</si>
  <si>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</si>
  <si>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</si>
  <si>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</si>
  <si>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</si>
  <si>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</si>
  <si>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</si>
  <si>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</si>
  <si>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</si>
  <si>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</si>
  <si>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</si>
  <si>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</si>
  <si>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</si>
  <si>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</si>
  <si>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</si>
  <si>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</si>
  <si>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</si>
  <si>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</si>
  <si>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</si>
  <si>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</si>
  <si>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</si>
  <si>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</si>
  <si>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</si>
  <si>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</si>
  <si>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</si>
  <si>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</si>
  <si>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</si>
  <si>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</si>
  <si>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</si>
  <si>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</si>
  <si>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</si>
  <si>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</si>
  <si>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</si>
  <si>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</si>
  <si>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</si>
  <si>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</si>
  <si>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</si>
  <si>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</si>
  <si>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</si>
  <si>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</si>
  <si>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</si>
  <si>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</si>
  <si>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</si>
  <si>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</si>
  <si>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</si>
  <si>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</si>
  <si>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</si>
  <si>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</si>
  <si>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</si>
  <si>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</si>
  <si>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</si>
  <si>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</si>
  <si>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</si>
  <si>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</si>
  <si>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</si>
  <si>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</si>
  <si>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</si>
  <si>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</si>
  <si>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</si>
  <si>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</si>
  <si>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</si>
  <si>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</si>
  <si>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</si>
  <si>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</si>
  <si>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</si>
  <si>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</si>
  <si>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</si>
  <si>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</si>
  <si>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</si>
  <si>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</si>
  <si>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</si>
  <si>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</si>
  <si>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</si>
  <si>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</si>
  <si>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</si>
  <si>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</si>
  <si>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</si>
  <si>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</si>
  <si>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</si>
  <si>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</si>
  <si>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</si>
  <si>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</si>
  <si>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</si>
  <si>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</si>
  <si>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</si>
  <si>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</si>
  <si>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</si>
  <si>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</si>
  <si>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</si>
  <si>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</si>
  <si>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</si>
  <si>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</si>
  <si>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</si>
  <si>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</si>
  <si>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</si>
  <si>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</si>
  <si>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</si>
  <si>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</si>
  <si>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</si>
  <si>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</si>
  <si>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</si>
  <si>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</si>
  <si>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</si>
  <si>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</si>
  <si>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</si>
  <si>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</si>
  <si>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</si>
  <si>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</si>
  <si>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</si>
  <si>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</si>
  <si>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</si>
  <si>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</si>
  <si>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</si>
  <si>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</si>
  <si>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</si>
  <si>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</si>
  <si>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</si>
  <si>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</si>
  <si>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</si>
  <si>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</si>
  <si>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</si>
  <si>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</si>
  <si>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</si>
  <si>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</si>
  <si>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</si>
  <si>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</si>
  <si>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</si>
  <si>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</si>
  <si>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</si>
  <si>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</si>
  <si>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</si>
  <si>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</si>
  <si>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</si>
  <si>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</si>
  <si>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</si>
  <si>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</si>
  <si>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</si>
  <si>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</si>
  <si>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</si>
  <si>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</si>
  <si>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</si>
  <si>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</si>
  <si>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</si>
  <si>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</si>
  <si>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</si>
  <si>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</si>
  <si>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</si>
  <si>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</si>
  <si>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</si>
  <si>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</si>
  <si>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</si>
  <si>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</si>
  <si>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</si>
  <si>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</si>
  <si>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</si>
  <si>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</si>
  <si>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</si>
  <si>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</si>
  <si>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</si>
  <si>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</si>
  <si>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</si>
  <si>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</si>
  <si>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</si>
  <si>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</si>
  <si>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</si>
  <si>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</si>
  <si>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</si>
  <si>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</si>
  <si>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</si>
  <si>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</si>
  <si>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</si>
  <si>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</si>
  <si>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</si>
  <si>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</si>
  <si>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</si>
  <si>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</si>
  <si>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</si>
  <si>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</si>
  <si>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</si>
  <si>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</si>
  <si>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</si>
  <si>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</si>
  <si>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</si>
  <si>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</si>
  <si>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</si>
  <si>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</si>
  <si>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</si>
  <si>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</si>
  <si>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</si>
  <si>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</si>
  <si>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</si>
  <si>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</si>
  <si>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</si>
  <si>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</si>
  <si>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</si>
  <si>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</si>
  <si>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</si>
  <si>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</si>
  <si>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</si>
  <si>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</si>
  <si>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</si>
  <si>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</si>
  <si>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</si>
  <si>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</si>
  <si>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</si>
  <si>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</si>
  <si>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</si>
  <si>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</si>
  <si>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</si>
  <si>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</si>
  <si>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</si>
  <si>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</si>
  <si>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</si>
  <si>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</si>
  <si>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</si>
  <si>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</si>
  <si>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</si>
  <si>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</si>
  <si>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</si>
  <si>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</si>
  <si>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</si>
  <si>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</si>
  <si>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</si>
  <si>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</si>
  <si>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</si>
  <si>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</si>
  <si>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</si>
  <si>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</si>
  <si>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</si>
  <si>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</si>
  <si>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</si>
  <si>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</si>
  <si>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</si>
  <si>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</si>
  <si>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</si>
  <si>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</si>
  <si>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</si>
  <si>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</si>
  <si>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</si>
  <si>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</si>
  <si>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</si>
  <si>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</si>
  <si>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</si>
  <si>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</si>
  <si>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</si>
  <si>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</si>
  <si>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</si>
  <si>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</si>
  <si>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</si>
  <si>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</si>
  <si>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</si>
  <si>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</si>
  <si>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</si>
  <si>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</si>
  <si>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</si>
  <si>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</si>
  <si>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</si>
  <si>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</si>
  <si>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</si>
  <si>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</si>
  <si>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</si>
  <si>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</si>
  <si>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</si>
  <si>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</si>
  <si>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</si>
  <si>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</si>
  <si>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</si>
  <si>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</si>
  <si>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</si>
  <si>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</si>
  <si>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</si>
  <si>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</si>
  <si>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</si>
  <si>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</si>
  <si>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</si>
  <si>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</si>
  <si>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</si>
  <si>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</si>
  <si>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</si>
  <si>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</si>
  <si>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</si>
  <si>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</si>
  <si>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</si>
  <si>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</si>
  <si>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</si>
  <si>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</si>
  <si>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</si>
  <si>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</si>
  <si>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</si>
  <si>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</si>
  <si>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</si>
  <si>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</si>
  <si>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</si>
  <si>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</si>
  <si>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</si>
  <si>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</si>
  <si>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</si>
  <si>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</si>
  <si>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</si>
  <si>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</si>
  <si>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</si>
  <si>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</si>
  <si>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</si>
  <si>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</si>
  <si>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</si>
  <si>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</si>
  <si>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</si>
  <si>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</si>
  <si>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</si>
  <si>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</si>
  <si>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</si>
  <si>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</si>
  <si>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</si>
  <si>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</si>
  <si>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</si>
  <si>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</si>
  <si>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</si>
  <si>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</si>
  <si>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</si>
  <si>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</si>
  <si>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</si>
  <si>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</si>
  <si>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</si>
  <si>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</si>
  <si>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</si>
  <si>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</si>
  <si>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</si>
  <si>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</si>
  <si>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</si>
  <si>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</si>
  <si>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</si>
  <si>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</si>
  <si>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</si>
  <si>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</si>
  <si>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</si>
  <si>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</si>
  <si>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</si>
  <si>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</si>
  <si>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</si>
  <si>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</si>
  <si>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</si>
  <si>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</si>
  <si>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</si>
  <si>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</si>
  <si>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</si>
  <si>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</si>
  <si>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</si>
  <si>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</si>
  <si>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</si>
  <si>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</si>
  <si>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</si>
  <si>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</si>
  <si>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</si>
  <si>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</si>
  <si>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</si>
  <si>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</si>
  <si>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</si>
  <si>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</si>
  <si>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</si>
  <si>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</si>
  <si>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</si>
  <si>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</si>
  <si>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</si>
  <si>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</si>
  <si>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</si>
  <si>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</si>
  <si>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</si>
  <si>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</si>
  <si>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</si>
  <si>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</si>
  <si>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</si>
  <si>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</si>
  <si>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</si>
  <si>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</si>
  <si>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</si>
  <si>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</si>
  <si>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</si>
  <si>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</si>
  <si>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</si>
  <si>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</si>
  <si>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</si>
  <si>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</si>
  <si>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</si>
  <si>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</si>
  <si>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</si>
  <si>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</si>
  <si>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</si>
  <si>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</si>
  <si>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</si>
  <si>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</si>
  <si>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</si>
  <si>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</si>
  <si>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</si>
  <si>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</si>
  <si>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</si>
  <si>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</si>
  <si>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</si>
  <si>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</si>
  <si>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</si>
  <si>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</si>
  <si>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</si>
  <si>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</si>
  <si>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</si>
  <si>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</si>
  <si>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</si>
  <si>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</si>
  <si>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</si>
  <si>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</si>
  <si>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</si>
  <si>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</si>
  <si>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</si>
  <si>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</si>
  <si>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</si>
  <si>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</si>
  <si>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</si>
  <si>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</si>
  <si>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</si>
  <si>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</si>
  <si>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</si>
  <si>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</si>
  <si>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</si>
  <si>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</si>
  <si>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</si>
  <si>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</si>
  <si>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</si>
  <si>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</si>
  <si>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</si>
  <si>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</si>
  <si>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</si>
  <si>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</si>
  <si>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</si>
  <si>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</si>
  <si>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</si>
  <si>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</si>
  <si>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</si>
  <si>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</si>
  <si>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</si>
  <si>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</si>
  <si>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</si>
  <si>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</si>
  <si>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</si>
  <si>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</si>
  <si>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</si>
  <si>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</si>
  <si>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</si>
  <si>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</si>
  <si>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</si>
  <si>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</si>
  <si>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</si>
  <si>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</si>
  <si>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</si>
  <si>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</si>
  <si>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</si>
  <si>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</si>
  <si>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</si>
  <si>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</si>
  <si>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</si>
  <si>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</si>
  <si>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</si>
  <si>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</si>
  <si>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</si>
  <si>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</si>
  <si>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</si>
  <si>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</si>
  <si>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</si>
  <si>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</si>
  <si>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</si>
  <si>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</si>
  <si>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</si>
  <si>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</si>
  <si>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</si>
  <si>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</si>
  <si>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</si>
  <si>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</si>
  <si>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</si>
  <si>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</si>
  <si>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</si>
  <si>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</si>
  <si>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</si>
  <si>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</si>
  <si>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</si>
  <si>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</si>
  <si>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</si>
  <si>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</si>
  <si>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</si>
  <si>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</si>
  <si>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</si>
  <si>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</si>
  <si>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</si>
  <si>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</si>
  <si>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</si>
  <si>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</si>
  <si>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</si>
  <si>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</si>
  <si>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</si>
  <si>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</si>
  <si>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</si>
  <si>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</si>
  <si>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</si>
  <si>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</si>
  <si>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</si>
  <si>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</si>
  <si>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</si>
  <si>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</si>
  <si>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</si>
  <si>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</si>
  <si>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</si>
  <si>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</si>
  <si>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</si>
  <si>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</si>
  <si>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</si>
  <si>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</si>
  <si>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</si>
  <si>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</si>
  <si>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</si>
  <si>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</si>
  <si>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</si>
  <si>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</si>
  <si>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</si>
  <si>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</si>
  <si>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</si>
  <si>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</si>
  <si>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</si>
  <si>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</si>
  <si>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</si>
  <si>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</si>
  <si>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</si>
  <si>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</si>
  <si>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</si>
  <si>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</si>
  <si>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</si>
  <si>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</si>
  <si>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</si>
  <si>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</si>
  <si>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</si>
  <si>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</si>
  <si>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</si>
  <si>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</si>
  <si>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</si>
  <si>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</si>
  <si>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</si>
  <si>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</si>
  <si>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</si>
  <si>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</si>
  <si>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</si>
  <si>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</si>
  <si>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</si>
  <si>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</si>
  <si>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</si>
  <si>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</si>
  <si>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</si>
  <si>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</si>
  <si>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</si>
  <si>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</si>
  <si>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</si>
  <si>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</si>
  <si>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</si>
  <si>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</si>
  <si>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</si>
  <si>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</si>
  <si>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</si>
  <si>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</si>
  <si>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</si>
  <si>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</si>
  <si>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</si>
  <si>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</si>
  <si>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</si>
  <si>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</si>
  <si>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</si>
  <si>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</si>
  <si>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</si>
  <si>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</si>
  <si>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</si>
  <si>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</si>
  <si>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</si>
  <si>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</si>
  <si>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</si>
  <si>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</si>
  <si>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</si>
  <si>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</si>
  <si>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</si>
  <si>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</si>
  <si>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</si>
  <si>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</si>
  <si>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</si>
  <si>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</si>
  <si>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</si>
  <si>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</si>
  <si>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</si>
  <si>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</si>
  <si>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</si>
  <si>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</si>
  <si>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</si>
  <si>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</si>
  <si>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</si>
  <si>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</si>
  <si>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</si>
  <si>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</si>
  <si>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</si>
  <si>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</si>
  <si>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</si>
  <si>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</si>
  <si>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</si>
  <si>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</si>
  <si>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</si>
  <si>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</si>
  <si>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</si>
  <si>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</si>
  <si>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</si>
  <si>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</si>
  <si>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</si>
  <si>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</si>
  <si>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</si>
  <si>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</si>
  <si>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</si>
  <si>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</si>
  <si>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</si>
  <si>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</si>
  <si>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</si>
  <si>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</si>
  <si>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</si>
  <si>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</si>
  <si>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</si>
  <si>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</si>
  <si>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</si>
  <si>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</si>
  <si>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</si>
  <si>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</si>
  <si>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</si>
  <si>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</si>
  <si>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</si>
  <si>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</si>
  <si>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</si>
  <si>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</si>
  <si>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</si>
  <si>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</si>
  <si>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</si>
  <si>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</si>
  <si>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</si>
  <si>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</si>
  <si>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</si>
  <si>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</si>
  <si>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</si>
  <si>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</si>
  <si>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</si>
  <si>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</si>
  <si>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</si>
  <si>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</si>
  <si>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</si>
  <si>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</si>
  <si>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</si>
  <si>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</si>
  <si>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</si>
  <si>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</si>
  <si>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</si>
  <si>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</si>
  <si>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</si>
  <si>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</si>
  <si>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</si>
  <si>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</si>
  <si>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</si>
  <si>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</si>
  <si>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</si>
  <si>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</si>
  <si>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</si>
  <si>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</si>
  <si>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</si>
  <si>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</si>
  <si>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</si>
  <si>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</si>
  <si>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</si>
  <si>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</si>
  <si>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</si>
  <si>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</si>
  <si>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</si>
  <si>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</si>
  <si>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</si>
  <si>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</si>
  <si>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</si>
  <si>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</si>
  <si>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</si>
  <si>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</si>
  <si>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</si>
  <si>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</si>
  <si>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</si>
  <si>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</si>
  <si>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</si>
  <si>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</si>
  <si>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</si>
  <si>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</si>
  <si>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</si>
  <si>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</si>
  <si>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</si>
  <si>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</si>
  <si>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</si>
  <si>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</si>
  <si>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</si>
  <si>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</si>
  <si>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</si>
  <si>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</si>
  <si>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</si>
  <si>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</si>
  <si>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</si>
  <si>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</si>
  <si>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</si>
  <si>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</si>
  <si>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</si>
  <si>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</si>
  <si>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</si>
  <si>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</si>
  <si>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</si>
  <si>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</si>
  <si>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</si>
  <si>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</si>
  <si>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</si>
  <si>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</si>
  <si>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</si>
  <si>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</si>
  <si>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</si>
  <si>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</si>
  <si>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</si>
  <si>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</si>
  <si>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</si>
  <si>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</si>
  <si>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</si>
  <si>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</si>
  <si>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</si>
  <si>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</si>
  <si>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</si>
  <si>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</si>
  <si>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</si>
  <si>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</si>
  <si>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</si>
  <si>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</si>
  <si>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</si>
  <si>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</si>
  <si>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</si>
  <si>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</si>
  <si>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</si>
  <si>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</si>
  <si>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</si>
  <si>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</si>
  <si>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</si>
  <si>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</si>
  <si>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</si>
  <si>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</si>
  <si>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</si>
  <si>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</si>
  <si>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</si>
  <si>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</si>
  <si>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</si>
  <si>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</si>
  <si>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</si>
  <si>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</si>
  <si>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</si>
  <si>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</si>
  <si>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</si>
  <si>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</si>
  <si>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</si>
  <si>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</si>
  <si>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</si>
  <si>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</si>
  <si>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</si>
  <si>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</si>
  <si>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</si>
  <si>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</si>
  <si>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</si>
  <si>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</si>
  <si>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</si>
  <si>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</si>
  <si>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</si>
  <si>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</si>
  <si>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</si>
  <si>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</si>
  <si>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</si>
  <si>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</si>
  <si>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</si>
  <si>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</si>
  <si>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</si>
  <si>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</si>
  <si>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</si>
  <si>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</si>
  <si>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</si>
  <si>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</si>
  <si>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</si>
  <si>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</si>
  <si>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</si>
  <si>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</si>
  <si>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</si>
  <si>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</si>
  <si>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</si>
  <si>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</si>
  <si>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</si>
  <si>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</si>
  <si>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</si>
  <si>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</si>
  <si>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</si>
  <si>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</si>
  <si>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</si>
  <si>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</si>
  <si>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</si>
  <si>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</si>
  <si>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</si>
  <si>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</si>
  <si>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</si>
  <si>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</si>
  <si>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</si>
  <si>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</si>
  <si>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</si>
  <si>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</si>
  <si>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</si>
  <si>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</si>
  <si>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</si>
  <si>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</si>
  <si>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</si>
  <si>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</si>
  <si>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</si>
  <si>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</si>
  <si>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</si>
  <si>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</si>
  <si>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</si>
  <si>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</si>
  <si>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</si>
  <si>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</si>
  <si>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</si>
  <si>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</si>
  <si>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</si>
  <si>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</si>
  <si>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</si>
  <si>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</si>
  <si>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</si>
  <si>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</si>
  <si>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</si>
  <si>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</si>
  <si>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</si>
  <si>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</si>
  <si>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</si>
  <si>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</si>
  <si>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</si>
  <si>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</si>
  <si>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</si>
  <si>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</si>
  <si>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</si>
  <si>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</si>
  <si>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</si>
  <si>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</si>
  <si>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</si>
  <si>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</si>
  <si>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</si>
  <si>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</si>
  <si>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</si>
  <si>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</si>
  <si>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</si>
  <si>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</si>
  <si>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</si>
  <si>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</si>
  <si>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</si>
  <si>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</si>
  <si>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</si>
  <si>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</si>
  <si>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</si>
  <si>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</si>
  <si>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</si>
  <si>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</si>
  <si>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</si>
  <si>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</si>
  <si>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</si>
  <si>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</si>
  <si>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</si>
  <si>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</si>
  <si>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</si>
  <si>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</si>
  <si>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</si>
  <si>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</si>
  <si>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</si>
  <si>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</si>
  <si>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</si>
  <si>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</si>
  <si>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</si>
  <si>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</si>
  <si>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</si>
  <si>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</si>
  <si>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</si>
  <si>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</si>
  <si>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</si>
  <si>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</si>
  <si>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</si>
  <si>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</si>
  <si>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</si>
  <si>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</si>
  <si>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</si>
  <si>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</si>
  <si>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</si>
  <si>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</si>
  <si>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</si>
  <si>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</si>
  <si>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</si>
  <si>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</si>
  <si>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</si>
  <si>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</si>
  <si>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</si>
  <si>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</si>
  <si>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</si>
  <si>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</si>
  <si>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</si>
  <si>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</si>
  <si>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</si>
  <si>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</si>
  <si>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</si>
  <si>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</si>
  <si>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</si>
  <si>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</si>
  <si>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</si>
  <si>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</si>
  <si>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</si>
  <si>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</si>
  <si>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</si>
  <si>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</si>
  <si>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</si>
  <si>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</si>
  <si>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</si>
  <si>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</si>
  <si>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</si>
  <si>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</si>
  <si>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</si>
  <si>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</si>
  <si>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</si>
  <si>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</si>
  <si>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</si>
  <si>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</si>
  <si>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</si>
  <si>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</si>
  <si>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</si>
  <si>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</si>
  <si>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</si>
  <si>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</si>
  <si>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</si>
  <si>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</si>
  <si>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</si>
  <si>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</si>
  <si>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</si>
  <si>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</si>
  <si>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</si>
  <si>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</si>
  <si>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</si>
  <si>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</si>
  <si>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</si>
  <si>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</si>
  <si>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</si>
  <si>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</si>
  <si>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</si>
  <si>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</si>
  <si>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</si>
  <si>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</si>
  <si>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</si>
  <si>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</si>
  <si>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</si>
  <si>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</si>
  <si>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</si>
  <si>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</si>
  <si>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</si>
  <si>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</si>
  <si>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</si>
  <si>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</si>
  <si>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</si>
  <si>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</si>
  <si>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</si>
  <si>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</si>
  <si>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</si>
  <si>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</si>
  <si>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</si>
  <si>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</si>
  <si>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</si>
  <si>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</si>
  <si>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</si>
  <si>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</si>
  <si>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</si>
  <si>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</si>
  <si>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</si>
  <si>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</si>
  <si>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</si>
  <si>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</si>
  <si>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</si>
  <si>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</si>
  <si>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</si>
  <si>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</si>
  <si>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</si>
  <si>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</si>
  <si>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</si>
  <si>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</si>
  <si>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</si>
  <si>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</si>
  <si>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</si>
  <si>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</si>
  <si>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</si>
  <si>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</si>
  <si>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</si>
  <si>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</si>
  <si>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</si>
  <si>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</si>
  <si>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</si>
  <si>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</si>
  <si>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</si>
  <si>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</si>
  <si>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</si>
  <si>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</si>
  <si>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</si>
  <si>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</si>
  <si>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</si>
  <si>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</si>
  <si>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</si>
  <si>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</si>
  <si>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</si>
  <si>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</si>
  <si>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</si>
  <si>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</si>
  <si>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</si>
  <si>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</si>
  <si>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</si>
  <si>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</si>
  <si>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</si>
  <si>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</si>
  <si>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</si>
  <si>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</si>
  <si>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</si>
  <si>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</si>
  <si>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</si>
  <si>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</si>
  <si>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</si>
  <si>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</si>
  <si>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</si>
  <si>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</si>
  <si>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</si>
  <si>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</si>
  <si>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</si>
  <si>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</si>
  <si>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</si>
  <si>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</si>
  <si>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</si>
  <si>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</si>
  <si>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</si>
  <si>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</si>
  <si>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</si>
  <si>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</si>
  <si>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</si>
  <si>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</si>
  <si>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</si>
  <si>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</si>
  <si>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</si>
  <si>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</si>
  <si>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</si>
  <si>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</si>
  <si>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</si>
  <si>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</si>
  <si>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</si>
  <si>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</si>
  <si>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</si>
  <si>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</si>
  <si>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</si>
  <si>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</si>
  <si>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</si>
  <si>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</si>
  <si>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</si>
  <si>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</si>
  <si>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</si>
  <si>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</si>
  <si>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</si>
  <si>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</si>
  <si>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</si>
  <si>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</si>
  <si>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</si>
  <si>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</si>
  <si>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</si>
  <si>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</si>
  <si>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</si>
  <si>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</si>
  <si>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</si>
  <si>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</si>
  <si>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</si>
  <si>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</si>
  <si>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</si>
  <si>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</si>
  <si>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</si>
  <si>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</si>
  <si>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</si>
  <si>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</si>
  <si>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</si>
  <si>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</si>
  <si>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</si>
  <si>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</si>
  <si>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</si>
  <si>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</si>
  <si>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</si>
  <si>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</si>
  <si>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</si>
  <si>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</si>
  <si>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</si>
  <si>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</si>
  <si>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</si>
  <si>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</si>
  <si>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</si>
  <si>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</si>
  <si>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</si>
  <si>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</si>
  <si>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</si>
  <si>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</si>
  <si>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</si>
  <si>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</si>
  <si>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</si>
  <si>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</si>
  <si>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</si>
  <si>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</si>
  <si>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</si>
  <si>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</si>
  <si>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</si>
  <si>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</si>
  <si>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</si>
  <si>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</si>
  <si>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</si>
  <si>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</si>
  <si>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</si>
  <si>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</si>
  <si>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</si>
  <si>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</si>
  <si>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</si>
  <si>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</si>
  <si>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</si>
  <si>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</si>
  <si>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</si>
  <si>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</si>
  <si>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</si>
  <si>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</si>
  <si>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</si>
  <si>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</si>
  <si>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</si>
  <si>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</si>
  <si>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</si>
  <si>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</si>
  <si>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</si>
  <si>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</si>
  <si>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</si>
  <si>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</si>
  <si>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</si>
  <si>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</si>
  <si>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</si>
  <si>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</si>
  <si>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</si>
  <si>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</si>
  <si>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</si>
  <si>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</si>
  <si>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</si>
  <si>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</si>
  <si>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</si>
  <si>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</si>
  <si>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</si>
  <si>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</si>
  <si>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</si>
  <si>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</si>
  <si>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</si>
  <si>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</si>
  <si>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</si>
  <si>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</si>
  <si>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</si>
  <si>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</si>
  <si>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</si>
  <si>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</si>
  <si>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</si>
  <si>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</si>
  <si>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</si>
  <si>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</si>
  <si>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</si>
  <si>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</si>
  <si>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</si>
  <si>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</si>
  <si>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</si>
  <si>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</si>
  <si>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</si>
  <si>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</si>
  <si>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</si>
  <si>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</si>
  <si>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</si>
  <si>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</si>
  <si>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</si>
  <si>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</si>
  <si>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</si>
  <si>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</si>
  <si>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</si>
  <si>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</si>
  <si>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</si>
  <si>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</si>
  <si>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</si>
  <si>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</si>
  <si>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</si>
  <si>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</si>
  <si>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</si>
  <si>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</si>
  <si>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</si>
  <si>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</si>
  <si>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</si>
  <si>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</si>
  <si>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</si>
  <si>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</si>
  <si>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</si>
  <si>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</si>
  <si>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</si>
  <si>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</si>
  <si>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</si>
  <si>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</si>
  <si>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</si>
  <si>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</si>
  <si>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</si>
  <si>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</si>
  <si>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</si>
  <si>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</si>
  <si>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</si>
  <si>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</si>
  <si>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</si>
  <si>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</si>
  <si>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</si>
  <si>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</si>
  <si>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</si>
  <si>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</si>
  <si>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</si>
  <si>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</si>
  <si>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</si>
  <si>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</si>
  <si>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</si>
  <si>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</si>
  <si>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</si>
  <si>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</si>
  <si>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</si>
  <si>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</si>
  <si>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</si>
  <si>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</si>
  <si>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</si>
  <si>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</si>
  <si>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</si>
  <si>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</si>
  <si>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</si>
  <si>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</si>
  <si>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</si>
  <si>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</si>
  <si>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</si>
  <si>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</si>
  <si>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</si>
  <si>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</si>
  <si>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</si>
  <si>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</si>
  <si>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</si>
  <si>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</si>
  <si>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</si>
  <si>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</si>
  <si>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</si>
  <si>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</si>
  <si>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</si>
  <si>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</si>
  <si>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</si>
  <si>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</si>
  <si>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</si>
  <si>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</si>
  <si>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</si>
  <si>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</si>
  <si>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</si>
  <si>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</si>
  <si>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</si>
  <si>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</si>
  <si>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</si>
  <si>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</si>
  <si>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</si>
  <si>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</si>
  <si>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</si>
  <si>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</si>
  <si>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</si>
  <si>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</si>
  <si>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</si>
  <si>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</si>
  <si>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</si>
  <si>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</si>
  <si>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</si>
  <si>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</si>
  <si>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</si>
  <si>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</si>
  <si>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</si>
  <si>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</si>
  <si>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</si>
  <si>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</si>
  <si>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</si>
  <si>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</si>
  <si>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</si>
  <si>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</si>
  <si>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</si>
  <si>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</si>
  <si>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</si>
  <si>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</si>
  <si>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</si>
  <si>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</si>
  <si>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</si>
  <si>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</si>
  <si>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</si>
  <si>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</si>
  <si>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</si>
  <si>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</si>
  <si>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</si>
  <si>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</si>
  <si>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</si>
  <si>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</si>
  <si>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</si>
  <si>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</si>
  <si>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</si>
  <si>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</si>
  <si>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</si>
  <si>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</si>
  <si>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</si>
  <si>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</si>
  <si>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</si>
  <si>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</si>
  <si>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</si>
  <si>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</si>
  <si>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</si>
  <si>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</si>
  <si>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</si>
  <si>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</si>
  <si>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</si>
  <si>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</si>
  <si>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</si>
  <si>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</si>
  <si>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</si>
  <si>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</si>
  <si>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</si>
  <si>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</si>
  <si>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</si>
  <si>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</si>
  <si>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</si>
  <si>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</si>
  <si>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</si>
  <si>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</si>
  <si>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</si>
  <si>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</si>
  <si>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</si>
  <si>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</si>
  <si>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</si>
  <si>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</si>
  <si>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</si>
  <si>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</si>
  <si>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</si>
  <si>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</si>
  <si>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</si>
  <si>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</si>
  <si>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</si>
  <si>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</si>
  <si>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</si>
  <si>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</si>
  <si>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</si>
  <si>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</si>
  <si>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</si>
  <si>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</si>
  <si>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</si>
  <si>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</si>
  <si>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</si>
  <si>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</si>
  <si>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</si>
  <si>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</si>
  <si>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</si>
  <si>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</si>
  <si>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</si>
  <si>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</si>
  <si>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</si>
  <si>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</si>
  <si>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</si>
  <si>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</si>
  <si>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</si>
  <si>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</si>
  <si>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</si>
  <si>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</si>
  <si>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</si>
  <si>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</si>
  <si>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</si>
  <si>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</si>
  <si>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</si>
  <si>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</si>
  <si>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</si>
  <si>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</si>
  <si>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</si>
  <si>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</si>
  <si>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</si>
  <si>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</si>
  <si>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</si>
  <si>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</si>
  <si>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</si>
  <si>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</si>
  <si>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</si>
  <si>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</si>
  <si>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</si>
  <si>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</si>
  <si>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</si>
  <si>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</si>
  <si>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</si>
  <si>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</si>
  <si>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</si>
  <si>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</si>
  <si>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</si>
  <si>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</si>
  <si>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</si>
  <si>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</si>
  <si>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</si>
  <si>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</si>
  <si>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</si>
  <si>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</si>
  <si>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</si>
  <si>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</si>
  <si>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</si>
  <si>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</si>
  <si>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</si>
  <si>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</si>
  <si>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</si>
  <si>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</si>
  <si>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</si>
  <si>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</si>
  <si>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</si>
  <si>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</si>
  <si>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</si>
  <si>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</si>
  <si>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</si>
  <si>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</si>
  <si>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</si>
  <si>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</si>
  <si>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</si>
  <si>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</si>
  <si>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</si>
  <si>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</si>
  <si>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</si>
  <si>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</si>
  <si>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</si>
  <si>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</si>
  <si>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</si>
  <si>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</si>
  <si>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</si>
  <si>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</si>
  <si>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</si>
  <si>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</si>
  <si>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</si>
  <si>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</si>
  <si>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</si>
  <si>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</si>
  <si>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</si>
  <si>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</si>
  <si>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</si>
  <si>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</si>
  <si>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</si>
  <si>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</si>
  <si>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</si>
  <si>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Whenever you take damage, gain +1 Gold</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</si>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</sst>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80</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155</c:v>
                </c:pt>
                <c:pt idx="40">
                  <c:v>66</c:v>
                </c:pt>
                <c:pt idx="41">
                  <c:v>83</c:v>
                </c:pt>
                <c:pt idx="42">
                  <c:v>51</c:v>
                </c:pt>
                <c:pt idx="43">
                  <c:v>155</c:v>
                </c:pt>
                <c:pt idx="44">
                  <c:v>53</c:v>
                </c:pt>
                <c:pt idx="45">
                  <c:v>80</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104</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365</c:v>
                </c:pt>
                <c:pt idx="1">
                  <c:v>149</c:v>
                </c:pt>
                <c:pt idx="2">
                  <c:v>175</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147</c:v>
                </c:pt>
                <c:pt idx="4">
                  <c:v>135</c:v>
                </c:pt>
                <c:pt idx="5">
                  <c:v>116</c:v>
                </c:pt>
                <c:pt idx="6">
                  <c:v>96</c:v>
                </c:pt>
                <c:pt idx="7">
                  <c:v>86</c:v>
                </c:pt>
                <c:pt idx="8">
                  <c:v>71</c:v>
                </c:pt>
                <c:pt idx="9">
                  <c:v>61</c:v>
                </c:pt>
                <c:pt idx="10">
                  <c:v>30</c:v>
                </c:pt>
                <c:pt idx="11">
                  <c:v>145</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2026</c:v>
                </c:pt>
                <c:pt idx="419">
                  <c:v>#N/A</c:v>
                </c:pt>
                <c:pt idx="420">
                  <c:v>2026</c:v>
                </c:pt>
                <c:pt idx="421">
                  <c:v>2019</c:v>
                </c:pt>
                <c:pt idx="422">
                  <c:v>2023</c:v>
                </c:pt>
                <c:pt idx="423">
                  <c:v>2025</c:v>
                </c:pt>
                <c:pt idx="424">
                  <c:v>#N/A</c:v>
                </c:pt>
                <c:pt idx="425">
                  <c:v>2018</c:v>
                </c:pt>
                <c:pt idx="426">
                  <c:v>2025</c:v>
                </c:pt>
                <c:pt idx="427">
                  <c:v>#N/A</c:v>
                </c:pt>
                <c:pt idx="428">
                  <c:v>2025</c:v>
                </c:pt>
                <c:pt idx="429">
                  <c:v>#N/A</c:v>
                </c:pt>
                <c:pt idx="430">
                  <c:v>2025</c:v>
                </c:pt>
                <c:pt idx="431">
                  <c:v>#N/A</c:v>
                </c:pt>
                <c:pt idx="432">
                  <c:v>#N/A</c:v>
                </c:pt>
                <c:pt idx="433">
                  <c:v>#N/A</c:v>
                </c:pt>
                <c:pt idx="434">
                  <c:v>#N/A</c:v>
                </c:pt>
                <c:pt idx="435">
                  <c:v>#N/A</c:v>
                </c:pt>
                <c:pt idx="436">
                  <c:v>2020</c:v>
                </c:pt>
                <c:pt idx="437">
                  <c:v>2021</c:v>
                </c:pt>
                <c:pt idx="438">
                  <c:v>#N/A</c:v>
                </c:pt>
                <c:pt idx="439">
                  <c:v>2025</c:v>
                </c:pt>
                <c:pt idx="440">
                  <c:v>#N/A</c:v>
                </c:pt>
                <c:pt idx="441">
                  <c:v>#N/A</c:v>
                </c:pt>
                <c:pt idx="442">
                  <c:v>#N/A</c:v>
                </c:pt>
                <c:pt idx="443">
                  <c:v>#N/A</c:v>
                </c:pt>
                <c:pt idx="444">
                  <c:v>2023</c:v>
                </c:pt>
                <c:pt idx="445">
                  <c:v>2022</c:v>
                </c:pt>
                <c:pt idx="446">
                  <c:v>#N/A</c:v>
                </c:pt>
                <c:pt idx="447">
                  <c:v>#N/A</c:v>
                </c:pt>
                <c:pt idx="448">
                  <c:v>#N/A</c:v>
                </c:pt>
                <c:pt idx="449">
                  <c:v>#N/A</c:v>
                </c:pt>
                <c:pt idx="450">
                  <c:v>#N/A</c:v>
                </c:pt>
                <c:pt idx="451">
                  <c:v>#N/A</c:v>
                </c:pt>
                <c:pt idx="452">
                  <c:v>#N/A</c:v>
                </c:pt>
                <c:pt idx="453">
                  <c:v>#N/A</c:v>
                </c:pt>
                <c:pt idx="454">
                  <c:v>2025</c:v>
                </c:pt>
                <c:pt idx="455">
                  <c:v>2015</c:v>
                </c:pt>
                <c:pt idx="456">
                  <c:v>#N/A</c:v>
                </c:pt>
                <c:pt idx="457">
                  <c:v>2016</c:v>
                </c:pt>
                <c:pt idx="458">
                  <c:v>2024</c:v>
                </c:pt>
                <c:pt idx="459">
                  <c:v>2018</c:v>
                </c:pt>
                <c:pt idx="460">
                  <c:v>2025</c:v>
                </c:pt>
                <c:pt idx="461">
                  <c:v>#N/A</c:v>
                </c:pt>
                <c:pt idx="462">
                  <c:v>2026</c:v>
                </c:pt>
                <c:pt idx="463">
                  <c:v>#N/A</c:v>
                </c:pt>
                <c:pt idx="464">
                  <c:v>#N/A</c:v>
                </c:pt>
                <c:pt idx="465">
                  <c:v>2025</c:v>
                </c:pt>
                <c:pt idx="466">
                  <c:v>2023</c:v>
                </c:pt>
                <c:pt idx="467">
                  <c:v>2018</c:v>
                </c:pt>
                <c:pt idx="468">
                  <c:v>2022</c:v>
                </c:pt>
                <c:pt idx="469">
                  <c:v>#N/A</c:v>
                </c:pt>
                <c:pt idx="470">
                  <c:v>2023</c:v>
                </c:pt>
                <c:pt idx="471">
                  <c:v>2021</c:v>
                </c:pt>
                <c:pt idx="472">
                  <c:v>#N/A</c:v>
                </c:pt>
                <c:pt idx="473">
                  <c:v>#N/A</c:v>
                </c:pt>
                <c:pt idx="474">
                  <c:v>#N/A</c:v>
                </c:pt>
                <c:pt idx="475">
                  <c:v>2024</c:v>
                </c:pt>
                <c:pt idx="476">
                  <c:v>#N/A</c:v>
                </c:pt>
                <c:pt idx="477">
                  <c:v>2022</c:v>
                </c:pt>
                <c:pt idx="478">
                  <c:v>#N/A</c:v>
                </c:pt>
                <c:pt idx="479">
                  <c:v>2022</c:v>
                </c:pt>
                <c:pt idx="480">
                  <c:v>2024</c:v>
                </c:pt>
                <c:pt idx="481">
                  <c:v>2019</c:v>
                </c:pt>
                <c:pt idx="482">
                  <c:v>2025</c:v>
                </c:pt>
                <c:pt idx="483">
                  <c:v>2022</c:v>
                </c:pt>
                <c:pt idx="484">
                  <c:v>#N/A</c:v>
                </c:pt>
                <c:pt idx="485">
                  <c:v>2025</c:v>
                </c:pt>
                <c:pt idx="486">
                  <c:v>2021</c:v>
                </c:pt>
                <c:pt idx="487">
                  <c:v>2025</c:v>
                </c:pt>
                <c:pt idx="488">
                  <c:v>2024</c:v>
                </c:pt>
                <c:pt idx="489">
                  <c:v>#N/A</c:v>
                </c:pt>
                <c:pt idx="490">
                  <c:v>#N/A</c:v>
                </c:pt>
                <c:pt idx="491">
                  <c:v>2019</c:v>
                </c:pt>
                <c:pt idx="492">
                  <c:v>2022</c:v>
                </c:pt>
                <c:pt idx="493">
                  <c:v>2025</c:v>
                </c:pt>
                <c:pt idx="494">
                  <c:v>2023</c:v>
                </c:pt>
                <c:pt idx="495">
                  <c:v>#N/A</c:v>
                </c:pt>
                <c:pt idx="496">
                  <c:v>2022</c:v>
                </c:pt>
                <c:pt idx="497">
                  <c:v>#N/A</c:v>
                </c:pt>
                <c:pt idx="498">
                  <c:v>2019</c:v>
                </c:pt>
                <c:pt idx="499">
                  <c:v>#N/A</c:v>
                </c:pt>
                <c:pt idx="500">
                  <c:v>#N/A</c:v>
                </c:pt>
                <c:pt idx="501">
                  <c:v>2015</c:v>
                </c:pt>
                <c:pt idx="502">
                  <c:v>2025</c:v>
                </c:pt>
                <c:pt idx="503">
                  <c:v>#N/A</c:v>
                </c:pt>
                <c:pt idx="504">
                  <c:v>2023</c:v>
                </c:pt>
                <c:pt idx="505">
                  <c:v>#N/A</c:v>
                </c:pt>
                <c:pt idx="506">
                  <c:v>2018</c:v>
                </c:pt>
                <c:pt idx="507">
                  <c:v>2026</c:v>
                </c:pt>
                <c:pt idx="508">
                  <c:v>2025</c:v>
                </c:pt>
                <c:pt idx="509">
                  <c:v>2026</c:v>
                </c:pt>
                <c:pt idx="510">
                  <c:v>#N/A</c:v>
                </c:pt>
                <c:pt idx="511">
                  <c:v>#N/A</c:v>
                </c:pt>
                <c:pt idx="512">
                  <c:v>#N/A</c:v>
                </c:pt>
                <c:pt idx="513">
                  <c:v>#N/A</c:v>
                </c:pt>
                <c:pt idx="514">
                  <c:v>#N/A</c:v>
                </c:pt>
                <c:pt idx="515">
                  <c:v>2020</c:v>
                </c:pt>
                <c:pt idx="516">
                  <c:v>#N/A</c:v>
                </c:pt>
                <c:pt idx="517">
                  <c:v>#N/A</c:v>
                </c:pt>
                <c:pt idx="518">
                  <c:v>2023</c:v>
                </c:pt>
                <c:pt idx="519">
                  <c:v>2014</c:v>
                </c:pt>
                <c:pt idx="520">
                  <c:v>#N/A</c:v>
                </c:pt>
                <c:pt idx="521">
                  <c:v>#N/A</c:v>
                </c:pt>
                <c:pt idx="522">
                  <c:v>#N/A</c:v>
                </c:pt>
                <c:pt idx="523">
                  <c:v>#N/A</c:v>
                </c:pt>
                <c:pt idx="524">
                  <c:v>2023</c:v>
                </c:pt>
                <c:pt idx="525">
                  <c:v>#N/A</c:v>
                </c:pt>
                <c:pt idx="526">
                  <c:v>2021</c:v>
                </c:pt>
                <c:pt idx="527">
                  <c:v>#N/A</c:v>
                </c:pt>
                <c:pt idx="528">
                  <c:v>2026</c:v>
                </c:pt>
                <c:pt idx="529">
                  <c:v>#N/A</c:v>
                </c:pt>
                <c:pt idx="530">
                  <c:v>#N/A</c:v>
                </c:pt>
                <c:pt idx="531">
                  <c:v>#N/A</c:v>
                </c:pt>
                <c:pt idx="532">
                  <c:v>#N/A</c:v>
                </c:pt>
                <c:pt idx="533">
                  <c:v>2024</c:v>
                </c:pt>
                <c:pt idx="534">
                  <c:v>2023</c:v>
                </c:pt>
                <c:pt idx="535">
                  <c:v>#N/A</c:v>
                </c:pt>
                <c:pt idx="536">
                  <c:v>#N/A</c:v>
                </c:pt>
                <c:pt idx="537">
                  <c:v>#N/A</c:v>
                </c:pt>
                <c:pt idx="538">
                  <c:v>#N/A</c:v>
                </c:pt>
                <c:pt idx="539">
                  <c:v>#N/A</c:v>
                </c:pt>
                <c:pt idx="540">
                  <c:v>#N/A</c:v>
                </c:pt>
                <c:pt idx="541">
                  <c:v>#N/A</c:v>
                </c:pt>
                <c:pt idx="542">
                  <c:v>2024</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2024</c:v>
                </c:pt>
                <c:pt idx="557">
                  <c:v>#N/A</c:v>
                </c:pt>
                <c:pt idx="558">
                  <c:v>2022</c:v>
                </c:pt>
                <c:pt idx="559">
                  <c:v>#N/A</c:v>
                </c:pt>
                <c:pt idx="560">
                  <c:v>#N/A</c:v>
                </c:pt>
                <c:pt idx="561">
                  <c:v>2024</c:v>
                </c:pt>
                <c:pt idx="562">
                  <c:v>#N/A</c:v>
                </c:pt>
                <c:pt idx="563">
                  <c:v>#N/A</c:v>
                </c:pt>
                <c:pt idx="564">
                  <c:v>#N/A</c:v>
                </c:pt>
                <c:pt idx="565">
                  <c:v>2024</c:v>
                </c:pt>
                <c:pt idx="566">
                  <c:v>2015</c:v>
                </c:pt>
                <c:pt idx="567">
                  <c:v>#N/A</c:v>
                </c:pt>
                <c:pt idx="568">
                  <c:v>2023</c:v>
                </c:pt>
                <c:pt idx="569">
                  <c:v>2025</c:v>
                </c:pt>
                <c:pt idx="570">
                  <c:v>2024</c:v>
                </c:pt>
                <c:pt idx="571">
                  <c:v>2010</c:v>
                </c:pt>
                <c:pt idx="572">
                  <c:v>2012</c:v>
                </c:pt>
                <c:pt idx="573">
                  <c:v>#N/A</c:v>
                </c:pt>
                <c:pt idx="574">
                  <c:v>2022</c:v>
                </c:pt>
                <c:pt idx="575">
                  <c:v>#N/A</c:v>
                </c:pt>
                <c:pt idx="576">
                  <c:v>2023</c:v>
                </c:pt>
                <c:pt idx="577">
                  <c:v>2023</c:v>
                </c:pt>
                <c:pt idx="578">
                  <c:v>2021</c:v>
                </c:pt>
                <c:pt idx="579">
                  <c:v>2025</c:v>
                </c:pt>
                <c:pt idx="580">
                  <c:v>#N/A</c:v>
                </c:pt>
                <c:pt idx="581">
                  <c:v>#N/A</c:v>
                </c:pt>
                <c:pt idx="582">
                  <c:v>#N/A</c:v>
                </c:pt>
                <c:pt idx="583">
                  <c:v>#N/A</c:v>
                </c:pt>
                <c:pt idx="584">
                  <c:v>#N/A</c:v>
                </c:pt>
                <c:pt idx="585">
                  <c:v>#N/A</c:v>
                </c:pt>
                <c:pt idx="586">
                  <c:v>2017</c:v>
                </c:pt>
                <c:pt idx="587">
                  <c:v>2013</c:v>
                </c:pt>
                <c:pt idx="588">
                  <c:v>2020</c:v>
                </c:pt>
                <c:pt idx="589">
                  <c:v>2023</c:v>
                </c:pt>
                <c:pt idx="590">
                  <c:v>#N/A</c:v>
                </c:pt>
                <c:pt idx="591">
                  <c:v>2020</c:v>
                </c:pt>
                <c:pt idx="592">
                  <c:v>2024</c:v>
                </c:pt>
                <c:pt idx="593">
                  <c:v>#N/A</c:v>
                </c:pt>
                <c:pt idx="594">
                  <c:v>#N/A</c:v>
                </c:pt>
                <c:pt idx="595">
                  <c:v>#N/A</c:v>
                </c:pt>
                <c:pt idx="596">
                  <c:v>2026</c:v>
                </c:pt>
                <c:pt idx="597">
                  <c:v>2024</c:v>
                </c:pt>
                <c:pt idx="598">
                  <c:v>#N/A</c:v>
                </c:pt>
                <c:pt idx="599">
                  <c:v>2021</c:v>
                </c:pt>
                <c:pt idx="600">
                  <c:v>2013</c:v>
                </c:pt>
                <c:pt idx="601">
                  <c:v>2020</c:v>
                </c:pt>
                <c:pt idx="602">
                  <c:v>#N/A</c:v>
                </c:pt>
                <c:pt idx="603">
                  <c:v>#N/A</c:v>
                </c:pt>
                <c:pt idx="604">
                  <c:v>#N/A</c:v>
                </c:pt>
                <c:pt idx="605">
                  <c:v>#N/A</c:v>
                </c:pt>
                <c:pt idx="606">
                  <c:v>2022</c:v>
                </c:pt>
                <c:pt idx="607">
                  <c:v>#N/A</c:v>
                </c:pt>
                <c:pt idx="608">
                  <c:v>#N/A</c:v>
                </c:pt>
                <c:pt idx="609">
                  <c:v>#N/A</c:v>
                </c:pt>
                <c:pt idx="610">
                  <c:v>#N/A</c:v>
                </c:pt>
                <c:pt idx="611">
                  <c:v>#N/A</c:v>
                </c:pt>
                <c:pt idx="612">
                  <c:v>#N/A</c:v>
                </c:pt>
                <c:pt idx="613">
                  <c:v>#N/A</c:v>
                </c:pt>
                <c:pt idx="614">
                  <c:v>#N/A</c:v>
                </c:pt>
                <c:pt idx="615">
                  <c:v>#N/A</c:v>
                </c:pt>
                <c:pt idx="616">
                  <c:v>2021</c:v>
                </c:pt>
                <c:pt idx="617">
                  <c:v>#N/A</c:v>
                </c:pt>
                <c:pt idx="618">
                  <c:v>#N/A</c:v>
                </c:pt>
                <c:pt idx="619">
                  <c:v>#N/A</c:v>
                </c:pt>
                <c:pt idx="620">
                  <c:v>#N/A</c:v>
                </c:pt>
                <c:pt idx="621">
                  <c:v>#N/A</c:v>
                </c:pt>
                <c:pt idx="622">
                  <c:v>2024</c:v>
                </c:pt>
                <c:pt idx="623">
                  <c:v>2022</c:v>
                </c:pt>
                <c:pt idx="624">
                  <c:v>2023</c:v>
                </c:pt>
                <c:pt idx="625">
                  <c:v>2020</c:v>
                </c:pt>
                <c:pt idx="626">
                  <c:v>2023</c:v>
                </c:pt>
                <c:pt idx="627">
                  <c:v>2023</c:v>
                </c:pt>
                <c:pt idx="628">
                  <c:v>#N/A</c:v>
                </c:pt>
                <c:pt idx="629">
                  <c:v>2025</c:v>
                </c:pt>
                <c:pt idx="630">
                  <c:v>2022</c:v>
                </c:pt>
                <c:pt idx="631">
                  <c:v>2026</c:v>
                </c:pt>
                <c:pt idx="632">
                  <c:v>#N/A</c:v>
                </c:pt>
                <c:pt idx="633">
                  <c:v>#N/A</c:v>
                </c:pt>
                <c:pt idx="634">
                  <c:v>2025</c:v>
                </c:pt>
                <c:pt idx="635">
                  <c:v>2023</c:v>
                </c:pt>
                <c:pt idx="636">
                  <c:v>#N/A</c:v>
                </c:pt>
                <c:pt idx="637">
                  <c:v>2022</c:v>
                </c:pt>
                <c:pt idx="638">
                  <c:v>#N/A</c:v>
                </c:pt>
                <c:pt idx="639">
                  <c:v>#N/A</c:v>
                </c:pt>
                <c:pt idx="640">
                  <c:v>#N/A</c:v>
                </c:pt>
                <c:pt idx="641">
                  <c:v>#N/A</c:v>
                </c:pt>
                <c:pt idx="642">
                  <c:v>#N/A</c:v>
                </c:pt>
                <c:pt idx="643">
                  <c:v>#N/A</c:v>
                </c:pt>
                <c:pt idx="644">
                  <c:v>#N/A</c:v>
                </c:pt>
                <c:pt idx="645">
                  <c:v>#N/A</c:v>
                </c:pt>
                <c:pt idx="646">
                  <c:v>#N/A</c:v>
                </c:pt>
                <c:pt idx="647">
                  <c:v>2010</c:v>
                </c:pt>
                <c:pt idx="648">
                  <c:v>#N/A</c:v>
                </c:pt>
                <c:pt idx="649">
                  <c:v>2022</c:v>
                </c:pt>
                <c:pt idx="650">
                  <c:v>#N/A</c:v>
                </c:pt>
                <c:pt idx="651">
                  <c:v>#N/A</c:v>
                </c:pt>
                <c:pt idx="652">
                  <c:v>2020</c:v>
                </c:pt>
                <c:pt idx="653">
                  <c:v>2026</c:v>
                </c:pt>
                <c:pt idx="654">
                  <c:v>2014</c:v>
                </c:pt>
                <c:pt idx="655">
                  <c:v>#N/A</c:v>
                </c:pt>
                <c:pt idx="656">
                  <c:v>#N/A</c:v>
                </c:pt>
                <c:pt idx="657">
                  <c:v>2018</c:v>
                </c:pt>
                <c:pt idx="658">
                  <c:v>#N/A</c:v>
                </c:pt>
                <c:pt idx="659">
                  <c:v>#N/A</c:v>
                </c:pt>
                <c:pt idx="660">
                  <c:v>#N/A</c:v>
                </c:pt>
                <c:pt idx="661">
                  <c:v>2023</c:v>
                </c:pt>
                <c:pt idx="662">
                  <c:v>#N/A</c:v>
                </c:pt>
                <c:pt idx="663">
                  <c:v>#N/A</c:v>
                </c:pt>
                <c:pt idx="664">
                  <c:v>#N/A</c:v>
                </c:pt>
                <c:pt idx="665">
                  <c:v>2021</c:v>
                </c:pt>
                <c:pt idx="666">
                  <c:v>2025</c:v>
                </c:pt>
                <c:pt idx="667">
                  <c:v>#N/A</c:v>
                </c:pt>
                <c:pt idx="668">
                  <c:v>#N/A</c:v>
                </c:pt>
                <c:pt idx="669">
                  <c:v>#N/A</c:v>
                </c:pt>
                <c:pt idx="670">
                  <c:v>#N/A</c:v>
                </c:pt>
                <c:pt idx="671">
                  <c:v>2022</c:v>
                </c:pt>
                <c:pt idx="672">
                  <c:v>2015</c:v>
                </c:pt>
                <c:pt idx="673">
                  <c:v>2019</c:v>
                </c:pt>
                <c:pt idx="674">
                  <c:v>#N/A</c:v>
                </c:pt>
                <c:pt idx="675">
                  <c:v>2022</c:v>
                </c:pt>
                <c:pt idx="676">
                  <c:v>#N/A</c:v>
                </c:pt>
                <c:pt idx="677">
                  <c:v>#N/A</c:v>
                </c:pt>
                <c:pt idx="678">
                  <c:v>2012</c:v>
                </c:pt>
                <c:pt idx="679">
                  <c:v>2020</c:v>
                </c:pt>
                <c:pt idx="680">
                  <c:v>2008</c:v>
                </c:pt>
                <c:pt idx="681">
                  <c:v>#N/A</c:v>
                </c:pt>
                <c:pt idx="682">
                  <c:v>2022</c:v>
                </c:pt>
                <c:pt idx="683">
                  <c:v>2023</c:v>
                </c:pt>
                <c:pt idx="684">
                  <c:v>2019</c:v>
                </c:pt>
                <c:pt idx="685">
                  <c:v>#N/A</c:v>
                </c:pt>
                <c:pt idx="686">
                  <c:v>2024</c:v>
                </c:pt>
                <c:pt idx="687">
                  <c:v>#N/A</c:v>
                </c:pt>
                <c:pt idx="688">
                  <c:v>2017</c:v>
                </c:pt>
                <c:pt idx="689">
                  <c:v>2023</c:v>
                </c:pt>
                <c:pt idx="690">
                  <c:v>2025</c:v>
                </c:pt>
                <c:pt idx="691">
                  <c:v>#N/A</c:v>
                </c:pt>
                <c:pt idx="692">
                  <c:v>#N/A</c:v>
                </c:pt>
                <c:pt idx="693">
                  <c:v>2025</c:v>
                </c:pt>
                <c:pt idx="694">
                  <c:v>#N/A</c:v>
                </c:pt>
                <c:pt idx="695">
                  <c:v>#N/A</c:v>
                </c:pt>
                <c:pt idx="696">
                  <c:v>2017</c:v>
                </c:pt>
                <c:pt idx="697">
                  <c:v>#N/A</c:v>
                </c:pt>
                <c:pt idx="698">
                  <c:v>2019</c:v>
                </c:pt>
                <c:pt idx="699">
                  <c:v>2024</c:v>
                </c:pt>
                <c:pt idx="700">
                  <c:v>2017</c:v>
                </c:pt>
                <c:pt idx="701">
                  <c:v>#N/A</c:v>
                </c:pt>
                <c:pt idx="702">
                  <c:v>#N/A</c:v>
                </c:pt>
                <c:pt idx="703">
                  <c:v>#N/A</c:v>
                </c:pt>
                <c:pt idx="704">
                  <c:v>#N/A</c:v>
                </c:pt>
                <c:pt idx="705">
                  <c:v>2013</c:v>
                </c:pt>
                <c:pt idx="706">
                  <c:v>#N/A</c:v>
                </c:pt>
                <c:pt idx="707">
                  <c:v>2025</c:v>
                </c:pt>
                <c:pt idx="708">
                  <c:v>2023</c:v>
                </c:pt>
                <c:pt idx="709">
                  <c:v>2016</c:v>
                </c:pt>
                <c:pt idx="710">
                  <c:v>#N/A</c:v>
                </c:pt>
                <c:pt idx="711">
                  <c:v>2021</c:v>
                </c:pt>
                <c:pt idx="712">
                  <c:v>2025</c:v>
                </c:pt>
                <c:pt idx="713">
                  <c:v>#N/A</c:v>
                </c:pt>
                <c:pt idx="714">
                  <c:v>2022</c:v>
                </c:pt>
                <c:pt idx="715">
                  <c:v>2025</c:v>
                </c:pt>
                <c:pt idx="716">
                  <c:v>2021</c:v>
                </c:pt>
                <c:pt idx="717">
                  <c:v>2018</c:v>
                </c:pt>
                <c:pt idx="718">
                  <c:v>#N/A</c:v>
                </c:pt>
                <c:pt idx="719">
                  <c:v>#N/A</c:v>
                </c:pt>
                <c:pt idx="720">
                  <c:v>2023</c:v>
                </c:pt>
                <c:pt idx="721">
                  <c:v>#N/A</c:v>
                </c:pt>
                <c:pt idx="722">
                  <c:v>#N/A</c:v>
                </c:pt>
                <c:pt idx="723">
                  <c:v>#N/A</c:v>
                </c:pt>
                <c:pt idx="724">
                  <c:v>#N/A</c:v>
                </c:pt>
                <c:pt idx="725">
                  <c:v>#N/A</c:v>
                </c:pt>
                <c:pt idx="726">
                  <c:v>2023</c:v>
                </c:pt>
                <c:pt idx="727">
                  <c:v>#N/A</c:v>
                </c:pt>
                <c:pt idx="728">
                  <c:v>2026</c:v>
                </c:pt>
                <c:pt idx="729">
                  <c:v>2024</c:v>
                </c:pt>
                <c:pt idx="730">
                  <c:v>2024</c:v>
                </c:pt>
                <c:pt idx="731">
                  <c:v>#N/A</c:v>
                </c:pt>
                <c:pt idx="732">
                  <c:v>2026</c:v>
                </c:pt>
                <c:pt idx="733">
                  <c:v>2024</c:v>
                </c:pt>
                <c:pt idx="734">
                  <c:v>#N/A</c:v>
                </c:pt>
                <c:pt idx="735">
                  <c:v>2011</c:v>
                </c:pt>
                <c:pt idx="736">
                  <c:v>2014</c:v>
                </c:pt>
                <c:pt idx="737">
                  <c:v>#N/A</c:v>
                </c:pt>
                <c:pt idx="738">
                  <c:v>#N/A</c:v>
                </c:pt>
                <c:pt idx="739">
                  <c:v>#N/A</c:v>
                </c:pt>
                <c:pt idx="740">
                  <c:v>2016</c:v>
                </c:pt>
                <c:pt idx="741">
                  <c:v>#N/A</c:v>
                </c:pt>
                <c:pt idx="742">
                  <c:v>#N/A</c:v>
                </c:pt>
                <c:pt idx="743">
                  <c:v>#N/A</c:v>
                </c:pt>
                <c:pt idx="744">
                  <c:v>#N/A</c:v>
                </c:pt>
                <c:pt idx="745">
                  <c:v>2023</c:v>
                </c:pt>
                <c:pt idx="746">
                  <c:v>#N/A</c:v>
                </c:pt>
                <c:pt idx="747">
                  <c:v>#N/A</c:v>
                </c:pt>
                <c:pt idx="748">
                  <c:v>#N/A</c:v>
                </c:pt>
                <c:pt idx="749">
                  <c:v>#N/A</c:v>
                </c:pt>
                <c:pt idx="750">
                  <c:v>2024</c:v>
                </c:pt>
                <c:pt idx="751">
                  <c:v>#N/A</c:v>
                </c:pt>
                <c:pt idx="752">
                  <c:v>2024</c:v>
                </c:pt>
                <c:pt idx="753">
                  <c:v>#N/A</c:v>
                </c:pt>
                <c:pt idx="754">
                  <c:v>2022</c:v>
                </c:pt>
                <c:pt idx="755">
                  <c:v>2018</c:v>
                </c:pt>
                <c:pt idx="756">
                  <c:v>#N/A</c:v>
                </c:pt>
                <c:pt idx="757">
                  <c:v>#N/A</c:v>
                </c:pt>
                <c:pt idx="758">
                  <c:v>#N/A</c:v>
                </c:pt>
                <c:pt idx="759">
                  <c:v>2023</c:v>
                </c:pt>
                <c:pt idx="760">
                  <c:v>2023</c:v>
                </c:pt>
                <c:pt idx="761">
                  <c:v>#N/A</c:v>
                </c:pt>
                <c:pt idx="762">
                  <c:v>2022</c:v>
                </c:pt>
                <c:pt idx="763">
                  <c:v>#N/A</c:v>
                </c:pt>
                <c:pt idx="764">
                  <c:v>1991</c:v>
                </c:pt>
                <c:pt idx="765">
                  <c:v>2019</c:v>
                </c:pt>
                <c:pt idx="766">
                  <c:v>2022</c:v>
                </c:pt>
                <c:pt idx="767">
                  <c:v>#N/A</c:v>
                </c:pt>
                <c:pt idx="768">
                  <c:v>#N/A</c:v>
                </c:pt>
                <c:pt idx="769">
                  <c:v>#N/A</c:v>
                </c:pt>
                <c:pt idx="770">
                  <c:v>#N/A</c:v>
                </c:pt>
                <c:pt idx="771">
                  <c:v>#N/A</c:v>
                </c:pt>
                <c:pt idx="772">
                  <c:v>#N/A</c:v>
                </c:pt>
                <c:pt idx="773">
                  <c:v>#N/A</c:v>
                </c:pt>
                <c:pt idx="774">
                  <c:v>#N/A</c:v>
                </c:pt>
                <c:pt idx="775">
                  <c:v>#N/A</c:v>
                </c:pt>
                <c:pt idx="776">
                  <c:v>#N/A</c:v>
                </c:pt>
                <c:pt idx="777">
                  <c:v>2017</c:v>
                </c:pt>
                <c:pt idx="778">
                  <c:v>2014</c:v>
                </c:pt>
                <c:pt idx="779">
                  <c:v>#N/A</c:v>
                </c:pt>
                <c:pt idx="780">
                  <c:v>#N/A</c:v>
                </c:pt>
                <c:pt idx="781">
                  <c:v>#N/A</c:v>
                </c:pt>
                <c:pt idx="782">
                  <c:v>2017</c:v>
                </c:pt>
                <c:pt idx="783">
                  <c:v>#N/A</c:v>
                </c:pt>
                <c:pt idx="784">
                  <c:v>2025</c:v>
                </c:pt>
                <c:pt idx="785">
                  <c:v>#N/A</c:v>
                </c:pt>
                <c:pt idx="786">
                  <c:v>#N/A</c:v>
                </c:pt>
                <c:pt idx="787">
                  <c:v>#N/A</c:v>
                </c:pt>
                <c:pt idx="788">
                  <c:v>2024</c:v>
                </c:pt>
                <c:pt idx="789">
                  <c:v>2019</c:v>
                </c:pt>
                <c:pt idx="790">
                  <c:v>2025</c:v>
                </c:pt>
                <c:pt idx="791">
                  <c:v>2017</c:v>
                </c:pt>
                <c:pt idx="792">
                  <c:v>2022</c:v>
                </c:pt>
                <c:pt idx="793">
                  <c:v>#N/A</c:v>
                </c:pt>
                <c:pt idx="794">
                  <c:v>2018</c:v>
                </c:pt>
                <c:pt idx="795">
                  <c:v>#N/A</c:v>
                </c:pt>
                <c:pt idx="796">
                  <c:v>2023</c:v>
                </c:pt>
                <c:pt idx="797">
                  <c:v>2021</c:v>
                </c:pt>
                <c:pt idx="798">
                  <c:v>#N/A</c:v>
                </c:pt>
                <c:pt idx="799">
                  <c:v>2024</c:v>
                </c:pt>
                <c:pt idx="800">
                  <c:v>2026</c:v>
                </c:pt>
                <c:pt idx="801">
                  <c:v>#N/A</c:v>
                </c:pt>
                <c:pt idx="802">
                  <c:v>#N/A</c:v>
                </c:pt>
                <c:pt idx="803">
                  <c:v>#N/A</c:v>
                </c:pt>
                <c:pt idx="804">
                  <c:v>2019</c:v>
                </c:pt>
                <c:pt idx="805">
                  <c:v>2022</c:v>
                </c:pt>
                <c:pt idx="806">
                  <c:v>#N/A</c:v>
                </c:pt>
                <c:pt idx="807">
                  <c:v>2023</c:v>
                </c:pt>
                <c:pt idx="808">
                  <c:v>2024</c:v>
                </c:pt>
                <c:pt idx="809">
                  <c:v>2024</c:v>
                </c:pt>
                <c:pt idx="810">
                  <c:v>#N/A</c:v>
                </c:pt>
                <c:pt idx="811">
                  <c:v>#N/A</c:v>
                </c:pt>
                <c:pt idx="812">
                  <c:v>#N/A</c:v>
                </c:pt>
                <c:pt idx="813">
                  <c:v>2026</c:v>
                </c:pt>
                <c:pt idx="814">
                  <c:v>#N/A</c:v>
                </c:pt>
                <c:pt idx="815">
                  <c:v>2025</c:v>
                </c:pt>
                <c:pt idx="816">
                  <c:v>#N/A</c:v>
                </c:pt>
                <c:pt idx="817">
                  <c:v>#N/A</c:v>
                </c:pt>
                <c:pt idx="818">
                  <c:v>#N/A</c:v>
                </c:pt>
                <c:pt idx="819">
                  <c:v>2017</c:v>
                </c:pt>
                <c:pt idx="820">
                  <c:v>#N/A</c:v>
                </c:pt>
                <c:pt idx="821">
                  <c:v>2020</c:v>
                </c:pt>
                <c:pt idx="822">
                  <c:v>2025</c:v>
                </c:pt>
                <c:pt idx="823">
                  <c:v>2025</c:v>
                </c:pt>
                <c:pt idx="824">
                  <c:v>2024</c:v>
                </c:pt>
                <c:pt idx="825">
                  <c:v>#N/A</c:v>
                </c:pt>
                <c:pt idx="826">
                  <c:v>#N/A</c:v>
                </c:pt>
                <c:pt idx="827">
                  <c:v>2024</c:v>
                </c:pt>
                <c:pt idx="828">
                  <c:v>#N/A</c:v>
                </c:pt>
                <c:pt idx="829">
                  <c:v>#N/A</c:v>
                </c:pt>
                <c:pt idx="830">
                  <c:v>2024</c:v>
                </c:pt>
                <c:pt idx="831">
                  <c:v>#N/A</c:v>
                </c:pt>
                <c:pt idx="832">
                  <c:v>2018</c:v>
                </c:pt>
                <c:pt idx="833">
                  <c:v>2024</c:v>
                </c:pt>
                <c:pt idx="834">
                  <c:v>#N/A</c:v>
                </c:pt>
                <c:pt idx="835">
                  <c:v>#N/A</c:v>
                </c:pt>
                <c:pt idx="836">
                  <c:v>#N/A</c:v>
                </c:pt>
                <c:pt idx="837">
                  <c:v>#N/A</c:v>
                </c:pt>
                <c:pt idx="838">
                  <c:v>#N/A</c:v>
                </c:pt>
                <c:pt idx="839">
                  <c:v>2025</c:v>
                </c:pt>
                <c:pt idx="840">
                  <c:v>2023</c:v>
                </c:pt>
                <c:pt idx="841">
                  <c:v>#N/A</c:v>
                </c:pt>
                <c:pt idx="842">
                  <c:v>#N/A</c:v>
                </c:pt>
                <c:pt idx="843">
                  <c:v>#N/A</c:v>
                </c:pt>
                <c:pt idx="844">
                  <c:v>#N/A</c:v>
                </c:pt>
                <c:pt idx="845">
                  <c:v>#N/A</c:v>
                </c:pt>
                <c:pt idx="846">
                  <c:v>2014</c:v>
                </c:pt>
                <c:pt idx="847">
                  <c:v>2020</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1.276</c:v>
                </c:pt>
                <c:pt idx="420">
                  <c:v>#N/A</c:v>
                </c:pt>
                <c:pt idx="421">
                  <c:v>1.3220000000000001</c:v>
                </c:pt>
                <c:pt idx="422">
                  <c:v>1.345</c:v>
                </c:pt>
                <c:pt idx="423">
                  <c:v>1.3679999999999999</c:v>
                </c:pt>
                <c:pt idx="424">
                  <c:v>1.391</c:v>
                </c:pt>
                <c:pt idx="425">
                  <c:v>#N/A</c:v>
                </c:pt>
                <c:pt idx="426">
                  <c:v>1.4370000000000001</c:v>
                </c:pt>
                <c:pt idx="427">
                  <c:v>1.46</c:v>
                </c:pt>
                <c:pt idx="428">
                  <c:v>#N/A</c:v>
                </c:pt>
                <c:pt idx="429">
                  <c:v>1.506</c:v>
                </c:pt>
                <c:pt idx="430">
                  <c:v>#N/A</c:v>
                </c:pt>
                <c:pt idx="431">
                  <c:v>1.552</c:v>
                </c:pt>
                <c:pt idx="432">
                  <c:v>#N/A</c:v>
                </c:pt>
                <c:pt idx="433">
                  <c:v>#N/A</c:v>
                </c:pt>
                <c:pt idx="434">
                  <c:v>#N/A</c:v>
                </c:pt>
                <c:pt idx="435">
                  <c:v>#N/A</c:v>
                </c:pt>
                <c:pt idx="436">
                  <c:v>#N/A</c:v>
                </c:pt>
                <c:pt idx="437">
                  <c:v>1.69</c:v>
                </c:pt>
                <c:pt idx="438">
                  <c:v>1.7130000000000001</c:v>
                </c:pt>
                <c:pt idx="439">
                  <c:v>#N/A</c:v>
                </c:pt>
                <c:pt idx="440">
                  <c:v>1.7589999999999999</c:v>
                </c:pt>
                <c:pt idx="441">
                  <c:v>#N/A</c:v>
                </c:pt>
                <c:pt idx="442">
                  <c:v>#N/A</c:v>
                </c:pt>
                <c:pt idx="443">
                  <c:v>#N/A</c:v>
                </c:pt>
                <c:pt idx="444">
                  <c:v>#N/A</c:v>
                </c:pt>
                <c:pt idx="445">
                  <c:v>1.0920000000000001</c:v>
                </c:pt>
                <c:pt idx="446">
                  <c:v>1.115</c:v>
                </c:pt>
                <c:pt idx="447">
                  <c:v>#N/A</c:v>
                </c:pt>
                <c:pt idx="448">
                  <c:v>#N/A</c:v>
                </c:pt>
                <c:pt idx="449">
                  <c:v>#N/A</c:v>
                </c:pt>
                <c:pt idx="450">
                  <c:v>#N/A</c:v>
                </c:pt>
                <c:pt idx="451">
                  <c:v>#N/A</c:v>
                </c:pt>
                <c:pt idx="452">
                  <c:v>#N/A</c:v>
                </c:pt>
                <c:pt idx="453">
                  <c:v>#N/A</c:v>
                </c:pt>
                <c:pt idx="454">
                  <c:v>#N/A</c:v>
                </c:pt>
                <c:pt idx="455">
                  <c:v>1.3220000000000001</c:v>
                </c:pt>
                <c:pt idx="456">
                  <c:v>1.345</c:v>
                </c:pt>
                <c:pt idx="457">
                  <c:v>#N/A</c:v>
                </c:pt>
                <c:pt idx="458">
                  <c:v>1.391</c:v>
                </c:pt>
                <c:pt idx="459">
                  <c:v>1.4139999999999999</c:v>
                </c:pt>
                <c:pt idx="460">
                  <c:v>1.4370000000000001</c:v>
                </c:pt>
                <c:pt idx="461">
                  <c:v>1.46</c:v>
                </c:pt>
                <c:pt idx="462">
                  <c:v>#N/A</c:v>
                </c:pt>
                <c:pt idx="463">
                  <c:v>1.506</c:v>
                </c:pt>
                <c:pt idx="464">
                  <c:v>#N/A</c:v>
                </c:pt>
                <c:pt idx="465">
                  <c:v>#N/A</c:v>
                </c:pt>
                <c:pt idx="466">
                  <c:v>1.575</c:v>
                </c:pt>
                <c:pt idx="467">
                  <c:v>1.5979999999999999</c:v>
                </c:pt>
                <c:pt idx="468">
                  <c:v>1.621</c:v>
                </c:pt>
                <c:pt idx="469">
                  <c:v>1.6440000000000001</c:v>
                </c:pt>
                <c:pt idx="470">
                  <c:v>#N/A</c:v>
                </c:pt>
                <c:pt idx="471">
                  <c:v>1.69</c:v>
                </c:pt>
                <c:pt idx="472">
                  <c:v>1.7130000000000001</c:v>
                </c:pt>
                <c:pt idx="473">
                  <c:v>#N/A</c:v>
                </c:pt>
                <c:pt idx="474">
                  <c:v>#N/A</c:v>
                </c:pt>
                <c:pt idx="475">
                  <c:v>#N/A</c:v>
                </c:pt>
                <c:pt idx="476">
                  <c:v>1.0229999999999999</c:v>
                </c:pt>
                <c:pt idx="477">
                  <c:v>#N/A</c:v>
                </c:pt>
                <c:pt idx="478">
                  <c:v>1.069</c:v>
                </c:pt>
                <c:pt idx="479">
                  <c:v>#N/A</c:v>
                </c:pt>
                <c:pt idx="480">
                  <c:v>1.115</c:v>
                </c:pt>
                <c:pt idx="481">
                  <c:v>1.1379999999999999</c:v>
                </c:pt>
                <c:pt idx="482">
                  <c:v>1.161</c:v>
                </c:pt>
                <c:pt idx="483">
                  <c:v>1.1839999999999999</c:v>
                </c:pt>
                <c:pt idx="484">
                  <c:v>1.2070000000000001</c:v>
                </c:pt>
                <c:pt idx="485">
                  <c:v>#N/A</c:v>
                </c:pt>
                <c:pt idx="486">
                  <c:v>1.2530000000000001</c:v>
                </c:pt>
                <c:pt idx="487">
                  <c:v>1.276</c:v>
                </c:pt>
                <c:pt idx="488">
                  <c:v>1.2989999999999999</c:v>
                </c:pt>
                <c:pt idx="489">
                  <c:v>1.3220000000000001</c:v>
                </c:pt>
                <c:pt idx="490">
                  <c:v>#N/A</c:v>
                </c:pt>
                <c:pt idx="491">
                  <c:v>#N/A</c:v>
                </c:pt>
                <c:pt idx="492">
                  <c:v>1.391</c:v>
                </c:pt>
                <c:pt idx="493">
                  <c:v>1.4139999999999999</c:v>
                </c:pt>
                <c:pt idx="494">
                  <c:v>1.4370000000000001</c:v>
                </c:pt>
                <c:pt idx="495">
                  <c:v>1.46</c:v>
                </c:pt>
                <c:pt idx="496">
                  <c:v>#N/A</c:v>
                </c:pt>
                <c:pt idx="497">
                  <c:v>1.506</c:v>
                </c:pt>
                <c:pt idx="498">
                  <c:v>#N/A</c:v>
                </c:pt>
                <c:pt idx="499">
                  <c:v>1.552</c:v>
                </c:pt>
                <c:pt idx="500">
                  <c:v>#N/A</c:v>
                </c:pt>
                <c:pt idx="501">
                  <c:v>#N/A</c:v>
                </c:pt>
                <c:pt idx="502">
                  <c:v>1.621</c:v>
                </c:pt>
                <c:pt idx="503">
                  <c:v>1.6440000000000001</c:v>
                </c:pt>
                <c:pt idx="504">
                  <c:v>#N/A</c:v>
                </c:pt>
                <c:pt idx="505">
                  <c:v>1.69</c:v>
                </c:pt>
                <c:pt idx="506">
                  <c:v>#N/A</c:v>
                </c:pt>
                <c:pt idx="507">
                  <c:v>1.736</c:v>
                </c:pt>
                <c:pt idx="508">
                  <c:v>1.7589999999999999</c:v>
                </c:pt>
                <c:pt idx="509">
                  <c:v>1</c:v>
                </c:pt>
                <c:pt idx="510">
                  <c:v>1.0229999999999999</c:v>
                </c:pt>
                <c:pt idx="511">
                  <c:v>#N/A</c:v>
                </c:pt>
                <c:pt idx="512">
                  <c:v>#N/A</c:v>
                </c:pt>
                <c:pt idx="513">
                  <c:v>#N/A</c:v>
                </c:pt>
                <c:pt idx="514">
                  <c:v>#N/A</c:v>
                </c:pt>
                <c:pt idx="515">
                  <c:v>#N/A</c:v>
                </c:pt>
                <c:pt idx="516">
                  <c:v>1.161</c:v>
                </c:pt>
                <c:pt idx="517">
                  <c:v>#N/A</c:v>
                </c:pt>
                <c:pt idx="518">
                  <c:v>#N/A</c:v>
                </c:pt>
                <c:pt idx="519">
                  <c:v>1.23</c:v>
                </c:pt>
                <c:pt idx="520">
                  <c:v>1.2530000000000001</c:v>
                </c:pt>
                <c:pt idx="521">
                  <c:v>#N/A</c:v>
                </c:pt>
                <c:pt idx="522">
                  <c:v>#N/A</c:v>
                </c:pt>
                <c:pt idx="523">
                  <c:v>#N/A</c:v>
                </c:pt>
                <c:pt idx="524">
                  <c:v>#N/A</c:v>
                </c:pt>
                <c:pt idx="525">
                  <c:v>1.3679999999999999</c:v>
                </c:pt>
                <c:pt idx="526">
                  <c:v>#N/A</c:v>
                </c:pt>
                <c:pt idx="527">
                  <c:v>1.4139999999999999</c:v>
                </c:pt>
                <c:pt idx="528">
                  <c:v>#N/A</c:v>
                </c:pt>
                <c:pt idx="529">
                  <c:v>1.46</c:v>
                </c:pt>
                <c:pt idx="530">
                  <c:v>#N/A</c:v>
                </c:pt>
                <c:pt idx="531">
                  <c:v>#N/A</c:v>
                </c:pt>
                <c:pt idx="532">
                  <c:v>#N/A</c:v>
                </c:pt>
                <c:pt idx="533">
                  <c:v>#N/A</c:v>
                </c:pt>
                <c:pt idx="534">
                  <c:v>1.575</c:v>
                </c:pt>
                <c:pt idx="535">
                  <c:v>1.5979999999999999</c:v>
                </c:pt>
                <c:pt idx="536">
                  <c:v>#N/A</c:v>
                </c:pt>
                <c:pt idx="537">
                  <c:v>#N/A</c:v>
                </c:pt>
                <c:pt idx="538">
                  <c:v>#N/A</c:v>
                </c:pt>
                <c:pt idx="539">
                  <c:v>#N/A</c:v>
                </c:pt>
                <c:pt idx="540">
                  <c:v>#N/A</c:v>
                </c:pt>
                <c:pt idx="541">
                  <c:v>#N/A</c:v>
                </c:pt>
                <c:pt idx="542">
                  <c:v>#N/A</c:v>
                </c:pt>
                <c:pt idx="543">
                  <c:v>1</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1.3220000000000001</c:v>
                </c:pt>
                <c:pt idx="558">
                  <c:v>#N/A</c:v>
                </c:pt>
                <c:pt idx="559">
                  <c:v>1.3679999999999999</c:v>
                </c:pt>
                <c:pt idx="560">
                  <c:v>#N/A</c:v>
                </c:pt>
                <c:pt idx="561">
                  <c:v>#N/A</c:v>
                </c:pt>
                <c:pt idx="562">
                  <c:v>1.4370000000000001</c:v>
                </c:pt>
                <c:pt idx="563">
                  <c:v>#N/A</c:v>
                </c:pt>
                <c:pt idx="564">
                  <c:v>#N/A</c:v>
                </c:pt>
                <c:pt idx="565">
                  <c:v>#N/A</c:v>
                </c:pt>
                <c:pt idx="566">
                  <c:v>1.5289999999999999</c:v>
                </c:pt>
                <c:pt idx="567">
                  <c:v>1.552</c:v>
                </c:pt>
                <c:pt idx="568">
                  <c:v>#N/A</c:v>
                </c:pt>
                <c:pt idx="569">
                  <c:v>1.5979999999999999</c:v>
                </c:pt>
                <c:pt idx="570">
                  <c:v>1.621</c:v>
                </c:pt>
                <c:pt idx="571">
                  <c:v>1.6440000000000001</c:v>
                </c:pt>
                <c:pt idx="572">
                  <c:v>1.667</c:v>
                </c:pt>
                <c:pt idx="573">
                  <c:v>1.69</c:v>
                </c:pt>
                <c:pt idx="574">
                  <c:v>#N/A</c:v>
                </c:pt>
                <c:pt idx="575">
                  <c:v>1.736</c:v>
                </c:pt>
                <c:pt idx="576">
                  <c:v>#N/A</c:v>
                </c:pt>
                <c:pt idx="577">
                  <c:v>1</c:v>
                </c:pt>
                <c:pt idx="578">
                  <c:v>1.0229999999999999</c:v>
                </c:pt>
                <c:pt idx="579">
                  <c:v>1.046</c:v>
                </c:pt>
                <c:pt idx="580">
                  <c:v>1.069</c:v>
                </c:pt>
                <c:pt idx="581">
                  <c:v>#N/A</c:v>
                </c:pt>
                <c:pt idx="582">
                  <c:v>#N/A</c:v>
                </c:pt>
                <c:pt idx="583">
                  <c:v>#N/A</c:v>
                </c:pt>
                <c:pt idx="584">
                  <c:v>#N/A</c:v>
                </c:pt>
                <c:pt idx="585">
                  <c:v>#N/A</c:v>
                </c:pt>
                <c:pt idx="586">
                  <c:v>#N/A</c:v>
                </c:pt>
                <c:pt idx="587">
                  <c:v>1.23</c:v>
                </c:pt>
                <c:pt idx="588">
                  <c:v>1.2530000000000001</c:v>
                </c:pt>
                <c:pt idx="589">
                  <c:v>1.276</c:v>
                </c:pt>
                <c:pt idx="590">
                  <c:v>1.2989999999999999</c:v>
                </c:pt>
                <c:pt idx="591">
                  <c:v>#N/A</c:v>
                </c:pt>
                <c:pt idx="592">
                  <c:v>1.345</c:v>
                </c:pt>
                <c:pt idx="593">
                  <c:v>1.3679999999999999</c:v>
                </c:pt>
                <c:pt idx="594">
                  <c:v>#N/A</c:v>
                </c:pt>
                <c:pt idx="595">
                  <c:v>#N/A</c:v>
                </c:pt>
                <c:pt idx="596">
                  <c:v>#N/A</c:v>
                </c:pt>
                <c:pt idx="597">
                  <c:v>1.46</c:v>
                </c:pt>
                <c:pt idx="598">
                  <c:v>1.4830000000000001</c:v>
                </c:pt>
                <c:pt idx="599">
                  <c:v>#N/A</c:v>
                </c:pt>
                <c:pt idx="600">
                  <c:v>1.5289999999999999</c:v>
                </c:pt>
                <c:pt idx="601">
                  <c:v>1.552</c:v>
                </c:pt>
                <c:pt idx="602">
                  <c:v>1.575</c:v>
                </c:pt>
                <c:pt idx="603">
                  <c:v>#N/A</c:v>
                </c:pt>
                <c:pt idx="604">
                  <c:v>#N/A</c:v>
                </c:pt>
                <c:pt idx="605">
                  <c:v>#N/A</c:v>
                </c:pt>
                <c:pt idx="606">
                  <c:v>#N/A</c:v>
                </c:pt>
                <c:pt idx="607">
                  <c:v>1.69</c:v>
                </c:pt>
                <c:pt idx="608">
                  <c:v>#N/A</c:v>
                </c:pt>
                <c:pt idx="609">
                  <c:v>#N/A</c:v>
                </c:pt>
                <c:pt idx="610">
                  <c:v>#N/A</c:v>
                </c:pt>
                <c:pt idx="611">
                  <c:v>#N/A</c:v>
                </c:pt>
                <c:pt idx="612">
                  <c:v>#N/A</c:v>
                </c:pt>
                <c:pt idx="613">
                  <c:v>#N/A</c:v>
                </c:pt>
                <c:pt idx="614">
                  <c:v>#N/A</c:v>
                </c:pt>
                <c:pt idx="615">
                  <c:v>#N/A</c:v>
                </c:pt>
                <c:pt idx="616">
                  <c:v>#N/A</c:v>
                </c:pt>
                <c:pt idx="617">
                  <c:v>1.1379999999999999</c:v>
                </c:pt>
                <c:pt idx="618">
                  <c:v>#N/A</c:v>
                </c:pt>
                <c:pt idx="619">
                  <c:v>#N/A</c:v>
                </c:pt>
                <c:pt idx="620">
                  <c:v>#N/A</c:v>
                </c:pt>
                <c:pt idx="621">
                  <c:v>#N/A</c:v>
                </c:pt>
                <c:pt idx="622">
                  <c:v>#N/A</c:v>
                </c:pt>
                <c:pt idx="623">
                  <c:v>1.276</c:v>
                </c:pt>
                <c:pt idx="624">
                  <c:v>1.2989999999999999</c:v>
                </c:pt>
                <c:pt idx="625">
                  <c:v>1.3220000000000001</c:v>
                </c:pt>
                <c:pt idx="626">
                  <c:v>1.345</c:v>
                </c:pt>
                <c:pt idx="627">
                  <c:v>1.3679999999999999</c:v>
                </c:pt>
                <c:pt idx="628">
                  <c:v>1.391</c:v>
                </c:pt>
                <c:pt idx="629">
                  <c:v>#N/A</c:v>
                </c:pt>
                <c:pt idx="630">
                  <c:v>1.4370000000000001</c:v>
                </c:pt>
                <c:pt idx="631">
                  <c:v>1.46</c:v>
                </c:pt>
                <c:pt idx="632">
                  <c:v>1.4830000000000001</c:v>
                </c:pt>
                <c:pt idx="633">
                  <c:v>#N/A</c:v>
                </c:pt>
                <c:pt idx="634">
                  <c:v>#N/A</c:v>
                </c:pt>
                <c:pt idx="635">
                  <c:v>1.552</c:v>
                </c:pt>
                <c:pt idx="636">
                  <c:v>1.575</c:v>
                </c:pt>
                <c:pt idx="637">
                  <c:v>#N/A</c:v>
                </c:pt>
                <c:pt idx="638">
                  <c:v>1.621</c:v>
                </c:pt>
                <c:pt idx="639">
                  <c:v>#N/A</c:v>
                </c:pt>
                <c:pt idx="640">
                  <c:v>#N/A</c:v>
                </c:pt>
                <c:pt idx="641">
                  <c:v>#N/A</c:v>
                </c:pt>
                <c:pt idx="642">
                  <c:v>#N/A</c:v>
                </c:pt>
                <c:pt idx="643">
                  <c:v>#N/A</c:v>
                </c:pt>
                <c:pt idx="644">
                  <c:v>#N/A</c:v>
                </c:pt>
                <c:pt idx="645">
                  <c:v>#N/A</c:v>
                </c:pt>
                <c:pt idx="646">
                  <c:v>#N/A</c:v>
                </c:pt>
                <c:pt idx="647">
                  <c:v>#N/A</c:v>
                </c:pt>
                <c:pt idx="648">
                  <c:v>1.069</c:v>
                </c:pt>
                <c:pt idx="649">
                  <c:v>#N/A</c:v>
                </c:pt>
                <c:pt idx="650">
                  <c:v>1.115</c:v>
                </c:pt>
                <c:pt idx="651">
                  <c:v>#N/A</c:v>
                </c:pt>
                <c:pt idx="652">
                  <c:v>#N/A</c:v>
                </c:pt>
                <c:pt idx="653">
                  <c:v>1.1839999999999999</c:v>
                </c:pt>
                <c:pt idx="654">
                  <c:v>1.2070000000000001</c:v>
                </c:pt>
                <c:pt idx="655">
                  <c:v>1.23</c:v>
                </c:pt>
                <c:pt idx="656">
                  <c:v>#N/A</c:v>
                </c:pt>
                <c:pt idx="657">
                  <c:v>#N/A</c:v>
                </c:pt>
                <c:pt idx="658">
                  <c:v>1.2989999999999999</c:v>
                </c:pt>
                <c:pt idx="659">
                  <c:v>#N/A</c:v>
                </c:pt>
                <c:pt idx="660">
                  <c:v>#N/A</c:v>
                </c:pt>
                <c:pt idx="661">
                  <c:v>#N/A</c:v>
                </c:pt>
                <c:pt idx="662">
                  <c:v>1.391</c:v>
                </c:pt>
                <c:pt idx="663">
                  <c:v>#N/A</c:v>
                </c:pt>
                <c:pt idx="664">
                  <c:v>#N/A</c:v>
                </c:pt>
                <c:pt idx="665">
                  <c:v>#N/A</c:v>
                </c:pt>
                <c:pt idx="666">
                  <c:v>1.4830000000000001</c:v>
                </c:pt>
                <c:pt idx="667">
                  <c:v>1.506</c:v>
                </c:pt>
                <c:pt idx="668">
                  <c:v>#N/A</c:v>
                </c:pt>
                <c:pt idx="669">
                  <c:v>#N/A</c:v>
                </c:pt>
                <c:pt idx="670">
                  <c:v>#N/A</c:v>
                </c:pt>
                <c:pt idx="671">
                  <c:v>#N/A</c:v>
                </c:pt>
                <c:pt idx="672">
                  <c:v>1.621</c:v>
                </c:pt>
                <c:pt idx="673">
                  <c:v>1.6440000000000001</c:v>
                </c:pt>
                <c:pt idx="674">
                  <c:v>1.667</c:v>
                </c:pt>
                <c:pt idx="675">
                  <c:v>#N/A</c:v>
                </c:pt>
                <c:pt idx="676">
                  <c:v>1.7130000000000001</c:v>
                </c:pt>
                <c:pt idx="677">
                  <c:v>#N/A</c:v>
                </c:pt>
                <c:pt idx="678">
                  <c:v>#N/A</c:v>
                </c:pt>
                <c:pt idx="679">
                  <c:v>1</c:v>
                </c:pt>
                <c:pt idx="680">
                  <c:v>1.0229999999999999</c:v>
                </c:pt>
                <c:pt idx="681">
                  <c:v>1.046</c:v>
                </c:pt>
                <c:pt idx="682">
                  <c:v>#N/A</c:v>
                </c:pt>
                <c:pt idx="683">
                  <c:v>1.0920000000000001</c:v>
                </c:pt>
                <c:pt idx="684">
                  <c:v>1.115</c:v>
                </c:pt>
                <c:pt idx="685">
                  <c:v>1.1379999999999999</c:v>
                </c:pt>
                <c:pt idx="686">
                  <c:v>#N/A</c:v>
                </c:pt>
                <c:pt idx="687">
                  <c:v>1.1839999999999999</c:v>
                </c:pt>
                <c:pt idx="688">
                  <c:v>#N/A</c:v>
                </c:pt>
                <c:pt idx="689">
                  <c:v>1.23</c:v>
                </c:pt>
                <c:pt idx="690">
                  <c:v>1.2530000000000001</c:v>
                </c:pt>
                <c:pt idx="691">
                  <c:v>1.276</c:v>
                </c:pt>
                <c:pt idx="692">
                  <c:v>#N/A</c:v>
                </c:pt>
                <c:pt idx="693">
                  <c:v>#N/A</c:v>
                </c:pt>
                <c:pt idx="694">
                  <c:v>1.345</c:v>
                </c:pt>
                <c:pt idx="695">
                  <c:v>#N/A</c:v>
                </c:pt>
                <c:pt idx="696">
                  <c:v>#N/A</c:v>
                </c:pt>
                <c:pt idx="697">
                  <c:v>1.4139999999999999</c:v>
                </c:pt>
                <c:pt idx="698">
                  <c:v>#N/A</c:v>
                </c:pt>
                <c:pt idx="699">
                  <c:v>1.46</c:v>
                </c:pt>
                <c:pt idx="700">
                  <c:v>1.4830000000000001</c:v>
                </c:pt>
                <c:pt idx="701">
                  <c:v>1.506</c:v>
                </c:pt>
                <c:pt idx="702">
                  <c:v>#N/A</c:v>
                </c:pt>
                <c:pt idx="703">
                  <c:v>#N/A</c:v>
                </c:pt>
                <c:pt idx="704">
                  <c:v>#N/A</c:v>
                </c:pt>
                <c:pt idx="705">
                  <c:v>#N/A</c:v>
                </c:pt>
                <c:pt idx="706">
                  <c:v>1.621</c:v>
                </c:pt>
                <c:pt idx="707">
                  <c:v>#N/A</c:v>
                </c:pt>
                <c:pt idx="708">
                  <c:v>1.667</c:v>
                </c:pt>
                <c:pt idx="709">
                  <c:v>1.69</c:v>
                </c:pt>
                <c:pt idx="710">
                  <c:v>1.7130000000000001</c:v>
                </c:pt>
                <c:pt idx="711">
                  <c:v>#N/A</c:v>
                </c:pt>
                <c:pt idx="712">
                  <c:v>1.7589999999999999</c:v>
                </c:pt>
                <c:pt idx="713">
                  <c:v>1</c:v>
                </c:pt>
                <c:pt idx="714">
                  <c:v>#N/A</c:v>
                </c:pt>
                <c:pt idx="715">
                  <c:v>1.046</c:v>
                </c:pt>
                <c:pt idx="716">
                  <c:v>1.069</c:v>
                </c:pt>
                <c:pt idx="717">
                  <c:v>1.0920000000000001</c:v>
                </c:pt>
                <c:pt idx="718">
                  <c:v>1.115</c:v>
                </c:pt>
                <c:pt idx="719">
                  <c:v>#N/A</c:v>
                </c:pt>
                <c:pt idx="720">
                  <c:v>#N/A</c:v>
                </c:pt>
                <c:pt idx="721">
                  <c:v>1.1839999999999999</c:v>
                </c:pt>
                <c:pt idx="722">
                  <c:v>#N/A</c:v>
                </c:pt>
                <c:pt idx="723">
                  <c:v>#N/A</c:v>
                </c:pt>
                <c:pt idx="724">
                  <c:v>#N/A</c:v>
                </c:pt>
                <c:pt idx="725">
                  <c:v>#N/A</c:v>
                </c:pt>
                <c:pt idx="726">
                  <c:v>#N/A</c:v>
                </c:pt>
                <c:pt idx="727">
                  <c:v>1.3220000000000001</c:v>
                </c:pt>
                <c:pt idx="728">
                  <c:v>#N/A</c:v>
                </c:pt>
                <c:pt idx="729">
                  <c:v>1.3679999999999999</c:v>
                </c:pt>
                <c:pt idx="730">
                  <c:v>1.391</c:v>
                </c:pt>
                <c:pt idx="731">
                  <c:v>1.4139999999999999</c:v>
                </c:pt>
                <c:pt idx="732">
                  <c:v>#N/A</c:v>
                </c:pt>
                <c:pt idx="733">
                  <c:v>1.46</c:v>
                </c:pt>
                <c:pt idx="734">
                  <c:v>1.4830000000000001</c:v>
                </c:pt>
                <c:pt idx="735">
                  <c:v>#N/A</c:v>
                </c:pt>
                <c:pt idx="736">
                  <c:v>1.5289999999999999</c:v>
                </c:pt>
                <c:pt idx="737">
                  <c:v>1.552</c:v>
                </c:pt>
                <c:pt idx="738">
                  <c:v>#N/A</c:v>
                </c:pt>
                <c:pt idx="739">
                  <c:v>#N/A</c:v>
                </c:pt>
                <c:pt idx="740">
                  <c:v>#N/A</c:v>
                </c:pt>
                <c:pt idx="741">
                  <c:v>1.6440000000000001</c:v>
                </c:pt>
                <c:pt idx="742">
                  <c:v>#N/A</c:v>
                </c:pt>
                <c:pt idx="743">
                  <c:v>#N/A</c:v>
                </c:pt>
                <c:pt idx="744">
                  <c:v>#N/A</c:v>
                </c:pt>
                <c:pt idx="745">
                  <c:v>#N/A</c:v>
                </c:pt>
                <c:pt idx="746">
                  <c:v>1.7589999999999999</c:v>
                </c:pt>
                <c:pt idx="747">
                  <c:v>#N/A</c:v>
                </c:pt>
                <c:pt idx="748">
                  <c:v>#N/A</c:v>
                </c:pt>
                <c:pt idx="749">
                  <c:v>#N/A</c:v>
                </c:pt>
                <c:pt idx="750">
                  <c:v>#N/A</c:v>
                </c:pt>
                <c:pt idx="751">
                  <c:v>1.0920000000000001</c:v>
                </c:pt>
                <c:pt idx="752">
                  <c:v>#N/A</c:v>
                </c:pt>
                <c:pt idx="753">
                  <c:v>1.1379999999999999</c:v>
                </c:pt>
                <c:pt idx="754">
                  <c:v>#N/A</c:v>
                </c:pt>
                <c:pt idx="755">
                  <c:v>1.1839999999999999</c:v>
                </c:pt>
                <c:pt idx="756">
                  <c:v>1.2070000000000001</c:v>
                </c:pt>
                <c:pt idx="757">
                  <c:v>#N/A</c:v>
                </c:pt>
                <c:pt idx="758">
                  <c:v>#N/A</c:v>
                </c:pt>
                <c:pt idx="759">
                  <c:v>#N/A</c:v>
                </c:pt>
                <c:pt idx="760">
                  <c:v>1.2989999999999999</c:v>
                </c:pt>
                <c:pt idx="761">
                  <c:v>1.3220000000000001</c:v>
                </c:pt>
                <c:pt idx="762">
                  <c:v>#N/A</c:v>
                </c:pt>
                <c:pt idx="763">
                  <c:v>1.3679999999999999</c:v>
                </c:pt>
                <c:pt idx="764">
                  <c:v>#N/A</c:v>
                </c:pt>
                <c:pt idx="765">
                  <c:v>1.4139999999999999</c:v>
                </c:pt>
                <c:pt idx="766">
                  <c:v>1.4370000000000001</c:v>
                </c:pt>
                <c:pt idx="767">
                  <c:v>1.46</c:v>
                </c:pt>
                <c:pt idx="768">
                  <c:v>#N/A</c:v>
                </c:pt>
                <c:pt idx="769">
                  <c:v>#N/A</c:v>
                </c:pt>
                <c:pt idx="770">
                  <c:v>#N/A</c:v>
                </c:pt>
                <c:pt idx="771">
                  <c:v>#N/A</c:v>
                </c:pt>
                <c:pt idx="772">
                  <c:v>#N/A</c:v>
                </c:pt>
                <c:pt idx="773">
                  <c:v>#N/A</c:v>
                </c:pt>
                <c:pt idx="774">
                  <c:v>#N/A</c:v>
                </c:pt>
                <c:pt idx="775">
                  <c:v>#N/A</c:v>
                </c:pt>
                <c:pt idx="776">
                  <c:v>#N/A</c:v>
                </c:pt>
                <c:pt idx="777">
                  <c:v>#N/A</c:v>
                </c:pt>
                <c:pt idx="778">
                  <c:v>1.7130000000000001</c:v>
                </c:pt>
                <c:pt idx="779">
                  <c:v>1.736</c:v>
                </c:pt>
                <c:pt idx="780">
                  <c:v>#N/A</c:v>
                </c:pt>
                <c:pt idx="781">
                  <c:v>#N/A</c:v>
                </c:pt>
                <c:pt idx="782">
                  <c:v>#N/A</c:v>
                </c:pt>
                <c:pt idx="783">
                  <c:v>1.046</c:v>
                </c:pt>
                <c:pt idx="784">
                  <c:v>#N/A</c:v>
                </c:pt>
                <c:pt idx="785">
                  <c:v>1.0920000000000001</c:v>
                </c:pt>
                <c:pt idx="786">
                  <c:v>#N/A</c:v>
                </c:pt>
                <c:pt idx="787">
                  <c:v>#N/A</c:v>
                </c:pt>
                <c:pt idx="788">
                  <c:v>#N/A</c:v>
                </c:pt>
                <c:pt idx="789">
                  <c:v>1.1839999999999999</c:v>
                </c:pt>
                <c:pt idx="790">
                  <c:v>1.2070000000000001</c:v>
                </c:pt>
                <c:pt idx="791">
                  <c:v>1.23</c:v>
                </c:pt>
                <c:pt idx="792">
                  <c:v>1.2530000000000001</c:v>
                </c:pt>
                <c:pt idx="793">
                  <c:v>1.276</c:v>
                </c:pt>
                <c:pt idx="794">
                  <c:v>#N/A</c:v>
                </c:pt>
                <c:pt idx="795">
                  <c:v>1.3220000000000001</c:v>
                </c:pt>
                <c:pt idx="796">
                  <c:v>#N/A</c:v>
                </c:pt>
                <c:pt idx="797">
                  <c:v>1.3679999999999999</c:v>
                </c:pt>
                <c:pt idx="798">
                  <c:v>1.391</c:v>
                </c:pt>
                <c:pt idx="799">
                  <c:v>#N/A</c:v>
                </c:pt>
                <c:pt idx="800">
                  <c:v>1.4370000000000001</c:v>
                </c:pt>
                <c:pt idx="801">
                  <c:v>1.46</c:v>
                </c:pt>
                <c:pt idx="802">
                  <c:v>#N/A</c:v>
                </c:pt>
                <c:pt idx="803">
                  <c:v>#N/A</c:v>
                </c:pt>
                <c:pt idx="804">
                  <c:v>#N/A</c:v>
                </c:pt>
                <c:pt idx="805">
                  <c:v>1.552</c:v>
                </c:pt>
                <c:pt idx="806">
                  <c:v>1.575</c:v>
                </c:pt>
                <c:pt idx="807">
                  <c:v>#N/A</c:v>
                </c:pt>
                <c:pt idx="808">
                  <c:v>1.621</c:v>
                </c:pt>
                <c:pt idx="809">
                  <c:v>1.6440000000000001</c:v>
                </c:pt>
                <c:pt idx="810">
                  <c:v>1.667</c:v>
                </c:pt>
                <c:pt idx="811">
                  <c:v>#N/A</c:v>
                </c:pt>
                <c:pt idx="812">
                  <c:v>#N/A</c:v>
                </c:pt>
                <c:pt idx="813">
                  <c:v>#N/A</c:v>
                </c:pt>
                <c:pt idx="814">
                  <c:v>1.7589999999999999</c:v>
                </c:pt>
                <c:pt idx="815">
                  <c:v>#N/A</c:v>
                </c:pt>
                <c:pt idx="816">
                  <c:v>1.0229999999999999</c:v>
                </c:pt>
                <c:pt idx="817">
                  <c:v>#N/A</c:v>
                </c:pt>
                <c:pt idx="818">
                  <c:v>#N/A</c:v>
                </c:pt>
                <c:pt idx="819">
                  <c:v>#N/A</c:v>
                </c:pt>
                <c:pt idx="820">
                  <c:v>1.115</c:v>
                </c:pt>
                <c:pt idx="821">
                  <c:v>#N/A</c:v>
                </c:pt>
                <c:pt idx="822">
                  <c:v>1.161</c:v>
                </c:pt>
                <c:pt idx="823">
                  <c:v>1.1839999999999999</c:v>
                </c:pt>
                <c:pt idx="824">
                  <c:v>1.2070000000000001</c:v>
                </c:pt>
                <c:pt idx="825">
                  <c:v>1.23</c:v>
                </c:pt>
                <c:pt idx="826">
                  <c:v>#N/A</c:v>
                </c:pt>
                <c:pt idx="827">
                  <c:v>#N/A</c:v>
                </c:pt>
                <c:pt idx="828">
                  <c:v>1.2989999999999999</c:v>
                </c:pt>
                <c:pt idx="829">
                  <c:v>#N/A</c:v>
                </c:pt>
                <c:pt idx="830">
                  <c:v>#N/A</c:v>
                </c:pt>
                <c:pt idx="831">
                  <c:v>1.3679999999999999</c:v>
                </c:pt>
                <c:pt idx="832">
                  <c:v>#N/A</c:v>
                </c:pt>
                <c:pt idx="833">
                  <c:v>1.4139999999999999</c:v>
                </c:pt>
                <c:pt idx="834">
                  <c:v>1.4370000000000001</c:v>
                </c:pt>
                <c:pt idx="835">
                  <c:v>#N/A</c:v>
                </c:pt>
                <c:pt idx="836">
                  <c:v>#N/A</c:v>
                </c:pt>
                <c:pt idx="837">
                  <c:v>#N/A</c:v>
                </c:pt>
                <c:pt idx="838">
                  <c:v>#N/A</c:v>
                </c:pt>
                <c:pt idx="839">
                  <c:v>#N/A</c:v>
                </c:pt>
                <c:pt idx="840">
                  <c:v>1.575</c:v>
                </c:pt>
                <c:pt idx="841">
                  <c:v>1.5979999999999999</c:v>
                </c:pt>
                <c:pt idx="842">
                  <c:v>#N/A</c:v>
                </c:pt>
                <c:pt idx="843">
                  <c:v>#N/A</c:v>
                </c:pt>
                <c:pt idx="844">
                  <c:v>#N/A</c:v>
                </c:pt>
                <c:pt idx="845">
                  <c:v>#N/A</c:v>
                </c:pt>
                <c:pt idx="846">
                  <c:v>#N/A</c:v>
                </c:pt>
                <c:pt idx="847">
                  <c:v>1.736</c:v>
                </c:pt>
                <c:pt idx="848">
                  <c:v>1.7589999999999999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#N/A</c:v>
                </c:pt>
                <c:pt idx="424">
                  <c:v>#N/A</c:v>
                </c:pt>
                <c:pt idx="425">
                  <c:v>#N/A</c:v>
                </c:pt>
                <c:pt idx="426">
                  <c:v>#N/A</c:v>
                </c:pt>
                <c:pt idx="427">
                  <c:v>#N/A</c:v>
                </c:pt>
                <c:pt idx="428">
                  <c:v>#N/A</c:v>
                </c:pt>
                <c:pt idx="429">
                  <c:v>2022</c:v>
                </c:pt>
                <c:pt idx="430">
                  <c:v>#N/A</c:v>
                </c:pt>
                <c:pt idx="431">
                  <c:v>#N/A</c:v>
                </c:pt>
                <c:pt idx="432">
                  <c:v>#N/A</c:v>
                </c:pt>
                <c:pt idx="433">
                  <c:v>#N/A</c:v>
                </c:pt>
                <c:pt idx="434">
                  <c:v>#N/A</c:v>
                </c:pt>
                <c:pt idx="435">
                  <c:v>2024</c:v>
                </c:pt>
                <c:pt idx="436">
                  <c:v>#N/A</c:v>
                </c:pt>
                <c:pt idx="437">
                  <c:v>#N/A</c:v>
                </c:pt>
                <c:pt idx="438">
                  <c:v>2026</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2024</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2025</c:v>
                </c:pt>
                <c:pt idx="496">
                  <c:v>#N/A</c:v>
                </c:pt>
                <c:pt idx="497">
                  <c:v>2025</c:v>
                </c:pt>
                <c:pt idx="498">
                  <c:v>#N/A</c:v>
                </c:pt>
                <c:pt idx="499">
                  <c:v>#N/A</c:v>
                </c:pt>
                <c:pt idx="500">
                  <c:v>2024</c:v>
                </c:pt>
                <c:pt idx="501">
                  <c:v>#N/A</c:v>
                </c:pt>
                <c:pt idx="502">
                  <c:v>#N/A</c:v>
                </c:pt>
                <c:pt idx="503">
                  <c:v>2026</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2025</c:v>
                </c:pt>
                <c:pt idx="526">
                  <c:v>#N/A</c:v>
                </c:pt>
                <c:pt idx="527">
                  <c:v>#N/A</c:v>
                </c:pt>
                <c:pt idx="528">
                  <c:v>#N/A</c:v>
                </c:pt>
                <c:pt idx="529">
                  <c:v>#N/A</c:v>
                </c:pt>
                <c:pt idx="530">
                  <c:v>2021</c:v>
                </c:pt>
                <c:pt idx="531">
                  <c:v>#N/A</c:v>
                </c:pt>
                <c:pt idx="532">
                  <c:v>#N/A</c:v>
                </c:pt>
                <c:pt idx="533">
                  <c:v>#N/A</c:v>
                </c:pt>
                <c:pt idx="534">
                  <c:v>#N/A</c:v>
                </c:pt>
                <c:pt idx="535">
                  <c:v>#N/A</c:v>
                </c:pt>
                <c:pt idx="536">
                  <c:v>#N/A</c:v>
                </c:pt>
                <c:pt idx="537">
                  <c:v>2022</c:v>
                </c:pt>
                <c:pt idx="538">
                  <c:v>#N/A</c:v>
                </c:pt>
                <c:pt idx="539">
                  <c:v>#N/A</c:v>
                </c:pt>
                <c:pt idx="540">
                  <c:v>#N/A</c:v>
                </c:pt>
                <c:pt idx="541">
                  <c:v>#N/A</c:v>
                </c:pt>
                <c:pt idx="542">
                  <c:v>#N/A</c:v>
                </c:pt>
                <c:pt idx="543">
                  <c:v>2026</c:v>
                </c:pt>
                <c:pt idx="544">
                  <c:v>2021</c:v>
                </c:pt>
                <c:pt idx="545">
                  <c:v>2026</c:v>
                </c:pt>
                <c:pt idx="546">
                  <c:v>#N/A</c:v>
                </c:pt>
                <c:pt idx="547">
                  <c:v>#N/A</c:v>
                </c:pt>
                <c:pt idx="548">
                  <c:v>#N/A</c:v>
                </c:pt>
                <c:pt idx="549">
                  <c:v>#N/A</c:v>
                </c:pt>
                <c:pt idx="550">
                  <c:v>#N/A</c:v>
                </c:pt>
                <c:pt idx="551">
                  <c:v>#N/A</c:v>
                </c:pt>
                <c:pt idx="552">
                  <c:v>2024</c:v>
                </c:pt>
                <c:pt idx="553">
                  <c:v>2025</c:v>
                </c:pt>
                <c:pt idx="554">
                  <c:v>2020</c:v>
                </c:pt>
                <c:pt idx="555">
                  <c:v>#N/A</c:v>
                </c:pt>
                <c:pt idx="556">
                  <c:v>#N/A</c:v>
                </c:pt>
                <c:pt idx="557">
                  <c:v>2026</c:v>
                </c:pt>
                <c:pt idx="558">
                  <c:v>#N/A</c:v>
                </c:pt>
                <c:pt idx="559">
                  <c:v>#N/A</c:v>
                </c:pt>
                <c:pt idx="560">
                  <c:v>#N/A</c:v>
                </c:pt>
                <c:pt idx="561">
                  <c:v>#N/A</c:v>
                </c:pt>
                <c:pt idx="562">
                  <c:v>#N/A</c:v>
                </c:pt>
                <c:pt idx="563">
                  <c:v>2024</c:v>
                </c:pt>
                <c:pt idx="564">
                  <c:v>#N/A</c:v>
                </c:pt>
                <c:pt idx="565">
                  <c:v>#N/A</c:v>
                </c:pt>
                <c:pt idx="566">
                  <c:v>#N/A</c:v>
                </c:pt>
                <c:pt idx="567">
                  <c:v>#N/A</c:v>
                </c:pt>
                <c:pt idx="568">
                  <c:v>#N/A</c:v>
                </c:pt>
                <c:pt idx="569">
                  <c:v>#N/A</c:v>
                </c:pt>
                <c:pt idx="570">
                  <c:v>#N/A</c:v>
                </c:pt>
                <c:pt idx="571">
                  <c:v>#N/A</c:v>
                </c:pt>
                <c:pt idx="572">
                  <c:v>#N/A</c:v>
                </c:pt>
                <c:pt idx="573">
                  <c:v>2015</c:v>
                </c:pt>
                <c:pt idx="574">
                  <c:v>#N/A</c:v>
                </c:pt>
                <c:pt idx="575">
                  <c:v>#N/A</c:v>
                </c:pt>
                <c:pt idx="576">
                  <c:v>#N/A</c:v>
                </c:pt>
                <c:pt idx="577">
                  <c:v>#N/A</c:v>
                </c:pt>
                <c:pt idx="578">
                  <c:v>#N/A</c:v>
                </c:pt>
                <c:pt idx="579">
                  <c:v>#N/A</c:v>
                </c:pt>
                <c:pt idx="580">
                  <c:v>#N/A</c:v>
                </c:pt>
                <c:pt idx="581">
                  <c:v>#N/A</c:v>
                </c:pt>
                <c:pt idx="582">
                  <c:v>#N/A</c:v>
                </c:pt>
                <c:pt idx="583">
                  <c:v>#N/A</c:v>
                </c:pt>
                <c:pt idx="584">
                  <c:v>2020</c:v>
                </c:pt>
                <c:pt idx="585">
                  <c:v>#N/A</c:v>
                </c:pt>
                <c:pt idx="586">
                  <c:v>#N/A</c:v>
                </c:pt>
                <c:pt idx="587">
                  <c:v>#N/A</c:v>
                </c:pt>
                <c:pt idx="588">
                  <c:v>#N/A</c:v>
                </c:pt>
                <c:pt idx="589">
                  <c:v>#N/A</c:v>
                </c:pt>
                <c:pt idx="590">
                  <c:v>2014</c:v>
                </c:pt>
                <c:pt idx="591">
                  <c:v>#N/A</c:v>
                </c:pt>
                <c:pt idx="592">
                  <c:v>#N/A</c:v>
                </c:pt>
                <c:pt idx="593">
                  <c:v>#N/A</c:v>
                </c:pt>
                <c:pt idx="594">
                  <c:v>2024</c:v>
                </c:pt>
                <c:pt idx="595">
                  <c:v>#N/A</c:v>
                </c:pt>
                <c:pt idx="596">
                  <c:v>#N/A</c:v>
                </c:pt>
                <c:pt idx="597">
                  <c:v>#N/A</c:v>
                </c:pt>
                <c:pt idx="598">
                  <c:v>#N/A</c:v>
                </c:pt>
                <c:pt idx="599">
                  <c:v>#N/A</c:v>
                </c:pt>
                <c:pt idx="600">
                  <c:v>#N/A</c:v>
                </c:pt>
                <c:pt idx="601">
                  <c:v>#N/A</c:v>
                </c:pt>
                <c:pt idx="602">
                  <c:v>2021</c:v>
                </c:pt>
                <c:pt idx="603">
                  <c:v>2022</c:v>
                </c:pt>
                <c:pt idx="604">
                  <c:v>#N/A</c:v>
                </c:pt>
                <c:pt idx="605">
                  <c:v>2016</c:v>
                </c:pt>
                <c:pt idx="606">
                  <c:v>#N/A</c:v>
                </c:pt>
                <c:pt idx="607">
                  <c:v>#N/A</c:v>
                </c:pt>
                <c:pt idx="608">
                  <c:v>#N/A</c:v>
                </c:pt>
                <c:pt idx="609">
                  <c:v>#N/A</c:v>
                </c:pt>
                <c:pt idx="610">
                  <c:v>#N/A</c:v>
                </c:pt>
                <c:pt idx="611">
                  <c:v>2022</c:v>
                </c:pt>
                <c:pt idx="612">
                  <c:v>2021</c:v>
                </c:pt>
                <c:pt idx="613">
                  <c:v>2024</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2025</c:v>
                </c:pt>
                <c:pt idx="629">
                  <c:v>#N/A</c:v>
                </c:pt>
                <c:pt idx="630">
                  <c:v>#N/A</c:v>
                </c:pt>
                <c:pt idx="631">
                  <c:v>#N/A</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2023</c:v>
                </c:pt>
                <c:pt idx="647">
                  <c:v>#N/A</c:v>
                </c:pt>
                <c:pt idx="648">
                  <c:v>2022</c:v>
                </c:pt>
                <c:pt idx="649">
                  <c:v>#N/A</c:v>
                </c:pt>
                <c:pt idx="650">
                  <c:v>#N/A</c:v>
                </c:pt>
                <c:pt idx="651">
                  <c:v>2026</c:v>
                </c:pt>
                <c:pt idx="652">
                  <c:v>#N/A</c:v>
                </c:pt>
                <c:pt idx="653">
                  <c:v>#N/A</c:v>
                </c:pt>
                <c:pt idx="654">
                  <c:v>#N/A</c:v>
                </c:pt>
                <c:pt idx="655">
                  <c:v>#N/A</c:v>
                </c:pt>
                <c:pt idx="656">
                  <c:v>#N/A</c:v>
                </c:pt>
                <c:pt idx="657">
                  <c:v>#N/A</c:v>
                </c:pt>
                <c:pt idx="658">
                  <c:v>#N/A</c:v>
                </c:pt>
                <c:pt idx="659">
                  <c:v>#N/A</c:v>
                </c:pt>
                <c:pt idx="660">
                  <c:v>2018</c:v>
                </c:pt>
                <c:pt idx="661">
                  <c:v>#N/A</c:v>
                </c:pt>
                <c:pt idx="662">
                  <c:v>#N/A</c:v>
                </c:pt>
                <c:pt idx="663">
                  <c:v>#N/A</c:v>
                </c:pt>
                <c:pt idx="664">
                  <c:v>#N/A</c:v>
                </c:pt>
                <c:pt idx="665">
                  <c:v>#N/A</c:v>
                </c:pt>
                <c:pt idx="666">
                  <c:v>#N/A</c:v>
                </c:pt>
                <c:pt idx="667">
                  <c:v>2025</c:v>
                </c:pt>
                <c:pt idx="668">
                  <c:v>#N/A</c:v>
                </c:pt>
                <c:pt idx="669">
                  <c:v>#N/A</c:v>
                </c:pt>
                <c:pt idx="670">
                  <c:v>#N/A</c:v>
                </c:pt>
                <c:pt idx="671">
                  <c:v>#N/A</c:v>
                </c:pt>
                <c:pt idx="672">
                  <c:v>#N/A</c:v>
                </c:pt>
                <c:pt idx="673">
                  <c:v>#N/A</c:v>
                </c:pt>
                <c:pt idx="674">
                  <c:v>#N/A</c:v>
                </c:pt>
                <c:pt idx="675">
                  <c:v>#N/A</c:v>
                </c:pt>
                <c:pt idx="676">
                  <c:v>2023</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2023</c:v>
                </c:pt>
                <c:pt idx="696">
                  <c:v>#N/A</c:v>
                </c:pt>
                <c:pt idx="697">
                  <c:v>2002</c:v>
                </c:pt>
                <c:pt idx="698">
                  <c:v>#N/A</c:v>
                </c:pt>
                <c:pt idx="699">
                  <c:v>#N/A</c:v>
                </c:pt>
                <c:pt idx="700">
                  <c:v>#N/A</c:v>
                </c:pt>
                <c:pt idx="701">
                  <c:v>2015</c:v>
                </c:pt>
                <c:pt idx="702">
                  <c:v>2021</c:v>
                </c:pt>
                <c:pt idx="703">
                  <c:v>#N/A</c:v>
                </c:pt>
                <c:pt idx="704">
                  <c:v>2025</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2026</c:v>
                </c:pt>
                <c:pt idx="719">
                  <c:v>#N/A</c:v>
                </c:pt>
                <c:pt idx="720">
                  <c:v>#N/A</c:v>
                </c:pt>
                <c:pt idx="721">
                  <c:v>#N/A</c:v>
                </c:pt>
                <c:pt idx="722">
                  <c:v>#N/A</c:v>
                </c:pt>
                <c:pt idx="723">
                  <c:v>#N/A</c:v>
                </c:pt>
                <c:pt idx="724">
                  <c:v>2026</c:v>
                </c:pt>
                <c:pt idx="725">
                  <c:v>#N/A</c:v>
                </c:pt>
                <c:pt idx="726">
                  <c:v>#N/A</c:v>
                </c:pt>
                <c:pt idx="727">
                  <c:v>2019</c:v>
                </c:pt>
                <c:pt idx="728">
                  <c:v>#N/A</c:v>
                </c:pt>
                <c:pt idx="729">
                  <c:v>#N/A</c:v>
                </c:pt>
                <c:pt idx="730">
                  <c:v>#N/A</c:v>
                </c:pt>
                <c:pt idx="731">
                  <c:v>2022</c:v>
                </c:pt>
                <c:pt idx="732">
                  <c:v>#N/A</c:v>
                </c:pt>
                <c:pt idx="733">
                  <c:v>#N/A</c:v>
                </c:pt>
                <c:pt idx="734">
                  <c:v>2025</c:v>
                </c:pt>
                <c:pt idx="735">
                  <c:v>#N/A</c:v>
                </c:pt>
                <c:pt idx="736">
                  <c:v>#N/A</c:v>
                </c:pt>
                <c:pt idx="737">
                  <c:v>#N/A</c:v>
                </c:pt>
                <c:pt idx="738">
                  <c:v>#N/A</c:v>
                </c:pt>
                <c:pt idx="739">
                  <c:v>#N/A</c:v>
                </c:pt>
                <c:pt idx="740">
                  <c:v>#N/A</c:v>
                </c:pt>
                <c:pt idx="741">
                  <c:v>#N/A</c:v>
                </c:pt>
                <c:pt idx="742">
                  <c:v>#N/A</c:v>
                </c:pt>
                <c:pt idx="743">
                  <c:v>2025</c:v>
                </c:pt>
                <c:pt idx="744">
                  <c:v>2024</c:v>
                </c:pt>
                <c:pt idx="745">
                  <c:v>#N/A</c:v>
                </c:pt>
                <c:pt idx="746">
                  <c:v>2021</c:v>
                </c:pt>
                <c:pt idx="747">
                  <c:v>2019</c:v>
                </c:pt>
                <c:pt idx="748">
                  <c:v>#N/A</c:v>
                </c:pt>
                <c:pt idx="749">
                  <c:v>2023</c:v>
                </c:pt>
                <c:pt idx="750">
                  <c:v>#N/A</c:v>
                </c:pt>
                <c:pt idx="751">
                  <c:v>#N/A</c:v>
                </c:pt>
                <c:pt idx="752">
                  <c:v>#N/A</c:v>
                </c:pt>
                <c:pt idx="753">
                  <c:v>#N/A</c:v>
                </c:pt>
                <c:pt idx="754">
                  <c:v>#N/A</c:v>
                </c:pt>
                <c:pt idx="755">
                  <c:v>#N/A</c:v>
                </c:pt>
                <c:pt idx="756">
                  <c:v>#N/A</c:v>
                </c:pt>
                <c:pt idx="757">
                  <c:v>2025</c:v>
                </c:pt>
                <c:pt idx="758">
                  <c:v>#N/A</c:v>
                </c:pt>
                <c:pt idx="759">
                  <c:v>#N/A</c:v>
                </c:pt>
                <c:pt idx="760">
                  <c:v>#N/A</c:v>
                </c:pt>
                <c:pt idx="761">
                  <c:v>#N/A</c:v>
                </c:pt>
                <c:pt idx="762">
                  <c:v>#N/A</c:v>
                </c:pt>
                <c:pt idx="763">
                  <c:v>2022</c:v>
                </c:pt>
                <c:pt idx="764">
                  <c:v>#N/A</c:v>
                </c:pt>
                <c:pt idx="765">
                  <c:v>#N/A</c:v>
                </c:pt>
                <c:pt idx="766">
                  <c:v>#N/A</c:v>
                </c:pt>
                <c:pt idx="767">
                  <c:v>#N/A</c:v>
                </c:pt>
                <c:pt idx="768">
                  <c:v>#N/A</c:v>
                </c:pt>
                <c:pt idx="769">
                  <c:v>#N/A</c:v>
                </c:pt>
                <c:pt idx="770">
                  <c:v>#N/A</c:v>
                </c:pt>
                <c:pt idx="771">
                  <c:v>#N/A</c:v>
                </c:pt>
                <c:pt idx="772">
                  <c:v>#N/A</c:v>
                </c:pt>
                <c:pt idx="773">
                  <c:v>#N/A</c:v>
                </c:pt>
                <c:pt idx="774">
                  <c:v>2025</c:v>
                </c:pt>
                <c:pt idx="775">
                  <c:v>#N/A</c:v>
                </c:pt>
                <c:pt idx="776">
                  <c:v>2024</c:v>
                </c:pt>
                <c:pt idx="777">
                  <c:v>#N/A</c:v>
                </c:pt>
                <c:pt idx="778">
                  <c:v>#N/A</c:v>
                </c:pt>
                <c:pt idx="779">
                  <c:v>#N/A</c:v>
                </c:pt>
                <c:pt idx="780">
                  <c:v>#N/A</c:v>
                </c:pt>
                <c:pt idx="781">
                  <c:v>#N/A</c:v>
                </c:pt>
                <c:pt idx="782">
                  <c:v>#N/A</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2024</c:v>
                </c:pt>
                <c:pt idx="807">
                  <c:v>#N/A</c:v>
                </c:pt>
                <c:pt idx="808">
                  <c:v>#N/A</c:v>
                </c:pt>
                <c:pt idx="809">
                  <c:v>#N/A</c:v>
                </c:pt>
                <c:pt idx="810">
                  <c:v>#N/A</c:v>
                </c:pt>
                <c:pt idx="811">
                  <c:v>2023</c:v>
                </c:pt>
                <c:pt idx="812">
                  <c:v>2025</c:v>
                </c:pt>
                <c:pt idx="813">
                  <c:v>#N/A</c:v>
                </c:pt>
                <c:pt idx="814">
                  <c:v>#N/A</c:v>
                </c:pt>
                <c:pt idx="815">
                  <c:v>#N/A</c:v>
                </c:pt>
                <c:pt idx="816">
                  <c:v>2017</c:v>
                </c:pt>
                <c:pt idx="817">
                  <c:v>#N/A</c:v>
                </c:pt>
                <c:pt idx="818">
                  <c:v>2012</c:v>
                </c:pt>
                <c:pt idx="819">
                  <c:v>#N/A</c:v>
                </c:pt>
                <c:pt idx="820">
                  <c:v>2005</c:v>
                </c:pt>
                <c:pt idx="821">
                  <c:v>#N/A</c:v>
                </c:pt>
                <c:pt idx="822">
                  <c:v>#N/A</c:v>
                </c:pt>
                <c:pt idx="823">
                  <c:v>#N/A</c:v>
                </c:pt>
                <c:pt idx="824">
                  <c:v>#N/A</c:v>
                </c:pt>
                <c:pt idx="825">
                  <c:v>2019</c:v>
                </c:pt>
                <c:pt idx="826">
                  <c:v>#N/A</c:v>
                </c:pt>
                <c:pt idx="827">
                  <c:v>#N/A</c:v>
                </c:pt>
                <c:pt idx="828">
                  <c:v>#N/A</c:v>
                </c:pt>
                <c:pt idx="829">
                  <c:v>2026</c:v>
                </c:pt>
                <c:pt idx="830">
                  <c:v>#N/A</c:v>
                </c:pt>
                <c:pt idx="831">
                  <c:v>#N/A</c:v>
                </c:pt>
                <c:pt idx="832">
                  <c:v>#N/A</c:v>
                </c:pt>
                <c:pt idx="833">
                  <c:v>#N/A</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#N/A</c:v>
                </c:pt>
                <c:pt idx="420">
                  <c:v>2.2989999999999999</c:v>
                </c:pt>
                <c:pt idx="421">
                  <c:v>#N/A</c:v>
                </c:pt>
                <c:pt idx="422">
                  <c:v>#N/A</c:v>
                </c:pt>
                <c:pt idx="423">
                  <c:v>#N/A</c:v>
                </c:pt>
                <c:pt idx="424">
                  <c:v>#N/A</c:v>
                </c:pt>
                <c:pt idx="425">
                  <c:v>#N/A</c:v>
                </c:pt>
                <c:pt idx="426">
                  <c:v>#N/A</c:v>
                </c:pt>
                <c:pt idx="427">
                  <c:v>#N/A</c:v>
                </c:pt>
                <c:pt idx="428">
                  <c:v>#N/A</c:v>
                </c:pt>
                <c:pt idx="429">
                  <c:v>#N/A</c:v>
                </c:pt>
                <c:pt idx="430">
                  <c:v>2.5289999999999999</c:v>
                </c:pt>
                <c:pt idx="431">
                  <c:v>#N/A</c:v>
                </c:pt>
                <c:pt idx="432">
                  <c:v>#N/A</c:v>
                </c:pt>
                <c:pt idx="433">
                  <c:v>#N/A</c:v>
                </c:pt>
                <c:pt idx="434">
                  <c:v>#N/A</c:v>
                </c:pt>
                <c:pt idx="435">
                  <c:v>#N/A</c:v>
                </c:pt>
                <c:pt idx="436">
                  <c:v>2.6669999999999998</c:v>
                </c:pt>
                <c:pt idx="437">
                  <c:v>#N/A</c:v>
                </c:pt>
                <c:pt idx="438">
                  <c:v>#N/A</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2.0920000000000001</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2.4830000000000001</c:v>
                </c:pt>
                <c:pt idx="497">
                  <c:v>#N/A</c:v>
                </c:pt>
                <c:pt idx="498">
                  <c:v>2.5289999999999999</c:v>
                </c:pt>
                <c:pt idx="499">
                  <c:v>#N/A</c:v>
                </c:pt>
                <c:pt idx="500">
                  <c:v>#N/A</c:v>
                </c:pt>
                <c:pt idx="501">
                  <c:v>2.5979999999999999</c:v>
                </c:pt>
                <c:pt idx="502">
                  <c:v>#N/A</c:v>
                </c:pt>
                <c:pt idx="503">
                  <c:v>#N/A</c:v>
                </c:pt>
                <c:pt idx="504">
                  <c:v>2.6669999999999998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2.5060000000000002</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2.0459999999999998</c:v>
                </c:pt>
                <c:pt idx="546">
                  <c:v>2.069</c:v>
                </c:pt>
                <c:pt idx="547">
                  <c:v>#N/A</c:v>
                </c:pt>
                <c:pt idx="548">
                  <c:v>#N/A</c:v>
                </c:pt>
                <c:pt idx="549">
                  <c:v>#N/A</c:v>
                </c:pt>
                <c:pt idx="550">
                  <c:v>#N/A</c:v>
                </c:pt>
                <c:pt idx="551">
                  <c:v>#N/A</c:v>
                </c:pt>
                <c:pt idx="552">
                  <c:v>#N/A</c:v>
                </c:pt>
                <c:pt idx="553">
                  <c:v>2.23</c:v>
                </c:pt>
                <c:pt idx="554">
                  <c:v>2.2530000000000001</c:v>
                </c:pt>
                <c:pt idx="555">
                  <c:v>2.2759999999999998</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#N/A</c:v>
                </c:pt>
                <c:pt idx="585">
                  <c:v>2.1840000000000002</c:v>
                </c:pt>
                <c:pt idx="586">
                  <c:v>#N/A</c:v>
                </c:pt>
                <c:pt idx="587">
                  <c:v>#N/A</c:v>
                </c:pt>
                <c:pt idx="588">
                  <c:v>#N/A</c:v>
                </c:pt>
                <c:pt idx="589">
                  <c:v>#N/A</c:v>
                </c:pt>
                <c:pt idx="590">
                  <c:v>#N/A</c:v>
                </c:pt>
                <c:pt idx="591">
                  <c:v>2.3220000000000001</c:v>
                </c:pt>
                <c:pt idx="592">
                  <c:v>#N/A</c:v>
                </c:pt>
                <c:pt idx="593">
                  <c:v>#N/A</c:v>
                </c:pt>
                <c:pt idx="594">
                  <c:v>#N/A</c:v>
                </c:pt>
                <c:pt idx="595">
                  <c:v>2.4140000000000001</c:v>
                </c:pt>
                <c:pt idx="596">
                  <c:v>#N/A</c:v>
                </c:pt>
                <c:pt idx="597">
                  <c:v>#N/A</c:v>
                </c:pt>
                <c:pt idx="598">
                  <c:v>#N/A</c:v>
                </c:pt>
                <c:pt idx="599">
                  <c:v>#N/A</c:v>
                </c:pt>
                <c:pt idx="600">
                  <c:v>#N/A</c:v>
                </c:pt>
                <c:pt idx="601">
                  <c:v>#N/A</c:v>
                </c:pt>
                <c:pt idx="602">
                  <c:v>#N/A</c:v>
                </c:pt>
                <c:pt idx="603">
                  <c:v>2.5979999999999999</c:v>
                </c:pt>
                <c:pt idx="604">
                  <c:v>2.621</c:v>
                </c:pt>
                <c:pt idx="605">
                  <c:v>#N/A</c:v>
                </c:pt>
                <c:pt idx="606">
                  <c:v>2.6669999999999998</c:v>
                </c:pt>
                <c:pt idx="607">
                  <c:v>#N/A</c:v>
                </c:pt>
                <c:pt idx="608">
                  <c:v>#N/A</c:v>
                </c:pt>
                <c:pt idx="609">
                  <c:v>#N/A</c:v>
                </c:pt>
                <c:pt idx="610">
                  <c:v>#N/A</c:v>
                </c:pt>
                <c:pt idx="611">
                  <c:v>#N/A</c:v>
                </c:pt>
                <c:pt idx="612">
                  <c:v>2.0230000000000001</c:v>
                </c:pt>
                <c:pt idx="613">
                  <c:v>2.0459999999999998</c:v>
                </c:pt>
                <c:pt idx="614">
                  <c:v>2.069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#N/A</c:v>
                </c:pt>
                <c:pt idx="632">
                  <c:v>#N/A</c:v>
                </c:pt>
                <c:pt idx="633">
                  <c:v>#N/A</c:v>
                </c:pt>
                <c:pt idx="634">
                  <c:v>2.5289999999999999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2.0459999999999998</c:v>
                </c:pt>
                <c:pt idx="648">
                  <c:v>#N/A</c:v>
                </c:pt>
                <c:pt idx="649">
                  <c:v>2.0920000000000001</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2.391</c:v>
                </c:pt>
                <c:pt idx="697">
                  <c:v>#N/A</c:v>
                </c:pt>
                <c:pt idx="698">
                  <c:v>2.4369999999999998</c:v>
                </c:pt>
                <c:pt idx="699">
                  <c:v>#N/A</c:v>
                </c:pt>
                <c:pt idx="700">
                  <c:v>#N/A</c:v>
                </c:pt>
                <c:pt idx="701">
                  <c:v>#N/A</c:v>
                </c:pt>
                <c:pt idx="702">
                  <c:v>2.5289999999999999</c:v>
                </c:pt>
                <c:pt idx="703">
                  <c:v>2.552</c:v>
                </c:pt>
                <c:pt idx="704">
                  <c:v>#N/A</c:v>
                </c:pt>
                <c:pt idx="705">
                  <c:v>2.5979999999999999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2.2759999999999998</c:v>
                </c:pt>
                <c:pt idx="726">
                  <c:v>#N/A</c:v>
                </c:pt>
                <c:pt idx="727">
                  <c:v>#N/A</c:v>
                </c:pt>
                <c:pt idx="728">
                  <c:v>2.3449999999999998</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2.7130000000000001</c:v>
                </c:pt>
                <c:pt idx="745">
                  <c:v>2.7359999999999998</c:v>
                </c:pt>
                <c:pt idx="746">
                  <c:v>#N/A</c:v>
                </c:pt>
                <c:pt idx="747">
                  <c:v>2</c:v>
                </c:pt>
                <c:pt idx="748">
                  <c:v>2.0230000000000001</c:v>
                </c:pt>
                <c:pt idx="749">
                  <c:v>#N/A</c:v>
                </c:pt>
                <c:pt idx="750">
                  <c:v>2.069</c:v>
                </c:pt>
                <c:pt idx="751">
                  <c:v>#N/A</c:v>
                </c:pt>
                <c:pt idx="752">
                  <c:v>#N/A</c:v>
                </c:pt>
                <c:pt idx="753">
                  <c:v>#N/A</c:v>
                </c:pt>
                <c:pt idx="754">
                  <c:v>#N/A</c:v>
                </c:pt>
                <c:pt idx="755">
                  <c:v>#N/A</c:v>
                </c:pt>
                <c:pt idx="756">
                  <c:v>#N/A</c:v>
                </c:pt>
                <c:pt idx="757">
                  <c:v>#N/A</c:v>
                </c:pt>
                <c:pt idx="758">
                  <c:v>2.2530000000000001</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2.6440000000000001</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2.5979999999999999</c:v>
                </c:pt>
                <c:pt idx="808">
                  <c:v>#N/A</c:v>
                </c:pt>
                <c:pt idx="809">
                  <c:v>#N/A</c:v>
                </c:pt>
                <c:pt idx="810">
                  <c:v>#N/A</c:v>
                </c:pt>
                <c:pt idx="811">
                  <c:v>#N/A</c:v>
                </c:pt>
                <c:pt idx="812">
                  <c:v>2.7130000000000001</c:v>
                </c:pt>
                <c:pt idx="813">
                  <c:v>2.7359999999999998</c:v>
                </c:pt>
                <c:pt idx="814">
                  <c:v>#N/A</c:v>
                </c:pt>
                <c:pt idx="815">
                  <c:v>#N/A</c:v>
                </c:pt>
                <c:pt idx="816">
                  <c:v>#N/A</c:v>
                </c:pt>
                <c:pt idx="817">
                  <c:v>2.0459999999999998</c:v>
                </c:pt>
                <c:pt idx="818">
                  <c:v>#N/A</c:v>
                </c:pt>
                <c:pt idx="819">
                  <c:v>2.0920000000000001</c:v>
                </c:pt>
                <c:pt idx="820">
                  <c:v>#N/A</c:v>
                </c:pt>
                <c:pt idx="821">
                  <c:v>2.1379999999999999</c:v>
                </c:pt>
                <c:pt idx="822">
                  <c:v>#N/A</c:v>
                </c:pt>
                <c:pt idx="823">
                  <c:v>#N/A</c:v>
                </c:pt>
                <c:pt idx="824">
                  <c:v>#N/A</c:v>
                </c:pt>
                <c:pt idx="825">
                  <c:v>#N/A</c:v>
                </c:pt>
                <c:pt idx="826">
                  <c:v>2.2530000000000001</c:v>
                </c:pt>
                <c:pt idx="827">
                  <c:v>#N/A</c:v>
                </c:pt>
                <c:pt idx="828">
                  <c:v>#N/A</c:v>
                </c:pt>
                <c:pt idx="829">
                  <c:v>#N/A</c:v>
                </c:pt>
                <c:pt idx="830">
                  <c:v>2.3449999999999998</c:v>
                </c:pt>
                <c:pt idx="831">
                  <c:v>#N/A</c:v>
                </c:pt>
                <c:pt idx="832">
                  <c:v>#N/A</c:v>
                </c:pt>
                <c:pt idx="833">
                  <c:v>#N/A</c:v>
                </c:pt>
                <c:pt idx="834">
                  <c:v>#N/A</c:v>
                </c:pt>
                <c:pt idx="835">
                  <c:v>2.46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2024</c:v>
                </c:pt>
                <c:pt idx="432">
                  <c:v>2024</c:v>
                </c:pt>
                <c:pt idx="433">
                  <c:v>2026</c:v>
                </c:pt>
                <c:pt idx="434">
                  <c:v>2025</c:v>
                </c:pt>
                <c:pt idx="435">
                  <c:v>#N/A</c:v>
                </c:pt>
                <c:pt idx="436">
                  <c:v>#N/A</c:v>
                </c:pt>
                <c:pt idx="437">
                  <c:v>#N/A</c:v>
                </c:pt>
                <c:pt idx="438">
                  <c:v>#N/A</c:v>
                </c:pt>
                <c:pt idx="439">
                  <c:v>#N/A</c:v>
                </c:pt>
                <c:pt idx="440">
                  <c:v>#N/A</c:v>
                </c:pt>
                <c:pt idx="441">
                  <c:v>#N/A</c:v>
                </c:pt>
                <c:pt idx="442">
                  <c:v>#N/A</c:v>
                </c:pt>
                <c:pt idx="443">
                  <c:v>#N/A</c:v>
                </c:pt>
                <c:pt idx="444">
                  <c:v>#N/A</c:v>
                </c:pt>
                <c:pt idx="445">
                  <c:v>#N/A</c:v>
                </c:pt>
                <c:pt idx="446">
                  <c:v>2021</c:v>
                </c:pt>
                <c:pt idx="447">
                  <c:v>#N/A</c:v>
                </c:pt>
                <c:pt idx="448">
                  <c:v>#N/A</c:v>
                </c:pt>
                <c:pt idx="449">
                  <c:v>#N/A</c:v>
                </c:pt>
                <c:pt idx="450">
                  <c:v>#N/A</c:v>
                </c:pt>
                <c:pt idx="451">
                  <c:v>2017</c:v>
                </c:pt>
                <c:pt idx="452">
                  <c:v>2020</c:v>
                </c:pt>
                <c:pt idx="453">
                  <c:v>2025</c:v>
                </c:pt>
                <c:pt idx="454">
                  <c:v>#N/A</c:v>
                </c:pt>
                <c:pt idx="455">
                  <c:v>#N/A</c:v>
                </c:pt>
                <c:pt idx="456">
                  <c:v>2026</c:v>
                </c:pt>
                <c:pt idx="457">
                  <c:v>#N/A</c:v>
                </c:pt>
                <c:pt idx="458">
                  <c:v>#N/A</c:v>
                </c:pt>
                <c:pt idx="459">
                  <c:v>#N/A</c:v>
                </c:pt>
                <c:pt idx="460">
                  <c:v>#N/A</c:v>
                </c:pt>
                <c:pt idx="461">
                  <c:v>#N/A</c:v>
                </c:pt>
                <c:pt idx="462">
                  <c:v>#N/A</c:v>
                </c:pt>
                <c:pt idx="463">
                  <c:v>#N/A</c:v>
                </c:pt>
                <c:pt idx="464">
                  <c:v>2024</c:v>
                </c:pt>
                <c:pt idx="465">
                  <c:v>#N/A</c:v>
                </c:pt>
                <c:pt idx="466">
                  <c:v>#N/A</c:v>
                </c:pt>
                <c:pt idx="467">
                  <c:v>#N/A</c:v>
                </c:pt>
                <c:pt idx="468">
                  <c:v>#N/A</c:v>
                </c:pt>
                <c:pt idx="469">
                  <c:v>#N/A</c:v>
                </c:pt>
                <c:pt idx="470">
                  <c:v>#N/A</c:v>
                </c:pt>
                <c:pt idx="471">
                  <c:v>#N/A</c:v>
                </c:pt>
                <c:pt idx="472">
                  <c:v>2025</c:v>
                </c:pt>
                <c:pt idx="473">
                  <c:v>#N/A</c:v>
                </c:pt>
                <c:pt idx="474">
                  <c:v>#N/A</c:v>
                </c:pt>
                <c:pt idx="475">
                  <c:v>#N/A</c:v>
                </c:pt>
                <c:pt idx="476">
                  <c:v>2022</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2026</c:v>
                </c:pt>
                <c:pt idx="490">
                  <c:v>#N/A</c:v>
                </c:pt>
                <c:pt idx="491">
                  <c:v>#N/A</c:v>
                </c:pt>
                <c:pt idx="492">
                  <c:v>#N/A</c:v>
                </c:pt>
                <c:pt idx="493">
                  <c:v>#N/A</c:v>
                </c:pt>
                <c:pt idx="494">
                  <c:v>#N/A</c:v>
                </c:pt>
                <c:pt idx="495">
                  <c:v>#N/A</c:v>
                </c:pt>
                <c:pt idx="496">
                  <c:v>#N/A</c:v>
                </c:pt>
                <c:pt idx="497">
                  <c:v>#N/A</c:v>
                </c:pt>
                <c:pt idx="498">
                  <c:v>#N/A</c:v>
                </c:pt>
                <c:pt idx="499">
                  <c:v>2019</c:v>
                </c:pt>
                <c:pt idx="500">
                  <c:v>#N/A</c:v>
                </c:pt>
                <c:pt idx="501">
                  <c:v>#N/A</c:v>
                </c:pt>
                <c:pt idx="502">
                  <c:v>#N/A</c:v>
                </c:pt>
                <c:pt idx="503">
                  <c:v>#N/A</c:v>
                </c:pt>
                <c:pt idx="504">
                  <c:v>#N/A</c:v>
                </c:pt>
                <c:pt idx="505">
                  <c:v>2021</c:v>
                </c:pt>
                <c:pt idx="506">
                  <c:v>#N/A</c:v>
                </c:pt>
                <c:pt idx="507">
                  <c:v>#N/A</c:v>
                </c:pt>
                <c:pt idx="508">
                  <c:v>#N/A</c:v>
                </c:pt>
                <c:pt idx="509">
                  <c:v>#N/A</c:v>
                </c:pt>
                <c:pt idx="510">
                  <c:v>#N/A</c:v>
                </c:pt>
                <c:pt idx="511">
                  <c:v>#N/A</c:v>
                </c:pt>
                <c:pt idx="512">
                  <c:v>#N/A</c:v>
                </c:pt>
                <c:pt idx="513">
                  <c:v>#N/A</c:v>
                </c:pt>
                <c:pt idx="514">
                  <c:v>2025</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#N/A</c:v>
                </c:pt>
                <c:pt idx="528">
                  <c:v>#N/A</c:v>
                </c:pt>
                <c:pt idx="529">
                  <c:v>#N/A</c:v>
                </c:pt>
                <c:pt idx="530">
                  <c:v>#N/A</c:v>
                </c:pt>
                <c:pt idx="531">
                  <c:v>2022</c:v>
                </c:pt>
                <c:pt idx="532">
                  <c:v>2026</c:v>
                </c:pt>
                <c:pt idx="533">
                  <c:v>#N/A</c:v>
                </c:pt>
                <c:pt idx="534">
                  <c:v>#N/A</c:v>
                </c:pt>
                <c:pt idx="535">
                  <c:v>2025</c:v>
                </c:pt>
                <c:pt idx="536">
                  <c:v>#N/A</c:v>
                </c:pt>
                <c:pt idx="537">
                  <c:v>#N/A</c:v>
                </c:pt>
                <c:pt idx="538">
                  <c:v>2026</c:v>
                </c:pt>
                <c:pt idx="539">
                  <c:v>2021</c:v>
                </c:pt>
                <c:pt idx="540">
                  <c:v>2026</c:v>
                </c:pt>
                <c:pt idx="541">
                  <c:v>2022</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2026</c:v>
                </c:pt>
                <c:pt idx="563">
                  <c:v>#N/A</c:v>
                </c:pt>
                <c:pt idx="564">
                  <c:v>#N/A</c:v>
                </c:pt>
                <c:pt idx="565">
                  <c:v>#N/A</c:v>
                </c:pt>
                <c:pt idx="566">
                  <c:v>#N/A</c:v>
                </c:pt>
                <c:pt idx="567">
                  <c:v>2019</c:v>
                </c:pt>
                <c:pt idx="568">
                  <c:v>#N/A</c:v>
                </c:pt>
                <c:pt idx="569">
                  <c:v>#N/A</c:v>
                </c:pt>
                <c:pt idx="570">
                  <c:v>#N/A</c:v>
                </c:pt>
                <c:pt idx="571">
                  <c:v>#N/A</c:v>
                </c:pt>
                <c:pt idx="572">
                  <c:v>#N/A</c:v>
                </c:pt>
                <c:pt idx="573">
                  <c:v>#N/A</c:v>
                </c:pt>
                <c:pt idx="574">
                  <c:v>#N/A</c:v>
                </c:pt>
                <c:pt idx="575">
                  <c:v>2025</c:v>
                </c:pt>
                <c:pt idx="576">
                  <c:v>#N/A</c:v>
                </c:pt>
                <c:pt idx="577">
                  <c:v>#N/A</c:v>
                </c:pt>
                <c:pt idx="578">
                  <c:v>#N/A</c:v>
                </c:pt>
                <c:pt idx="579">
                  <c:v>#N/A</c:v>
                </c:pt>
                <c:pt idx="580">
                  <c:v>#N/A</c:v>
                </c:pt>
                <c:pt idx="581">
                  <c:v>#N/A</c:v>
                </c:pt>
                <c:pt idx="582">
                  <c:v>#N/A</c:v>
                </c:pt>
                <c:pt idx="583">
                  <c:v>2022</c:v>
                </c:pt>
                <c:pt idx="584">
                  <c:v>#N/A</c:v>
                </c:pt>
                <c:pt idx="585">
                  <c:v>2025</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2024</c:v>
                </c:pt>
                <c:pt idx="605">
                  <c:v>#N/A</c:v>
                </c:pt>
                <c:pt idx="606">
                  <c:v>#N/A</c:v>
                </c:pt>
                <c:pt idx="607">
                  <c:v>2021</c:v>
                </c:pt>
                <c:pt idx="608">
                  <c:v>#N/A</c:v>
                </c:pt>
                <c:pt idx="609">
                  <c:v>2026</c:v>
                </c:pt>
                <c:pt idx="610">
                  <c:v>#N/A</c:v>
                </c:pt>
                <c:pt idx="611">
                  <c:v>#N/A</c:v>
                </c:pt>
                <c:pt idx="612">
                  <c:v>#N/A</c:v>
                </c:pt>
                <c:pt idx="613">
                  <c:v>#N/A</c:v>
                </c:pt>
                <c:pt idx="614">
                  <c:v>2026</c:v>
                </c:pt>
                <c:pt idx="615">
                  <c:v>2025</c:v>
                </c:pt>
                <c:pt idx="616">
                  <c:v>#N/A</c:v>
                </c:pt>
                <c:pt idx="617">
                  <c:v>2026</c:v>
                </c:pt>
                <c:pt idx="618">
                  <c:v>2025</c:v>
                </c:pt>
                <c:pt idx="619">
                  <c:v>2026</c:v>
                </c:pt>
                <c:pt idx="620">
                  <c:v>2023</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2017</c:v>
                </c:pt>
                <c:pt idx="659">
                  <c:v>2026</c:v>
                </c:pt>
                <c:pt idx="660">
                  <c:v>#N/A</c:v>
                </c:pt>
                <c:pt idx="661">
                  <c:v>#N/A</c:v>
                </c:pt>
                <c:pt idx="662">
                  <c:v>2025</c:v>
                </c:pt>
                <c:pt idx="663">
                  <c:v>2026</c:v>
                </c:pt>
                <c:pt idx="664">
                  <c:v>2025</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2024</c:v>
                </c:pt>
                <c:pt idx="678">
                  <c:v>#N/A</c:v>
                </c:pt>
                <c:pt idx="679">
                  <c:v>#N/A</c:v>
                </c:pt>
                <c:pt idx="680">
                  <c:v>#N/A</c:v>
                </c:pt>
                <c:pt idx="681">
                  <c:v>2024</c:v>
                </c:pt>
                <c:pt idx="682">
                  <c:v>#N/A</c:v>
                </c:pt>
                <c:pt idx="683">
                  <c:v>#N/A</c:v>
                </c:pt>
                <c:pt idx="684">
                  <c:v>#N/A</c:v>
                </c:pt>
                <c:pt idx="685">
                  <c:v>#N/A</c:v>
                </c:pt>
                <c:pt idx="686">
                  <c:v>#N/A</c:v>
                </c:pt>
                <c:pt idx="687">
                  <c:v>2025</c:v>
                </c:pt>
                <c:pt idx="688">
                  <c:v>#N/A</c:v>
                </c:pt>
                <c:pt idx="689">
                  <c:v>#N/A</c:v>
                </c:pt>
                <c:pt idx="690">
                  <c:v>#N/A</c:v>
                </c:pt>
                <c:pt idx="691">
                  <c:v>2025</c:v>
                </c:pt>
                <c:pt idx="692">
                  <c:v>2025</c:v>
                </c:pt>
                <c:pt idx="693">
                  <c:v>#N/A</c:v>
                </c:pt>
                <c:pt idx="694">
                  <c:v>#N/A</c:v>
                </c:pt>
                <c:pt idx="695">
                  <c:v>#N/A</c:v>
                </c:pt>
                <c:pt idx="696">
                  <c:v>#N/A</c:v>
                </c:pt>
                <c:pt idx="697">
                  <c:v>#N/A</c:v>
                </c:pt>
                <c:pt idx="698">
                  <c:v>#N/A</c:v>
                </c:pt>
                <c:pt idx="699">
                  <c:v>#N/A</c:v>
                </c:pt>
                <c:pt idx="700">
                  <c:v>#N/A</c:v>
                </c:pt>
                <c:pt idx="701">
                  <c:v>#N/A</c:v>
                </c:pt>
                <c:pt idx="702">
                  <c:v>#N/A</c:v>
                </c:pt>
                <c:pt idx="703">
                  <c:v>2022</c:v>
                </c:pt>
                <c:pt idx="704">
                  <c:v>#N/A</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2020</c:v>
                </c:pt>
                <c:pt idx="720">
                  <c:v>#N/A</c:v>
                </c:pt>
                <c:pt idx="721">
                  <c:v>#N/A</c:v>
                </c:pt>
                <c:pt idx="722">
                  <c:v>2026</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2025</c:v>
                </c:pt>
                <c:pt idx="740">
                  <c:v>#N/A</c:v>
                </c:pt>
                <c:pt idx="741">
                  <c:v>#N/A</c:v>
                </c:pt>
                <c:pt idx="742">
                  <c:v>#N/A</c:v>
                </c:pt>
                <c:pt idx="743">
                  <c:v>#N/A</c:v>
                </c:pt>
                <c:pt idx="744">
                  <c:v>#N/A</c:v>
                </c:pt>
                <c:pt idx="745">
                  <c:v>#N/A</c:v>
                </c:pt>
                <c:pt idx="746">
                  <c:v>#N/A</c:v>
                </c:pt>
                <c:pt idx="747">
                  <c:v>#N/A</c:v>
                </c:pt>
                <c:pt idx="748">
                  <c:v>#N/A</c:v>
                </c:pt>
                <c:pt idx="749">
                  <c:v>#N/A</c:v>
                </c:pt>
                <c:pt idx="750">
                  <c:v>#N/A</c:v>
                </c:pt>
                <c:pt idx="751">
                  <c:v>2025</c:v>
                </c:pt>
                <c:pt idx="752">
                  <c:v>#N/A</c:v>
                </c:pt>
                <c:pt idx="753">
                  <c:v>2026</c:v>
                </c:pt>
                <c:pt idx="754">
                  <c:v>#N/A</c:v>
                </c:pt>
                <c:pt idx="755">
                  <c:v>#N/A</c:v>
                </c:pt>
                <c:pt idx="756">
                  <c:v>#N/A</c:v>
                </c:pt>
                <c:pt idx="757">
                  <c:v>#N/A</c:v>
                </c:pt>
                <c:pt idx="758">
                  <c:v>2025</c:v>
                </c:pt>
                <c:pt idx="759">
                  <c:v>#N/A</c:v>
                </c:pt>
                <c:pt idx="760">
                  <c:v>#N/A</c:v>
                </c:pt>
                <c:pt idx="761">
                  <c:v>2025</c:v>
                </c:pt>
                <c:pt idx="762">
                  <c:v>#N/A</c:v>
                </c:pt>
                <c:pt idx="763">
                  <c:v>#N/A</c:v>
                </c:pt>
                <c:pt idx="764">
                  <c:v>#N/A</c:v>
                </c:pt>
                <c:pt idx="765">
                  <c:v>#N/A</c:v>
                </c:pt>
                <c:pt idx="766">
                  <c:v>#N/A</c:v>
                </c:pt>
                <c:pt idx="767">
                  <c:v>#N/A</c:v>
                </c:pt>
                <c:pt idx="768">
                  <c:v>#N/A</c:v>
                </c:pt>
                <c:pt idx="769">
                  <c:v>#N/A</c:v>
                </c:pt>
                <c:pt idx="770">
                  <c:v>#N/A</c:v>
                </c:pt>
                <c:pt idx="771">
                  <c:v>#N/A</c:v>
                </c:pt>
                <c:pt idx="772">
                  <c:v>#N/A</c:v>
                </c:pt>
                <c:pt idx="773">
                  <c:v>2022</c:v>
                </c:pt>
                <c:pt idx="774">
                  <c:v>#N/A</c:v>
                </c:pt>
                <c:pt idx="775">
                  <c:v>2023</c:v>
                </c:pt>
                <c:pt idx="776">
                  <c:v>#N/A</c:v>
                </c:pt>
                <c:pt idx="777">
                  <c:v>#N/A</c:v>
                </c:pt>
                <c:pt idx="778">
                  <c:v>#N/A</c:v>
                </c:pt>
                <c:pt idx="779">
                  <c:v>2021</c:v>
                </c:pt>
                <c:pt idx="780">
                  <c:v>2025</c:v>
                </c:pt>
                <c:pt idx="781">
                  <c:v>2019</c:v>
                </c:pt>
                <c:pt idx="782">
                  <c:v>#N/A</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2026</c:v>
                </c:pt>
                <c:pt idx="796">
                  <c:v>#N/A</c:v>
                </c:pt>
                <c:pt idx="797">
                  <c:v>#N/A</c:v>
                </c:pt>
                <c:pt idx="798">
                  <c:v>2020</c:v>
                </c:pt>
                <c:pt idx="799">
                  <c:v>#N/A</c:v>
                </c:pt>
                <c:pt idx="800">
                  <c:v>#N/A</c:v>
                </c:pt>
                <c:pt idx="801">
                  <c:v>2021</c:v>
                </c:pt>
                <c:pt idx="802">
                  <c:v>2025</c:v>
                </c:pt>
                <c:pt idx="803">
                  <c:v>2026</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2023</c:v>
                </c:pt>
                <c:pt idx="827">
                  <c:v>#N/A</c:v>
                </c:pt>
                <c:pt idx="828">
                  <c:v>2026</c:v>
                </c:pt>
                <c:pt idx="829">
                  <c:v>#N/A</c:v>
                </c:pt>
                <c:pt idx="830">
                  <c:v>#N/A</c:v>
                </c:pt>
                <c:pt idx="831">
                  <c:v>2026</c:v>
                </c:pt>
                <c:pt idx="832">
                  <c:v>#N/A</c:v>
                </c:pt>
                <c:pt idx="833">
                  <c:v>#N/A</c:v>
                </c:pt>
                <c:pt idx="834">
                  <c:v>#N/A</c:v>
                </c:pt>
                <c:pt idx="835">
                  <c:v>2025</c:v>
                </c:pt>
                <c:pt idx="836">
                  <c:v>2025</c:v>
                </c:pt>
                <c:pt idx="837">
                  <c:v>2022</c:v>
                </c:pt>
                <c:pt idx="838">
                  <c:v>2026</c:v>
                </c:pt>
                <c:pt idx="839">
                  <c:v>#N/A</c:v>
                </c:pt>
                <c:pt idx="840">
                  <c:v>#N/A</c:v>
                </c:pt>
                <c:pt idx="841">
                  <c:v>2024</c:v>
                </c:pt>
                <c:pt idx="842">
                  <c:v>#N/A</c:v>
                </c:pt>
                <c:pt idx="843">
                  <c:v>#N/A</c:v>
                </c:pt>
                <c:pt idx="844">
                  <c:v>#N/A</c:v>
                </c:pt>
                <c:pt idx="845">
                  <c:v>2024</c:v>
                </c:pt>
                <c:pt idx="846">
                  <c:v>#N/A</c:v>
                </c:pt>
                <c:pt idx="847">
                  <c:v>#N/A</c:v>
                </c:pt>
                <c:pt idx="848">
                  <c:v>#N/A</c:v>
                </c:pt>
                <c:pt idx="849">
                  <c:v>2023</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#N/A</c:v>
                </c:pt>
                <c:pt idx="430">
                  <c:v>#N/A</c:v>
                </c:pt>
                <c:pt idx="431">
                  <c:v>#N/A</c:v>
                </c:pt>
                <c:pt idx="432">
                  <c:v>3.5750000000000002</c:v>
                </c:pt>
                <c:pt idx="433">
                  <c:v>3.5979999999999999</c:v>
                </c:pt>
                <c:pt idx="434">
                  <c:v>3.621</c:v>
                </c:pt>
                <c:pt idx="435">
                  <c:v>3.6440000000000001</c:v>
                </c:pt>
                <c:pt idx="436">
                  <c:v>#N/A</c:v>
                </c:pt>
                <c:pt idx="437">
                  <c:v>#N/A</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#N/A</c:v>
                </c:pt>
                <c:pt idx="452">
                  <c:v>3.2530000000000001</c:v>
                </c:pt>
                <c:pt idx="453">
                  <c:v>3.2759999999999998</c:v>
                </c:pt>
                <c:pt idx="454">
                  <c:v>3.2989999999999999</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3.3449999999999998</c:v>
                </c:pt>
                <c:pt idx="491">
                  <c:v>#N/A</c:v>
                </c:pt>
                <c:pt idx="492">
                  <c:v>#N/A</c:v>
                </c:pt>
                <c:pt idx="493">
                  <c:v>#N/A</c:v>
                </c:pt>
                <c:pt idx="494">
                  <c:v>#N/A</c:v>
                </c:pt>
                <c:pt idx="495">
                  <c:v>#N/A</c:v>
                </c:pt>
                <c:pt idx="496">
                  <c:v>#N/A</c:v>
                </c:pt>
                <c:pt idx="497">
                  <c:v>#N/A</c:v>
                </c:pt>
                <c:pt idx="498">
                  <c:v>#N/A</c:v>
                </c:pt>
                <c:pt idx="499">
                  <c:v>#N/A</c:v>
                </c:pt>
                <c:pt idx="500">
                  <c:v>3.5750000000000002</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3.1379999999999999</c:v>
                </c:pt>
                <c:pt idx="516">
                  <c:v>#N/A</c:v>
                </c:pt>
                <c:pt idx="517">
                  <c:v>#N/A</c:v>
                </c:pt>
                <c:pt idx="518">
                  <c:v>#N/A</c:v>
                </c:pt>
                <c:pt idx="519">
                  <c:v>#N/A</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3.5289999999999999</c:v>
                </c:pt>
                <c:pt idx="533">
                  <c:v>3.552</c:v>
                </c:pt>
                <c:pt idx="534">
                  <c:v>#N/A</c:v>
                </c:pt>
                <c:pt idx="535">
                  <c:v>#N/A</c:v>
                </c:pt>
                <c:pt idx="536">
                  <c:v>3.621</c:v>
                </c:pt>
                <c:pt idx="537">
                  <c:v>#N/A</c:v>
                </c:pt>
                <c:pt idx="538">
                  <c:v>#N/A</c:v>
                </c:pt>
                <c:pt idx="539">
                  <c:v>3.69</c:v>
                </c:pt>
                <c:pt idx="540">
                  <c:v>3.7130000000000001</c:v>
                </c:pt>
                <c:pt idx="541">
                  <c:v>3.7359999999999998</c:v>
                </c:pt>
                <c:pt idx="542">
                  <c:v>3.7589999999999999</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#N/A</c:v>
                </c:pt>
                <c:pt idx="584">
                  <c:v>3.161</c:v>
                </c:pt>
                <c:pt idx="585">
                  <c:v>#N/A</c:v>
                </c:pt>
                <c:pt idx="586">
                  <c:v>3.2069999999999999</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3.6440000000000001</c:v>
                </c:pt>
                <c:pt idx="606">
                  <c:v>#N/A</c:v>
                </c:pt>
                <c:pt idx="607">
                  <c:v>#N/A</c:v>
                </c:pt>
                <c:pt idx="608">
                  <c:v>3.7130000000000001</c:v>
                </c:pt>
                <c:pt idx="609">
                  <c:v>#N/A</c:v>
                </c:pt>
                <c:pt idx="610">
                  <c:v>3.7589999999999999</c:v>
                </c:pt>
                <c:pt idx="611">
                  <c:v>#N/A</c:v>
                </c:pt>
                <c:pt idx="612">
                  <c:v>#N/A</c:v>
                </c:pt>
                <c:pt idx="613">
                  <c:v>#N/A</c:v>
                </c:pt>
                <c:pt idx="614">
                  <c:v>#N/A</c:v>
                </c:pt>
                <c:pt idx="615">
                  <c:v>3.0920000000000001</c:v>
                </c:pt>
                <c:pt idx="616">
                  <c:v>3.1150000000000002</c:v>
                </c:pt>
                <c:pt idx="617">
                  <c:v>#N/A</c:v>
                </c:pt>
                <c:pt idx="618">
                  <c:v>3.161</c:v>
                </c:pt>
                <c:pt idx="619">
                  <c:v>3.1840000000000002</c:v>
                </c:pt>
                <c:pt idx="620">
                  <c:v>3.2069999999999999</c:v>
                </c:pt>
                <c:pt idx="621">
                  <c:v>3.23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3.3449999999999998</c:v>
                </c:pt>
                <c:pt idx="661">
                  <c:v>#N/A</c:v>
                </c:pt>
                <c:pt idx="662">
                  <c:v>#N/A</c:v>
                </c:pt>
                <c:pt idx="663">
                  <c:v>3.4140000000000001</c:v>
                </c:pt>
                <c:pt idx="664">
                  <c:v>3.4369999999999998</c:v>
                </c:pt>
                <c:pt idx="665">
                  <c:v>3.46</c:v>
                </c:pt>
                <c:pt idx="666">
                  <c:v>#N/A</c:v>
                </c:pt>
                <c:pt idx="667">
                  <c:v>#N/A</c:v>
                </c:pt>
                <c:pt idx="668">
                  <c:v>#N/A</c:v>
                </c:pt>
                <c:pt idx="669">
                  <c:v>3.552</c:v>
                </c:pt>
                <c:pt idx="670">
                  <c:v>#N/A</c:v>
                </c:pt>
                <c:pt idx="671">
                  <c:v>#N/A</c:v>
                </c:pt>
                <c:pt idx="672">
                  <c:v>#N/A</c:v>
                </c:pt>
                <c:pt idx="673">
                  <c:v>#N/A</c:v>
                </c:pt>
                <c:pt idx="674">
                  <c:v>#N/A</c:v>
                </c:pt>
                <c:pt idx="675">
                  <c:v>#N/A</c:v>
                </c:pt>
                <c:pt idx="676">
                  <c:v>#N/A</c:v>
                </c:pt>
                <c:pt idx="677">
                  <c:v>#N/A</c:v>
                </c:pt>
                <c:pt idx="678">
                  <c:v>3.7589999999999999</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#N/A</c:v>
                </c:pt>
                <c:pt idx="692">
                  <c:v>3.2989999999999999</c:v>
                </c:pt>
                <c:pt idx="693">
                  <c:v>3.3220000000000001</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3.161</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3.161</c:v>
                </c:pt>
                <c:pt idx="755">
                  <c:v>#N/A</c:v>
                </c:pt>
                <c:pt idx="756">
                  <c:v>#N/A</c:v>
                </c:pt>
                <c:pt idx="757">
                  <c:v>#N/A</c:v>
                </c:pt>
                <c:pt idx="758">
                  <c:v>#N/A</c:v>
                </c:pt>
                <c:pt idx="759">
                  <c:v>3.2759999999999998</c:v>
                </c:pt>
                <c:pt idx="760">
                  <c:v>#N/A</c:v>
                </c:pt>
                <c:pt idx="761">
                  <c:v>#N/A</c:v>
                </c:pt>
                <c:pt idx="762">
                  <c:v>3.3449999999999998</c:v>
                </c:pt>
                <c:pt idx="763">
                  <c:v>#N/A</c:v>
                </c:pt>
                <c:pt idx="764">
                  <c:v>#N/A</c:v>
                </c:pt>
                <c:pt idx="765">
                  <c:v>#N/A</c:v>
                </c:pt>
                <c:pt idx="766">
                  <c:v>#N/A</c:v>
                </c:pt>
                <c:pt idx="767">
                  <c:v>#N/A</c:v>
                </c:pt>
                <c:pt idx="768">
                  <c:v>#N/A</c:v>
                </c:pt>
                <c:pt idx="769">
                  <c:v>#N/A</c:v>
                </c:pt>
                <c:pt idx="770">
                  <c:v>#N/A</c:v>
                </c:pt>
                <c:pt idx="771">
                  <c:v>#N/A</c:v>
                </c:pt>
                <c:pt idx="772">
                  <c:v>#N/A</c:v>
                </c:pt>
                <c:pt idx="773">
                  <c:v>#N/A</c:v>
                </c:pt>
                <c:pt idx="774">
                  <c:v>3.621</c:v>
                </c:pt>
                <c:pt idx="775">
                  <c:v>#N/A</c:v>
                </c:pt>
                <c:pt idx="776">
                  <c:v>3.6669999999999998</c:v>
                </c:pt>
                <c:pt idx="777">
                  <c:v>#N/A</c:v>
                </c:pt>
                <c:pt idx="778">
                  <c:v>#N/A</c:v>
                </c:pt>
                <c:pt idx="779">
                  <c:v>#N/A</c:v>
                </c:pt>
                <c:pt idx="780">
                  <c:v>3.7589999999999999</c:v>
                </c:pt>
                <c:pt idx="781">
                  <c:v>3</c:v>
                </c:pt>
                <c:pt idx="782">
                  <c:v>3.0230000000000001</c:v>
                </c:pt>
                <c:pt idx="783">
                  <c:v>#N/A</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3.3449999999999998</c:v>
                </c:pt>
                <c:pt idx="797">
                  <c:v>#N/A</c:v>
                </c:pt>
                <c:pt idx="798">
                  <c:v>#N/A</c:v>
                </c:pt>
                <c:pt idx="799">
                  <c:v>3.4140000000000001</c:v>
                </c:pt>
                <c:pt idx="800">
                  <c:v>#N/A</c:v>
                </c:pt>
                <c:pt idx="801">
                  <c:v>#N/A</c:v>
                </c:pt>
                <c:pt idx="802">
                  <c:v>3.4830000000000001</c:v>
                </c:pt>
                <c:pt idx="803">
                  <c:v>3.5060000000000002</c:v>
                </c:pt>
                <c:pt idx="804">
                  <c:v>3.5289999999999999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3.2759999999999998</c:v>
                </c:pt>
                <c:pt idx="828">
                  <c:v>#N/A</c:v>
                </c:pt>
                <c:pt idx="829">
                  <c:v>3.3220000000000001</c:v>
                </c:pt>
                <c:pt idx="830">
                  <c:v>#N/A</c:v>
                </c:pt>
                <c:pt idx="831">
                  <c:v>#N/A</c:v>
                </c:pt>
                <c:pt idx="832">
                  <c:v>3.391</c:v>
                </c:pt>
                <c:pt idx="833">
                  <c:v>#N/A</c:v>
                </c:pt>
                <c:pt idx="834">
                  <c:v>#N/A</c:v>
                </c:pt>
                <c:pt idx="835">
                  <c:v>#N/A</c:v>
                </c:pt>
                <c:pt idx="836">
                  <c:v>3.4830000000000001</c:v>
                </c:pt>
                <c:pt idx="837">
                  <c:v>3.5060000000000002</c:v>
                </c:pt>
                <c:pt idx="838">
                  <c:v>3.5289999999999999</c:v>
                </c:pt>
                <c:pt idx="839">
                  <c:v>3.552</c:v>
                </c:pt>
                <c:pt idx="840">
                  <c:v>#N/A</c:v>
                </c:pt>
                <c:pt idx="841">
                  <c:v>#N/A</c:v>
                </c:pt>
                <c:pt idx="842">
                  <c:v>3.621</c:v>
                </c:pt>
                <c:pt idx="843">
                  <c:v>#N/A</c:v>
                </c:pt>
                <c:pt idx="844">
                  <c:v>#N/A</c:v>
                </c:pt>
                <c:pt idx="845">
                  <c:v>#N/A</c:v>
                </c:pt>
                <c:pt idx="846">
                  <c:v>3.7130000000000001</c:v>
                </c:pt>
                <c:pt idx="847">
                  <c:v>#N/A</c:v>
                </c:pt>
                <c:pt idx="848">
                  <c:v>#N/A</c:v>
                </c:pt>
                <c:pt idx="849">
                  <c:v>#N/A</c:v>
                </c:pt>
                <c:pt idx="850">
                  <c:v>3.0230000000000001</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#N/A</c:v>
                </c:pt>
                <c:pt idx="424">
                  <c:v>2020</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2012</c:v>
                </c:pt>
                <c:pt idx="442">
                  <c:v>2011</c:v>
                </c:pt>
                <c:pt idx="443">
                  <c:v>1987</c:v>
                </c:pt>
                <c:pt idx="444">
                  <c:v>#N/A</c:v>
                </c:pt>
                <c:pt idx="445">
                  <c:v>#N/A</c:v>
                </c:pt>
                <c:pt idx="446">
                  <c:v>#N/A</c:v>
                </c:pt>
                <c:pt idx="447">
                  <c:v>2002</c:v>
                </c:pt>
                <c:pt idx="448">
                  <c:v>2003</c:v>
                </c:pt>
                <c:pt idx="449">
                  <c:v>2020</c:v>
                </c:pt>
                <c:pt idx="450">
                  <c:v>2022</c:v>
                </c:pt>
                <c:pt idx="451">
                  <c:v>#N/A</c:v>
                </c:pt>
                <c:pt idx="452">
                  <c:v>#N/A</c:v>
                </c:pt>
                <c:pt idx="453">
                  <c:v>#N/A</c:v>
                </c:pt>
                <c:pt idx="454">
                  <c:v>#N/A</c:v>
                </c:pt>
                <c:pt idx="455">
                  <c:v>#N/A</c:v>
                </c:pt>
                <c:pt idx="456">
                  <c:v>#N/A</c:v>
                </c:pt>
                <c:pt idx="457">
                  <c:v>#N/A</c:v>
                </c:pt>
                <c:pt idx="458">
                  <c:v>#N/A</c:v>
                </c:pt>
                <c:pt idx="459">
                  <c:v>#N/A</c:v>
                </c:pt>
                <c:pt idx="460">
                  <c:v>#N/A</c:v>
                </c:pt>
                <c:pt idx="461">
                  <c:v>2023</c:v>
                </c:pt>
                <c:pt idx="462">
                  <c:v>#N/A</c:v>
                </c:pt>
                <c:pt idx="463">
                  <c:v>1983</c:v>
                </c:pt>
                <c:pt idx="464">
                  <c:v>#N/A</c:v>
                </c:pt>
                <c:pt idx="465">
                  <c:v>#N/A</c:v>
                </c:pt>
                <c:pt idx="466">
                  <c:v>#N/A</c:v>
                </c:pt>
                <c:pt idx="467">
                  <c:v>#N/A</c:v>
                </c:pt>
                <c:pt idx="468">
                  <c:v>#N/A</c:v>
                </c:pt>
                <c:pt idx="469">
                  <c:v>2011</c:v>
                </c:pt>
                <c:pt idx="470">
                  <c:v>#N/A</c:v>
                </c:pt>
                <c:pt idx="471">
                  <c:v>#N/A</c:v>
                </c:pt>
                <c:pt idx="472">
                  <c:v>#N/A</c:v>
                </c:pt>
                <c:pt idx="473">
                  <c:v>2016</c:v>
                </c:pt>
                <c:pt idx="474">
                  <c:v>1995</c:v>
                </c:pt>
                <c:pt idx="475">
                  <c:v>#N/A</c:v>
                </c:pt>
                <c:pt idx="476">
                  <c:v>#N/A</c:v>
                </c:pt>
                <c:pt idx="477">
                  <c:v>#N/A</c:v>
                </c:pt>
                <c:pt idx="478">
                  <c:v>#N/A</c:v>
                </c:pt>
                <c:pt idx="479">
                  <c:v>#N/A</c:v>
                </c:pt>
                <c:pt idx="480">
                  <c:v>#N/A</c:v>
                </c:pt>
                <c:pt idx="481">
                  <c:v>#N/A</c:v>
                </c:pt>
                <c:pt idx="482">
                  <c:v>#N/A</c:v>
                </c:pt>
                <c:pt idx="483">
                  <c:v>#N/A</c:v>
                </c:pt>
                <c:pt idx="484">
                  <c:v>1987</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1987</c:v>
                </c:pt>
                <c:pt idx="511">
                  <c:v>2015</c:v>
                </c:pt>
                <c:pt idx="512">
                  <c:v>2019</c:v>
                </c:pt>
                <c:pt idx="513">
                  <c:v>2017</c:v>
                </c:pt>
                <c:pt idx="514">
                  <c:v>#N/A</c:v>
                </c:pt>
                <c:pt idx="515">
                  <c:v>#N/A</c:v>
                </c:pt>
                <c:pt idx="516">
                  <c:v>2014</c:v>
                </c:pt>
                <c:pt idx="517">
                  <c:v>2019</c:v>
                </c:pt>
                <c:pt idx="518">
                  <c:v>#N/A</c:v>
                </c:pt>
                <c:pt idx="519">
                  <c:v>#N/A</c:v>
                </c:pt>
                <c:pt idx="520">
                  <c:v>#N/A</c:v>
                </c:pt>
                <c:pt idx="521">
                  <c:v>2022</c:v>
                </c:pt>
                <c:pt idx="522">
                  <c:v>#N/A</c:v>
                </c:pt>
                <c:pt idx="523">
                  <c:v>2025</c:v>
                </c:pt>
                <c:pt idx="524">
                  <c:v>#N/A</c:v>
                </c:pt>
                <c:pt idx="525">
                  <c:v>#N/A</c:v>
                </c:pt>
                <c:pt idx="526">
                  <c:v>#N/A</c:v>
                </c:pt>
                <c:pt idx="527">
                  <c:v>2023</c:v>
                </c:pt>
                <c:pt idx="528">
                  <c:v>#N/A</c:v>
                </c:pt>
                <c:pt idx="529">
                  <c:v>2015</c:v>
                </c:pt>
                <c:pt idx="530">
                  <c:v>#N/A</c:v>
                </c:pt>
                <c:pt idx="531">
                  <c:v>#N/A</c:v>
                </c:pt>
                <c:pt idx="532">
                  <c:v>#N/A</c:v>
                </c:pt>
                <c:pt idx="533">
                  <c:v>#N/A</c:v>
                </c:pt>
                <c:pt idx="534">
                  <c:v>#N/A</c:v>
                </c:pt>
                <c:pt idx="535">
                  <c:v>#N/A</c:v>
                </c:pt>
                <c:pt idx="536">
                  <c:v>2012</c:v>
                </c:pt>
                <c:pt idx="537">
                  <c:v>#N/A</c:v>
                </c:pt>
                <c:pt idx="538">
                  <c:v>#N/A</c:v>
                </c:pt>
                <c:pt idx="539">
                  <c:v>#N/A</c:v>
                </c:pt>
                <c:pt idx="540">
                  <c:v>#N/A</c:v>
                </c:pt>
                <c:pt idx="541">
                  <c:v>#N/A</c:v>
                </c:pt>
                <c:pt idx="542">
                  <c:v>#N/A</c:v>
                </c:pt>
                <c:pt idx="543">
                  <c:v>#N/A</c:v>
                </c:pt>
                <c:pt idx="544">
                  <c:v>#N/A</c:v>
                </c:pt>
                <c:pt idx="545">
                  <c:v>#N/A</c:v>
                </c:pt>
                <c:pt idx="546">
                  <c:v>2009</c:v>
                </c:pt>
                <c:pt idx="547">
                  <c:v>2007</c:v>
                </c:pt>
                <c:pt idx="548">
                  <c:v>2012</c:v>
                </c:pt>
                <c:pt idx="549">
                  <c:v>2005</c:v>
                </c:pt>
                <c:pt idx="550">
                  <c:v>2020</c:v>
                </c:pt>
                <c:pt idx="551">
                  <c:v>2015</c:v>
                </c:pt>
                <c:pt idx="552">
                  <c:v>#N/A</c:v>
                </c:pt>
                <c:pt idx="553">
                  <c:v>#N/A</c:v>
                </c:pt>
                <c:pt idx="554">
                  <c:v>#N/A</c:v>
                </c:pt>
                <c:pt idx="555">
                  <c:v>2003</c:v>
                </c:pt>
                <c:pt idx="556">
                  <c:v>#N/A</c:v>
                </c:pt>
                <c:pt idx="557">
                  <c:v>#N/A</c:v>
                </c:pt>
                <c:pt idx="558">
                  <c:v>#N/A</c:v>
                </c:pt>
                <c:pt idx="559">
                  <c:v>2023</c:v>
                </c:pt>
                <c:pt idx="560">
                  <c:v>2014</c:v>
                </c:pt>
                <c:pt idx="561">
                  <c:v>#N/A</c:v>
                </c:pt>
                <c:pt idx="562">
                  <c:v>#N/A</c:v>
                </c:pt>
                <c:pt idx="563">
                  <c:v>#N/A</c:v>
                </c:pt>
                <c:pt idx="564">
                  <c:v>1992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2020</c:v>
                </c:pt>
                <c:pt idx="581">
                  <c:v>2024</c:v>
                </c:pt>
                <c:pt idx="582">
                  <c:v>2026</c:v>
                </c:pt>
                <c:pt idx="583">
                  <c:v>#N/A</c:v>
                </c:pt>
                <c:pt idx="584">
                  <c:v>#N/A</c:v>
                </c:pt>
                <c:pt idx="585">
                  <c:v>#N/A</c:v>
                </c:pt>
                <c:pt idx="586">
                  <c:v>#N/A</c:v>
                </c:pt>
                <c:pt idx="587">
                  <c:v>#N/A</c:v>
                </c:pt>
                <c:pt idx="588">
                  <c:v>#N/A</c:v>
                </c:pt>
                <c:pt idx="589">
                  <c:v>#N/A</c:v>
                </c:pt>
                <c:pt idx="590">
                  <c:v>#N/A</c:v>
                </c:pt>
                <c:pt idx="591">
                  <c:v>#N/A</c:v>
                </c:pt>
                <c:pt idx="592">
                  <c:v>#N/A</c:v>
                </c:pt>
                <c:pt idx="593">
                  <c:v>1980</c:v>
                </c:pt>
                <c:pt idx="594">
                  <c:v>#N/A</c:v>
                </c:pt>
                <c:pt idx="595">
                  <c:v>2019</c:v>
                </c:pt>
                <c:pt idx="596">
                  <c:v>#N/A</c:v>
                </c:pt>
                <c:pt idx="597">
                  <c:v>#N/A</c:v>
                </c:pt>
                <c:pt idx="598">
                  <c:v>2007</c:v>
                </c:pt>
                <c:pt idx="599">
                  <c:v>#N/A</c:v>
                </c:pt>
                <c:pt idx="600">
                  <c:v>#N/A</c:v>
                </c:pt>
                <c:pt idx="601">
                  <c:v>#N/A</c:v>
                </c:pt>
                <c:pt idx="602">
                  <c:v>#N/A</c:v>
                </c:pt>
                <c:pt idx="603">
                  <c:v>#N/A</c:v>
                </c:pt>
                <c:pt idx="604">
                  <c:v>#N/A</c:v>
                </c:pt>
                <c:pt idx="605">
                  <c:v>#N/A</c:v>
                </c:pt>
                <c:pt idx="606">
                  <c:v>#N/A</c:v>
                </c:pt>
                <c:pt idx="607">
                  <c:v>#N/A</c:v>
                </c:pt>
                <c:pt idx="608">
                  <c:v>2023</c:v>
                </c:pt>
                <c:pt idx="609">
                  <c:v>#N/A</c:v>
                </c:pt>
                <c:pt idx="610">
                  <c:v>2014</c:v>
                </c:pt>
                <c:pt idx="611">
                  <c:v>#N/A</c:v>
                </c:pt>
                <c:pt idx="612">
                  <c:v>#N/A</c:v>
                </c:pt>
                <c:pt idx="613">
                  <c:v>#N/A</c:v>
                </c:pt>
                <c:pt idx="614">
                  <c:v>#N/A</c:v>
                </c:pt>
                <c:pt idx="615">
                  <c:v>#N/A</c:v>
                </c:pt>
                <c:pt idx="616">
                  <c:v>#N/A</c:v>
                </c:pt>
                <c:pt idx="617">
                  <c:v>#N/A</c:v>
                </c:pt>
                <c:pt idx="618">
                  <c:v>#N/A</c:v>
                </c:pt>
                <c:pt idx="619">
                  <c:v>#N/A</c:v>
                </c:pt>
                <c:pt idx="620">
                  <c:v>#N/A</c:v>
                </c:pt>
                <c:pt idx="621">
                  <c:v>2010</c:v>
                </c:pt>
                <c:pt idx="622">
                  <c:v>#N/A</c:v>
                </c:pt>
                <c:pt idx="623">
                  <c:v>#N/A</c:v>
                </c:pt>
                <c:pt idx="624">
                  <c:v>#N/A</c:v>
                </c:pt>
                <c:pt idx="625">
                  <c:v>#N/A</c:v>
                </c:pt>
                <c:pt idx="626">
                  <c:v>#N/A</c:v>
                </c:pt>
                <c:pt idx="627">
                  <c:v>#N/A</c:v>
                </c:pt>
                <c:pt idx="628">
                  <c:v>#N/A</c:v>
                </c:pt>
                <c:pt idx="629">
                  <c:v>#N/A</c:v>
                </c:pt>
                <c:pt idx="630">
                  <c:v>#N/A</c:v>
                </c:pt>
                <c:pt idx="631">
                  <c:v>#N/A</c:v>
                </c:pt>
                <c:pt idx="632">
                  <c:v>2015</c:v>
                </c:pt>
                <c:pt idx="633">
                  <c:v>#N/A</c:v>
                </c:pt>
                <c:pt idx="634">
                  <c:v>#N/A</c:v>
                </c:pt>
                <c:pt idx="635">
                  <c:v>#N/A</c:v>
                </c:pt>
                <c:pt idx="636">
                  <c:v>2014</c:v>
                </c:pt>
                <c:pt idx="637">
                  <c:v>#N/A</c:v>
                </c:pt>
                <c:pt idx="638">
                  <c:v>2008</c:v>
                </c:pt>
                <c:pt idx="639">
                  <c:v>2000</c:v>
                </c:pt>
                <c:pt idx="640">
                  <c:v>2010</c:v>
                </c:pt>
                <c:pt idx="641">
                  <c:v>2002</c:v>
                </c:pt>
                <c:pt idx="642">
                  <c:v>1996</c:v>
                </c:pt>
                <c:pt idx="643">
                  <c:v>2001</c:v>
                </c:pt>
                <c:pt idx="644">
                  <c:v>2024</c:v>
                </c:pt>
                <c:pt idx="645">
                  <c:v>2010</c:v>
                </c:pt>
                <c:pt idx="646">
                  <c:v>#N/A</c:v>
                </c:pt>
                <c:pt idx="647">
                  <c:v>#N/A</c:v>
                </c:pt>
                <c:pt idx="648">
                  <c:v>#N/A</c:v>
                </c:pt>
                <c:pt idx="649">
                  <c:v>#N/A</c:v>
                </c:pt>
                <c:pt idx="650">
                  <c:v>2012</c:v>
                </c:pt>
                <c:pt idx="651">
                  <c:v>#N/A</c:v>
                </c:pt>
                <c:pt idx="652">
                  <c:v>#N/A</c:v>
                </c:pt>
                <c:pt idx="653">
                  <c:v>#N/A</c:v>
                </c:pt>
                <c:pt idx="654">
                  <c:v>#N/A</c:v>
                </c:pt>
                <c:pt idx="655">
                  <c:v>#N/A</c:v>
                </c:pt>
                <c:pt idx="656">
                  <c:v>2006</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2022</c:v>
                </c:pt>
                <c:pt idx="670">
                  <c:v>2023</c:v>
                </c:pt>
                <c:pt idx="671">
                  <c:v>#N/A</c:v>
                </c:pt>
                <c:pt idx="672">
                  <c:v>#N/A</c:v>
                </c:pt>
                <c:pt idx="673">
                  <c:v>#N/A</c:v>
                </c:pt>
                <c:pt idx="674">
                  <c:v>2016</c:v>
                </c:pt>
                <c:pt idx="675">
                  <c:v>#N/A</c:v>
                </c:pt>
                <c:pt idx="676">
                  <c:v>#N/A</c:v>
                </c:pt>
                <c:pt idx="677">
                  <c:v>#N/A</c:v>
                </c:pt>
                <c:pt idx="678">
                  <c:v>#N/A</c:v>
                </c:pt>
                <c:pt idx="679">
                  <c:v>#N/A</c:v>
                </c:pt>
                <c:pt idx="680">
                  <c:v>#N/A</c:v>
                </c:pt>
                <c:pt idx="681">
                  <c:v>#N/A</c:v>
                </c:pt>
                <c:pt idx="682">
                  <c:v>#N/A</c:v>
                </c:pt>
                <c:pt idx="683">
                  <c:v>#N/A</c:v>
                </c:pt>
                <c:pt idx="684">
                  <c:v>#N/A</c:v>
                </c:pt>
                <c:pt idx="685">
                  <c:v>2014</c:v>
                </c:pt>
                <c:pt idx="686">
                  <c:v>#N/A</c:v>
                </c:pt>
                <c:pt idx="687">
                  <c:v>#N/A</c:v>
                </c:pt>
                <c:pt idx="688">
                  <c:v>#N/A</c:v>
                </c:pt>
                <c:pt idx="689">
                  <c:v>#N/A</c:v>
                </c:pt>
                <c:pt idx="690">
                  <c:v>#N/A</c:v>
                </c:pt>
                <c:pt idx="691">
                  <c:v>#N/A</c:v>
                </c:pt>
                <c:pt idx="692">
                  <c:v>#N/A</c:v>
                </c:pt>
                <c:pt idx="693">
                  <c:v>#N/A</c:v>
                </c:pt>
                <c:pt idx="694">
                  <c:v>2020</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1982</c:v>
                </c:pt>
                <c:pt idx="711">
                  <c:v>#N/A</c:v>
                </c:pt>
                <c:pt idx="712">
                  <c:v>#N/A</c:v>
                </c:pt>
                <c:pt idx="713">
                  <c:v>2013</c:v>
                </c:pt>
                <c:pt idx="714">
                  <c:v>#N/A</c:v>
                </c:pt>
                <c:pt idx="715">
                  <c:v>#N/A</c:v>
                </c:pt>
                <c:pt idx="716">
                  <c:v>#N/A</c:v>
                </c:pt>
                <c:pt idx="717">
                  <c:v>#N/A</c:v>
                </c:pt>
                <c:pt idx="718">
                  <c:v>#N/A</c:v>
                </c:pt>
                <c:pt idx="719">
                  <c:v>#N/A</c:v>
                </c:pt>
                <c:pt idx="720">
                  <c:v>#N/A</c:v>
                </c:pt>
                <c:pt idx="721">
                  <c:v>1998</c:v>
                </c:pt>
                <c:pt idx="722">
                  <c:v>#N/A</c:v>
                </c:pt>
                <c:pt idx="723">
                  <c:v>2017</c:v>
                </c:pt>
                <c:pt idx="724">
                  <c:v>#N/A</c:v>
                </c:pt>
                <c:pt idx="725">
                  <c:v>2006</c:v>
                </c:pt>
                <c:pt idx="726">
                  <c:v>#N/A</c:v>
                </c:pt>
                <c:pt idx="727">
                  <c:v>#N/A</c:v>
                </c:pt>
                <c:pt idx="728">
                  <c:v>#N/A</c:v>
                </c:pt>
                <c:pt idx="729">
                  <c:v>#N/A</c:v>
                </c:pt>
                <c:pt idx="730">
                  <c:v>#N/A</c:v>
                </c:pt>
                <c:pt idx="731">
                  <c:v>#N/A</c:v>
                </c:pt>
                <c:pt idx="732">
                  <c:v>#N/A</c:v>
                </c:pt>
                <c:pt idx="733">
                  <c:v>#N/A</c:v>
                </c:pt>
                <c:pt idx="734">
                  <c:v>#N/A</c:v>
                </c:pt>
                <c:pt idx="735">
                  <c:v>#N/A</c:v>
                </c:pt>
                <c:pt idx="736">
                  <c:v>#N/A</c:v>
                </c:pt>
                <c:pt idx="737">
                  <c:v>2021</c:v>
                </c:pt>
                <c:pt idx="738">
                  <c:v>2000</c:v>
                </c:pt>
                <c:pt idx="739">
                  <c:v>#N/A</c:v>
                </c:pt>
                <c:pt idx="740">
                  <c:v>#N/A</c:v>
                </c:pt>
                <c:pt idx="741">
                  <c:v>2014</c:v>
                </c:pt>
                <c:pt idx="742">
                  <c:v>2013</c:v>
                </c:pt>
                <c:pt idx="743">
                  <c:v>#N/A</c:v>
                </c:pt>
                <c:pt idx="744">
                  <c:v>#N/A</c:v>
                </c:pt>
                <c:pt idx="745">
                  <c:v>#N/A</c:v>
                </c:pt>
                <c:pt idx="746">
                  <c:v>#N/A</c:v>
                </c:pt>
                <c:pt idx="747">
                  <c:v>#N/A</c:v>
                </c:pt>
                <c:pt idx="748">
                  <c:v>2004</c:v>
                </c:pt>
                <c:pt idx="749">
                  <c:v>#N/A</c:v>
                </c:pt>
                <c:pt idx="750">
                  <c:v>#N/A</c:v>
                </c:pt>
                <c:pt idx="751">
                  <c:v>#N/A</c:v>
                </c:pt>
                <c:pt idx="752">
                  <c:v>#N/A</c:v>
                </c:pt>
                <c:pt idx="753">
                  <c:v>#N/A</c:v>
                </c:pt>
                <c:pt idx="754">
                  <c:v>#N/A</c:v>
                </c:pt>
                <c:pt idx="755">
                  <c:v>#N/A</c:v>
                </c:pt>
                <c:pt idx="756">
                  <c:v>2014</c:v>
                </c:pt>
                <c:pt idx="757">
                  <c:v>#N/A</c:v>
                </c:pt>
                <c:pt idx="758">
                  <c:v>#N/A</c:v>
                </c:pt>
                <c:pt idx="759">
                  <c:v>#N/A</c:v>
                </c:pt>
                <c:pt idx="760">
                  <c:v>#N/A</c:v>
                </c:pt>
                <c:pt idx="761">
                  <c:v>#N/A</c:v>
                </c:pt>
                <c:pt idx="762">
                  <c:v>#N/A</c:v>
                </c:pt>
                <c:pt idx="763">
                  <c:v>#N/A</c:v>
                </c:pt>
                <c:pt idx="764">
                  <c:v>#N/A</c:v>
                </c:pt>
                <c:pt idx="765">
                  <c:v>#N/A</c:v>
                </c:pt>
                <c:pt idx="766">
                  <c:v>#N/A</c:v>
                </c:pt>
                <c:pt idx="767">
                  <c:v>1999</c:v>
                </c:pt>
                <c:pt idx="768">
                  <c:v>2002</c:v>
                </c:pt>
                <c:pt idx="769">
                  <c:v>1993</c:v>
                </c:pt>
                <c:pt idx="770">
                  <c:v>2025</c:v>
                </c:pt>
                <c:pt idx="771">
                  <c:v>2024</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2012</c:v>
                </c:pt>
                <c:pt idx="786">
                  <c:v>2021</c:v>
                </c:pt>
                <c:pt idx="787">
                  <c:v>#N/A</c:v>
                </c:pt>
                <c:pt idx="788">
                  <c:v>#N/A</c:v>
                </c:pt>
                <c:pt idx="789">
                  <c:v>#N/A</c:v>
                </c:pt>
                <c:pt idx="790">
                  <c:v>#N/A</c:v>
                </c:pt>
                <c:pt idx="791">
                  <c:v>#N/A</c:v>
                </c:pt>
                <c:pt idx="792">
                  <c:v>#N/A</c:v>
                </c:pt>
                <c:pt idx="793">
                  <c:v>1992</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1998</c:v>
                </c:pt>
                <c:pt idx="811">
                  <c:v>#N/A</c:v>
                </c:pt>
                <c:pt idx="812">
                  <c:v>#N/A</c:v>
                </c:pt>
                <c:pt idx="813">
                  <c:v>#N/A</c:v>
                </c:pt>
                <c:pt idx="814">
                  <c:v>2023</c:v>
                </c:pt>
                <c:pt idx="815">
                  <c:v>#N/A</c:v>
                </c:pt>
                <c:pt idx="816">
                  <c:v>#N/A</c:v>
                </c:pt>
                <c:pt idx="817">
                  <c:v>2011</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2017</c:v>
                </c:pt>
                <c:pt idx="843">
                  <c:v>2010</c:v>
                </c:pt>
                <c:pt idx="844">
                  <c:v>1994</c:v>
                </c:pt>
                <c:pt idx="845">
                  <c:v>#N/A</c:v>
                </c:pt>
                <c:pt idx="846">
                  <c:v>#N/A</c:v>
                </c:pt>
                <c:pt idx="847">
                  <c:v>#N/A</c:v>
                </c:pt>
                <c:pt idx="848">
                  <c:v>2025</c:v>
                </c:pt>
                <c:pt idx="849">
                  <c:v>#N/A</c:v>
                </c:pt>
                <c:pt idx="850">
                  <c:v>#N/A</c:v>
                </c:pt>
                <c:pt idx="851">
                  <c:v>2022</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4.4139999999999997</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4.0460000000000003</c:v>
                </c:pt>
                <c:pt idx="444">
                  <c:v>4.069</c:v>
                </c:pt>
                <c:pt idx="445">
                  <c:v>#N/A</c:v>
                </c:pt>
                <c:pt idx="446">
                  <c:v>#N/A</c:v>
                </c:pt>
                <c:pt idx="447">
                  <c:v>#N/A</c:v>
                </c:pt>
                <c:pt idx="448">
                  <c:v>4.1609999999999996</c:v>
                </c:pt>
                <c:pt idx="449">
                  <c:v>4.1840000000000002</c:v>
                </c:pt>
                <c:pt idx="450">
                  <c:v>4.2069999999999999</c:v>
                </c:pt>
                <c:pt idx="451">
                  <c:v>4.2300000000000004</c:v>
                </c:pt>
                <c:pt idx="452">
                  <c:v>#N/A</c:v>
                </c:pt>
                <c:pt idx="453">
                  <c:v>#N/A</c:v>
                </c:pt>
                <c:pt idx="454">
                  <c:v>#N/A</c:v>
                </c:pt>
                <c:pt idx="455">
                  <c:v>#N/A</c:v>
                </c:pt>
                <c:pt idx="456">
                  <c:v>#N/A</c:v>
                </c:pt>
                <c:pt idx="457">
                  <c:v>#N/A</c:v>
                </c:pt>
                <c:pt idx="458">
                  <c:v>#N/A</c:v>
                </c:pt>
                <c:pt idx="459">
                  <c:v>#N/A</c:v>
                </c:pt>
                <c:pt idx="460">
                  <c:v>#N/A</c:v>
                </c:pt>
                <c:pt idx="461">
                  <c:v>#N/A</c:v>
                </c:pt>
                <c:pt idx="462">
                  <c:v>4.4829999999999997</c:v>
                </c:pt>
                <c:pt idx="463">
                  <c:v>#N/A</c:v>
                </c:pt>
                <c:pt idx="464">
                  <c:v>4.5289999999999999</c:v>
                </c:pt>
                <c:pt idx="465">
                  <c:v>#N/A</c:v>
                </c:pt>
                <c:pt idx="466">
                  <c:v>#N/A</c:v>
                </c:pt>
                <c:pt idx="467">
                  <c:v>#N/A</c:v>
                </c:pt>
                <c:pt idx="468">
                  <c:v>#N/A</c:v>
                </c:pt>
                <c:pt idx="469">
                  <c:v>#N/A</c:v>
                </c:pt>
                <c:pt idx="470">
                  <c:v>4.6669999999999998</c:v>
                </c:pt>
                <c:pt idx="471">
                  <c:v>#N/A</c:v>
                </c:pt>
                <c:pt idx="472">
                  <c:v>#N/A</c:v>
                </c:pt>
                <c:pt idx="473">
                  <c:v>#N/A</c:v>
                </c:pt>
                <c:pt idx="474">
                  <c:v>4.7590000000000003</c:v>
                </c:pt>
                <c:pt idx="475">
                  <c:v>4</c:v>
                </c:pt>
                <c:pt idx="476">
                  <c:v>#N/A</c:v>
                </c:pt>
                <c:pt idx="477">
                  <c:v>#N/A</c:v>
                </c:pt>
                <c:pt idx="478">
                  <c:v>#N/A</c:v>
                </c:pt>
                <c:pt idx="479">
                  <c:v>#N/A</c:v>
                </c:pt>
                <c:pt idx="480">
                  <c:v>#N/A</c:v>
                </c:pt>
                <c:pt idx="481">
                  <c:v>#N/A</c:v>
                </c:pt>
                <c:pt idx="482">
                  <c:v>#N/A</c:v>
                </c:pt>
                <c:pt idx="483">
                  <c:v>#N/A</c:v>
                </c:pt>
                <c:pt idx="484">
                  <c:v>#N/A</c:v>
                </c:pt>
                <c:pt idx="485">
                  <c:v>4.2300000000000004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4.1150000000000002</c:v>
                </c:pt>
                <c:pt idx="515">
                  <c:v>#N/A</c:v>
                </c:pt>
                <c:pt idx="516">
                  <c:v>#N/A</c:v>
                </c:pt>
                <c:pt idx="517">
                  <c:v>4.1840000000000002</c:v>
                </c:pt>
                <c:pt idx="518">
                  <c:v>4.2069999999999999</c:v>
                </c:pt>
                <c:pt idx="519">
                  <c:v>#N/A</c:v>
                </c:pt>
                <c:pt idx="520">
                  <c:v>#N/A</c:v>
                </c:pt>
                <c:pt idx="521">
                  <c:v>#N/A</c:v>
                </c:pt>
                <c:pt idx="522">
                  <c:v>4.2990000000000004</c:v>
                </c:pt>
                <c:pt idx="523">
                  <c:v>#N/A</c:v>
                </c:pt>
                <c:pt idx="524">
                  <c:v>4.3449999999999998</c:v>
                </c:pt>
                <c:pt idx="525">
                  <c:v>#N/A</c:v>
                </c:pt>
                <c:pt idx="526">
                  <c:v>#N/A</c:v>
                </c:pt>
                <c:pt idx="527">
                  <c:v>#N/A</c:v>
                </c:pt>
                <c:pt idx="528">
                  <c:v>4.4370000000000003</c:v>
                </c:pt>
                <c:pt idx="529">
                  <c:v>#N/A</c:v>
                </c:pt>
                <c:pt idx="530">
                  <c:v>4.4829999999999997</c:v>
                </c:pt>
                <c:pt idx="531">
                  <c:v>#N/A</c:v>
                </c:pt>
                <c:pt idx="532">
                  <c:v>#N/A</c:v>
                </c:pt>
                <c:pt idx="533">
                  <c:v>#N/A</c:v>
                </c:pt>
                <c:pt idx="534">
                  <c:v>#N/A</c:v>
                </c:pt>
                <c:pt idx="535">
                  <c:v>#N/A</c:v>
                </c:pt>
                <c:pt idx="536">
                  <c:v>#N/A</c:v>
                </c:pt>
                <c:pt idx="537">
                  <c:v>4.6440000000000001</c:v>
                </c:pt>
                <c:pt idx="538">
                  <c:v>#N/A</c:v>
                </c:pt>
                <c:pt idx="539">
                  <c:v>#N/A</c:v>
                </c:pt>
                <c:pt idx="540">
                  <c:v>#N/A</c:v>
                </c:pt>
                <c:pt idx="541">
                  <c:v>#N/A</c:v>
                </c:pt>
                <c:pt idx="542">
                  <c:v>#N/A</c:v>
                </c:pt>
                <c:pt idx="543">
                  <c:v>#N/A</c:v>
                </c:pt>
                <c:pt idx="544">
                  <c:v>#N/A</c:v>
                </c:pt>
                <c:pt idx="545">
                  <c:v>#N/A</c:v>
                </c:pt>
                <c:pt idx="546">
                  <c:v>#N/A</c:v>
                </c:pt>
                <c:pt idx="547">
                  <c:v>4.0919999999999996</c:v>
                </c:pt>
                <c:pt idx="548">
                  <c:v>4.1150000000000002</c:v>
                </c:pt>
                <c:pt idx="549">
                  <c:v>4.1379999999999999</c:v>
                </c:pt>
                <c:pt idx="550">
                  <c:v>4.1609999999999996</c:v>
                </c:pt>
                <c:pt idx="551">
                  <c:v>4.1840000000000002</c:v>
                </c:pt>
                <c:pt idx="552">
                  <c:v>4.2069999999999999</c:v>
                </c:pt>
                <c:pt idx="553">
                  <c:v>#N/A</c:v>
                </c:pt>
                <c:pt idx="554">
                  <c:v>#N/A</c:v>
                </c:pt>
                <c:pt idx="555">
                  <c:v>#N/A</c:v>
                </c:pt>
                <c:pt idx="556">
                  <c:v>4.2990000000000004</c:v>
                </c:pt>
                <c:pt idx="557">
                  <c:v>#N/A</c:v>
                </c:pt>
                <c:pt idx="558">
                  <c:v>#N/A</c:v>
                </c:pt>
                <c:pt idx="559">
                  <c:v>#N/A</c:v>
                </c:pt>
                <c:pt idx="560">
                  <c:v>4.391</c:v>
                </c:pt>
                <c:pt idx="561">
                  <c:v>4.4139999999999997</c:v>
                </c:pt>
                <c:pt idx="562">
                  <c:v>#N/A</c:v>
                </c:pt>
                <c:pt idx="563">
                  <c:v>#N/A</c:v>
                </c:pt>
                <c:pt idx="564">
                  <c:v>#N/A</c:v>
                </c:pt>
                <c:pt idx="565">
                  <c:v>4.5060000000000002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4.0919999999999996</c:v>
                </c:pt>
                <c:pt idx="582">
                  <c:v>4.1150000000000002</c:v>
                </c:pt>
                <c:pt idx="583">
                  <c:v>4.1379999999999999</c:v>
                </c:pt>
                <c:pt idx="584">
                  <c:v>#N/A</c:v>
                </c:pt>
                <c:pt idx="585">
                  <c:v>#N/A</c:v>
                </c:pt>
                <c:pt idx="586">
                  <c:v>#N/A</c:v>
                </c:pt>
                <c:pt idx="587">
                  <c:v>#N/A</c:v>
                </c:pt>
                <c:pt idx="588">
                  <c:v>#N/A</c:v>
                </c:pt>
                <c:pt idx="589">
                  <c:v>#N/A</c:v>
                </c:pt>
                <c:pt idx="590">
                  <c:v>#N/A</c:v>
                </c:pt>
                <c:pt idx="591">
                  <c:v>#N/A</c:v>
                </c:pt>
                <c:pt idx="592">
                  <c:v>#N/A</c:v>
                </c:pt>
                <c:pt idx="593">
                  <c:v>#N/A</c:v>
                </c:pt>
                <c:pt idx="594">
                  <c:v>4.391</c:v>
                </c:pt>
                <c:pt idx="595">
                  <c:v>#N/A</c:v>
                </c:pt>
                <c:pt idx="596">
                  <c:v>4.4370000000000003</c:v>
                </c:pt>
                <c:pt idx="597">
                  <c:v>#N/A</c:v>
                </c:pt>
                <c:pt idx="598">
                  <c:v>#N/A</c:v>
                </c:pt>
                <c:pt idx="599">
                  <c:v>4.5060000000000002</c:v>
                </c:pt>
                <c:pt idx="600">
                  <c:v>#N/A</c:v>
                </c:pt>
                <c:pt idx="601">
                  <c:v>#N/A</c:v>
                </c:pt>
                <c:pt idx="602">
                  <c:v>#N/A</c:v>
                </c:pt>
                <c:pt idx="603">
                  <c:v>#N/A</c:v>
                </c:pt>
                <c:pt idx="604">
                  <c:v>#N/A</c:v>
                </c:pt>
                <c:pt idx="605">
                  <c:v>#N/A</c:v>
                </c:pt>
                <c:pt idx="606">
                  <c:v>#N/A</c:v>
                </c:pt>
                <c:pt idx="607">
                  <c:v>#N/A</c:v>
                </c:pt>
                <c:pt idx="608">
                  <c:v>#N/A</c:v>
                </c:pt>
                <c:pt idx="609">
                  <c:v>4.7359999999999998</c:v>
                </c:pt>
                <c:pt idx="610">
                  <c:v>#N/A</c:v>
                </c:pt>
                <c:pt idx="611">
                  <c:v>4</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#N/A</c:v>
                </c:pt>
                <c:pt idx="633">
                  <c:v>4.5060000000000002</c:v>
                </c:pt>
                <c:pt idx="634">
                  <c:v>#N/A</c:v>
                </c:pt>
                <c:pt idx="635">
                  <c:v>#N/A</c:v>
                </c:pt>
                <c:pt idx="636">
                  <c:v>#N/A</c:v>
                </c:pt>
                <c:pt idx="637">
                  <c:v>4.5979999999999999</c:v>
                </c:pt>
                <c:pt idx="638">
                  <c:v>#N/A</c:v>
                </c:pt>
                <c:pt idx="639">
                  <c:v>4.6440000000000001</c:v>
                </c:pt>
                <c:pt idx="640">
                  <c:v>4.6669999999999998</c:v>
                </c:pt>
                <c:pt idx="641">
                  <c:v>4.6899999999999995</c:v>
                </c:pt>
                <c:pt idx="642">
                  <c:v>4.7130000000000001</c:v>
                </c:pt>
                <c:pt idx="643">
                  <c:v>4.7359999999999998</c:v>
                </c:pt>
                <c:pt idx="644">
                  <c:v>4.7590000000000003</c:v>
                </c:pt>
                <c:pt idx="645">
                  <c:v>4</c:v>
                </c:pt>
                <c:pt idx="646">
                  <c:v>4.0229999999999997</c:v>
                </c:pt>
                <c:pt idx="647">
                  <c:v>#N/A</c:v>
                </c:pt>
                <c:pt idx="648">
                  <c:v>#N/A</c:v>
                </c:pt>
                <c:pt idx="649">
                  <c:v>#N/A</c:v>
                </c:pt>
                <c:pt idx="650">
                  <c:v>#N/A</c:v>
                </c:pt>
                <c:pt idx="651">
                  <c:v>4.1379999999999999</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4.5979999999999999</c:v>
                </c:pt>
                <c:pt idx="672">
                  <c:v>#N/A</c:v>
                </c:pt>
                <c:pt idx="673">
                  <c:v>#N/A</c:v>
                </c:pt>
                <c:pt idx="674">
                  <c:v>#N/A</c:v>
                </c:pt>
                <c:pt idx="675">
                  <c:v>4.6899999999999995</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4.7359999999999998</c:v>
                </c:pt>
                <c:pt idx="712">
                  <c:v>#N/A</c:v>
                </c:pt>
                <c:pt idx="713">
                  <c:v>#N/A</c:v>
                </c:pt>
                <c:pt idx="714">
                  <c:v>4.0229999999999997</c:v>
                </c:pt>
                <c:pt idx="715">
                  <c:v>#N/A</c:v>
                </c:pt>
                <c:pt idx="716">
                  <c:v>#N/A</c:v>
                </c:pt>
                <c:pt idx="717">
                  <c:v>#N/A</c:v>
                </c:pt>
                <c:pt idx="718">
                  <c:v>#N/A</c:v>
                </c:pt>
                <c:pt idx="719">
                  <c:v>#N/A</c:v>
                </c:pt>
                <c:pt idx="720">
                  <c:v>#N/A</c:v>
                </c:pt>
                <c:pt idx="721">
                  <c:v>#N/A</c:v>
                </c:pt>
                <c:pt idx="722">
                  <c:v>4.2069999999999999</c:v>
                </c:pt>
                <c:pt idx="723">
                  <c:v>#N/A</c:v>
                </c:pt>
                <c:pt idx="724">
                  <c:v>4.2530000000000001</c:v>
                </c:pt>
                <c:pt idx="725">
                  <c:v>#N/A</c:v>
                </c:pt>
                <c:pt idx="726">
                  <c:v>4.2990000000000004</c:v>
                </c:pt>
                <c:pt idx="727">
                  <c:v>#N/A</c:v>
                </c:pt>
                <c:pt idx="728">
                  <c:v>#N/A</c:v>
                </c:pt>
                <c:pt idx="729">
                  <c:v>#N/A</c:v>
                </c:pt>
                <c:pt idx="730">
                  <c:v>#N/A</c:v>
                </c:pt>
                <c:pt idx="731">
                  <c:v>#N/A</c:v>
                </c:pt>
                <c:pt idx="732">
                  <c:v>#N/A</c:v>
                </c:pt>
                <c:pt idx="733">
                  <c:v>#N/A</c:v>
                </c:pt>
                <c:pt idx="734">
                  <c:v>#N/A</c:v>
                </c:pt>
                <c:pt idx="735">
                  <c:v>#N/A</c:v>
                </c:pt>
                <c:pt idx="736">
                  <c:v>#N/A</c:v>
                </c:pt>
                <c:pt idx="737">
                  <c:v>#N/A</c:v>
                </c:pt>
                <c:pt idx="738">
                  <c:v>4.5750000000000002</c:v>
                </c:pt>
                <c:pt idx="739">
                  <c:v>4.5979999999999999</c:v>
                </c:pt>
                <c:pt idx="740">
                  <c:v>#N/A</c:v>
                </c:pt>
                <c:pt idx="741">
                  <c:v>#N/A</c:v>
                </c:pt>
                <c:pt idx="742">
                  <c:v>4.6669999999999998</c:v>
                </c:pt>
                <c:pt idx="743">
                  <c:v>4.6899999999999995</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4.4829999999999997</c:v>
                </c:pt>
                <c:pt idx="769">
                  <c:v>4.5060000000000002</c:v>
                </c:pt>
                <c:pt idx="770">
                  <c:v>4.5289999999999999</c:v>
                </c:pt>
                <c:pt idx="771">
                  <c:v>4.5519999999999996</c:v>
                </c:pt>
                <c:pt idx="772">
                  <c:v>4.5750000000000002</c:v>
                </c:pt>
                <c:pt idx="773">
                  <c:v>4.5979999999999999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#N/A</c:v>
                </c:pt>
                <c:pt idx="793">
                  <c:v>#N/A</c:v>
                </c:pt>
                <c:pt idx="794">
                  <c:v>4.2990000000000004</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4.6899999999999995</c:v>
                </c:pt>
                <c:pt idx="812">
                  <c:v>#N/A</c:v>
                </c:pt>
                <c:pt idx="813">
                  <c:v>#N/A</c:v>
                </c:pt>
                <c:pt idx="814">
                  <c:v>#N/A</c:v>
                </c:pt>
                <c:pt idx="815">
                  <c:v>4</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4.6440000000000001</c:v>
                </c:pt>
                <c:pt idx="844">
                  <c:v>4.6669999999999998</c:v>
                </c:pt>
                <c:pt idx="845">
                  <c:v>4.6899999999999995</c:v>
                </c:pt>
                <c:pt idx="846">
                  <c:v>#N/A</c:v>
                </c:pt>
                <c:pt idx="847">
                  <c:v>#N/A</c:v>
                </c:pt>
                <c:pt idx="848">
                  <c:v>#N/A</c:v>
                </c:pt>
                <c:pt idx="849">
                  <c:v>4</c:v>
                </c:pt>
                <c:pt idx="850">
                  <c:v>#N/A</c:v>
                </c:pt>
                <c:pt idx="851">
                  <c:v>#N/A</c:v>
                </c:pt>
                <c:pt idx="852">
                  <c:v>4.069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3" totalsRowShown="0">
  <autoFilter ref="A1:J853" xr:uid="{00000000-0009-0000-0100-000001000000}"/>
  <sortState xmlns:xlrd2="http://schemas.microsoft.com/office/spreadsheetml/2017/richdata2" ref="A2:J853">
    <sortCondition ref="A844:A85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3" totalsRowShown="0">
  <autoFilter ref="A1:E1223"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38" totalsRowShown="0">
  <autoFilter ref="A1:J38" xr:uid="{00000000-0009-0000-0100-000004000000}"/>
  <sortState xmlns:xlrd2="http://schemas.microsoft.com/office/spreadsheetml/2017/richdata2" ref="A2:J31">
    <sortCondition ref="A24:A3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10" xr3:uid="{A1C0FC62-6345-42EB-ADE4-1EE6CE54CAB4}" name="pool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table" Target="../tables/table1.xm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table" Target="../tables/table2.xm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3"/>
  <sheetViews>
    <sheetView topLeftCell="A574" zoomScaleNormal="100" workbookViewId="0">
      <selection activeCell="A615" sqref="A61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H235" t="s">
        <v>102</v>
      </c>
      <c r="I235" t="s">
        <v>7043</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1</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7080</v>
      </c>
      <c r="B420">
        <v>2026</v>
      </c>
      <c r="C420" t="s">
        <v>36</v>
      </c>
      <c r="D420" t="b">
        <f>TRUE()</f>
        <v>1</v>
      </c>
      <c r="E420" t="b">
        <f>COUNTIF(connections!A:A, A420) &gt; 0</f>
        <v>0</v>
      </c>
      <c r="G420" t="s">
        <v>7081</v>
      </c>
      <c r="J420" s="11" t="s">
        <v>7079</v>
      </c>
    </row>
    <row r="421" spans="1:10" ht="15" customHeight="1" x14ac:dyDescent="0.25">
      <c r="A421" t="s">
        <v>1490</v>
      </c>
      <c r="B421">
        <v>2026</v>
      </c>
      <c r="C421" t="s">
        <v>40</v>
      </c>
      <c r="D421" t="b">
        <f>TRUE()</f>
        <v>1</v>
      </c>
      <c r="E421" t="b">
        <f>COUNTIF(connections!A:A, A421) &gt; 0</f>
        <v>0</v>
      </c>
      <c r="F421" t="s">
        <v>178</v>
      </c>
      <c r="G421" t="s">
        <v>1491</v>
      </c>
    </row>
    <row r="422" spans="1:10" ht="15" customHeight="1" x14ac:dyDescent="0.25">
      <c r="A422" t="s">
        <v>1492</v>
      </c>
      <c r="B422">
        <v>2026</v>
      </c>
      <c r="C422" t="s">
        <v>36</v>
      </c>
      <c r="D422" t="b">
        <f>FALSE()</f>
        <v>0</v>
      </c>
      <c r="E422" t="b">
        <f>COUNTIF(connections!A:A, A422) &gt; 0</f>
        <v>0</v>
      </c>
      <c r="G422" t="s">
        <v>1493</v>
      </c>
      <c r="J422" s="1" t="s">
        <v>1494</v>
      </c>
    </row>
    <row r="423" spans="1:10" ht="15" customHeight="1" x14ac:dyDescent="0.25">
      <c r="A423" t="s">
        <v>1495</v>
      </c>
      <c r="B423">
        <v>2019</v>
      </c>
      <c r="C423" t="s">
        <v>36</v>
      </c>
      <c r="D423" t="b">
        <f>TRUE()</f>
        <v>1</v>
      </c>
      <c r="E423" t="b">
        <f>COUNTIF(connections!A:A, A423) &gt; 0</f>
        <v>1</v>
      </c>
      <c r="G423" t="s">
        <v>1496</v>
      </c>
    </row>
    <row r="424" spans="1:10" ht="16.5" customHeight="1" x14ac:dyDescent="0.25">
      <c r="A424" t="s">
        <v>1497</v>
      </c>
      <c r="B424">
        <v>2023</v>
      </c>
      <c r="C424" t="s">
        <v>36</v>
      </c>
      <c r="D424" t="b">
        <f>TRUE()</f>
        <v>1</v>
      </c>
      <c r="E424" t="b">
        <f>COUNTIF(connections!A:A, A424) &gt; 0</f>
        <v>1</v>
      </c>
      <c r="G424" t="s">
        <v>1498</v>
      </c>
    </row>
    <row r="425" spans="1:10" ht="15" customHeight="1" x14ac:dyDescent="0.25">
      <c r="A425" t="s">
        <v>1499</v>
      </c>
      <c r="B425">
        <v>2025</v>
      </c>
      <c r="C425" t="s">
        <v>36</v>
      </c>
      <c r="D425" t="b">
        <f>TRUE()</f>
        <v>1</v>
      </c>
      <c r="E425" t="b">
        <f>COUNTIF(connections!A:A, A425) &gt; 0</f>
        <v>0</v>
      </c>
      <c r="G425" t="s">
        <v>1500</v>
      </c>
    </row>
    <row r="426" spans="1:10" ht="15" customHeight="1" x14ac:dyDescent="0.25">
      <c r="A426" t="s">
        <v>1501</v>
      </c>
      <c r="B426">
        <v>2020</v>
      </c>
      <c r="C426" t="s">
        <v>46</v>
      </c>
      <c r="D426" t="b">
        <f>TRUE()</f>
        <v>1</v>
      </c>
      <c r="E426" t="b">
        <f>COUNTIF(connections!A:A, A426) &gt; 0</f>
        <v>0</v>
      </c>
      <c r="G426" t="s">
        <v>1502</v>
      </c>
      <c r="H426" t="s">
        <v>102</v>
      </c>
      <c r="I426" t="s">
        <v>1503</v>
      </c>
      <c r="J426" s="1" t="s">
        <v>1504</v>
      </c>
    </row>
    <row r="427" spans="1:10" ht="15" customHeight="1" x14ac:dyDescent="0.25">
      <c r="A427" t="s">
        <v>1505</v>
      </c>
      <c r="B427">
        <v>2018</v>
      </c>
      <c r="C427" t="s">
        <v>36</v>
      </c>
      <c r="D427" t="b">
        <f>TRUE()</f>
        <v>1</v>
      </c>
      <c r="E427" t="b">
        <f>COUNTIF(connections!A:A, A427) &gt; 0</f>
        <v>0</v>
      </c>
      <c r="G427" t="s">
        <v>1506</v>
      </c>
      <c r="H427" t="s">
        <v>102</v>
      </c>
      <c r="I427" t="s">
        <v>1507</v>
      </c>
      <c r="J427" s="1" t="s">
        <v>1508</v>
      </c>
    </row>
    <row r="428" spans="1:10" ht="15" customHeight="1" x14ac:dyDescent="0.25">
      <c r="A428" t="s">
        <v>1509</v>
      </c>
      <c r="B428">
        <v>2025</v>
      </c>
      <c r="C428" t="s">
        <v>36</v>
      </c>
      <c r="D428" t="b">
        <f>TRUE()</f>
        <v>1</v>
      </c>
      <c r="E428" t="b">
        <f>COUNTIF(connections!A:A, A428) &gt; 0</f>
        <v>0</v>
      </c>
      <c r="G428" t="s">
        <v>1510</v>
      </c>
      <c r="H428" t="s">
        <v>102</v>
      </c>
      <c r="I428" t="s">
        <v>1511</v>
      </c>
      <c r="J428" s="11" t="s">
        <v>1512</v>
      </c>
    </row>
    <row r="429" spans="1:10" ht="15" customHeight="1" x14ac:dyDescent="0.25">
      <c r="A429" t="s">
        <v>1513</v>
      </c>
      <c r="B429">
        <v>2026</v>
      </c>
      <c r="C429" t="s">
        <v>44</v>
      </c>
      <c r="D429" t="b">
        <f>TRUE()</f>
        <v>1</v>
      </c>
      <c r="E429" t="b">
        <f>COUNTIF(connections!A:A, A429) &gt; 0</f>
        <v>0</v>
      </c>
      <c r="G429" t="s">
        <v>1514</v>
      </c>
      <c r="J429" s="11" t="s">
        <v>1515</v>
      </c>
    </row>
    <row r="430" spans="1:10" ht="15" customHeight="1" x14ac:dyDescent="0.25">
      <c r="A430" t="s">
        <v>1516</v>
      </c>
      <c r="B430">
        <v>2025</v>
      </c>
      <c r="C430" t="s">
        <v>36</v>
      </c>
      <c r="D430" t="b">
        <f>TRUE()</f>
        <v>1</v>
      </c>
      <c r="E430" t="b">
        <f>COUNTIF(connections!A:A, A430) &gt; 0</f>
        <v>0</v>
      </c>
      <c r="G430" t="s">
        <v>1517</v>
      </c>
      <c r="H430" t="s">
        <v>102</v>
      </c>
      <c r="I430" t="s">
        <v>1518</v>
      </c>
      <c r="J430" s="1" t="s">
        <v>1519</v>
      </c>
    </row>
    <row r="431" spans="1:10" ht="15" customHeight="1" x14ac:dyDescent="0.25">
      <c r="A431" t="s">
        <v>1520</v>
      </c>
      <c r="B431">
        <v>2022</v>
      </c>
      <c r="C431" t="s">
        <v>40</v>
      </c>
      <c r="D431" t="b">
        <f>FALSE()</f>
        <v>0</v>
      </c>
      <c r="E431" t="b">
        <f>COUNTIF(connections!A:A, A431) &gt; 0</f>
        <v>0</v>
      </c>
      <c r="G431" t="s">
        <v>1521</v>
      </c>
      <c r="H431" t="s">
        <v>102</v>
      </c>
      <c r="I431" t="s">
        <v>1522</v>
      </c>
      <c r="J431" s="1" t="s">
        <v>1523</v>
      </c>
    </row>
    <row r="432" spans="1:10" ht="15" customHeight="1" x14ac:dyDescent="0.25">
      <c r="A432" t="s">
        <v>1524</v>
      </c>
      <c r="B432">
        <v>2025</v>
      </c>
      <c r="C432" t="s">
        <v>36</v>
      </c>
      <c r="D432" t="b">
        <f>TRUE()</f>
        <v>1</v>
      </c>
      <c r="E432" t="b">
        <f>COUNTIF(connections!A:A, A432) &gt; 0</f>
        <v>0</v>
      </c>
      <c r="G432" t="s">
        <v>1525</v>
      </c>
      <c r="H432" t="s">
        <v>102</v>
      </c>
      <c r="I432" t="s">
        <v>1526</v>
      </c>
      <c r="J432" s="1" t="s">
        <v>1527</v>
      </c>
    </row>
    <row r="433" spans="1:10" ht="15" customHeight="1" x14ac:dyDescent="0.25">
      <c r="A433" t="s">
        <v>1528</v>
      </c>
      <c r="B433">
        <v>2024</v>
      </c>
      <c r="C433" t="s">
        <v>44</v>
      </c>
      <c r="D433" t="b">
        <f>TRUE()</f>
        <v>1</v>
      </c>
      <c r="E433" t="b">
        <f>COUNTIF(connections!A:A, A433) &gt; 0</f>
        <v>0</v>
      </c>
      <c r="G433" t="s">
        <v>1529</v>
      </c>
    </row>
    <row r="434" spans="1:10" ht="15" customHeight="1" x14ac:dyDescent="0.25">
      <c r="A434" t="s">
        <v>1530</v>
      </c>
      <c r="B434">
        <v>2024</v>
      </c>
      <c r="C434" t="s">
        <v>44</v>
      </c>
      <c r="D434" t="b">
        <f>TRUE()</f>
        <v>1</v>
      </c>
      <c r="E434" t="b">
        <f>COUNTIF(connections!A:A, A434) &gt; 0</f>
        <v>0</v>
      </c>
      <c r="G434" t="s">
        <v>1531</v>
      </c>
      <c r="H434" t="s">
        <v>102</v>
      </c>
      <c r="I434" t="s">
        <v>1532</v>
      </c>
      <c r="J434" s="1" t="s">
        <v>1533</v>
      </c>
    </row>
    <row r="435" spans="1:10" ht="15" customHeight="1" x14ac:dyDescent="0.25">
      <c r="A435" t="s">
        <v>1534</v>
      </c>
      <c r="B435">
        <v>2026</v>
      </c>
      <c r="C435" t="s">
        <v>44</v>
      </c>
      <c r="D435" t="b">
        <f>TRUE()</f>
        <v>1</v>
      </c>
      <c r="E435" t="b">
        <f>COUNTIF(connections!A:A, A435) &gt; 0</f>
        <v>0</v>
      </c>
      <c r="G435" t="s">
        <v>1535</v>
      </c>
    </row>
    <row r="436" spans="1:10" ht="15" customHeight="1" x14ac:dyDescent="0.25">
      <c r="A436" t="s">
        <v>1536</v>
      </c>
      <c r="B436">
        <v>2025</v>
      </c>
      <c r="C436" t="s">
        <v>44</v>
      </c>
      <c r="D436" t="b">
        <f>TRUE()</f>
        <v>1</v>
      </c>
      <c r="E436" t="b">
        <f>COUNTIF(connections!A:A, A436) &gt; 0</f>
        <v>0</v>
      </c>
      <c r="G436" t="s">
        <v>1537</v>
      </c>
      <c r="H436" t="s">
        <v>102</v>
      </c>
      <c r="I436" t="s">
        <v>1538</v>
      </c>
      <c r="J436" s="1" t="s">
        <v>1539</v>
      </c>
    </row>
    <row r="437" spans="1:10" ht="15" customHeight="1" x14ac:dyDescent="0.25">
      <c r="A437" t="s">
        <v>1540</v>
      </c>
      <c r="B437">
        <v>2024</v>
      </c>
      <c r="C437" t="s">
        <v>40</v>
      </c>
      <c r="D437" t="b">
        <f>TRUE()</f>
        <v>1</v>
      </c>
      <c r="E437" t="b">
        <f>COUNTIF(connections!A:A, A437) &gt; 0</f>
        <v>0</v>
      </c>
      <c r="G437" t="s">
        <v>1541</v>
      </c>
      <c r="H437" t="s">
        <v>102</v>
      </c>
      <c r="I437" t="s">
        <v>1542</v>
      </c>
      <c r="J437" s="1" t="s">
        <v>1543</v>
      </c>
    </row>
    <row r="438" spans="1:10" ht="15" customHeight="1" x14ac:dyDescent="0.25">
      <c r="A438" t="s">
        <v>1544</v>
      </c>
      <c r="B438">
        <v>2020</v>
      </c>
      <c r="C438" t="s">
        <v>36</v>
      </c>
      <c r="D438" t="b">
        <f>TRUE()</f>
        <v>1</v>
      </c>
      <c r="E438" t="b">
        <f>COUNTIF(connections!A:A, A438) &gt; 0</f>
        <v>0</v>
      </c>
      <c r="G438" t="s">
        <v>1545</v>
      </c>
      <c r="H438" t="s">
        <v>102</v>
      </c>
      <c r="I438" t="s">
        <v>1546</v>
      </c>
      <c r="J438" s="1" t="s">
        <v>1547</v>
      </c>
    </row>
    <row r="439" spans="1:10" ht="15" customHeight="1" x14ac:dyDescent="0.25">
      <c r="A439" t="s">
        <v>1548</v>
      </c>
      <c r="B439">
        <v>2021</v>
      </c>
      <c r="C439" t="s">
        <v>36</v>
      </c>
      <c r="D439" t="b">
        <f>FALSE()</f>
        <v>0</v>
      </c>
      <c r="E439" t="b">
        <f>COUNTIF(connections!A:A, A439) &gt; 0</f>
        <v>0</v>
      </c>
      <c r="G439" t="s">
        <v>1549</v>
      </c>
      <c r="H439" t="s">
        <v>102</v>
      </c>
      <c r="I439" t="s">
        <v>1550</v>
      </c>
      <c r="J439" s="1" t="s">
        <v>1551</v>
      </c>
    </row>
    <row r="440" spans="1:10" ht="15" customHeight="1" x14ac:dyDescent="0.25">
      <c r="A440" t="s">
        <v>1552</v>
      </c>
      <c r="B440">
        <v>2026</v>
      </c>
      <c r="C440" t="s">
        <v>40</v>
      </c>
      <c r="D440" t="b">
        <f>TRUE()</f>
        <v>1</v>
      </c>
      <c r="E440" t="b">
        <f>COUNTIF(connections!A:A, A440) &gt; 0</f>
        <v>0</v>
      </c>
      <c r="F440" t="s">
        <v>440</v>
      </c>
      <c r="G440" t="s">
        <v>1553</v>
      </c>
      <c r="H440" t="s">
        <v>102</v>
      </c>
      <c r="I440" t="s">
        <v>1554</v>
      </c>
      <c r="J440" s="1" t="s">
        <v>1555</v>
      </c>
    </row>
    <row r="441" spans="1:10" ht="15" customHeight="1" x14ac:dyDescent="0.25">
      <c r="A441" t="s">
        <v>1556</v>
      </c>
      <c r="B441">
        <v>2025</v>
      </c>
      <c r="C441" t="s">
        <v>36</v>
      </c>
      <c r="D441" t="b">
        <f>FALSE()</f>
        <v>0</v>
      </c>
      <c r="E441" t="b">
        <f>COUNTIF(connections!A:A, A441) &gt; 0</f>
        <v>0</v>
      </c>
      <c r="G441" t="s">
        <v>1557</v>
      </c>
    </row>
    <row r="442" spans="1:10" ht="15" customHeight="1" x14ac:dyDescent="0.25">
      <c r="A442" t="s">
        <v>1558</v>
      </c>
      <c r="B442">
        <v>2024</v>
      </c>
      <c r="C442" t="s">
        <v>40</v>
      </c>
      <c r="D442" t="b">
        <f>FALSE()</f>
        <v>0</v>
      </c>
      <c r="E442" t="b">
        <f>COUNTIF(connections!A:A, A442) &gt; 0</f>
        <v>1</v>
      </c>
      <c r="G442" t="s">
        <v>1559</v>
      </c>
      <c r="H442" t="s">
        <v>102</v>
      </c>
      <c r="I442" t="s">
        <v>1560</v>
      </c>
      <c r="J442" s="1" t="s">
        <v>1561</v>
      </c>
    </row>
    <row r="443" spans="1:10" ht="15" customHeight="1" x14ac:dyDescent="0.25">
      <c r="A443" t="s">
        <v>1562</v>
      </c>
      <c r="B443">
        <v>2012</v>
      </c>
      <c r="C443" t="s">
        <v>46</v>
      </c>
      <c r="D443" t="b">
        <f>TRUE()</f>
        <v>1</v>
      </c>
      <c r="E443" t="b">
        <f>COUNTIF(connections!A:A, A443) &gt; 0</f>
        <v>1</v>
      </c>
      <c r="F443" t="s">
        <v>239</v>
      </c>
      <c r="G443" t="s">
        <v>1563</v>
      </c>
    </row>
    <row r="444" spans="1:10" ht="15" customHeight="1" x14ac:dyDescent="0.25">
      <c r="A444" t="s">
        <v>1564</v>
      </c>
      <c r="B444">
        <v>2011</v>
      </c>
      <c r="C444" t="s">
        <v>46</v>
      </c>
      <c r="D444" t="b">
        <f>TRUE()</f>
        <v>1</v>
      </c>
      <c r="E444" t="b">
        <f>COUNTIF(connections!A:A, A444) &gt; 0</f>
        <v>1</v>
      </c>
      <c r="F444" t="s">
        <v>239</v>
      </c>
      <c r="G444" t="s">
        <v>1565</v>
      </c>
    </row>
    <row r="445" spans="1:10" ht="15" customHeight="1" x14ac:dyDescent="0.25">
      <c r="A445" t="s">
        <v>1566</v>
      </c>
      <c r="B445">
        <v>1987</v>
      </c>
      <c r="C445" t="s">
        <v>46</v>
      </c>
      <c r="D445" t="b">
        <v>1</v>
      </c>
      <c r="E445" t="b">
        <f>COUNTIF(connections!A:A, A445) &gt; 0</f>
        <v>0</v>
      </c>
      <c r="G445" t="s">
        <v>1567</v>
      </c>
      <c r="H445" t="s">
        <v>102</v>
      </c>
      <c r="I445" t="s">
        <v>1568</v>
      </c>
    </row>
    <row r="446" spans="1:10" ht="15" customHeight="1" x14ac:dyDescent="0.25">
      <c r="A446" t="s">
        <v>1569</v>
      </c>
      <c r="B446">
        <v>2023</v>
      </c>
      <c r="C446" t="s">
        <v>36</v>
      </c>
      <c r="D446" t="b">
        <f>TRUE()</f>
        <v>1</v>
      </c>
      <c r="E446" t="b">
        <f>COUNTIF(connections!A:A, A446) &gt; 0</f>
        <v>0</v>
      </c>
      <c r="G446" t="s">
        <v>1570</v>
      </c>
      <c r="H446" t="s">
        <v>102</v>
      </c>
      <c r="I446" t="s">
        <v>1571</v>
      </c>
      <c r="J446" s="1" t="s">
        <v>1572</v>
      </c>
    </row>
    <row r="447" spans="1:10" ht="15" customHeight="1" x14ac:dyDescent="0.25">
      <c r="A447" t="s">
        <v>1573</v>
      </c>
      <c r="B447">
        <v>2022</v>
      </c>
      <c r="C447" t="s">
        <v>36</v>
      </c>
      <c r="D447" t="b">
        <f>TRUE()</f>
        <v>1</v>
      </c>
      <c r="E447" t="b">
        <f>COUNTIF(connections!A:A, A447) &gt; 0</f>
        <v>0</v>
      </c>
      <c r="G447" t="s">
        <v>1574</v>
      </c>
    </row>
    <row r="448" spans="1:10" ht="15" customHeight="1" x14ac:dyDescent="0.25">
      <c r="A448" t="s">
        <v>1575</v>
      </c>
      <c r="B448">
        <v>2021</v>
      </c>
      <c r="C448" t="s">
        <v>44</v>
      </c>
      <c r="D448" t="b">
        <f>TRUE()</f>
        <v>1</v>
      </c>
      <c r="E448" t="b">
        <f>COUNTIF(connections!A:A, A448) &gt; 0</f>
        <v>0</v>
      </c>
      <c r="G448" t="s">
        <v>1576</v>
      </c>
      <c r="H448" t="s">
        <v>102</v>
      </c>
      <c r="I448" t="s">
        <v>1577</v>
      </c>
      <c r="J448" s="1" t="s">
        <v>1578</v>
      </c>
    </row>
    <row r="449" spans="1:10" ht="15" customHeight="1" x14ac:dyDescent="0.25">
      <c r="A449" t="s">
        <v>1579</v>
      </c>
      <c r="B449">
        <v>2002</v>
      </c>
      <c r="C449" t="s">
        <v>46</v>
      </c>
      <c r="D449" t="b">
        <f>TRUE()</f>
        <v>1</v>
      </c>
      <c r="E449" t="b">
        <f>COUNTIF(connections!A:A, A449) &gt; 0</f>
        <v>1</v>
      </c>
      <c r="G449" t="s">
        <v>1580</v>
      </c>
      <c r="H449" t="s">
        <v>102</v>
      </c>
      <c r="I449" t="s">
        <v>1581</v>
      </c>
    </row>
    <row r="450" spans="1:10" ht="15" customHeight="1" x14ac:dyDescent="0.25">
      <c r="A450" t="s">
        <v>1582</v>
      </c>
      <c r="B450">
        <v>2003</v>
      </c>
      <c r="C450" t="s">
        <v>46</v>
      </c>
      <c r="D450" t="b">
        <f>TRUE()</f>
        <v>1</v>
      </c>
      <c r="E450" t="b">
        <f>COUNTIF(connections!A:A, A450) &gt; 0</f>
        <v>0</v>
      </c>
      <c r="G450" t="s">
        <v>1583</v>
      </c>
      <c r="H450" t="s">
        <v>102</v>
      </c>
      <c r="I450" t="s">
        <v>1584</v>
      </c>
    </row>
    <row r="451" spans="1:10" ht="15" customHeight="1" x14ac:dyDescent="0.25">
      <c r="A451" t="s">
        <v>1585</v>
      </c>
      <c r="B451">
        <v>2020</v>
      </c>
      <c r="C451" t="s">
        <v>46</v>
      </c>
      <c r="D451" t="b">
        <f>TRUE()</f>
        <v>1</v>
      </c>
      <c r="E451" t="b">
        <f>COUNTIF(connections!A:A, A451) &gt; 0</f>
        <v>1</v>
      </c>
      <c r="G451" t="s">
        <v>1586</v>
      </c>
    </row>
    <row r="452" spans="1:10" ht="15" customHeight="1" x14ac:dyDescent="0.25">
      <c r="A452" t="s">
        <v>1587</v>
      </c>
      <c r="B452">
        <v>2022</v>
      </c>
      <c r="C452" t="s">
        <v>46</v>
      </c>
      <c r="D452" t="b">
        <f>TRUE()</f>
        <v>1</v>
      </c>
      <c r="E452" t="b">
        <f>COUNTIF(connections!A:A, A452) &gt; 0</f>
        <v>0</v>
      </c>
      <c r="G452" t="s">
        <v>1588</v>
      </c>
    </row>
    <row r="453" spans="1:10" ht="15" customHeight="1" x14ac:dyDescent="0.25">
      <c r="A453" t="s">
        <v>1589</v>
      </c>
      <c r="B453">
        <v>2017</v>
      </c>
      <c r="C453" t="s">
        <v>44</v>
      </c>
      <c r="D453" t="b">
        <f>TRUE()</f>
        <v>1</v>
      </c>
      <c r="E453" t="b">
        <f>COUNTIF(connections!A:A, A453) &gt; 0</f>
        <v>1</v>
      </c>
      <c r="G453" t="s">
        <v>1590</v>
      </c>
      <c r="H453" t="s">
        <v>102</v>
      </c>
      <c r="I453" t="s">
        <v>1591</v>
      </c>
      <c r="J453" s="1" t="s">
        <v>1592</v>
      </c>
    </row>
    <row r="454" spans="1:10" ht="15" customHeight="1" x14ac:dyDescent="0.25">
      <c r="A454" t="s">
        <v>1593</v>
      </c>
      <c r="B454">
        <v>2020</v>
      </c>
      <c r="C454" t="s">
        <v>44</v>
      </c>
      <c r="D454" t="b">
        <f>TRUE()</f>
        <v>1</v>
      </c>
      <c r="E454" t="b">
        <f>COUNTIF(connections!A:A, A454) &gt; 0</f>
        <v>1</v>
      </c>
      <c r="G454" t="s">
        <v>1594</v>
      </c>
      <c r="H454" t="s">
        <v>102</v>
      </c>
      <c r="I454" t="s">
        <v>1595</v>
      </c>
      <c r="J454" s="1" t="s">
        <v>1596</v>
      </c>
    </row>
    <row r="455" spans="1:10" ht="15" customHeight="1" x14ac:dyDescent="0.25">
      <c r="A455" t="s">
        <v>1597</v>
      </c>
      <c r="B455">
        <v>2025</v>
      </c>
      <c r="C455" t="s">
        <v>44</v>
      </c>
      <c r="D455" t="b">
        <f>TRUE()</f>
        <v>1</v>
      </c>
      <c r="E455" t="b">
        <f>COUNTIF(connections!A:A, A455) &gt; 0</f>
        <v>0</v>
      </c>
      <c r="G455" t="s">
        <v>1598</v>
      </c>
    </row>
    <row r="456" spans="1:10" ht="15" customHeight="1" x14ac:dyDescent="0.25">
      <c r="A456" t="s">
        <v>1599</v>
      </c>
      <c r="B456">
        <v>2025</v>
      </c>
      <c r="C456" t="s">
        <v>36</v>
      </c>
      <c r="D456" t="b">
        <f>TRUE()</f>
        <v>1</v>
      </c>
      <c r="E456" t="b">
        <f>COUNTIF(connections!A:A, A456) &gt; 0</f>
        <v>0</v>
      </c>
      <c r="G456" t="s">
        <v>1600</v>
      </c>
      <c r="H456" t="s">
        <v>102</v>
      </c>
      <c r="I456" t="s">
        <v>1601</v>
      </c>
      <c r="J456" s="1" t="s">
        <v>1602</v>
      </c>
    </row>
    <row r="457" spans="1:10" ht="15" customHeight="1" x14ac:dyDescent="0.25">
      <c r="A457" t="s">
        <v>1603</v>
      </c>
      <c r="B457">
        <v>2015</v>
      </c>
      <c r="C457" t="s">
        <v>36</v>
      </c>
      <c r="D457" t="b">
        <f>TRUE()</f>
        <v>1</v>
      </c>
      <c r="E457" t="b">
        <f>COUNTIF(connections!A:A, A457) &gt; 0</f>
        <v>0</v>
      </c>
      <c r="G457" t="s">
        <v>1604</v>
      </c>
      <c r="H457" t="s">
        <v>102</v>
      </c>
      <c r="I457" t="s">
        <v>1605</v>
      </c>
      <c r="J457" s="1" t="s">
        <v>1606</v>
      </c>
    </row>
    <row r="458" spans="1:10" ht="15" customHeight="1" x14ac:dyDescent="0.25">
      <c r="A458" t="s">
        <v>1607</v>
      </c>
      <c r="B458">
        <v>2026</v>
      </c>
      <c r="C458" t="s">
        <v>44</v>
      </c>
      <c r="D458" t="b">
        <f>TRUE()</f>
        <v>1</v>
      </c>
      <c r="E458" t="b">
        <f>COUNTIF(connections!A:A, A458) &gt; 0</f>
        <v>0</v>
      </c>
      <c r="G458" t="s">
        <v>1608</v>
      </c>
      <c r="J458" s="11" t="s">
        <v>1609</v>
      </c>
    </row>
    <row r="459" spans="1:10" ht="15" customHeight="1" x14ac:dyDescent="0.25">
      <c r="A459" t="s">
        <v>1610</v>
      </c>
      <c r="B459">
        <v>2016</v>
      </c>
      <c r="C459" t="s">
        <v>36</v>
      </c>
      <c r="D459" t="b">
        <f>FALSE()</f>
        <v>0</v>
      </c>
      <c r="E459" t="b">
        <f>COUNTIF(connections!A:A, A459) &gt; 0</f>
        <v>1</v>
      </c>
      <c r="G459" t="s">
        <v>1611</v>
      </c>
      <c r="H459" t="s">
        <v>102</v>
      </c>
      <c r="I459" t="s">
        <v>1612</v>
      </c>
      <c r="J459" s="1" t="s">
        <v>1613</v>
      </c>
    </row>
    <row r="460" spans="1:10" ht="15" customHeight="1" x14ac:dyDescent="0.25">
      <c r="A460" t="s">
        <v>1614</v>
      </c>
      <c r="B460">
        <v>2024</v>
      </c>
      <c r="C460" t="s">
        <v>36</v>
      </c>
      <c r="D460" t="b">
        <f>TRUE()</f>
        <v>1</v>
      </c>
      <c r="E460" t="b">
        <f>COUNTIF(connections!A:A, A460) &gt; 0</f>
        <v>0</v>
      </c>
      <c r="G460" t="s">
        <v>1615</v>
      </c>
    </row>
    <row r="461" spans="1:10" ht="15" customHeight="1" x14ac:dyDescent="0.25">
      <c r="A461" t="s">
        <v>1616</v>
      </c>
      <c r="B461">
        <v>2018</v>
      </c>
      <c r="C461" t="s">
        <v>36</v>
      </c>
      <c r="D461" t="b">
        <f>TRUE()</f>
        <v>1</v>
      </c>
      <c r="E461" t="b">
        <f>COUNTIF(connections!A:A, A461) &gt; 0</f>
        <v>1</v>
      </c>
      <c r="G461" t="s">
        <v>1617</v>
      </c>
      <c r="H461" t="s">
        <v>102</v>
      </c>
      <c r="I461" t="s">
        <v>1618</v>
      </c>
      <c r="J461" s="1" t="s">
        <v>1619</v>
      </c>
    </row>
    <row r="462" spans="1:10" ht="15" customHeight="1" x14ac:dyDescent="0.25">
      <c r="A462" t="s">
        <v>1620</v>
      </c>
      <c r="B462">
        <v>2025</v>
      </c>
      <c r="C462" t="s">
        <v>36</v>
      </c>
      <c r="D462" t="b">
        <f>TRUE()</f>
        <v>1</v>
      </c>
      <c r="E462" t="b">
        <f>COUNTIF(connections!A:A, A462) &gt; 0</f>
        <v>0</v>
      </c>
      <c r="G462" t="s">
        <v>1621</v>
      </c>
    </row>
    <row r="463" spans="1:10" ht="15" customHeight="1" x14ac:dyDescent="0.25">
      <c r="A463" t="s">
        <v>1622</v>
      </c>
      <c r="B463">
        <v>2023</v>
      </c>
      <c r="C463" t="s">
        <v>46</v>
      </c>
      <c r="D463" t="b">
        <f>TRUE()</f>
        <v>1</v>
      </c>
      <c r="E463" t="b">
        <f>COUNTIF(connections!A:A, A463) &gt; 0</f>
        <v>0</v>
      </c>
      <c r="G463" t="s">
        <v>1623</v>
      </c>
      <c r="H463" t="s">
        <v>102</v>
      </c>
      <c r="I463" t="s">
        <v>1624</v>
      </c>
      <c r="J463" s="1" t="s">
        <v>1625</v>
      </c>
    </row>
    <row r="464" spans="1:10" ht="15" customHeight="1" x14ac:dyDescent="0.25">
      <c r="A464" t="s">
        <v>1626</v>
      </c>
      <c r="B464">
        <v>2026</v>
      </c>
      <c r="C464" t="s">
        <v>36</v>
      </c>
      <c r="D464" t="b">
        <f>TRUE()</f>
        <v>1</v>
      </c>
      <c r="E464" t="b">
        <f>COUNTIF(connections!A:A, A464) &gt; 0</f>
        <v>0</v>
      </c>
      <c r="G464" t="s">
        <v>1627</v>
      </c>
    </row>
    <row r="465" spans="1:10" ht="15" customHeight="1" x14ac:dyDescent="0.25">
      <c r="A465" t="s">
        <v>1628</v>
      </c>
      <c r="B465">
        <v>1983</v>
      </c>
      <c r="C465" t="s">
        <v>46</v>
      </c>
      <c r="D465" t="b">
        <f>TRUE()</f>
        <v>1</v>
      </c>
      <c r="E465" t="b">
        <f>COUNTIF(connections!A:A, A465) &gt; 0</f>
        <v>1</v>
      </c>
      <c r="G465" t="s">
        <v>1629</v>
      </c>
      <c r="H465" t="s">
        <v>102</v>
      </c>
      <c r="I465" t="s">
        <v>1630</v>
      </c>
    </row>
    <row r="466" spans="1:10" ht="15" customHeight="1" x14ac:dyDescent="0.25">
      <c r="A466" t="s">
        <v>1631</v>
      </c>
      <c r="B466">
        <v>2024</v>
      </c>
      <c r="C466" t="s">
        <v>44</v>
      </c>
      <c r="D466" t="b">
        <f>TRUE()</f>
        <v>1</v>
      </c>
      <c r="E466" t="b">
        <f>COUNTIF(connections!A:A, A466) &gt; 0</f>
        <v>0</v>
      </c>
      <c r="F466" t="s">
        <v>479</v>
      </c>
      <c r="G466" t="s">
        <v>1632</v>
      </c>
      <c r="H466" t="s">
        <v>102</v>
      </c>
      <c r="I466" t="s">
        <v>1633</v>
      </c>
      <c r="J466" s="1" t="s">
        <v>1634</v>
      </c>
    </row>
    <row r="467" spans="1:10" ht="15" customHeight="1" x14ac:dyDescent="0.25">
      <c r="A467" t="s">
        <v>1635</v>
      </c>
      <c r="B467">
        <v>2025</v>
      </c>
      <c r="C467" t="s">
        <v>36</v>
      </c>
      <c r="D467" t="b">
        <f>FALSE()</f>
        <v>0</v>
      </c>
      <c r="E467" t="b">
        <f>COUNTIF(connections!A:A, A467) &gt; 0</f>
        <v>0</v>
      </c>
      <c r="G467" t="s">
        <v>1636</v>
      </c>
    </row>
    <row r="468" spans="1:10" ht="15" customHeight="1" x14ac:dyDescent="0.25">
      <c r="A468" t="s">
        <v>1637</v>
      </c>
      <c r="B468">
        <v>2023</v>
      </c>
      <c r="C468" t="s">
        <v>36</v>
      </c>
      <c r="D468" t="b">
        <f>TRUE()</f>
        <v>1</v>
      </c>
      <c r="E468" t="b">
        <f>COUNTIF(connections!A:A, A468) &gt; 0</f>
        <v>0</v>
      </c>
      <c r="G468" t="s">
        <v>1638</v>
      </c>
      <c r="H468" t="s">
        <v>102</v>
      </c>
      <c r="I468" t="s">
        <v>1639</v>
      </c>
      <c r="J468" s="1" t="s">
        <v>1640</v>
      </c>
    </row>
    <row r="469" spans="1:10" ht="15" customHeight="1" x14ac:dyDescent="0.25">
      <c r="A469" t="s">
        <v>1641</v>
      </c>
      <c r="B469">
        <v>2018</v>
      </c>
      <c r="C469" t="s">
        <v>36</v>
      </c>
      <c r="D469" t="b">
        <f>TRUE()</f>
        <v>1</v>
      </c>
      <c r="E469" t="b">
        <f>COUNTIF(connections!A:A, A469) &gt; 0</f>
        <v>1</v>
      </c>
      <c r="F469" t="s">
        <v>191</v>
      </c>
      <c r="G469" t="s">
        <v>1642</v>
      </c>
      <c r="H469" t="s">
        <v>102</v>
      </c>
      <c r="I469" t="s">
        <v>1643</v>
      </c>
      <c r="J469" s="1" t="s">
        <v>1644</v>
      </c>
    </row>
    <row r="470" spans="1:10" ht="15" customHeight="1" x14ac:dyDescent="0.25">
      <c r="A470" t="s">
        <v>1645</v>
      </c>
      <c r="B470">
        <v>2022</v>
      </c>
      <c r="C470" t="s">
        <v>36</v>
      </c>
      <c r="D470" t="b">
        <f>TRUE()</f>
        <v>1</v>
      </c>
      <c r="E470" t="b">
        <f>COUNTIF(connections!A:A, A470) &gt; 0</f>
        <v>0</v>
      </c>
      <c r="F470" t="s">
        <v>191</v>
      </c>
      <c r="G470" t="s">
        <v>1646</v>
      </c>
      <c r="H470" t="s">
        <v>102</v>
      </c>
      <c r="I470" t="s">
        <v>1647</v>
      </c>
      <c r="J470" s="1" t="s">
        <v>1648</v>
      </c>
    </row>
    <row r="471" spans="1:10" ht="15" customHeight="1" x14ac:dyDescent="0.25">
      <c r="A471" t="s">
        <v>1649</v>
      </c>
      <c r="B471">
        <v>2011</v>
      </c>
      <c r="C471" t="s">
        <v>46</v>
      </c>
      <c r="D471" t="b">
        <f>TRUE()</f>
        <v>1</v>
      </c>
      <c r="E471" t="b">
        <f>COUNTIF(connections!A:A, A471) &gt; 0</f>
        <v>1</v>
      </c>
      <c r="F471" t="s">
        <v>239</v>
      </c>
      <c r="G471" t="s">
        <v>1650</v>
      </c>
    </row>
    <row r="472" spans="1:10" ht="15" customHeight="1" x14ac:dyDescent="0.25">
      <c r="A472" t="s">
        <v>1651</v>
      </c>
      <c r="B472">
        <v>2023</v>
      </c>
      <c r="C472" t="s">
        <v>36</v>
      </c>
      <c r="D472" t="b">
        <f>TRUE()</f>
        <v>1</v>
      </c>
      <c r="E472" t="b">
        <f>COUNTIF(connections!A:A, A472) &gt; 0</f>
        <v>0</v>
      </c>
      <c r="G472" t="s">
        <v>1652</v>
      </c>
      <c r="H472" t="s">
        <v>102</v>
      </c>
      <c r="I472" t="s">
        <v>1653</v>
      </c>
      <c r="J472" s="1" t="s">
        <v>1654</v>
      </c>
    </row>
    <row r="473" spans="1:10" ht="15" customHeight="1" x14ac:dyDescent="0.25">
      <c r="A473" t="s">
        <v>1655</v>
      </c>
      <c r="B473">
        <v>2021</v>
      </c>
      <c r="C473" t="s">
        <v>36</v>
      </c>
      <c r="D473" t="b">
        <f>TRUE()</f>
        <v>1</v>
      </c>
      <c r="E473" t="b">
        <f>COUNTIF(connections!A:A, A473) &gt; 0</f>
        <v>1</v>
      </c>
      <c r="G473" t="s">
        <v>1656</v>
      </c>
      <c r="H473" t="s">
        <v>102</v>
      </c>
      <c r="I473" t="s">
        <v>1657</v>
      </c>
      <c r="J473" s="1" t="s">
        <v>1658</v>
      </c>
    </row>
    <row r="474" spans="1:10" ht="15" customHeight="1" x14ac:dyDescent="0.25">
      <c r="A474" t="s">
        <v>1659</v>
      </c>
      <c r="B474">
        <v>2025</v>
      </c>
      <c r="C474" t="s">
        <v>44</v>
      </c>
      <c r="D474" t="b">
        <f>TRUE()</f>
        <v>1</v>
      </c>
      <c r="E474" t="b">
        <f>COUNTIF(connections!A:A, A474) &gt; 0</f>
        <v>0</v>
      </c>
      <c r="G474" t="s">
        <v>1660</v>
      </c>
    </row>
    <row r="475" spans="1:10" ht="15" customHeight="1" x14ac:dyDescent="0.25">
      <c r="A475" t="s">
        <v>1661</v>
      </c>
      <c r="B475">
        <v>2016</v>
      </c>
      <c r="C475" t="s">
        <v>46</v>
      </c>
      <c r="D475" t="b">
        <f>TRUE()</f>
        <v>1</v>
      </c>
      <c r="E475" t="b">
        <f>COUNTIF(connections!A:A, A475) &gt; 0</f>
        <v>0</v>
      </c>
      <c r="G475" t="s">
        <v>1662</v>
      </c>
      <c r="J475" s="11" t="s">
        <v>1663</v>
      </c>
    </row>
    <row r="476" spans="1:10" ht="15" customHeight="1" x14ac:dyDescent="0.25">
      <c r="A476" t="s">
        <v>1664</v>
      </c>
      <c r="B476">
        <v>1995</v>
      </c>
      <c r="C476" t="s">
        <v>46</v>
      </c>
      <c r="D476" t="b">
        <f>TRUE()</f>
        <v>1</v>
      </c>
      <c r="E476" t="b">
        <f>COUNTIF(connections!A:A, A476) &gt; 0</f>
        <v>1</v>
      </c>
      <c r="G476" t="s">
        <v>1665</v>
      </c>
      <c r="H476" t="s">
        <v>102</v>
      </c>
      <c r="I476" t="s">
        <v>1666</v>
      </c>
    </row>
    <row r="477" spans="1:10" ht="15" customHeight="1" x14ac:dyDescent="0.25">
      <c r="A477" t="s">
        <v>1667</v>
      </c>
      <c r="B477">
        <v>2024</v>
      </c>
      <c r="C477" t="s">
        <v>36</v>
      </c>
      <c r="D477" t="b">
        <f>TRUE()</f>
        <v>1</v>
      </c>
      <c r="E477" t="b">
        <f>COUNTIF(connections!A:A, A477) &gt; 0</f>
        <v>0</v>
      </c>
      <c r="G477" t="s">
        <v>1668</v>
      </c>
      <c r="H477" t="s">
        <v>102</v>
      </c>
      <c r="I477" t="s">
        <v>1669</v>
      </c>
      <c r="J477" s="1" t="s">
        <v>1670</v>
      </c>
    </row>
    <row r="478" spans="1:10" ht="15" customHeight="1" x14ac:dyDescent="0.25">
      <c r="A478" t="s">
        <v>1671</v>
      </c>
      <c r="B478">
        <v>2022</v>
      </c>
      <c r="C478" t="s">
        <v>44</v>
      </c>
      <c r="D478" t="b">
        <f>TRUE()</f>
        <v>1</v>
      </c>
      <c r="E478" t="b">
        <f>COUNTIF(connections!A:A, A478) &gt; 0</f>
        <v>0</v>
      </c>
      <c r="G478" t="s">
        <v>1672</v>
      </c>
      <c r="J478" s="11" t="s">
        <v>1673</v>
      </c>
    </row>
    <row r="479" spans="1:10" ht="15" customHeight="1" x14ac:dyDescent="0.25">
      <c r="A479" t="s">
        <v>1674</v>
      </c>
      <c r="B479">
        <v>2022</v>
      </c>
      <c r="C479" t="s">
        <v>36</v>
      </c>
      <c r="D479" t="b">
        <f>TRUE()</f>
        <v>1</v>
      </c>
      <c r="E479" t="b">
        <f>COUNTIF(connections!A:A, A479) &gt; 0</f>
        <v>0</v>
      </c>
      <c r="F479" t="s">
        <v>369</v>
      </c>
      <c r="G479" t="s">
        <v>1675</v>
      </c>
      <c r="H479" t="s">
        <v>102</v>
      </c>
      <c r="I479" t="s">
        <v>1676</v>
      </c>
      <c r="J479" s="1" t="s">
        <v>1677</v>
      </c>
    </row>
    <row r="480" spans="1:10" ht="15" customHeight="1" x14ac:dyDescent="0.25">
      <c r="A480" t="s">
        <v>1678</v>
      </c>
      <c r="B480">
        <v>2024</v>
      </c>
      <c r="C480" t="s">
        <v>40</v>
      </c>
      <c r="D480" t="b">
        <f>FALSE()</f>
        <v>0</v>
      </c>
      <c r="E480" t="b">
        <f>COUNTIF(connections!A:A, A480) &gt; 0</f>
        <v>0</v>
      </c>
      <c r="F480" t="s">
        <v>369</v>
      </c>
      <c r="G480" t="s">
        <v>1679</v>
      </c>
      <c r="H480" t="s">
        <v>102</v>
      </c>
      <c r="I480" t="s">
        <v>1680</v>
      </c>
      <c r="J480" s="1" t="s">
        <v>1681</v>
      </c>
    </row>
    <row r="481" spans="1:10" ht="15" customHeight="1" x14ac:dyDescent="0.25">
      <c r="A481" t="s">
        <v>1682</v>
      </c>
      <c r="B481">
        <v>2022</v>
      </c>
      <c r="C481" t="s">
        <v>36</v>
      </c>
      <c r="D481" t="b">
        <f>TRUE()</f>
        <v>1</v>
      </c>
      <c r="E481" t="b">
        <f>COUNTIF(connections!A:A, A481) &gt; 0</f>
        <v>1</v>
      </c>
      <c r="F481" t="s">
        <v>369</v>
      </c>
      <c r="G481" t="s">
        <v>1683</v>
      </c>
      <c r="H481" t="s">
        <v>102</v>
      </c>
      <c r="I481" t="s">
        <v>1684</v>
      </c>
      <c r="J481" s="1" t="s">
        <v>1685</v>
      </c>
    </row>
    <row r="482" spans="1:10" ht="15" customHeight="1" x14ac:dyDescent="0.25">
      <c r="A482" t="s">
        <v>1686</v>
      </c>
      <c r="B482">
        <v>2024</v>
      </c>
      <c r="C482" t="s">
        <v>36</v>
      </c>
      <c r="D482" t="b">
        <f>TRUE()</f>
        <v>1</v>
      </c>
      <c r="E482" t="b">
        <f>COUNTIF(connections!A:A, A482) &gt; 0</f>
        <v>0</v>
      </c>
      <c r="F482" t="s">
        <v>369</v>
      </c>
      <c r="G482" t="s">
        <v>1687</v>
      </c>
      <c r="H482" t="s">
        <v>102</v>
      </c>
      <c r="I482" t="s">
        <v>1688</v>
      </c>
      <c r="J482" s="1" t="s">
        <v>1689</v>
      </c>
    </row>
    <row r="483" spans="1:10" ht="15" customHeight="1" x14ac:dyDescent="0.25">
      <c r="A483" t="s">
        <v>1690</v>
      </c>
      <c r="B483">
        <v>2019</v>
      </c>
      <c r="C483" t="s">
        <v>36</v>
      </c>
      <c r="D483" t="b">
        <f>TRUE()</f>
        <v>1</v>
      </c>
      <c r="E483" t="b">
        <f>COUNTIF(connections!A:A, A483) &gt; 0</f>
        <v>1</v>
      </c>
      <c r="G483" t="s">
        <v>1691</v>
      </c>
      <c r="H483" t="s">
        <v>102</v>
      </c>
      <c r="I483" t="s">
        <v>1692</v>
      </c>
      <c r="J483" s="1" t="s">
        <v>1693</v>
      </c>
    </row>
    <row r="484" spans="1:10" ht="15" customHeight="1" x14ac:dyDescent="0.25">
      <c r="A484" t="s">
        <v>1694</v>
      </c>
      <c r="B484">
        <v>2025</v>
      </c>
      <c r="C484" t="s">
        <v>36</v>
      </c>
      <c r="D484" t="b">
        <f>TRUE()</f>
        <v>1</v>
      </c>
      <c r="E484" t="b">
        <f>COUNTIF(connections!A:A, A484) &gt; 0</f>
        <v>0</v>
      </c>
      <c r="G484" t="s">
        <v>1695</v>
      </c>
    </row>
    <row r="485" spans="1:10" ht="15" customHeight="1" x14ac:dyDescent="0.25">
      <c r="A485" t="s">
        <v>1696</v>
      </c>
      <c r="B485">
        <v>2022</v>
      </c>
      <c r="C485" t="s">
        <v>36</v>
      </c>
      <c r="D485" t="b">
        <f>TRUE()</f>
        <v>1</v>
      </c>
      <c r="E485" t="b">
        <f>COUNTIF(connections!A:A, A485) &gt; 0</f>
        <v>0</v>
      </c>
      <c r="G485" t="s">
        <v>1697</v>
      </c>
    </row>
    <row r="486" spans="1:10" ht="15" customHeight="1" x14ac:dyDescent="0.25">
      <c r="A486" t="s">
        <v>1698</v>
      </c>
      <c r="B486">
        <v>1987</v>
      </c>
      <c r="C486" t="s">
        <v>46</v>
      </c>
      <c r="D486" t="b">
        <f>TRUE()</f>
        <v>1</v>
      </c>
      <c r="E486" t="b">
        <f>COUNTIF(connections!A:A, A486) &gt; 0</f>
        <v>1</v>
      </c>
      <c r="G486" t="s">
        <v>1699</v>
      </c>
      <c r="H486" t="s">
        <v>102</v>
      </c>
      <c r="I486" t="s">
        <v>1700</v>
      </c>
    </row>
    <row r="487" spans="1:10" ht="15" customHeight="1" x14ac:dyDescent="0.25">
      <c r="A487" t="s">
        <v>1701</v>
      </c>
      <c r="B487">
        <v>2025</v>
      </c>
      <c r="C487" t="s">
        <v>36</v>
      </c>
      <c r="D487" t="b">
        <f>TRUE()</f>
        <v>1</v>
      </c>
      <c r="E487" t="b">
        <f>COUNTIF(connections!A:A, A487) &gt; 0</f>
        <v>0</v>
      </c>
      <c r="G487" t="s">
        <v>1702</v>
      </c>
      <c r="J487" s="11" t="s">
        <v>1703</v>
      </c>
    </row>
    <row r="488" spans="1:10" ht="15" customHeight="1" x14ac:dyDescent="0.25">
      <c r="A488" t="s">
        <v>1704</v>
      </c>
      <c r="B488">
        <v>2021</v>
      </c>
      <c r="C488" t="s">
        <v>36</v>
      </c>
      <c r="D488" t="b">
        <f>TRUE()</f>
        <v>1</v>
      </c>
      <c r="E488" t="b">
        <f>COUNTIF(connections!A:A, A488) &gt; 0</f>
        <v>0</v>
      </c>
      <c r="G488" t="s">
        <v>1705</v>
      </c>
      <c r="J488" s="11" t="s">
        <v>1706</v>
      </c>
    </row>
    <row r="489" spans="1:10" ht="15" customHeight="1" x14ac:dyDescent="0.25">
      <c r="A489" t="s">
        <v>1707</v>
      </c>
      <c r="B489">
        <v>2025</v>
      </c>
      <c r="C489" t="s">
        <v>36</v>
      </c>
      <c r="D489" t="b">
        <f>TRUE()</f>
        <v>1</v>
      </c>
      <c r="E489" t="b">
        <f>COUNTIF(connections!A:A, A489) &gt; 0</f>
        <v>0</v>
      </c>
      <c r="F489" t="s">
        <v>1708</v>
      </c>
      <c r="G489" t="s">
        <v>1709</v>
      </c>
      <c r="H489" t="s">
        <v>102</v>
      </c>
      <c r="I489" t="s">
        <v>1710</v>
      </c>
      <c r="J489" s="1" t="s">
        <v>1711</v>
      </c>
    </row>
    <row r="490" spans="1:10" ht="15" customHeight="1" x14ac:dyDescent="0.25">
      <c r="A490" t="s">
        <v>1712</v>
      </c>
      <c r="B490">
        <v>2024</v>
      </c>
      <c r="C490" t="s">
        <v>36</v>
      </c>
      <c r="D490" t="b">
        <f>TRUE()</f>
        <v>1</v>
      </c>
      <c r="E490" t="b">
        <f>COUNTIF(connections!A:A, A490) &gt; 0</f>
        <v>0</v>
      </c>
      <c r="G490" t="s">
        <v>1713</v>
      </c>
    </row>
    <row r="491" spans="1:10" ht="15" customHeight="1" x14ac:dyDescent="0.25">
      <c r="A491" t="s">
        <v>1714</v>
      </c>
      <c r="B491">
        <v>2026</v>
      </c>
      <c r="C491" t="s">
        <v>44</v>
      </c>
      <c r="D491" t="b">
        <f>TRUE()</f>
        <v>1</v>
      </c>
      <c r="E491" t="b">
        <f>COUNTIF(connections!A:A, A491) &gt; 0</f>
        <v>0</v>
      </c>
      <c r="G491" t="s">
        <v>1715</v>
      </c>
    </row>
    <row r="492" spans="1:10" ht="16.5" customHeight="1" x14ac:dyDescent="0.25">
      <c r="A492" t="s">
        <v>1716</v>
      </c>
      <c r="B492">
        <v>2024</v>
      </c>
      <c r="C492" t="s">
        <v>40</v>
      </c>
      <c r="D492" t="b">
        <f>TRUE()</f>
        <v>1</v>
      </c>
      <c r="E492" t="b">
        <f>COUNTIF(connections!A:A, A492) &gt; 0</f>
        <v>1</v>
      </c>
      <c r="G492" t="s">
        <v>1717</v>
      </c>
    </row>
    <row r="493" spans="1:10" ht="15" customHeight="1" x14ac:dyDescent="0.25">
      <c r="A493" t="s">
        <v>1718</v>
      </c>
      <c r="B493">
        <v>2019</v>
      </c>
      <c r="C493" t="s">
        <v>36</v>
      </c>
      <c r="D493" t="b">
        <f>TRUE()</f>
        <v>1</v>
      </c>
      <c r="E493" t="b">
        <f>COUNTIF(connections!A:A, A493) &gt; 0</f>
        <v>1</v>
      </c>
      <c r="G493" t="s">
        <v>1719</v>
      </c>
      <c r="H493" t="s">
        <v>102</v>
      </c>
      <c r="I493" t="s">
        <v>1720</v>
      </c>
      <c r="J493" s="1" t="s">
        <v>1721</v>
      </c>
    </row>
    <row r="494" spans="1:10" ht="15" customHeight="1" x14ac:dyDescent="0.25">
      <c r="A494" t="s">
        <v>1722</v>
      </c>
      <c r="B494">
        <v>2022</v>
      </c>
      <c r="C494" t="s">
        <v>36</v>
      </c>
      <c r="D494" t="b">
        <f>TRUE()</f>
        <v>1</v>
      </c>
      <c r="E494" t="b">
        <f>COUNTIF(connections!A:A, A494) &gt; 0</f>
        <v>0</v>
      </c>
      <c r="G494" t="s">
        <v>1723</v>
      </c>
      <c r="H494" t="s">
        <v>102</v>
      </c>
      <c r="I494" t="s">
        <v>1724</v>
      </c>
      <c r="J494" s="1" t="s">
        <v>1725</v>
      </c>
    </row>
    <row r="495" spans="1:10" ht="15" customHeight="1" x14ac:dyDescent="0.25">
      <c r="A495" t="s">
        <v>1726</v>
      </c>
      <c r="B495">
        <v>2025</v>
      </c>
      <c r="C495" t="s">
        <v>36</v>
      </c>
      <c r="D495" t="b">
        <f>TRUE()</f>
        <v>1</v>
      </c>
      <c r="E495" t="b">
        <f>COUNTIF(connections!A:A, A495) &gt; 0</f>
        <v>0</v>
      </c>
      <c r="G495" t="s">
        <v>1727</v>
      </c>
      <c r="H495" t="s">
        <v>102</v>
      </c>
      <c r="I495" t="s">
        <v>1728</v>
      </c>
      <c r="J495" s="1" t="s">
        <v>1729</v>
      </c>
    </row>
    <row r="496" spans="1:10" ht="15" customHeight="1" x14ac:dyDescent="0.25">
      <c r="A496" t="s">
        <v>1730</v>
      </c>
      <c r="B496">
        <v>2023</v>
      </c>
      <c r="C496" t="s">
        <v>36</v>
      </c>
      <c r="D496" t="b">
        <f>TRUE()</f>
        <v>1</v>
      </c>
      <c r="E496" t="b">
        <f>COUNTIF(connections!A:A, A496) &gt; 0</f>
        <v>0</v>
      </c>
      <c r="G496" t="s">
        <v>1731</v>
      </c>
      <c r="H496" t="s">
        <v>102</v>
      </c>
      <c r="I496" t="s">
        <v>1732</v>
      </c>
      <c r="J496" s="1" t="s">
        <v>1733</v>
      </c>
    </row>
    <row r="497" spans="1:10" ht="15" customHeight="1" x14ac:dyDescent="0.25">
      <c r="A497" t="s">
        <v>1734</v>
      </c>
      <c r="B497">
        <v>2025</v>
      </c>
      <c r="C497" t="s">
        <v>40</v>
      </c>
      <c r="D497" t="b">
        <f>TRUE()</f>
        <v>1</v>
      </c>
      <c r="E497" t="b">
        <f>COUNTIF(connections!A:A, A497) &gt; 0</f>
        <v>0</v>
      </c>
      <c r="G497" t="s">
        <v>1735</v>
      </c>
      <c r="H497" t="s">
        <v>102</v>
      </c>
      <c r="I497" t="s">
        <v>1736</v>
      </c>
      <c r="J497" s="1" t="s">
        <v>1737</v>
      </c>
    </row>
    <row r="498" spans="1:10" ht="15" customHeight="1" x14ac:dyDescent="0.25">
      <c r="A498" t="s">
        <v>1738</v>
      </c>
      <c r="B498">
        <v>2022</v>
      </c>
      <c r="C498" t="s">
        <v>36</v>
      </c>
      <c r="D498" t="b">
        <f>TRUE()</f>
        <v>1</v>
      </c>
      <c r="E498" t="b">
        <f>COUNTIF(connections!A:A, A498) &gt; 0</f>
        <v>0</v>
      </c>
      <c r="G498" t="s">
        <v>1739</v>
      </c>
      <c r="H498" t="s">
        <v>102</v>
      </c>
      <c r="I498" t="s">
        <v>1740</v>
      </c>
      <c r="J498" s="1" t="s">
        <v>1741</v>
      </c>
    </row>
    <row r="499" spans="1:10" ht="15" customHeight="1" x14ac:dyDescent="0.25">
      <c r="A499" t="s">
        <v>1742</v>
      </c>
      <c r="B499">
        <v>2025</v>
      </c>
      <c r="C499" t="s">
        <v>40</v>
      </c>
      <c r="D499" t="b">
        <f>FALSE()</f>
        <v>0</v>
      </c>
      <c r="E499" t="b">
        <f>COUNTIF(connections!A:A, A499) &gt; 0</f>
        <v>0</v>
      </c>
      <c r="F499" t="s">
        <v>417</v>
      </c>
      <c r="G499" t="s">
        <v>1743</v>
      </c>
    </row>
    <row r="500" spans="1:10" ht="15" customHeight="1" x14ac:dyDescent="0.25">
      <c r="A500" t="s">
        <v>1744</v>
      </c>
      <c r="B500">
        <v>2019</v>
      </c>
      <c r="C500" t="s">
        <v>36</v>
      </c>
      <c r="D500" t="b">
        <f>TRUE()</f>
        <v>1</v>
      </c>
      <c r="E500" t="b">
        <f>COUNTIF(connections!A:A, A500) &gt; 0</f>
        <v>0</v>
      </c>
      <c r="F500" t="s">
        <v>188</v>
      </c>
      <c r="G500" t="s">
        <v>1745</v>
      </c>
      <c r="H500" t="s">
        <v>102</v>
      </c>
      <c r="I500" t="s">
        <v>1746</v>
      </c>
      <c r="J500" s="1" t="s">
        <v>1747</v>
      </c>
    </row>
    <row r="501" spans="1:10" ht="15" customHeight="1" x14ac:dyDescent="0.25">
      <c r="A501" t="s">
        <v>1748</v>
      </c>
      <c r="B501">
        <v>2019</v>
      </c>
      <c r="C501" t="s">
        <v>44</v>
      </c>
      <c r="D501" t="b">
        <f>TRUE()</f>
        <v>1</v>
      </c>
      <c r="E501" t="b">
        <f>COUNTIF(connections!A:A, A501) &gt; 0</f>
        <v>0</v>
      </c>
      <c r="G501" t="s">
        <v>1749</v>
      </c>
      <c r="H501" t="s">
        <v>102</v>
      </c>
      <c r="I501" t="s">
        <v>1750</v>
      </c>
      <c r="J501" s="1" t="s">
        <v>1751</v>
      </c>
    </row>
    <row r="502" spans="1:10" ht="15" customHeight="1" x14ac:dyDescent="0.25">
      <c r="A502" t="s">
        <v>1752</v>
      </c>
      <c r="B502">
        <v>2024</v>
      </c>
      <c r="C502" t="s">
        <v>40</v>
      </c>
      <c r="D502" t="b">
        <f>TRUE()</f>
        <v>1</v>
      </c>
      <c r="E502" t="b">
        <f>COUNTIF(connections!A:A, A502) &gt; 0</f>
        <v>1</v>
      </c>
      <c r="G502" t="s">
        <v>1753</v>
      </c>
      <c r="H502" t="s">
        <v>102</v>
      </c>
      <c r="I502" t="s">
        <v>1754</v>
      </c>
      <c r="J502" s="1" t="s">
        <v>1755</v>
      </c>
    </row>
    <row r="503" spans="1:10" ht="15" customHeight="1" x14ac:dyDescent="0.25">
      <c r="A503" t="s">
        <v>1756</v>
      </c>
      <c r="B503">
        <v>2015</v>
      </c>
      <c r="C503" t="s">
        <v>36</v>
      </c>
      <c r="D503" t="b">
        <f>TRUE()</f>
        <v>1</v>
      </c>
      <c r="E503" t="b">
        <f>COUNTIF(connections!A:A, A503) &gt; 0</f>
        <v>1</v>
      </c>
      <c r="G503" t="s">
        <v>1757</v>
      </c>
      <c r="H503" t="s">
        <v>102</v>
      </c>
      <c r="I503" t="s">
        <v>1758</v>
      </c>
      <c r="J503" s="1" t="s">
        <v>1759</v>
      </c>
    </row>
    <row r="504" spans="1:10" ht="15" customHeight="1" x14ac:dyDescent="0.25">
      <c r="A504" t="s">
        <v>1760</v>
      </c>
      <c r="B504">
        <v>2025</v>
      </c>
      <c r="C504" t="s">
        <v>36</v>
      </c>
      <c r="D504" t="b">
        <f>TRUE()</f>
        <v>1</v>
      </c>
      <c r="E504" t="b">
        <f>COUNTIF(connections!A:A, A504) &gt; 0</f>
        <v>0</v>
      </c>
      <c r="G504" t="s">
        <v>1761</v>
      </c>
      <c r="H504" t="s">
        <v>102</v>
      </c>
      <c r="I504" t="s">
        <v>1762</v>
      </c>
      <c r="J504" s="1" t="s">
        <v>1763</v>
      </c>
    </row>
    <row r="505" spans="1:10" ht="15" customHeight="1" x14ac:dyDescent="0.25">
      <c r="A505" t="s">
        <v>1764</v>
      </c>
      <c r="B505">
        <v>2026</v>
      </c>
      <c r="C505" t="s">
        <v>40</v>
      </c>
      <c r="D505" t="b">
        <f>TRUE()</f>
        <v>1</v>
      </c>
      <c r="E505" t="b">
        <f>COUNTIF(connections!A:A, A505) &gt; 0</f>
        <v>0</v>
      </c>
      <c r="G505" t="s">
        <v>1765</v>
      </c>
    </row>
    <row r="506" spans="1:10" ht="15" customHeight="1" x14ac:dyDescent="0.25">
      <c r="A506" t="s">
        <v>1766</v>
      </c>
      <c r="B506">
        <v>2023</v>
      </c>
      <c r="C506" t="s">
        <v>36</v>
      </c>
      <c r="D506" t="b">
        <f>TRUE()</f>
        <v>1</v>
      </c>
      <c r="E506" t="b">
        <f>COUNTIF(connections!A:A, A506) &gt; 0</f>
        <v>0</v>
      </c>
      <c r="G506" t="s">
        <v>1767</v>
      </c>
    </row>
    <row r="507" spans="1:10" ht="15" customHeight="1" x14ac:dyDescent="0.25">
      <c r="A507" t="s">
        <v>1768</v>
      </c>
      <c r="B507">
        <v>2021</v>
      </c>
      <c r="C507" t="s">
        <v>44</v>
      </c>
      <c r="D507" t="b">
        <v>1</v>
      </c>
      <c r="E507" t="b">
        <f>COUNTIF(connections!A:A, A507) &gt; 0</f>
        <v>0</v>
      </c>
      <c r="G507" t="s">
        <v>1769</v>
      </c>
      <c r="H507" t="s">
        <v>102</v>
      </c>
      <c r="I507" t="s">
        <v>1770</v>
      </c>
      <c r="J507" s="11" t="s">
        <v>1771</v>
      </c>
    </row>
    <row r="508" spans="1:10" ht="15" customHeight="1" x14ac:dyDescent="0.25">
      <c r="A508" t="s">
        <v>1772</v>
      </c>
      <c r="B508">
        <v>2018</v>
      </c>
      <c r="C508" t="s">
        <v>36</v>
      </c>
      <c r="D508" t="b">
        <f>FALSE()</f>
        <v>0</v>
      </c>
      <c r="E508" t="b">
        <f>COUNTIF(connections!A:A, A508) &gt; 0</f>
        <v>0</v>
      </c>
      <c r="G508" t="s">
        <v>1773</v>
      </c>
      <c r="H508" t="s">
        <v>102</v>
      </c>
      <c r="I508" t="s">
        <v>1774</v>
      </c>
      <c r="J508" s="1" t="s">
        <v>1775</v>
      </c>
    </row>
    <row r="509" spans="1:10" ht="15" customHeight="1" x14ac:dyDescent="0.25">
      <c r="A509" t="s">
        <v>1776</v>
      </c>
      <c r="B509">
        <v>2026</v>
      </c>
      <c r="C509" t="s">
        <v>36</v>
      </c>
      <c r="D509" t="b">
        <f>TRUE()</f>
        <v>1</v>
      </c>
      <c r="E509" t="b">
        <f>COUNTIF(connections!A:A, A509) &gt; 0</f>
        <v>0</v>
      </c>
      <c r="G509" t="s">
        <v>1777</v>
      </c>
    </row>
    <row r="510" spans="1:10" ht="15" customHeight="1" x14ac:dyDescent="0.25">
      <c r="A510" t="s">
        <v>1778</v>
      </c>
      <c r="B510">
        <v>2025</v>
      </c>
      <c r="C510" t="s">
        <v>36</v>
      </c>
      <c r="D510" t="b">
        <f>TRUE()</f>
        <v>1</v>
      </c>
      <c r="E510" t="b">
        <f>COUNTIF(connections!A:A, A510) &gt; 0</f>
        <v>0</v>
      </c>
      <c r="G510" t="s">
        <v>1779</v>
      </c>
    </row>
    <row r="511" spans="1:10" ht="15" customHeight="1" x14ac:dyDescent="0.25">
      <c r="A511" t="s">
        <v>7075</v>
      </c>
      <c r="B511">
        <v>2026</v>
      </c>
      <c r="C511" t="s">
        <v>36</v>
      </c>
      <c r="D511" t="b">
        <f>TRUE()</f>
        <v>1</v>
      </c>
      <c r="E511" t="b">
        <f>COUNTIF(connections!A:A, A511) &gt; 0</f>
        <v>0</v>
      </c>
      <c r="G511" t="s">
        <v>7076</v>
      </c>
      <c r="J511" s="11" t="s">
        <v>7077</v>
      </c>
    </row>
    <row r="512" spans="1:10" ht="15" customHeight="1" x14ac:dyDescent="0.25">
      <c r="A512" t="s">
        <v>1780</v>
      </c>
      <c r="B512">
        <v>1987</v>
      </c>
      <c r="C512" t="s">
        <v>46</v>
      </c>
      <c r="D512" t="b">
        <f>TRUE()</f>
        <v>1</v>
      </c>
      <c r="E512" t="b">
        <f>COUNTIF(connections!A:A, A512) &gt; 0</f>
        <v>1</v>
      </c>
      <c r="G512" t="s">
        <v>1781</v>
      </c>
      <c r="H512" t="s">
        <v>102</v>
      </c>
      <c r="I512" t="s">
        <v>1782</v>
      </c>
    </row>
    <row r="513" spans="1:10" ht="15" customHeight="1" x14ac:dyDescent="0.25">
      <c r="A513" t="s">
        <v>1783</v>
      </c>
      <c r="B513">
        <v>2015</v>
      </c>
      <c r="C513" t="s">
        <v>46</v>
      </c>
      <c r="D513" t="b">
        <f>TRUE()</f>
        <v>1</v>
      </c>
      <c r="E513" t="b">
        <f>COUNTIF(connections!A:A, A513) &gt; 0</f>
        <v>1</v>
      </c>
      <c r="G513" t="s">
        <v>1784</v>
      </c>
    </row>
    <row r="514" spans="1:10" ht="15" customHeight="1" x14ac:dyDescent="0.25">
      <c r="A514" t="s">
        <v>1785</v>
      </c>
      <c r="B514">
        <v>2019</v>
      </c>
      <c r="C514" t="s">
        <v>46</v>
      </c>
      <c r="D514" t="b">
        <f>TRUE()</f>
        <v>1</v>
      </c>
      <c r="E514" t="b">
        <f>COUNTIF(connections!A:A, A514) &gt; 0</f>
        <v>0</v>
      </c>
      <c r="G514" t="s">
        <v>1786</v>
      </c>
      <c r="H514" t="s">
        <v>102</v>
      </c>
      <c r="I514" t="s">
        <v>1787</v>
      </c>
      <c r="J514" s="11" t="s">
        <v>1788</v>
      </c>
    </row>
    <row r="515" spans="1:10" ht="15" customHeight="1" x14ac:dyDescent="0.25">
      <c r="A515" t="s">
        <v>1789</v>
      </c>
      <c r="B515">
        <v>2017</v>
      </c>
      <c r="C515" t="s">
        <v>46</v>
      </c>
      <c r="D515" t="b">
        <f>TRUE()</f>
        <v>1</v>
      </c>
      <c r="E515" t="b">
        <f>COUNTIF(connections!A:A, A515) &gt; 0</f>
        <v>1</v>
      </c>
      <c r="G515" t="s">
        <v>1790</v>
      </c>
    </row>
    <row r="516" spans="1:10" ht="15" customHeight="1" x14ac:dyDescent="0.25">
      <c r="A516" t="s">
        <v>1791</v>
      </c>
      <c r="B516">
        <v>2025</v>
      </c>
      <c r="C516" t="s">
        <v>44</v>
      </c>
      <c r="D516" t="b">
        <f>TRUE()</f>
        <v>1</v>
      </c>
      <c r="E516" t="b">
        <f>COUNTIF(connections!A:A, A516) &gt; 0</f>
        <v>0</v>
      </c>
      <c r="F516" t="s">
        <v>178</v>
      </c>
      <c r="G516" t="s">
        <v>1792</v>
      </c>
    </row>
    <row r="517" spans="1:10" ht="15" customHeight="1" x14ac:dyDescent="0.25">
      <c r="A517" t="s">
        <v>1793</v>
      </c>
      <c r="B517">
        <v>2020</v>
      </c>
      <c r="C517" t="s">
        <v>36</v>
      </c>
      <c r="D517" t="b">
        <f>TRUE()</f>
        <v>1</v>
      </c>
      <c r="E517" t="b">
        <f>COUNTIF(connections!A:A, A517) &gt; 0</f>
        <v>0</v>
      </c>
      <c r="G517" t="s">
        <v>1794</v>
      </c>
      <c r="H517" t="s">
        <v>102</v>
      </c>
      <c r="I517" t="s">
        <v>1795</v>
      </c>
      <c r="J517" s="1" t="s">
        <v>1796</v>
      </c>
    </row>
    <row r="518" spans="1:10" ht="15" customHeight="1" x14ac:dyDescent="0.25">
      <c r="A518" t="s">
        <v>1797</v>
      </c>
      <c r="B518">
        <v>2014</v>
      </c>
      <c r="C518" t="s">
        <v>46</v>
      </c>
      <c r="D518" t="b">
        <f>TRUE()</f>
        <v>1</v>
      </c>
      <c r="E518" t="b">
        <f>COUNTIF(connections!A:A, A518) &gt; 0</f>
        <v>1</v>
      </c>
      <c r="G518" t="s">
        <v>1798</v>
      </c>
      <c r="H518" t="s">
        <v>102</v>
      </c>
      <c r="I518" t="s">
        <v>1799</v>
      </c>
      <c r="J518" s="11" t="s">
        <v>1800</v>
      </c>
    </row>
    <row r="519" spans="1:10" ht="15" customHeight="1" x14ac:dyDescent="0.25">
      <c r="A519" t="s">
        <v>1801</v>
      </c>
      <c r="B519">
        <v>2019</v>
      </c>
      <c r="C519" t="s">
        <v>46</v>
      </c>
      <c r="D519" t="b">
        <f>TRUE()</f>
        <v>1</v>
      </c>
      <c r="E519" t="b">
        <f>COUNTIF(connections!A:A, A519) &gt; 0</f>
        <v>0</v>
      </c>
      <c r="G519" t="s">
        <v>1802</v>
      </c>
      <c r="H519" t="s">
        <v>102</v>
      </c>
      <c r="I519" t="s">
        <v>1803</v>
      </c>
      <c r="J519" s="1" t="s">
        <v>1804</v>
      </c>
    </row>
    <row r="520" spans="1:10" ht="15" customHeight="1" x14ac:dyDescent="0.25">
      <c r="A520" t="s">
        <v>1805</v>
      </c>
      <c r="B520">
        <v>2023</v>
      </c>
      <c r="C520" t="s">
        <v>36</v>
      </c>
      <c r="D520" t="b">
        <f>FALSE()</f>
        <v>0</v>
      </c>
      <c r="E520" t="b">
        <f>COUNTIF(connections!A:A, A520) &gt; 0</f>
        <v>0</v>
      </c>
      <c r="G520" t="s">
        <v>1806</v>
      </c>
      <c r="H520" t="s">
        <v>102</v>
      </c>
      <c r="I520" t="s">
        <v>1807</v>
      </c>
      <c r="J520" s="1" t="s">
        <v>1808</v>
      </c>
    </row>
    <row r="521" spans="1:10" ht="15" customHeight="1" x14ac:dyDescent="0.25">
      <c r="A521" t="s">
        <v>1809</v>
      </c>
      <c r="B521">
        <v>2014</v>
      </c>
      <c r="C521" t="s">
        <v>36</v>
      </c>
      <c r="D521" t="b">
        <v>1</v>
      </c>
      <c r="E521" t="b">
        <f>COUNTIF(connections!A:A, A521) &gt; 0</f>
        <v>0</v>
      </c>
      <c r="G521" t="s">
        <v>1810</v>
      </c>
      <c r="J521" s="11" t="s">
        <v>1811</v>
      </c>
    </row>
    <row r="522" spans="1:10" ht="15" customHeight="1" x14ac:dyDescent="0.25">
      <c r="A522" t="s">
        <v>1812</v>
      </c>
      <c r="B522">
        <v>2025</v>
      </c>
      <c r="C522" t="s">
        <v>40</v>
      </c>
      <c r="D522" t="b">
        <f>FALSE()</f>
        <v>0</v>
      </c>
      <c r="E522" t="b">
        <f>COUNTIF(connections!A:A, A522) &gt; 0</f>
        <v>0</v>
      </c>
      <c r="G522" t="s">
        <v>1813</v>
      </c>
      <c r="H522" t="s">
        <v>102</v>
      </c>
      <c r="I522" t="s">
        <v>1814</v>
      </c>
      <c r="J522" s="1" t="s">
        <v>1815</v>
      </c>
    </row>
    <row r="523" spans="1:10" ht="15" customHeight="1" x14ac:dyDescent="0.25">
      <c r="A523" t="s">
        <v>1816</v>
      </c>
      <c r="B523">
        <v>2022</v>
      </c>
      <c r="C523" t="s">
        <v>46</v>
      </c>
      <c r="D523" t="b">
        <f>TRUE()</f>
        <v>1</v>
      </c>
      <c r="E523" t="b">
        <f>COUNTIF(connections!A:A, A523) &gt; 0</f>
        <v>0</v>
      </c>
      <c r="G523" t="s">
        <v>1817</v>
      </c>
      <c r="H523" t="s">
        <v>102</v>
      </c>
      <c r="I523" t="s">
        <v>1818</v>
      </c>
    </row>
    <row r="524" spans="1:10" ht="15" customHeight="1" x14ac:dyDescent="0.25">
      <c r="A524" t="s">
        <v>1819</v>
      </c>
      <c r="B524">
        <v>2025</v>
      </c>
      <c r="C524" t="s">
        <v>44</v>
      </c>
      <c r="D524" t="b">
        <f>TRUE()</f>
        <v>1</v>
      </c>
      <c r="E524" t="b">
        <f>COUNTIF(connections!A:A, A524) &gt; 0</f>
        <v>0</v>
      </c>
      <c r="G524" t="s">
        <v>1820</v>
      </c>
      <c r="H524" t="s">
        <v>102</v>
      </c>
      <c r="I524" t="s">
        <v>1821</v>
      </c>
      <c r="J524" s="1" t="s">
        <v>1822</v>
      </c>
    </row>
    <row r="525" spans="1:10" ht="15" customHeight="1" x14ac:dyDescent="0.25">
      <c r="A525" t="s">
        <v>1823</v>
      </c>
      <c r="B525">
        <v>2025</v>
      </c>
      <c r="C525" t="s">
        <v>46</v>
      </c>
      <c r="D525" t="b">
        <f>TRUE()</f>
        <v>1</v>
      </c>
      <c r="E525" t="b">
        <f>COUNTIF(connections!A:A, A525) &gt; 0</f>
        <v>0</v>
      </c>
      <c r="G525" t="s">
        <v>1824</v>
      </c>
    </row>
    <row r="526" spans="1:10" ht="15" customHeight="1" x14ac:dyDescent="0.25">
      <c r="A526" t="s">
        <v>1825</v>
      </c>
      <c r="B526">
        <v>2023</v>
      </c>
      <c r="C526" t="s">
        <v>36</v>
      </c>
      <c r="D526" t="b">
        <f>TRUE()</f>
        <v>1</v>
      </c>
      <c r="E526" t="b">
        <f>COUNTIF(connections!A:A, A526) &gt; 0</f>
        <v>0</v>
      </c>
      <c r="G526" t="s">
        <v>1826</v>
      </c>
      <c r="H526" t="s">
        <v>102</v>
      </c>
      <c r="I526" t="s">
        <v>1827</v>
      </c>
      <c r="J526" s="1" t="s">
        <v>1828</v>
      </c>
    </row>
    <row r="527" spans="1:10" ht="15" customHeight="1" x14ac:dyDescent="0.25">
      <c r="A527" t="s">
        <v>1829</v>
      </c>
      <c r="B527">
        <v>2025</v>
      </c>
      <c r="C527" t="s">
        <v>40</v>
      </c>
      <c r="D527" t="b">
        <f>TRUE()</f>
        <v>1</v>
      </c>
      <c r="E527" t="b">
        <f>COUNTIF(connections!A:A, A527) &gt; 0</f>
        <v>0</v>
      </c>
      <c r="F527" t="s">
        <v>1071</v>
      </c>
      <c r="G527" t="s">
        <v>1830</v>
      </c>
    </row>
    <row r="528" spans="1:10" ht="15" customHeight="1" x14ac:dyDescent="0.25">
      <c r="A528" t="s">
        <v>1831</v>
      </c>
      <c r="B528">
        <v>2021</v>
      </c>
      <c r="C528" t="s">
        <v>36</v>
      </c>
      <c r="D528" t="b">
        <f>TRUE()</f>
        <v>1</v>
      </c>
      <c r="E528" t="b">
        <f>COUNTIF(connections!A:A, A528) &gt; 0</f>
        <v>1</v>
      </c>
      <c r="G528" t="s">
        <v>1832</v>
      </c>
      <c r="H528" t="s">
        <v>102</v>
      </c>
      <c r="I528" t="s">
        <v>1833</v>
      </c>
      <c r="J528" s="1" t="s">
        <v>1834</v>
      </c>
    </row>
    <row r="529" spans="1:10" ht="15" customHeight="1" x14ac:dyDescent="0.25">
      <c r="A529" t="s">
        <v>1835</v>
      </c>
      <c r="B529">
        <v>2023</v>
      </c>
      <c r="C529" t="s">
        <v>46</v>
      </c>
      <c r="D529" t="b">
        <f>TRUE()</f>
        <v>1</v>
      </c>
      <c r="E529" t="b">
        <f>COUNTIF(connections!A:A, A529) &gt; 0</f>
        <v>0</v>
      </c>
      <c r="G529" t="s">
        <v>1836</v>
      </c>
      <c r="H529" t="s">
        <v>102</v>
      </c>
      <c r="I529" t="s">
        <v>1837</v>
      </c>
      <c r="J529" s="1" t="s">
        <v>1838</v>
      </c>
    </row>
    <row r="530" spans="1:10" ht="15" customHeight="1" x14ac:dyDescent="0.25">
      <c r="A530" t="s">
        <v>1839</v>
      </c>
      <c r="B530">
        <v>2026</v>
      </c>
      <c r="C530" t="s">
        <v>36</v>
      </c>
      <c r="D530" t="b">
        <v>1</v>
      </c>
      <c r="E530" t="b">
        <f>COUNTIF(connections!A:A, A530) &gt; 0</f>
        <v>0</v>
      </c>
      <c r="G530" t="s">
        <v>1840</v>
      </c>
      <c r="J530" s="11" t="s">
        <v>1841</v>
      </c>
    </row>
    <row r="531" spans="1:10" ht="15" customHeight="1" x14ac:dyDescent="0.25">
      <c r="A531" t="s">
        <v>1842</v>
      </c>
      <c r="B531">
        <v>2015</v>
      </c>
      <c r="C531" t="s">
        <v>46</v>
      </c>
      <c r="D531" t="b">
        <f>TRUE()</f>
        <v>1</v>
      </c>
      <c r="E531" t="b">
        <f>COUNTIF(connections!A:A, A531) &gt; 0</f>
        <v>0</v>
      </c>
      <c r="G531" t="s">
        <v>1843</v>
      </c>
      <c r="H531" t="s">
        <v>102</v>
      </c>
      <c r="I531" t="s">
        <v>1844</v>
      </c>
    </row>
    <row r="532" spans="1:10" ht="15" customHeight="1" x14ac:dyDescent="0.25">
      <c r="A532" t="s">
        <v>1845</v>
      </c>
      <c r="B532">
        <v>2021</v>
      </c>
      <c r="C532" t="s">
        <v>40</v>
      </c>
      <c r="D532" t="b">
        <f>TRUE()</f>
        <v>1</v>
      </c>
      <c r="E532" t="b">
        <f>COUNTIF(connections!A:A, A532) &gt; 0</f>
        <v>1</v>
      </c>
      <c r="F532" t="s">
        <v>1071</v>
      </c>
      <c r="G532" t="s">
        <v>1846</v>
      </c>
      <c r="H532" t="s">
        <v>102</v>
      </c>
      <c r="I532" t="s">
        <v>1847</v>
      </c>
      <c r="J532" s="1" t="s">
        <v>1848</v>
      </c>
    </row>
    <row r="533" spans="1:10" ht="15" customHeight="1" x14ac:dyDescent="0.25">
      <c r="A533" t="s">
        <v>1849</v>
      </c>
      <c r="B533">
        <v>2022</v>
      </c>
      <c r="C533" t="s">
        <v>44</v>
      </c>
      <c r="D533" t="b">
        <f>TRUE()</f>
        <v>1</v>
      </c>
      <c r="E533" t="b">
        <f>COUNTIF(connections!A:A, A533) &gt; 0</f>
        <v>1</v>
      </c>
      <c r="F533" t="s">
        <v>265</v>
      </c>
      <c r="G533" t="s">
        <v>1850</v>
      </c>
      <c r="H533" t="s">
        <v>102</v>
      </c>
      <c r="I533" t="s">
        <v>1851</v>
      </c>
      <c r="J533" s="1" t="s">
        <v>1852</v>
      </c>
    </row>
    <row r="534" spans="1:10" ht="15" customHeight="1" x14ac:dyDescent="0.25">
      <c r="A534" t="s">
        <v>7084</v>
      </c>
      <c r="B534">
        <v>2026</v>
      </c>
      <c r="C534" t="s">
        <v>44</v>
      </c>
      <c r="D534" t="b">
        <f>TRUE()</f>
        <v>1</v>
      </c>
      <c r="E534" t="b">
        <f>COUNTIF(connections!A:A, A534) &gt; 0</f>
        <v>0</v>
      </c>
      <c r="G534" t="s">
        <v>7085</v>
      </c>
      <c r="J534" s="11" t="s">
        <v>7086</v>
      </c>
    </row>
    <row r="535" spans="1:10" ht="15" customHeight="1" x14ac:dyDescent="0.25">
      <c r="A535" t="s">
        <v>1853</v>
      </c>
      <c r="B535">
        <v>2024</v>
      </c>
      <c r="C535" t="s">
        <v>36</v>
      </c>
      <c r="D535" t="b">
        <f>TRUE()</f>
        <v>1</v>
      </c>
      <c r="E535" t="b">
        <f>COUNTIF(connections!A:A, A535) &gt; 0</f>
        <v>0</v>
      </c>
      <c r="G535" t="s">
        <v>1854</v>
      </c>
      <c r="H535" t="s">
        <v>102</v>
      </c>
      <c r="I535" t="s">
        <v>1855</v>
      </c>
      <c r="J535" s="1" t="s">
        <v>1856</v>
      </c>
    </row>
    <row r="536" spans="1:10" ht="15" customHeight="1" x14ac:dyDescent="0.25">
      <c r="A536" t="s">
        <v>1857</v>
      </c>
      <c r="B536">
        <v>2023</v>
      </c>
      <c r="C536" t="s">
        <v>36</v>
      </c>
      <c r="D536" t="b">
        <f>TRUE()</f>
        <v>1</v>
      </c>
      <c r="E536" t="b">
        <f>COUNTIF(connections!A:A, A536) &gt; 0</f>
        <v>0</v>
      </c>
      <c r="G536" t="s">
        <v>1858</v>
      </c>
      <c r="H536" t="s">
        <v>102</v>
      </c>
      <c r="I536" t="s">
        <v>1859</v>
      </c>
      <c r="J536" s="1" t="s">
        <v>1860</v>
      </c>
    </row>
    <row r="537" spans="1:10" ht="15" customHeight="1" x14ac:dyDescent="0.25">
      <c r="A537" t="s">
        <v>1861</v>
      </c>
      <c r="B537">
        <v>2025</v>
      </c>
      <c r="C537" t="s">
        <v>44</v>
      </c>
      <c r="D537" t="b">
        <f>TRUE()</f>
        <v>1</v>
      </c>
      <c r="E537" t="b">
        <f>COUNTIF(connections!A:A, A537) &gt; 0</f>
        <v>0</v>
      </c>
      <c r="F537" t="s">
        <v>226</v>
      </c>
      <c r="G537" t="s">
        <v>1862</v>
      </c>
      <c r="H537" t="s">
        <v>102</v>
      </c>
      <c r="I537" t="s">
        <v>1863</v>
      </c>
      <c r="J537" s="1" t="s">
        <v>1864</v>
      </c>
    </row>
    <row r="538" spans="1:10" ht="15" customHeight="1" x14ac:dyDescent="0.25">
      <c r="A538" t="s">
        <v>1865</v>
      </c>
      <c r="B538">
        <v>2012</v>
      </c>
      <c r="C538" t="s">
        <v>46</v>
      </c>
      <c r="D538" t="b">
        <f>TRUE()</f>
        <v>1</v>
      </c>
      <c r="E538" t="b">
        <f>COUNTIF(connections!A:A, A538) &gt; 0</f>
        <v>1</v>
      </c>
      <c r="G538" t="s">
        <v>1866</v>
      </c>
      <c r="J538" s="11" t="s">
        <v>1867</v>
      </c>
    </row>
    <row r="539" spans="1:10" ht="15" customHeight="1" x14ac:dyDescent="0.25">
      <c r="A539" t="s">
        <v>1868</v>
      </c>
      <c r="B539">
        <v>2022</v>
      </c>
      <c r="C539" t="s">
        <v>40</v>
      </c>
      <c r="D539" t="b">
        <f>FALSE()</f>
        <v>0</v>
      </c>
      <c r="E539" t="b">
        <f>COUNTIF(connections!A:A, A539) &gt; 0</f>
        <v>0</v>
      </c>
      <c r="F539" t="s">
        <v>178</v>
      </c>
      <c r="G539" t="s">
        <v>1869</v>
      </c>
      <c r="H539" t="s">
        <v>102</v>
      </c>
      <c r="I539" t="s">
        <v>1870</v>
      </c>
      <c r="J539" s="1" t="s">
        <v>1871</v>
      </c>
    </row>
    <row r="540" spans="1:10" ht="15" customHeight="1" x14ac:dyDescent="0.25">
      <c r="A540" t="s">
        <v>1872</v>
      </c>
      <c r="B540">
        <v>2026</v>
      </c>
      <c r="C540" t="s">
        <v>44</v>
      </c>
      <c r="D540" t="b">
        <f>TRUE()</f>
        <v>1</v>
      </c>
      <c r="E540" t="b">
        <f>COUNTIF(connections!A:A, A540) &gt; 0</f>
        <v>0</v>
      </c>
      <c r="G540" t="s">
        <v>1873</v>
      </c>
      <c r="J540" s="1" t="s">
        <v>1874</v>
      </c>
    </row>
    <row r="541" spans="1:10" ht="15" customHeight="1" x14ac:dyDescent="0.25">
      <c r="A541" t="s">
        <v>1875</v>
      </c>
      <c r="B541">
        <v>2021</v>
      </c>
      <c r="C541" t="s">
        <v>44</v>
      </c>
      <c r="D541" t="b">
        <f>TRUE()</f>
        <v>1</v>
      </c>
      <c r="E541" t="b">
        <f>COUNTIF(connections!A:A, A541) &gt; 0</f>
        <v>0</v>
      </c>
      <c r="F541" t="s">
        <v>265</v>
      </c>
      <c r="G541" t="s">
        <v>1876</v>
      </c>
    </row>
    <row r="542" spans="1:10" ht="15" customHeight="1" x14ac:dyDescent="0.25">
      <c r="A542" t="s">
        <v>1877</v>
      </c>
      <c r="B542">
        <v>2026</v>
      </c>
      <c r="C542" t="s">
        <v>44</v>
      </c>
      <c r="D542" t="b">
        <f>TRUE()</f>
        <v>1</v>
      </c>
      <c r="E542" t="b">
        <f>COUNTIF(connections!A:A, A542) &gt; 0</f>
        <v>0</v>
      </c>
      <c r="G542" t="s">
        <v>1878</v>
      </c>
    </row>
    <row r="543" spans="1:10" ht="15" customHeight="1" x14ac:dyDescent="0.25">
      <c r="A543" t="s">
        <v>1879</v>
      </c>
      <c r="B543">
        <v>2022</v>
      </c>
      <c r="C543" t="s">
        <v>44</v>
      </c>
      <c r="D543" t="b">
        <f>TRUE()</f>
        <v>1</v>
      </c>
      <c r="E543" t="b">
        <f>COUNTIF(connections!A:A, A543) &gt; 0</f>
        <v>0</v>
      </c>
      <c r="F543" t="s">
        <v>1880</v>
      </c>
      <c r="G543" t="s">
        <v>1881</v>
      </c>
      <c r="H543" t="s">
        <v>102</v>
      </c>
      <c r="I543" t="s">
        <v>1882</v>
      </c>
    </row>
    <row r="544" spans="1:10" ht="15" customHeight="1" x14ac:dyDescent="0.25">
      <c r="A544" t="s">
        <v>1883</v>
      </c>
      <c r="B544">
        <v>2024</v>
      </c>
      <c r="C544" t="s">
        <v>36</v>
      </c>
      <c r="D544" t="b">
        <f>FALSE()</f>
        <v>0</v>
      </c>
      <c r="E544" t="b">
        <f>COUNTIF(connections!A:A, A544) &gt; 0</f>
        <v>0</v>
      </c>
      <c r="G544" t="s">
        <v>1884</v>
      </c>
      <c r="H544" t="s">
        <v>102</v>
      </c>
      <c r="I544" t="s">
        <v>1885</v>
      </c>
      <c r="J544" s="1" t="s">
        <v>1886</v>
      </c>
    </row>
    <row r="545" spans="1:10" ht="15" customHeight="1" x14ac:dyDescent="0.25">
      <c r="A545" t="s">
        <v>1887</v>
      </c>
      <c r="B545">
        <v>2026</v>
      </c>
      <c r="C545" t="s">
        <v>40</v>
      </c>
      <c r="D545" t="b">
        <f>TRUE()</f>
        <v>1</v>
      </c>
      <c r="E545" t="b">
        <f>COUNTIF(connections!A:A, A545) &gt; 0</f>
        <v>0</v>
      </c>
      <c r="F545" t="s">
        <v>1880</v>
      </c>
      <c r="G545" t="s">
        <v>1888</v>
      </c>
      <c r="H545" t="s">
        <v>102</v>
      </c>
      <c r="I545" t="s">
        <v>1889</v>
      </c>
    </row>
    <row r="546" spans="1:10" ht="15" customHeight="1" x14ac:dyDescent="0.25">
      <c r="A546" t="s">
        <v>1890</v>
      </c>
      <c r="B546">
        <v>2021</v>
      </c>
      <c r="C546" t="s">
        <v>40</v>
      </c>
      <c r="D546" t="b">
        <f>TRUE()</f>
        <v>1</v>
      </c>
      <c r="E546" t="b">
        <f>COUNTIF(connections!A:A, A546) &gt; 0</f>
        <v>1</v>
      </c>
      <c r="F546" t="s">
        <v>1880</v>
      </c>
      <c r="G546" t="s">
        <v>1891</v>
      </c>
      <c r="H546" t="s">
        <v>102</v>
      </c>
      <c r="I546" t="s">
        <v>1892</v>
      </c>
    </row>
    <row r="547" spans="1:10" ht="15" customHeight="1" x14ac:dyDescent="0.25">
      <c r="A547" t="s">
        <v>1893</v>
      </c>
      <c r="B547">
        <v>2026</v>
      </c>
      <c r="C547" t="s">
        <v>40</v>
      </c>
      <c r="D547" t="b">
        <f>TRUE()</f>
        <v>1</v>
      </c>
      <c r="E547" t="b">
        <f>COUNTIF(connections!A:A, A547) &gt; 0</f>
        <v>0</v>
      </c>
      <c r="F547" t="s">
        <v>1880</v>
      </c>
      <c r="G547" t="s">
        <v>1894</v>
      </c>
      <c r="H547" t="s">
        <v>102</v>
      </c>
      <c r="I547" t="s">
        <v>1895</v>
      </c>
    </row>
    <row r="548" spans="1:10" ht="15" customHeight="1" x14ac:dyDescent="0.25">
      <c r="A548" t="s">
        <v>1896</v>
      </c>
      <c r="B548">
        <v>2009</v>
      </c>
      <c r="C548" t="s">
        <v>46</v>
      </c>
      <c r="D548" t="b">
        <f>TRUE()</f>
        <v>1</v>
      </c>
      <c r="E548" t="b">
        <f>COUNTIF(connections!A:A, A548) &gt; 0</f>
        <v>0</v>
      </c>
      <c r="F548" t="s">
        <v>1880</v>
      </c>
      <c r="G548" t="s">
        <v>1897</v>
      </c>
      <c r="H548" t="s">
        <v>102</v>
      </c>
      <c r="I548" t="s">
        <v>1898</v>
      </c>
    </row>
    <row r="549" spans="1:10" ht="15" customHeight="1" x14ac:dyDescent="0.25">
      <c r="A549" t="s">
        <v>1899</v>
      </c>
      <c r="B549">
        <v>2007</v>
      </c>
      <c r="C549" t="s">
        <v>46</v>
      </c>
      <c r="D549" t="b">
        <f>TRUE()</f>
        <v>1</v>
      </c>
      <c r="E549" t="b">
        <f>COUNTIF(connections!A:A, A549) &gt; 0</f>
        <v>1</v>
      </c>
      <c r="F549" t="s">
        <v>1880</v>
      </c>
      <c r="G549" t="s">
        <v>1900</v>
      </c>
      <c r="H549" t="s">
        <v>102</v>
      </c>
      <c r="I549" t="s">
        <v>1901</v>
      </c>
    </row>
    <row r="550" spans="1:10" ht="15" customHeight="1" x14ac:dyDescent="0.25">
      <c r="A550" t="s">
        <v>1902</v>
      </c>
      <c r="B550">
        <v>2012</v>
      </c>
      <c r="C550" t="s">
        <v>46</v>
      </c>
      <c r="D550" t="b">
        <f>TRUE()</f>
        <v>1</v>
      </c>
      <c r="E550" t="b">
        <f>COUNTIF(connections!A:A, A550) &gt; 0</f>
        <v>0</v>
      </c>
      <c r="F550" t="s">
        <v>1880</v>
      </c>
      <c r="G550" t="s">
        <v>1903</v>
      </c>
    </row>
    <row r="551" spans="1:10" ht="15" customHeight="1" x14ac:dyDescent="0.25">
      <c r="A551" t="s">
        <v>1904</v>
      </c>
      <c r="B551">
        <v>2005</v>
      </c>
      <c r="C551" t="s">
        <v>46</v>
      </c>
      <c r="D551" t="b">
        <f>TRUE()</f>
        <v>1</v>
      </c>
      <c r="E551" t="b">
        <f>COUNTIF(connections!A:A, A551) &gt; 0</f>
        <v>1</v>
      </c>
      <c r="F551" t="s">
        <v>1880</v>
      </c>
      <c r="G551" t="s">
        <v>1905</v>
      </c>
      <c r="H551" t="s">
        <v>102</v>
      </c>
      <c r="I551" t="s">
        <v>1906</v>
      </c>
    </row>
    <row r="552" spans="1:10" ht="15" customHeight="1" x14ac:dyDescent="0.25">
      <c r="A552" t="s">
        <v>1907</v>
      </c>
      <c r="B552">
        <v>2020</v>
      </c>
      <c r="C552" t="s">
        <v>46</v>
      </c>
      <c r="D552" t="b">
        <f>TRUE()</f>
        <v>1</v>
      </c>
      <c r="E552" t="b">
        <f>COUNTIF(connections!A:A, A552) &gt; 0</f>
        <v>0</v>
      </c>
      <c r="F552" t="s">
        <v>1880</v>
      </c>
      <c r="G552" t="s">
        <v>1908</v>
      </c>
    </row>
    <row r="553" spans="1:10" ht="15" customHeight="1" x14ac:dyDescent="0.25">
      <c r="A553" t="s">
        <v>1909</v>
      </c>
      <c r="B553">
        <v>2015</v>
      </c>
      <c r="C553" t="s">
        <v>46</v>
      </c>
      <c r="D553" t="b">
        <f>TRUE()</f>
        <v>1</v>
      </c>
      <c r="E553" t="b">
        <f>COUNTIF(connections!A:A, A553) &gt; 0</f>
        <v>0</v>
      </c>
      <c r="F553" t="s">
        <v>1880</v>
      </c>
      <c r="G553" t="s">
        <v>1910</v>
      </c>
    </row>
    <row r="554" spans="1:10" ht="15" customHeight="1" x14ac:dyDescent="0.25">
      <c r="A554" t="s">
        <v>1911</v>
      </c>
      <c r="B554">
        <v>2024</v>
      </c>
      <c r="C554" t="s">
        <v>40</v>
      </c>
      <c r="D554" t="b">
        <f>TRUE()</f>
        <v>1</v>
      </c>
      <c r="E554" t="b">
        <f>COUNTIF(connections!A:A, A554) &gt; 0</f>
        <v>1</v>
      </c>
      <c r="F554" t="s">
        <v>1880</v>
      </c>
      <c r="G554" t="s">
        <v>1912</v>
      </c>
    </row>
    <row r="555" spans="1:10" ht="15" customHeight="1" x14ac:dyDescent="0.25">
      <c r="A555" t="s">
        <v>1913</v>
      </c>
      <c r="B555">
        <v>2025</v>
      </c>
      <c r="C555" t="s">
        <v>40</v>
      </c>
      <c r="D555" t="b">
        <f>TRUE()</f>
        <v>1</v>
      </c>
      <c r="E555" t="b">
        <f>COUNTIF(connections!A:A, A555) &gt; 0</f>
        <v>0</v>
      </c>
      <c r="F555" t="s">
        <v>1880</v>
      </c>
      <c r="G555" t="s">
        <v>1914</v>
      </c>
      <c r="H555" t="s">
        <v>102</v>
      </c>
      <c r="I555" t="s">
        <v>1915</v>
      </c>
    </row>
    <row r="556" spans="1:10" ht="15" customHeight="1" x14ac:dyDescent="0.25">
      <c r="A556" t="s">
        <v>1916</v>
      </c>
      <c r="B556">
        <v>2020</v>
      </c>
      <c r="C556" t="s">
        <v>40</v>
      </c>
      <c r="D556" t="b">
        <f>TRUE()</f>
        <v>1</v>
      </c>
      <c r="E556" t="b">
        <f>COUNTIF(connections!A:A, A556) &gt; 0</f>
        <v>1</v>
      </c>
      <c r="G556" t="s">
        <v>1917</v>
      </c>
    </row>
    <row r="557" spans="1:10" ht="15" customHeight="1" x14ac:dyDescent="0.25">
      <c r="A557" t="s">
        <v>1918</v>
      </c>
      <c r="B557">
        <v>2003</v>
      </c>
      <c r="C557" t="s">
        <v>46</v>
      </c>
      <c r="D557" t="b">
        <f>TRUE()</f>
        <v>1</v>
      </c>
      <c r="E557" t="b">
        <f>COUNTIF(connections!A:A, A557) &gt; 0</f>
        <v>1</v>
      </c>
      <c r="G557" t="s">
        <v>1919</v>
      </c>
      <c r="H557" t="s">
        <v>102</v>
      </c>
      <c r="I557" t="s">
        <v>1920</v>
      </c>
    </row>
    <row r="558" spans="1:10" ht="15" customHeight="1" x14ac:dyDescent="0.25">
      <c r="A558" t="s">
        <v>1921</v>
      </c>
      <c r="B558">
        <v>2024</v>
      </c>
      <c r="C558" t="s">
        <v>36</v>
      </c>
      <c r="D558" t="b">
        <f>TRUE()</f>
        <v>1</v>
      </c>
      <c r="E558" t="b">
        <f>COUNTIF(connections!A:A, A558) &gt; 0</f>
        <v>0</v>
      </c>
      <c r="G558" t="s">
        <v>1922</v>
      </c>
    </row>
    <row r="559" spans="1:10" ht="15" customHeight="1" x14ac:dyDescent="0.25">
      <c r="A559" t="s">
        <v>1923</v>
      </c>
      <c r="B559">
        <v>2026</v>
      </c>
      <c r="C559" t="s">
        <v>40</v>
      </c>
      <c r="D559" t="b">
        <f>TRUE()</f>
        <v>1</v>
      </c>
      <c r="E559" t="b">
        <f>COUNTIF(connections!A:A, A559) &gt; 0</f>
        <v>0</v>
      </c>
      <c r="F559" t="s">
        <v>639</v>
      </c>
      <c r="G559" t="s">
        <v>1924</v>
      </c>
      <c r="J559" s="1" t="s">
        <v>1925</v>
      </c>
    </row>
    <row r="560" spans="1:10" ht="15" customHeight="1" x14ac:dyDescent="0.25">
      <c r="A560" t="s">
        <v>1926</v>
      </c>
      <c r="B560">
        <v>2022</v>
      </c>
      <c r="C560" t="s">
        <v>36</v>
      </c>
      <c r="D560" t="b">
        <f>TRUE()</f>
        <v>1</v>
      </c>
      <c r="E560" t="b">
        <f>COUNTIF(connections!A:A, A560) &gt; 0</f>
        <v>0</v>
      </c>
      <c r="G560" t="s">
        <v>1927</v>
      </c>
      <c r="H560" t="s">
        <v>102</v>
      </c>
      <c r="I560" t="s">
        <v>1928</v>
      </c>
      <c r="J560" s="1" t="s">
        <v>1929</v>
      </c>
    </row>
    <row r="561" spans="1:10" ht="15" customHeight="1" x14ac:dyDescent="0.25">
      <c r="A561" t="s">
        <v>1930</v>
      </c>
      <c r="B561">
        <v>2023</v>
      </c>
      <c r="C561" t="s">
        <v>46</v>
      </c>
      <c r="D561" t="b">
        <f>TRUE()</f>
        <v>1</v>
      </c>
      <c r="E561" t="b">
        <f>COUNTIF(connections!A:A, A561) &gt; 0</f>
        <v>0</v>
      </c>
      <c r="G561" t="s">
        <v>1931</v>
      </c>
      <c r="H561" t="s">
        <v>102</v>
      </c>
      <c r="I561" t="s">
        <v>1932</v>
      </c>
      <c r="J561" s="1" t="s">
        <v>1933</v>
      </c>
    </row>
    <row r="562" spans="1:10" ht="15" customHeight="1" x14ac:dyDescent="0.25">
      <c r="A562" t="s">
        <v>1934</v>
      </c>
      <c r="B562">
        <v>2014</v>
      </c>
      <c r="C562" t="s">
        <v>46</v>
      </c>
      <c r="D562" t="b">
        <f>TRUE()</f>
        <v>1</v>
      </c>
      <c r="E562" t="b">
        <f>COUNTIF(connections!A:A, A562) &gt; 0</f>
        <v>0</v>
      </c>
      <c r="G562" t="s">
        <v>1935</v>
      </c>
      <c r="H562" t="s">
        <v>102</v>
      </c>
      <c r="I562" t="s">
        <v>1936</v>
      </c>
      <c r="J562" s="1" t="s">
        <v>1937</v>
      </c>
    </row>
    <row r="563" spans="1:10" ht="15" customHeight="1" x14ac:dyDescent="0.25">
      <c r="A563" t="s">
        <v>1938</v>
      </c>
      <c r="B563">
        <v>2024</v>
      </c>
      <c r="C563" t="s">
        <v>36</v>
      </c>
      <c r="D563" t="b">
        <f>FALSE()</f>
        <v>0</v>
      </c>
      <c r="E563" t="b">
        <f>COUNTIF(connections!A:A, A563) &gt; 0</f>
        <v>0</v>
      </c>
      <c r="G563" t="s">
        <v>1939</v>
      </c>
    </row>
    <row r="564" spans="1:10" ht="15" customHeight="1" x14ac:dyDescent="0.25">
      <c r="A564" t="s">
        <v>1940</v>
      </c>
      <c r="B564">
        <v>2026</v>
      </c>
      <c r="C564" t="s">
        <v>44</v>
      </c>
      <c r="D564" t="b">
        <f>TRUE()</f>
        <v>1</v>
      </c>
      <c r="E564" t="b">
        <f>COUNTIF(connections!A:A, A564) &gt; 0</f>
        <v>0</v>
      </c>
      <c r="F564" t="s">
        <v>265</v>
      </c>
      <c r="G564" t="s">
        <v>1941</v>
      </c>
      <c r="H564" t="s">
        <v>102</v>
      </c>
      <c r="I564" t="s">
        <v>1942</v>
      </c>
      <c r="J564" s="1" t="s">
        <v>1943</v>
      </c>
    </row>
    <row r="565" spans="1:10" ht="15" customHeight="1" x14ac:dyDescent="0.25">
      <c r="A565" t="s">
        <v>1944</v>
      </c>
      <c r="B565">
        <v>2024</v>
      </c>
      <c r="C565" t="s">
        <v>40</v>
      </c>
      <c r="D565" t="b">
        <f>TRUE()</f>
        <v>1</v>
      </c>
      <c r="E565" t="b">
        <f>COUNTIF(connections!A:A, A565) &gt; 0</f>
        <v>0</v>
      </c>
      <c r="G565" t="s">
        <v>1945</v>
      </c>
      <c r="H565" t="s">
        <v>102</v>
      </c>
      <c r="I565" t="s">
        <v>1946</v>
      </c>
      <c r="J565" s="1" t="s">
        <v>1947</v>
      </c>
    </row>
    <row r="566" spans="1:10" ht="15" customHeight="1" x14ac:dyDescent="0.25">
      <c r="A566" t="s">
        <v>1948</v>
      </c>
      <c r="B566">
        <v>1992</v>
      </c>
      <c r="C566" t="s">
        <v>46</v>
      </c>
      <c r="D566" t="b">
        <f>TRUE()</f>
        <v>1</v>
      </c>
      <c r="E566" t="b">
        <f>COUNTIF(connections!A:A, A566) &gt; 0</f>
        <v>1</v>
      </c>
      <c r="G566" t="s">
        <v>1949</v>
      </c>
      <c r="H566" t="s">
        <v>102</v>
      </c>
      <c r="I566" t="s">
        <v>1950</v>
      </c>
    </row>
    <row r="567" spans="1:10" ht="15" customHeight="1" x14ac:dyDescent="0.25">
      <c r="A567" t="s">
        <v>1951</v>
      </c>
      <c r="B567">
        <v>2024</v>
      </c>
      <c r="C567" t="s">
        <v>36</v>
      </c>
      <c r="D567" t="b">
        <f>TRUE()</f>
        <v>1</v>
      </c>
      <c r="E567" t="b">
        <f>COUNTIF(connections!A:A, A567) &gt; 0</f>
        <v>0</v>
      </c>
      <c r="G567" t="s">
        <v>1952</v>
      </c>
    </row>
    <row r="568" spans="1:10" ht="15" customHeight="1" x14ac:dyDescent="0.25">
      <c r="A568" t="s">
        <v>1953</v>
      </c>
      <c r="B568">
        <v>2015</v>
      </c>
      <c r="C568" t="s">
        <v>36</v>
      </c>
      <c r="D568" t="b">
        <f>TRUE()</f>
        <v>1</v>
      </c>
      <c r="E568" t="b">
        <f>COUNTIF(connections!A:A, A568) &gt; 0</f>
        <v>0</v>
      </c>
      <c r="G568" t="s">
        <v>1954</v>
      </c>
      <c r="J568" s="11" t="s">
        <v>1955</v>
      </c>
    </row>
    <row r="569" spans="1:10" ht="15" customHeight="1" x14ac:dyDescent="0.25">
      <c r="A569" t="s">
        <v>1956</v>
      </c>
      <c r="B569">
        <v>2019</v>
      </c>
      <c r="C569" t="s">
        <v>44</v>
      </c>
      <c r="D569" t="b">
        <f>TRUE()</f>
        <v>1</v>
      </c>
      <c r="E569" t="b">
        <f>COUNTIF(connections!A:A, A569) &gt; 0</f>
        <v>0</v>
      </c>
      <c r="G569" t="s">
        <v>1957</v>
      </c>
      <c r="H569" t="s">
        <v>102</v>
      </c>
      <c r="I569" t="s">
        <v>1958</v>
      </c>
      <c r="J569" s="1" t="s">
        <v>1959</v>
      </c>
    </row>
    <row r="570" spans="1:10" ht="15" customHeight="1" x14ac:dyDescent="0.25">
      <c r="A570" t="s">
        <v>1960</v>
      </c>
      <c r="B570">
        <v>2023</v>
      </c>
      <c r="C570" t="s">
        <v>36</v>
      </c>
      <c r="D570" t="b">
        <f>TRUE()</f>
        <v>1</v>
      </c>
      <c r="E570" t="b">
        <f>COUNTIF(connections!A:A, A570) &gt; 0</f>
        <v>1</v>
      </c>
      <c r="G570" t="s">
        <v>1961</v>
      </c>
      <c r="H570" t="s">
        <v>102</v>
      </c>
      <c r="I570" t="s">
        <v>1962</v>
      </c>
      <c r="J570" s="1" t="s">
        <v>1963</v>
      </c>
    </row>
    <row r="571" spans="1:10" ht="15" customHeight="1" x14ac:dyDescent="0.25">
      <c r="A571" t="s">
        <v>1964</v>
      </c>
      <c r="B571">
        <v>2025</v>
      </c>
      <c r="C571" t="s">
        <v>36</v>
      </c>
      <c r="D571" t="b">
        <f>TRUE()</f>
        <v>1</v>
      </c>
      <c r="E571" t="b">
        <f>COUNTIF(connections!A:A, A571) &gt; 0</f>
        <v>0</v>
      </c>
      <c r="F571" t="s">
        <v>188</v>
      </c>
      <c r="G571" t="s">
        <v>1965</v>
      </c>
    </row>
    <row r="572" spans="1:10" ht="15" customHeight="1" x14ac:dyDescent="0.25">
      <c r="A572" t="s">
        <v>1966</v>
      </c>
      <c r="B572">
        <v>2024</v>
      </c>
      <c r="C572" t="s">
        <v>36</v>
      </c>
      <c r="D572" t="b">
        <f>TRUE()</f>
        <v>1</v>
      </c>
      <c r="E572" t="b">
        <f>COUNTIF(connections!A:A, A572) &gt; 0</f>
        <v>0</v>
      </c>
      <c r="G572" t="s">
        <v>1967</v>
      </c>
    </row>
    <row r="573" spans="1:10" ht="15" customHeight="1" x14ac:dyDescent="0.25">
      <c r="A573" t="s">
        <v>1968</v>
      </c>
      <c r="B573">
        <v>2010</v>
      </c>
      <c r="C573" t="s">
        <v>36</v>
      </c>
      <c r="D573" t="b">
        <f>TRUE()</f>
        <v>1</v>
      </c>
      <c r="E573" t="b">
        <f>COUNTIF(connections!A:A, A573) &gt; 0</f>
        <v>1</v>
      </c>
      <c r="G573" t="s">
        <v>1969</v>
      </c>
      <c r="H573" t="s">
        <v>102</v>
      </c>
      <c r="I573" t="s">
        <v>1970</v>
      </c>
      <c r="J573" s="1" t="s">
        <v>1971</v>
      </c>
    </row>
    <row r="574" spans="1:10" ht="15" customHeight="1" x14ac:dyDescent="0.25">
      <c r="A574" t="s">
        <v>1972</v>
      </c>
      <c r="B574">
        <v>2012</v>
      </c>
      <c r="C574" t="s">
        <v>36</v>
      </c>
      <c r="D574" t="b">
        <f>TRUE()</f>
        <v>1</v>
      </c>
      <c r="E574" t="b">
        <f>COUNTIF(connections!A:A, A574) &gt; 0</f>
        <v>0</v>
      </c>
      <c r="G574" t="s">
        <v>1973</v>
      </c>
      <c r="H574" t="s">
        <v>102</v>
      </c>
      <c r="I574" t="s">
        <v>1974</v>
      </c>
    </row>
    <row r="575" spans="1:10" ht="15" customHeight="1" x14ac:dyDescent="0.25">
      <c r="A575" t="s">
        <v>1975</v>
      </c>
      <c r="B575">
        <v>2015</v>
      </c>
      <c r="C575" t="s">
        <v>40</v>
      </c>
      <c r="D575" t="b">
        <f>TRUE()</f>
        <v>1</v>
      </c>
      <c r="E575" t="b">
        <f>COUNTIF(connections!A:A, A575) &gt; 0</f>
        <v>1</v>
      </c>
      <c r="G575" t="s">
        <v>1976</v>
      </c>
      <c r="H575" t="s">
        <v>102</v>
      </c>
      <c r="I575" t="s">
        <v>1977</v>
      </c>
      <c r="J575" s="11" t="s">
        <v>1978</v>
      </c>
    </row>
    <row r="576" spans="1:10" ht="15" customHeight="1" x14ac:dyDescent="0.25">
      <c r="A576" t="s">
        <v>1979</v>
      </c>
      <c r="B576">
        <v>2022</v>
      </c>
      <c r="C576" t="s">
        <v>36</v>
      </c>
      <c r="D576" t="b">
        <f>TRUE()</f>
        <v>1</v>
      </c>
      <c r="E576" t="b">
        <f>COUNTIF(connections!A:A, A576) &gt; 0</f>
        <v>0</v>
      </c>
      <c r="G576" t="s">
        <v>1980</v>
      </c>
      <c r="H576" t="s">
        <v>102</v>
      </c>
      <c r="I576" t="s">
        <v>1981</v>
      </c>
      <c r="J576" s="1" t="s">
        <v>1982</v>
      </c>
    </row>
    <row r="577" spans="1:10" ht="15" customHeight="1" x14ac:dyDescent="0.25">
      <c r="A577" t="s">
        <v>1983</v>
      </c>
      <c r="B577">
        <v>2025</v>
      </c>
      <c r="C577" t="s">
        <v>44</v>
      </c>
      <c r="D577" t="b">
        <f>TRUE()</f>
        <v>1</v>
      </c>
      <c r="E577" t="b">
        <f>COUNTIF(connections!A:A, A577) &gt; 0</f>
        <v>0</v>
      </c>
      <c r="G577" t="s">
        <v>1984</v>
      </c>
      <c r="J577" s="11" t="s">
        <v>1985</v>
      </c>
    </row>
    <row r="578" spans="1:10" ht="15" customHeight="1" x14ac:dyDescent="0.25">
      <c r="A578" t="s">
        <v>1986</v>
      </c>
      <c r="B578">
        <v>2023</v>
      </c>
      <c r="C578" t="s">
        <v>36</v>
      </c>
      <c r="D578" t="b">
        <f>TRUE()</f>
        <v>1</v>
      </c>
      <c r="E578" t="b">
        <f>COUNTIF(connections!A:A, A578) &gt; 0</f>
        <v>0</v>
      </c>
      <c r="G578" t="s">
        <v>1987</v>
      </c>
      <c r="H578" t="s">
        <v>102</v>
      </c>
      <c r="I578" t="s">
        <v>1988</v>
      </c>
      <c r="J578" s="1" t="s">
        <v>1989</v>
      </c>
    </row>
    <row r="579" spans="1:10" ht="15" customHeight="1" x14ac:dyDescent="0.25">
      <c r="A579" t="s">
        <v>1990</v>
      </c>
      <c r="B579">
        <v>2023</v>
      </c>
      <c r="C579" t="s">
        <v>36</v>
      </c>
      <c r="D579" t="b">
        <f>TRUE()</f>
        <v>1</v>
      </c>
      <c r="E579" t="b">
        <f>COUNTIF(connections!A:A, A579) &gt; 0</f>
        <v>1</v>
      </c>
      <c r="G579" t="s">
        <v>1991</v>
      </c>
      <c r="H579" t="s">
        <v>102</v>
      </c>
      <c r="I579" t="s">
        <v>1992</v>
      </c>
      <c r="J579" s="1" t="s">
        <v>1993</v>
      </c>
    </row>
    <row r="580" spans="1:10" ht="15" customHeight="1" x14ac:dyDescent="0.25">
      <c r="A580" t="s">
        <v>1994</v>
      </c>
      <c r="B580">
        <v>2021</v>
      </c>
      <c r="C580" t="s">
        <v>36</v>
      </c>
      <c r="D580" t="b">
        <f>TRUE()</f>
        <v>1</v>
      </c>
      <c r="E580" t="b">
        <f>COUNTIF(connections!A:A, A580) &gt; 0</f>
        <v>0</v>
      </c>
      <c r="G580" t="s">
        <v>1995</v>
      </c>
      <c r="H580" t="s">
        <v>102</v>
      </c>
      <c r="I580" t="s">
        <v>1996</v>
      </c>
      <c r="J580" s="1" t="s">
        <v>1997</v>
      </c>
    </row>
    <row r="581" spans="1:10" ht="15" customHeight="1" x14ac:dyDescent="0.25">
      <c r="A581" t="s">
        <v>1998</v>
      </c>
      <c r="B581">
        <v>2025</v>
      </c>
      <c r="C581" t="s">
        <v>36</v>
      </c>
      <c r="D581" t="b">
        <f>TRUE()</f>
        <v>1</v>
      </c>
      <c r="E581" t="b">
        <f>COUNTIF(connections!A:A, A581) &gt; 0</f>
        <v>0</v>
      </c>
      <c r="F581" t="s">
        <v>310</v>
      </c>
      <c r="G581" t="s">
        <v>1999</v>
      </c>
      <c r="H581" t="s">
        <v>102</v>
      </c>
      <c r="I581" t="s">
        <v>2000</v>
      </c>
      <c r="J581" s="1" t="s">
        <v>2001</v>
      </c>
    </row>
    <row r="582" spans="1:10" ht="15" customHeight="1" x14ac:dyDescent="0.25">
      <c r="A582" t="s">
        <v>2002</v>
      </c>
      <c r="B582">
        <v>2020</v>
      </c>
      <c r="C582" t="s">
        <v>46</v>
      </c>
      <c r="D582" t="b">
        <f>TRUE()</f>
        <v>1</v>
      </c>
      <c r="E582" t="b">
        <f>COUNTIF(connections!A:A, A582) &gt; 0</f>
        <v>1</v>
      </c>
      <c r="G582" t="s">
        <v>2003</v>
      </c>
      <c r="H582" t="s">
        <v>102</v>
      </c>
      <c r="I582" t="s">
        <v>2004</v>
      </c>
      <c r="J582" s="1" t="s">
        <v>2005</v>
      </c>
    </row>
    <row r="583" spans="1:10" ht="15" customHeight="1" x14ac:dyDescent="0.25">
      <c r="A583" t="s">
        <v>2006</v>
      </c>
      <c r="B583">
        <v>2024</v>
      </c>
      <c r="C583" t="s">
        <v>46</v>
      </c>
      <c r="D583" t="b">
        <f>TRUE()</f>
        <v>1</v>
      </c>
      <c r="E583" t="b">
        <f>COUNTIF(connections!A:A, A583) &gt; 0</f>
        <v>1</v>
      </c>
      <c r="G583" t="s">
        <v>2007</v>
      </c>
      <c r="H583" t="s">
        <v>102</v>
      </c>
      <c r="I583" t="s">
        <v>2008</v>
      </c>
      <c r="J583" s="1" t="s">
        <v>2009</v>
      </c>
    </row>
    <row r="584" spans="1:10" ht="15" customHeight="1" x14ac:dyDescent="0.25">
      <c r="A584" t="s">
        <v>2010</v>
      </c>
      <c r="B584">
        <v>2026</v>
      </c>
      <c r="C584" t="s">
        <v>46</v>
      </c>
      <c r="D584" t="b">
        <f>TRUE()</f>
        <v>1</v>
      </c>
      <c r="E584" t="b">
        <f>COUNTIF(connections!A:A, A584) &gt; 0</f>
        <v>0</v>
      </c>
      <c r="G584" t="s">
        <v>2011</v>
      </c>
      <c r="J584" s="1" t="s">
        <v>2012</v>
      </c>
    </row>
    <row r="585" spans="1:10" ht="15" customHeight="1" x14ac:dyDescent="0.25">
      <c r="A585" t="s">
        <v>2013</v>
      </c>
      <c r="B585">
        <v>2022</v>
      </c>
      <c r="C585" t="s">
        <v>44</v>
      </c>
      <c r="D585" t="b">
        <f>TRUE()</f>
        <v>1</v>
      </c>
      <c r="E585" t="b">
        <f>COUNTIF(connections!A:A, A585) &gt; 0</f>
        <v>0</v>
      </c>
      <c r="G585" t="s">
        <v>2014</v>
      </c>
      <c r="H585" t="s">
        <v>102</v>
      </c>
      <c r="I585" t="s">
        <v>2015</v>
      </c>
      <c r="J585" s="1" t="s">
        <v>2016</v>
      </c>
    </row>
    <row r="586" spans="1:10" ht="15" customHeight="1" x14ac:dyDescent="0.25">
      <c r="A586" t="s">
        <v>2017</v>
      </c>
      <c r="B586">
        <v>2020</v>
      </c>
      <c r="C586" t="s">
        <v>40</v>
      </c>
      <c r="D586" t="b">
        <f>TRUE()</f>
        <v>1</v>
      </c>
      <c r="E586" t="b">
        <f>COUNTIF(connections!A:A, A586) &gt; 0</f>
        <v>1</v>
      </c>
      <c r="G586" t="s">
        <v>2018</v>
      </c>
      <c r="H586" t="s">
        <v>102</v>
      </c>
      <c r="I586" t="s">
        <v>2019</v>
      </c>
      <c r="J586" s="1" t="s">
        <v>2020</v>
      </c>
    </row>
    <row r="587" spans="1:10" ht="15" customHeight="1" x14ac:dyDescent="0.25">
      <c r="A587" t="s">
        <v>2021</v>
      </c>
      <c r="B587">
        <v>2025</v>
      </c>
      <c r="C587" t="s">
        <v>44</v>
      </c>
      <c r="D587" t="b">
        <f>FALSE()</f>
        <v>0</v>
      </c>
      <c r="E587" t="b">
        <f>COUNTIF(connections!A:A, A587) &gt; 0</f>
        <v>0</v>
      </c>
      <c r="G587" t="s">
        <v>2022</v>
      </c>
      <c r="H587" t="s">
        <v>102</v>
      </c>
      <c r="I587" t="s">
        <v>2023</v>
      </c>
      <c r="J587" s="1" t="s">
        <v>2024</v>
      </c>
    </row>
    <row r="588" spans="1:10" ht="15" customHeight="1" x14ac:dyDescent="0.25">
      <c r="A588" t="s">
        <v>2025</v>
      </c>
      <c r="B588">
        <v>2017</v>
      </c>
      <c r="C588" t="s">
        <v>36</v>
      </c>
      <c r="D588" t="b">
        <f>TRUE()</f>
        <v>1</v>
      </c>
      <c r="E588" t="b">
        <f>COUNTIF(connections!A:A, A588) &gt; 0</f>
        <v>1</v>
      </c>
      <c r="G588" t="s">
        <v>2026</v>
      </c>
    </row>
    <row r="589" spans="1:10" ht="15" customHeight="1" x14ac:dyDescent="0.25">
      <c r="A589" t="s">
        <v>2027</v>
      </c>
      <c r="B589">
        <v>2013</v>
      </c>
      <c r="C589" t="s">
        <v>36</v>
      </c>
      <c r="D589" t="b">
        <f>TRUE()</f>
        <v>1</v>
      </c>
      <c r="E589" t="b">
        <f>COUNTIF(connections!A:A, A589) &gt; 0</f>
        <v>1</v>
      </c>
      <c r="F589" t="s">
        <v>188</v>
      </c>
      <c r="G589" t="s">
        <v>2028</v>
      </c>
      <c r="H589" t="s">
        <v>102</v>
      </c>
      <c r="I589" t="s">
        <v>2029</v>
      </c>
      <c r="J589" s="1" t="s">
        <v>2030</v>
      </c>
    </row>
    <row r="590" spans="1:10" ht="15" customHeight="1" x14ac:dyDescent="0.25">
      <c r="A590" t="s">
        <v>2031</v>
      </c>
      <c r="B590">
        <v>2020</v>
      </c>
      <c r="C590" t="s">
        <v>36</v>
      </c>
      <c r="D590" t="b">
        <f>TRUE()</f>
        <v>1</v>
      </c>
      <c r="E590" t="b">
        <f>COUNTIF(connections!A:A, A590) &gt; 0</f>
        <v>1</v>
      </c>
      <c r="F590" t="s">
        <v>188</v>
      </c>
      <c r="G590" t="s">
        <v>2032</v>
      </c>
      <c r="H590" t="s">
        <v>102</v>
      </c>
      <c r="I590" t="s">
        <v>2033</v>
      </c>
      <c r="J590" s="1" t="s">
        <v>2034</v>
      </c>
    </row>
    <row r="591" spans="1:10" ht="15" customHeight="1" x14ac:dyDescent="0.25">
      <c r="A591" t="s">
        <v>2035</v>
      </c>
      <c r="B591">
        <v>2023</v>
      </c>
      <c r="C591" t="s">
        <v>36</v>
      </c>
      <c r="D591" t="b">
        <f>TRUE()</f>
        <v>1</v>
      </c>
      <c r="E591" t="b">
        <f>COUNTIF(connections!A:A, A591) &gt; 0</f>
        <v>0</v>
      </c>
      <c r="F591" t="s">
        <v>188</v>
      </c>
      <c r="G591" t="s">
        <v>2036</v>
      </c>
      <c r="H591" t="s">
        <v>102</v>
      </c>
      <c r="I591" t="s">
        <v>2037</v>
      </c>
      <c r="J591" s="1" t="s">
        <v>2038</v>
      </c>
    </row>
    <row r="592" spans="1:10" ht="15" customHeight="1" x14ac:dyDescent="0.25">
      <c r="A592" t="s">
        <v>2039</v>
      </c>
      <c r="B592">
        <v>2014</v>
      </c>
      <c r="C592" t="s">
        <v>40</v>
      </c>
      <c r="D592" t="b">
        <f>TRUE()</f>
        <v>1</v>
      </c>
      <c r="E592" t="b">
        <f>COUNTIF(connections!A:A, A592) &gt; 0</f>
        <v>0</v>
      </c>
      <c r="G592" t="s">
        <v>2040</v>
      </c>
    </row>
    <row r="593" spans="1:10" ht="15" customHeight="1" x14ac:dyDescent="0.25">
      <c r="A593" t="s">
        <v>2041</v>
      </c>
      <c r="B593">
        <v>2020</v>
      </c>
      <c r="C593" t="s">
        <v>36</v>
      </c>
      <c r="D593" t="b">
        <f>TRUE()</f>
        <v>1</v>
      </c>
      <c r="E593" t="b">
        <f>COUNTIF(connections!A:A, A593) &gt; 0</f>
        <v>1</v>
      </c>
      <c r="G593" t="s">
        <v>2042</v>
      </c>
      <c r="H593" t="s">
        <v>102</v>
      </c>
      <c r="I593" t="s">
        <v>2043</v>
      </c>
      <c r="J593" s="1" t="s">
        <v>2044</v>
      </c>
    </row>
    <row r="594" spans="1:10" ht="15" customHeight="1" x14ac:dyDescent="0.25">
      <c r="A594" t="s">
        <v>2045</v>
      </c>
      <c r="B594">
        <v>2024</v>
      </c>
      <c r="C594" t="s">
        <v>36</v>
      </c>
      <c r="D594" t="b">
        <f>TRUE()</f>
        <v>1</v>
      </c>
      <c r="E594" t="b">
        <f>COUNTIF(connections!A:A, A594) &gt; 0</f>
        <v>0</v>
      </c>
      <c r="F594" t="s">
        <v>188</v>
      </c>
      <c r="G594" t="s">
        <v>2046</v>
      </c>
      <c r="H594" t="s">
        <v>102</v>
      </c>
      <c r="I594" t="s">
        <v>2047</v>
      </c>
      <c r="J594" s="1" t="s">
        <v>2048</v>
      </c>
    </row>
    <row r="595" spans="1:10" ht="15" customHeight="1" x14ac:dyDescent="0.25">
      <c r="A595" t="s">
        <v>2049</v>
      </c>
      <c r="B595">
        <v>1980</v>
      </c>
      <c r="C595" t="s">
        <v>46</v>
      </c>
      <c r="D595" t="b">
        <f>TRUE()</f>
        <v>1</v>
      </c>
      <c r="E595" t="b">
        <f>COUNTIF(connections!A:A, A595) &gt; 0</f>
        <v>1</v>
      </c>
      <c r="G595" t="s">
        <v>2050</v>
      </c>
      <c r="H595" t="s">
        <v>102</v>
      </c>
      <c r="I595" t="s">
        <v>2051</v>
      </c>
      <c r="J595" s="1" t="s">
        <v>2052</v>
      </c>
    </row>
    <row r="596" spans="1:10" ht="15" customHeight="1" x14ac:dyDescent="0.25">
      <c r="A596" t="s">
        <v>2053</v>
      </c>
      <c r="B596">
        <v>2024</v>
      </c>
      <c r="C596" t="s">
        <v>40</v>
      </c>
      <c r="D596" t="b">
        <f>TRUE()</f>
        <v>1</v>
      </c>
      <c r="E596" t="b">
        <f>COUNTIF(connections!A:A, A596) &gt; 0</f>
        <v>0</v>
      </c>
      <c r="G596" t="s">
        <v>2054</v>
      </c>
    </row>
    <row r="597" spans="1:10" ht="15" customHeight="1" x14ac:dyDescent="0.25">
      <c r="A597" t="s">
        <v>2055</v>
      </c>
      <c r="B597">
        <v>2019</v>
      </c>
      <c r="C597" t="s">
        <v>46</v>
      </c>
      <c r="D597" t="b">
        <f>TRUE()</f>
        <v>1</v>
      </c>
      <c r="E597" t="b">
        <f>COUNTIF(connections!A:A, A597) &gt; 0</f>
        <v>0</v>
      </c>
      <c r="G597" t="s">
        <v>2056</v>
      </c>
    </row>
    <row r="598" spans="1:10" ht="15" customHeight="1" x14ac:dyDescent="0.25">
      <c r="A598" t="s">
        <v>2057</v>
      </c>
      <c r="B598">
        <v>2026</v>
      </c>
      <c r="C598" t="s">
        <v>36</v>
      </c>
      <c r="D598" t="b">
        <f>TRUE()</f>
        <v>1</v>
      </c>
      <c r="E598" t="b">
        <f>COUNTIF(connections!A:A, A598) &gt; 0</f>
        <v>0</v>
      </c>
      <c r="G598" t="s">
        <v>2058</v>
      </c>
    </row>
    <row r="599" spans="1:10" ht="15" customHeight="1" x14ac:dyDescent="0.25">
      <c r="A599" t="s">
        <v>2059</v>
      </c>
      <c r="B599">
        <v>2024</v>
      </c>
      <c r="C599" t="s">
        <v>36</v>
      </c>
      <c r="D599" t="b">
        <f>FALSE()</f>
        <v>0</v>
      </c>
      <c r="E599" t="b">
        <f>COUNTIF(connections!A:A, A599) &gt; 0</f>
        <v>0</v>
      </c>
      <c r="F599" t="s">
        <v>188</v>
      </c>
      <c r="G599" t="s">
        <v>2060</v>
      </c>
    </row>
    <row r="600" spans="1:10" ht="15" customHeight="1" x14ac:dyDescent="0.25">
      <c r="A600" t="s">
        <v>2061</v>
      </c>
      <c r="B600">
        <v>2007</v>
      </c>
      <c r="C600" t="s">
        <v>46</v>
      </c>
      <c r="D600" t="b">
        <f>TRUE()</f>
        <v>1</v>
      </c>
      <c r="E600" t="b">
        <f>COUNTIF(connections!A:A, A600) &gt; 0</f>
        <v>0</v>
      </c>
      <c r="G600" t="s">
        <v>2062</v>
      </c>
      <c r="H600" t="s">
        <v>102</v>
      </c>
      <c r="I600" t="s">
        <v>2063</v>
      </c>
    </row>
    <row r="601" spans="1:10" ht="15" customHeight="1" x14ac:dyDescent="0.25">
      <c r="A601" t="s">
        <v>2064</v>
      </c>
      <c r="B601">
        <v>2021</v>
      </c>
      <c r="C601" t="s">
        <v>36</v>
      </c>
      <c r="D601" t="b">
        <f>TRUE()</f>
        <v>1</v>
      </c>
      <c r="E601" t="b">
        <f>COUNTIF(connections!A:A, A601) &gt; 0</f>
        <v>0</v>
      </c>
      <c r="G601" t="s">
        <v>2065</v>
      </c>
      <c r="H601" t="s">
        <v>102</v>
      </c>
      <c r="I601" t="s">
        <v>2066</v>
      </c>
      <c r="J601" s="1" t="s">
        <v>2067</v>
      </c>
    </row>
    <row r="602" spans="1:10" ht="15" customHeight="1" x14ac:dyDescent="0.25">
      <c r="A602" t="s">
        <v>2068</v>
      </c>
      <c r="B602">
        <v>2013</v>
      </c>
      <c r="C602" t="s">
        <v>36</v>
      </c>
      <c r="D602" t="b">
        <f>TRUE()</f>
        <v>1</v>
      </c>
      <c r="E602" t="b">
        <f>COUNTIF(connections!A:A, A602) &gt; 0</f>
        <v>1</v>
      </c>
      <c r="G602" t="s">
        <v>2069</v>
      </c>
      <c r="H602" t="s">
        <v>102</v>
      </c>
      <c r="I602" t="s">
        <v>2070</v>
      </c>
      <c r="J602" s="1" t="s">
        <v>2071</v>
      </c>
    </row>
    <row r="603" spans="1:10" ht="15" customHeight="1" x14ac:dyDescent="0.25">
      <c r="A603" t="s">
        <v>2072</v>
      </c>
      <c r="B603">
        <v>2020</v>
      </c>
      <c r="C603" t="s">
        <v>36</v>
      </c>
      <c r="D603" t="b">
        <f>TRUE()</f>
        <v>1</v>
      </c>
      <c r="E603" t="b">
        <f>COUNTIF(connections!A:A, A603) &gt; 0</f>
        <v>0</v>
      </c>
      <c r="G603" t="s">
        <v>2073</v>
      </c>
      <c r="H603" t="s">
        <v>102</v>
      </c>
      <c r="I603" t="s">
        <v>2074</v>
      </c>
      <c r="J603" s="1" t="s">
        <v>2075</v>
      </c>
    </row>
    <row r="604" spans="1:10" ht="15" customHeight="1" x14ac:dyDescent="0.25">
      <c r="A604" t="s">
        <v>2076</v>
      </c>
      <c r="B604">
        <v>2021</v>
      </c>
      <c r="C604" t="s">
        <v>40</v>
      </c>
      <c r="D604" t="b">
        <f>TRUE()</f>
        <v>1</v>
      </c>
      <c r="E604" t="b">
        <f>COUNTIF(connections!A:A, A604) &gt; 0</f>
        <v>0</v>
      </c>
      <c r="F604" t="s">
        <v>1708</v>
      </c>
      <c r="G604" t="s">
        <v>2077</v>
      </c>
      <c r="H604" t="s">
        <v>102</v>
      </c>
      <c r="I604" t="s">
        <v>2078</v>
      </c>
      <c r="J604" s="1" t="s">
        <v>2079</v>
      </c>
    </row>
    <row r="605" spans="1:10" ht="15" customHeight="1" x14ac:dyDescent="0.25">
      <c r="A605" t="s">
        <v>2080</v>
      </c>
      <c r="B605">
        <v>2022</v>
      </c>
      <c r="C605" t="s">
        <v>40</v>
      </c>
      <c r="D605" t="b">
        <f>TRUE()</f>
        <v>1</v>
      </c>
      <c r="E605" t="b">
        <f>COUNTIF(connections!A:A, A605) &gt; 0</f>
        <v>1</v>
      </c>
      <c r="F605" t="s">
        <v>315</v>
      </c>
      <c r="G605" t="s">
        <v>2081</v>
      </c>
    </row>
    <row r="606" spans="1:10" ht="15" customHeight="1" x14ac:dyDescent="0.25">
      <c r="A606" t="s">
        <v>2082</v>
      </c>
      <c r="B606">
        <v>2024</v>
      </c>
      <c r="C606" t="s">
        <v>44</v>
      </c>
      <c r="D606" t="b">
        <v>1</v>
      </c>
      <c r="E606" t="b">
        <f>COUNTIF(connections!A:A, A606) &gt; 0</f>
        <v>0</v>
      </c>
      <c r="G606" t="s">
        <v>2083</v>
      </c>
      <c r="J606" s="11" t="s">
        <v>2084</v>
      </c>
    </row>
    <row r="607" spans="1:10" ht="15" customHeight="1" x14ac:dyDescent="0.25">
      <c r="A607" t="s">
        <v>2085</v>
      </c>
      <c r="B607">
        <v>2016</v>
      </c>
      <c r="C607" t="s">
        <v>40</v>
      </c>
      <c r="D607" t="b">
        <v>1</v>
      </c>
      <c r="E607" t="b">
        <f>COUNTIF(connections!A:A, A607) &gt; 0</f>
        <v>0</v>
      </c>
      <c r="G607" t="s">
        <v>2086</v>
      </c>
    </row>
    <row r="608" spans="1:10" ht="15" customHeight="1" x14ac:dyDescent="0.25">
      <c r="A608" t="s">
        <v>2087</v>
      </c>
      <c r="B608">
        <v>2022</v>
      </c>
      <c r="C608" t="s">
        <v>36</v>
      </c>
      <c r="D608" t="b">
        <f>TRUE()</f>
        <v>1</v>
      </c>
      <c r="E608" t="b">
        <f>COUNTIF(connections!A:A, A608) &gt; 0</f>
        <v>0</v>
      </c>
      <c r="G608" t="s">
        <v>2088</v>
      </c>
      <c r="H608" t="s">
        <v>102</v>
      </c>
      <c r="I608" t="s">
        <v>2089</v>
      </c>
      <c r="J608" s="1" t="s">
        <v>2090</v>
      </c>
    </row>
    <row r="609" spans="1:10" ht="15" customHeight="1" x14ac:dyDescent="0.25">
      <c r="A609" t="s">
        <v>2091</v>
      </c>
      <c r="B609">
        <v>2021</v>
      </c>
      <c r="C609" t="s">
        <v>44</v>
      </c>
      <c r="D609" t="b">
        <f>TRUE()</f>
        <v>1</v>
      </c>
      <c r="E609" t="b">
        <f>COUNTIF(connections!A:A, A609) &gt; 0</f>
        <v>1</v>
      </c>
      <c r="G609" t="s">
        <v>2092</v>
      </c>
      <c r="H609" t="s">
        <v>102</v>
      </c>
      <c r="I609" t="s">
        <v>2093</v>
      </c>
      <c r="J609" s="1" t="s">
        <v>2094</v>
      </c>
    </row>
    <row r="610" spans="1:10" ht="15" customHeight="1" x14ac:dyDescent="0.25">
      <c r="A610" t="s">
        <v>2095</v>
      </c>
      <c r="B610">
        <v>2023</v>
      </c>
      <c r="C610" t="s">
        <v>46</v>
      </c>
      <c r="D610" t="b">
        <f>TRUE()</f>
        <v>1</v>
      </c>
      <c r="E610" t="b">
        <f>COUNTIF(connections!A:A, A610) &gt; 0</f>
        <v>0</v>
      </c>
      <c r="G610" t="s">
        <v>2096</v>
      </c>
    </row>
    <row r="611" spans="1:10" ht="15" customHeight="1" x14ac:dyDescent="0.25">
      <c r="A611" t="s">
        <v>2097</v>
      </c>
      <c r="B611">
        <v>2026</v>
      </c>
      <c r="C611" t="s">
        <v>44</v>
      </c>
      <c r="D611" t="b">
        <f>TRUE()</f>
        <v>1</v>
      </c>
      <c r="E611" t="b">
        <f>COUNTIF(connections!A:A, A611) &gt; 0</f>
        <v>0</v>
      </c>
      <c r="F611" t="s">
        <v>265</v>
      </c>
      <c r="G611" t="s">
        <v>2098</v>
      </c>
    </row>
    <row r="612" spans="1:10" ht="15" customHeight="1" x14ac:dyDescent="0.25">
      <c r="A612" t="s">
        <v>2099</v>
      </c>
      <c r="B612">
        <v>2014</v>
      </c>
      <c r="C612" t="s">
        <v>46</v>
      </c>
      <c r="D612" t="b">
        <f>TRUE()</f>
        <v>1</v>
      </c>
      <c r="E612" t="b">
        <f>COUNTIF(connections!A:A, A612) &gt; 0</f>
        <v>0</v>
      </c>
      <c r="G612" t="s">
        <v>2100</v>
      </c>
      <c r="J612" s="1" t="s">
        <v>2101</v>
      </c>
    </row>
    <row r="613" spans="1:10" ht="15" customHeight="1" x14ac:dyDescent="0.25">
      <c r="A613" t="s">
        <v>2102</v>
      </c>
      <c r="B613">
        <v>2022</v>
      </c>
      <c r="C613" t="s">
        <v>40</v>
      </c>
      <c r="D613" t="b">
        <f>FALSE()</f>
        <v>0</v>
      </c>
      <c r="E613" t="b">
        <f>COUNTIF(connections!A:A, A613) &gt; 0</f>
        <v>0</v>
      </c>
      <c r="G613" t="s">
        <v>2103</v>
      </c>
      <c r="H613" t="s">
        <v>102</v>
      </c>
      <c r="I613" t="s">
        <v>2104</v>
      </c>
      <c r="J613" s="1" t="s">
        <v>2105</v>
      </c>
    </row>
    <row r="614" spans="1:10" ht="15" customHeight="1" x14ac:dyDescent="0.25">
      <c r="A614" t="s">
        <v>2106</v>
      </c>
      <c r="B614">
        <v>2021</v>
      </c>
      <c r="C614" t="s">
        <v>40</v>
      </c>
      <c r="D614" t="b">
        <f>TRUE()</f>
        <v>1</v>
      </c>
      <c r="E614" t="b">
        <f>COUNTIF(connections!A:A, A614) &gt; 0</f>
        <v>1</v>
      </c>
      <c r="F614" t="s">
        <v>226</v>
      </c>
      <c r="G614" t="s">
        <v>2107</v>
      </c>
      <c r="H614" t="s">
        <v>102</v>
      </c>
      <c r="I614" t="s">
        <v>2108</v>
      </c>
      <c r="J614" s="1" t="s">
        <v>2109</v>
      </c>
    </row>
    <row r="615" spans="1:10" ht="15" customHeight="1" x14ac:dyDescent="0.25">
      <c r="A615" t="s">
        <v>2110</v>
      </c>
      <c r="B615">
        <v>2024</v>
      </c>
      <c r="C615" t="s">
        <v>40</v>
      </c>
      <c r="D615" t="b">
        <f>TRUE()</f>
        <v>1</v>
      </c>
      <c r="E615" t="b">
        <f>COUNTIF(connections!A:A, A615) &gt; 0</f>
        <v>0</v>
      </c>
      <c r="F615" t="s">
        <v>226</v>
      </c>
      <c r="G615" t="s">
        <v>2111</v>
      </c>
      <c r="H615" t="s">
        <v>102</v>
      </c>
      <c r="I615" t="s">
        <v>2112</v>
      </c>
      <c r="J615" s="1" t="s">
        <v>2113</v>
      </c>
    </row>
    <row r="616" spans="1:10" ht="15" customHeight="1" x14ac:dyDescent="0.25">
      <c r="A616" t="s">
        <v>2114</v>
      </c>
      <c r="B616">
        <v>2026</v>
      </c>
      <c r="C616" t="s">
        <v>44</v>
      </c>
      <c r="D616" t="b">
        <v>1</v>
      </c>
      <c r="E616" t="b">
        <f>COUNTIF(connections!A:A, A616) &gt; 0</f>
        <v>0</v>
      </c>
      <c r="G616" t="s">
        <v>2115</v>
      </c>
      <c r="J616" s="11" t="s">
        <v>2116</v>
      </c>
    </row>
    <row r="617" spans="1:10" ht="15" customHeight="1" x14ac:dyDescent="0.25">
      <c r="A617" t="s">
        <v>2117</v>
      </c>
      <c r="B617">
        <v>2025</v>
      </c>
      <c r="C617" t="s">
        <v>44</v>
      </c>
      <c r="D617" t="b">
        <f>TRUE()</f>
        <v>1</v>
      </c>
      <c r="E617" t="b">
        <f>COUNTIF(connections!A:A, A617) &gt; 0</f>
        <v>0</v>
      </c>
      <c r="F617" t="s">
        <v>265</v>
      </c>
      <c r="G617" t="s">
        <v>2118</v>
      </c>
      <c r="J617" s="11" t="s">
        <v>2119</v>
      </c>
    </row>
    <row r="618" spans="1:10" ht="15" customHeight="1" x14ac:dyDescent="0.25">
      <c r="A618" t="s">
        <v>2120</v>
      </c>
      <c r="B618">
        <v>2021</v>
      </c>
      <c r="C618" t="s">
        <v>36</v>
      </c>
      <c r="D618" t="b">
        <f>FALSE()</f>
        <v>0</v>
      </c>
      <c r="E618" t="b">
        <f>COUNTIF(connections!A:A, A618) &gt; 0</f>
        <v>0</v>
      </c>
      <c r="G618" t="s">
        <v>2121</v>
      </c>
      <c r="H618" t="s">
        <v>102</v>
      </c>
      <c r="I618" t="s">
        <v>2122</v>
      </c>
      <c r="J618" s="1" t="s">
        <v>2123</v>
      </c>
    </row>
    <row r="619" spans="1:10" ht="15" customHeight="1" x14ac:dyDescent="0.25">
      <c r="A619" t="s">
        <v>2124</v>
      </c>
      <c r="B619">
        <v>2026</v>
      </c>
      <c r="C619" t="s">
        <v>44</v>
      </c>
      <c r="D619" t="b">
        <f>TRUE()</f>
        <v>1</v>
      </c>
      <c r="E619" t="b">
        <f>COUNTIF(connections!A:A, A619) &gt; 0</f>
        <v>0</v>
      </c>
      <c r="F619" t="s">
        <v>226</v>
      </c>
      <c r="G619" t="s">
        <v>2125</v>
      </c>
      <c r="J619" s="11" t="s">
        <v>2126</v>
      </c>
    </row>
    <row r="620" spans="1:10" ht="15" customHeight="1" x14ac:dyDescent="0.25">
      <c r="A620" t="s">
        <v>2127</v>
      </c>
      <c r="B620">
        <v>2025</v>
      </c>
      <c r="C620" t="s">
        <v>44</v>
      </c>
      <c r="D620" t="b">
        <f>TRUE()</f>
        <v>1</v>
      </c>
      <c r="E620" t="b">
        <f>COUNTIF(connections!A:A, A620) &gt; 0</f>
        <v>0</v>
      </c>
      <c r="G620" t="s">
        <v>2128</v>
      </c>
      <c r="H620" t="s">
        <v>102</v>
      </c>
      <c r="I620" t="s">
        <v>2129</v>
      </c>
      <c r="J620" s="1" t="s">
        <v>2130</v>
      </c>
    </row>
    <row r="621" spans="1:10" ht="15" customHeight="1" x14ac:dyDescent="0.25">
      <c r="A621" t="s">
        <v>2131</v>
      </c>
      <c r="B621">
        <v>2026</v>
      </c>
      <c r="C621" t="s">
        <v>44</v>
      </c>
      <c r="D621" t="b">
        <f>TRUE()</f>
        <v>1</v>
      </c>
      <c r="E621" t="b">
        <f>COUNTIF(connections!A:A, A621) &gt; 0</f>
        <v>0</v>
      </c>
      <c r="G621" t="s">
        <v>2132</v>
      </c>
      <c r="J621" s="11" t="s">
        <v>2133</v>
      </c>
    </row>
    <row r="622" spans="1:10" ht="15" customHeight="1" x14ac:dyDescent="0.25">
      <c r="A622" t="s">
        <v>2134</v>
      </c>
      <c r="B622">
        <v>2023</v>
      </c>
      <c r="C622" t="s">
        <v>44</v>
      </c>
      <c r="D622" t="b">
        <f>TRUE()</f>
        <v>1</v>
      </c>
      <c r="E622" t="b">
        <f>COUNTIF(connections!A:A, A622) &gt; 0</f>
        <v>0</v>
      </c>
      <c r="G622" t="s">
        <v>2135</v>
      </c>
      <c r="J622" s="11" t="s">
        <v>2136</v>
      </c>
    </row>
    <row r="623" spans="1:10" ht="15" customHeight="1" x14ac:dyDescent="0.25">
      <c r="A623" t="s">
        <v>2137</v>
      </c>
      <c r="B623">
        <v>2010</v>
      </c>
      <c r="C623" t="s">
        <v>46</v>
      </c>
      <c r="D623" t="b">
        <f>TRUE()</f>
        <v>1</v>
      </c>
      <c r="E623" t="b">
        <f>COUNTIF(connections!A:A, A623) &gt; 0</f>
        <v>0</v>
      </c>
      <c r="F623" t="s">
        <v>239</v>
      </c>
      <c r="G623" t="s">
        <v>2138</v>
      </c>
    </row>
    <row r="624" spans="1:10" ht="15" customHeight="1" x14ac:dyDescent="0.25">
      <c r="A624" t="s">
        <v>2139</v>
      </c>
      <c r="B624">
        <v>2024</v>
      </c>
      <c r="C624" t="s">
        <v>36</v>
      </c>
      <c r="D624" t="b">
        <f>TRUE()</f>
        <v>1</v>
      </c>
      <c r="E624" t="b">
        <f>COUNTIF(connections!A:A, A624) &gt; 0</f>
        <v>0</v>
      </c>
      <c r="G624" t="s">
        <v>2140</v>
      </c>
      <c r="J624" s="11" t="s">
        <v>2141</v>
      </c>
    </row>
    <row r="625" spans="1:10" ht="15" customHeight="1" x14ac:dyDescent="0.25">
      <c r="A625" t="s">
        <v>2142</v>
      </c>
      <c r="B625">
        <v>2022</v>
      </c>
      <c r="C625" t="s">
        <v>36</v>
      </c>
      <c r="D625" t="b">
        <f>TRUE()</f>
        <v>1</v>
      </c>
      <c r="E625" t="b">
        <f>COUNTIF(connections!A:A, A625) &gt; 0</f>
        <v>0</v>
      </c>
      <c r="G625" t="s">
        <v>2143</v>
      </c>
      <c r="H625" t="s">
        <v>102</v>
      </c>
      <c r="I625" t="s">
        <v>2144</v>
      </c>
      <c r="J625" s="1" t="s">
        <v>2145</v>
      </c>
    </row>
    <row r="626" spans="1:10" ht="15" customHeight="1" x14ac:dyDescent="0.25">
      <c r="A626" t="s">
        <v>2146</v>
      </c>
      <c r="B626">
        <v>2023</v>
      </c>
      <c r="C626" t="s">
        <v>36</v>
      </c>
      <c r="D626" t="b">
        <v>1</v>
      </c>
      <c r="E626" t="b">
        <f>COUNTIF(connections!A:A, A626) &gt; 0</f>
        <v>0</v>
      </c>
      <c r="G626" t="s">
        <v>2147</v>
      </c>
      <c r="J626" s="11" t="s">
        <v>2148</v>
      </c>
    </row>
    <row r="627" spans="1:10" ht="15" customHeight="1" x14ac:dyDescent="0.25">
      <c r="A627" t="s">
        <v>2149</v>
      </c>
      <c r="B627">
        <v>2020</v>
      </c>
      <c r="C627" t="s">
        <v>36</v>
      </c>
      <c r="D627" t="b">
        <f>TRUE()</f>
        <v>1</v>
      </c>
      <c r="E627" t="b">
        <f>COUNTIF(connections!A:A, A627) &gt; 0</f>
        <v>1</v>
      </c>
      <c r="G627" t="s">
        <v>2150</v>
      </c>
      <c r="H627" t="s">
        <v>102</v>
      </c>
      <c r="I627" t="s">
        <v>2151</v>
      </c>
      <c r="J627" s="1" t="s">
        <v>2152</v>
      </c>
    </row>
    <row r="628" spans="1:10" ht="15" customHeight="1" x14ac:dyDescent="0.25">
      <c r="A628" t="s">
        <v>2153</v>
      </c>
      <c r="B628">
        <v>2023</v>
      </c>
      <c r="C628" t="s">
        <v>36</v>
      </c>
      <c r="D628" t="b">
        <f>TRUE()</f>
        <v>1</v>
      </c>
      <c r="E628" t="b">
        <f>COUNTIF(connections!A:A, A628) &gt; 0</f>
        <v>0</v>
      </c>
      <c r="F628" t="s">
        <v>560</v>
      </c>
      <c r="G628" t="s">
        <v>2154</v>
      </c>
    </row>
    <row r="629" spans="1:10" ht="15" customHeight="1" x14ac:dyDescent="0.25">
      <c r="A629" t="s">
        <v>2155</v>
      </c>
      <c r="B629">
        <v>2023</v>
      </c>
      <c r="C629" t="s">
        <v>36</v>
      </c>
      <c r="D629" t="b">
        <f>FALSE()</f>
        <v>0</v>
      </c>
      <c r="E629" t="b">
        <f>COUNTIF(connections!A:A, A629) &gt; 0</f>
        <v>0</v>
      </c>
      <c r="G629" t="s">
        <v>2156</v>
      </c>
      <c r="H629" t="s">
        <v>102</v>
      </c>
      <c r="I629" t="s">
        <v>2157</v>
      </c>
      <c r="J629" s="1" t="s">
        <v>2158</v>
      </c>
    </row>
    <row r="630" spans="1:10" ht="15" customHeight="1" x14ac:dyDescent="0.25">
      <c r="A630" t="s">
        <v>2159</v>
      </c>
      <c r="B630">
        <v>2025</v>
      </c>
      <c r="C630" t="s">
        <v>40</v>
      </c>
      <c r="D630" t="b">
        <f>TRUE()</f>
        <v>1</v>
      </c>
      <c r="E630" t="b">
        <f>COUNTIF(connections!A:A, A630) &gt; 0</f>
        <v>0</v>
      </c>
      <c r="G630" t="s">
        <v>2160</v>
      </c>
      <c r="J630" s="1" t="s">
        <v>2161</v>
      </c>
    </row>
    <row r="631" spans="1:10" ht="15" customHeight="1" x14ac:dyDescent="0.25">
      <c r="A631" t="s">
        <v>2162</v>
      </c>
      <c r="B631">
        <v>2025</v>
      </c>
      <c r="C631" t="s">
        <v>36</v>
      </c>
      <c r="D631" t="b">
        <f>TRUE()</f>
        <v>1</v>
      </c>
      <c r="E631" t="b">
        <f>COUNTIF(connections!A:A, A631) &gt; 0</f>
        <v>0</v>
      </c>
      <c r="G631" t="s">
        <v>2163</v>
      </c>
    </row>
    <row r="632" spans="1:10" ht="15" customHeight="1" x14ac:dyDescent="0.25">
      <c r="A632" t="s">
        <v>2164</v>
      </c>
      <c r="B632">
        <v>2022</v>
      </c>
      <c r="C632" t="s">
        <v>36</v>
      </c>
      <c r="D632" t="b">
        <f>TRUE()</f>
        <v>1</v>
      </c>
      <c r="E632" t="b">
        <f>COUNTIF(connections!A:A, A632) &gt; 0</f>
        <v>1</v>
      </c>
      <c r="G632" t="s">
        <v>2165</v>
      </c>
      <c r="H632" t="s">
        <v>102</v>
      </c>
      <c r="I632" t="s">
        <v>2166</v>
      </c>
      <c r="J632" s="1" t="s">
        <v>2167</v>
      </c>
    </row>
    <row r="633" spans="1:10" ht="15" customHeight="1" x14ac:dyDescent="0.25">
      <c r="A633" t="s">
        <v>2168</v>
      </c>
      <c r="B633">
        <v>2026</v>
      </c>
      <c r="C633" t="s">
        <v>36</v>
      </c>
      <c r="D633" t="b">
        <f>TRUE()</f>
        <v>1</v>
      </c>
      <c r="E633" t="b">
        <f>COUNTIF(connections!A:A, A633) &gt; 0</f>
        <v>0</v>
      </c>
      <c r="G633" t="s">
        <v>2169</v>
      </c>
      <c r="J633" s="11" t="s">
        <v>2170</v>
      </c>
    </row>
    <row r="634" spans="1:10" ht="15" customHeight="1" x14ac:dyDescent="0.25">
      <c r="A634" t="s">
        <v>2171</v>
      </c>
      <c r="B634">
        <v>2015</v>
      </c>
      <c r="C634" t="s">
        <v>46</v>
      </c>
      <c r="D634" t="b">
        <f>TRUE()</f>
        <v>1</v>
      </c>
      <c r="E634" t="b">
        <f>COUNTIF(connections!A:A, A634) &gt; 0</f>
        <v>0</v>
      </c>
      <c r="G634" t="s">
        <v>2172</v>
      </c>
      <c r="H634" t="s">
        <v>102</v>
      </c>
      <c r="I634" t="s">
        <v>2173</v>
      </c>
    </row>
    <row r="635" spans="1:10" ht="15" customHeight="1" x14ac:dyDescent="0.25">
      <c r="A635" t="s">
        <v>2174</v>
      </c>
      <c r="B635">
        <v>2025</v>
      </c>
      <c r="C635" t="s">
        <v>40</v>
      </c>
      <c r="D635" t="b">
        <f>TRUE()</f>
        <v>1</v>
      </c>
      <c r="E635" t="b">
        <f>COUNTIF(connections!A:A, A635) &gt; 0</f>
        <v>0</v>
      </c>
      <c r="G635" t="s">
        <v>2175</v>
      </c>
    </row>
    <row r="636" spans="1:10" ht="15" customHeight="1" x14ac:dyDescent="0.25">
      <c r="A636" t="s">
        <v>2176</v>
      </c>
      <c r="B636">
        <v>2025</v>
      </c>
      <c r="C636" t="s">
        <v>36</v>
      </c>
      <c r="D636" t="b">
        <f>TRUE()</f>
        <v>1</v>
      </c>
      <c r="E636" t="b">
        <f>COUNTIF(connections!A:A, A636) &gt; 0</f>
        <v>0</v>
      </c>
      <c r="G636" t="s">
        <v>2177</v>
      </c>
    </row>
    <row r="637" spans="1:10" ht="15" customHeight="1" x14ac:dyDescent="0.25">
      <c r="A637" t="s">
        <v>2178</v>
      </c>
      <c r="B637">
        <v>2023</v>
      </c>
      <c r="C637" t="s">
        <v>36</v>
      </c>
      <c r="D637" t="b">
        <f>TRUE()</f>
        <v>1</v>
      </c>
      <c r="E637" t="b">
        <f>COUNTIF(connections!A:A, A637) &gt; 0</f>
        <v>0</v>
      </c>
      <c r="G637" t="s">
        <v>2179</v>
      </c>
      <c r="J637" s="11" t="s">
        <v>2180</v>
      </c>
    </row>
    <row r="638" spans="1:10" ht="15" customHeight="1" x14ac:dyDescent="0.25">
      <c r="A638" t="s">
        <v>2181</v>
      </c>
      <c r="B638">
        <v>2014</v>
      </c>
      <c r="C638" t="s">
        <v>46</v>
      </c>
      <c r="D638" t="b">
        <f>TRUE()</f>
        <v>1</v>
      </c>
      <c r="E638" t="b">
        <f>COUNTIF(connections!A:A, A638) &gt; 0</f>
        <v>1</v>
      </c>
      <c r="G638" t="s">
        <v>2182</v>
      </c>
    </row>
    <row r="639" spans="1:10" ht="15" customHeight="1" x14ac:dyDescent="0.25">
      <c r="A639" t="s">
        <v>2183</v>
      </c>
      <c r="B639">
        <v>2022</v>
      </c>
      <c r="C639" t="s">
        <v>36</v>
      </c>
      <c r="D639" t="b">
        <f>TRUE()</f>
        <v>1</v>
      </c>
      <c r="E639" t="b">
        <f>COUNTIF(connections!A:A, A639) &gt; 0</f>
        <v>0</v>
      </c>
      <c r="F639" t="s">
        <v>560</v>
      </c>
      <c r="G639" t="s">
        <v>2184</v>
      </c>
      <c r="H639" t="s">
        <v>102</v>
      </c>
      <c r="I639" t="s">
        <v>2185</v>
      </c>
      <c r="J639" s="1" t="s">
        <v>2186</v>
      </c>
    </row>
    <row r="640" spans="1:10" ht="15" customHeight="1" x14ac:dyDescent="0.25">
      <c r="A640" t="s">
        <v>2187</v>
      </c>
      <c r="B640">
        <v>2008</v>
      </c>
      <c r="C640" t="s">
        <v>46</v>
      </c>
      <c r="D640" t="b">
        <f>TRUE()</f>
        <v>1</v>
      </c>
      <c r="E640" t="b">
        <f>COUNTIF(connections!A:A, A640) &gt; 0</f>
        <v>1</v>
      </c>
      <c r="G640" t="s">
        <v>2188</v>
      </c>
      <c r="H640" t="s">
        <v>102</v>
      </c>
      <c r="I640" t="s">
        <v>2189</v>
      </c>
    </row>
    <row r="641" spans="1:10" ht="15" customHeight="1" x14ac:dyDescent="0.25">
      <c r="A641" t="s">
        <v>2190</v>
      </c>
      <c r="B641">
        <v>2000</v>
      </c>
      <c r="C641" t="s">
        <v>46</v>
      </c>
      <c r="D641" t="b">
        <f>TRUE()</f>
        <v>1</v>
      </c>
      <c r="E641" t="b">
        <f>COUNTIF(connections!A:A, A641) &gt; 0</f>
        <v>1</v>
      </c>
      <c r="G641" t="s">
        <v>2191</v>
      </c>
      <c r="H641" t="s">
        <v>102</v>
      </c>
      <c r="I641" t="s">
        <v>2192</v>
      </c>
    </row>
    <row r="642" spans="1:10" ht="15" customHeight="1" x14ac:dyDescent="0.25">
      <c r="A642" t="s">
        <v>2193</v>
      </c>
      <c r="B642">
        <v>2010</v>
      </c>
      <c r="C642" t="s">
        <v>46</v>
      </c>
      <c r="D642" t="b">
        <f>TRUE()</f>
        <v>1</v>
      </c>
      <c r="E642" t="b">
        <f>COUNTIF(connections!A:A, A642) &gt; 0</f>
        <v>1</v>
      </c>
      <c r="G642" t="s">
        <v>2194</v>
      </c>
      <c r="H642" t="s">
        <v>102</v>
      </c>
      <c r="I642" t="s">
        <v>2195</v>
      </c>
    </row>
    <row r="643" spans="1:10" ht="15" customHeight="1" x14ac:dyDescent="0.25">
      <c r="A643" t="s">
        <v>2196</v>
      </c>
      <c r="B643">
        <v>2002</v>
      </c>
      <c r="C643" t="s">
        <v>46</v>
      </c>
      <c r="D643" t="b">
        <f>TRUE()</f>
        <v>1</v>
      </c>
      <c r="E643" t="b">
        <f>COUNTIF(connections!A:A, A643) &gt; 0</f>
        <v>0</v>
      </c>
      <c r="G643" t="s">
        <v>2197</v>
      </c>
      <c r="H643" t="s">
        <v>102</v>
      </c>
      <c r="I643" t="s">
        <v>2198</v>
      </c>
    </row>
    <row r="644" spans="1:10" ht="15" customHeight="1" x14ac:dyDescent="0.25">
      <c r="A644" t="s">
        <v>2199</v>
      </c>
      <c r="B644">
        <v>1996</v>
      </c>
      <c r="C644" t="s">
        <v>46</v>
      </c>
      <c r="D644" t="b">
        <f>TRUE()</f>
        <v>1</v>
      </c>
      <c r="E644" t="b">
        <f>COUNTIF(connections!A:A, A644) &gt; 0</f>
        <v>1</v>
      </c>
      <c r="G644" t="s">
        <v>2200</v>
      </c>
      <c r="H644" t="s">
        <v>102</v>
      </c>
      <c r="I644" t="s">
        <v>2201</v>
      </c>
    </row>
    <row r="645" spans="1:10" ht="15" customHeight="1" x14ac:dyDescent="0.25">
      <c r="A645" t="s">
        <v>2202</v>
      </c>
      <c r="B645">
        <v>2001</v>
      </c>
      <c r="C645" t="s">
        <v>46</v>
      </c>
      <c r="D645" t="b">
        <f>TRUE()</f>
        <v>1</v>
      </c>
      <c r="E645" t="b">
        <f>COUNTIF(connections!A:A, A645) &gt; 0</f>
        <v>0</v>
      </c>
      <c r="G645" t="s">
        <v>2203</v>
      </c>
      <c r="H645" t="s">
        <v>102</v>
      </c>
      <c r="I645" t="s">
        <v>2204</v>
      </c>
    </row>
    <row r="646" spans="1:10" ht="15" customHeight="1" x14ac:dyDescent="0.25">
      <c r="A646" t="s">
        <v>2205</v>
      </c>
      <c r="B646">
        <v>2024</v>
      </c>
      <c r="C646" t="s">
        <v>46</v>
      </c>
      <c r="D646" t="b">
        <f>TRUE()</f>
        <v>1</v>
      </c>
      <c r="E646" t="b">
        <f>COUNTIF(connections!A:A, A646) &gt; 0</f>
        <v>0</v>
      </c>
      <c r="G646" t="s">
        <v>2206</v>
      </c>
      <c r="H646" t="s">
        <v>102</v>
      </c>
      <c r="I646" t="s">
        <v>2207</v>
      </c>
      <c r="J646" s="1" t="s">
        <v>2208</v>
      </c>
    </row>
    <row r="647" spans="1:10" ht="15" customHeight="1" x14ac:dyDescent="0.25">
      <c r="A647" t="s">
        <v>2209</v>
      </c>
      <c r="B647">
        <v>2010</v>
      </c>
      <c r="C647" t="s">
        <v>46</v>
      </c>
      <c r="D647" t="b">
        <f>TRUE()</f>
        <v>1</v>
      </c>
      <c r="E647" t="b">
        <f>COUNTIF(connections!A:A, A647) &gt; 0</f>
        <v>1</v>
      </c>
      <c r="G647" t="s">
        <v>2210</v>
      </c>
      <c r="H647" t="s">
        <v>102</v>
      </c>
      <c r="I647" t="s">
        <v>2211</v>
      </c>
      <c r="J647" s="1" t="s">
        <v>2212</v>
      </c>
    </row>
    <row r="648" spans="1:10" ht="15" customHeight="1" x14ac:dyDescent="0.25">
      <c r="A648" t="s">
        <v>2213</v>
      </c>
      <c r="B648">
        <v>2023</v>
      </c>
      <c r="C648" t="s">
        <v>40</v>
      </c>
      <c r="D648" t="b">
        <f>TRUE()</f>
        <v>1</v>
      </c>
      <c r="E648" t="b">
        <f>COUNTIF(connections!A:A, A648) &gt; 0</f>
        <v>1</v>
      </c>
      <c r="G648" t="s">
        <v>2214</v>
      </c>
      <c r="H648" t="s">
        <v>102</v>
      </c>
      <c r="I648" t="s">
        <v>2215</v>
      </c>
      <c r="J648" s="1" t="s">
        <v>2216</v>
      </c>
    </row>
    <row r="649" spans="1:10" ht="15" customHeight="1" x14ac:dyDescent="0.25">
      <c r="A649" t="s">
        <v>2217</v>
      </c>
      <c r="B649">
        <v>2010</v>
      </c>
      <c r="C649" t="s">
        <v>36</v>
      </c>
      <c r="D649" t="b">
        <f>TRUE()</f>
        <v>1</v>
      </c>
      <c r="E649" t="b">
        <f>COUNTIF(connections!A:A, A649) &gt; 0</f>
        <v>1</v>
      </c>
      <c r="G649" t="s">
        <v>2218</v>
      </c>
    </row>
    <row r="650" spans="1:10" ht="15" customHeight="1" x14ac:dyDescent="0.25">
      <c r="A650" t="s">
        <v>2219</v>
      </c>
      <c r="B650">
        <v>2022</v>
      </c>
      <c r="C650" t="s">
        <v>40</v>
      </c>
      <c r="D650" t="b">
        <f>TRUE()</f>
        <v>1</v>
      </c>
      <c r="E650" t="b">
        <f>COUNTIF(connections!A:A, A650) &gt; 0</f>
        <v>1</v>
      </c>
      <c r="F650" t="s">
        <v>1071</v>
      </c>
      <c r="G650" t="s">
        <v>2220</v>
      </c>
      <c r="H650" t="s">
        <v>102</v>
      </c>
      <c r="I650" t="s">
        <v>2221</v>
      </c>
      <c r="J650" s="1" t="s">
        <v>2222</v>
      </c>
    </row>
    <row r="651" spans="1:10" ht="15" customHeight="1" x14ac:dyDescent="0.25">
      <c r="A651" t="s">
        <v>2223</v>
      </c>
      <c r="B651">
        <v>2022</v>
      </c>
      <c r="C651" t="s">
        <v>36</v>
      </c>
      <c r="D651" t="b">
        <f>TRUE()</f>
        <v>1</v>
      </c>
      <c r="E651" t="b">
        <f>COUNTIF(connections!A:A, A651) &gt; 0</f>
        <v>0</v>
      </c>
      <c r="F651" t="s">
        <v>938</v>
      </c>
      <c r="G651" t="s">
        <v>2224</v>
      </c>
    </row>
    <row r="652" spans="1:10" ht="15" customHeight="1" x14ac:dyDescent="0.25">
      <c r="A652" t="s">
        <v>2225</v>
      </c>
      <c r="B652">
        <v>2012</v>
      </c>
      <c r="C652" t="s">
        <v>46</v>
      </c>
      <c r="D652" t="b">
        <f>TRUE()</f>
        <v>1</v>
      </c>
      <c r="E652" t="b">
        <f>COUNTIF(connections!A:A, A652) &gt; 0</f>
        <v>0</v>
      </c>
      <c r="G652" t="s">
        <v>2226</v>
      </c>
    </row>
    <row r="653" spans="1:10" ht="15" customHeight="1" x14ac:dyDescent="0.25">
      <c r="A653" t="s">
        <v>2227</v>
      </c>
      <c r="B653">
        <v>2026</v>
      </c>
      <c r="C653" t="s">
        <v>40</v>
      </c>
      <c r="D653" t="b">
        <f>TRUE()</f>
        <v>1</v>
      </c>
      <c r="E653" t="b">
        <f>COUNTIF(connections!A:A, A653) &gt; 0</f>
        <v>0</v>
      </c>
      <c r="G653" t="s">
        <v>2228</v>
      </c>
      <c r="J653" s="11" t="s">
        <v>2229</v>
      </c>
    </row>
    <row r="654" spans="1:10" ht="15" customHeight="1" x14ac:dyDescent="0.25">
      <c r="A654" t="s">
        <v>2230</v>
      </c>
      <c r="B654">
        <v>2020</v>
      </c>
      <c r="C654" t="s">
        <v>36</v>
      </c>
      <c r="D654" t="b">
        <f>TRUE()</f>
        <v>1</v>
      </c>
      <c r="E654" t="b">
        <f>COUNTIF(connections!A:A, A654) &gt; 0</f>
        <v>1</v>
      </c>
      <c r="G654" t="s">
        <v>2231</v>
      </c>
      <c r="H654" t="s">
        <v>102</v>
      </c>
      <c r="I654" t="s">
        <v>2232</v>
      </c>
      <c r="J654" s="1" t="s">
        <v>2233</v>
      </c>
    </row>
    <row r="655" spans="1:10" ht="15" customHeight="1" x14ac:dyDescent="0.25">
      <c r="A655" t="s">
        <v>2234</v>
      </c>
      <c r="B655">
        <v>2026</v>
      </c>
      <c r="C655" t="s">
        <v>36</v>
      </c>
      <c r="D655" t="b">
        <f>TRUE()</f>
        <v>1</v>
      </c>
      <c r="E655" t="b">
        <f>COUNTIF(connections!A:A, A655) &gt; 0</f>
        <v>0</v>
      </c>
      <c r="G655" t="s">
        <v>2235</v>
      </c>
    </row>
    <row r="656" spans="1:10" ht="15" customHeight="1" x14ac:dyDescent="0.25">
      <c r="A656" t="s">
        <v>2236</v>
      </c>
      <c r="B656">
        <v>2014</v>
      </c>
      <c r="C656" t="s">
        <v>36</v>
      </c>
      <c r="D656" t="b">
        <f>TRUE()</f>
        <v>1</v>
      </c>
      <c r="E656" t="b">
        <f>COUNTIF(connections!A:A, A656) &gt; 0</f>
        <v>0</v>
      </c>
      <c r="G656" t="s">
        <v>2237</v>
      </c>
      <c r="J656" s="11" t="s">
        <v>2238</v>
      </c>
    </row>
    <row r="657" spans="1:10" ht="15" customHeight="1" x14ac:dyDescent="0.25">
      <c r="A657" t="s">
        <v>2239</v>
      </c>
      <c r="B657">
        <v>2024</v>
      </c>
      <c r="C657" t="s">
        <v>44</v>
      </c>
      <c r="D657" t="b">
        <f>TRUE()</f>
        <v>1</v>
      </c>
      <c r="E657" t="b">
        <f>COUNTIF(connections!A:A, A657) &gt; 0</f>
        <v>0</v>
      </c>
      <c r="F657" t="s">
        <v>185</v>
      </c>
      <c r="G657" t="s">
        <v>2240</v>
      </c>
      <c r="H657" t="s">
        <v>102</v>
      </c>
      <c r="I657" t="s">
        <v>2241</v>
      </c>
      <c r="J657" s="1" t="s">
        <v>2242</v>
      </c>
    </row>
    <row r="658" spans="1:10" ht="15" customHeight="1" x14ac:dyDescent="0.25">
      <c r="A658" t="s">
        <v>2243</v>
      </c>
      <c r="B658">
        <v>2006</v>
      </c>
      <c r="C658" t="s">
        <v>46</v>
      </c>
      <c r="D658" t="b">
        <f>TRUE()</f>
        <v>1</v>
      </c>
      <c r="E658" t="b">
        <f>COUNTIF(connections!A:A, A658) &gt; 0</f>
        <v>1</v>
      </c>
      <c r="G658" t="s">
        <v>2244</v>
      </c>
      <c r="H658" t="s">
        <v>102</v>
      </c>
      <c r="I658" t="s">
        <v>2245</v>
      </c>
    </row>
    <row r="659" spans="1:10" ht="15" customHeight="1" x14ac:dyDescent="0.25">
      <c r="A659" t="s">
        <v>2246</v>
      </c>
      <c r="B659">
        <v>2018</v>
      </c>
      <c r="C659" t="s">
        <v>36</v>
      </c>
      <c r="D659" t="b">
        <f>FALSE()</f>
        <v>0</v>
      </c>
      <c r="E659" t="b">
        <f>COUNTIF(connections!A:A, A659) &gt; 0</f>
        <v>0</v>
      </c>
      <c r="G659" t="s">
        <v>2247</v>
      </c>
      <c r="H659" t="s">
        <v>102</v>
      </c>
      <c r="I659" t="s">
        <v>2248</v>
      </c>
      <c r="J659" s="1" t="s">
        <v>2249</v>
      </c>
    </row>
    <row r="660" spans="1:10" ht="15" customHeight="1" x14ac:dyDescent="0.25">
      <c r="A660" t="s">
        <v>15</v>
      </c>
      <c r="B660">
        <v>2017</v>
      </c>
      <c r="C660" t="s">
        <v>44</v>
      </c>
      <c r="D660" t="b">
        <f>TRUE()</f>
        <v>1</v>
      </c>
      <c r="E660" t="b">
        <f>COUNTIF(connections!A:A, A660) &gt; 0</f>
        <v>1</v>
      </c>
      <c r="G660" t="s">
        <v>2250</v>
      </c>
      <c r="H660" t="s">
        <v>102</v>
      </c>
      <c r="I660" t="s">
        <v>2251</v>
      </c>
      <c r="J660" s="1" t="s">
        <v>2252</v>
      </c>
    </row>
    <row r="661" spans="1:10" ht="15" customHeight="1" x14ac:dyDescent="0.25">
      <c r="A661" t="s">
        <v>7</v>
      </c>
      <c r="B661">
        <v>2026</v>
      </c>
      <c r="C661" t="s">
        <v>44</v>
      </c>
      <c r="D661" t="b">
        <f>TRUE()</f>
        <v>1</v>
      </c>
      <c r="E661" t="b">
        <f>COUNTIF(connections!A:A, A661) &gt; 0</f>
        <v>0</v>
      </c>
      <c r="G661" t="s">
        <v>2253</v>
      </c>
      <c r="H661" t="s">
        <v>102</v>
      </c>
      <c r="I661" t="s">
        <v>2254</v>
      </c>
      <c r="J661" s="1" t="s">
        <v>2255</v>
      </c>
    </row>
    <row r="662" spans="1:10" ht="15" customHeight="1" x14ac:dyDescent="0.25">
      <c r="A662" t="s">
        <v>2256</v>
      </c>
      <c r="B662">
        <v>2018</v>
      </c>
      <c r="C662" t="s">
        <v>40</v>
      </c>
      <c r="D662" t="b">
        <f>TRUE()</f>
        <v>1</v>
      </c>
      <c r="E662" t="b">
        <f>COUNTIF(connections!A:A, A662) &gt; 0</f>
        <v>1</v>
      </c>
      <c r="F662" t="s">
        <v>226</v>
      </c>
      <c r="G662" t="s">
        <v>2257</v>
      </c>
      <c r="H662" t="s">
        <v>102</v>
      </c>
      <c r="I662" t="s">
        <v>2258</v>
      </c>
      <c r="J662" s="1" t="s">
        <v>2259</v>
      </c>
    </row>
    <row r="663" spans="1:10" ht="15" customHeight="1" x14ac:dyDescent="0.25">
      <c r="A663" t="s">
        <v>2260</v>
      </c>
      <c r="B663">
        <v>2023</v>
      </c>
      <c r="C663" t="s">
        <v>36</v>
      </c>
      <c r="D663" t="b">
        <f>TRUE()</f>
        <v>1</v>
      </c>
      <c r="E663" t="b">
        <f>COUNTIF(connections!A:A, A663) &gt; 0</f>
        <v>1</v>
      </c>
      <c r="G663" t="s">
        <v>2261</v>
      </c>
      <c r="H663" t="s">
        <v>102</v>
      </c>
      <c r="I663" t="s">
        <v>2262</v>
      </c>
      <c r="J663" s="1" t="s">
        <v>2263</v>
      </c>
    </row>
    <row r="664" spans="1:10" ht="15" customHeight="1" x14ac:dyDescent="0.25">
      <c r="A664" t="s">
        <v>2264</v>
      </c>
      <c r="B664">
        <v>2025</v>
      </c>
      <c r="C664" t="s">
        <v>44</v>
      </c>
      <c r="D664" t="b">
        <f>TRUE()</f>
        <v>1</v>
      </c>
      <c r="E664" t="b">
        <f>COUNTIF(connections!A:A, A664) &gt; 0</f>
        <v>0</v>
      </c>
      <c r="F664" t="s">
        <v>265</v>
      </c>
      <c r="G664" t="s">
        <v>2265</v>
      </c>
    </row>
    <row r="665" spans="1:10" ht="15" customHeight="1" x14ac:dyDescent="0.25">
      <c r="A665" t="s">
        <v>2266</v>
      </c>
      <c r="B665">
        <v>2026</v>
      </c>
      <c r="C665" t="s">
        <v>44</v>
      </c>
      <c r="D665" t="b">
        <f>TRUE()</f>
        <v>1</v>
      </c>
      <c r="E665" t="b">
        <f>COUNTIF(connections!A:A, A665) &gt; 0</f>
        <v>0</v>
      </c>
      <c r="F665" t="s">
        <v>265</v>
      </c>
      <c r="G665" t="s">
        <v>2267</v>
      </c>
    </row>
    <row r="666" spans="1:10" ht="15" customHeight="1" x14ac:dyDescent="0.25">
      <c r="A666" t="s">
        <v>2268</v>
      </c>
      <c r="B666">
        <v>2025</v>
      </c>
      <c r="C666" t="s">
        <v>44</v>
      </c>
      <c r="D666" t="b">
        <f>FALSE()</f>
        <v>0</v>
      </c>
      <c r="E666" t="b">
        <f>COUNTIF(connections!A:A, A666) &gt; 0</f>
        <v>0</v>
      </c>
      <c r="F666" t="s">
        <v>265</v>
      </c>
      <c r="G666" t="s">
        <v>2269</v>
      </c>
      <c r="H666" t="s">
        <v>102</v>
      </c>
      <c r="I666" t="s">
        <v>2270</v>
      </c>
      <c r="J666" s="1" t="s">
        <v>2271</v>
      </c>
    </row>
    <row r="667" spans="1:10" ht="15" customHeight="1" x14ac:dyDescent="0.25">
      <c r="A667" t="s">
        <v>2272</v>
      </c>
      <c r="B667">
        <v>2021</v>
      </c>
      <c r="C667" t="s">
        <v>36</v>
      </c>
      <c r="D667" t="b">
        <f>TRUE()</f>
        <v>1</v>
      </c>
      <c r="E667" t="b">
        <f>COUNTIF(connections!A:A, A667) &gt; 0</f>
        <v>1</v>
      </c>
      <c r="G667" t="s">
        <v>2273</v>
      </c>
      <c r="H667" t="s">
        <v>102</v>
      </c>
      <c r="I667" t="s">
        <v>2274</v>
      </c>
      <c r="J667" s="1" t="s">
        <v>2275</v>
      </c>
    </row>
    <row r="668" spans="1:10" ht="15" customHeight="1" x14ac:dyDescent="0.25">
      <c r="A668" t="s">
        <v>2276</v>
      </c>
      <c r="B668">
        <v>2025</v>
      </c>
      <c r="C668" t="s">
        <v>36</v>
      </c>
      <c r="D668" t="b">
        <f>TRUE()</f>
        <v>1</v>
      </c>
      <c r="E668" t="b">
        <f>COUNTIF(connections!A:A, A668) &gt; 0</f>
        <v>0</v>
      </c>
      <c r="G668" t="s">
        <v>2277</v>
      </c>
      <c r="H668" t="s">
        <v>102</v>
      </c>
      <c r="I668" t="s">
        <v>2278</v>
      </c>
      <c r="J668" s="1" t="s">
        <v>2279</v>
      </c>
    </row>
    <row r="669" spans="1:10" ht="15" customHeight="1" x14ac:dyDescent="0.25">
      <c r="A669" t="s">
        <v>2280</v>
      </c>
      <c r="B669">
        <v>2025</v>
      </c>
      <c r="C669" t="s">
        <v>40</v>
      </c>
      <c r="D669" t="b">
        <v>1</v>
      </c>
      <c r="E669" t="b">
        <f>COUNTIF(connections!A:A, A669) &gt; 0</f>
        <v>0</v>
      </c>
      <c r="G669" t="s">
        <v>2281</v>
      </c>
      <c r="H669" t="s">
        <v>102</v>
      </c>
      <c r="I669" t="s">
        <v>2282</v>
      </c>
      <c r="J669" s="1" t="s">
        <v>2283</v>
      </c>
    </row>
    <row r="670" spans="1:10" ht="15" customHeight="1" x14ac:dyDescent="0.25">
      <c r="A670" t="s">
        <v>2284</v>
      </c>
      <c r="B670">
        <v>2016</v>
      </c>
      <c r="C670" t="s">
        <v>44</v>
      </c>
      <c r="D670" t="b">
        <f>FALSE()</f>
        <v>0</v>
      </c>
      <c r="E670" t="b">
        <f>COUNTIF(connections!A:A, A670) &gt; 0</f>
        <v>0</v>
      </c>
      <c r="G670" t="s">
        <v>2285</v>
      </c>
      <c r="H670" t="s">
        <v>102</v>
      </c>
      <c r="I670" t="s">
        <v>2286</v>
      </c>
      <c r="J670" s="1" t="s">
        <v>2287</v>
      </c>
    </row>
    <row r="671" spans="1:10" ht="15" customHeight="1" x14ac:dyDescent="0.25">
      <c r="A671" t="s">
        <v>2288</v>
      </c>
      <c r="B671">
        <v>2022</v>
      </c>
      <c r="C671" t="s">
        <v>46</v>
      </c>
      <c r="D671" t="b">
        <f>TRUE()</f>
        <v>1</v>
      </c>
      <c r="E671" t="b">
        <f>COUNTIF(connections!A:A, A671) &gt; 0</f>
        <v>1</v>
      </c>
      <c r="G671" t="s">
        <v>2289</v>
      </c>
    </row>
    <row r="672" spans="1:10" ht="15" customHeight="1" x14ac:dyDescent="0.25">
      <c r="A672" t="s">
        <v>2290</v>
      </c>
      <c r="B672">
        <v>2023</v>
      </c>
      <c r="C672" t="s">
        <v>46</v>
      </c>
      <c r="D672" t="b">
        <f>TRUE()</f>
        <v>1</v>
      </c>
      <c r="E672" t="b">
        <f>COUNTIF(connections!A:A, A672) &gt; 0</f>
        <v>0</v>
      </c>
      <c r="G672" t="s">
        <v>2291</v>
      </c>
    </row>
    <row r="673" spans="1:10" ht="15" customHeight="1" x14ac:dyDescent="0.25">
      <c r="A673" t="s">
        <v>2292</v>
      </c>
      <c r="B673">
        <v>2022</v>
      </c>
      <c r="C673" t="s">
        <v>36</v>
      </c>
      <c r="D673" t="b">
        <f>TRUE()</f>
        <v>1</v>
      </c>
      <c r="E673" t="b">
        <f>COUNTIF(connections!A:A, A673) &gt; 0</f>
        <v>0</v>
      </c>
      <c r="G673" t="s">
        <v>2293</v>
      </c>
      <c r="H673" t="s">
        <v>102</v>
      </c>
      <c r="I673" t="s">
        <v>2294</v>
      </c>
      <c r="J673" s="1" t="s">
        <v>2295</v>
      </c>
    </row>
    <row r="674" spans="1:10" ht="15" customHeight="1" x14ac:dyDescent="0.25">
      <c r="A674" t="s">
        <v>2296</v>
      </c>
      <c r="B674">
        <v>2015</v>
      </c>
      <c r="C674" t="s">
        <v>36</v>
      </c>
      <c r="D674" t="b">
        <f>FALSE()</f>
        <v>0</v>
      </c>
      <c r="E674" t="b">
        <f>COUNTIF(connections!A:A, A674) &gt; 0</f>
        <v>0</v>
      </c>
      <c r="F674" t="s">
        <v>188</v>
      </c>
      <c r="G674" t="s">
        <v>2297</v>
      </c>
    </row>
    <row r="675" spans="1:10" ht="15" customHeight="1" x14ac:dyDescent="0.25">
      <c r="A675" t="s">
        <v>2298</v>
      </c>
      <c r="B675">
        <v>2019</v>
      </c>
      <c r="C675" t="s">
        <v>36</v>
      </c>
      <c r="D675" t="b">
        <f>TRUE()</f>
        <v>1</v>
      </c>
      <c r="E675" t="b">
        <f>COUNTIF(connections!A:A, A675) &gt; 0</f>
        <v>1</v>
      </c>
      <c r="G675" t="s">
        <v>2299</v>
      </c>
      <c r="J675" s="1" t="s">
        <v>2300</v>
      </c>
    </row>
    <row r="676" spans="1:10" ht="15" customHeight="1" x14ac:dyDescent="0.25">
      <c r="A676" t="s">
        <v>2301</v>
      </c>
      <c r="B676">
        <v>2016</v>
      </c>
      <c r="C676" t="s">
        <v>46</v>
      </c>
      <c r="D676" t="b">
        <f>TRUE()</f>
        <v>1</v>
      </c>
      <c r="E676" t="b">
        <f>COUNTIF(connections!A:A, A676) &gt; 0</f>
        <v>0</v>
      </c>
      <c r="G676" t="s">
        <v>2302</v>
      </c>
      <c r="H676" t="s">
        <v>102</v>
      </c>
      <c r="I676" t="s">
        <v>2303</v>
      </c>
      <c r="J676" s="11" t="s">
        <v>2304</v>
      </c>
    </row>
    <row r="677" spans="1:10" ht="15" customHeight="1" x14ac:dyDescent="0.25">
      <c r="A677" t="s">
        <v>2305</v>
      </c>
      <c r="B677">
        <v>2022</v>
      </c>
      <c r="C677" t="s">
        <v>36</v>
      </c>
      <c r="D677" t="b">
        <f>TRUE()</f>
        <v>1</v>
      </c>
      <c r="E677" t="b">
        <f>COUNTIF(connections!A:A, A677) &gt; 0</f>
        <v>0</v>
      </c>
      <c r="G677" t="s">
        <v>2306</v>
      </c>
      <c r="H677" t="s">
        <v>102</v>
      </c>
      <c r="I677" t="s">
        <v>2307</v>
      </c>
      <c r="J677" s="1" t="s">
        <v>2308</v>
      </c>
    </row>
    <row r="678" spans="1:10" ht="15" customHeight="1" x14ac:dyDescent="0.25">
      <c r="A678" t="s">
        <v>2309</v>
      </c>
      <c r="B678">
        <v>2023</v>
      </c>
      <c r="C678" t="s">
        <v>40</v>
      </c>
      <c r="D678" t="b">
        <f>TRUE()</f>
        <v>1</v>
      </c>
      <c r="E678" t="b">
        <f>COUNTIF(connections!A:A, A678) &gt; 0</f>
        <v>0</v>
      </c>
      <c r="G678" t="s">
        <v>2310</v>
      </c>
    </row>
    <row r="679" spans="1:10" ht="15" customHeight="1" x14ac:dyDescent="0.25">
      <c r="A679" t="s">
        <v>2311</v>
      </c>
      <c r="B679">
        <v>2024</v>
      </c>
      <c r="C679" t="s">
        <v>44</v>
      </c>
      <c r="D679" t="b">
        <f>TRUE()</f>
        <v>1</v>
      </c>
      <c r="E679" t="b">
        <f>COUNTIF(connections!A:A, A679) &gt; 0</f>
        <v>0</v>
      </c>
      <c r="G679" t="s">
        <v>2312</v>
      </c>
      <c r="H679" t="s">
        <v>102</v>
      </c>
      <c r="I679" t="s">
        <v>2313</v>
      </c>
      <c r="J679" s="1" t="s">
        <v>2314</v>
      </c>
    </row>
    <row r="680" spans="1:10" ht="15" customHeight="1" x14ac:dyDescent="0.25">
      <c r="A680" t="s">
        <v>2315</v>
      </c>
      <c r="B680">
        <v>2012</v>
      </c>
      <c r="C680" t="s">
        <v>36</v>
      </c>
      <c r="D680" t="b">
        <f>TRUE()</f>
        <v>1</v>
      </c>
      <c r="E680" t="b">
        <f>COUNTIF(connections!A:A, A680) &gt; 0</f>
        <v>1</v>
      </c>
      <c r="G680" t="s">
        <v>2316</v>
      </c>
      <c r="H680" t="s">
        <v>102</v>
      </c>
      <c r="I680" t="s">
        <v>2317</v>
      </c>
      <c r="J680" s="1" t="s">
        <v>2318</v>
      </c>
    </row>
    <row r="681" spans="1:10" ht="15" customHeight="1" x14ac:dyDescent="0.25">
      <c r="A681" t="s">
        <v>2319</v>
      </c>
      <c r="B681">
        <v>2020</v>
      </c>
      <c r="C681" t="s">
        <v>36</v>
      </c>
      <c r="D681" t="b">
        <f>TRUE()</f>
        <v>1</v>
      </c>
      <c r="E681" t="b">
        <f>COUNTIF(connections!A:A, A681) &gt; 0</f>
        <v>0</v>
      </c>
      <c r="G681" t="s">
        <v>2320</v>
      </c>
      <c r="H681" t="s">
        <v>102</v>
      </c>
      <c r="I681" t="s">
        <v>2321</v>
      </c>
      <c r="J681" s="1" t="s">
        <v>2322</v>
      </c>
    </row>
    <row r="682" spans="1:10" ht="15" customHeight="1" x14ac:dyDescent="0.25">
      <c r="A682" t="s">
        <v>2323</v>
      </c>
      <c r="B682">
        <v>2008</v>
      </c>
      <c r="C682" t="s">
        <v>36</v>
      </c>
      <c r="D682" t="b">
        <f>TRUE()</f>
        <v>1</v>
      </c>
      <c r="E682" t="b">
        <f>COUNTIF(connections!A:A, A682) &gt; 0</f>
        <v>1</v>
      </c>
      <c r="G682" t="s">
        <v>2324</v>
      </c>
      <c r="H682" t="s">
        <v>102</v>
      </c>
      <c r="I682" t="s">
        <v>2325</v>
      </c>
    </row>
    <row r="683" spans="1:10" ht="15" customHeight="1" x14ac:dyDescent="0.25">
      <c r="A683" t="s">
        <v>2326</v>
      </c>
      <c r="B683">
        <v>2024</v>
      </c>
      <c r="C683" t="s">
        <v>44</v>
      </c>
      <c r="D683" t="b">
        <f>TRUE()</f>
        <v>1</v>
      </c>
      <c r="E683" t="b">
        <f>COUNTIF(connections!A:A, A683) &gt; 0</f>
        <v>0</v>
      </c>
      <c r="F683" t="s">
        <v>265</v>
      </c>
      <c r="G683" t="s">
        <v>2327</v>
      </c>
      <c r="H683" t="s">
        <v>102</v>
      </c>
      <c r="I683" t="s">
        <v>2328</v>
      </c>
      <c r="J683" s="1" t="s">
        <v>2329</v>
      </c>
    </row>
    <row r="684" spans="1:10" ht="15" customHeight="1" x14ac:dyDescent="0.25">
      <c r="A684" t="s">
        <v>2330</v>
      </c>
      <c r="B684">
        <v>2022</v>
      </c>
      <c r="C684" t="s">
        <v>36</v>
      </c>
      <c r="D684" t="b">
        <f>TRUE()</f>
        <v>1</v>
      </c>
      <c r="E684" t="b">
        <f>COUNTIF(connections!A:A, A684) &gt; 0</f>
        <v>0</v>
      </c>
      <c r="G684" t="s">
        <v>2331</v>
      </c>
      <c r="H684" t="s">
        <v>102</v>
      </c>
      <c r="I684" t="s">
        <v>2332</v>
      </c>
      <c r="J684" s="1" t="s">
        <v>2333</v>
      </c>
    </row>
    <row r="685" spans="1:10" ht="15" customHeight="1" x14ac:dyDescent="0.25">
      <c r="A685" t="s">
        <v>2334</v>
      </c>
      <c r="B685">
        <v>2023</v>
      </c>
      <c r="C685" t="s">
        <v>36</v>
      </c>
      <c r="D685" t="b">
        <f>TRUE()</f>
        <v>1</v>
      </c>
      <c r="E685" t="b">
        <f>COUNTIF(connections!A:A, A685) &gt; 0</f>
        <v>0</v>
      </c>
      <c r="G685" t="s">
        <v>2335</v>
      </c>
      <c r="H685" t="s">
        <v>102</v>
      </c>
      <c r="I685" t="s">
        <v>2336</v>
      </c>
      <c r="J685" s="1" t="s">
        <v>2337</v>
      </c>
    </row>
    <row r="686" spans="1:10" ht="15" customHeight="1" x14ac:dyDescent="0.25">
      <c r="A686" t="s">
        <v>2338</v>
      </c>
      <c r="B686">
        <v>2019</v>
      </c>
      <c r="C686" t="s">
        <v>36</v>
      </c>
      <c r="D686" t="b">
        <f>TRUE()</f>
        <v>1</v>
      </c>
      <c r="E686" t="b">
        <f>COUNTIF(connections!A:A, A686) &gt; 0</f>
        <v>1</v>
      </c>
      <c r="G686" t="s">
        <v>2339</v>
      </c>
      <c r="H686" t="s">
        <v>102</v>
      </c>
      <c r="I686" t="s">
        <v>2340</v>
      </c>
      <c r="J686" s="1" t="s">
        <v>2341</v>
      </c>
    </row>
    <row r="687" spans="1:10" ht="15" customHeight="1" x14ac:dyDescent="0.25">
      <c r="A687" t="s">
        <v>2342</v>
      </c>
      <c r="B687">
        <v>2014</v>
      </c>
      <c r="C687" t="s">
        <v>46</v>
      </c>
      <c r="D687" t="b">
        <f>TRUE()</f>
        <v>1</v>
      </c>
      <c r="E687" t="b">
        <f>COUNTIF(connections!A:A, A687) &gt; 0</f>
        <v>1</v>
      </c>
      <c r="G687" t="s">
        <v>2343</v>
      </c>
      <c r="H687" t="s">
        <v>102</v>
      </c>
      <c r="I687" t="s">
        <v>2344</v>
      </c>
      <c r="J687" s="1" t="s">
        <v>2345</v>
      </c>
    </row>
    <row r="688" spans="1:10" ht="15" customHeight="1" x14ac:dyDescent="0.25">
      <c r="A688" t="s">
        <v>2346</v>
      </c>
      <c r="B688">
        <v>2024</v>
      </c>
      <c r="C688" t="s">
        <v>36</v>
      </c>
      <c r="D688" t="b">
        <f>FALSE()</f>
        <v>0</v>
      </c>
      <c r="E688" t="b">
        <f>COUNTIF(connections!A:A, A688) &gt; 0</f>
        <v>0</v>
      </c>
      <c r="G688" t="s">
        <v>2347</v>
      </c>
      <c r="H688" t="s">
        <v>102</v>
      </c>
      <c r="I688" t="s">
        <v>2348</v>
      </c>
      <c r="J688" s="1" t="s">
        <v>2349</v>
      </c>
    </row>
    <row r="689" spans="1:10" ht="15" customHeight="1" x14ac:dyDescent="0.25">
      <c r="A689" t="s">
        <v>2350</v>
      </c>
      <c r="B689">
        <v>2025</v>
      </c>
      <c r="C689" t="s">
        <v>44</v>
      </c>
      <c r="D689" t="b">
        <f>TRUE()</f>
        <v>1</v>
      </c>
      <c r="E689" t="b">
        <f>COUNTIF(connections!A:A, A689) &gt; 0</f>
        <v>0</v>
      </c>
      <c r="G689" t="s">
        <v>2351</v>
      </c>
      <c r="H689" t="s">
        <v>102</v>
      </c>
      <c r="I689" t="s">
        <v>2352</v>
      </c>
      <c r="J689" s="1" t="s">
        <v>2353</v>
      </c>
    </row>
    <row r="690" spans="1:10" ht="15" customHeight="1" x14ac:dyDescent="0.25">
      <c r="A690" t="s">
        <v>2354</v>
      </c>
      <c r="B690">
        <v>2017</v>
      </c>
      <c r="C690" t="s">
        <v>36</v>
      </c>
      <c r="D690" t="b">
        <f>TRUE()</f>
        <v>1</v>
      </c>
      <c r="E690" t="b">
        <f>COUNTIF(connections!A:A, A690) &gt; 0</f>
        <v>1</v>
      </c>
      <c r="G690" t="s">
        <v>2355</v>
      </c>
      <c r="H690" t="s">
        <v>102</v>
      </c>
      <c r="I690" t="s">
        <v>2356</v>
      </c>
      <c r="J690" s="1" t="s">
        <v>2357</v>
      </c>
    </row>
    <row r="691" spans="1:10" ht="15" customHeight="1" x14ac:dyDescent="0.25">
      <c r="A691" t="s">
        <v>2358</v>
      </c>
      <c r="B691">
        <v>2023</v>
      </c>
      <c r="C691" t="s">
        <v>36</v>
      </c>
      <c r="D691" t="b">
        <f>TRUE()</f>
        <v>1</v>
      </c>
      <c r="E691" t="b">
        <f>COUNTIF(connections!A:A, A691) &gt; 0</f>
        <v>0</v>
      </c>
      <c r="F691" t="s">
        <v>188</v>
      </c>
      <c r="G691" t="s">
        <v>2359</v>
      </c>
      <c r="H691" t="s">
        <v>102</v>
      </c>
      <c r="I691" t="s">
        <v>2360</v>
      </c>
      <c r="J691" s="1" t="s">
        <v>2361</v>
      </c>
    </row>
    <row r="692" spans="1:10" ht="15" customHeight="1" x14ac:dyDescent="0.25">
      <c r="A692" t="s">
        <v>2362</v>
      </c>
      <c r="B692">
        <v>2025</v>
      </c>
      <c r="C692" t="s">
        <v>36</v>
      </c>
      <c r="D692" t="b">
        <f>TRUE()</f>
        <v>1</v>
      </c>
      <c r="E692" t="b">
        <f>COUNTIF(connections!A:A, A692) &gt; 0</f>
        <v>0</v>
      </c>
      <c r="G692" t="s">
        <v>2363</v>
      </c>
      <c r="H692" t="s">
        <v>102</v>
      </c>
      <c r="I692" t="s">
        <v>2364</v>
      </c>
      <c r="J692" s="1" t="s">
        <v>2365</v>
      </c>
    </row>
    <row r="693" spans="1:10" ht="15" customHeight="1" x14ac:dyDescent="0.25">
      <c r="A693" t="s">
        <v>2366</v>
      </c>
      <c r="B693">
        <v>2025</v>
      </c>
      <c r="C693" t="s">
        <v>44</v>
      </c>
      <c r="D693" t="b">
        <f>TRUE()</f>
        <v>1</v>
      </c>
      <c r="E693" t="b">
        <f>COUNTIF(connections!A:A, A693) &gt; 0</f>
        <v>0</v>
      </c>
      <c r="F693" t="s">
        <v>191</v>
      </c>
      <c r="G693" t="s">
        <v>2367</v>
      </c>
      <c r="H693" t="s">
        <v>102</v>
      </c>
      <c r="I693" t="s">
        <v>2368</v>
      </c>
      <c r="J693" s="1" t="s">
        <v>2369</v>
      </c>
    </row>
    <row r="694" spans="1:10" ht="15" customHeight="1" x14ac:dyDescent="0.25">
      <c r="A694" t="s">
        <v>2370</v>
      </c>
      <c r="B694">
        <v>2025</v>
      </c>
      <c r="C694" t="s">
        <v>44</v>
      </c>
      <c r="D694" t="b">
        <f>TRUE()</f>
        <v>1</v>
      </c>
      <c r="E694" t="b">
        <f>COUNTIF(connections!A:A, A694) &gt; 0</f>
        <v>0</v>
      </c>
      <c r="G694" t="s">
        <v>2371</v>
      </c>
    </row>
    <row r="695" spans="1:10" ht="15" customHeight="1" x14ac:dyDescent="0.25">
      <c r="A695" t="s">
        <v>2372</v>
      </c>
      <c r="B695">
        <v>2025</v>
      </c>
      <c r="C695" t="s">
        <v>36</v>
      </c>
      <c r="D695" t="b">
        <f>FALSE()</f>
        <v>0</v>
      </c>
      <c r="E695" t="b">
        <f>COUNTIF(connections!A:A, A695) &gt; 0</f>
        <v>0</v>
      </c>
      <c r="G695" t="s">
        <v>2373</v>
      </c>
      <c r="H695" t="s">
        <v>102</v>
      </c>
      <c r="I695" t="s">
        <v>2374</v>
      </c>
      <c r="J695" s="1" t="s">
        <v>2375</v>
      </c>
    </row>
    <row r="696" spans="1:10" ht="15" customHeight="1" x14ac:dyDescent="0.25">
      <c r="A696" t="s">
        <v>2376</v>
      </c>
      <c r="B696">
        <v>2020</v>
      </c>
      <c r="C696" t="s">
        <v>46</v>
      </c>
      <c r="D696" t="b">
        <f>TRUE()</f>
        <v>1</v>
      </c>
      <c r="E696" t="b">
        <f>COUNTIF(connections!A:A, A696) &gt; 0</f>
        <v>1</v>
      </c>
      <c r="G696" t="s">
        <v>2377</v>
      </c>
    </row>
    <row r="697" spans="1:10" ht="15" customHeight="1" x14ac:dyDescent="0.25">
      <c r="A697" t="s">
        <v>2378</v>
      </c>
      <c r="B697">
        <v>2023</v>
      </c>
      <c r="C697" t="s">
        <v>40</v>
      </c>
      <c r="D697" t="b">
        <f>FALSE()</f>
        <v>0</v>
      </c>
      <c r="E697" t="b">
        <f>COUNTIF(connections!A:A, A697) &gt; 0</f>
        <v>0</v>
      </c>
      <c r="F697" t="s">
        <v>369</v>
      </c>
      <c r="G697" t="s">
        <v>2379</v>
      </c>
    </row>
    <row r="698" spans="1:10" ht="15" customHeight="1" x14ac:dyDescent="0.25">
      <c r="A698" t="s">
        <v>2380</v>
      </c>
      <c r="B698">
        <v>2017</v>
      </c>
      <c r="C698" t="s">
        <v>36</v>
      </c>
      <c r="D698" t="b">
        <v>1</v>
      </c>
      <c r="E698" t="b">
        <f>COUNTIF(connections!A:A, A698) &gt; 0</f>
        <v>0</v>
      </c>
      <c r="G698" t="s">
        <v>2381</v>
      </c>
      <c r="H698" t="s">
        <v>102</v>
      </c>
      <c r="I698" t="s">
        <v>2382</v>
      </c>
      <c r="J698" s="11" t="s">
        <v>2383</v>
      </c>
    </row>
    <row r="699" spans="1:10" ht="15" customHeight="1" x14ac:dyDescent="0.25">
      <c r="A699" t="s">
        <v>2384</v>
      </c>
      <c r="B699">
        <v>2002</v>
      </c>
      <c r="C699" t="s">
        <v>40</v>
      </c>
      <c r="D699" t="b">
        <f>TRUE()</f>
        <v>1</v>
      </c>
      <c r="E699" t="b">
        <f>COUNTIF(connections!A:A, A699) &gt; 0</f>
        <v>1</v>
      </c>
      <c r="F699" t="s">
        <v>188</v>
      </c>
      <c r="G699" t="s">
        <v>2385</v>
      </c>
      <c r="H699" t="s">
        <v>102</v>
      </c>
      <c r="I699" t="s">
        <v>2386</v>
      </c>
    </row>
    <row r="700" spans="1:10" ht="15" customHeight="1" x14ac:dyDescent="0.25">
      <c r="A700" t="s">
        <v>2387</v>
      </c>
      <c r="B700">
        <v>2019</v>
      </c>
      <c r="C700" t="s">
        <v>36</v>
      </c>
      <c r="D700" t="b">
        <f>TRUE()</f>
        <v>1</v>
      </c>
      <c r="E700" t="b">
        <f>COUNTIF(connections!A:A, A700) &gt; 0</f>
        <v>0</v>
      </c>
      <c r="G700" t="s">
        <v>2388</v>
      </c>
      <c r="H700" t="s">
        <v>102</v>
      </c>
      <c r="I700" t="s">
        <v>2389</v>
      </c>
      <c r="J700" s="1" t="s">
        <v>2390</v>
      </c>
    </row>
    <row r="701" spans="1:10" ht="15" customHeight="1" x14ac:dyDescent="0.25">
      <c r="A701" t="s">
        <v>2391</v>
      </c>
      <c r="B701">
        <v>2024</v>
      </c>
      <c r="C701" t="s">
        <v>36</v>
      </c>
      <c r="D701" t="b">
        <f>TRUE()</f>
        <v>1</v>
      </c>
      <c r="E701" t="b">
        <f>COUNTIF(connections!A:A, A701) &gt; 0</f>
        <v>0</v>
      </c>
      <c r="G701" t="s">
        <v>2392</v>
      </c>
    </row>
    <row r="702" spans="1:10" ht="15" customHeight="1" x14ac:dyDescent="0.25">
      <c r="A702" t="s">
        <v>2393</v>
      </c>
      <c r="B702">
        <v>2017</v>
      </c>
      <c r="C702" t="s">
        <v>36</v>
      </c>
      <c r="D702" t="b">
        <f>TRUE()</f>
        <v>1</v>
      </c>
      <c r="E702" t="b">
        <f>COUNTIF(connections!A:A, A702) &gt; 0</f>
        <v>1</v>
      </c>
      <c r="G702" t="s">
        <v>2394</v>
      </c>
      <c r="H702" t="s">
        <v>102</v>
      </c>
      <c r="I702" t="s">
        <v>2395</v>
      </c>
      <c r="J702" s="1" t="s">
        <v>2396</v>
      </c>
    </row>
    <row r="703" spans="1:10" ht="15" customHeight="1" x14ac:dyDescent="0.25">
      <c r="A703" t="s">
        <v>2397</v>
      </c>
      <c r="B703">
        <v>2015</v>
      </c>
      <c r="C703" t="s">
        <v>40</v>
      </c>
      <c r="D703" t="b">
        <f>TRUE()</f>
        <v>1</v>
      </c>
      <c r="E703" t="b">
        <f>COUNTIF(connections!A:A, A703) &gt; 0</f>
        <v>1</v>
      </c>
      <c r="F703" t="s">
        <v>560</v>
      </c>
      <c r="G703" t="s">
        <v>2398</v>
      </c>
      <c r="H703" t="s">
        <v>102</v>
      </c>
      <c r="I703" t="s">
        <v>2399</v>
      </c>
      <c r="J703" s="1" t="s">
        <v>2400</v>
      </c>
    </row>
    <row r="704" spans="1:10" ht="15" customHeight="1" x14ac:dyDescent="0.25">
      <c r="A704" t="s">
        <v>2401</v>
      </c>
      <c r="B704">
        <v>2021</v>
      </c>
      <c r="C704" t="s">
        <v>40</v>
      </c>
      <c r="D704" t="b">
        <f>TRUE()</f>
        <v>1</v>
      </c>
      <c r="E704" t="b">
        <f>COUNTIF(connections!A:A, A704) &gt; 0</f>
        <v>1</v>
      </c>
      <c r="G704" t="s">
        <v>2402</v>
      </c>
      <c r="H704" t="s">
        <v>102</v>
      </c>
      <c r="I704" t="s">
        <v>2403</v>
      </c>
      <c r="J704" s="1" t="s">
        <v>2404</v>
      </c>
    </row>
    <row r="705" spans="1:10" ht="15" customHeight="1" x14ac:dyDescent="0.25">
      <c r="A705" t="s">
        <v>2405</v>
      </c>
      <c r="B705">
        <v>2022</v>
      </c>
      <c r="C705" t="s">
        <v>44</v>
      </c>
      <c r="D705" t="b">
        <f>FALSE()</f>
        <v>0</v>
      </c>
      <c r="E705" t="b">
        <f>COUNTIF(connections!A:A, A705) &gt; 0</f>
        <v>0</v>
      </c>
      <c r="G705" t="s">
        <v>2406</v>
      </c>
      <c r="H705" t="s">
        <v>102</v>
      </c>
      <c r="I705" t="s">
        <v>2407</v>
      </c>
      <c r="J705" s="1" t="s">
        <v>2408</v>
      </c>
    </row>
    <row r="706" spans="1:10" ht="15" customHeight="1" x14ac:dyDescent="0.25">
      <c r="A706" t="s">
        <v>2409</v>
      </c>
      <c r="B706">
        <v>2025</v>
      </c>
      <c r="C706" t="s">
        <v>40</v>
      </c>
      <c r="D706" t="b">
        <f>TRUE()</f>
        <v>1</v>
      </c>
      <c r="E706" t="b">
        <f>COUNTIF(connections!A:A, A706) &gt; 0</f>
        <v>0</v>
      </c>
      <c r="G706" t="s">
        <v>2410</v>
      </c>
      <c r="H706" t="s">
        <v>102</v>
      </c>
      <c r="I706" t="s">
        <v>2411</v>
      </c>
      <c r="J706" s="1" t="s">
        <v>2412</v>
      </c>
    </row>
    <row r="707" spans="1:10" ht="15" customHeight="1" x14ac:dyDescent="0.25">
      <c r="A707" t="s">
        <v>2413</v>
      </c>
      <c r="B707">
        <v>2013</v>
      </c>
      <c r="C707" t="s">
        <v>36</v>
      </c>
      <c r="D707" t="b">
        <f>TRUE()</f>
        <v>1</v>
      </c>
      <c r="E707" t="b">
        <f>COUNTIF(connections!A:A, A707) &gt; 0</f>
        <v>1</v>
      </c>
      <c r="G707" t="s">
        <v>2414</v>
      </c>
      <c r="H707" t="s">
        <v>102</v>
      </c>
      <c r="I707" t="s">
        <v>2415</v>
      </c>
      <c r="J707" s="1" t="s">
        <v>2416</v>
      </c>
    </row>
    <row r="708" spans="1:10" ht="15" customHeight="1" x14ac:dyDescent="0.25">
      <c r="A708" t="s">
        <v>2417</v>
      </c>
      <c r="B708">
        <v>2025</v>
      </c>
      <c r="C708" t="s">
        <v>44</v>
      </c>
      <c r="D708" t="b">
        <f>TRUE()</f>
        <v>1</v>
      </c>
      <c r="E708" t="b">
        <f>COUNTIF(connections!A:A, A708) &gt; 0</f>
        <v>1</v>
      </c>
      <c r="G708" t="s">
        <v>2418</v>
      </c>
    </row>
    <row r="709" spans="1:10" ht="15" customHeight="1" x14ac:dyDescent="0.25">
      <c r="A709" t="s">
        <v>2419</v>
      </c>
      <c r="B709">
        <v>2025</v>
      </c>
      <c r="C709" t="s">
        <v>36</v>
      </c>
      <c r="D709" t="b">
        <f>TRUE()</f>
        <v>1</v>
      </c>
      <c r="E709" t="b">
        <f>COUNTIF(connections!A:A, A709) &gt; 0</f>
        <v>0</v>
      </c>
      <c r="G709" t="s">
        <v>2420</v>
      </c>
    </row>
    <row r="710" spans="1:10" ht="15" customHeight="1" x14ac:dyDescent="0.25">
      <c r="A710" t="s">
        <v>2421</v>
      </c>
      <c r="B710">
        <v>2023</v>
      </c>
      <c r="C710" t="s">
        <v>36</v>
      </c>
      <c r="D710" t="b">
        <f>TRUE()</f>
        <v>1</v>
      </c>
      <c r="E710" t="b">
        <f>COUNTIF(connections!A:A, A710) &gt; 0</f>
        <v>0</v>
      </c>
      <c r="F710" t="s">
        <v>191</v>
      </c>
      <c r="G710" t="s">
        <v>2422</v>
      </c>
      <c r="H710" t="s">
        <v>102</v>
      </c>
      <c r="I710" t="s">
        <v>2423</v>
      </c>
      <c r="J710" s="1" t="s">
        <v>2424</v>
      </c>
    </row>
    <row r="711" spans="1:10" ht="15" customHeight="1" x14ac:dyDescent="0.25">
      <c r="A711" t="s">
        <v>2425</v>
      </c>
      <c r="B711">
        <v>2016</v>
      </c>
      <c r="C711" t="s">
        <v>36</v>
      </c>
      <c r="D711" t="b">
        <f>TRUE()</f>
        <v>1</v>
      </c>
      <c r="E711" t="b">
        <f>COUNTIF(connections!A:A, A711) &gt; 0</f>
        <v>0</v>
      </c>
      <c r="F711" t="s">
        <v>695</v>
      </c>
      <c r="G711" t="s">
        <v>2426</v>
      </c>
      <c r="H711" t="s">
        <v>102</v>
      </c>
      <c r="I711" t="s">
        <v>2427</v>
      </c>
      <c r="J711" s="1" t="s">
        <v>2428</v>
      </c>
    </row>
    <row r="712" spans="1:10" ht="15" customHeight="1" x14ac:dyDescent="0.25">
      <c r="A712" t="s">
        <v>2429</v>
      </c>
      <c r="B712">
        <v>1982</v>
      </c>
      <c r="C712" t="s">
        <v>46</v>
      </c>
      <c r="D712" t="b">
        <f>TRUE()</f>
        <v>1</v>
      </c>
      <c r="E712" t="b">
        <f>COUNTIF(connections!A:A, A712) &gt; 0</f>
        <v>1</v>
      </c>
      <c r="G712" t="s">
        <v>2430</v>
      </c>
      <c r="J712" s="11" t="s">
        <v>2431</v>
      </c>
    </row>
    <row r="713" spans="1:10" ht="15" customHeight="1" x14ac:dyDescent="0.25">
      <c r="A713" t="s">
        <v>2432</v>
      </c>
      <c r="B713">
        <v>2021</v>
      </c>
      <c r="C713" t="s">
        <v>36</v>
      </c>
      <c r="D713" t="b">
        <f>TRUE()</f>
        <v>1</v>
      </c>
      <c r="E713" t="b">
        <f>COUNTIF(connections!A:A, A713) &gt; 0</f>
        <v>1</v>
      </c>
      <c r="G713" t="s">
        <v>2433</v>
      </c>
      <c r="J713" s="11" t="s">
        <v>2434</v>
      </c>
    </row>
    <row r="714" spans="1:10" ht="15" customHeight="1" x14ac:dyDescent="0.25">
      <c r="A714" t="s">
        <v>2435</v>
      </c>
      <c r="B714">
        <v>2025</v>
      </c>
      <c r="C714" t="s">
        <v>36</v>
      </c>
      <c r="D714" t="b">
        <f>TRUE()</f>
        <v>1</v>
      </c>
      <c r="E714" t="b">
        <f>COUNTIF(connections!A:A, A714) &gt; 0</f>
        <v>0</v>
      </c>
      <c r="G714" t="s">
        <v>2436</v>
      </c>
      <c r="J714" s="11" t="s">
        <v>2437</v>
      </c>
    </row>
    <row r="715" spans="1:10" ht="15" customHeight="1" x14ac:dyDescent="0.25">
      <c r="A715" t="s">
        <v>2438</v>
      </c>
      <c r="B715">
        <v>2013</v>
      </c>
      <c r="C715" t="s">
        <v>46</v>
      </c>
      <c r="D715" t="b">
        <f>TRUE()</f>
        <v>1</v>
      </c>
      <c r="E715" t="b">
        <f>COUNTIF(connections!A:A, A715) &gt; 0</f>
        <v>0</v>
      </c>
      <c r="G715" t="s">
        <v>2439</v>
      </c>
      <c r="J715" s="1" t="s">
        <v>2440</v>
      </c>
    </row>
    <row r="716" spans="1:10" ht="15" customHeight="1" x14ac:dyDescent="0.25">
      <c r="A716" t="s">
        <v>2441</v>
      </c>
      <c r="B716">
        <v>2022</v>
      </c>
      <c r="C716" t="s">
        <v>36</v>
      </c>
      <c r="D716" t="b">
        <f>TRUE()</f>
        <v>1</v>
      </c>
      <c r="E716" t="b">
        <f>COUNTIF(connections!A:A, A716) &gt; 0</f>
        <v>0</v>
      </c>
      <c r="G716" t="s">
        <v>2442</v>
      </c>
      <c r="H716" t="s">
        <v>102</v>
      </c>
      <c r="I716" t="s">
        <v>2443</v>
      </c>
      <c r="J716" s="1" t="s">
        <v>2444</v>
      </c>
    </row>
    <row r="717" spans="1:10" ht="15" customHeight="1" x14ac:dyDescent="0.25">
      <c r="A717" t="s">
        <v>2445</v>
      </c>
      <c r="B717">
        <v>2025</v>
      </c>
      <c r="C717" t="s">
        <v>36</v>
      </c>
      <c r="D717" t="b">
        <f>TRUE()</f>
        <v>1</v>
      </c>
      <c r="E717" t="b">
        <f>COUNTIF(connections!A:A, A717) &gt; 0</f>
        <v>0</v>
      </c>
      <c r="G717" t="s">
        <v>2446</v>
      </c>
      <c r="H717" t="s">
        <v>102</v>
      </c>
      <c r="I717" t="s">
        <v>2447</v>
      </c>
      <c r="J717" s="1" t="s">
        <v>2448</v>
      </c>
    </row>
    <row r="718" spans="1:10" ht="15" customHeight="1" x14ac:dyDescent="0.25">
      <c r="A718" t="s">
        <v>2449</v>
      </c>
      <c r="B718">
        <v>2021</v>
      </c>
      <c r="C718" t="s">
        <v>36</v>
      </c>
      <c r="D718" t="b">
        <f>TRUE()</f>
        <v>1</v>
      </c>
      <c r="E718" t="b">
        <f>COUNTIF(connections!A:A, A718) &gt; 0</f>
        <v>0</v>
      </c>
      <c r="G718" t="s">
        <v>2450</v>
      </c>
    </row>
    <row r="719" spans="1:10" ht="15" customHeight="1" x14ac:dyDescent="0.25">
      <c r="A719" t="s">
        <v>2451</v>
      </c>
      <c r="B719">
        <v>2018</v>
      </c>
      <c r="C719" t="s">
        <v>36</v>
      </c>
      <c r="D719" t="b">
        <f>TRUE()</f>
        <v>1</v>
      </c>
      <c r="E719" t="b">
        <f>COUNTIF(connections!A:A, A719) &gt; 0</f>
        <v>1</v>
      </c>
      <c r="G719" t="s">
        <v>2452</v>
      </c>
      <c r="H719" t="s">
        <v>102</v>
      </c>
      <c r="I719" t="s">
        <v>2453</v>
      </c>
      <c r="J719" s="1" t="s">
        <v>2454</v>
      </c>
    </row>
    <row r="720" spans="1:10" ht="15" customHeight="1" x14ac:dyDescent="0.25">
      <c r="A720" t="s">
        <v>2455</v>
      </c>
      <c r="B720">
        <v>2026</v>
      </c>
      <c r="C720" t="s">
        <v>40</v>
      </c>
      <c r="D720" t="b">
        <f>TRUE()</f>
        <v>1</v>
      </c>
      <c r="E720" t="b">
        <f>COUNTIF(connections!A:A, A720) &gt; 0</f>
        <v>0</v>
      </c>
      <c r="G720" t="s">
        <v>2456</v>
      </c>
      <c r="J720" s="1" t="s">
        <v>2457</v>
      </c>
    </row>
    <row r="721" spans="1:10" ht="15" customHeight="1" x14ac:dyDescent="0.25">
      <c r="A721" t="s">
        <v>2458</v>
      </c>
      <c r="B721">
        <v>2020</v>
      </c>
      <c r="C721" t="s">
        <v>44</v>
      </c>
      <c r="D721" t="b">
        <f>TRUE()</f>
        <v>1</v>
      </c>
      <c r="E721" t="b">
        <f>COUNTIF(connections!A:A, A721) &gt; 0</f>
        <v>0</v>
      </c>
      <c r="G721" t="s">
        <v>2459</v>
      </c>
      <c r="H721" t="s">
        <v>102</v>
      </c>
      <c r="I721" t="s">
        <v>2460</v>
      </c>
      <c r="J721" s="1" t="s">
        <v>2461</v>
      </c>
    </row>
    <row r="722" spans="1:10" ht="15" customHeight="1" x14ac:dyDescent="0.25">
      <c r="A722" t="s">
        <v>2462</v>
      </c>
      <c r="B722">
        <v>2023</v>
      </c>
      <c r="C722" t="s">
        <v>36</v>
      </c>
      <c r="D722" t="b">
        <f>TRUE()</f>
        <v>1</v>
      </c>
      <c r="E722" t="b">
        <f>COUNTIF(connections!A:A, A722) &gt; 0</f>
        <v>0</v>
      </c>
      <c r="G722" t="s">
        <v>2463</v>
      </c>
      <c r="H722" t="s">
        <v>102</v>
      </c>
      <c r="I722" t="s">
        <v>2464</v>
      </c>
      <c r="J722" s="1" t="s">
        <v>2465</v>
      </c>
    </row>
    <row r="723" spans="1:10" ht="15" customHeight="1" x14ac:dyDescent="0.25">
      <c r="A723" t="s">
        <v>2466</v>
      </c>
      <c r="B723">
        <v>1998</v>
      </c>
      <c r="C723" t="s">
        <v>46</v>
      </c>
      <c r="D723" t="b">
        <f>TRUE()</f>
        <v>1</v>
      </c>
      <c r="E723" t="b">
        <f>COUNTIF(connections!A:A, A723) &gt; 0</f>
        <v>1</v>
      </c>
      <c r="G723" t="s">
        <v>2467</v>
      </c>
      <c r="H723" t="s">
        <v>102</v>
      </c>
      <c r="I723" t="s">
        <v>2468</v>
      </c>
      <c r="J723" s="1" t="s">
        <v>2469</v>
      </c>
    </row>
    <row r="724" spans="1:10" ht="15" customHeight="1" x14ac:dyDescent="0.25">
      <c r="A724" t="s">
        <v>2470</v>
      </c>
      <c r="B724">
        <v>2026</v>
      </c>
      <c r="C724" t="s">
        <v>44</v>
      </c>
      <c r="D724" t="b">
        <f>TRUE()</f>
        <v>1</v>
      </c>
      <c r="E724" t="b">
        <f>COUNTIF(connections!A:A, A724) &gt; 0</f>
        <v>0</v>
      </c>
      <c r="G724" t="s">
        <v>2471</v>
      </c>
      <c r="J724" s="11" t="s">
        <v>2472</v>
      </c>
    </row>
    <row r="725" spans="1:10" ht="15" customHeight="1" x14ac:dyDescent="0.25">
      <c r="A725" t="s">
        <v>2473</v>
      </c>
      <c r="B725">
        <v>2017</v>
      </c>
      <c r="C725" t="s">
        <v>46</v>
      </c>
      <c r="D725" t="b">
        <f>TRUE()</f>
        <v>1</v>
      </c>
      <c r="E725" t="b">
        <f>COUNTIF(connections!A:A, A725) &gt; 0</f>
        <v>1</v>
      </c>
      <c r="G725" t="s">
        <v>2474</v>
      </c>
      <c r="H725" t="s">
        <v>102</v>
      </c>
      <c r="I725" t="s">
        <v>2475</v>
      </c>
      <c r="J725" s="1" t="s">
        <v>2476</v>
      </c>
    </row>
    <row r="726" spans="1:10" ht="15" customHeight="1" x14ac:dyDescent="0.25">
      <c r="A726" t="s">
        <v>2477</v>
      </c>
      <c r="B726">
        <v>2026</v>
      </c>
      <c r="C726" t="s">
        <v>40</v>
      </c>
      <c r="D726" t="b">
        <f>FALSE()</f>
        <v>0</v>
      </c>
      <c r="E726" t="b">
        <f>COUNTIF(connections!A:A, A726) &gt; 0</f>
        <v>0</v>
      </c>
      <c r="F726" t="s">
        <v>2478</v>
      </c>
      <c r="G726" t="s">
        <v>2479</v>
      </c>
      <c r="H726" t="s">
        <v>102</v>
      </c>
      <c r="I726" t="s">
        <v>2480</v>
      </c>
      <c r="J726" s="1" t="s">
        <v>2481</v>
      </c>
    </row>
    <row r="727" spans="1:10" ht="15" customHeight="1" x14ac:dyDescent="0.25">
      <c r="A727" t="s">
        <v>2482</v>
      </c>
      <c r="B727">
        <v>2006</v>
      </c>
      <c r="C727" t="s">
        <v>46</v>
      </c>
      <c r="D727" t="b">
        <f>TRUE()</f>
        <v>1</v>
      </c>
      <c r="E727" t="b">
        <f>COUNTIF(connections!A:A, A727) &gt; 0</f>
        <v>0</v>
      </c>
      <c r="G727" t="s">
        <v>2483</v>
      </c>
      <c r="H727" t="s">
        <v>102</v>
      </c>
      <c r="I727" t="s">
        <v>2484</v>
      </c>
    </row>
    <row r="728" spans="1:10" ht="15" customHeight="1" x14ac:dyDescent="0.25">
      <c r="A728" t="s">
        <v>2485</v>
      </c>
      <c r="B728">
        <v>2023</v>
      </c>
      <c r="C728" t="s">
        <v>36</v>
      </c>
      <c r="D728" t="b">
        <f>TRUE()</f>
        <v>1</v>
      </c>
      <c r="E728" t="b">
        <f>COUNTIF(connections!A:A, A728) &gt; 0</f>
        <v>0</v>
      </c>
      <c r="F728" t="s">
        <v>522</v>
      </c>
      <c r="G728" t="s">
        <v>2486</v>
      </c>
      <c r="H728" t="s">
        <v>102</v>
      </c>
      <c r="I728" t="s">
        <v>2487</v>
      </c>
      <c r="J728" s="1" t="s">
        <v>2488</v>
      </c>
    </row>
    <row r="729" spans="1:10" ht="15" customHeight="1" x14ac:dyDescent="0.25">
      <c r="A729" t="s">
        <v>2489</v>
      </c>
      <c r="B729">
        <v>2019</v>
      </c>
      <c r="C729" t="s">
        <v>40</v>
      </c>
      <c r="D729" t="b">
        <f>TRUE()</f>
        <v>1</v>
      </c>
      <c r="E729" t="b">
        <f>COUNTIF(connections!A:A, A729) &gt; 0</f>
        <v>1</v>
      </c>
      <c r="G729" t="s">
        <v>2490</v>
      </c>
    </row>
    <row r="730" spans="1:10" ht="14.25" customHeight="1" x14ac:dyDescent="0.25">
      <c r="A730" t="s">
        <v>2491</v>
      </c>
      <c r="B730">
        <v>2026</v>
      </c>
      <c r="C730" t="s">
        <v>36</v>
      </c>
      <c r="D730" t="b">
        <v>1</v>
      </c>
      <c r="E730" t="b">
        <f>COUNTIF(connections!A:A, A730) &gt; 0</f>
        <v>0</v>
      </c>
      <c r="G730" t="s">
        <v>2492</v>
      </c>
      <c r="J730" s="11" t="s">
        <v>2493</v>
      </c>
    </row>
    <row r="731" spans="1:10" ht="15" customHeight="1" x14ac:dyDescent="0.25">
      <c r="A731" t="s">
        <v>2494</v>
      </c>
      <c r="B731">
        <v>2024</v>
      </c>
      <c r="C731" t="s">
        <v>36</v>
      </c>
      <c r="D731" t="b">
        <f>TRUE()</f>
        <v>1</v>
      </c>
      <c r="E731" t="b">
        <f>COUNTIF(connections!A:A, A731) &gt; 0</f>
        <v>0</v>
      </c>
      <c r="G731" t="s">
        <v>2495</v>
      </c>
      <c r="H731" t="s">
        <v>102</v>
      </c>
      <c r="I731" t="s">
        <v>2496</v>
      </c>
      <c r="J731" s="1" t="s">
        <v>2497</v>
      </c>
    </row>
    <row r="732" spans="1:10" x14ac:dyDescent="0.25">
      <c r="A732" t="s">
        <v>2498</v>
      </c>
      <c r="B732">
        <v>2024</v>
      </c>
      <c r="C732" t="s">
        <v>36</v>
      </c>
      <c r="D732" t="b">
        <f>TRUE()</f>
        <v>1</v>
      </c>
      <c r="E732" t="b">
        <f>COUNTIF(connections!A:A, A732) &gt; 0</f>
        <v>0</v>
      </c>
      <c r="G732" t="s">
        <v>2499</v>
      </c>
    </row>
    <row r="733" spans="1:10" x14ac:dyDescent="0.25">
      <c r="A733" t="s">
        <v>2500</v>
      </c>
      <c r="B733">
        <v>2022</v>
      </c>
      <c r="C733" t="s">
        <v>40</v>
      </c>
      <c r="D733" t="b">
        <f>TRUE()</f>
        <v>1</v>
      </c>
      <c r="E733" t="b">
        <f>COUNTIF(connections!A:A, A733) &gt; 0</f>
        <v>0</v>
      </c>
      <c r="G733" t="s">
        <v>2501</v>
      </c>
      <c r="H733" t="s">
        <v>102</v>
      </c>
      <c r="I733" t="s">
        <v>2502</v>
      </c>
      <c r="J733" s="1" t="s">
        <v>2503</v>
      </c>
    </row>
    <row r="734" spans="1:10" x14ac:dyDescent="0.25">
      <c r="A734" t="s">
        <v>2504</v>
      </c>
      <c r="B734">
        <v>2026</v>
      </c>
      <c r="C734" t="s">
        <v>36</v>
      </c>
      <c r="D734" t="b">
        <f>TRUE()</f>
        <v>1</v>
      </c>
      <c r="E734" t="b">
        <f>COUNTIF(connections!A:A, A734) &gt; 0</f>
        <v>0</v>
      </c>
      <c r="G734" t="s">
        <v>2505</v>
      </c>
      <c r="J734" s="11" t="s">
        <v>2506</v>
      </c>
    </row>
    <row r="735" spans="1:10" x14ac:dyDescent="0.25">
      <c r="A735" t="s">
        <v>2507</v>
      </c>
      <c r="B735">
        <v>2024</v>
      </c>
      <c r="C735" t="s">
        <v>36</v>
      </c>
      <c r="D735" t="b">
        <f>TRUE()</f>
        <v>1</v>
      </c>
      <c r="E735" t="b">
        <f>COUNTIF(connections!A:A, A735) &gt; 0</f>
        <v>0</v>
      </c>
      <c r="G735" t="s">
        <v>2508</v>
      </c>
    </row>
    <row r="736" spans="1:10" x14ac:dyDescent="0.25">
      <c r="A736" t="s">
        <v>2509</v>
      </c>
      <c r="B736">
        <v>2025</v>
      </c>
      <c r="C736" t="s">
        <v>40</v>
      </c>
      <c r="D736" t="b">
        <f>TRUE()</f>
        <v>1</v>
      </c>
      <c r="E736" t="b">
        <f>COUNTIF(connections!A:A, A736) &gt; 0</f>
        <v>1</v>
      </c>
      <c r="G736" t="s">
        <v>2510</v>
      </c>
    </row>
    <row r="737" spans="1:10" x14ac:dyDescent="0.25">
      <c r="A737" t="s">
        <v>2511</v>
      </c>
      <c r="B737">
        <v>2011</v>
      </c>
      <c r="C737" t="s">
        <v>36</v>
      </c>
      <c r="D737" t="b">
        <f>TRUE()</f>
        <v>1</v>
      </c>
      <c r="E737" t="b">
        <f>COUNTIF(connections!A:A, A737) &gt; 0</f>
        <v>1</v>
      </c>
      <c r="G737" t="s">
        <v>2512</v>
      </c>
      <c r="H737" t="s">
        <v>102</v>
      </c>
      <c r="I737" t="s">
        <v>2513</v>
      </c>
      <c r="J737" s="1" t="s">
        <v>2514</v>
      </c>
    </row>
    <row r="738" spans="1:10" x14ac:dyDescent="0.25">
      <c r="A738" t="s">
        <v>2515</v>
      </c>
      <c r="B738">
        <v>2014</v>
      </c>
      <c r="C738" t="s">
        <v>36</v>
      </c>
      <c r="D738" t="b">
        <f>TRUE()</f>
        <v>1</v>
      </c>
      <c r="E738" t="b">
        <f>COUNTIF(connections!A:A, A738) &gt; 0</f>
        <v>0</v>
      </c>
      <c r="G738" t="s">
        <v>2516</v>
      </c>
      <c r="H738" t="s">
        <v>102</v>
      </c>
      <c r="I738" t="s">
        <v>2517</v>
      </c>
      <c r="J738" s="1" t="s">
        <v>2518</v>
      </c>
    </row>
    <row r="739" spans="1:10" x14ac:dyDescent="0.25">
      <c r="A739" t="s">
        <v>2519</v>
      </c>
      <c r="B739">
        <v>2021</v>
      </c>
      <c r="C739" t="s">
        <v>46</v>
      </c>
      <c r="D739" t="b">
        <f>TRUE()</f>
        <v>1</v>
      </c>
      <c r="E739" t="b">
        <f>COUNTIF(connections!A:A, A739) &gt; 0</f>
        <v>0</v>
      </c>
      <c r="G739" t="s">
        <v>2520</v>
      </c>
    </row>
    <row r="740" spans="1:10" x14ac:dyDescent="0.25">
      <c r="A740" t="s">
        <v>2521</v>
      </c>
      <c r="B740">
        <v>2000</v>
      </c>
      <c r="C740" t="s">
        <v>46</v>
      </c>
      <c r="D740" t="b">
        <f>TRUE()</f>
        <v>1</v>
      </c>
      <c r="E740" t="b">
        <f>COUNTIF(connections!A:A, A740) &gt; 0</f>
        <v>1</v>
      </c>
      <c r="G740" t="s">
        <v>2522</v>
      </c>
      <c r="H740" t="s">
        <v>102</v>
      </c>
      <c r="I740" t="s">
        <v>2523</v>
      </c>
    </row>
    <row r="741" spans="1:10" x14ac:dyDescent="0.25">
      <c r="A741" t="s">
        <v>2524</v>
      </c>
      <c r="B741">
        <v>2025</v>
      </c>
      <c r="C741" t="s">
        <v>44</v>
      </c>
      <c r="D741" t="b">
        <f>FALSE()</f>
        <v>0</v>
      </c>
      <c r="E741" t="b">
        <f>COUNTIF(connections!A:A, A741) &gt; 0</f>
        <v>0</v>
      </c>
      <c r="F741" t="s">
        <v>984</v>
      </c>
      <c r="G741" t="s">
        <v>2525</v>
      </c>
    </row>
    <row r="742" spans="1:10" x14ac:dyDescent="0.25">
      <c r="A742" t="s">
        <v>2526</v>
      </c>
      <c r="B742">
        <v>2016</v>
      </c>
      <c r="C742" t="s">
        <v>36</v>
      </c>
      <c r="D742" t="b">
        <f>TRUE()</f>
        <v>1</v>
      </c>
      <c r="E742" t="b">
        <f>COUNTIF(connections!A:A, A742) &gt; 0</f>
        <v>0</v>
      </c>
      <c r="G742" t="s">
        <v>2527</v>
      </c>
      <c r="H742" t="s">
        <v>102</v>
      </c>
      <c r="I742" t="s">
        <v>2528</v>
      </c>
      <c r="J742" s="1" t="s">
        <v>2529</v>
      </c>
    </row>
    <row r="743" spans="1:10" x14ac:dyDescent="0.25">
      <c r="A743" t="s">
        <v>2530</v>
      </c>
      <c r="B743">
        <v>2014</v>
      </c>
      <c r="C743" t="s">
        <v>46</v>
      </c>
      <c r="D743" t="b">
        <f>TRUE()</f>
        <v>1</v>
      </c>
      <c r="E743" t="b">
        <f>COUNTIF(connections!A:A, A743) &gt; 0</f>
        <v>1</v>
      </c>
      <c r="G743" t="s">
        <v>2531</v>
      </c>
      <c r="H743" t="s">
        <v>102</v>
      </c>
      <c r="I743" t="s">
        <v>2532</v>
      </c>
    </row>
    <row r="744" spans="1:10" x14ac:dyDescent="0.25">
      <c r="A744" t="s">
        <v>2533</v>
      </c>
      <c r="B744">
        <v>2013</v>
      </c>
      <c r="C744" t="s">
        <v>46</v>
      </c>
      <c r="D744" t="b">
        <f>TRUE()</f>
        <v>1</v>
      </c>
      <c r="E744" t="b">
        <f>COUNTIF(connections!A:A, A744) &gt; 0</f>
        <v>0</v>
      </c>
      <c r="G744" t="s">
        <v>2534</v>
      </c>
    </row>
    <row r="745" spans="1:10" x14ac:dyDescent="0.25">
      <c r="A745" t="s">
        <v>2535</v>
      </c>
      <c r="B745">
        <v>2025</v>
      </c>
      <c r="C745" t="s">
        <v>40</v>
      </c>
      <c r="D745" t="b">
        <f>FALSE()</f>
        <v>0</v>
      </c>
      <c r="E745" t="b">
        <f>COUNTIF(connections!A:A, A745) &gt; 0</f>
        <v>0</v>
      </c>
      <c r="G745" t="s">
        <v>2536</v>
      </c>
      <c r="H745" t="s">
        <v>102</v>
      </c>
      <c r="I745" t="s">
        <v>2537</v>
      </c>
      <c r="J745" s="1" t="s">
        <v>2538</v>
      </c>
    </row>
    <row r="746" spans="1:10" x14ac:dyDescent="0.25">
      <c r="A746" t="s">
        <v>2539</v>
      </c>
      <c r="B746">
        <v>2024</v>
      </c>
      <c r="C746" t="s">
        <v>40</v>
      </c>
      <c r="D746" t="b">
        <f>TRUE()</f>
        <v>1</v>
      </c>
      <c r="E746" t="b">
        <f>COUNTIF(connections!A:A, A746) &gt; 0</f>
        <v>0</v>
      </c>
      <c r="G746" t="s">
        <v>2540</v>
      </c>
    </row>
    <row r="747" spans="1:10" x14ac:dyDescent="0.25">
      <c r="A747" t="s">
        <v>2541</v>
      </c>
      <c r="B747">
        <v>2023</v>
      </c>
      <c r="C747" t="s">
        <v>36</v>
      </c>
      <c r="D747" t="b">
        <f>TRUE()</f>
        <v>1</v>
      </c>
      <c r="E747" t="b">
        <f>COUNTIF(connections!A:A, A747) &gt; 0</f>
        <v>0</v>
      </c>
      <c r="G747" t="s">
        <v>2542</v>
      </c>
      <c r="J747" s="11" t="s">
        <v>2543</v>
      </c>
    </row>
    <row r="748" spans="1:10" x14ac:dyDescent="0.25">
      <c r="A748" t="s">
        <v>2544</v>
      </c>
      <c r="B748">
        <v>2021</v>
      </c>
      <c r="C748" t="s">
        <v>40</v>
      </c>
      <c r="D748" t="b">
        <f>TRUE()</f>
        <v>1</v>
      </c>
      <c r="E748" t="b">
        <f>COUNTIF(connections!A:A, A748) &gt; 0</f>
        <v>0</v>
      </c>
      <c r="G748" t="s">
        <v>2545</v>
      </c>
      <c r="H748" t="s">
        <v>102</v>
      </c>
      <c r="I748" t="s">
        <v>2546</v>
      </c>
      <c r="J748" s="1" t="s">
        <v>2547</v>
      </c>
    </row>
    <row r="749" spans="1:10" x14ac:dyDescent="0.25">
      <c r="A749" t="s">
        <v>2548</v>
      </c>
      <c r="B749">
        <v>2019</v>
      </c>
      <c r="C749" t="s">
        <v>40</v>
      </c>
      <c r="D749" t="b">
        <f>TRUE()</f>
        <v>1</v>
      </c>
      <c r="E749" t="b">
        <f>COUNTIF(connections!A:A, A749) &gt; 0</f>
        <v>1</v>
      </c>
      <c r="G749" t="s">
        <v>2549</v>
      </c>
      <c r="H749" t="s">
        <v>102</v>
      </c>
      <c r="I749" t="s">
        <v>2550</v>
      </c>
      <c r="J749" s="1" t="s">
        <v>2551</v>
      </c>
    </row>
    <row r="750" spans="1:10" x14ac:dyDescent="0.25">
      <c r="A750" t="s">
        <v>2552</v>
      </c>
      <c r="B750">
        <v>2004</v>
      </c>
      <c r="C750" t="s">
        <v>46</v>
      </c>
      <c r="D750" t="b">
        <f>TRUE()</f>
        <v>1</v>
      </c>
      <c r="E750" t="b">
        <f>COUNTIF(connections!A:A, A750) &gt; 0</f>
        <v>0</v>
      </c>
      <c r="G750" t="s">
        <v>2553</v>
      </c>
      <c r="H750" t="s">
        <v>102</v>
      </c>
      <c r="I750" t="s">
        <v>2554</v>
      </c>
    </row>
    <row r="751" spans="1:10" x14ac:dyDescent="0.25">
      <c r="A751" t="s">
        <v>2555</v>
      </c>
      <c r="B751">
        <v>2023</v>
      </c>
      <c r="C751" t="s">
        <v>40</v>
      </c>
      <c r="D751" t="b">
        <f>TRUE()</f>
        <v>1</v>
      </c>
      <c r="E751" t="b">
        <f>COUNTIF(connections!A:A, A751) &gt; 0</f>
        <v>0</v>
      </c>
      <c r="F751" t="s">
        <v>1071</v>
      </c>
      <c r="G751" t="s">
        <v>2556</v>
      </c>
      <c r="H751" t="s">
        <v>102</v>
      </c>
      <c r="I751" t="s">
        <v>2557</v>
      </c>
      <c r="J751" s="1" t="s">
        <v>2558</v>
      </c>
    </row>
    <row r="752" spans="1:10" x14ac:dyDescent="0.25">
      <c r="A752" t="s">
        <v>2559</v>
      </c>
      <c r="B752">
        <v>2024</v>
      </c>
      <c r="C752" t="s">
        <v>36</v>
      </c>
      <c r="D752" t="b">
        <f>TRUE()</f>
        <v>1</v>
      </c>
      <c r="E752" t="b">
        <f>COUNTIF(connections!A:A, A752) &gt; 0</f>
        <v>0</v>
      </c>
      <c r="G752" t="s">
        <v>2560</v>
      </c>
      <c r="H752" t="s">
        <v>102</v>
      </c>
      <c r="I752" t="s">
        <v>2561</v>
      </c>
      <c r="J752" s="1" t="s">
        <v>2562</v>
      </c>
    </row>
    <row r="753" spans="1:10" x14ac:dyDescent="0.25">
      <c r="A753" t="s">
        <v>2563</v>
      </c>
      <c r="B753">
        <v>2025</v>
      </c>
      <c r="C753" t="s">
        <v>44</v>
      </c>
      <c r="D753" t="b">
        <f>TRUE()</f>
        <v>1</v>
      </c>
      <c r="E753" t="b">
        <f>COUNTIF(connections!A:A, A753) &gt; 0</f>
        <v>0</v>
      </c>
      <c r="G753" t="s">
        <v>2564</v>
      </c>
    </row>
    <row r="754" spans="1:10" x14ac:dyDescent="0.25">
      <c r="A754" t="s">
        <v>2565</v>
      </c>
      <c r="B754">
        <v>2024</v>
      </c>
      <c r="C754" t="s">
        <v>36</v>
      </c>
      <c r="D754" t="b">
        <f>TRUE()</f>
        <v>1</v>
      </c>
      <c r="E754" t="b">
        <f>COUNTIF(connections!A:A, A754) &gt; 0</f>
        <v>0</v>
      </c>
      <c r="G754" t="s">
        <v>2566</v>
      </c>
    </row>
    <row r="755" spans="1:10" x14ac:dyDescent="0.25">
      <c r="A755" t="s">
        <v>2567</v>
      </c>
      <c r="B755">
        <v>2026</v>
      </c>
      <c r="C755" t="s">
        <v>44</v>
      </c>
      <c r="D755" t="b">
        <f>TRUE()</f>
        <v>1</v>
      </c>
      <c r="E755" t="b">
        <f>COUNTIF(connections!A:A, A755) &gt; 0</f>
        <v>0</v>
      </c>
      <c r="F755" t="s">
        <v>417</v>
      </c>
      <c r="G755" t="s">
        <v>2568</v>
      </c>
      <c r="H755" t="s">
        <v>102</v>
      </c>
      <c r="I755" t="s">
        <v>2569</v>
      </c>
      <c r="J755" s="1" t="s">
        <v>2570</v>
      </c>
    </row>
    <row r="756" spans="1:10" x14ac:dyDescent="0.25">
      <c r="A756" t="s">
        <v>2571</v>
      </c>
      <c r="B756">
        <v>2022</v>
      </c>
      <c r="C756" t="s">
        <v>36</v>
      </c>
      <c r="D756" t="b">
        <f>TRUE()</f>
        <v>1</v>
      </c>
      <c r="E756" t="b">
        <f>COUNTIF(connections!A:A, A756) &gt; 0</f>
        <v>1</v>
      </c>
      <c r="G756" t="s">
        <v>2572</v>
      </c>
      <c r="H756" t="s">
        <v>102</v>
      </c>
      <c r="I756" t="s">
        <v>2573</v>
      </c>
      <c r="J756" s="1" t="s">
        <v>2574</v>
      </c>
    </row>
    <row r="757" spans="1:10" x14ac:dyDescent="0.25">
      <c r="A757" t="s">
        <v>2575</v>
      </c>
      <c r="B757">
        <v>2018</v>
      </c>
      <c r="C757" t="s">
        <v>36</v>
      </c>
      <c r="D757" t="b">
        <f>TRUE()</f>
        <v>1</v>
      </c>
      <c r="E757" t="b">
        <f>COUNTIF(connections!A:A, A757) &gt; 0</f>
        <v>0</v>
      </c>
      <c r="G757" t="s">
        <v>2576</v>
      </c>
    </row>
    <row r="758" spans="1:10" x14ac:dyDescent="0.25">
      <c r="A758" t="s">
        <v>2577</v>
      </c>
      <c r="B758">
        <v>2014</v>
      </c>
      <c r="C758" t="s">
        <v>46</v>
      </c>
      <c r="D758" t="b">
        <f>TRUE()</f>
        <v>1</v>
      </c>
      <c r="E758" t="b">
        <f>COUNTIF(connections!A:A, A758) &gt; 0</f>
        <v>0</v>
      </c>
      <c r="G758" t="s">
        <v>2578</v>
      </c>
      <c r="J758" s="11" t="s">
        <v>2579</v>
      </c>
    </row>
    <row r="759" spans="1:10" x14ac:dyDescent="0.25">
      <c r="A759" t="s">
        <v>2580</v>
      </c>
      <c r="B759">
        <v>2025</v>
      </c>
      <c r="C759" t="s">
        <v>40</v>
      </c>
      <c r="D759" t="b">
        <f>FALSE()</f>
        <v>0</v>
      </c>
      <c r="E759" t="b">
        <f>COUNTIF(connections!A:A, A759) &gt; 0</f>
        <v>0</v>
      </c>
      <c r="F759" t="s">
        <v>315</v>
      </c>
      <c r="G759" t="s">
        <v>2581</v>
      </c>
    </row>
    <row r="760" spans="1:10" x14ac:dyDescent="0.25">
      <c r="A760" t="s">
        <v>2582</v>
      </c>
      <c r="B760">
        <v>2025</v>
      </c>
      <c r="C760" t="s">
        <v>44</v>
      </c>
      <c r="D760" t="b">
        <f>TRUE()</f>
        <v>1</v>
      </c>
      <c r="E760" t="b">
        <f>COUNTIF(connections!A:A, A760) &gt; 0</f>
        <v>0</v>
      </c>
      <c r="G760" t="s">
        <v>2583</v>
      </c>
    </row>
    <row r="761" spans="1:10" x14ac:dyDescent="0.25">
      <c r="A761" t="s">
        <v>2584</v>
      </c>
      <c r="B761">
        <v>2023</v>
      </c>
      <c r="C761" t="s">
        <v>36</v>
      </c>
      <c r="D761" t="b">
        <f>TRUE()</f>
        <v>1</v>
      </c>
      <c r="E761" t="b">
        <f>COUNTIF(connections!A:A, A761) &gt; 0</f>
        <v>0</v>
      </c>
      <c r="G761" t="s">
        <v>2585</v>
      </c>
      <c r="J761" s="11" t="s">
        <v>2586</v>
      </c>
    </row>
    <row r="762" spans="1:10" x14ac:dyDescent="0.25">
      <c r="A762" t="s">
        <v>2587</v>
      </c>
      <c r="B762">
        <v>2023</v>
      </c>
      <c r="C762" t="s">
        <v>36</v>
      </c>
      <c r="D762" t="b">
        <f>TRUE()</f>
        <v>1</v>
      </c>
      <c r="E762" t="b">
        <f>COUNTIF(connections!A:A, A762) &gt; 0</f>
        <v>0</v>
      </c>
      <c r="G762" t="s">
        <v>2588</v>
      </c>
      <c r="H762" t="s">
        <v>102</v>
      </c>
      <c r="I762" t="s">
        <v>2589</v>
      </c>
      <c r="J762" s="1" t="s">
        <v>2590</v>
      </c>
    </row>
    <row r="763" spans="1:10" x14ac:dyDescent="0.25">
      <c r="A763" t="s">
        <v>2591</v>
      </c>
      <c r="B763">
        <v>2025</v>
      </c>
      <c r="C763" t="s">
        <v>44</v>
      </c>
      <c r="D763" t="b">
        <f>TRUE()</f>
        <v>1</v>
      </c>
      <c r="E763" t="b">
        <f>COUNTIF(connections!A:A, A763) &gt; 0</f>
        <v>1</v>
      </c>
      <c r="F763" t="s">
        <v>938</v>
      </c>
      <c r="G763" t="s">
        <v>2592</v>
      </c>
      <c r="J763" s="11" t="s">
        <v>2593</v>
      </c>
    </row>
    <row r="764" spans="1:10" x14ac:dyDescent="0.25">
      <c r="A764" t="s">
        <v>2594</v>
      </c>
      <c r="B764">
        <v>2022</v>
      </c>
      <c r="C764" t="s">
        <v>36</v>
      </c>
      <c r="D764" t="b">
        <f>TRUE()</f>
        <v>1</v>
      </c>
      <c r="E764" t="b">
        <f>COUNTIF(connections!A:A, A764) &gt; 0</f>
        <v>1</v>
      </c>
      <c r="G764" t="s">
        <v>2595</v>
      </c>
      <c r="H764" t="s">
        <v>102</v>
      </c>
      <c r="I764" t="s">
        <v>2596</v>
      </c>
      <c r="J764" s="1" t="s">
        <v>2597</v>
      </c>
    </row>
    <row r="765" spans="1:10" x14ac:dyDescent="0.25">
      <c r="A765" t="s">
        <v>2598</v>
      </c>
      <c r="B765">
        <v>2022</v>
      </c>
      <c r="C765" t="s">
        <v>40</v>
      </c>
      <c r="D765" t="b">
        <f>TRUE()</f>
        <v>1</v>
      </c>
      <c r="E765" t="b">
        <f>COUNTIF(connections!A:A, A765) &gt; 0</f>
        <v>0</v>
      </c>
      <c r="G765" t="s">
        <v>2599</v>
      </c>
      <c r="H765" t="s">
        <v>102</v>
      </c>
      <c r="I765" t="s">
        <v>2600</v>
      </c>
      <c r="J765" s="1" t="s">
        <v>2601</v>
      </c>
    </row>
    <row r="766" spans="1:10" x14ac:dyDescent="0.25">
      <c r="A766" t="s">
        <v>2602</v>
      </c>
      <c r="B766">
        <v>1991</v>
      </c>
      <c r="C766" t="s">
        <v>36</v>
      </c>
      <c r="D766" t="b">
        <f>TRUE()</f>
        <v>1</v>
      </c>
      <c r="E766" t="b">
        <f>COUNTIF(connections!A:A, A766) &gt; 0</f>
        <v>1</v>
      </c>
      <c r="G766" t="s">
        <v>2603</v>
      </c>
      <c r="H766" t="s">
        <v>102</v>
      </c>
      <c r="I766" t="s">
        <v>2604</v>
      </c>
    </row>
    <row r="767" spans="1:10" x14ac:dyDescent="0.25">
      <c r="A767" t="s">
        <v>2605</v>
      </c>
      <c r="B767">
        <v>2019</v>
      </c>
      <c r="C767" t="s">
        <v>36</v>
      </c>
      <c r="D767" t="b">
        <f>TRUE()</f>
        <v>1</v>
      </c>
      <c r="E767" t="b">
        <f>COUNTIF(connections!A:A, A767) &gt; 0</f>
        <v>0</v>
      </c>
      <c r="G767" t="s">
        <v>2606</v>
      </c>
    </row>
    <row r="768" spans="1:10" x14ac:dyDescent="0.25">
      <c r="A768" t="s">
        <v>2607</v>
      </c>
      <c r="B768">
        <v>2022</v>
      </c>
      <c r="C768" t="s">
        <v>36</v>
      </c>
      <c r="D768" t="b">
        <f>TRUE()</f>
        <v>1</v>
      </c>
      <c r="E768" t="b">
        <f>COUNTIF(connections!A:A, A768) &gt; 0</f>
        <v>0</v>
      </c>
      <c r="G768" t="s">
        <v>2608</v>
      </c>
      <c r="H768" t="s">
        <v>102</v>
      </c>
      <c r="I768" t="s">
        <v>2609</v>
      </c>
      <c r="J768" s="1" t="s">
        <v>2610</v>
      </c>
    </row>
    <row r="769" spans="1:10" x14ac:dyDescent="0.25">
      <c r="A769" t="s">
        <v>2611</v>
      </c>
      <c r="B769">
        <v>1999</v>
      </c>
      <c r="C769" t="s">
        <v>46</v>
      </c>
      <c r="D769" t="b">
        <f>TRUE()</f>
        <v>1</v>
      </c>
      <c r="E769" t="b">
        <f>COUNTIF(connections!A:A, A769) &gt; 0</f>
        <v>1</v>
      </c>
      <c r="G769" t="s">
        <v>2612</v>
      </c>
      <c r="H769" t="s">
        <v>102</v>
      </c>
      <c r="I769" t="s">
        <v>2613</v>
      </c>
    </row>
    <row r="770" spans="1:10" x14ac:dyDescent="0.25">
      <c r="A770" t="s">
        <v>2614</v>
      </c>
      <c r="B770">
        <v>2002</v>
      </c>
      <c r="C770" t="s">
        <v>46</v>
      </c>
      <c r="D770" t="b">
        <f>TRUE()</f>
        <v>1</v>
      </c>
      <c r="E770" t="b">
        <f>COUNTIF(connections!A:A, A770) &gt; 0</f>
        <v>0</v>
      </c>
      <c r="G770" t="s">
        <v>2615</v>
      </c>
      <c r="H770" t="s">
        <v>102</v>
      </c>
      <c r="I770" t="s">
        <v>2616</v>
      </c>
    </row>
    <row r="771" spans="1:10" x14ac:dyDescent="0.25">
      <c r="A771" t="s">
        <v>2617</v>
      </c>
      <c r="B771">
        <v>1993</v>
      </c>
      <c r="C771" t="s">
        <v>46</v>
      </c>
      <c r="D771" t="b">
        <f>TRUE()</f>
        <v>1</v>
      </c>
      <c r="E771" t="b">
        <f>COUNTIF(connections!A:A, A771) &gt; 0</f>
        <v>1</v>
      </c>
      <c r="G771" t="s">
        <v>2618</v>
      </c>
      <c r="H771" t="s">
        <v>102</v>
      </c>
      <c r="I771" t="s">
        <v>2619</v>
      </c>
    </row>
    <row r="772" spans="1:10" x14ac:dyDescent="0.25">
      <c r="A772" t="s">
        <v>2620</v>
      </c>
      <c r="B772">
        <v>2025</v>
      </c>
      <c r="C772" t="s">
        <v>46</v>
      </c>
      <c r="D772" t="b">
        <f>TRUE()</f>
        <v>1</v>
      </c>
      <c r="E772" t="b">
        <f>COUNTIF(connections!A:A, A772) &gt; 0</f>
        <v>0</v>
      </c>
      <c r="F772" t="s">
        <v>239</v>
      </c>
      <c r="G772" t="s">
        <v>2621</v>
      </c>
      <c r="H772" t="s">
        <v>102</v>
      </c>
      <c r="I772" t="s">
        <v>2622</v>
      </c>
      <c r="J772" s="1" t="s">
        <v>2623</v>
      </c>
    </row>
    <row r="773" spans="1:10" x14ac:dyDescent="0.25">
      <c r="A773" t="s">
        <v>2624</v>
      </c>
      <c r="B773">
        <v>2024</v>
      </c>
      <c r="C773" t="s">
        <v>46</v>
      </c>
      <c r="D773" t="b">
        <f>TRUE()</f>
        <v>1</v>
      </c>
      <c r="E773" t="b">
        <f>COUNTIF(connections!A:A, A773) &gt; 0</f>
        <v>0</v>
      </c>
      <c r="F773" t="s">
        <v>239</v>
      </c>
      <c r="G773" t="s">
        <v>2625</v>
      </c>
      <c r="J773" s="11" t="s">
        <v>2626</v>
      </c>
    </row>
    <row r="774" spans="1:10" x14ac:dyDescent="0.25">
      <c r="A774" t="s">
        <v>2627</v>
      </c>
      <c r="B774">
        <v>2021</v>
      </c>
      <c r="C774" t="s">
        <v>46</v>
      </c>
      <c r="D774" t="b">
        <f>TRUE()</f>
        <v>1</v>
      </c>
      <c r="E774" t="b">
        <f>COUNTIF(connections!A:A, A774) &gt; 0</f>
        <v>0</v>
      </c>
      <c r="F774" t="s">
        <v>239</v>
      </c>
      <c r="G774" t="s">
        <v>2628</v>
      </c>
      <c r="J774" s="11" t="s">
        <v>2629</v>
      </c>
    </row>
    <row r="775" spans="1:10" x14ac:dyDescent="0.25">
      <c r="A775" t="s">
        <v>2630</v>
      </c>
      <c r="B775">
        <v>2022</v>
      </c>
      <c r="C775" t="s">
        <v>44</v>
      </c>
      <c r="D775" t="b">
        <f>TRUE()</f>
        <v>1</v>
      </c>
      <c r="E775" t="b">
        <f>COUNTIF(connections!A:A, A775) &gt; 0</f>
        <v>0</v>
      </c>
      <c r="F775" t="s">
        <v>239</v>
      </c>
      <c r="G775" t="s">
        <v>2631</v>
      </c>
    </row>
    <row r="776" spans="1:10" x14ac:dyDescent="0.25">
      <c r="A776" t="s">
        <v>2632</v>
      </c>
      <c r="B776">
        <v>2025</v>
      </c>
      <c r="C776" t="s">
        <v>40</v>
      </c>
      <c r="D776" t="b">
        <f>TRUE()</f>
        <v>1</v>
      </c>
      <c r="E776" t="b">
        <f>COUNTIF(connections!A:A, A776) &gt; 0</f>
        <v>0</v>
      </c>
      <c r="G776" t="s">
        <v>2633</v>
      </c>
    </row>
    <row r="777" spans="1:10" x14ac:dyDescent="0.25">
      <c r="A777" t="s">
        <v>2634</v>
      </c>
      <c r="B777">
        <v>2023</v>
      </c>
      <c r="C777" t="s">
        <v>44</v>
      </c>
      <c r="D777" t="b">
        <f>TRUE()</f>
        <v>1</v>
      </c>
      <c r="E777" t="b">
        <f>COUNTIF(connections!A:A, A777) &gt; 0</f>
        <v>0</v>
      </c>
      <c r="F777" t="s">
        <v>315</v>
      </c>
      <c r="G777" t="s">
        <v>2635</v>
      </c>
      <c r="H777" t="s">
        <v>102</v>
      </c>
      <c r="I777" t="s">
        <v>2636</v>
      </c>
      <c r="J777" s="1" t="s">
        <v>2637</v>
      </c>
    </row>
    <row r="778" spans="1:10" x14ac:dyDescent="0.25">
      <c r="A778" t="s">
        <v>2638</v>
      </c>
      <c r="B778">
        <v>2024</v>
      </c>
      <c r="C778" t="s">
        <v>40</v>
      </c>
      <c r="D778" t="b">
        <f>TRUE()</f>
        <v>1</v>
      </c>
      <c r="E778" t="b">
        <f>COUNTIF(connections!A:A, A778) &gt; 0</f>
        <v>0</v>
      </c>
      <c r="F778" t="s">
        <v>315</v>
      </c>
      <c r="G778" t="s">
        <v>2639</v>
      </c>
    </row>
    <row r="779" spans="1:10" x14ac:dyDescent="0.25">
      <c r="A779" t="s">
        <v>2640</v>
      </c>
      <c r="B779">
        <v>2017</v>
      </c>
      <c r="C779" t="s">
        <v>36</v>
      </c>
      <c r="D779" t="b">
        <f>TRUE()</f>
        <v>1</v>
      </c>
      <c r="E779" t="b">
        <f>COUNTIF(connections!A:A, A779) &gt; 0</f>
        <v>0</v>
      </c>
      <c r="G779" t="s">
        <v>2641</v>
      </c>
      <c r="J779" s="11" t="s">
        <v>2642</v>
      </c>
    </row>
    <row r="780" spans="1:10" x14ac:dyDescent="0.25">
      <c r="A780" t="s">
        <v>2643</v>
      </c>
      <c r="B780">
        <v>2014</v>
      </c>
      <c r="C780" t="s">
        <v>36</v>
      </c>
      <c r="D780" t="b">
        <f>TRUE()</f>
        <v>1</v>
      </c>
      <c r="E780" t="b">
        <f>COUNTIF(connections!A:A, A780) &gt; 0</f>
        <v>1</v>
      </c>
      <c r="G780" t="s">
        <v>2644</v>
      </c>
      <c r="H780" t="s">
        <v>102</v>
      </c>
      <c r="I780" t="s">
        <v>2645</v>
      </c>
      <c r="J780" s="1" t="s">
        <v>2646</v>
      </c>
    </row>
    <row r="781" spans="1:10" x14ac:dyDescent="0.25">
      <c r="A781" t="s">
        <v>2647</v>
      </c>
      <c r="B781">
        <v>2021</v>
      </c>
      <c r="C781" t="s">
        <v>44</v>
      </c>
      <c r="D781" t="b">
        <f>TRUE()</f>
        <v>1</v>
      </c>
      <c r="E781" t="b">
        <f>COUNTIF(connections!A:A, A781) &gt; 0</f>
        <v>1</v>
      </c>
      <c r="F781" t="s">
        <v>315</v>
      </c>
      <c r="G781" t="s">
        <v>2648</v>
      </c>
      <c r="H781" t="s">
        <v>102</v>
      </c>
      <c r="I781" t="s">
        <v>2649</v>
      </c>
      <c r="J781" s="1" t="s">
        <v>2650</v>
      </c>
    </row>
    <row r="782" spans="1:10" x14ac:dyDescent="0.25">
      <c r="A782" t="s">
        <v>2651</v>
      </c>
      <c r="B782">
        <v>2025</v>
      </c>
      <c r="C782" t="s">
        <v>44</v>
      </c>
      <c r="D782" t="b">
        <f>TRUE()</f>
        <v>1</v>
      </c>
      <c r="E782" t="b">
        <f>COUNTIF(connections!A:A, A782) &gt; 0</f>
        <v>0</v>
      </c>
      <c r="G782" t="s">
        <v>2652</v>
      </c>
    </row>
    <row r="783" spans="1:10" x14ac:dyDescent="0.25">
      <c r="A783" t="s">
        <v>2653</v>
      </c>
      <c r="B783">
        <v>2019</v>
      </c>
      <c r="C783" t="s">
        <v>44</v>
      </c>
      <c r="D783" t="b">
        <f>TRUE()</f>
        <v>1</v>
      </c>
      <c r="E783" t="b">
        <f>COUNTIF(connections!A:A, A783) &gt; 0</f>
        <v>0</v>
      </c>
      <c r="G783" t="s">
        <v>2654</v>
      </c>
      <c r="J783" s="1" t="s">
        <v>2655</v>
      </c>
    </row>
    <row r="784" spans="1:10" x14ac:dyDescent="0.25">
      <c r="A784" t="s">
        <v>2656</v>
      </c>
      <c r="B784">
        <v>2017</v>
      </c>
      <c r="C784" t="s">
        <v>36</v>
      </c>
      <c r="D784" t="b">
        <f>TRUE()</f>
        <v>1</v>
      </c>
      <c r="E784" t="b">
        <f>COUNTIF(connections!A:A, A784) &gt; 0</f>
        <v>0</v>
      </c>
      <c r="G784" t="s">
        <v>2657</v>
      </c>
      <c r="J784" s="11" t="s">
        <v>2658</v>
      </c>
    </row>
    <row r="785" spans="1:10" x14ac:dyDescent="0.25">
      <c r="A785" t="s">
        <v>2659</v>
      </c>
      <c r="B785">
        <v>2026</v>
      </c>
      <c r="C785" t="s">
        <v>44</v>
      </c>
      <c r="D785" t="b">
        <f>TRUE()</f>
        <v>1</v>
      </c>
      <c r="E785" t="b">
        <f>COUNTIF(connections!A:A, A785) &gt; 0</f>
        <v>0</v>
      </c>
      <c r="G785" t="s">
        <v>2660</v>
      </c>
      <c r="J785" s="1" t="s">
        <v>2661</v>
      </c>
    </row>
    <row r="786" spans="1:10" x14ac:dyDescent="0.25">
      <c r="A786" t="s">
        <v>2662</v>
      </c>
      <c r="B786">
        <v>2025</v>
      </c>
      <c r="C786" t="s">
        <v>36</v>
      </c>
      <c r="D786" t="b">
        <f>TRUE()</f>
        <v>1</v>
      </c>
      <c r="E786" t="b">
        <f>COUNTIF(connections!A:A, A786) &gt; 0</f>
        <v>0</v>
      </c>
      <c r="G786" t="s">
        <v>2663</v>
      </c>
      <c r="J786" s="1" t="s">
        <v>2664</v>
      </c>
    </row>
    <row r="787" spans="1:10" x14ac:dyDescent="0.25">
      <c r="A787" t="s">
        <v>2665</v>
      </c>
      <c r="B787">
        <v>2012</v>
      </c>
      <c r="C787" t="s">
        <v>46</v>
      </c>
      <c r="D787" t="b">
        <f>TRUE()</f>
        <v>1</v>
      </c>
      <c r="E787" t="b">
        <f>COUNTIF(connections!A:A, A787) &gt; 0</f>
        <v>0</v>
      </c>
      <c r="G787" t="s">
        <v>2666</v>
      </c>
    </row>
    <row r="788" spans="1:10" x14ac:dyDescent="0.25">
      <c r="A788" t="s">
        <v>2667</v>
      </c>
      <c r="B788">
        <v>2021</v>
      </c>
      <c r="C788" t="s">
        <v>46</v>
      </c>
      <c r="D788" t="b">
        <f>TRUE()</f>
        <v>1</v>
      </c>
      <c r="E788" t="b">
        <f>COUNTIF(connections!A:A, A788) &gt; 0</f>
        <v>0</v>
      </c>
      <c r="G788" t="s">
        <v>2668</v>
      </c>
      <c r="H788" t="s">
        <v>102</v>
      </c>
      <c r="I788" t="s">
        <v>2669</v>
      </c>
      <c r="J788" s="1" t="s">
        <v>2670</v>
      </c>
    </row>
    <row r="789" spans="1:10" x14ac:dyDescent="0.25">
      <c r="A789" t="s">
        <v>2671</v>
      </c>
      <c r="B789">
        <v>2021</v>
      </c>
      <c r="C789" t="s">
        <v>40</v>
      </c>
      <c r="D789" t="b">
        <f>FALSE()</f>
        <v>0</v>
      </c>
      <c r="E789" t="b">
        <f>COUNTIF(connections!A:A, A789) &gt; 0</f>
        <v>0</v>
      </c>
      <c r="F789" t="s">
        <v>2672</v>
      </c>
      <c r="G789" t="s">
        <v>2673</v>
      </c>
      <c r="H789" t="s">
        <v>102</v>
      </c>
      <c r="I789" t="s">
        <v>2674</v>
      </c>
      <c r="J789" s="1" t="s">
        <v>2675</v>
      </c>
    </row>
    <row r="790" spans="1:10" x14ac:dyDescent="0.25">
      <c r="A790" t="s">
        <v>2676</v>
      </c>
      <c r="B790">
        <v>2024</v>
      </c>
      <c r="C790" t="s">
        <v>36</v>
      </c>
      <c r="D790" t="b">
        <f>FALSE()</f>
        <v>0</v>
      </c>
      <c r="E790" t="b">
        <f>COUNTIF(connections!A:A, A790) &gt; 0</f>
        <v>0</v>
      </c>
      <c r="F790" t="s">
        <v>191</v>
      </c>
      <c r="G790" t="s">
        <v>2677</v>
      </c>
    </row>
    <row r="791" spans="1:10" x14ac:dyDescent="0.25">
      <c r="A791" t="s">
        <v>2678</v>
      </c>
      <c r="B791">
        <v>2019</v>
      </c>
      <c r="C791" t="s">
        <v>36</v>
      </c>
      <c r="D791" t="b">
        <f>TRUE()</f>
        <v>1</v>
      </c>
      <c r="E791" t="b">
        <f>COUNTIF(connections!A:A, A791) &gt; 0</f>
        <v>1</v>
      </c>
      <c r="F791" t="s">
        <v>525</v>
      </c>
      <c r="G791" t="s">
        <v>2679</v>
      </c>
      <c r="H791" t="s">
        <v>102</v>
      </c>
      <c r="I791" t="s">
        <v>2680</v>
      </c>
      <c r="J791" s="1" t="s">
        <v>2681</v>
      </c>
    </row>
    <row r="792" spans="1:10" x14ac:dyDescent="0.25">
      <c r="A792" t="s">
        <v>2682</v>
      </c>
      <c r="B792">
        <v>2025</v>
      </c>
      <c r="C792" t="s">
        <v>36</v>
      </c>
      <c r="D792" t="b">
        <f>TRUE()</f>
        <v>1</v>
      </c>
      <c r="E792" t="b">
        <f>COUNTIF(connections!A:A, A792) &gt; 0</f>
        <v>0</v>
      </c>
      <c r="F792" t="s">
        <v>525</v>
      </c>
      <c r="G792" t="s">
        <v>2683</v>
      </c>
    </row>
    <row r="793" spans="1:10" x14ac:dyDescent="0.25">
      <c r="A793" t="s">
        <v>2684</v>
      </c>
      <c r="B793">
        <v>2017</v>
      </c>
      <c r="C793" t="s">
        <v>36</v>
      </c>
      <c r="D793" t="b">
        <f>TRUE()</f>
        <v>1</v>
      </c>
      <c r="E793" t="b">
        <f>COUNTIF(connections!A:A, A793) &gt; 0</f>
        <v>1</v>
      </c>
      <c r="G793" t="s">
        <v>2685</v>
      </c>
    </row>
    <row r="794" spans="1:10" x14ac:dyDescent="0.25">
      <c r="A794" t="s">
        <v>2686</v>
      </c>
      <c r="B794">
        <v>2022</v>
      </c>
      <c r="C794" t="s">
        <v>36</v>
      </c>
      <c r="D794" t="b">
        <f>TRUE()</f>
        <v>1</v>
      </c>
      <c r="E794" t="b">
        <f>COUNTIF(connections!A:A, A794) &gt; 0</f>
        <v>0</v>
      </c>
      <c r="G794" t="s">
        <v>2687</v>
      </c>
    </row>
    <row r="795" spans="1:10" x14ac:dyDescent="0.25">
      <c r="A795" t="s">
        <v>2688</v>
      </c>
      <c r="B795">
        <v>1992</v>
      </c>
      <c r="C795" t="s">
        <v>46</v>
      </c>
      <c r="D795" t="b">
        <f>TRUE()</f>
        <v>1</v>
      </c>
      <c r="E795" t="b">
        <f>COUNTIF(connections!A:A, A795) &gt; 0</f>
        <v>1</v>
      </c>
      <c r="G795" t="s">
        <v>2689</v>
      </c>
      <c r="H795" t="s">
        <v>102</v>
      </c>
      <c r="I795" t="s">
        <v>2690</v>
      </c>
      <c r="J795" s="1" t="s">
        <v>2691</v>
      </c>
    </row>
    <row r="796" spans="1:10" x14ac:dyDescent="0.25">
      <c r="A796" t="s">
        <v>2692</v>
      </c>
      <c r="B796">
        <v>2018</v>
      </c>
      <c r="C796" t="s">
        <v>36</v>
      </c>
      <c r="D796" t="b">
        <f>TRUE()</f>
        <v>1</v>
      </c>
      <c r="E796" t="b">
        <f>COUNTIF(connections!A:A, A796) &gt; 0</f>
        <v>0</v>
      </c>
      <c r="G796" t="s">
        <v>2693</v>
      </c>
    </row>
    <row r="797" spans="1:10" x14ac:dyDescent="0.25">
      <c r="A797" t="s">
        <v>2694</v>
      </c>
      <c r="B797">
        <v>2026</v>
      </c>
      <c r="C797" t="s">
        <v>44</v>
      </c>
      <c r="D797" t="b">
        <f>TRUE()</f>
        <v>1</v>
      </c>
      <c r="E797" t="b">
        <f>COUNTIF(connections!A:A, A797) &gt; 0</f>
        <v>0</v>
      </c>
      <c r="F797" t="s">
        <v>1708</v>
      </c>
      <c r="G797" t="s">
        <v>2695</v>
      </c>
    </row>
    <row r="798" spans="1:10" x14ac:dyDescent="0.25">
      <c r="A798" t="s">
        <v>2696</v>
      </c>
      <c r="B798">
        <v>2023</v>
      </c>
      <c r="C798" t="s">
        <v>36</v>
      </c>
      <c r="D798" t="b">
        <f>TRUE()</f>
        <v>1</v>
      </c>
      <c r="E798" t="b">
        <f>COUNTIF(connections!A:A, A798) &gt; 0</f>
        <v>0</v>
      </c>
      <c r="F798" t="s">
        <v>1708</v>
      </c>
      <c r="G798" t="s">
        <v>2697</v>
      </c>
      <c r="H798" t="s">
        <v>102</v>
      </c>
      <c r="I798" t="s">
        <v>2698</v>
      </c>
      <c r="J798" s="1" t="s">
        <v>2699</v>
      </c>
    </row>
    <row r="799" spans="1:10" x14ac:dyDescent="0.25">
      <c r="A799" t="s">
        <v>2700</v>
      </c>
      <c r="B799">
        <v>2021</v>
      </c>
      <c r="C799" t="s">
        <v>36</v>
      </c>
      <c r="D799" t="b">
        <f>TRUE()</f>
        <v>1</v>
      </c>
      <c r="E799" t="b">
        <f>COUNTIF(connections!A:A, A799) &gt; 0</f>
        <v>1</v>
      </c>
      <c r="F799" t="s">
        <v>1708</v>
      </c>
      <c r="G799" t="s">
        <v>2701</v>
      </c>
      <c r="H799" t="s">
        <v>102</v>
      </c>
      <c r="I799" t="s">
        <v>2702</v>
      </c>
      <c r="J799" s="1" t="s">
        <v>2703</v>
      </c>
    </row>
    <row r="800" spans="1:10" x14ac:dyDescent="0.25">
      <c r="A800" t="s">
        <v>2704</v>
      </c>
      <c r="B800">
        <v>2020</v>
      </c>
      <c r="C800" t="s">
        <v>44</v>
      </c>
      <c r="D800" t="b">
        <f>TRUE()</f>
        <v>1</v>
      </c>
      <c r="E800" t="b">
        <f>COUNTIF(connections!A:A, A800) &gt; 0</f>
        <v>0</v>
      </c>
      <c r="G800" t="s">
        <v>2705</v>
      </c>
      <c r="H800" t="s">
        <v>102</v>
      </c>
      <c r="I800" t="s">
        <v>2706</v>
      </c>
      <c r="J800" s="1" t="s">
        <v>2707</v>
      </c>
    </row>
    <row r="801" spans="1:10" x14ac:dyDescent="0.25">
      <c r="A801" t="s">
        <v>2708</v>
      </c>
      <c r="B801">
        <v>2024</v>
      </c>
      <c r="C801" t="s">
        <v>36</v>
      </c>
      <c r="D801" t="b">
        <f>TRUE()</f>
        <v>1</v>
      </c>
      <c r="E801" t="b">
        <f>COUNTIF(connections!A:A, A801) &gt; 0</f>
        <v>0</v>
      </c>
      <c r="G801" t="s">
        <v>2709</v>
      </c>
    </row>
    <row r="802" spans="1:10" x14ac:dyDescent="0.25">
      <c r="A802" t="s">
        <v>2710</v>
      </c>
      <c r="B802">
        <v>2026</v>
      </c>
      <c r="C802" t="s">
        <v>36</v>
      </c>
      <c r="D802" t="b">
        <f>TRUE()</f>
        <v>1</v>
      </c>
      <c r="E802" t="b">
        <f>COUNTIF(connections!A:A, A802) &gt; 0</f>
        <v>0</v>
      </c>
      <c r="F802" t="s">
        <v>191</v>
      </c>
      <c r="G802" t="s">
        <v>2711</v>
      </c>
      <c r="H802" t="s">
        <v>102</v>
      </c>
      <c r="I802" t="s">
        <v>2712</v>
      </c>
      <c r="J802" s="1" t="s">
        <v>2713</v>
      </c>
    </row>
    <row r="803" spans="1:10" x14ac:dyDescent="0.25">
      <c r="A803" t="s">
        <v>2714</v>
      </c>
      <c r="B803">
        <v>2021</v>
      </c>
      <c r="C803" t="s">
        <v>44</v>
      </c>
      <c r="D803" t="b">
        <f>TRUE()</f>
        <v>1</v>
      </c>
      <c r="E803" t="b">
        <f>COUNTIF(connections!A:A, A803) &gt; 0</f>
        <v>1</v>
      </c>
      <c r="F803" t="s">
        <v>938</v>
      </c>
      <c r="G803" t="s">
        <v>2715</v>
      </c>
    </row>
    <row r="804" spans="1:10" x14ac:dyDescent="0.25">
      <c r="A804" t="s">
        <v>2716</v>
      </c>
      <c r="B804">
        <v>2025</v>
      </c>
      <c r="C804" t="s">
        <v>44</v>
      </c>
      <c r="D804" t="b">
        <f>TRUE()</f>
        <v>1</v>
      </c>
      <c r="E804" t="b">
        <f>COUNTIF(connections!A:A, A804) &gt; 0</f>
        <v>0</v>
      </c>
      <c r="G804" t="s">
        <v>2717</v>
      </c>
    </row>
    <row r="805" spans="1:10" x14ac:dyDescent="0.25">
      <c r="A805" t="s">
        <v>2718</v>
      </c>
      <c r="B805">
        <v>2026</v>
      </c>
      <c r="C805" t="s">
        <v>44</v>
      </c>
      <c r="D805" t="b">
        <f>TRUE()</f>
        <v>1</v>
      </c>
      <c r="E805" t="b">
        <f>COUNTIF(connections!A:A, A805) &gt; 0</f>
        <v>0</v>
      </c>
      <c r="G805" t="s">
        <v>2719</v>
      </c>
    </row>
    <row r="806" spans="1:10" x14ac:dyDescent="0.25">
      <c r="A806" t="s">
        <v>2720</v>
      </c>
      <c r="B806">
        <v>2019</v>
      </c>
      <c r="C806" t="s">
        <v>36</v>
      </c>
      <c r="D806" t="b">
        <f>TRUE()</f>
        <v>1</v>
      </c>
      <c r="E806" t="b">
        <f>COUNTIF(connections!A:A, A806) &gt; 0</f>
        <v>1</v>
      </c>
      <c r="F806" t="s">
        <v>188</v>
      </c>
      <c r="G806" t="s">
        <v>2721</v>
      </c>
      <c r="H806" t="s">
        <v>102</v>
      </c>
      <c r="I806" t="s">
        <v>2722</v>
      </c>
      <c r="J806" s="1" t="s">
        <v>2723</v>
      </c>
    </row>
    <row r="807" spans="1:10" x14ac:dyDescent="0.25">
      <c r="A807" t="s">
        <v>2724</v>
      </c>
      <c r="B807">
        <v>2022</v>
      </c>
      <c r="C807" t="s">
        <v>36</v>
      </c>
      <c r="D807" t="b">
        <f>TRUE()</f>
        <v>1</v>
      </c>
      <c r="E807" t="b">
        <f>COUNTIF(connections!A:A, A807) &gt; 0</f>
        <v>1</v>
      </c>
      <c r="G807" t="s">
        <v>2725</v>
      </c>
      <c r="H807" t="s">
        <v>102</v>
      </c>
      <c r="I807" t="s">
        <v>2726</v>
      </c>
      <c r="J807" s="11" t="s">
        <v>2727</v>
      </c>
    </row>
    <row r="808" spans="1:10" x14ac:dyDescent="0.25">
      <c r="A808" t="s">
        <v>2728</v>
      </c>
      <c r="B808">
        <v>2024</v>
      </c>
      <c r="C808" t="s">
        <v>40</v>
      </c>
      <c r="D808" t="b">
        <f>TRUE()</f>
        <v>1</v>
      </c>
      <c r="E808" t="b">
        <f>COUNTIF(connections!A:A, A808) &gt; 0</f>
        <v>0</v>
      </c>
      <c r="F808" t="s">
        <v>188</v>
      </c>
      <c r="G808" t="s">
        <v>2729</v>
      </c>
    </row>
    <row r="809" spans="1:10" x14ac:dyDescent="0.25">
      <c r="A809" t="s">
        <v>2730</v>
      </c>
      <c r="B809">
        <v>2023</v>
      </c>
      <c r="C809" t="s">
        <v>36</v>
      </c>
      <c r="D809" t="b">
        <f>TRUE()</f>
        <v>1</v>
      </c>
      <c r="E809" t="b">
        <f>COUNTIF(connections!A:A, A809) &gt; 0</f>
        <v>0</v>
      </c>
      <c r="G809" t="s">
        <v>2731</v>
      </c>
      <c r="H809" t="s">
        <v>102</v>
      </c>
      <c r="I809" t="s">
        <v>2732</v>
      </c>
      <c r="J809" s="1" t="s">
        <v>2733</v>
      </c>
    </row>
    <row r="810" spans="1:10" x14ac:dyDescent="0.25">
      <c r="A810" t="s">
        <v>2734</v>
      </c>
      <c r="B810">
        <v>2024</v>
      </c>
      <c r="C810" t="s">
        <v>36</v>
      </c>
      <c r="D810" t="b">
        <f>TRUE()</f>
        <v>1</v>
      </c>
      <c r="E810" t="b">
        <f>COUNTIF(connections!A:A, A810) &gt; 0</f>
        <v>0</v>
      </c>
      <c r="G810" t="s">
        <v>2735</v>
      </c>
    </row>
    <row r="811" spans="1:10" x14ac:dyDescent="0.25">
      <c r="A811" t="s">
        <v>2736</v>
      </c>
      <c r="B811">
        <v>2024</v>
      </c>
      <c r="C811" t="s">
        <v>36</v>
      </c>
      <c r="D811" t="b">
        <f>FALSE()</f>
        <v>0</v>
      </c>
      <c r="E811" t="b">
        <f>COUNTIF(connections!A:A, A811) &gt; 0</f>
        <v>0</v>
      </c>
      <c r="G811" t="s">
        <v>2737</v>
      </c>
      <c r="J811" s="1" t="s">
        <v>2738</v>
      </c>
    </row>
    <row r="812" spans="1:10" x14ac:dyDescent="0.25">
      <c r="A812" t="s">
        <v>2739</v>
      </c>
      <c r="B812">
        <v>1998</v>
      </c>
      <c r="C812" t="s">
        <v>46</v>
      </c>
      <c r="D812" t="b">
        <f>TRUE()</f>
        <v>1</v>
      </c>
      <c r="E812" t="b">
        <f>COUNTIF(connections!A:A, A812) &gt; 0</f>
        <v>0</v>
      </c>
      <c r="G812" t="s">
        <v>2740</v>
      </c>
      <c r="H812" t="s">
        <v>102</v>
      </c>
      <c r="I812" t="s">
        <v>2741</v>
      </c>
    </row>
    <row r="813" spans="1:10" x14ac:dyDescent="0.25">
      <c r="A813" t="s">
        <v>2742</v>
      </c>
      <c r="B813">
        <v>2023</v>
      </c>
      <c r="C813" t="s">
        <v>40</v>
      </c>
      <c r="D813" t="b">
        <f>TRUE()</f>
        <v>1</v>
      </c>
      <c r="E813" t="b">
        <f>COUNTIF(connections!A:A, A813) &gt; 0</f>
        <v>1</v>
      </c>
      <c r="F813" t="s">
        <v>525</v>
      </c>
      <c r="G813" t="s">
        <v>2743</v>
      </c>
      <c r="H813" t="s">
        <v>102</v>
      </c>
      <c r="I813" t="s">
        <v>2744</v>
      </c>
      <c r="J813" s="1" t="s">
        <v>2745</v>
      </c>
    </row>
    <row r="814" spans="1:10" x14ac:dyDescent="0.25">
      <c r="A814" t="s">
        <v>2746</v>
      </c>
      <c r="B814">
        <v>2025</v>
      </c>
      <c r="C814" t="s">
        <v>40</v>
      </c>
      <c r="D814" t="b">
        <f>TRUE()</f>
        <v>1</v>
      </c>
      <c r="E814" t="b">
        <f>COUNTIF(connections!A:A, A814) &gt; 0</f>
        <v>0</v>
      </c>
      <c r="F814" t="s">
        <v>525</v>
      </c>
      <c r="G814" t="s">
        <v>2747</v>
      </c>
    </row>
    <row r="815" spans="1:10" x14ac:dyDescent="0.25">
      <c r="A815" t="s">
        <v>2748</v>
      </c>
      <c r="B815">
        <v>2026</v>
      </c>
      <c r="C815" t="s">
        <v>36</v>
      </c>
      <c r="D815" t="b">
        <f>TRUE()</f>
        <v>1</v>
      </c>
      <c r="E815" t="b">
        <f>COUNTIF(connections!A:A, A815) &gt; 0</f>
        <v>0</v>
      </c>
      <c r="G815" t="s">
        <v>2749</v>
      </c>
    </row>
    <row r="816" spans="1:10" x14ac:dyDescent="0.25">
      <c r="A816" t="s">
        <v>2750</v>
      </c>
      <c r="B816">
        <v>2023</v>
      </c>
      <c r="C816" t="s">
        <v>46</v>
      </c>
      <c r="D816" t="b">
        <f>TRUE()</f>
        <v>1</v>
      </c>
      <c r="E816" t="b">
        <f>COUNTIF(connections!A:A, A816) &gt; 0</f>
        <v>0</v>
      </c>
      <c r="F816" t="s">
        <v>188</v>
      </c>
      <c r="G816" t="s">
        <v>2751</v>
      </c>
    </row>
    <row r="817" spans="1:10" x14ac:dyDescent="0.25">
      <c r="A817" t="s">
        <v>2752</v>
      </c>
      <c r="B817">
        <v>2025</v>
      </c>
      <c r="C817" t="s">
        <v>36</v>
      </c>
      <c r="D817" t="b">
        <f>TRUE()</f>
        <v>1</v>
      </c>
      <c r="E817" t="b">
        <f>COUNTIF(connections!A:A, A817) &gt; 0</f>
        <v>0</v>
      </c>
      <c r="G817" t="s">
        <v>2753</v>
      </c>
      <c r="H817" t="s">
        <v>102</v>
      </c>
      <c r="I817" t="s">
        <v>2754</v>
      </c>
      <c r="J817" s="1" t="s">
        <v>2755</v>
      </c>
    </row>
    <row r="818" spans="1:10" x14ac:dyDescent="0.25">
      <c r="A818" t="s">
        <v>2756</v>
      </c>
      <c r="B818">
        <v>2017</v>
      </c>
      <c r="C818" t="s">
        <v>40</v>
      </c>
      <c r="D818" t="b">
        <f>TRUE()</f>
        <v>1</v>
      </c>
      <c r="E818" t="b">
        <f>COUNTIF(connections!A:A, A818) &gt; 0</f>
        <v>0</v>
      </c>
      <c r="G818" t="s">
        <v>2757</v>
      </c>
      <c r="H818" t="s">
        <v>102</v>
      </c>
      <c r="I818" t="s">
        <v>2758</v>
      </c>
      <c r="J818" s="1" t="s">
        <v>2759</v>
      </c>
    </row>
    <row r="819" spans="1:10" x14ac:dyDescent="0.25">
      <c r="A819" t="s">
        <v>2760</v>
      </c>
      <c r="B819">
        <v>2011</v>
      </c>
      <c r="C819" t="s">
        <v>46</v>
      </c>
      <c r="D819" t="b">
        <f>TRUE()</f>
        <v>1</v>
      </c>
      <c r="E819" t="b">
        <f>COUNTIF(connections!A:A, A819) &gt; 0</f>
        <v>0</v>
      </c>
      <c r="G819" t="s">
        <v>2761</v>
      </c>
    </row>
    <row r="820" spans="1:10" x14ac:dyDescent="0.25">
      <c r="A820" t="s">
        <v>2762</v>
      </c>
      <c r="B820">
        <v>2012</v>
      </c>
      <c r="C820" t="s">
        <v>40</v>
      </c>
      <c r="D820" t="b">
        <f>TRUE()</f>
        <v>1</v>
      </c>
      <c r="E820" t="b">
        <f>COUNTIF(connections!A:A, A820) &gt; 0</f>
        <v>0</v>
      </c>
      <c r="G820" t="s">
        <v>2763</v>
      </c>
      <c r="H820" t="s">
        <v>102</v>
      </c>
      <c r="I820" t="s">
        <v>2764</v>
      </c>
      <c r="J820" s="1" t="s">
        <v>2765</v>
      </c>
    </row>
    <row r="821" spans="1:10" x14ac:dyDescent="0.25">
      <c r="A821" t="s">
        <v>2766</v>
      </c>
      <c r="B821">
        <v>2017</v>
      </c>
      <c r="C821" t="s">
        <v>36</v>
      </c>
      <c r="D821" t="b">
        <f>FALSE()</f>
        <v>0</v>
      </c>
      <c r="E821" t="b">
        <f>COUNTIF(connections!A:A, A821) &gt; 0</f>
        <v>0</v>
      </c>
      <c r="F821" t="s">
        <v>560</v>
      </c>
      <c r="G821" t="s">
        <v>2767</v>
      </c>
      <c r="H821" t="s">
        <v>102</v>
      </c>
      <c r="I821" t="s">
        <v>2768</v>
      </c>
      <c r="J821" s="1" t="s">
        <v>2769</v>
      </c>
    </row>
    <row r="822" spans="1:10" x14ac:dyDescent="0.25">
      <c r="A822" t="s">
        <v>2770</v>
      </c>
      <c r="B822">
        <v>2005</v>
      </c>
      <c r="C822" t="s">
        <v>40</v>
      </c>
      <c r="D822" t="b">
        <f>TRUE()</f>
        <v>1</v>
      </c>
      <c r="E822" t="b">
        <f>COUNTIF(connections!A:A, A822) &gt; 0</f>
        <v>1</v>
      </c>
      <c r="F822" t="s">
        <v>188</v>
      </c>
      <c r="G822" t="s">
        <v>2771</v>
      </c>
      <c r="H822" t="s">
        <v>102</v>
      </c>
      <c r="I822" t="s">
        <v>2772</v>
      </c>
      <c r="J822" s="1" t="s">
        <v>2773</v>
      </c>
    </row>
    <row r="823" spans="1:10" x14ac:dyDescent="0.25">
      <c r="A823" t="s">
        <v>2774</v>
      </c>
      <c r="B823">
        <v>2020</v>
      </c>
      <c r="C823" t="s">
        <v>36</v>
      </c>
      <c r="D823" t="b">
        <f>FALSE()</f>
        <v>0</v>
      </c>
      <c r="E823" t="b">
        <f>COUNTIF(connections!A:A, A823) &gt; 0</f>
        <v>1</v>
      </c>
      <c r="G823" t="s">
        <v>2775</v>
      </c>
      <c r="J823" s="11" t="s">
        <v>2776</v>
      </c>
    </row>
    <row r="824" spans="1:10" x14ac:dyDescent="0.25">
      <c r="A824" t="s">
        <v>2777</v>
      </c>
      <c r="B824">
        <v>2025</v>
      </c>
      <c r="C824" t="s">
        <v>36</v>
      </c>
      <c r="D824" t="b">
        <f>TRUE()</f>
        <v>1</v>
      </c>
      <c r="E824" t="b">
        <f>COUNTIF(connections!A:A, A824) &gt; 0</f>
        <v>0</v>
      </c>
      <c r="G824" t="s">
        <v>2778</v>
      </c>
    </row>
    <row r="825" spans="1:10" x14ac:dyDescent="0.25">
      <c r="A825" t="s">
        <v>2779</v>
      </c>
      <c r="B825">
        <v>2025</v>
      </c>
      <c r="C825" t="s">
        <v>36</v>
      </c>
      <c r="D825" t="b">
        <f>FALSE()</f>
        <v>0</v>
      </c>
      <c r="E825" t="b">
        <f>COUNTIF(connections!A:A, A825) &gt; 0</f>
        <v>0</v>
      </c>
      <c r="G825" t="s">
        <v>2780</v>
      </c>
    </row>
    <row r="826" spans="1:10" x14ac:dyDescent="0.25">
      <c r="A826" t="s">
        <v>2781</v>
      </c>
      <c r="B826">
        <v>2024</v>
      </c>
      <c r="C826" t="s">
        <v>36</v>
      </c>
      <c r="D826" t="b">
        <f>TRUE()</f>
        <v>1</v>
      </c>
      <c r="E826" t="b">
        <f>COUNTIF(connections!A:A, A826) &gt; 0</f>
        <v>0</v>
      </c>
      <c r="G826" t="s">
        <v>2782</v>
      </c>
    </row>
    <row r="827" spans="1:10" x14ac:dyDescent="0.25">
      <c r="A827" t="s">
        <v>2783</v>
      </c>
      <c r="B827">
        <v>2019</v>
      </c>
      <c r="C827" t="s">
        <v>40</v>
      </c>
      <c r="D827" t="b">
        <f>FALSE()</f>
        <v>0</v>
      </c>
      <c r="E827" t="b">
        <f>COUNTIF(connections!A:A, A827) &gt; 0</f>
        <v>0</v>
      </c>
      <c r="G827" t="s">
        <v>2784</v>
      </c>
    </row>
    <row r="828" spans="1:10" x14ac:dyDescent="0.25">
      <c r="A828" t="s">
        <v>2785</v>
      </c>
      <c r="B828">
        <v>2023</v>
      </c>
      <c r="C828" t="s">
        <v>44</v>
      </c>
      <c r="D828" t="b">
        <f>TRUE()</f>
        <v>1</v>
      </c>
      <c r="E828" t="b">
        <f>COUNTIF(connections!A:A, A828) &gt; 0</f>
        <v>1</v>
      </c>
      <c r="G828" t="s">
        <v>2786</v>
      </c>
      <c r="H828" t="s">
        <v>102</v>
      </c>
      <c r="I828" t="s">
        <v>2787</v>
      </c>
      <c r="J828" s="1" t="s">
        <v>2788</v>
      </c>
    </row>
    <row r="829" spans="1:10" x14ac:dyDescent="0.25">
      <c r="A829" t="s">
        <v>2789</v>
      </c>
      <c r="B829">
        <v>2024</v>
      </c>
      <c r="C829" t="s">
        <v>36</v>
      </c>
      <c r="D829" t="b">
        <f>TRUE()</f>
        <v>1</v>
      </c>
      <c r="E829" t="b">
        <f>COUNTIF(connections!A:A, A829) &gt; 0</f>
        <v>0</v>
      </c>
      <c r="G829" t="s">
        <v>2790</v>
      </c>
    </row>
    <row r="830" spans="1:10" x14ac:dyDescent="0.25">
      <c r="A830" t="s">
        <v>2791</v>
      </c>
      <c r="B830">
        <v>2026</v>
      </c>
      <c r="C830" t="s">
        <v>44</v>
      </c>
      <c r="D830" t="b">
        <f>TRUE()</f>
        <v>1</v>
      </c>
      <c r="E830" t="b">
        <f>COUNTIF(connections!A:A, A830) &gt; 0</f>
        <v>0</v>
      </c>
      <c r="G830" t="s">
        <v>2792</v>
      </c>
    </row>
    <row r="831" spans="1:10" x14ac:dyDescent="0.25">
      <c r="A831" t="s">
        <v>2793</v>
      </c>
      <c r="B831">
        <v>2026</v>
      </c>
      <c r="C831" t="s">
        <v>40</v>
      </c>
      <c r="D831" t="b">
        <f>FALSE()</f>
        <v>0</v>
      </c>
      <c r="E831" t="b">
        <f>COUNTIF(connections!A:A, A831) &gt; 0</f>
        <v>0</v>
      </c>
      <c r="F831" t="s">
        <v>315</v>
      </c>
      <c r="G831" t="s">
        <v>2794</v>
      </c>
      <c r="J831" s="1" t="s">
        <v>2795</v>
      </c>
    </row>
    <row r="832" spans="1:10" x14ac:dyDescent="0.25">
      <c r="A832" t="s">
        <v>2796</v>
      </c>
      <c r="B832">
        <v>2024</v>
      </c>
      <c r="C832" t="s">
        <v>36</v>
      </c>
      <c r="D832" t="b">
        <f>FALSE()</f>
        <v>0</v>
      </c>
      <c r="E832" t="b">
        <f>COUNTIF(connections!A:A, A832) &gt; 0</f>
        <v>1</v>
      </c>
      <c r="G832" t="s">
        <v>2797</v>
      </c>
      <c r="J832" s="1" t="s">
        <v>2798</v>
      </c>
    </row>
    <row r="833" spans="1:10" x14ac:dyDescent="0.25">
      <c r="A833" t="s">
        <v>2799</v>
      </c>
      <c r="B833">
        <v>2026</v>
      </c>
      <c r="C833" t="s">
        <v>44</v>
      </c>
      <c r="D833" t="b">
        <f>TRUE()</f>
        <v>1</v>
      </c>
      <c r="E833" t="b">
        <f>COUNTIF(connections!A:A, A833) &gt; 0</f>
        <v>0</v>
      </c>
      <c r="G833" t="s">
        <v>2800</v>
      </c>
    </row>
    <row r="834" spans="1:10" x14ac:dyDescent="0.25">
      <c r="A834" t="s">
        <v>2801</v>
      </c>
      <c r="B834">
        <v>2018</v>
      </c>
      <c r="C834" t="s">
        <v>36</v>
      </c>
      <c r="D834" t="b">
        <f>TRUE()</f>
        <v>1</v>
      </c>
      <c r="E834" t="b">
        <f>COUNTIF(connections!A:A, A834) &gt; 0</f>
        <v>1</v>
      </c>
      <c r="G834" t="s">
        <v>2802</v>
      </c>
      <c r="H834" t="s">
        <v>102</v>
      </c>
      <c r="I834" t="s">
        <v>2803</v>
      </c>
      <c r="J834" s="1" t="s">
        <v>2804</v>
      </c>
    </row>
    <row r="835" spans="1:10" x14ac:dyDescent="0.25">
      <c r="A835" t="s">
        <v>2805</v>
      </c>
      <c r="B835">
        <v>2024</v>
      </c>
      <c r="C835" t="s">
        <v>36</v>
      </c>
      <c r="D835" t="b">
        <f>TRUE()</f>
        <v>1</v>
      </c>
      <c r="E835" t="b">
        <f>COUNTIF(connections!A:A, A835) &gt; 0</f>
        <v>0</v>
      </c>
      <c r="G835" t="s">
        <v>2806</v>
      </c>
      <c r="H835" t="s">
        <v>102</v>
      </c>
      <c r="I835" t="s">
        <v>2807</v>
      </c>
      <c r="J835" s="1" t="s">
        <v>2808</v>
      </c>
    </row>
    <row r="836" spans="1:10" x14ac:dyDescent="0.25">
      <c r="A836" t="s">
        <v>2809</v>
      </c>
      <c r="B836">
        <v>2021</v>
      </c>
      <c r="C836" t="s">
        <v>40</v>
      </c>
      <c r="D836" t="b">
        <f>TRUE()</f>
        <v>1</v>
      </c>
      <c r="E836" t="b">
        <f>COUNTIF(connections!A:A, A836) &gt; 0</f>
        <v>0</v>
      </c>
      <c r="F836" t="s">
        <v>1071</v>
      </c>
      <c r="G836" t="s">
        <v>2810</v>
      </c>
      <c r="H836" t="s">
        <v>102</v>
      </c>
      <c r="I836" t="s">
        <v>2811</v>
      </c>
      <c r="J836" s="1" t="s">
        <v>2812</v>
      </c>
    </row>
    <row r="837" spans="1:10" x14ac:dyDescent="0.25">
      <c r="A837" t="s">
        <v>2813</v>
      </c>
      <c r="B837">
        <v>2025</v>
      </c>
      <c r="C837" t="s">
        <v>44</v>
      </c>
      <c r="D837" t="b">
        <f>TRUE()</f>
        <v>1</v>
      </c>
      <c r="E837" t="b">
        <f>COUNTIF(connections!A:A, A837) &gt; 0</f>
        <v>0</v>
      </c>
      <c r="F837" t="s">
        <v>639</v>
      </c>
      <c r="G837" t="s">
        <v>2814</v>
      </c>
    </row>
    <row r="838" spans="1:10" x14ac:dyDescent="0.25">
      <c r="A838" t="s">
        <v>2815</v>
      </c>
      <c r="B838">
        <v>2025</v>
      </c>
      <c r="C838" t="s">
        <v>44</v>
      </c>
      <c r="D838" t="b">
        <f>TRUE()</f>
        <v>1</v>
      </c>
      <c r="E838" t="b">
        <f>COUNTIF(connections!A:A, A838) &gt; 0</f>
        <v>0</v>
      </c>
      <c r="F838" t="s">
        <v>639</v>
      </c>
      <c r="G838" t="s">
        <v>2816</v>
      </c>
      <c r="H838" t="s">
        <v>102</v>
      </c>
      <c r="I838" t="s">
        <v>2817</v>
      </c>
      <c r="J838" s="1" t="s">
        <v>2818</v>
      </c>
    </row>
    <row r="839" spans="1:10" x14ac:dyDescent="0.25">
      <c r="A839" t="s">
        <v>2819</v>
      </c>
      <c r="B839">
        <v>2022</v>
      </c>
      <c r="C839" t="s">
        <v>44</v>
      </c>
      <c r="D839" t="b">
        <f>TRUE()</f>
        <v>1</v>
      </c>
      <c r="E839" t="b">
        <f>COUNTIF(connections!A:A, A839) &gt; 0</f>
        <v>0</v>
      </c>
      <c r="F839" t="s">
        <v>639</v>
      </c>
      <c r="G839" t="s">
        <v>2820</v>
      </c>
      <c r="H839" t="s">
        <v>102</v>
      </c>
      <c r="I839" t="s">
        <v>2821</v>
      </c>
      <c r="J839" s="1" t="s">
        <v>2822</v>
      </c>
    </row>
    <row r="840" spans="1:10" x14ac:dyDescent="0.25">
      <c r="A840" t="s">
        <v>2823</v>
      </c>
      <c r="B840">
        <v>2026</v>
      </c>
      <c r="C840" t="s">
        <v>44</v>
      </c>
      <c r="D840" t="b">
        <f>TRUE()</f>
        <v>1</v>
      </c>
      <c r="E840" t="b">
        <f>COUNTIF(connections!A:A, A840) &gt; 0</f>
        <v>0</v>
      </c>
      <c r="G840" t="s">
        <v>2824</v>
      </c>
      <c r="J840" s="11" t="s">
        <v>2825</v>
      </c>
    </row>
    <row r="841" spans="1:10" x14ac:dyDescent="0.25">
      <c r="A841" t="s">
        <v>2826</v>
      </c>
      <c r="B841">
        <v>2025</v>
      </c>
      <c r="C841" t="s">
        <v>36</v>
      </c>
      <c r="D841" t="b">
        <f>TRUE()</f>
        <v>1</v>
      </c>
      <c r="E841" t="b">
        <f>COUNTIF(connections!A:A, A841) &gt; 0</f>
        <v>0</v>
      </c>
      <c r="G841" t="s">
        <v>2827</v>
      </c>
    </row>
    <row r="842" spans="1:10" x14ac:dyDescent="0.25">
      <c r="A842" t="s">
        <v>2828</v>
      </c>
      <c r="B842">
        <v>2023</v>
      </c>
      <c r="C842" t="s">
        <v>36</v>
      </c>
      <c r="D842" t="b">
        <f>TRUE()</f>
        <v>1</v>
      </c>
      <c r="E842" t="b">
        <f>COUNTIF(connections!A:A, A842) &gt; 0</f>
        <v>0</v>
      </c>
      <c r="F842" t="s">
        <v>369</v>
      </c>
      <c r="G842" t="s">
        <v>2829</v>
      </c>
      <c r="H842" t="s">
        <v>102</v>
      </c>
      <c r="I842" t="s">
        <v>2830</v>
      </c>
      <c r="J842" s="1" t="s">
        <v>2831</v>
      </c>
    </row>
    <row r="843" spans="1:10" x14ac:dyDescent="0.25">
      <c r="A843" t="s">
        <v>2832</v>
      </c>
      <c r="B843">
        <v>2024</v>
      </c>
      <c r="C843" t="s">
        <v>44</v>
      </c>
      <c r="D843" t="b">
        <f>TRUE()</f>
        <v>1</v>
      </c>
      <c r="E843" t="b">
        <f>COUNTIF(connections!A:A, A843) &gt; 0</f>
        <v>0</v>
      </c>
      <c r="F843" t="s">
        <v>984</v>
      </c>
      <c r="G843" t="s">
        <v>2833</v>
      </c>
      <c r="H843" t="s">
        <v>102</v>
      </c>
      <c r="I843" t="s">
        <v>2834</v>
      </c>
      <c r="J843" s="1" t="s">
        <v>2835</v>
      </c>
    </row>
    <row r="844" spans="1:10" x14ac:dyDescent="0.25">
      <c r="A844" t="s">
        <v>2836</v>
      </c>
      <c r="B844">
        <v>2017</v>
      </c>
      <c r="C844" t="s">
        <v>46</v>
      </c>
      <c r="D844" t="b">
        <f>TRUE()</f>
        <v>1</v>
      </c>
      <c r="E844" t="b">
        <f>COUNTIF(connections!A:A, A844) &gt; 0</f>
        <v>0</v>
      </c>
      <c r="G844" t="s">
        <v>2837</v>
      </c>
    </row>
    <row r="845" spans="1:10" x14ac:dyDescent="0.25">
      <c r="A845" t="s">
        <v>2838</v>
      </c>
      <c r="B845">
        <v>2010</v>
      </c>
      <c r="C845" t="s">
        <v>46</v>
      </c>
      <c r="D845" t="b">
        <f>TRUE()</f>
        <v>1</v>
      </c>
      <c r="E845" t="b">
        <f>COUNTIF(connections!A:A, A845) &gt; 0</f>
        <v>1</v>
      </c>
      <c r="G845" t="s">
        <v>2839</v>
      </c>
      <c r="H845" t="s">
        <v>102</v>
      </c>
      <c r="I845" t="s">
        <v>2840</v>
      </c>
      <c r="J845" s="11" t="s">
        <v>2841</v>
      </c>
    </row>
    <row r="846" spans="1:10" x14ac:dyDescent="0.25">
      <c r="A846" t="s">
        <v>2842</v>
      </c>
      <c r="B846">
        <v>1994</v>
      </c>
      <c r="C846" t="s">
        <v>46</v>
      </c>
      <c r="D846" t="b">
        <f>TRUE()</f>
        <v>1</v>
      </c>
      <c r="E846" t="b">
        <f>COUNTIF(connections!A:A, A846) &gt; 0</f>
        <v>1</v>
      </c>
      <c r="G846" t="s">
        <v>2843</v>
      </c>
      <c r="H846" t="s">
        <v>102</v>
      </c>
      <c r="I846" t="s">
        <v>2844</v>
      </c>
    </row>
    <row r="847" spans="1:10" x14ac:dyDescent="0.25">
      <c r="A847" t="s">
        <v>2845</v>
      </c>
      <c r="B847">
        <v>2024</v>
      </c>
      <c r="C847" t="s">
        <v>44</v>
      </c>
      <c r="D847" t="b">
        <f>TRUE()</f>
        <v>1</v>
      </c>
      <c r="E847" t="b">
        <f>COUNTIF(connections!A:A, A847) &gt; 0</f>
        <v>0</v>
      </c>
      <c r="F847" t="s">
        <v>188</v>
      </c>
      <c r="G847" t="s">
        <v>2846</v>
      </c>
      <c r="H847" t="s">
        <v>102</v>
      </c>
      <c r="I847" t="s">
        <v>2847</v>
      </c>
      <c r="J847" s="1" t="s">
        <v>2848</v>
      </c>
    </row>
    <row r="848" spans="1:10" x14ac:dyDescent="0.25">
      <c r="A848" t="s">
        <v>2849</v>
      </c>
      <c r="B848">
        <v>2014</v>
      </c>
      <c r="C848" t="s">
        <v>36</v>
      </c>
      <c r="D848" t="b">
        <f>TRUE()</f>
        <v>1</v>
      </c>
      <c r="E848" t="b">
        <f>COUNTIF(connections!A:A, A848) &gt; 0</f>
        <v>1</v>
      </c>
      <c r="G848" t="s">
        <v>2850</v>
      </c>
      <c r="H848" t="s">
        <v>102</v>
      </c>
      <c r="I848" t="s">
        <v>2851</v>
      </c>
      <c r="J848" s="1" t="s">
        <v>2852</v>
      </c>
    </row>
    <row r="849" spans="1:10" x14ac:dyDescent="0.25">
      <c r="A849" t="s">
        <v>2853</v>
      </c>
      <c r="B849">
        <v>2020</v>
      </c>
      <c r="C849" t="s">
        <v>36</v>
      </c>
      <c r="D849" t="b">
        <f>TRUE()</f>
        <v>1</v>
      </c>
      <c r="E849" t="b">
        <f>COUNTIF(connections!A:A, A849) &gt; 0</f>
        <v>0</v>
      </c>
      <c r="G849" t="s">
        <v>2854</v>
      </c>
      <c r="H849" t="s">
        <v>102</v>
      </c>
      <c r="I849" t="s">
        <v>2855</v>
      </c>
      <c r="J849" s="1" t="s">
        <v>2856</v>
      </c>
    </row>
    <row r="850" spans="1:10" x14ac:dyDescent="0.25">
      <c r="A850" t="s">
        <v>2857</v>
      </c>
      <c r="B850">
        <v>2025</v>
      </c>
      <c r="C850" t="s">
        <v>46</v>
      </c>
      <c r="D850" t="b">
        <f>TRUE()</f>
        <v>1</v>
      </c>
      <c r="E850" t="b">
        <f>COUNTIF(connections!A:A, A850) &gt; 0</f>
        <v>0</v>
      </c>
      <c r="G850" t="s">
        <v>2858</v>
      </c>
      <c r="H850" t="s">
        <v>102</v>
      </c>
      <c r="I850" t="s">
        <v>2859</v>
      </c>
    </row>
    <row r="851" spans="1:10" x14ac:dyDescent="0.25">
      <c r="A851" t="s">
        <v>2860</v>
      </c>
      <c r="B851">
        <v>2023</v>
      </c>
      <c r="C851" t="s">
        <v>44</v>
      </c>
      <c r="D851" t="b">
        <f>TRUE()</f>
        <v>1</v>
      </c>
      <c r="E851" t="b">
        <f>COUNTIF(connections!A:A, A851) &gt; 0</f>
        <v>1</v>
      </c>
      <c r="G851" t="s">
        <v>2861</v>
      </c>
      <c r="H851" t="s">
        <v>102</v>
      </c>
      <c r="I851" t="s">
        <v>2862</v>
      </c>
      <c r="J851" s="1" t="s">
        <v>2863</v>
      </c>
    </row>
    <row r="852" spans="1:10" x14ac:dyDescent="0.25">
      <c r="A852" t="s">
        <v>2864</v>
      </c>
      <c r="B852">
        <v>2026</v>
      </c>
      <c r="C852" t="s">
        <v>44</v>
      </c>
      <c r="D852" t="b">
        <f>TRUE()</f>
        <v>1</v>
      </c>
      <c r="E852" t="b">
        <f>COUNTIF(connections!A:A, A852) &gt; 0</f>
        <v>0</v>
      </c>
      <c r="G852" t="s">
        <v>2865</v>
      </c>
      <c r="J852" s="11" t="s">
        <v>2866</v>
      </c>
    </row>
    <row r="853" spans="1:10" x14ac:dyDescent="0.25">
      <c r="A853" t="s">
        <v>2867</v>
      </c>
      <c r="B853">
        <v>2022</v>
      </c>
      <c r="C853" t="s">
        <v>46</v>
      </c>
      <c r="D853" t="b">
        <f>TRUE()</f>
        <v>1</v>
      </c>
      <c r="E853" t="b">
        <f>COUNTIF(connections!A:A, A853) &gt; 0</f>
        <v>0</v>
      </c>
      <c r="G853" t="s">
        <v>2868</v>
      </c>
      <c r="H853" t="s">
        <v>102</v>
      </c>
      <c r="I853" t="s">
        <v>2869</v>
      </c>
      <c r="J853"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2" r:id="rId268" xr:uid="{00000000-0004-0000-0100-00000B010000}"/>
    <hyperlink ref="J426" r:id="rId269" xr:uid="{00000000-0004-0000-0100-00000C010000}"/>
    <hyperlink ref="J427" r:id="rId270" xr:uid="{00000000-0004-0000-0100-00000D010000}"/>
    <hyperlink ref="J428" r:id="rId271" xr:uid="{00000000-0004-0000-0100-00000E010000}"/>
    <hyperlink ref="J429" r:id="rId272" xr:uid="{00000000-0004-0000-0100-00000F010000}"/>
    <hyperlink ref="J430" r:id="rId273" xr:uid="{00000000-0004-0000-0100-000010010000}"/>
    <hyperlink ref="J431" r:id="rId274" xr:uid="{00000000-0004-0000-0100-000011010000}"/>
    <hyperlink ref="J432" r:id="rId275" xr:uid="{00000000-0004-0000-0100-000012010000}"/>
    <hyperlink ref="J434" r:id="rId276" xr:uid="{00000000-0004-0000-0100-000013010000}"/>
    <hyperlink ref="J436" r:id="rId277" xr:uid="{00000000-0004-0000-0100-000014010000}"/>
    <hyperlink ref="J437" r:id="rId278" xr:uid="{00000000-0004-0000-0100-000015010000}"/>
    <hyperlink ref="J438" r:id="rId279" xr:uid="{00000000-0004-0000-0100-000016010000}"/>
    <hyperlink ref="J439" r:id="rId280" xr:uid="{00000000-0004-0000-0100-000017010000}"/>
    <hyperlink ref="J440" r:id="rId281" xr:uid="{00000000-0004-0000-0100-000018010000}"/>
    <hyperlink ref="J442" r:id="rId282" xr:uid="{00000000-0004-0000-0100-000019010000}"/>
    <hyperlink ref="J446" r:id="rId283" xr:uid="{00000000-0004-0000-0100-00001A010000}"/>
    <hyperlink ref="J448" r:id="rId284" xr:uid="{00000000-0004-0000-0100-00001B010000}"/>
    <hyperlink ref="J453" r:id="rId285" xr:uid="{00000000-0004-0000-0100-00001C010000}"/>
    <hyperlink ref="J454" r:id="rId286" xr:uid="{00000000-0004-0000-0100-00001D010000}"/>
    <hyperlink ref="J456" r:id="rId287" xr:uid="{00000000-0004-0000-0100-00001E010000}"/>
    <hyperlink ref="J457" r:id="rId288" xr:uid="{00000000-0004-0000-0100-00001F010000}"/>
    <hyperlink ref="J458" r:id="rId289" xr:uid="{00000000-0004-0000-0100-000020010000}"/>
    <hyperlink ref="J459" r:id="rId290" xr:uid="{00000000-0004-0000-0100-000021010000}"/>
    <hyperlink ref="J461" r:id="rId291" xr:uid="{00000000-0004-0000-0100-000022010000}"/>
    <hyperlink ref="J463" r:id="rId292" xr:uid="{00000000-0004-0000-0100-000023010000}"/>
    <hyperlink ref="J466" r:id="rId293" xr:uid="{00000000-0004-0000-0100-000024010000}"/>
    <hyperlink ref="J468" r:id="rId294" xr:uid="{00000000-0004-0000-0100-000025010000}"/>
    <hyperlink ref="J469" r:id="rId295" xr:uid="{00000000-0004-0000-0100-000026010000}"/>
    <hyperlink ref="J470" r:id="rId296" xr:uid="{00000000-0004-0000-0100-000027010000}"/>
    <hyperlink ref="J472" r:id="rId297" xr:uid="{00000000-0004-0000-0100-000028010000}"/>
    <hyperlink ref="J473" r:id="rId298" xr:uid="{00000000-0004-0000-0100-000029010000}"/>
    <hyperlink ref="J475" r:id="rId299" xr:uid="{00000000-0004-0000-0100-00002A010000}"/>
    <hyperlink ref="J477" r:id="rId300" xr:uid="{00000000-0004-0000-0100-00002B010000}"/>
    <hyperlink ref="J478" r:id="rId301" xr:uid="{00000000-0004-0000-0100-00002C010000}"/>
    <hyperlink ref="J479" r:id="rId302" xr:uid="{00000000-0004-0000-0100-00002D010000}"/>
    <hyperlink ref="J480" r:id="rId303" xr:uid="{00000000-0004-0000-0100-00002E010000}"/>
    <hyperlink ref="J481" r:id="rId304" xr:uid="{00000000-0004-0000-0100-00002F010000}"/>
    <hyperlink ref="J482" r:id="rId305" xr:uid="{00000000-0004-0000-0100-000030010000}"/>
    <hyperlink ref="J483" r:id="rId306" xr:uid="{00000000-0004-0000-0100-000031010000}"/>
    <hyperlink ref="J487" r:id="rId307" xr:uid="{00000000-0004-0000-0100-000032010000}"/>
    <hyperlink ref="J488" r:id="rId308" xr:uid="{00000000-0004-0000-0100-000033010000}"/>
    <hyperlink ref="J489" r:id="rId309" xr:uid="{00000000-0004-0000-0100-000034010000}"/>
    <hyperlink ref="J493" r:id="rId310" xr:uid="{00000000-0004-0000-0100-000035010000}"/>
    <hyperlink ref="J494" r:id="rId311" xr:uid="{00000000-0004-0000-0100-000036010000}"/>
    <hyperlink ref="J495" r:id="rId312" xr:uid="{00000000-0004-0000-0100-000037010000}"/>
    <hyperlink ref="J496" r:id="rId313" xr:uid="{00000000-0004-0000-0100-000038010000}"/>
    <hyperlink ref="J497" r:id="rId314" xr:uid="{00000000-0004-0000-0100-000039010000}"/>
    <hyperlink ref="J498" r:id="rId315" xr:uid="{00000000-0004-0000-0100-00003A010000}"/>
    <hyperlink ref="J500" r:id="rId316" xr:uid="{00000000-0004-0000-0100-00003B010000}"/>
    <hyperlink ref="J501" r:id="rId317" xr:uid="{00000000-0004-0000-0100-00003C010000}"/>
    <hyperlink ref="J502" r:id="rId318" xr:uid="{00000000-0004-0000-0100-00003D010000}"/>
    <hyperlink ref="J503" r:id="rId319" xr:uid="{00000000-0004-0000-0100-00003E010000}"/>
    <hyperlink ref="J504" r:id="rId320" xr:uid="{00000000-0004-0000-0100-00003F010000}"/>
    <hyperlink ref="J507" r:id="rId321" xr:uid="{00000000-0004-0000-0100-000040010000}"/>
    <hyperlink ref="J508" r:id="rId322" xr:uid="{00000000-0004-0000-0100-000041010000}"/>
    <hyperlink ref="J514" r:id="rId323" xr:uid="{00000000-0004-0000-0100-000042010000}"/>
    <hyperlink ref="J517" r:id="rId324" xr:uid="{00000000-0004-0000-0100-000043010000}"/>
    <hyperlink ref="J518" r:id="rId325" xr:uid="{00000000-0004-0000-0100-000044010000}"/>
    <hyperlink ref="J519" r:id="rId326" xr:uid="{00000000-0004-0000-0100-000045010000}"/>
    <hyperlink ref="J520" r:id="rId327" xr:uid="{00000000-0004-0000-0100-000046010000}"/>
    <hyperlink ref="J521" r:id="rId328" xr:uid="{00000000-0004-0000-0100-000047010000}"/>
    <hyperlink ref="J522" r:id="rId329" xr:uid="{00000000-0004-0000-0100-000048010000}"/>
    <hyperlink ref="J524" r:id="rId330" xr:uid="{00000000-0004-0000-0100-000049010000}"/>
    <hyperlink ref="J526" r:id="rId331" xr:uid="{00000000-0004-0000-0100-00004A010000}"/>
    <hyperlink ref="J528" r:id="rId332" xr:uid="{00000000-0004-0000-0100-00004B010000}"/>
    <hyperlink ref="J529" r:id="rId333" xr:uid="{00000000-0004-0000-0100-00004C010000}"/>
    <hyperlink ref="J530" r:id="rId334" xr:uid="{00000000-0004-0000-0100-00004D010000}"/>
    <hyperlink ref="J532" r:id="rId335" xr:uid="{00000000-0004-0000-0100-00004E010000}"/>
    <hyperlink ref="J533" r:id="rId336" xr:uid="{00000000-0004-0000-0100-00004F010000}"/>
    <hyperlink ref="J535" r:id="rId337" xr:uid="{00000000-0004-0000-0100-000050010000}"/>
    <hyperlink ref="J536" r:id="rId338" xr:uid="{00000000-0004-0000-0100-000051010000}"/>
    <hyperlink ref="J537" r:id="rId339" xr:uid="{00000000-0004-0000-0100-000052010000}"/>
    <hyperlink ref="J538" r:id="rId340" xr:uid="{00000000-0004-0000-0100-000053010000}"/>
    <hyperlink ref="J539" r:id="rId341" xr:uid="{00000000-0004-0000-0100-000054010000}"/>
    <hyperlink ref="J540" r:id="rId342" xr:uid="{00000000-0004-0000-0100-000055010000}"/>
    <hyperlink ref="J544" r:id="rId343" xr:uid="{00000000-0004-0000-0100-000056010000}"/>
    <hyperlink ref="J559" r:id="rId344" xr:uid="{00000000-0004-0000-0100-000057010000}"/>
    <hyperlink ref="J560" r:id="rId345" xr:uid="{00000000-0004-0000-0100-000058010000}"/>
    <hyperlink ref="J561" r:id="rId346" xr:uid="{00000000-0004-0000-0100-000059010000}"/>
    <hyperlink ref="J562" r:id="rId347" xr:uid="{00000000-0004-0000-0100-00005A010000}"/>
    <hyperlink ref="J564" r:id="rId348" xr:uid="{00000000-0004-0000-0100-00005B010000}"/>
    <hyperlink ref="J565" r:id="rId349" xr:uid="{00000000-0004-0000-0100-00005C010000}"/>
    <hyperlink ref="J568" r:id="rId350" xr:uid="{00000000-0004-0000-0100-00005D010000}"/>
    <hyperlink ref="J569" r:id="rId351" xr:uid="{00000000-0004-0000-0100-00005E010000}"/>
    <hyperlink ref="J570" r:id="rId352" xr:uid="{00000000-0004-0000-0100-00005F010000}"/>
    <hyperlink ref="J573" r:id="rId353" xr:uid="{00000000-0004-0000-0100-000060010000}"/>
    <hyperlink ref="J575" r:id="rId354" xr:uid="{00000000-0004-0000-0100-000061010000}"/>
    <hyperlink ref="J576" r:id="rId355" xr:uid="{00000000-0004-0000-0100-000062010000}"/>
    <hyperlink ref="J577" r:id="rId356" xr:uid="{00000000-0004-0000-0100-000063010000}"/>
    <hyperlink ref="J578" r:id="rId357" xr:uid="{00000000-0004-0000-0100-000064010000}"/>
    <hyperlink ref="J579" r:id="rId358" xr:uid="{00000000-0004-0000-0100-000065010000}"/>
    <hyperlink ref="J580" r:id="rId359" xr:uid="{00000000-0004-0000-0100-000066010000}"/>
    <hyperlink ref="J581" r:id="rId360" xr:uid="{00000000-0004-0000-0100-000067010000}"/>
    <hyperlink ref="J582" r:id="rId361" xr:uid="{00000000-0004-0000-0100-000068010000}"/>
    <hyperlink ref="J583" r:id="rId362" xr:uid="{00000000-0004-0000-0100-000069010000}"/>
    <hyperlink ref="J584" r:id="rId363" xr:uid="{00000000-0004-0000-0100-00006A010000}"/>
    <hyperlink ref="J585" r:id="rId364" xr:uid="{00000000-0004-0000-0100-00006B010000}"/>
    <hyperlink ref="J586" r:id="rId365" xr:uid="{00000000-0004-0000-0100-00006C010000}"/>
    <hyperlink ref="J587" r:id="rId366" xr:uid="{00000000-0004-0000-0100-00006D010000}"/>
    <hyperlink ref="J589" r:id="rId367" xr:uid="{00000000-0004-0000-0100-00006E010000}"/>
    <hyperlink ref="J590" r:id="rId368" xr:uid="{00000000-0004-0000-0100-00006F010000}"/>
    <hyperlink ref="J591" r:id="rId369" xr:uid="{00000000-0004-0000-0100-000070010000}"/>
    <hyperlink ref="J593" r:id="rId370" xr:uid="{00000000-0004-0000-0100-000071010000}"/>
    <hyperlink ref="J594" r:id="rId371" xr:uid="{00000000-0004-0000-0100-000072010000}"/>
    <hyperlink ref="J595" r:id="rId372" xr:uid="{00000000-0004-0000-0100-000073010000}"/>
    <hyperlink ref="J601" r:id="rId373" xr:uid="{00000000-0004-0000-0100-000074010000}"/>
    <hyperlink ref="J602" r:id="rId374" xr:uid="{00000000-0004-0000-0100-000075010000}"/>
    <hyperlink ref="J603" r:id="rId375" xr:uid="{00000000-0004-0000-0100-000076010000}"/>
    <hyperlink ref="J604" r:id="rId376" xr:uid="{00000000-0004-0000-0100-000077010000}"/>
    <hyperlink ref="J606" r:id="rId377" xr:uid="{00000000-0004-0000-0100-000078010000}"/>
    <hyperlink ref="J608" r:id="rId378" xr:uid="{00000000-0004-0000-0100-000079010000}"/>
    <hyperlink ref="J609" r:id="rId379" xr:uid="{00000000-0004-0000-0100-00007A010000}"/>
    <hyperlink ref="J612" r:id="rId380" xr:uid="{00000000-0004-0000-0100-00007B010000}"/>
    <hyperlink ref="J613" r:id="rId381" xr:uid="{00000000-0004-0000-0100-00007C010000}"/>
    <hyperlink ref="J614" r:id="rId382" xr:uid="{00000000-0004-0000-0100-00007D010000}"/>
    <hyperlink ref="J615" r:id="rId383" xr:uid="{00000000-0004-0000-0100-00007E010000}"/>
    <hyperlink ref="J616" r:id="rId384" xr:uid="{00000000-0004-0000-0100-00007F010000}"/>
    <hyperlink ref="J618" r:id="rId385" xr:uid="{00000000-0004-0000-0100-000080010000}"/>
    <hyperlink ref="J619" r:id="rId386" xr:uid="{00000000-0004-0000-0100-000081010000}"/>
    <hyperlink ref="J620" r:id="rId387" xr:uid="{00000000-0004-0000-0100-000082010000}"/>
    <hyperlink ref="J621" r:id="rId388" xr:uid="{00000000-0004-0000-0100-000083010000}"/>
    <hyperlink ref="J622" r:id="rId389" xr:uid="{00000000-0004-0000-0100-000084010000}"/>
    <hyperlink ref="J624" r:id="rId390" xr:uid="{00000000-0004-0000-0100-000085010000}"/>
    <hyperlink ref="J625" r:id="rId391" xr:uid="{00000000-0004-0000-0100-000086010000}"/>
    <hyperlink ref="J626" r:id="rId392" xr:uid="{00000000-0004-0000-0100-000087010000}"/>
    <hyperlink ref="J627" r:id="rId393" xr:uid="{00000000-0004-0000-0100-000088010000}"/>
    <hyperlink ref="J629" r:id="rId394" xr:uid="{00000000-0004-0000-0100-000089010000}"/>
    <hyperlink ref="J630" r:id="rId395" xr:uid="{00000000-0004-0000-0100-00008A010000}"/>
    <hyperlink ref="J632" r:id="rId396" xr:uid="{00000000-0004-0000-0100-00008B010000}"/>
    <hyperlink ref="J633" r:id="rId397" xr:uid="{00000000-0004-0000-0100-00008C010000}"/>
    <hyperlink ref="J637" r:id="rId398" xr:uid="{00000000-0004-0000-0100-00008D010000}"/>
    <hyperlink ref="J639" r:id="rId399" xr:uid="{00000000-0004-0000-0100-00008E010000}"/>
    <hyperlink ref="J646" r:id="rId400" xr:uid="{00000000-0004-0000-0100-00008F010000}"/>
    <hyperlink ref="J647" r:id="rId401" xr:uid="{00000000-0004-0000-0100-000090010000}"/>
    <hyperlink ref="J648" r:id="rId402" xr:uid="{00000000-0004-0000-0100-000091010000}"/>
    <hyperlink ref="J650" r:id="rId403" xr:uid="{00000000-0004-0000-0100-000092010000}"/>
    <hyperlink ref="J653" r:id="rId404" xr:uid="{00000000-0004-0000-0100-000093010000}"/>
    <hyperlink ref="J654" r:id="rId405" xr:uid="{00000000-0004-0000-0100-000094010000}"/>
    <hyperlink ref="J656" r:id="rId406" xr:uid="{00000000-0004-0000-0100-000095010000}"/>
    <hyperlink ref="J657" r:id="rId407" xr:uid="{00000000-0004-0000-0100-000096010000}"/>
    <hyperlink ref="J659" r:id="rId408" xr:uid="{00000000-0004-0000-0100-000097010000}"/>
    <hyperlink ref="J660" r:id="rId409" xr:uid="{00000000-0004-0000-0100-000098010000}"/>
    <hyperlink ref="J661" r:id="rId410" xr:uid="{00000000-0004-0000-0100-000099010000}"/>
    <hyperlink ref="J662" r:id="rId411" xr:uid="{00000000-0004-0000-0100-00009A010000}"/>
    <hyperlink ref="J663" r:id="rId412" xr:uid="{00000000-0004-0000-0100-00009B010000}"/>
    <hyperlink ref="J666" r:id="rId413" xr:uid="{00000000-0004-0000-0100-00009C010000}"/>
    <hyperlink ref="J667" r:id="rId414" xr:uid="{00000000-0004-0000-0100-00009D010000}"/>
    <hyperlink ref="J668" r:id="rId415" xr:uid="{00000000-0004-0000-0100-00009E010000}"/>
    <hyperlink ref="J669" r:id="rId416" xr:uid="{00000000-0004-0000-0100-00009F010000}"/>
    <hyperlink ref="J670" r:id="rId417" xr:uid="{00000000-0004-0000-0100-0000A0010000}"/>
    <hyperlink ref="J673" r:id="rId418" xr:uid="{00000000-0004-0000-0100-0000A1010000}"/>
    <hyperlink ref="J675" r:id="rId419" xr:uid="{00000000-0004-0000-0100-0000A2010000}"/>
    <hyperlink ref="J676" r:id="rId420" xr:uid="{00000000-0004-0000-0100-0000A3010000}"/>
    <hyperlink ref="J677" r:id="rId421" xr:uid="{00000000-0004-0000-0100-0000A4010000}"/>
    <hyperlink ref="J679" r:id="rId422" xr:uid="{00000000-0004-0000-0100-0000A5010000}"/>
    <hyperlink ref="J680" r:id="rId423" xr:uid="{00000000-0004-0000-0100-0000A6010000}"/>
    <hyperlink ref="J681" r:id="rId424" xr:uid="{00000000-0004-0000-0100-0000A7010000}"/>
    <hyperlink ref="J683" r:id="rId425" xr:uid="{00000000-0004-0000-0100-0000A8010000}"/>
    <hyperlink ref="J684" r:id="rId426" xr:uid="{00000000-0004-0000-0100-0000A9010000}"/>
    <hyperlink ref="J685" r:id="rId427" xr:uid="{00000000-0004-0000-0100-0000AA010000}"/>
    <hyperlink ref="J686" r:id="rId428" xr:uid="{00000000-0004-0000-0100-0000AB010000}"/>
    <hyperlink ref="J687" r:id="rId429" xr:uid="{00000000-0004-0000-0100-0000AC010000}"/>
    <hyperlink ref="J688" r:id="rId430" xr:uid="{00000000-0004-0000-0100-0000AD010000}"/>
    <hyperlink ref="J689" r:id="rId431" xr:uid="{00000000-0004-0000-0100-0000AE010000}"/>
    <hyperlink ref="J690" r:id="rId432" xr:uid="{00000000-0004-0000-0100-0000AF010000}"/>
    <hyperlink ref="J691" r:id="rId433" xr:uid="{00000000-0004-0000-0100-0000B0010000}"/>
    <hyperlink ref="J692" r:id="rId434" xr:uid="{00000000-0004-0000-0100-0000B1010000}"/>
    <hyperlink ref="J693" r:id="rId435" xr:uid="{00000000-0004-0000-0100-0000B2010000}"/>
    <hyperlink ref="J695" r:id="rId436" xr:uid="{00000000-0004-0000-0100-0000B3010000}"/>
    <hyperlink ref="J698" r:id="rId437" xr:uid="{00000000-0004-0000-0100-0000B4010000}"/>
    <hyperlink ref="J700" r:id="rId438" xr:uid="{00000000-0004-0000-0100-0000B5010000}"/>
    <hyperlink ref="J702" r:id="rId439" xr:uid="{00000000-0004-0000-0100-0000B6010000}"/>
    <hyperlink ref="J703" r:id="rId440" xr:uid="{00000000-0004-0000-0100-0000B7010000}"/>
    <hyperlink ref="J704" r:id="rId441" xr:uid="{00000000-0004-0000-0100-0000B8010000}"/>
    <hyperlink ref="J705" r:id="rId442" xr:uid="{00000000-0004-0000-0100-0000B9010000}"/>
    <hyperlink ref="J706" r:id="rId443" xr:uid="{00000000-0004-0000-0100-0000BA010000}"/>
    <hyperlink ref="J707" r:id="rId444" xr:uid="{00000000-0004-0000-0100-0000BB010000}"/>
    <hyperlink ref="J710" r:id="rId445" xr:uid="{00000000-0004-0000-0100-0000BC010000}"/>
    <hyperlink ref="J711" r:id="rId446" xr:uid="{00000000-0004-0000-0100-0000BD010000}"/>
    <hyperlink ref="J712" r:id="rId447" xr:uid="{00000000-0004-0000-0100-0000BE010000}"/>
    <hyperlink ref="J713" r:id="rId448" xr:uid="{00000000-0004-0000-0100-0000BF010000}"/>
    <hyperlink ref="J714" r:id="rId449" xr:uid="{00000000-0004-0000-0100-0000C0010000}"/>
    <hyperlink ref="J715" r:id="rId450" xr:uid="{00000000-0004-0000-0100-0000C1010000}"/>
    <hyperlink ref="J716" r:id="rId451" xr:uid="{00000000-0004-0000-0100-0000C2010000}"/>
    <hyperlink ref="J717" r:id="rId452" xr:uid="{00000000-0004-0000-0100-0000C3010000}"/>
    <hyperlink ref="J719" r:id="rId453" xr:uid="{00000000-0004-0000-0100-0000C4010000}"/>
    <hyperlink ref="J720" r:id="rId454" xr:uid="{00000000-0004-0000-0100-0000C5010000}"/>
    <hyperlink ref="J721" r:id="rId455" xr:uid="{00000000-0004-0000-0100-0000C6010000}"/>
    <hyperlink ref="J722" r:id="rId456" xr:uid="{00000000-0004-0000-0100-0000C7010000}"/>
    <hyperlink ref="J723" r:id="rId457" xr:uid="{00000000-0004-0000-0100-0000C8010000}"/>
    <hyperlink ref="J724" r:id="rId458" xr:uid="{00000000-0004-0000-0100-0000C9010000}"/>
    <hyperlink ref="J725" r:id="rId459" xr:uid="{00000000-0004-0000-0100-0000CA010000}"/>
    <hyperlink ref="J726" r:id="rId460" xr:uid="{00000000-0004-0000-0100-0000CB010000}"/>
    <hyperlink ref="J728" r:id="rId461" xr:uid="{00000000-0004-0000-0100-0000CC010000}"/>
    <hyperlink ref="J730" r:id="rId462" xr:uid="{00000000-0004-0000-0100-0000CD010000}"/>
    <hyperlink ref="J731" r:id="rId463" xr:uid="{00000000-0004-0000-0100-0000CE010000}"/>
    <hyperlink ref="J733" r:id="rId464" xr:uid="{00000000-0004-0000-0100-0000CF010000}"/>
    <hyperlink ref="J734" r:id="rId465" xr:uid="{00000000-0004-0000-0100-0000D0010000}"/>
    <hyperlink ref="J737" r:id="rId466" xr:uid="{00000000-0004-0000-0100-0000D1010000}"/>
    <hyperlink ref="J738" r:id="rId467" xr:uid="{00000000-0004-0000-0100-0000D2010000}"/>
    <hyperlink ref="J742" r:id="rId468" xr:uid="{00000000-0004-0000-0100-0000D3010000}"/>
    <hyperlink ref="J745" r:id="rId469" xr:uid="{00000000-0004-0000-0100-0000D4010000}"/>
    <hyperlink ref="J747" r:id="rId470" xr:uid="{00000000-0004-0000-0100-0000D5010000}"/>
    <hyperlink ref="J748" r:id="rId471" xr:uid="{00000000-0004-0000-0100-0000D6010000}"/>
    <hyperlink ref="J749" r:id="rId472" xr:uid="{00000000-0004-0000-0100-0000D7010000}"/>
    <hyperlink ref="J751" r:id="rId473" xr:uid="{00000000-0004-0000-0100-0000D8010000}"/>
    <hyperlink ref="J752" r:id="rId474" xr:uid="{00000000-0004-0000-0100-0000D9010000}"/>
    <hyperlink ref="J755" r:id="rId475" xr:uid="{00000000-0004-0000-0100-0000DA010000}"/>
    <hyperlink ref="J756" r:id="rId476" xr:uid="{00000000-0004-0000-0100-0000DB010000}"/>
    <hyperlink ref="J758" r:id="rId477" xr:uid="{00000000-0004-0000-0100-0000DC010000}"/>
    <hyperlink ref="J761" r:id="rId478" xr:uid="{00000000-0004-0000-0100-0000DD010000}"/>
    <hyperlink ref="J762" r:id="rId479" xr:uid="{00000000-0004-0000-0100-0000DE010000}"/>
    <hyperlink ref="J763" r:id="rId480" xr:uid="{00000000-0004-0000-0100-0000DF010000}"/>
    <hyperlink ref="J764" r:id="rId481" xr:uid="{00000000-0004-0000-0100-0000E0010000}"/>
    <hyperlink ref="J765" r:id="rId482" xr:uid="{00000000-0004-0000-0100-0000E1010000}"/>
    <hyperlink ref="J768" r:id="rId483" xr:uid="{00000000-0004-0000-0100-0000E2010000}"/>
    <hyperlink ref="J772" r:id="rId484" xr:uid="{00000000-0004-0000-0100-0000E3010000}"/>
    <hyperlink ref="J773" r:id="rId485" xr:uid="{00000000-0004-0000-0100-0000E4010000}"/>
    <hyperlink ref="J774" r:id="rId486" xr:uid="{00000000-0004-0000-0100-0000E5010000}"/>
    <hyperlink ref="J777" r:id="rId487" xr:uid="{00000000-0004-0000-0100-0000E6010000}"/>
    <hyperlink ref="J779" r:id="rId488" xr:uid="{00000000-0004-0000-0100-0000E7010000}"/>
    <hyperlink ref="J780" r:id="rId489" xr:uid="{00000000-0004-0000-0100-0000E8010000}"/>
    <hyperlink ref="J781" r:id="rId490" xr:uid="{00000000-0004-0000-0100-0000E9010000}"/>
    <hyperlink ref="J783" r:id="rId491" xr:uid="{00000000-0004-0000-0100-0000EA010000}"/>
    <hyperlink ref="J784" r:id="rId492" xr:uid="{00000000-0004-0000-0100-0000EB010000}"/>
    <hyperlink ref="J785" r:id="rId493" xr:uid="{00000000-0004-0000-0100-0000EC010000}"/>
    <hyperlink ref="J786" r:id="rId494" xr:uid="{00000000-0004-0000-0100-0000ED010000}"/>
    <hyperlink ref="J788" r:id="rId495" xr:uid="{00000000-0004-0000-0100-0000EE010000}"/>
    <hyperlink ref="J789" r:id="rId496" xr:uid="{00000000-0004-0000-0100-0000EF010000}"/>
    <hyperlink ref="J791" r:id="rId497" xr:uid="{00000000-0004-0000-0100-0000F0010000}"/>
    <hyperlink ref="J795" r:id="rId498" xr:uid="{00000000-0004-0000-0100-0000F1010000}"/>
    <hyperlink ref="J798" r:id="rId499" xr:uid="{00000000-0004-0000-0100-0000F2010000}"/>
    <hyperlink ref="J799" r:id="rId500" xr:uid="{00000000-0004-0000-0100-0000F3010000}"/>
    <hyperlink ref="J800" r:id="rId501" xr:uid="{00000000-0004-0000-0100-0000F4010000}"/>
    <hyperlink ref="J802" r:id="rId502" xr:uid="{00000000-0004-0000-0100-0000F5010000}"/>
    <hyperlink ref="J806" r:id="rId503" xr:uid="{00000000-0004-0000-0100-0000F6010000}"/>
    <hyperlink ref="J807" r:id="rId504" xr:uid="{00000000-0004-0000-0100-0000F7010000}"/>
    <hyperlink ref="J809" r:id="rId505" xr:uid="{00000000-0004-0000-0100-0000F8010000}"/>
    <hyperlink ref="J811" r:id="rId506" xr:uid="{00000000-0004-0000-0100-0000F9010000}"/>
    <hyperlink ref="J813" r:id="rId507" xr:uid="{00000000-0004-0000-0100-0000FA010000}"/>
    <hyperlink ref="J817" r:id="rId508" xr:uid="{00000000-0004-0000-0100-0000FB010000}"/>
    <hyperlink ref="J818" r:id="rId509" xr:uid="{00000000-0004-0000-0100-0000FC010000}"/>
    <hyperlink ref="J820" r:id="rId510" xr:uid="{00000000-0004-0000-0100-0000FD010000}"/>
    <hyperlink ref="J821" r:id="rId511" xr:uid="{00000000-0004-0000-0100-0000FE010000}"/>
    <hyperlink ref="J822" r:id="rId512" xr:uid="{00000000-0004-0000-0100-0000FF010000}"/>
    <hyperlink ref="J823" r:id="rId513" xr:uid="{00000000-0004-0000-0100-000000020000}"/>
    <hyperlink ref="J828" r:id="rId514" xr:uid="{00000000-0004-0000-0100-000001020000}"/>
    <hyperlink ref="J831" r:id="rId515" xr:uid="{00000000-0004-0000-0100-000002020000}"/>
    <hyperlink ref="J832" r:id="rId516" xr:uid="{00000000-0004-0000-0100-000003020000}"/>
    <hyperlink ref="J834" r:id="rId517" xr:uid="{00000000-0004-0000-0100-000004020000}"/>
    <hyperlink ref="J835" r:id="rId518" xr:uid="{00000000-0004-0000-0100-000005020000}"/>
    <hyperlink ref="J836" r:id="rId519" xr:uid="{00000000-0004-0000-0100-000006020000}"/>
    <hyperlink ref="J838" r:id="rId520" xr:uid="{00000000-0004-0000-0100-000007020000}"/>
    <hyperlink ref="J839" r:id="rId521" xr:uid="{00000000-0004-0000-0100-000008020000}"/>
    <hyperlink ref="J840" r:id="rId522" xr:uid="{00000000-0004-0000-0100-000009020000}"/>
    <hyperlink ref="J842" r:id="rId523" xr:uid="{00000000-0004-0000-0100-00000A020000}"/>
    <hyperlink ref="J843" r:id="rId524" xr:uid="{00000000-0004-0000-0100-00000B020000}"/>
    <hyperlink ref="J845" r:id="rId525" xr:uid="{00000000-0004-0000-0100-00000C020000}"/>
    <hyperlink ref="J847" r:id="rId526" xr:uid="{00000000-0004-0000-0100-00000D020000}"/>
    <hyperlink ref="J848" r:id="rId527" xr:uid="{00000000-0004-0000-0100-00000E020000}"/>
    <hyperlink ref="J849" r:id="rId528" xr:uid="{00000000-0004-0000-0100-00000F020000}"/>
    <hyperlink ref="J851" r:id="rId529" xr:uid="{00000000-0004-0000-0100-000010020000}"/>
    <hyperlink ref="J852" r:id="rId530" xr:uid="{00000000-0004-0000-0100-000011020000}"/>
    <hyperlink ref="J853" r:id="rId531" xr:uid="{00000000-0004-0000-0100-000012020000}"/>
    <hyperlink ref="J511" r:id="rId532" xr:uid="{FBF3380D-A20B-4D68-BA97-709E23AA5B3C}"/>
    <hyperlink ref="J420" r:id="rId533" xr:uid="{B811F25A-E29D-4521-9D04-87B23D133D2A}"/>
    <hyperlink ref="J534" r:id="rId534" xr:uid="{257DCEC8-BA24-482E-B2A2-55C2707F36BB}"/>
  </hyperlinks>
  <pageMargins left="0.7" right="0.7" top="0.75" bottom="0.75" header="0.511811023622047" footer="0.511811023622047"/>
  <pageSetup orientation="portrait" horizontalDpi="300" verticalDpi="300"/>
  <tableParts count="1">
    <tablePart r:id="rId53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4"/>
  <sheetViews>
    <sheetView topLeftCell="A1177" zoomScaleNormal="100" workbookViewId="0">
      <selection activeCell="B1223" sqref="B122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row r="1216" spans="1:5" x14ac:dyDescent="0.25">
      <c r="A1216" t="s">
        <v>408</v>
      </c>
      <c r="B1216" t="s">
        <v>1267</v>
      </c>
      <c r="C1216">
        <v>2022</v>
      </c>
      <c r="E1216" s="11" t="s">
        <v>7074</v>
      </c>
    </row>
    <row r="1217" spans="1:5" x14ac:dyDescent="0.25">
      <c r="A1217" t="s">
        <v>1756</v>
      </c>
      <c r="B1217" t="s">
        <v>7075</v>
      </c>
      <c r="C1217">
        <v>2015</v>
      </c>
      <c r="E1217" s="11" t="s">
        <v>7078</v>
      </c>
    </row>
    <row r="1218" spans="1:5" x14ac:dyDescent="0.25">
      <c r="A1218" t="s">
        <v>2149</v>
      </c>
      <c r="B1218" t="s">
        <v>7075</v>
      </c>
      <c r="C1218">
        <v>2020</v>
      </c>
      <c r="E1218" s="11" t="s">
        <v>7078</v>
      </c>
    </row>
    <row r="1219" spans="1:5" x14ac:dyDescent="0.25">
      <c r="A1219" t="s">
        <v>1422</v>
      </c>
      <c r="B1219" t="s">
        <v>7075</v>
      </c>
      <c r="C1219">
        <v>2024</v>
      </c>
      <c r="D1219" t="s">
        <v>102</v>
      </c>
    </row>
    <row r="1220" spans="1:5" x14ac:dyDescent="0.25">
      <c r="A1220" t="s">
        <v>264</v>
      </c>
      <c r="B1220" t="s">
        <v>7080</v>
      </c>
      <c r="C1220">
        <v>2023</v>
      </c>
      <c r="E1220" s="11" t="s">
        <v>7082</v>
      </c>
    </row>
    <row r="1221" spans="1:5" x14ac:dyDescent="0.25">
      <c r="A1221" t="s">
        <v>264</v>
      </c>
      <c r="B1221" t="s">
        <v>7084</v>
      </c>
      <c r="C1221">
        <v>2023</v>
      </c>
      <c r="E1221" s="11" t="s">
        <v>7083</v>
      </c>
    </row>
    <row r="1222" spans="1:5" x14ac:dyDescent="0.25">
      <c r="A1222" t="s">
        <v>1849</v>
      </c>
      <c r="B1222" t="s">
        <v>7084</v>
      </c>
      <c r="C1222">
        <v>2022</v>
      </c>
      <c r="E1222" s="11" t="s">
        <v>7083</v>
      </c>
    </row>
    <row r="1223" spans="1:5" x14ac:dyDescent="0.25">
      <c r="A1223" t="s">
        <v>1752</v>
      </c>
      <c r="B1223" t="s">
        <v>7084</v>
      </c>
      <c r="C1223">
        <v>2024</v>
      </c>
      <c r="E1223" s="11" t="s">
        <v>7083</v>
      </c>
    </row>
    <row r="1224" spans="1:5" x14ac:dyDescent="0.25">
      <c r="E1224" s="1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 ref="E1216" r:id="rId674" xr:uid="{531A3B95-B446-47FF-86BA-C793FAC50097}"/>
    <hyperlink ref="E1218" r:id="rId675" xr:uid="{F545BFB9-ED5A-473C-952D-178217B8F352}"/>
    <hyperlink ref="E1217" r:id="rId676" xr:uid="{E54B2319-E2E4-4BFF-A337-FEF953DAD4EC}"/>
    <hyperlink ref="E1220" r:id="rId677" xr:uid="{78024C9A-9F3B-4ED4-8279-C479EFFFA2C7}"/>
    <hyperlink ref="E1221" r:id="rId678" xr:uid="{5776EDAD-1118-4D82-8D92-BB7F1BC06BCF}"/>
    <hyperlink ref="E1222" r:id="rId679" xr:uid="{008F258F-A402-4723-B511-46F2F009129D}"/>
    <hyperlink ref="E1223" r:id="rId680" xr:uid="{D7C94D16-B3AA-4BC8-A571-06B0F1501AD7}"/>
  </hyperlinks>
  <pageMargins left="0.7" right="0.7" top="0.75" bottom="0.75" header="0.511811023622047" footer="0.511811023622047"/>
  <pageSetup orientation="portrait" horizontalDpi="300" verticalDpi="300"/>
  <tableParts count="1">
    <tablePart r:id="rId6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8"/>
  <sheetViews>
    <sheetView tabSelected="1" workbookViewId="0">
      <selection activeCell="D47" sqref="D47"/>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6.570312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7114</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3417</v>
      </c>
      <c r="B4" t="s">
        <v>3404</v>
      </c>
      <c r="C4" t="s">
        <v>3412</v>
      </c>
      <c r="D4" t="s">
        <v>3418</v>
      </c>
      <c r="E4" t="s">
        <v>3419</v>
      </c>
      <c r="F4" t="s">
        <v>15</v>
      </c>
      <c r="G4" t="s">
        <v>3420</v>
      </c>
      <c r="I4" t="s">
        <v>3417</v>
      </c>
      <c r="J4" t="s">
        <v>3421</v>
      </c>
    </row>
    <row r="5" spans="1:10" x14ac:dyDescent="0.25">
      <c r="A5" t="s">
        <v>3532</v>
      </c>
      <c r="B5" t="s">
        <v>3455</v>
      </c>
      <c r="C5" t="s">
        <v>3442</v>
      </c>
      <c r="D5" t="s">
        <v>3533</v>
      </c>
      <c r="E5" t="s">
        <v>3534</v>
      </c>
      <c r="F5" t="s">
        <v>2511</v>
      </c>
      <c r="G5" t="s">
        <v>3530</v>
      </c>
      <c r="I5" t="s">
        <v>3535</v>
      </c>
      <c r="J5" t="s">
        <v>3336</v>
      </c>
    </row>
    <row r="6" spans="1:10" x14ac:dyDescent="0.25">
      <c r="A6" t="s">
        <v>3422</v>
      </c>
      <c r="B6" t="s">
        <v>3423</v>
      </c>
      <c r="C6" t="s">
        <v>3405</v>
      </c>
      <c r="D6" t="s">
        <v>3424</v>
      </c>
      <c r="E6" t="s">
        <v>3425</v>
      </c>
      <c r="F6" t="s">
        <v>2515</v>
      </c>
      <c r="G6" t="s">
        <v>3426</v>
      </c>
      <c r="I6" t="s">
        <v>3427</v>
      </c>
      <c r="J6" t="s">
        <v>3428</v>
      </c>
    </row>
    <row r="7" spans="1:10" x14ac:dyDescent="0.25">
      <c r="A7" t="s">
        <v>3429</v>
      </c>
      <c r="B7" t="s">
        <v>3404</v>
      </c>
      <c r="C7" t="s">
        <v>3430</v>
      </c>
      <c r="D7" t="s">
        <v>3431</v>
      </c>
      <c r="E7" t="s">
        <v>3432</v>
      </c>
      <c r="F7" t="s">
        <v>2515</v>
      </c>
      <c r="G7" t="s">
        <v>3433</v>
      </c>
      <c r="H7" t="s">
        <v>7115</v>
      </c>
      <c r="I7" t="s">
        <v>3434</v>
      </c>
      <c r="J7" t="s">
        <v>3435</v>
      </c>
    </row>
    <row r="8" spans="1:10" x14ac:dyDescent="0.25">
      <c r="A8" t="s">
        <v>3364</v>
      </c>
      <c r="B8" t="s">
        <v>3436</v>
      </c>
      <c r="C8" t="s">
        <v>3412</v>
      </c>
      <c r="D8" t="s">
        <v>3437</v>
      </c>
      <c r="E8" t="s">
        <v>3438</v>
      </c>
      <c r="F8" t="s">
        <v>15</v>
      </c>
      <c r="I8" t="s">
        <v>3439</v>
      </c>
      <c r="J8" t="s">
        <v>3336</v>
      </c>
    </row>
    <row r="9" spans="1:10" x14ac:dyDescent="0.25">
      <c r="A9" t="s">
        <v>3440</v>
      </c>
      <c r="B9" t="s">
        <v>3441</v>
      </c>
      <c r="C9" t="s">
        <v>3442</v>
      </c>
      <c r="D9" t="s">
        <v>3443</v>
      </c>
      <c r="E9" t="s">
        <v>3444</v>
      </c>
      <c r="F9" t="s">
        <v>15</v>
      </c>
      <c r="I9" t="s">
        <v>3445</v>
      </c>
      <c r="J9" t="s">
        <v>3446</v>
      </c>
    </row>
    <row r="10" spans="1:10" x14ac:dyDescent="0.25">
      <c r="A10" t="s">
        <v>3536</v>
      </c>
      <c r="B10" t="s">
        <v>3423</v>
      </c>
      <c r="C10" t="s">
        <v>3456</v>
      </c>
      <c r="D10" t="s">
        <v>3537</v>
      </c>
      <c r="E10" t="s">
        <v>3538</v>
      </c>
      <c r="F10" t="s">
        <v>2700</v>
      </c>
      <c r="G10" t="s">
        <v>3539</v>
      </c>
      <c r="I10" t="s">
        <v>3536</v>
      </c>
      <c r="J10" t="s">
        <v>3421</v>
      </c>
    </row>
    <row r="11" spans="1:10" x14ac:dyDescent="0.25">
      <c r="A11" t="s">
        <v>3447</v>
      </c>
      <c r="B11" t="s">
        <v>3423</v>
      </c>
      <c r="C11" t="s">
        <v>3412</v>
      </c>
      <c r="D11" t="s">
        <v>3448</v>
      </c>
      <c r="E11" t="s">
        <v>3449</v>
      </c>
      <c r="F11" t="s">
        <v>2700</v>
      </c>
      <c r="G11" t="s">
        <v>3450</v>
      </c>
      <c r="I11" t="s">
        <v>3447</v>
      </c>
      <c r="J11" t="s">
        <v>3451</v>
      </c>
    </row>
    <row r="12" spans="1:10" x14ac:dyDescent="0.25">
      <c r="A12" t="s">
        <v>3369</v>
      </c>
      <c r="B12" t="s">
        <v>3423</v>
      </c>
      <c r="C12" t="s">
        <v>3452</v>
      </c>
      <c r="D12" t="s">
        <v>3357</v>
      </c>
      <c r="E12" t="s">
        <v>3453</v>
      </c>
      <c r="F12" t="s">
        <v>2511</v>
      </c>
      <c r="G12" t="s">
        <v>226</v>
      </c>
      <c r="I12" t="s">
        <v>3369</v>
      </c>
      <c r="J12" t="s">
        <v>3421</v>
      </c>
    </row>
    <row r="13" spans="1:10" x14ac:dyDescent="0.25">
      <c r="A13" t="s">
        <v>3454</v>
      </c>
      <c r="B13" t="s">
        <v>3455</v>
      </c>
      <c r="C13" t="s">
        <v>3456</v>
      </c>
      <c r="D13" t="s">
        <v>3457</v>
      </c>
      <c r="E13" t="s">
        <v>3458</v>
      </c>
      <c r="F13" t="s">
        <v>15</v>
      </c>
      <c r="G13" t="s">
        <v>3459</v>
      </c>
      <c r="I13" t="s">
        <v>3460</v>
      </c>
      <c r="J13" t="s">
        <v>3451</v>
      </c>
    </row>
    <row r="14" spans="1:10" x14ac:dyDescent="0.25">
      <c r="A14" t="s">
        <v>3461</v>
      </c>
      <c r="B14" t="s">
        <v>3411</v>
      </c>
      <c r="C14" t="s">
        <v>3442</v>
      </c>
      <c r="D14" t="s">
        <v>3462</v>
      </c>
      <c r="E14" t="s">
        <v>3463</v>
      </c>
      <c r="F14" t="s">
        <v>2700</v>
      </c>
      <c r="G14" t="s">
        <v>3464</v>
      </c>
      <c r="I14" t="s">
        <v>3465</v>
      </c>
      <c r="J14" t="s">
        <v>3336</v>
      </c>
    </row>
    <row r="15" spans="1:10" x14ac:dyDescent="0.25">
      <c r="A15" t="s">
        <v>3526</v>
      </c>
      <c r="B15" t="s">
        <v>3455</v>
      </c>
      <c r="C15" t="s">
        <v>3527</v>
      </c>
      <c r="D15" t="s">
        <v>3528</v>
      </c>
      <c r="E15" t="s">
        <v>3529</v>
      </c>
      <c r="F15" t="s">
        <v>2511</v>
      </c>
      <c r="G15" t="s">
        <v>3530</v>
      </c>
      <c r="I15" t="s">
        <v>3531</v>
      </c>
      <c r="J15" t="s">
        <v>3451</v>
      </c>
    </row>
    <row r="16" spans="1:10" x14ac:dyDescent="0.25">
      <c r="A16" t="s">
        <v>3466</v>
      </c>
      <c r="B16" t="s">
        <v>3441</v>
      </c>
      <c r="C16" t="s">
        <v>3456</v>
      </c>
      <c r="D16" t="s">
        <v>3467</v>
      </c>
      <c r="E16" t="s">
        <v>3468</v>
      </c>
      <c r="F16" t="s">
        <v>7</v>
      </c>
      <c r="I16" t="s">
        <v>3469</v>
      </c>
      <c r="J16" t="s">
        <v>3446</v>
      </c>
    </row>
    <row r="17" spans="1:10" x14ac:dyDescent="0.25">
      <c r="A17" t="s">
        <v>3470</v>
      </c>
      <c r="B17" t="s">
        <v>3411</v>
      </c>
      <c r="C17" t="s">
        <v>3442</v>
      </c>
      <c r="D17" t="s">
        <v>7127</v>
      </c>
      <c r="E17" t="s">
        <v>3471</v>
      </c>
      <c r="F17" t="s">
        <v>2511</v>
      </c>
      <c r="G17" t="s">
        <v>178</v>
      </c>
      <c r="I17" t="s">
        <v>3470</v>
      </c>
      <c r="J17" t="s">
        <v>3336</v>
      </c>
    </row>
    <row r="18" spans="1:10" x14ac:dyDescent="0.25">
      <c r="A18" t="s">
        <v>3472</v>
      </c>
      <c r="B18" t="s">
        <v>3404</v>
      </c>
      <c r="C18" t="s">
        <v>3442</v>
      </c>
      <c r="D18" t="s">
        <v>7128</v>
      </c>
      <c r="E18" t="s">
        <v>3473</v>
      </c>
      <c r="F18" t="s">
        <v>15</v>
      </c>
      <c r="G18" t="s">
        <v>3474</v>
      </c>
      <c r="I18" t="s">
        <v>3472</v>
      </c>
      <c r="J18" t="s">
        <v>3336</v>
      </c>
    </row>
    <row r="19" spans="1:10" x14ac:dyDescent="0.25">
      <c r="A19" t="s">
        <v>3475</v>
      </c>
      <c r="B19" t="s">
        <v>3423</v>
      </c>
      <c r="C19" t="s">
        <v>3412</v>
      </c>
      <c r="D19" t="s">
        <v>3476</v>
      </c>
      <c r="E19" t="s">
        <v>3477</v>
      </c>
      <c r="F19" t="s">
        <v>15</v>
      </c>
      <c r="G19" t="s">
        <v>3478</v>
      </c>
      <c r="I19" t="s">
        <v>3479</v>
      </c>
      <c r="J19" t="s">
        <v>3336</v>
      </c>
    </row>
    <row r="20" spans="1:10" x14ac:dyDescent="0.25">
      <c r="A20" t="s">
        <v>3480</v>
      </c>
      <c r="B20" t="s">
        <v>3423</v>
      </c>
      <c r="C20" t="s">
        <v>3456</v>
      </c>
      <c r="D20" t="s">
        <v>3481</v>
      </c>
      <c r="E20" t="s">
        <v>3482</v>
      </c>
      <c r="F20" t="s">
        <v>404</v>
      </c>
      <c r="G20" t="s">
        <v>7117</v>
      </c>
      <c r="I20" t="s">
        <v>3483</v>
      </c>
      <c r="J20" t="s">
        <v>3484</v>
      </c>
    </row>
    <row r="21" spans="1:10" x14ac:dyDescent="0.25">
      <c r="A21" t="s">
        <v>3485</v>
      </c>
      <c r="B21" t="s">
        <v>3411</v>
      </c>
      <c r="C21" t="s">
        <v>3486</v>
      </c>
      <c r="D21" t="s">
        <v>3487</v>
      </c>
      <c r="E21" t="s">
        <v>3488</v>
      </c>
      <c r="F21" t="s">
        <v>15</v>
      </c>
      <c r="G21" t="s">
        <v>3489</v>
      </c>
      <c r="I21" t="s">
        <v>3490</v>
      </c>
      <c r="J21" t="s">
        <v>3421</v>
      </c>
    </row>
    <row r="22" spans="1:10" x14ac:dyDescent="0.25">
      <c r="A22" t="s">
        <v>7055</v>
      </c>
      <c r="B22" t="s">
        <v>3441</v>
      </c>
      <c r="C22" t="s">
        <v>3456</v>
      </c>
      <c r="D22" t="s">
        <v>7058</v>
      </c>
      <c r="E22" t="s">
        <v>7061</v>
      </c>
      <c r="F22" t="s">
        <v>15</v>
      </c>
      <c r="I22" t="s">
        <v>4429</v>
      </c>
      <c r="J22" t="s">
        <v>3484</v>
      </c>
    </row>
    <row r="23" spans="1:10" x14ac:dyDescent="0.25">
      <c r="A23" t="s">
        <v>3381</v>
      </c>
      <c r="B23" t="s">
        <v>3423</v>
      </c>
      <c r="C23" t="s">
        <v>3412</v>
      </c>
      <c r="D23" t="s">
        <v>3437</v>
      </c>
      <c r="E23" t="s">
        <v>3438</v>
      </c>
      <c r="F23" t="s">
        <v>2700</v>
      </c>
      <c r="G23" t="s">
        <v>3464</v>
      </c>
      <c r="I23" t="s">
        <v>3381</v>
      </c>
      <c r="J23" t="s">
        <v>3336</v>
      </c>
    </row>
    <row r="24" spans="1:10" x14ac:dyDescent="0.25">
      <c r="A24" t="s">
        <v>3491</v>
      </c>
      <c r="B24" t="s">
        <v>3423</v>
      </c>
      <c r="C24" t="s">
        <v>3492</v>
      </c>
      <c r="D24" t="s">
        <v>3493</v>
      </c>
      <c r="E24" t="s">
        <v>3494</v>
      </c>
      <c r="F24" t="s">
        <v>264</v>
      </c>
      <c r="G24" t="s">
        <v>3420</v>
      </c>
      <c r="I24" t="s">
        <v>3495</v>
      </c>
      <c r="J24" t="s">
        <v>3496</v>
      </c>
    </row>
    <row r="25" spans="1:10" x14ac:dyDescent="0.25">
      <c r="A25" t="s">
        <v>7056</v>
      </c>
      <c r="B25" t="s">
        <v>3441</v>
      </c>
      <c r="C25" t="s">
        <v>3456</v>
      </c>
      <c r="D25" t="s">
        <v>7059</v>
      </c>
      <c r="E25" t="s">
        <v>7062</v>
      </c>
      <c r="F25" t="s">
        <v>15</v>
      </c>
      <c r="I25" t="s">
        <v>7057</v>
      </c>
      <c r="J25" t="s">
        <v>3484</v>
      </c>
    </row>
    <row r="26" spans="1:10" x14ac:dyDescent="0.25">
      <c r="A26" t="s">
        <v>3497</v>
      </c>
      <c r="B26" t="s">
        <v>3441</v>
      </c>
      <c r="C26" t="s">
        <v>3456</v>
      </c>
      <c r="D26" t="s">
        <v>3498</v>
      </c>
      <c r="E26" t="s">
        <v>3499</v>
      </c>
      <c r="F26" t="s">
        <v>15</v>
      </c>
      <c r="I26" t="s">
        <v>3501</v>
      </c>
      <c r="J26" t="s">
        <v>3446</v>
      </c>
    </row>
    <row r="27" spans="1:10" x14ac:dyDescent="0.25">
      <c r="A27" t="s">
        <v>3502</v>
      </c>
      <c r="B27" t="s">
        <v>3423</v>
      </c>
      <c r="C27" t="s">
        <v>3412</v>
      </c>
      <c r="D27" t="s">
        <v>3503</v>
      </c>
      <c r="E27" t="s">
        <v>3504</v>
      </c>
      <c r="F27" t="s">
        <v>408</v>
      </c>
      <c r="G27" t="s">
        <v>3505</v>
      </c>
      <c r="I27" t="s">
        <v>3502</v>
      </c>
      <c r="J27" t="s">
        <v>3421</v>
      </c>
    </row>
    <row r="28" spans="1:10" x14ac:dyDescent="0.25">
      <c r="A28" t="s">
        <v>3506</v>
      </c>
      <c r="B28" t="s">
        <v>3423</v>
      </c>
      <c r="C28" t="s">
        <v>3405</v>
      </c>
      <c r="D28" t="s">
        <v>3507</v>
      </c>
      <c r="E28" t="s">
        <v>3508</v>
      </c>
      <c r="F28" t="s">
        <v>2515</v>
      </c>
      <c r="G28" t="s">
        <v>3509</v>
      </c>
      <c r="I28" t="s">
        <v>3510</v>
      </c>
      <c r="J28" t="s">
        <v>3428</v>
      </c>
    </row>
    <row r="29" spans="1:10" x14ac:dyDescent="0.25">
      <c r="A29" t="s">
        <v>3511</v>
      </c>
      <c r="B29" t="s">
        <v>3423</v>
      </c>
      <c r="C29" t="s">
        <v>3412</v>
      </c>
      <c r="D29" t="s">
        <v>3512</v>
      </c>
      <c r="E29" t="s">
        <v>3513</v>
      </c>
      <c r="F29" t="s">
        <v>464</v>
      </c>
      <c r="G29" t="s">
        <v>3514</v>
      </c>
      <c r="I29" t="s">
        <v>3515</v>
      </c>
      <c r="J29" t="s">
        <v>3451</v>
      </c>
    </row>
    <row r="30" spans="1:10" x14ac:dyDescent="0.25">
      <c r="A30" t="s">
        <v>3516</v>
      </c>
      <c r="B30" t="s">
        <v>3411</v>
      </c>
      <c r="C30" t="s">
        <v>3486</v>
      </c>
      <c r="D30" t="s">
        <v>3517</v>
      </c>
      <c r="E30" t="s">
        <v>3518</v>
      </c>
      <c r="F30" t="s">
        <v>15</v>
      </c>
      <c r="I30" t="s">
        <v>3516</v>
      </c>
      <c r="J30" t="s">
        <v>3421</v>
      </c>
    </row>
    <row r="31" spans="1:10" x14ac:dyDescent="0.25">
      <c r="A31" t="s">
        <v>3519</v>
      </c>
      <c r="B31" t="s">
        <v>3520</v>
      </c>
      <c r="C31" t="s">
        <v>3521</v>
      </c>
      <c r="D31" t="s">
        <v>3522</v>
      </c>
      <c r="E31" t="s">
        <v>3523</v>
      </c>
      <c r="F31" t="s">
        <v>1698</v>
      </c>
      <c r="G31" t="s">
        <v>3524</v>
      </c>
      <c r="I31" t="s">
        <v>3525</v>
      </c>
      <c r="J31" t="s">
        <v>3451</v>
      </c>
    </row>
    <row r="32" spans="1:10" x14ac:dyDescent="0.25">
      <c r="A32" t="s">
        <v>7110</v>
      </c>
      <c r="B32" t="s">
        <v>3423</v>
      </c>
      <c r="C32" t="s">
        <v>3456</v>
      </c>
      <c r="D32" t="s">
        <v>7111</v>
      </c>
      <c r="F32" t="s">
        <v>2515</v>
      </c>
      <c r="G32" t="s">
        <v>7116</v>
      </c>
      <c r="H32" t="s">
        <v>7113</v>
      </c>
      <c r="I32" t="s">
        <v>7112</v>
      </c>
      <c r="J32" t="s">
        <v>3451</v>
      </c>
    </row>
    <row r="33" spans="1:10" x14ac:dyDescent="0.25">
      <c r="A33" t="s">
        <v>7118</v>
      </c>
      <c r="B33" t="s">
        <v>3423</v>
      </c>
      <c r="C33" t="s">
        <v>3456</v>
      </c>
      <c r="D33" t="s">
        <v>7120</v>
      </c>
      <c r="F33" t="s">
        <v>2515</v>
      </c>
      <c r="H33" t="s">
        <v>7113</v>
      </c>
      <c r="I33" t="s">
        <v>7119</v>
      </c>
      <c r="J33" t="s">
        <v>3421</v>
      </c>
    </row>
    <row r="34" spans="1:10" x14ac:dyDescent="0.25">
      <c r="A34" t="s">
        <v>7122</v>
      </c>
      <c r="B34" t="s">
        <v>3423</v>
      </c>
      <c r="C34" t="s">
        <v>3430</v>
      </c>
      <c r="D34" t="s">
        <v>7123</v>
      </c>
      <c r="F34" t="s">
        <v>2511</v>
      </c>
      <c r="G34" t="s">
        <v>7125</v>
      </c>
      <c r="H34" t="s">
        <v>7115</v>
      </c>
      <c r="I34" t="s">
        <v>7124</v>
      </c>
      <c r="J34" t="s">
        <v>3421</v>
      </c>
    </row>
    <row r="35" spans="1:10" x14ac:dyDescent="0.25">
      <c r="A35" t="s">
        <v>7126</v>
      </c>
      <c r="B35" t="s">
        <v>3423</v>
      </c>
      <c r="C35" t="s">
        <v>3442</v>
      </c>
      <c r="D35" t="s">
        <v>7130</v>
      </c>
      <c r="F35" t="s">
        <v>2511</v>
      </c>
      <c r="G35" t="s">
        <v>3500</v>
      </c>
      <c r="H35" t="s">
        <v>7129</v>
      </c>
      <c r="I35" t="s">
        <v>7126</v>
      </c>
      <c r="J35" t="s">
        <v>4408</v>
      </c>
    </row>
    <row r="36" spans="1:10" x14ac:dyDescent="0.25">
      <c r="A36" t="s">
        <v>4189</v>
      </c>
      <c r="B36" t="s">
        <v>3423</v>
      </c>
      <c r="C36" t="s">
        <v>7132</v>
      </c>
      <c r="D36" t="s">
        <v>7133</v>
      </c>
      <c r="F36" t="s">
        <v>2511</v>
      </c>
      <c r="G36" t="s">
        <v>7131</v>
      </c>
      <c r="I36" t="s">
        <v>4192</v>
      </c>
      <c r="J36" t="s">
        <v>3336</v>
      </c>
    </row>
    <row r="37" spans="1:10" x14ac:dyDescent="0.25">
      <c r="A37" t="s">
        <v>7134</v>
      </c>
      <c r="B37" t="s">
        <v>3411</v>
      </c>
      <c r="C37" t="s">
        <v>3452</v>
      </c>
      <c r="D37" t="s">
        <v>7135</v>
      </c>
      <c r="F37" t="s">
        <v>2515</v>
      </c>
      <c r="G37" t="s">
        <v>226</v>
      </c>
      <c r="I37" t="s">
        <v>7134</v>
      </c>
      <c r="J37" t="s">
        <v>3484</v>
      </c>
    </row>
    <row r="38" spans="1:10" x14ac:dyDescent="0.25">
      <c r="A38" t="s">
        <v>4578</v>
      </c>
      <c r="B38" t="s">
        <v>3411</v>
      </c>
      <c r="C38" t="s">
        <v>4525</v>
      </c>
      <c r="D38" t="s">
        <v>7136</v>
      </c>
      <c r="F38" t="s">
        <v>2515</v>
      </c>
      <c r="G38" t="s">
        <v>7137</v>
      </c>
      <c r="I38" t="s">
        <v>4582</v>
      </c>
      <c r="J38"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7087</v>
      </c>
      <c r="B31" t="s">
        <v>40</v>
      </c>
      <c r="C31" t="s">
        <v>3586</v>
      </c>
      <c r="D31" t="s">
        <v>3549</v>
      </c>
      <c r="E31" t="s">
        <v>1552</v>
      </c>
      <c r="F31">
        <v>1</v>
      </c>
      <c r="G31">
        <v>5</v>
      </c>
      <c r="H31" t="s">
        <v>3558</v>
      </c>
      <c r="I31" t="s">
        <v>7088</v>
      </c>
      <c r="J31" t="s">
        <v>17</v>
      </c>
      <c r="K31" t="s">
        <v>7087</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7060</v>
      </c>
      <c r="E2" t="s">
        <v>7063</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E6" sqref="E6"/>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3819</v>
      </c>
      <c r="E1" t="s">
        <v>3820</v>
      </c>
      <c r="F1" t="s">
        <v>3821</v>
      </c>
      <c r="G1" t="s">
        <v>3822</v>
      </c>
      <c r="H1" t="s">
        <v>7049</v>
      </c>
      <c r="I1" t="s">
        <v>7050</v>
      </c>
      <c r="J1" t="s">
        <v>7044</v>
      </c>
      <c r="K1" t="s">
        <v>3823</v>
      </c>
      <c r="L1" t="s">
        <v>5</v>
      </c>
    </row>
    <row r="2" spans="1:12" x14ac:dyDescent="0.25">
      <c r="A2" t="s">
        <v>3824</v>
      </c>
      <c r="B2" t="s">
        <v>3825</v>
      </c>
      <c r="C2" t="s">
        <v>15</v>
      </c>
      <c r="D2" t="s">
        <v>7051</v>
      </c>
      <c r="E2" t="s">
        <v>7064</v>
      </c>
      <c r="F2" t="s">
        <v>3826</v>
      </c>
      <c r="G2" t="s">
        <v>3827</v>
      </c>
      <c r="H2" t="s">
        <v>7046</v>
      </c>
      <c r="I2" t="s">
        <v>102</v>
      </c>
      <c r="J2" t="s">
        <v>7065</v>
      </c>
      <c r="K2" t="s">
        <v>3828</v>
      </c>
      <c r="L2" t="s">
        <v>3824</v>
      </c>
    </row>
    <row r="3" spans="1:12" x14ac:dyDescent="0.25">
      <c r="A3" t="s">
        <v>4718</v>
      </c>
      <c r="B3" t="s">
        <v>3825</v>
      </c>
      <c r="C3" t="s">
        <v>1552</v>
      </c>
      <c r="D3" t="s">
        <v>7052</v>
      </c>
      <c r="E3" t="s">
        <v>7066</v>
      </c>
      <c r="F3" t="s">
        <v>3830</v>
      </c>
      <c r="G3" t="s">
        <v>3831</v>
      </c>
      <c r="H3" t="s">
        <v>7045</v>
      </c>
      <c r="I3" t="s">
        <v>102</v>
      </c>
      <c r="J3" t="s">
        <v>7067</v>
      </c>
      <c r="K3" t="s">
        <v>3828</v>
      </c>
      <c r="L3" t="s">
        <v>4718</v>
      </c>
    </row>
    <row r="4" spans="1:12" x14ac:dyDescent="0.25">
      <c r="A4" t="s">
        <v>3832</v>
      </c>
      <c r="B4" t="s">
        <v>3833</v>
      </c>
      <c r="C4" t="s">
        <v>1552</v>
      </c>
      <c r="D4" t="s">
        <v>3834</v>
      </c>
      <c r="E4" t="s">
        <v>3835</v>
      </c>
      <c r="F4" t="s">
        <v>7054</v>
      </c>
      <c r="G4" t="s">
        <v>7068</v>
      </c>
      <c r="H4" t="s">
        <v>7048</v>
      </c>
      <c r="I4" t="s">
        <v>4593</v>
      </c>
      <c r="J4" t="s">
        <v>7069</v>
      </c>
      <c r="K4" t="s">
        <v>3828</v>
      </c>
      <c r="L4" t="s">
        <v>3832</v>
      </c>
    </row>
    <row r="5" spans="1:12" x14ac:dyDescent="0.25">
      <c r="A5" t="s">
        <v>3829</v>
      </c>
      <c r="B5" t="s">
        <v>3825</v>
      </c>
      <c r="C5" t="s">
        <v>15</v>
      </c>
      <c r="D5" t="s">
        <v>7053</v>
      </c>
      <c r="E5" t="s">
        <v>7070</v>
      </c>
      <c r="F5" t="s">
        <v>7047</v>
      </c>
      <c r="G5" t="s">
        <v>7071</v>
      </c>
      <c r="H5" t="s">
        <v>7072</v>
      </c>
      <c r="I5" t="s">
        <v>102</v>
      </c>
      <c r="J5" t="s">
        <v>7073</v>
      </c>
      <c r="K5" t="s">
        <v>3828</v>
      </c>
      <c r="L5" t="s">
        <v>3829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3836</v>
      </c>
      <c r="D1" t="s">
        <v>3837</v>
      </c>
      <c r="E1" t="s">
        <v>3838</v>
      </c>
      <c r="F1" t="s">
        <v>3839</v>
      </c>
      <c r="G1" t="s">
        <v>3840</v>
      </c>
      <c r="H1" t="s">
        <v>5</v>
      </c>
      <c r="I1" t="s">
        <v>3841</v>
      </c>
      <c r="J1" t="s">
        <v>3842</v>
      </c>
      <c r="K1" t="s">
        <v>3843</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3870</v>
      </c>
      <c r="B2" t="s">
        <v>7</v>
      </c>
      <c r="C2" t="s">
        <v>50</v>
      </c>
      <c r="F2" t="s">
        <v>3871</v>
      </c>
      <c r="G2" t="s">
        <v>3411</v>
      </c>
      <c r="H2" t="s">
        <v>3872</v>
      </c>
      <c r="I2" t="s">
        <v>3873</v>
      </c>
      <c r="N2" t="s">
        <v>3874</v>
      </c>
      <c r="O2" t="s">
        <v>3875</v>
      </c>
      <c r="P2" t="s">
        <v>3876</v>
      </c>
      <c r="Q2" t="s">
        <v>3877</v>
      </c>
      <c r="R2" t="s">
        <v>3878</v>
      </c>
      <c r="S2" t="s">
        <v>3879</v>
      </c>
      <c r="T2" t="s">
        <v>3880</v>
      </c>
      <c r="U2" t="s">
        <v>3881</v>
      </c>
      <c r="V2" t="s">
        <v>3882</v>
      </c>
      <c r="X2" t="s">
        <v>3883</v>
      </c>
      <c r="Y2" t="s">
        <v>3884</v>
      </c>
      <c r="Z2" t="s">
        <v>3885</v>
      </c>
      <c r="AB2" t="s">
        <v>3886</v>
      </c>
      <c r="AC2" t="s">
        <v>3887</v>
      </c>
    </row>
    <row r="3" spans="1:37" x14ac:dyDescent="0.25">
      <c r="A3" t="s">
        <v>3888</v>
      </c>
      <c r="B3" t="s">
        <v>7</v>
      </c>
      <c r="C3" t="s">
        <v>50</v>
      </c>
      <c r="F3" t="s">
        <v>3871</v>
      </c>
      <c r="G3" t="s">
        <v>3411</v>
      </c>
      <c r="H3" t="s">
        <v>3889</v>
      </c>
      <c r="I3" t="s">
        <v>3890</v>
      </c>
      <c r="J3" t="s">
        <v>3891</v>
      </c>
      <c r="K3" t="s">
        <v>3892</v>
      </c>
      <c r="N3" t="s">
        <v>3893</v>
      </c>
      <c r="Q3" t="s">
        <v>3894</v>
      </c>
      <c r="R3" t="s">
        <v>3895</v>
      </c>
      <c r="U3" t="s">
        <v>3896</v>
      </c>
      <c r="V3" t="s">
        <v>3897</v>
      </c>
      <c r="Y3" t="s">
        <v>3898</v>
      </c>
    </row>
    <row r="4" spans="1:37" x14ac:dyDescent="0.25">
      <c r="A4" t="s">
        <v>3899</v>
      </c>
      <c r="B4" t="s">
        <v>7</v>
      </c>
      <c r="C4" t="s">
        <v>50</v>
      </c>
      <c r="E4" t="s">
        <v>3900</v>
      </c>
      <c r="F4" t="s">
        <v>3871</v>
      </c>
      <c r="G4" t="s">
        <v>3411</v>
      </c>
      <c r="H4" t="s">
        <v>3901</v>
      </c>
      <c r="I4" t="s">
        <v>3902</v>
      </c>
      <c r="N4" t="s">
        <v>3903</v>
      </c>
      <c r="P4" t="s">
        <v>3904</v>
      </c>
      <c r="Q4" t="s">
        <v>3905</v>
      </c>
      <c r="R4" t="s">
        <v>3906</v>
      </c>
      <c r="T4" t="s">
        <v>3907</v>
      </c>
      <c r="U4" t="s">
        <v>3908</v>
      </c>
    </row>
    <row r="5" spans="1:37" x14ac:dyDescent="0.25">
      <c r="A5" t="s">
        <v>3909</v>
      </c>
      <c r="B5" t="s">
        <v>7</v>
      </c>
      <c r="C5" t="s">
        <v>50</v>
      </c>
      <c r="E5" t="s">
        <v>3910</v>
      </c>
      <c r="F5" t="s">
        <v>3871</v>
      </c>
      <c r="G5" t="s">
        <v>3411</v>
      </c>
      <c r="H5" t="s">
        <v>3911</v>
      </c>
      <c r="I5" t="s">
        <v>3912</v>
      </c>
      <c r="N5" t="s">
        <v>3913</v>
      </c>
      <c r="P5" t="s">
        <v>3914</v>
      </c>
      <c r="Q5" t="s">
        <v>3915</v>
      </c>
      <c r="R5" t="s">
        <v>3916</v>
      </c>
      <c r="T5" t="s">
        <v>3917</v>
      </c>
      <c r="U5" t="s">
        <v>3918</v>
      </c>
    </row>
    <row r="6" spans="1:37" x14ac:dyDescent="0.25">
      <c r="A6" t="s">
        <v>3919</v>
      </c>
      <c r="B6" t="s">
        <v>15</v>
      </c>
      <c r="C6" t="s">
        <v>50</v>
      </c>
      <c r="F6" t="s">
        <v>3871</v>
      </c>
      <c r="G6" t="s">
        <v>3411</v>
      </c>
      <c r="H6" t="s">
        <v>3920</v>
      </c>
      <c r="I6" t="s">
        <v>3921</v>
      </c>
      <c r="L6" t="s">
        <v>3922</v>
      </c>
      <c r="M6" t="s">
        <v>3923</v>
      </c>
      <c r="N6" t="s">
        <v>3924</v>
      </c>
      <c r="O6" t="s">
        <v>3875</v>
      </c>
      <c r="Q6" t="s">
        <v>3925</v>
      </c>
      <c r="R6" t="s">
        <v>3926</v>
      </c>
      <c r="S6" t="s">
        <v>3879</v>
      </c>
      <c r="U6" t="s">
        <v>3927</v>
      </c>
      <c r="V6" t="s">
        <v>3928</v>
      </c>
      <c r="X6" t="s">
        <v>3929</v>
      </c>
      <c r="Y6" t="s">
        <v>3930</v>
      </c>
    </row>
    <row r="7" spans="1:37" x14ac:dyDescent="0.25">
      <c r="A7" t="s">
        <v>3931</v>
      </c>
      <c r="B7" t="s">
        <v>7</v>
      </c>
      <c r="C7" t="s">
        <v>50</v>
      </c>
      <c r="F7" t="s">
        <v>3871</v>
      </c>
      <c r="G7" t="s">
        <v>3411</v>
      </c>
      <c r="H7" t="s">
        <v>3932</v>
      </c>
      <c r="I7" t="s">
        <v>3933</v>
      </c>
      <c r="N7" t="s">
        <v>3934</v>
      </c>
      <c r="P7" t="s">
        <v>3935</v>
      </c>
      <c r="Q7" t="s">
        <v>3936</v>
      </c>
      <c r="R7" t="s">
        <v>3937</v>
      </c>
      <c r="T7" t="s">
        <v>3938</v>
      </c>
      <c r="U7" t="s">
        <v>3939</v>
      </c>
    </row>
    <row r="8" spans="1:37" x14ac:dyDescent="0.25">
      <c r="A8" t="s">
        <v>3940</v>
      </c>
      <c r="B8" t="s">
        <v>7</v>
      </c>
      <c r="C8" t="s">
        <v>50</v>
      </c>
      <c r="E8" t="s">
        <v>3941</v>
      </c>
      <c r="F8" t="s">
        <v>3871</v>
      </c>
      <c r="G8" t="s">
        <v>3411</v>
      </c>
      <c r="H8" t="s">
        <v>3942</v>
      </c>
      <c r="I8" t="s">
        <v>3943</v>
      </c>
      <c r="N8" t="s">
        <v>3944</v>
      </c>
      <c r="P8" t="s">
        <v>3945</v>
      </c>
      <c r="Q8" t="s">
        <v>3946</v>
      </c>
      <c r="R8" t="s">
        <v>3947</v>
      </c>
      <c r="T8" t="s">
        <v>3948</v>
      </c>
      <c r="U8" t="s">
        <v>3949</v>
      </c>
    </row>
    <row r="9" spans="1:37" x14ac:dyDescent="0.25">
      <c r="A9" t="s">
        <v>3950</v>
      </c>
      <c r="B9" t="s">
        <v>7</v>
      </c>
      <c r="C9" t="s">
        <v>50</v>
      </c>
      <c r="E9" t="s">
        <v>3951</v>
      </c>
      <c r="F9" t="s">
        <v>3871</v>
      </c>
      <c r="G9" t="s">
        <v>3411</v>
      </c>
      <c r="H9" t="s">
        <v>3952</v>
      </c>
      <c r="I9" t="s">
        <v>3953</v>
      </c>
      <c r="N9" t="s">
        <v>3954</v>
      </c>
      <c r="P9" t="s">
        <v>3955</v>
      </c>
      <c r="Q9" t="s">
        <v>3956</v>
      </c>
      <c r="R9" t="s">
        <v>3957</v>
      </c>
      <c r="T9" t="s">
        <v>3958</v>
      </c>
      <c r="U9" t="s">
        <v>3959</v>
      </c>
    </row>
    <row r="10" spans="1:37" x14ac:dyDescent="0.25">
      <c r="A10" t="s">
        <v>3454</v>
      </c>
      <c r="B10" t="s">
        <v>15</v>
      </c>
      <c r="C10" t="s">
        <v>50</v>
      </c>
      <c r="F10" t="s">
        <v>3871</v>
      </c>
      <c r="G10" t="s">
        <v>3411</v>
      </c>
      <c r="H10" t="s">
        <v>3460</v>
      </c>
      <c r="I10" t="s">
        <v>7037</v>
      </c>
      <c r="N10" t="s">
        <v>3960</v>
      </c>
      <c r="O10" t="s">
        <v>3875</v>
      </c>
      <c r="P10" t="s">
        <v>7038</v>
      </c>
      <c r="Q10" t="s">
        <v>3961</v>
      </c>
      <c r="R10" t="s">
        <v>3928</v>
      </c>
      <c r="T10" t="s">
        <v>7042</v>
      </c>
      <c r="U10" t="s">
        <v>3962</v>
      </c>
      <c r="V10" t="s">
        <v>3963</v>
      </c>
      <c r="X10" t="s">
        <v>7039</v>
      </c>
      <c r="Y10" t="s">
        <v>3964</v>
      </c>
      <c r="Z10" t="s">
        <v>3965</v>
      </c>
      <c r="AB10" t="s">
        <v>7040</v>
      </c>
      <c r="AC10" t="s">
        <v>3966</v>
      </c>
      <c r="AD10" t="s">
        <v>3967</v>
      </c>
      <c r="AF10" t="s">
        <v>7041</v>
      </c>
      <c r="AG10" t="s">
        <v>3968</v>
      </c>
    </row>
    <row r="11" spans="1:37" x14ac:dyDescent="0.25">
      <c r="A11" t="s">
        <v>3969</v>
      </c>
      <c r="B11" t="s">
        <v>7</v>
      </c>
      <c r="C11" t="s">
        <v>50</v>
      </c>
      <c r="E11" t="s">
        <v>3970</v>
      </c>
      <c r="F11" t="s">
        <v>3871</v>
      </c>
      <c r="G11" t="s">
        <v>3411</v>
      </c>
      <c r="H11" t="s">
        <v>3971</v>
      </c>
      <c r="I11" t="s">
        <v>3972</v>
      </c>
      <c r="N11" t="s">
        <v>3973</v>
      </c>
      <c r="P11" t="s">
        <v>3974</v>
      </c>
      <c r="Q11" t="s">
        <v>3975</v>
      </c>
      <c r="R11" t="s">
        <v>3976</v>
      </c>
      <c r="T11" t="s">
        <v>3974</v>
      </c>
      <c r="U11" t="s">
        <v>3977</v>
      </c>
      <c r="V11" t="s">
        <v>3978</v>
      </c>
      <c r="X11" t="s">
        <v>3974</v>
      </c>
      <c r="Y11" t="s">
        <v>3979</v>
      </c>
    </row>
    <row r="12" spans="1:37" x14ac:dyDescent="0.25">
      <c r="A12" t="s">
        <v>3980</v>
      </c>
      <c r="B12" t="s">
        <v>2511</v>
      </c>
      <c r="C12" t="s">
        <v>50</v>
      </c>
      <c r="E12" t="s">
        <v>3981</v>
      </c>
      <c r="F12" t="s">
        <v>3871</v>
      </c>
      <c r="G12" t="s">
        <v>3411</v>
      </c>
      <c r="H12" t="s">
        <v>3982</v>
      </c>
      <c r="N12" t="s">
        <v>3983</v>
      </c>
      <c r="O12" t="s">
        <v>3875</v>
      </c>
      <c r="Q12" t="s">
        <v>3984</v>
      </c>
      <c r="R12" t="s">
        <v>3928</v>
      </c>
      <c r="U12" t="s">
        <v>3930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3840</v>
      </c>
      <c r="F1" t="s">
        <v>3986</v>
      </c>
      <c r="G1" t="s">
        <v>3996</v>
      </c>
      <c r="H1" t="s">
        <v>3837</v>
      </c>
      <c r="I1" t="s">
        <v>3838</v>
      </c>
      <c r="J1" t="s">
        <v>3839</v>
      </c>
      <c r="K1" t="s">
        <v>3841</v>
      </c>
      <c r="L1" t="s">
        <v>3844</v>
      </c>
      <c r="M1" t="s">
        <v>3845</v>
      </c>
      <c r="N1" t="s">
        <v>3846</v>
      </c>
      <c r="O1" t="s">
        <v>3847</v>
      </c>
      <c r="P1" t="s">
        <v>3848</v>
      </c>
      <c r="Q1" t="s">
        <v>3849</v>
      </c>
      <c r="R1" t="s">
        <v>3850</v>
      </c>
      <c r="S1" t="s">
        <v>3851</v>
      </c>
      <c r="T1" t="s">
        <v>3852</v>
      </c>
      <c r="U1" t="s">
        <v>3853</v>
      </c>
      <c r="V1" t="s">
        <v>3854</v>
      </c>
      <c r="W1" t="s">
        <v>3855</v>
      </c>
      <c r="X1" t="s">
        <v>3856</v>
      </c>
      <c r="Y1" t="s">
        <v>3857</v>
      </c>
      <c r="Z1" t="s">
        <v>3858</v>
      </c>
      <c r="AA1" t="s">
        <v>3859</v>
      </c>
      <c r="AB1" t="s">
        <v>3860</v>
      </c>
      <c r="AC1" t="s">
        <v>3861</v>
      </c>
      <c r="AD1" t="s">
        <v>3862</v>
      </c>
      <c r="AE1" t="s">
        <v>3863</v>
      </c>
      <c r="AF1" t="s">
        <v>3864</v>
      </c>
      <c r="AG1" t="s">
        <v>3865</v>
      </c>
      <c r="AH1" t="s">
        <v>3866</v>
      </c>
      <c r="AI1" t="s">
        <v>3867</v>
      </c>
      <c r="AJ1" t="s">
        <v>3868</v>
      </c>
      <c r="AK1" t="s">
        <v>3869</v>
      </c>
    </row>
    <row r="2" spans="1:37" x14ac:dyDescent="0.25">
      <c r="A2" t="s">
        <v>3997</v>
      </c>
      <c r="B2" t="s">
        <v>2511</v>
      </c>
      <c r="C2" t="s">
        <v>3998</v>
      </c>
      <c r="D2" t="s">
        <v>3999</v>
      </c>
      <c r="E2" t="s">
        <v>3411</v>
      </c>
      <c r="L2" t="s">
        <v>4000</v>
      </c>
      <c r="N2" t="s">
        <v>4001</v>
      </c>
      <c r="O2" t="s">
        <v>3879</v>
      </c>
      <c r="Q2" t="s">
        <v>4002</v>
      </c>
      <c r="R2" t="s">
        <v>3428</v>
      </c>
      <c r="U2" t="s">
        <v>4003</v>
      </c>
    </row>
    <row r="3" spans="1:37" x14ac:dyDescent="0.25">
      <c r="A3" t="s">
        <v>4004</v>
      </c>
      <c r="B3" t="s">
        <v>2515</v>
      </c>
      <c r="C3" t="s">
        <v>3998</v>
      </c>
      <c r="D3" t="s">
        <v>4005</v>
      </c>
      <c r="E3" t="s">
        <v>3411</v>
      </c>
      <c r="G3" t="s">
        <v>102</v>
      </c>
      <c r="N3" t="s">
        <v>4006</v>
      </c>
      <c r="O3" t="s">
        <v>3879</v>
      </c>
      <c r="Q3" t="s">
        <v>4007</v>
      </c>
      <c r="R3" t="s">
        <v>3428</v>
      </c>
      <c r="U3" t="s">
        <v>4008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3985</v>
      </c>
      <c r="G1" t="s">
        <v>3986</v>
      </c>
      <c r="H1" t="s">
        <v>3987</v>
      </c>
      <c r="I1" t="s">
        <v>3988</v>
      </c>
    </row>
    <row r="2" spans="1:9" x14ac:dyDescent="0.25">
      <c r="A2" t="s">
        <v>3989</v>
      </c>
      <c r="B2" t="s">
        <v>2515</v>
      </c>
      <c r="C2" t="s">
        <v>3548</v>
      </c>
      <c r="D2" t="s">
        <v>3558</v>
      </c>
      <c r="E2" t="s">
        <v>3990</v>
      </c>
      <c r="F2" t="s">
        <v>3362</v>
      </c>
      <c r="G2" t="s">
        <v>3991</v>
      </c>
      <c r="H2" t="s">
        <v>3992</v>
      </c>
      <c r="I2" t="s">
        <v>3561</v>
      </c>
    </row>
    <row r="3" spans="1:9" x14ac:dyDescent="0.25">
      <c r="A3" t="s">
        <v>3993</v>
      </c>
      <c r="B3" t="s">
        <v>2515</v>
      </c>
      <c r="C3" t="s">
        <v>3548</v>
      </c>
      <c r="D3" t="s">
        <v>3550</v>
      </c>
      <c r="E3" t="s">
        <v>3994</v>
      </c>
      <c r="F3" t="s">
        <v>3362</v>
      </c>
      <c r="G3" t="s">
        <v>3991</v>
      </c>
      <c r="I3" t="s">
        <v>3995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3836</v>
      </c>
      <c r="D1" t="s">
        <v>3840</v>
      </c>
      <c r="E1" t="s">
        <v>7121</v>
      </c>
      <c r="F1" t="s">
        <v>3399</v>
      </c>
      <c r="G1" t="s">
        <v>7090</v>
      </c>
      <c r="H1" t="s">
        <v>5</v>
      </c>
    </row>
    <row r="2" spans="1:8" x14ac:dyDescent="0.25">
      <c r="B2" t="s">
        <v>7089</v>
      </c>
      <c r="C2" t="s">
        <v>3548</v>
      </c>
      <c r="D2" t="s">
        <v>3411</v>
      </c>
      <c r="E2" t="s">
        <v>7093</v>
      </c>
      <c r="F2" t="s">
        <v>17</v>
      </c>
      <c r="G2" t="s">
        <v>7096</v>
      </c>
    </row>
    <row r="3" spans="1:8" x14ac:dyDescent="0.25">
      <c r="B3" t="s">
        <v>7089</v>
      </c>
      <c r="C3" t="s">
        <v>3586</v>
      </c>
      <c r="D3" t="s">
        <v>3411</v>
      </c>
      <c r="E3" t="s">
        <v>7094</v>
      </c>
      <c r="G3" t="s">
        <v>7098</v>
      </c>
    </row>
    <row r="4" spans="1:8" x14ac:dyDescent="0.25">
      <c r="B4" t="s">
        <v>7089</v>
      </c>
      <c r="C4" t="s">
        <v>3601</v>
      </c>
      <c r="D4" t="s">
        <v>3411</v>
      </c>
      <c r="E4" t="s">
        <v>7095</v>
      </c>
      <c r="G4" t="s">
        <v>7097</v>
      </c>
    </row>
    <row r="5" spans="1:8" x14ac:dyDescent="0.25">
      <c r="B5" t="s">
        <v>7091</v>
      </c>
      <c r="C5" t="s">
        <v>3548</v>
      </c>
      <c r="D5" t="s">
        <v>3411</v>
      </c>
      <c r="E5" t="s">
        <v>7099</v>
      </c>
      <c r="F5" t="s">
        <v>17</v>
      </c>
      <c r="G5" t="s">
        <v>7102</v>
      </c>
    </row>
    <row r="6" spans="1:8" x14ac:dyDescent="0.25">
      <c r="B6" t="s">
        <v>7091</v>
      </c>
      <c r="C6" t="s">
        <v>3586</v>
      </c>
      <c r="D6" t="s">
        <v>3411</v>
      </c>
      <c r="E6" t="s">
        <v>7100</v>
      </c>
      <c r="G6" t="s">
        <v>7103</v>
      </c>
    </row>
    <row r="7" spans="1:8" x14ac:dyDescent="0.25">
      <c r="B7" t="s">
        <v>7091</v>
      </c>
      <c r="C7" t="s">
        <v>3601</v>
      </c>
      <c r="D7" t="s">
        <v>3411</v>
      </c>
      <c r="E7" t="s">
        <v>7101</v>
      </c>
      <c r="G7" t="s">
        <v>7104</v>
      </c>
    </row>
    <row r="8" spans="1:8" x14ac:dyDescent="0.25">
      <c r="B8" t="s">
        <v>7092</v>
      </c>
      <c r="C8" t="s">
        <v>3548</v>
      </c>
      <c r="D8" t="s">
        <v>3411</v>
      </c>
      <c r="E8" t="s">
        <v>7105</v>
      </c>
      <c r="F8" t="s">
        <v>17</v>
      </c>
    </row>
    <row r="9" spans="1:8" x14ac:dyDescent="0.25">
      <c r="B9" t="s">
        <v>7092</v>
      </c>
      <c r="C9" t="s">
        <v>3586</v>
      </c>
      <c r="D9" t="s">
        <v>3411</v>
      </c>
      <c r="E9" t="s">
        <v>7106</v>
      </c>
    </row>
    <row r="10" spans="1:8" x14ac:dyDescent="0.25">
      <c r="B10" t="s">
        <v>7092</v>
      </c>
      <c r="C10" t="s">
        <v>3601</v>
      </c>
      <c r="D10" t="s">
        <v>3411</v>
      </c>
      <c r="E10" t="s">
        <v>7107</v>
      </c>
    </row>
    <row r="11" spans="1:8" x14ac:dyDescent="0.25">
      <c r="B11" t="s">
        <v>7092</v>
      </c>
      <c r="C11" t="s">
        <v>3728</v>
      </c>
      <c r="D11" t="s">
        <v>3411</v>
      </c>
      <c r="E11" t="s">
        <v>7108</v>
      </c>
      <c r="G11" t="s">
        <v>7109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852</v>
      </c>
      <c r="C5" s="19" t="s">
        <v>34</v>
      </c>
      <c r="E5" t="s">
        <v>35</v>
      </c>
      <c r="F5">
        <f>COUNTIF('Map Calc'!$D$2:$D$950,0)</f>
        <v>81</v>
      </c>
      <c r="G5">
        <f>COUNTIFS('Map Calc'!$D$2:$D$950,0,'Map Calc'!$P$2:$P$950,"Yes")</f>
        <v>47</v>
      </c>
      <c r="I5" t="s">
        <v>36</v>
      </c>
      <c r="J5">
        <f>COUNTIF(games!$C$2:$C$950,$I5)</f>
        <v>365</v>
      </c>
      <c r="K5">
        <f>COUNTIFS(games!$C$2:$C$950,$I5,games!$H$2:$H$950,"Yes")</f>
        <v>233</v>
      </c>
      <c r="L5" s="20">
        <f>IF($J5=0,0,$K5/$J5)</f>
        <v>0.63835616438356169</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335</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0.60563380281690138</v>
      </c>
      <c r="C7" s="19" t="s">
        <v>42</v>
      </c>
      <c r="E7" t="s">
        <v>43</v>
      </c>
      <c r="F7">
        <f>COUNTIF('Map Calc'!$D$2:$D$950,2)</f>
        <v>204</v>
      </c>
      <c r="G7">
        <f>COUNTIFS('Map Calc'!$D$2:$D$950,2,'Map Calc'!$P$2:$P$950,"Yes")</f>
        <v>118</v>
      </c>
      <c r="I7" t="s">
        <v>44</v>
      </c>
      <c r="J7">
        <f>COUNTIF(games!$C$2:$C$950,$I7)</f>
        <v>175</v>
      </c>
      <c r="K7">
        <f>COUNTIFS(games!$C$2:$C$950,$I7,games!$H$2:$H$950,"Yes")</f>
        <v>91</v>
      </c>
      <c r="L7" s="20">
        <f>IF($J7=0,0,$K7/$J7)</f>
        <v>0.52</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1222</v>
      </c>
      <c r="C8" s="19" t="s">
        <v>45</v>
      </c>
      <c r="E8" t="s">
        <v>10</v>
      </c>
      <c r="F8">
        <f>COUNTIF('Map Calc'!$D$2:$D$950,3)</f>
        <v>104</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49</v>
      </c>
      <c r="R8">
        <v>4</v>
      </c>
      <c r="S8" t="str">
        <f>IFERROR(INDEX('Map Calc'!$A$2:$A$950,MATCH(LARGE('Map Calc'!$Q$2:$Q$950,4),'Map Calc'!$Q$2:$Q$950,0)),"")</f>
        <v>Balatro</v>
      </c>
      <c r="T8">
        <f>IFERROR(INDEX('Map Calc'!$D$2:$D$950,MATCH(LARGE('Map Calc'!$Q$2:$Q$950,4),'Map Calc'!$Q$2:$Q$950,0)),"")</f>
        <v>49</v>
      </c>
      <c r="V8">
        <v>1981</v>
      </c>
      <c r="W8">
        <f>COUNTIF(games!$B$2:$B$950,$V8)</f>
        <v>0</v>
      </c>
      <c r="X8">
        <f>COUNTIFS(games!$B$2:$B$950,$V8,games!$H$2:$H$950,"Yes")</f>
        <v>0</v>
      </c>
      <c r="Y8">
        <f>COUNTIF('Map Calc'!$T$2:$T$1400,$V8)</f>
        <v>0</v>
      </c>
      <c r="AA8">
        <v>3</v>
      </c>
      <c r="AB8">
        <f>COUNTIF('Map Calc'!$V$2:$V$1400,$AA8)</f>
        <v>147</v>
      </c>
    </row>
    <row r="9" spans="1:28" x14ac:dyDescent="0.25">
      <c r="A9" s="17" t="s">
        <v>47</v>
      </c>
      <c r="B9" s="22">
        <f>IF(B5=0,0,2*B8/B5)</f>
        <v>2.868544600938967</v>
      </c>
      <c r="C9" s="19" t="s">
        <v>48</v>
      </c>
      <c r="E9" t="s">
        <v>49</v>
      </c>
      <c r="F9">
        <f>COUNTIF('Map Calc'!$D$2:$D$950,4)</f>
        <v>44</v>
      </c>
      <c r="G9">
        <f>COUNTIFS('Map Calc'!$D$2:$D$950,4,'Map Calc'!$P$2:$P$950,"Yes")</f>
        <v>25</v>
      </c>
      <c r="I9" s="23" t="s">
        <v>50</v>
      </c>
      <c r="J9" s="23">
        <f>SUM(J5:J8)</f>
        <v>852</v>
      </c>
      <c r="K9" s="23">
        <f>SUM(K5:K8)</f>
        <v>516</v>
      </c>
      <c r="L9" s="24">
        <f>IF($J9=0,0,$K9/$J9)</f>
        <v>0.60563380281690138</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135</v>
      </c>
    </row>
    <row r="10" spans="1:28" x14ac:dyDescent="0.25">
      <c r="A10" s="17" t="s">
        <v>51</v>
      </c>
      <c r="B10" s="22">
        <f>IFERROR(SUMIFS('Map Calc'!$D$2:$D$950,games!$H$2:$H$950,"Yes")/B6,0)</f>
        <v>3.5697674418604652</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1081</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53</v>
      </c>
    </row>
    <row r="50" spans="22:25" x14ac:dyDescent="0.25">
      <c r="V50">
        <v>2023</v>
      </c>
      <c r="W50">
        <f>COUNTIF(games!$B$2:$B$950,$V50)</f>
        <v>96</v>
      </c>
      <c r="X50">
        <f>COUNTIFS(games!$B$2:$B$950,$V50,games!$H$2:$H$950,"Yes")</f>
        <v>73</v>
      </c>
      <c r="Y50">
        <f>COUNTIF('Map Calc'!$T$2:$T$1400,$V50)</f>
        <v>80</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80</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4009</v>
      </c>
      <c r="B2" t="s">
        <v>4010</v>
      </c>
      <c r="C2" t="s">
        <v>954</v>
      </c>
      <c r="D2" t="s">
        <v>4011</v>
      </c>
      <c r="E2" t="s">
        <v>4012</v>
      </c>
    </row>
    <row r="3" spans="1:5" ht="15" customHeight="1" x14ac:dyDescent="0.25">
      <c r="A3" t="s">
        <v>4013</v>
      </c>
      <c r="B3" t="s">
        <v>4014</v>
      </c>
      <c r="C3" t="s">
        <v>954</v>
      </c>
      <c r="D3" t="s">
        <v>4015</v>
      </c>
      <c r="E3" t="s">
        <v>4012</v>
      </c>
    </row>
    <row r="4" spans="1:5" ht="15" customHeight="1" x14ac:dyDescent="0.25">
      <c r="A4" t="s">
        <v>4016</v>
      </c>
      <c r="B4" t="s">
        <v>4014</v>
      </c>
      <c r="C4" t="s">
        <v>954</v>
      </c>
      <c r="D4" t="s">
        <v>4017</v>
      </c>
      <c r="E4" t="s">
        <v>4012</v>
      </c>
    </row>
    <row r="5" spans="1:5" ht="15" customHeight="1" x14ac:dyDescent="0.25">
      <c r="A5" t="s">
        <v>4018</v>
      </c>
      <c r="B5" t="s">
        <v>4019</v>
      </c>
      <c r="C5" t="s">
        <v>954</v>
      </c>
      <c r="D5" t="s">
        <v>4020</v>
      </c>
      <c r="E5" t="s">
        <v>4012</v>
      </c>
    </row>
    <row r="6" spans="1:5" ht="15" customHeight="1" x14ac:dyDescent="0.25">
      <c r="A6" t="s">
        <v>4021</v>
      </c>
      <c r="B6" t="s">
        <v>4019</v>
      </c>
      <c r="C6" t="s">
        <v>954</v>
      </c>
      <c r="D6" t="s">
        <v>4022</v>
      </c>
      <c r="E6" t="s">
        <v>4012</v>
      </c>
    </row>
    <row r="7" spans="1:5" ht="15" customHeight="1" x14ac:dyDescent="0.25">
      <c r="A7" t="s">
        <v>4023</v>
      </c>
      <c r="B7" t="s">
        <v>4010</v>
      </c>
      <c r="C7" t="s">
        <v>2511</v>
      </c>
      <c r="D7" t="s">
        <v>4011</v>
      </c>
      <c r="E7" t="s">
        <v>4024</v>
      </c>
    </row>
    <row r="8" spans="1:5" ht="15" customHeight="1" x14ac:dyDescent="0.25">
      <c r="A8" t="s">
        <v>3989</v>
      </c>
      <c r="B8" t="s">
        <v>4010</v>
      </c>
      <c r="C8" t="s">
        <v>2511</v>
      </c>
      <c r="D8" t="s">
        <v>4025</v>
      </c>
      <c r="E8" t="s">
        <v>4024</v>
      </c>
    </row>
    <row r="9" spans="1:5" ht="15" customHeight="1" x14ac:dyDescent="0.25">
      <c r="A9" t="s">
        <v>3993</v>
      </c>
      <c r="B9" t="s">
        <v>4010</v>
      </c>
      <c r="C9" t="s">
        <v>2511</v>
      </c>
      <c r="D9" t="s">
        <v>4026</v>
      </c>
      <c r="E9" t="s">
        <v>4024</v>
      </c>
    </row>
    <row r="10" spans="1:5" ht="15" customHeight="1" x14ac:dyDescent="0.25">
      <c r="A10" t="s">
        <v>4027</v>
      </c>
      <c r="B10" t="s">
        <v>4014</v>
      </c>
      <c r="C10" t="s">
        <v>2511</v>
      </c>
      <c r="D10" t="s">
        <v>4015</v>
      </c>
      <c r="E10" t="s">
        <v>4024</v>
      </c>
    </row>
    <row r="11" spans="1:5" ht="15" customHeight="1" x14ac:dyDescent="0.25">
      <c r="A11" t="s">
        <v>4028</v>
      </c>
      <c r="B11" t="s">
        <v>4014</v>
      </c>
      <c r="C11" t="s">
        <v>2511</v>
      </c>
      <c r="D11" t="s">
        <v>4029</v>
      </c>
      <c r="E11" t="s">
        <v>4024</v>
      </c>
    </row>
    <row r="12" spans="1:5" ht="15" customHeight="1" x14ac:dyDescent="0.25">
      <c r="A12" t="s">
        <v>4030</v>
      </c>
      <c r="B12" t="s">
        <v>4014</v>
      </c>
      <c r="C12" t="s">
        <v>2511</v>
      </c>
      <c r="D12" t="s">
        <v>4022</v>
      </c>
      <c r="E12" t="s">
        <v>4024</v>
      </c>
    </row>
    <row r="13" spans="1:5" ht="15" customHeight="1" x14ac:dyDescent="0.25">
      <c r="A13" t="s">
        <v>4031</v>
      </c>
      <c r="B13" t="s">
        <v>4019</v>
      </c>
      <c r="C13" t="s">
        <v>2511</v>
      </c>
      <c r="D13" t="s">
        <v>4032</v>
      </c>
      <c r="E13" t="s">
        <v>4024</v>
      </c>
    </row>
    <row r="14" spans="1:5" ht="15" customHeight="1" x14ac:dyDescent="0.25">
      <c r="A14" t="s">
        <v>4033</v>
      </c>
      <c r="B14" t="s">
        <v>4019</v>
      </c>
      <c r="C14" t="s">
        <v>2511</v>
      </c>
      <c r="D14" t="s">
        <v>4034</v>
      </c>
      <c r="E14" t="s">
        <v>4024</v>
      </c>
    </row>
    <row r="15" spans="1:5" ht="15" customHeight="1" x14ac:dyDescent="0.25">
      <c r="A15" t="s">
        <v>4035</v>
      </c>
      <c r="B15" t="s">
        <v>4019</v>
      </c>
      <c r="C15" t="s">
        <v>2511</v>
      </c>
      <c r="D15" t="s">
        <v>4036</v>
      </c>
      <c r="E15" t="s">
        <v>4024</v>
      </c>
    </row>
    <row r="16" spans="1:5" ht="15" customHeight="1" x14ac:dyDescent="0.25">
      <c r="A16" t="s">
        <v>4037</v>
      </c>
      <c r="B16" t="s">
        <v>4010</v>
      </c>
      <c r="C16" t="s">
        <v>1200</v>
      </c>
      <c r="D16" t="s">
        <v>4022</v>
      </c>
      <c r="E16" t="s">
        <v>4038</v>
      </c>
    </row>
    <row r="17" spans="1:5" ht="15" customHeight="1" x14ac:dyDescent="0.25">
      <c r="A17" t="s">
        <v>4039</v>
      </c>
      <c r="B17" t="s">
        <v>4010</v>
      </c>
      <c r="C17" t="s">
        <v>1200</v>
      </c>
      <c r="D17" t="s">
        <v>4025</v>
      </c>
      <c r="E17" t="s">
        <v>4038</v>
      </c>
    </row>
    <row r="18" spans="1:5" ht="15" customHeight="1" x14ac:dyDescent="0.25">
      <c r="A18" t="s">
        <v>4040</v>
      </c>
      <c r="B18" t="s">
        <v>4014</v>
      </c>
      <c r="C18" t="s">
        <v>1200</v>
      </c>
      <c r="D18" t="s">
        <v>4029</v>
      </c>
      <c r="E18" t="s">
        <v>4038</v>
      </c>
    </row>
    <row r="19" spans="1:5" ht="15" customHeight="1" x14ac:dyDescent="0.25">
      <c r="A19" t="s">
        <v>4036</v>
      </c>
      <c r="B19" t="s">
        <v>4014</v>
      </c>
      <c r="C19" t="s">
        <v>1200</v>
      </c>
      <c r="D19" t="s">
        <v>4036</v>
      </c>
      <c r="E19" t="s">
        <v>4038</v>
      </c>
    </row>
    <row r="20" spans="1:5" ht="15" customHeight="1" x14ac:dyDescent="0.25">
      <c r="A20" t="s">
        <v>4041</v>
      </c>
      <c r="B20" t="s">
        <v>4019</v>
      </c>
      <c r="C20" t="s">
        <v>1200</v>
      </c>
      <c r="D20" t="s">
        <v>4011</v>
      </c>
      <c r="E20" t="s">
        <v>4038</v>
      </c>
    </row>
    <row r="21" spans="1:5" ht="15" customHeight="1" x14ac:dyDescent="0.25">
      <c r="A21" t="s">
        <v>4042</v>
      </c>
      <c r="B21" t="s">
        <v>4010</v>
      </c>
      <c r="C21" t="s">
        <v>2031</v>
      </c>
      <c r="D21" t="s">
        <v>4043</v>
      </c>
      <c r="E21" t="s">
        <v>4044</v>
      </c>
    </row>
    <row r="22" spans="1:5" ht="15" customHeight="1" x14ac:dyDescent="0.25">
      <c r="A22" t="s">
        <v>4045</v>
      </c>
      <c r="B22" t="s">
        <v>4010</v>
      </c>
      <c r="C22" t="s">
        <v>2031</v>
      </c>
      <c r="D22" t="s">
        <v>4046</v>
      </c>
      <c r="E22" t="s">
        <v>4044</v>
      </c>
    </row>
    <row r="23" spans="1:5" ht="15" customHeight="1" x14ac:dyDescent="0.25">
      <c r="A23" t="s">
        <v>4047</v>
      </c>
      <c r="B23" t="s">
        <v>4010</v>
      </c>
      <c r="C23" t="s">
        <v>2031</v>
      </c>
      <c r="D23" t="s">
        <v>4017</v>
      </c>
      <c r="E23" t="s">
        <v>4044</v>
      </c>
    </row>
    <row r="24" spans="1:5" ht="15" customHeight="1" x14ac:dyDescent="0.25">
      <c r="A24" t="s">
        <v>4048</v>
      </c>
      <c r="B24" t="s">
        <v>4010</v>
      </c>
      <c r="C24" t="s">
        <v>2031</v>
      </c>
      <c r="D24" t="s">
        <v>4049</v>
      </c>
      <c r="E24" t="s">
        <v>4044</v>
      </c>
    </row>
    <row r="25" spans="1:5" ht="15" customHeight="1" x14ac:dyDescent="0.25">
      <c r="A25" t="s">
        <v>4050</v>
      </c>
      <c r="B25" t="s">
        <v>4014</v>
      </c>
      <c r="C25" t="s">
        <v>2031</v>
      </c>
      <c r="D25" t="s">
        <v>4017</v>
      </c>
      <c r="E25" t="s">
        <v>4044</v>
      </c>
    </row>
    <row r="26" spans="1:5" ht="15" customHeight="1" x14ac:dyDescent="0.25">
      <c r="A26" t="s">
        <v>4051</v>
      </c>
      <c r="B26" t="s">
        <v>4014</v>
      </c>
      <c r="C26" t="s">
        <v>2031</v>
      </c>
      <c r="D26" t="s">
        <v>4025</v>
      </c>
      <c r="E26" t="s">
        <v>4044</v>
      </c>
    </row>
    <row r="27" spans="1:5" ht="15" customHeight="1" x14ac:dyDescent="0.25">
      <c r="A27" t="s">
        <v>4052</v>
      </c>
      <c r="B27" t="s">
        <v>4014</v>
      </c>
      <c r="C27" t="s">
        <v>2031</v>
      </c>
      <c r="D27" t="s">
        <v>4043</v>
      </c>
      <c r="E27" t="s">
        <v>4044</v>
      </c>
    </row>
    <row r="28" spans="1:5" ht="15" customHeight="1" x14ac:dyDescent="0.25">
      <c r="A28" t="s">
        <v>4053</v>
      </c>
      <c r="B28" t="s">
        <v>4014</v>
      </c>
      <c r="C28" t="s">
        <v>2031</v>
      </c>
      <c r="D28" t="s">
        <v>4054</v>
      </c>
      <c r="E28" t="s">
        <v>4044</v>
      </c>
    </row>
    <row r="29" spans="1:5" ht="15" customHeight="1" x14ac:dyDescent="0.25">
      <c r="A29" t="s">
        <v>4055</v>
      </c>
      <c r="B29" t="s">
        <v>4019</v>
      </c>
      <c r="C29" t="s">
        <v>2031</v>
      </c>
      <c r="D29" t="s">
        <v>4056</v>
      </c>
      <c r="E29" t="s">
        <v>4044</v>
      </c>
    </row>
    <row r="30" spans="1:5" ht="15" customHeight="1" x14ac:dyDescent="0.25">
      <c r="A30" t="s">
        <v>4057</v>
      </c>
      <c r="B30" t="s">
        <v>4019</v>
      </c>
      <c r="C30" t="s">
        <v>2031</v>
      </c>
      <c r="D30" t="s">
        <v>4058</v>
      </c>
      <c r="E30" t="s">
        <v>4044</v>
      </c>
    </row>
    <row r="31" spans="1:5" ht="15" customHeight="1" x14ac:dyDescent="0.25">
      <c r="A31" t="s">
        <v>4059</v>
      </c>
      <c r="B31" t="s">
        <v>4010</v>
      </c>
      <c r="C31" t="s">
        <v>464</v>
      </c>
      <c r="D31" t="s">
        <v>4049</v>
      </c>
      <c r="E31" t="s">
        <v>4060</v>
      </c>
    </row>
    <row r="32" spans="1:5" ht="15" customHeight="1" x14ac:dyDescent="0.25">
      <c r="A32" t="s">
        <v>4061</v>
      </c>
      <c r="B32" t="s">
        <v>4019</v>
      </c>
      <c r="C32" t="s">
        <v>464</v>
      </c>
      <c r="D32" t="s">
        <v>4049</v>
      </c>
      <c r="E32" t="s">
        <v>4060</v>
      </c>
    </row>
    <row r="33" spans="1:5" ht="15" customHeight="1" x14ac:dyDescent="0.25">
      <c r="A33" t="s">
        <v>4062</v>
      </c>
      <c r="B33" t="s">
        <v>4014</v>
      </c>
      <c r="C33" t="s">
        <v>464</v>
      </c>
      <c r="D33" t="s">
        <v>4015</v>
      </c>
      <c r="E33" t="s">
        <v>4060</v>
      </c>
    </row>
    <row r="34" spans="1:5" ht="15" customHeight="1" x14ac:dyDescent="0.25">
      <c r="A34" t="s">
        <v>4063</v>
      </c>
      <c r="B34" t="s">
        <v>4019</v>
      </c>
      <c r="C34" t="s">
        <v>464</v>
      </c>
      <c r="D34" t="s">
        <v>4058</v>
      </c>
      <c r="E34" t="s">
        <v>4060</v>
      </c>
    </row>
    <row r="35" spans="1:5" ht="15" customHeight="1" x14ac:dyDescent="0.25">
      <c r="A35" t="s">
        <v>4064</v>
      </c>
      <c r="B35" t="s">
        <v>4014</v>
      </c>
      <c r="C35" t="s">
        <v>464</v>
      </c>
      <c r="D35" t="s">
        <v>4043</v>
      </c>
      <c r="E35" t="s">
        <v>4060</v>
      </c>
    </row>
    <row r="36" spans="1:5" ht="15" customHeight="1" x14ac:dyDescent="0.25">
      <c r="A36" t="s">
        <v>4065</v>
      </c>
      <c r="B36" t="s">
        <v>4010</v>
      </c>
      <c r="C36" t="s">
        <v>464</v>
      </c>
      <c r="D36" t="s">
        <v>4015</v>
      </c>
      <c r="E36" t="s">
        <v>4060</v>
      </c>
    </row>
    <row r="37" spans="1:5" ht="15" customHeight="1" x14ac:dyDescent="0.25">
      <c r="A37" t="s">
        <v>4066</v>
      </c>
      <c r="B37" t="s">
        <v>4010</v>
      </c>
      <c r="C37" t="s">
        <v>412</v>
      </c>
      <c r="D37" t="s">
        <v>4046</v>
      </c>
      <c r="E37" t="s">
        <v>4067</v>
      </c>
    </row>
    <row r="38" spans="1:5" ht="15" customHeight="1" x14ac:dyDescent="0.25">
      <c r="A38" t="s">
        <v>4068</v>
      </c>
      <c r="B38" t="s">
        <v>4014</v>
      </c>
      <c r="C38" t="s">
        <v>412</v>
      </c>
      <c r="D38" t="s">
        <v>4029</v>
      </c>
      <c r="E38" t="s">
        <v>4067</v>
      </c>
    </row>
    <row r="39" spans="1:5" ht="15" customHeight="1" x14ac:dyDescent="0.25">
      <c r="A39" t="s">
        <v>4069</v>
      </c>
      <c r="B39" t="s">
        <v>4019</v>
      </c>
      <c r="C39" t="s">
        <v>412</v>
      </c>
      <c r="D39" t="s">
        <v>4036</v>
      </c>
      <c r="E39" t="s">
        <v>4067</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3838</v>
      </c>
      <c r="J1" t="s">
        <v>3402</v>
      </c>
    </row>
    <row r="2" spans="1:10" ht="15" customHeight="1" x14ac:dyDescent="0.25">
      <c r="A2" t="s">
        <v>3403</v>
      </c>
      <c r="B2" t="s">
        <v>3404</v>
      </c>
      <c r="C2" t="s">
        <v>3405</v>
      </c>
      <c r="D2" t="s">
        <v>4070</v>
      </c>
      <c r="E2" t="s">
        <v>4071</v>
      </c>
      <c r="F2" t="s">
        <v>408</v>
      </c>
      <c r="G2" t="s">
        <v>3408</v>
      </c>
      <c r="H2" t="s">
        <v>3409</v>
      </c>
      <c r="I2" t="s">
        <v>17</v>
      </c>
      <c r="J2" t="s">
        <v>3336</v>
      </c>
    </row>
    <row r="3" spans="1:10" ht="15" customHeight="1" x14ac:dyDescent="0.25">
      <c r="A3" t="s">
        <v>3410</v>
      </c>
      <c r="B3" t="s">
        <v>3411</v>
      </c>
      <c r="C3" t="s">
        <v>3412</v>
      </c>
      <c r="D3" t="s">
        <v>4072</v>
      </c>
      <c r="E3" t="s">
        <v>4073</v>
      </c>
      <c r="F3" t="s">
        <v>15</v>
      </c>
      <c r="G3" t="s">
        <v>3415</v>
      </c>
      <c r="H3" t="s">
        <v>3410</v>
      </c>
      <c r="I3" t="s">
        <v>17</v>
      </c>
      <c r="J3" t="s">
        <v>3416</v>
      </c>
    </row>
    <row r="4" spans="1:10" ht="15" customHeight="1" x14ac:dyDescent="0.25">
      <c r="A4" t="s">
        <v>4074</v>
      </c>
      <c r="B4" t="s">
        <v>3423</v>
      </c>
      <c r="C4" t="s">
        <v>4075</v>
      </c>
      <c r="D4" t="s">
        <v>4076</v>
      </c>
      <c r="E4" t="s">
        <v>4077</v>
      </c>
      <c r="F4" t="s">
        <v>1552</v>
      </c>
      <c r="G4" t="s">
        <v>4078</v>
      </c>
      <c r="H4" t="s">
        <v>4079</v>
      </c>
      <c r="I4" t="s">
        <v>17</v>
      </c>
      <c r="J4" t="s">
        <v>3416</v>
      </c>
    </row>
    <row r="5" spans="1:10" ht="15" customHeight="1" x14ac:dyDescent="0.25">
      <c r="A5" t="s">
        <v>4080</v>
      </c>
      <c r="B5" t="s">
        <v>3411</v>
      </c>
      <c r="C5" t="s">
        <v>3456</v>
      </c>
      <c r="D5" t="s">
        <v>4081</v>
      </c>
      <c r="E5" t="s">
        <v>4082</v>
      </c>
      <c r="F5" t="s">
        <v>954</v>
      </c>
      <c r="G5" t="s">
        <v>4083</v>
      </c>
      <c r="H5" t="s">
        <v>4084</v>
      </c>
      <c r="I5" t="s">
        <v>17</v>
      </c>
      <c r="J5" t="s">
        <v>3421</v>
      </c>
    </row>
    <row r="6" spans="1:10" ht="15" customHeight="1" x14ac:dyDescent="0.25">
      <c r="A6" t="s">
        <v>4085</v>
      </c>
      <c r="B6" t="s">
        <v>3423</v>
      </c>
      <c r="C6" t="s">
        <v>4075</v>
      </c>
      <c r="D6" t="s">
        <v>4086</v>
      </c>
      <c r="E6" t="s">
        <v>4087</v>
      </c>
      <c r="F6" t="s">
        <v>954</v>
      </c>
      <c r="G6" t="s">
        <v>4088</v>
      </c>
      <c r="H6" t="s">
        <v>4085</v>
      </c>
      <c r="I6" t="s">
        <v>17</v>
      </c>
      <c r="J6" t="s">
        <v>4089</v>
      </c>
    </row>
    <row r="7" spans="1:10" ht="15" customHeight="1" x14ac:dyDescent="0.25">
      <c r="A7" t="s">
        <v>4090</v>
      </c>
      <c r="B7" t="s">
        <v>3423</v>
      </c>
      <c r="C7" t="s">
        <v>3412</v>
      </c>
      <c r="D7" t="s">
        <v>4091</v>
      </c>
      <c r="E7" t="s">
        <v>4092</v>
      </c>
      <c r="F7" t="s">
        <v>1552</v>
      </c>
      <c r="G7" t="s">
        <v>4093</v>
      </c>
      <c r="H7" t="s">
        <v>4094</v>
      </c>
      <c r="I7" t="s">
        <v>17</v>
      </c>
      <c r="J7" t="s">
        <v>3416</v>
      </c>
    </row>
    <row r="8" spans="1:10" ht="15" customHeight="1" x14ac:dyDescent="0.25">
      <c r="A8" t="s">
        <v>4095</v>
      </c>
      <c r="B8" t="s">
        <v>3404</v>
      </c>
      <c r="C8" t="s">
        <v>4096</v>
      </c>
      <c r="D8" t="s">
        <v>4097</v>
      </c>
      <c r="E8" t="s">
        <v>4098</v>
      </c>
      <c r="F8" t="s">
        <v>1524</v>
      </c>
      <c r="G8" t="s">
        <v>4099</v>
      </c>
      <c r="H8" t="s">
        <v>4100</v>
      </c>
      <c r="I8" t="s">
        <v>17</v>
      </c>
      <c r="J8" t="s">
        <v>3421</v>
      </c>
    </row>
    <row r="9" spans="1:10" ht="15" customHeight="1" x14ac:dyDescent="0.25">
      <c r="A9" t="s">
        <v>4101</v>
      </c>
      <c r="B9" t="s">
        <v>3404</v>
      </c>
      <c r="C9" t="s">
        <v>3412</v>
      </c>
      <c r="D9" t="s">
        <v>4102</v>
      </c>
      <c r="E9" t="s">
        <v>4103</v>
      </c>
      <c r="F9" t="s">
        <v>1552</v>
      </c>
      <c r="G9" t="s">
        <v>4104</v>
      </c>
      <c r="H9" t="s">
        <v>4105</v>
      </c>
      <c r="I9" t="s">
        <v>17</v>
      </c>
      <c r="J9" t="s">
        <v>4106</v>
      </c>
    </row>
    <row r="10" spans="1:10" ht="15" customHeight="1" x14ac:dyDescent="0.25">
      <c r="A10" t="s">
        <v>4107</v>
      </c>
      <c r="B10" t="s">
        <v>3404</v>
      </c>
      <c r="C10" t="s">
        <v>3412</v>
      </c>
      <c r="D10" t="s">
        <v>4108</v>
      </c>
      <c r="E10" t="s">
        <v>4109</v>
      </c>
      <c r="F10" t="s">
        <v>15</v>
      </c>
      <c r="G10" t="s">
        <v>4110</v>
      </c>
      <c r="H10" t="s">
        <v>4111</v>
      </c>
      <c r="I10" t="s">
        <v>17</v>
      </c>
      <c r="J10" t="s">
        <v>3336</v>
      </c>
    </row>
    <row r="11" spans="1:10" ht="15" customHeight="1" x14ac:dyDescent="0.25">
      <c r="A11" t="s">
        <v>4112</v>
      </c>
      <c r="B11" t="s">
        <v>3411</v>
      </c>
      <c r="C11" t="s">
        <v>4075</v>
      </c>
      <c r="D11" t="s">
        <v>4113</v>
      </c>
      <c r="E11" t="s">
        <v>4114</v>
      </c>
      <c r="F11" t="s">
        <v>1012</v>
      </c>
      <c r="G11" t="s">
        <v>3699</v>
      </c>
      <c r="H11" t="s">
        <v>4115</v>
      </c>
      <c r="I11" t="s">
        <v>17</v>
      </c>
      <c r="J11" t="s">
        <v>4089</v>
      </c>
    </row>
    <row r="12" spans="1:10" ht="15" customHeight="1" x14ac:dyDescent="0.25">
      <c r="A12" t="s">
        <v>4116</v>
      </c>
      <c r="B12" t="s">
        <v>3404</v>
      </c>
      <c r="C12" t="s">
        <v>4075</v>
      </c>
      <c r="D12" t="s">
        <v>4117</v>
      </c>
      <c r="E12" t="s">
        <v>4118</v>
      </c>
      <c r="F12" t="s">
        <v>1524</v>
      </c>
      <c r="H12" t="s">
        <v>4119</v>
      </c>
      <c r="I12" t="s">
        <v>17</v>
      </c>
      <c r="J12" t="s">
        <v>4120</v>
      </c>
    </row>
    <row r="13" spans="1:10" ht="15" customHeight="1" x14ac:dyDescent="0.25">
      <c r="A13" t="s">
        <v>4121</v>
      </c>
      <c r="B13" t="s">
        <v>3411</v>
      </c>
      <c r="C13" t="s">
        <v>3412</v>
      </c>
      <c r="D13" t="s">
        <v>4122</v>
      </c>
      <c r="E13" t="s">
        <v>4123</v>
      </c>
      <c r="F13" t="s">
        <v>15</v>
      </c>
      <c r="G13" t="s">
        <v>3530</v>
      </c>
      <c r="H13" t="s">
        <v>4124</v>
      </c>
      <c r="I13" t="s">
        <v>17</v>
      </c>
      <c r="J13" t="s">
        <v>3336</v>
      </c>
    </row>
    <row r="14" spans="1:10" ht="15" customHeight="1" x14ac:dyDescent="0.25">
      <c r="A14" t="s">
        <v>4125</v>
      </c>
      <c r="B14" t="s">
        <v>3411</v>
      </c>
      <c r="C14" t="s">
        <v>3430</v>
      </c>
      <c r="D14" t="s">
        <v>4126</v>
      </c>
      <c r="E14" t="s">
        <v>4127</v>
      </c>
      <c r="F14" t="s">
        <v>408</v>
      </c>
      <c r="G14" t="s">
        <v>4128</v>
      </c>
      <c r="H14" t="s">
        <v>4129</v>
      </c>
      <c r="I14" t="s">
        <v>17</v>
      </c>
      <c r="J14" t="s">
        <v>3421</v>
      </c>
    </row>
    <row r="15" spans="1:10" ht="15" customHeight="1" x14ac:dyDescent="0.25">
      <c r="A15" t="s">
        <v>4130</v>
      </c>
      <c r="B15" t="s">
        <v>17</v>
      </c>
      <c r="C15" t="s">
        <v>4131</v>
      </c>
      <c r="D15" t="s">
        <v>4132</v>
      </c>
      <c r="F15" t="s">
        <v>1200</v>
      </c>
      <c r="H15" t="s">
        <v>4133</v>
      </c>
      <c r="I15" t="s">
        <v>17</v>
      </c>
      <c r="J15" t="s">
        <v>4131</v>
      </c>
    </row>
    <row r="16" spans="1:10" ht="15" customHeight="1" x14ac:dyDescent="0.25">
      <c r="A16" t="s">
        <v>4134</v>
      </c>
      <c r="B16" t="s">
        <v>17</v>
      </c>
      <c r="C16" t="s">
        <v>4131</v>
      </c>
      <c r="D16" t="s">
        <v>4135</v>
      </c>
      <c r="F16" t="s">
        <v>1200</v>
      </c>
      <c r="H16" t="s">
        <v>4136</v>
      </c>
      <c r="I16" t="s">
        <v>17</v>
      </c>
      <c r="J16" t="s">
        <v>4131</v>
      </c>
    </row>
    <row r="17" spans="1:10" ht="15" customHeight="1" x14ac:dyDescent="0.25">
      <c r="A17" t="s">
        <v>4137</v>
      </c>
      <c r="B17" t="s">
        <v>17</v>
      </c>
      <c r="C17" t="s">
        <v>4131</v>
      </c>
      <c r="D17" t="s">
        <v>4138</v>
      </c>
      <c r="F17" t="s">
        <v>1200</v>
      </c>
      <c r="H17" t="s">
        <v>4139</v>
      </c>
      <c r="I17" t="s">
        <v>17</v>
      </c>
      <c r="J17" t="s">
        <v>4131</v>
      </c>
    </row>
    <row r="18" spans="1:10" ht="15" customHeight="1" x14ac:dyDescent="0.25">
      <c r="A18" t="s">
        <v>4140</v>
      </c>
      <c r="B18" t="s">
        <v>17</v>
      </c>
      <c r="C18" t="s">
        <v>4131</v>
      </c>
      <c r="D18" t="s">
        <v>4141</v>
      </c>
      <c r="F18" t="s">
        <v>1200</v>
      </c>
      <c r="H18" t="s">
        <v>4142</v>
      </c>
      <c r="I18" t="s">
        <v>17</v>
      </c>
      <c r="J18" t="s">
        <v>4131</v>
      </c>
    </row>
    <row r="19" spans="1:10" ht="15" customHeight="1" x14ac:dyDescent="0.25">
      <c r="A19" t="s">
        <v>4143</v>
      </c>
      <c r="B19" t="s">
        <v>17</v>
      </c>
      <c r="C19" t="s">
        <v>4131</v>
      </c>
      <c r="D19" t="s">
        <v>4144</v>
      </c>
      <c r="F19" t="s">
        <v>1200</v>
      </c>
      <c r="H19" t="s">
        <v>4145</v>
      </c>
      <c r="I19" t="s">
        <v>17</v>
      </c>
      <c r="J19" t="s">
        <v>4131</v>
      </c>
    </row>
    <row r="20" spans="1:10" ht="15" customHeight="1" x14ac:dyDescent="0.25">
      <c r="A20" t="s">
        <v>4146</v>
      </c>
      <c r="B20" t="s">
        <v>17</v>
      </c>
      <c r="C20" t="s">
        <v>4131</v>
      </c>
      <c r="D20" t="s">
        <v>4147</v>
      </c>
      <c r="F20" t="s">
        <v>1200</v>
      </c>
      <c r="H20" t="s">
        <v>4148</v>
      </c>
      <c r="I20" t="s">
        <v>17</v>
      </c>
      <c r="J20" t="s">
        <v>4131</v>
      </c>
    </row>
    <row r="21" spans="1:10" ht="15" customHeight="1" x14ac:dyDescent="0.25">
      <c r="A21" t="s">
        <v>4149</v>
      </c>
      <c r="B21" t="s">
        <v>3423</v>
      </c>
      <c r="C21" t="s">
        <v>3456</v>
      </c>
      <c r="D21" t="s">
        <v>4150</v>
      </c>
      <c r="E21" t="s">
        <v>4151</v>
      </c>
      <c r="F21" t="s">
        <v>408</v>
      </c>
      <c r="G21" t="s">
        <v>4152</v>
      </c>
      <c r="H21" t="s">
        <v>4153</v>
      </c>
      <c r="I21" t="s">
        <v>17</v>
      </c>
      <c r="J21" t="s">
        <v>4154</v>
      </c>
    </row>
    <row r="22" spans="1:10" ht="15" customHeight="1" x14ac:dyDescent="0.25">
      <c r="A22" t="s">
        <v>4155</v>
      </c>
      <c r="B22" t="s">
        <v>3411</v>
      </c>
      <c r="C22" t="s">
        <v>4156</v>
      </c>
      <c r="D22" t="s">
        <v>4157</v>
      </c>
      <c r="E22" t="s">
        <v>4158</v>
      </c>
      <c r="F22" t="s">
        <v>1552</v>
      </c>
      <c r="G22" t="s">
        <v>4159</v>
      </c>
      <c r="H22" t="s">
        <v>4160</v>
      </c>
      <c r="I22" t="s">
        <v>17</v>
      </c>
      <c r="J22" t="s">
        <v>3421</v>
      </c>
    </row>
    <row r="23" spans="1:10" ht="15" customHeight="1" x14ac:dyDescent="0.25">
      <c r="A23" t="s">
        <v>4161</v>
      </c>
      <c r="B23" t="s">
        <v>3404</v>
      </c>
      <c r="C23" t="s">
        <v>3412</v>
      </c>
      <c r="D23" t="s">
        <v>4162</v>
      </c>
      <c r="E23" t="s">
        <v>4163</v>
      </c>
      <c r="F23" t="s">
        <v>1552</v>
      </c>
      <c r="H23" t="s">
        <v>4164</v>
      </c>
      <c r="I23" t="s">
        <v>17</v>
      </c>
      <c r="J23" t="s">
        <v>4106</v>
      </c>
    </row>
    <row r="24" spans="1:10" ht="15" customHeight="1" x14ac:dyDescent="0.25">
      <c r="A24" t="s">
        <v>4165</v>
      </c>
      <c r="B24" t="s">
        <v>3404</v>
      </c>
      <c r="C24" t="s">
        <v>3412</v>
      </c>
      <c r="D24" t="s">
        <v>4166</v>
      </c>
      <c r="E24" t="s">
        <v>4167</v>
      </c>
      <c r="F24" t="s">
        <v>1552</v>
      </c>
      <c r="G24" t="s">
        <v>4168</v>
      </c>
      <c r="H24" t="s">
        <v>4169</v>
      </c>
      <c r="I24" t="s">
        <v>17</v>
      </c>
      <c r="J24" t="s">
        <v>3416</v>
      </c>
    </row>
    <row r="25" spans="1:10" ht="15" customHeight="1" x14ac:dyDescent="0.25">
      <c r="A25" t="s">
        <v>4170</v>
      </c>
      <c r="B25" t="s">
        <v>3423</v>
      </c>
      <c r="C25" t="s">
        <v>3412</v>
      </c>
      <c r="D25" t="s">
        <v>4171</v>
      </c>
      <c r="E25" t="s">
        <v>4172</v>
      </c>
      <c r="F25" t="s">
        <v>15</v>
      </c>
      <c r="G25" t="s">
        <v>4173</v>
      </c>
      <c r="H25" t="s">
        <v>4174</v>
      </c>
      <c r="I25" t="s">
        <v>17</v>
      </c>
      <c r="J25" t="s">
        <v>4106</v>
      </c>
    </row>
    <row r="26" spans="1:10" ht="15" customHeight="1" x14ac:dyDescent="0.25">
      <c r="A26" t="s">
        <v>3364</v>
      </c>
      <c r="B26" t="s">
        <v>3436</v>
      </c>
      <c r="C26" t="s">
        <v>3412</v>
      </c>
      <c r="D26" t="s">
        <v>4175</v>
      </c>
      <c r="E26" t="s">
        <v>4176</v>
      </c>
      <c r="F26" t="s">
        <v>15</v>
      </c>
      <c r="H26" t="s">
        <v>3439</v>
      </c>
      <c r="I26" t="s">
        <v>17</v>
      </c>
      <c r="J26" t="s">
        <v>3336</v>
      </c>
    </row>
    <row r="27" spans="1:10" ht="15" customHeight="1" x14ac:dyDescent="0.25">
      <c r="A27" t="s">
        <v>4177</v>
      </c>
      <c r="B27" t="s">
        <v>3404</v>
      </c>
      <c r="C27" t="s">
        <v>3456</v>
      </c>
      <c r="D27" t="s">
        <v>4178</v>
      </c>
      <c r="E27" t="s">
        <v>4179</v>
      </c>
      <c r="F27" t="s">
        <v>15</v>
      </c>
      <c r="G27" t="s">
        <v>3450</v>
      </c>
      <c r="H27" t="s">
        <v>4180</v>
      </c>
      <c r="I27" t="s">
        <v>17</v>
      </c>
      <c r="J27" t="s">
        <v>4181</v>
      </c>
    </row>
    <row r="28" spans="1:10" ht="15" customHeight="1" x14ac:dyDescent="0.25">
      <c r="A28" t="s">
        <v>4182</v>
      </c>
      <c r="B28" t="s">
        <v>3423</v>
      </c>
      <c r="C28" t="s">
        <v>3456</v>
      </c>
      <c r="D28" t="s">
        <v>4183</v>
      </c>
      <c r="E28" t="s">
        <v>4184</v>
      </c>
      <c r="F28" t="s">
        <v>408</v>
      </c>
      <c r="H28" t="s">
        <v>4182</v>
      </c>
      <c r="I28" t="s">
        <v>17</v>
      </c>
      <c r="J28" t="s">
        <v>3421</v>
      </c>
    </row>
    <row r="29" spans="1:10" ht="15" customHeight="1" x14ac:dyDescent="0.25">
      <c r="A29" t="s">
        <v>4185</v>
      </c>
      <c r="B29" t="s">
        <v>3404</v>
      </c>
      <c r="C29" t="s">
        <v>3412</v>
      </c>
      <c r="D29" t="s">
        <v>4186</v>
      </c>
      <c r="E29" t="s">
        <v>4187</v>
      </c>
      <c r="F29" t="s">
        <v>15</v>
      </c>
      <c r="G29" t="s">
        <v>3415</v>
      </c>
      <c r="H29" t="s">
        <v>4188</v>
      </c>
      <c r="I29" t="s">
        <v>17</v>
      </c>
      <c r="J29" t="s">
        <v>3416</v>
      </c>
    </row>
    <row r="30" spans="1:10" ht="15" customHeight="1" x14ac:dyDescent="0.25">
      <c r="A30" t="s">
        <v>4189</v>
      </c>
      <c r="B30" t="s">
        <v>3423</v>
      </c>
      <c r="C30" t="s">
        <v>3412</v>
      </c>
      <c r="D30" t="s">
        <v>4190</v>
      </c>
      <c r="E30" t="s">
        <v>4191</v>
      </c>
      <c r="F30" t="s">
        <v>2511</v>
      </c>
      <c r="H30" t="s">
        <v>4192</v>
      </c>
      <c r="I30" t="s">
        <v>17</v>
      </c>
      <c r="J30" t="s">
        <v>3336</v>
      </c>
    </row>
    <row r="31" spans="1:10" ht="15" customHeight="1" x14ac:dyDescent="0.25">
      <c r="A31" t="s">
        <v>3536</v>
      </c>
      <c r="B31" t="s">
        <v>3411</v>
      </c>
      <c r="C31" t="s">
        <v>4156</v>
      </c>
      <c r="D31" t="s">
        <v>4193</v>
      </c>
      <c r="E31" t="s">
        <v>4194</v>
      </c>
      <c r="F31" t="s">
        <v>1552</v>
      </c>
      <c r="G31" t="s">
        <v>4159</v>
      </c>
      <c r="H31" t="s">
        <v>3536</v>
      </c>
      <c r="I31" t="s">
        <v>17</v>
      </c>
      <c r="J31" t="s">
        <v>3421</v>
      </c>
    </row>
    <row r="32" spans="1:10" ht="15" customHeight="1" x14ac:dyDescent="0.25">
      <c r="A32" t="s">
        <v>4195</v>
      </c>
      <c r="B32" t="s">
        <v>3423</v>
      </c>
      <c r="C32" t="s">
        <v>3412</v>
      </c>
      <c r="D32" t="s">
        <v>4196</v>
      </c>
      <c r="E32" t="s">
        <v>4197</v>
      </c>
      <c r="F32" t="s">
        <v>1228</v>
      </c>
      <c r="G32" t="s">
        <v>4198</v>
      </c>
      <c r="H32" t="s">
        <v>4199</v>
      </c>
      <c r="I32" t="s">
        <v>17</v>
      </c>
      <c r="J32" t="s">
        <v>4200</v>
      </c>
    </row>
    <row r="33" spans="1:10" ht="15" customHeight="1" x14ac:dyDescent="0.25">
      <c r="A33" t="s">
        <v>4201</v>
      </c>
      <c r="B33" t="s">
        <v>3404</v>
      </c>
      <c r="C33" t="s">
        <v>3456</v>
      </c>
      <c r="D33" t="s">
        <v>4202</v>
      </c>
      <c r="E33" t="s">
        <v>4203</v>
      </c>
      <c r="F33" t="s">
        <v>2511</v>
      </c>
      <c r="G33" t="s">
        <v>4204</v>
      </c>
      <c r="H33" t="s">
        <v>4205</v>
      </c>
      <c r="I33" t="s">
        <v>17</v>
      </c>
      <c r="J33" t="s">
        <v>3421</v>
      </c>
    </row>
    <row r="34" spans="1:10" ht="15" customHeight="1" x14ac:dyDescent="0.25">
      <c r="A34" t="s">
        <v>3447</v>
      </c>
      <c r="B34" t="s">
        <v>3423</v>
      </c>
      <c r="C34" t="s">
        <v>3412</v>
      </c>
      <c r="D34" t="s">
        <v>3448</v>
      </c>
      <c r="E34" t="s">
        <v>4206</v>
      </c>
      <c r="F34" t="s">
        <v>2700</v>
      </c>
      <c r="G34" t="s">
        <v>3450</v>
      </c>
      <c r="H34" t="s">
        <v>3447</v>
      </c>
      <c r="I34" t="s">
        <v>17</v>
      </c>
      <c r="J34" t="s">
        <v>3451</v>
      </c>
    </row>
    <row r="35" spans="1:10" ht="15" customHeight="1" x14ac:dyDescent="0.25">
      <c r="A35" t="s">
        <v>3369</v>
      </c>
      <c r="B35" t="s">
        <v>3423</v>
      </c>
      <c r="C35" t="s">
        <v>4207</v>
      </c>
      <c r="D35" t="s">
        <v>4208</v>
      </c>
      <c r="E35" t="s">
        <v>4209</v>
      </c>
      <c r="F35" t="s">
        <v>2511</v>
      </c>
      <c r="G35" t="s">
        <v>226</v>
      </c>
      <c r="H35" t="s">
        <v>3369</v>
      </c>
      <c r="I35" t="s">
        <v>17</v>
      </c>
      <c r="J35" t="s">
        <v>3421</v>
      </c>
    </row>
    <row r="36" spans="1:10" ht="15" customHeight="1" x14ac:dyDescent="0.25">
      <c r="A36" t="s">
        <v>4210</v>
      </c>
      <c r="B36" t="s">
        <v>3423</v>
      </c>
      <c r="C36" t="s">
        <v>3412</v>
      </c>
      <c r="D36" t="s">
        <v>4211</v>
      </c>
      <c r="E36" t="s">
        <v>4212</v>
      </c>
      <c r="F36" t="s">
        <v>15</v>
      </c>
      <c r="G36" t="s">
        <v>4213</v>
      </c>
      <c r="H36" t="s">
        <v>4214</v>
      </c>
      <c r="I36" t="s">
        <v>17</v>
      </c>
      <c r="J36" t="s">
        <v>4215</v>
      </c>
    </row>
    <row r="37" spans="1:10" ht="15" customHeight="1" x14ac:dyDescent="0.25">
      <c r="A37" t="s">
        <v>4216</v>
      </c>
      <c r="B37" t="s">
        <v>3404</v>
      </c>
      <c r="C37" t="s">
        <v>4217</v>
      </c>
      <c r="D37" t="s">
        <v>4218</v>
      </c>
      <c r="E37" t="s">
        <v>4219</v>
      </c>
      <c r="F37" t="s">
        <v>2511</v>
      </c>
      <c r="G37" t="s">
        <v>4220</v>
      </c>
      <c r="H37" t="s">
        <v>4221</v>
      </c>
      <c r="I37" t="s">
        <v>17</v>
      </c>
      <c r="J37" t="s">
        <v>4106</v>
      </c>
    </row>
    <row r="38" spans="1:10" ht="15" customHeight="1" x14ac:dyDescent="0.25">
      <c r="A38" t="s">
        <v>4222</v>
      </c>
      <c r="B38" t="s">
        <v>3423</v>
      </c>
      <c r="C38" t="s">
        <v>3452</v>
      </c>
      <c r="D38" t="s">
        <v>4223</v>
      </c>
      <c r="F38" t="s">
        <v>2511</v>
      </c>
      <c r="G38" t="s">
        <v>4224</v>
      </c>
      <c r="H38" t="s">
        <v>4225</v>
      </c>
      <c r="I38" t="s">
        <v>17</v>
      </c>
      <c r="J38" t="s">
        <v>3345</v>
      </c>
    </row>
    <row r="39" spans="1:10" ht="15" customHeight="1" x14ac:dyDescent="0.25">
      <c r="A39" t="s">
        <v>4226</v>
      </c>
      <c r="B39" t="s">
        <v>3423</v>
      </c>
      <c r="C39" t="s">
        <v>3412</v>
      </c>
      <c r="D39" t="s">
        <v>4227</v>
      </c>
      <c r="E39" t="s">
        <v>4228</v>
      </c>
      <c r="F39" t="s">
        <v>1036</v>
      </c>
      <c r="G39" t="s">
        <v>4229</v>
      </c>
      <c r="H39" t="s">
        <v>4230</v>
      </c>
      <c r="I39" t="s">
        <v>17</v>
      </c>
      <c r="J39" t="s">
        <v>4231</v>
      </c>
    </row>
    <row r="40" spans="1:10" ht="15" customHeight="1" x14ac:dyDescent="0.25">
      <c r="A40" t="s">
        <v>4232</v>
      </c>
      <c r="B40" t="s">
        <v>3423</v>
      </c>
      <c r="C40" t="s">
        <v>4075</v>
      </c>
      <c r="D40" t="s">
        <v>4233</v>
      </c>
      <c r="E40" t="s">
        <v>4234</v>
      </c>
      <c r="F40" t="s">
        <v>1524</v>
      </c>
      <c r="H40" t="s">
        <v>4232</v>
      </c>
      <c r="I40" t="s">
        <v>17</v>
      </c>
      <c r="J40" t="s">
        <v>4106</v>
      </c>
    </row>
    <row r="41" spans="1:10" ht="15" customHeight="1" x14ac:dyDescent="0.25">
      <c r="A41" t="s">
        <v>4235</v>
      </c>
      <c r="B41" t="s">
        <v>3411</v>
      </c>
      <c r="C41" t="s">
        <v>4156</v>
      </c>
      <c r="D41" t="s">
        <v>4236</v>
      </c>
      <c r="E41" t="s">
        <v>4237</v>
      </c>
      <c r="F41" t="s">
        <v>1552</v>
      </c>
      <c r="G41" t="s">
        <v>4159</v>
      </c>
      <c r="H41" t="s">
        <v>4238</v>
      </c>
      <c r="I41" t="s">
        <v>17</v>
      </c>
      <c r="J41" t="s">
        <v>3421</v>
      </c>
    </row>
    <row r="42" spans="1:10" ht="15" customHeight="1" x14ac:dyDescent="0.25">
      <c r="A42" t="s">
        <v>4239</v>
      </c>
      <c r="B42" t="s">
        <v>3404</v>
      </c>
      <c r="C42" t="s">
        <v>3412</v>
      </c>
      <c r="D42" t="s">
        <v>4240</v>
      </c>
      <c r="E42" t="s">
        <v>4241</v>
      </c>
      <c r="F42" t="s">
        <v>2700</v>
      </c>
      <c r="G42" t="s">
        <v>4099</v>
      </c>
      <c r="H42" t="s">
        <v>4239</v>
      </c>
      <c r="I42" t="s">
        <v>17</v>
      </c>
      <c r="J42" t="s">
        <v>4106</v>
      </c>
    </row>
    <row r="43" spans="1:10" ht="15" customHeight="1" x14ac:dyDescent="0.25">
      <c r="A43" t="s">
        <v>4242</v>
      </c>
      <c r="B43" t="s">
        <v>3404</v>
      </c>
      <c r="C43" t="s">
        <v>3412</v>
      </c>
      <c r="D43" t="s">
        <v>4243</v>
      </c>
      <c r="E43" t="s">
        <v>4244</v>
      </c>
      <c r="F43" t="s">
        <v>15</v>
      </c>
      <c r="G43" t="s">
        <v>4245</v>
      </c>
      <c r="H43" t="s">
        <v>4246</v>
      </c>
      <c r="I43" t="s">
        <v>17</v>
      </c>
      <c r="J43" t="s">
        <v>4247</v>
      </c>
    </row>
    <row r="44" spans="1:10" ht="15" customHeight="1" x14ac:dyDescent="0.25">
      <c r="A44" t="s">
        <v>4248</v>
      </c>
      <c r="B44" t="s">
        <v>3404</v>
      </c>
      <c r="C44" t="s">
        <v>3412</v>
      </c>
      <c r="D44" t="s">
        <v>4249</v>
      </c>
      <c r="E44" t="s">
        <v>4250</v>
      </c>
      <c r="F44" t="s">
        <v>1552</v>
      </c>
      <c r="G44" t="s">
        <v>4251</v>
      </c>
      <c r="H44" t="s">
        <v>4252</v>
      </c>
      <c r="I44" t="s">
        <v>17</v>
      </c>
      <c r="J44" t="s">
        <v>4106</v>
      </c>
    </row>
    <row r="45" spans="1:10" ht="15" customHeight="1" x14ac:dyDescent="0.25">
      <c r="A45" t="s">
        <v>4253</v>
      </c>
      <c r="B45" t="s">
        <v>3423</v>
      </c>
      <c r="C45" t="s">
        <v>3412</v>
      </c>
      <c r="D45" t="s">
        <v>4254</v>
      </c>
      <c r="E45" t="s">
        <v>4255</v>
      </c>
      <c r="F45" t="s">
        <v>2700</v>
      </c>
      <c r="G45" t="s">
        <v>4256</v>
      </c>
      <c r="H45" t="s">
        <v>4257</v>
      </c>
      <c r="I45" t="s">
        <v>17</v>
      </c>
      <c r="J45" t="s">
        <v>3421</v>
      </c>
    </row>
    <row r="46" spans="1:10" ht="15" customHeight="1" x14ac:dyDescent="0.25">
      <c r="A46" t="s">
        <v>4258</v>
      </c>
      <c r="B46" t="s">
        <v>3411</v>
      </c>
      <c r="C46" t="s">
        <v>3456</v>
      </c>
      <c r="D46" t="s">
        <v>4259</v>
      </c>
      <c r="E46" t="s">
        <v>4260</v>
      </c>
      <c r="F46" t="s">
        <v>2031</v>
      </c>
      <c r="G46" t="s">
        <v>4261</v>
      </c>
      <c r="H46" t="s">
        <v>4262</v>
      </c>
      <c r="I46" t="s">
        <v>17</v>
      </c>
      <c r="J46" t="s">
        <v>3421</v>
      </c>
    </row>
    <row r="47" spans="1:10" ht="15" customHeight="1" x14ac:dyDescent="0.25">
      <c r="A47" t="s">
        <v>4263</v>
      </c>
      <c r="B47" t="s">
        <v>3423</v>
      </c>
      <c r="C47" t="s">
        <v>3412</v>
      </c>
      <c r="D47" t="s">
        <v>4264</v>
      </c>
      <c r="E47" t="s">
        <v>4265</v>
      </c>
      <c r="F47" t="s">
        <v>15</v>
      </c>
      <c r="G47" t="s">
        <v>4266</v>
      </c>
      <c r="H47" t="s">
        <v>4267</v>
      </c>
      <c r="I47" t="s">
        <v>17</v>
      </c>
      <c r="J47" t="s">
        <v>3451</v>
      </c>
    </row>
    <row r="48" spans="1:10" ht="15" customHeight="1" x14ac:dyDescent="0.25">
      <c r="A48" t="s">
        <v>4268</v>
      </c>
      <c r="B48" t="s">
        <v>3423</v>
      </c>
      <c r="C48" t="s">
        <v>3412</v>
      </c>
      <c r="D48" t="s">
        <v>4269</v>
      </c>
      <c r="E48" t="s">
        <v>4270</v>
      </c>
      <c r="F48" t="s">
        <v>2401</v>
      </c>
      <c r="G48" t="s">
        <v>4271</v>
      </c>
      <c r="H48" t="s">
        <v>4268</v>
      </c>
      <c r="I48" t="s">
        <v>17</v>
      </c>
      <c r="J48" t="s">
        <v>3416</v>
      </c>
    </row>
    <row r="49" spans="1:10" ht="15" customHeight="1" x14ac:dyDescent="0.25">
      <c r="A49" t="s">
        <v>4272</v>
      </c>
      <c r="B49" t="s">
        <v>3404</v>
      </c>
      <c r="C49" t="s">
        <v>3412</v>
      </c>
      <c r="D49" t="s">
        <v>4273</v>
      </c>
      <c r="E49" t="s">
        <v>4274</v>
      </c>
      <c r="F49" t="s">
        <v>15</v>
      </c>
      <c r="G49" t="s">
        <v>178</v>
      </c>
      <c r="H49" t="s">
        <v>4272</v>
      </c>
      <c r="I49" t="s">
        <v>17</v>
      </c>
      <c r="J49" t="s">
        <v>3416</v>
      </c>
    </row>
    <row r="50" spans="1:10" ht="15" customHeight="1" x14ac:dyDescent="0.25">
      <c r="A50" t="s">
        <v>4275</v>
      </c>
      <c r="B50" t="s">
        <v>3411</v>
      </c>
      <c r="C50" t="s">
        <v>3456</v>
      </c>
      <c r="D50" t="s">
        <v>4276</v>
      </c>
      <c r="E50" t="s">
        <v>4277</v>
      </c>
      <c r="F50" t="s">
        <v>2511</v>
      </c>
      <c r="G50" t="s">
        <v>4278</v>
      </c>
      <c r="H50" t="s">
        <v>4279</v>
      </c>
      <c r="I50" t="s">
        <v>17</v>
      </c>
      <c r="J50" t="s">
        <v>3421</v>
      </c>
    </row>
    <row r="51" spans="1:10" ht="15" customHeight="1" x14ac:dyDescent="0.25">
      <c r="A51" t="s">
        <v>4280</v>
      </c>
      <c r="B51" t="s">
        <v>3404</v>
      </c>
      <c r="C51" t="s">
        <v>3412</v>
      </c>
      <c r="D51" t="s">
        <v>4281</v>
      </c>
      <c r="E51" t="s">
        <v>4282</v>
      </c>
      <c r="F51" t="s">
        <v>1036</v>
      </c>
      <c r="G51" t="s">
        <v>4283</v>
      </c>
      <c r="H51" t="s">
        <v>4284</v>
      </c>
      <c r="I51" t="s">
        <v>17</v>
      </c>
      <c r="J51" t="s">
        <v>4285</v>
      </c>
    </row>
    <row r="52" spans="1:10" ht="15" customHeight="1" x14ac:dyDescent="0.25">
      <c r="A52" t="s">
        <v>4286</v>
      </c>
      <c r="B52" t="s">
        <v>3423</v>
      </c>
      <c r="C52" t="s">
        <v>3412</v>
      </c>
      <c r="D52" t="s">
        <v>4287</v>
      </c>
      <c r="E52" t="s">
        <v>4288</v>
      </c>
      <c r="F52" t="s">
        <v>15</v>
      </c>
      <c r="H52" t="s">
        <v>4289</v>
      </c>
      <c r="I52" t="s">
        <v>17</v>
      </c>
      <c r="J52" t="s">
        <v>4290</v>
      </c>
    </row>
    <row r="53" spans="1:10" ht="15" customHeight="1" x14ac:dyDescent="0.25">
      <c r="A53" t="s">
        <v>4291</v>
      </c>
      <c r="B53" t="s">
        <v>3404</v>
      </c>
      <c r="C53" t="s">
        <v>3456</v>
      </c>
      <c r="D53" t="s">
        <v>4292</v>
      </c>
      <c r="E53" t="s">
        <v>4293</v>
      </c>
      <c r="F53" t="s">
        <v>408</v>
      </c>
      <c r="G53" t="s">
        <v>4294</v>
      </c>
      <c r="H53" t="s">
        <v>4291</v>
      </c>
      <c r="I53" t="s">
        <v>17</v>
      </c>
      <c r="J53" t="s">
        <v>3421</v>
      </c>
    </row>
    <row r="54" spans="1:10" ht="15" customHeight="1" x14ac:dyDescent="0.25">
      <c r="A54" t="s">
        <v>4295</v>
      </c>
      <c r="B54" t="s">
        <v>3411</v>
      </c>
      <c r="C54" t="s">
        <v>4217</v>
      </c>
      <c r="D54" t="s">
        <v>4296</v>
      </c>
      <c r="E54" t="s">
        <v>4297</v>
      </c>
      <c r="F54" t="s">
        <v>15</v>
      </c>
      <c r="G54" t="s">
        <v>4298</v>
      </c>
      <c r="H54" t="s">
        <v>4299</v>
      </c>
      <c r="I54" t="s">
        <v>17</v>
      </c>
      <c r="J54" t="s">
        <v>4181</v>
      </c>
    </row>
    <row r="55" spans="1:10" ht="15" customHeight="1" x14ac:dyDescent="0.25">
      <c r="A55" t="s">
        <v>4300</v>
      </c>
      <c r="B55" t="s">
        <v>3423</v>
      </c>
      <c r="C55" t="s">
        <v>3412</v>
      </c>
      <c r="D55" t="s">
        <v>4301</v>
      </c>
      <c r="E55" t="s">
        <v>4302</v>
      </c>
      <c r="F55" t="s">
        <v>2511</v>
      </c>
      <c r="G55" t="s">
        <v>4303</v>
      </c>
      <c r="H55" t="s">
        <v>4304</v>
      </c>
      <c r="I55" t="s">
        <v>17</v>
      </c>
      <c r="J55" t="s">
        <v>3451</v>
      </c>
    </row>
    <row r="56" spans="1:10" ht="15" customHeight="1" x14ac:dyDescent="0.25">
      <c r="A56" t="s">
        <v>3461</v>
      </c>
      <c r="B56" t="s">
        <v>3411</v>
      </c>
      <c r="C56" t="s">
        <v>3442</v>
      </c>
      <c r="D56" t="s">
        <v>4305</v>
      </c>
      <c r="E56" t="s">
        <v>4306</v>
      </c>
      <c r="F56" t="s">
        <v>2700</v>
      </c>
      <c r="G56" t="s">
        <v>3464</v>
      </c>
      <c r="H56" t="s">
        <v>3465</v>
      </c>
      <c r="I56" t="s">
        <v>17</v>
      </c>
      <c r="J56" t="s">
        <v>3336</v>
      </c>
    </row>
    <row r="57" spans="1:10" ht="15" customHeight="1" x14ac:dyDescent="0.25">
      <c r="A57" t="s">
        <v>4307</v>
      </c>
      <c r="B57" t="s">
        <v>3520</v>
      </c>
      <c r="C57" t="s">
        <v>3412</v>
      </c>
      <c r="D57" t="s">
        <v>4308</v>
      </c>
      <c r="E57" t="s">
        <v>4309</v>
      </c>
      <c r="F57" t="s">
        <v>2511</v>
      </c>
      <c r="G57" t="s">
        <v>4310</v>
      </c>
      <c r="H57" t="s">
        <v>4311</v>
      </c>
      <c r="I57" t="s">
        <v>17</v>
      </c>
      <c r="J57" t="s">
        <v>3416</v>
      </c>
    </row>
    <row r="58" spans="1:10" ht="15" customHeight="1" x14ac:dyDescent="0.25">
      <c r="A58" t="s">
        <v>4312</v>
      </c>
      <c r="B58" t="s">
        <v>3423</v>
      </c>
      <c r="C58" t="s">
        <v>3412</v>
      </c>
      <c r="D58" t="s">
        <v>4313</v>
      </c>
      <c r="E58" t="s">
        <v>4314</v>
      </c>
      <c r="F58" t="s">
        <v>15</v>
      </c>
      <c r="G58" t="s">
        <v>3415</v>
      </c>
      <c r="H58" t="s">
        <v>4315</v>
      </c>
      <c r="I58" t="s">
        <v>17</v>
      </c>
      <c r="J58" t="s">
        <v>3416</v>
      </c>
    </row>
    <row r="59" spans="1:10" ht="15" customHeight="1" x14ac:dyDescent="0.25">
      <c r="A59" t="s">
        <v>4316</v>
      </c>
      <c r="B59" t="s">
        <v>3404</v>
      </c>
      <c r="C59" t="s">
        <v>3412</v>
      </c>
      <c r="D59" t="s">
        <v>4317</v>
      </c>
      <c r="E59" t="s">
        <v>4318</v>
      </c>
      <c r="F59" t="s">
        <v>15</v>
      </c>
      <c r="G59" t="s">
        <v>178</v>
      </c>
      <c r="H59" t="s">
        <v>4319</v>
      </c>
      <c r="I59" t="s">
        <v>17</v>
      </c>
      <c r="J59" t="s">
        <v>4181</v>
      </c>
    </row>
    <row r="60" spans="1:10" ht="15" customHeight="1" x14ac:dyDescent="0.25">
      <c r="A60" t="s">
        <v>4320</v>
      </c>
      <c r="B60" t="s">
        <v>3404</v>
      </c>
      <c r="C60" t="s">
        <v>3412</v>
      </c>
      <c r="D60" t="s">
        <v>4321</v>
      </c>
      <c r="E60" t="s">
        <v>4322</v>
      </c>
      <c r="F60" t="s">
        <v>1552</v>
      </c>
      <c r="G60" t="s">
        <v>4323</v>
      </c>
      <c r="H60" t="s">
        <v>4324</v>
      </c>
      <c r="I60" t="s">
        <v>17</v>
      </c>
      <c r="J60" t="s">
        <v>4120</v>
      </c>
    </row>
    <row r="61" spans="1:10" ht="15" customHeight="1" x14ac:dyDescent="0.25">
      <c r="A61" t="s">
        <v>4325</v>
      </c>
      <c r="B61" t="s">
        <v>3411</v>
      </c>
      <c r="C61" t="s">
        <v>4096</v>
      </c>
      <c r="D61" t="s">
        <v>4326</v>
      </c>
      <c r="E61" t="s">
        <v>4327</v>
      </c>
      <c r="F61" t="s">
        <v>408</v>
      </c>
      <c r="G61" t="s">
        <v>178</v>
      </c>
      <c r="H61" t="s">
        <v>4325</v>
      </c>
      <c r="I61" t="s">
        <v>17</v>
      </c>
      <c r="J61" t="s">
        <v>3336</v>
      </c>
    </row>
    <row r="62" spans="1:10" ht="15" customHeight="1" x14ac:dyDescent="0.25">
      <c r="A62" t="s">
        <v>4328</v>
      </c>
      <c r="B62" t="s">
        <v>3404</v>
      </c>
      <c r="C62" t="s">
        <v>3412</v>
      </c>
      <c r="D62" t="s">
        <v>4329</v>
      </c>
      <c r="E62" t="s">
        <v>4330</v>
      </c>
      <c r="F62" t="s">
        <v>2511</v>
      </c>
      <c r="H62" t="s">
        <v>4331</v>
      </c>
      <c r="I62" t="s">
        <v>17</v>
      </c>
      <c r="J62" t="s">
        <v>4332</v>
      </c>
    </row>
    <row r="63" spans="1:10" ht="15" customHeight="1" x14ac:dyDescent="0.25">
      <c r="A63" t="s">
        <v>4333</v>
      </c>
      <c r="B63" t="s">
        <v>3404</v>
      </c>
      <c r="C63" t="s">
        <v>3412</v>
      </c>
      <c r="D63" t="s">
        <v>4334</v>
      </c>
      <c r="E63" t="s">
        <v>4335</v>
      </c>
      <c r="F63" t="s">
        <v>1552</v>
      </c>
      <c r="G63" t="s">
        <v>4336</v>
      </c>
      <c r="H63" t="s">
        <v>4337</v>
      </c>
      <c r="I63" t="s">
        <v>17</v>
      </c>
      <c r="J63" t="s">
        <v>4120</v>
      </c>
    </row>
    <row r="64" spans="1:10" ht="15" customHeight="1" x14ac:dyDescent="0.25">
      <c r="A64" t="s">
        <v>4338</v>
      </c>
      <c r="B64" t="s">
        <v>3423</v>
      </c>
      <c r="C64" t="s">
        <v>3456</v>
      </c>
      <c r="D64" t="s">
        <v>4339</v>
      </c>
      <c r="E64" t="s">
        <v>4340</v>
      </c>
      <c r="F64" t="s">
        <v>2031</v>
      </c>
      <c r="G64" t="s">
        <v>4341</v>
      </c>
      <c r="H64" t="s">
        <v>4342</v>
      </c>
      <c r="I64" t="s">
        <v>17</v>
      </c>
      <c r="J64" t="s">
        <v>3336</v>
      </c>
    </row>
    <row r="65" spans="1:10" ht="15" customHeight="1" x14ac:dyDescent="0.25">
      <c r="A65" t="s">
        <v>4343</v>
      </c>
      <c r="B65" t="s">
        <v>3411</v>
      </c>
      <c r="C65" t="s">
        <v>4075</v>
      </c>
      <c r="D65" t="s">
        <v>4344</v>
      </c>
      <c r="E65" t="s">
        <v>4345</v>
      </c>
      <c r="F65" t="s">
        <v>954</v>
      </c>
      <c r="G65" t="s">
        <v>3699</v>
      </c>
      <c r="H65" t="s">
        <v>4346</v>
      </c>
      <c r="I65" t="s">
        <v>17</v>
      </c>
      <c r="J65" t="s">
        <v>4106</v>
      </c>
    </row>
    <row r="66" spans="1:10" ht="15" customHeight="1" x14ac:dyDescent="0.25">
      <c r="A66" t="s">
        <v>4347</v>
      </c>
      <c r="B66" t="s">
        <v>3423</v>
      </c>
      <c r="C66" t="s">
        <v>4096</v>
      </c>
      <c r="D66" t="s">
        <v>4348</v>
      </c>
      <c r="E66" t="s">
        <v>4349</v>
      </c>
      <c r="F66" t="s">
        <v>412</v>
      </c>
      <c r="G66" t="s">
        <v>4350</v>
      </c>
      <c r="H66" t="s">
        <v>4351</v>
      </c>
      <c r="I66" t="s">
        <v>17</v>
      </c>
      <c r="J66" t="s">
        <v>4106</v>
      </c>
    </row>
    <row r="67" spans="1:10" ht="15" customHeight="1" x14ac:dyDescent="0.25">
      <c r="A67" t="s">
        <v>4352</v>
      </c>
      <c r="B67" t="s">
        <v>3411</v>
      </c>
      <c r="C67" t="s">
        <v>4075</v>
      </c>
      <c r="D67" t="s">
        <v>4353</v>
      </c>
      <c r="E67" t="s">
        <v>4354</v>
      </c>
      <c r="F67" t="s">
        <v>954</v>
      </c>
      <c r="G67" t="s">
        <v>3699</v>
      </c>
      <c r="H67" t="s">
        <v>4355</v>
      </c>
      <c r="I67" t="s">
        <v>17</v>
      </c>
      <c r="J67" t="s">
        <v>4106</v>
      </c>
    </row>
    <row r="68" spans="1:10" ht="15" customHeight="1" x14ac:dyDescent="0.25">
      <c r="A68" t="s">
        <v>4356</v>
      </c>
      <c r="B68" t="s">
        <v>3411</v>
      </c>
      <c r="C68" t="s">
        <v>3456</v>
      </c>
      <c r="D68" t="s">
        <v>4357</v>
      </c>
      <c r="E68" t="s">
        <v>4358</v>
      </c>
      <c r="F68" t="s">
        <v>2511</v>
      </c>
      <c r="H68" t="s">
        <v>4359</v>
      </c>
      <c r="I68" t="s">
        <v>17</v>
      </c>
      <c r="J68" t="s">
        <v>3421</v>
      </c>
    </row>
    <row r="69" spans="1:10" ht="15" customHeight="1" x14ac:dyDescent="0.25">
      <c r="A69" t="s">
        <v>3470</v>
      </c>
      <c r="B69" t="s">
        <v>3411</v>
      </c>
      <c r="C69" t="s">
        <v>3442</v>
      </c>
      <c r="D69" t="s">
        <v>4360</v>
      </c>
      <c r="E69" t="s">
        <v>4361</v>
      </c>
      <c r="F69" t="s">
        <v>2511</v>
      </c>
      <c r="G69" t="s">
        <v>178</v>
      </c>
      <c r="H69" t="s">
        <v>3470</v>
      </c>
      <c r="I69" t="s">
        <v>17</v>
      </c>
      <c r="J69" t="s">
        <v>3336</v>
      </c>
    </row>
    <row r="70" spans="1:10" ht="15" customHeight="1" x14ac:dyDescent="0.25">
      <c r="A70" t="s">
        <v>3472</v>
      </c>
      <c r="B70" t="s">
        <v>3404</v>
      </c>
      <c r="C70" t="s">
        <v>3442</v>
      </c>
      <c r="D70" t="s">
        <v>4362</v>
      </c>
      <c r="E70" t="s">
        <v>4363</v>
      </c>
      <c r="F70" t="s">
        <v>15</v>
      </c>
      <c r="G70" t="s">
        <v>3474</v>
      </c>
      <c r="H70" t="s">
        <v>3472</v>
      </c>
      <c r="I70" t="s">
        <v>17</v>
      </c>
      <c r="J70" t="s">
        <v>3336</v>
      </c>
    </row>
    <row r="71" spans="1:10" ht="15" customHeight="1" x14ac:dyDescent="0.25">
      <c r="A71" t="s">
        <v>3475</v>
      </c>
      <c r="B71" t="s">
        <v>3423</v>
      </c>
      <c r="C71" t="s">
        <v>3412</v>
      </c>
      <c r="D71" t="s">
        <v>4364</v>
      </c>
      <c r="E71" t="s">
        <v>4365</v>
      </c>
      <c r="F71" t="s">
        <v>15</v>
      </c>
      <c r="G71" t="s">
        <v>3478</v>
      </c>
      <c r="H71" t="s">
        <v>3479</v>
      </c>
      <c r="I71" t="s">
        <v>17</v>
      </c>
      <c r="J71" t="s">
        <v>3336</v>
      </c>
    </row>
    <row r="72" spans="1:10" ht="15" customHeight="1" x14ac:dyDescent="0.25">
      <c r="A72" t="s">
        <v>4366</v>
      </c>
      <c r="B72" t="s">
        <v>3423</v>
      </c>
      <c r="C72" t="s">
        <v>3412</v>
      </c>
      <c r="D72" t="s">
        <v>4367</v>
      </c>
      <c r="E72" t="s">
        <v>4368</v>
      </c>
      <c r="F72" t="s">
        <v>15</v>
      </c>
      <c r="H72" t="s">
        <v>4369</v>
      </c>
      <c r="I72" t="s">
        <v>17</v>
      </c>
      <c r="J72" t="s">
        <v>4106</v>
      </c>
    </row>
    <row r="73" spans="1:10" ht="15" customHeight="1" x14ac:dyDescent="0.25">
      <c r="A73" t="s">
        <v>4370</v>
      </c>
      <c r="B73" t="s">
        <v>3423</v>
      </c>
      <c r="C73" t="s">
        <v>3412</v>
      </c>
      <c r="D73" t="s">
        <v>4371</v>
      </c>
      <c r="E73" t="s">
        <v>4372</v>
      </c>
      <c r="F73" t="s">
        <v>1552</v>
      </c>
      <c r="G73" t="s">
        <v>4373</v>
      </c>
      <c r="H73" t="s">
        <v>4374</v>
      </c>
      <c r="I73" t="s">
        <v>17</v>
      </c>
      <c r="J73" t="s">
        <v>3416</v>
      </c>
    </row>
    <row r="74" spans="1:10" ht="15" customHeight="1" x14ac:dyDescent="0.25">
      <c r="A74" t="s">
        <v>4375</v>
      </c>
      <c r="B74" t="s">
        <v>3423</v>
      </c>
      <c r="C74" t="s">
        <v>3412</v>
      </c>
      <c r="D74" t="s">
        <v>4376</v>
      </c>
      <c r="E74" t="s">
        <v>4377</v>
      </c>
      <c r="F74" t="s">
        <v>15</v>
      </c>
      <c r="G74" t="s">
        <v>4266</v>
      </c>
      <c r="H74" t="s">
        <v>4378</v>
      </c>
      <c r="I74" t="s">
        <v>17</v>
      </c>
      <c r="J74" t="s">
        <v>3451</v>
      </c>
    </row>
    <row r="75" spans="1:10" ht="15" customHeight="1" x14ac:dyDescent="0.25">
      <c r="A75" t="s">
        <v>4379</v>
      </c>
      <c r="B75" t="s">
        <v>3423</v>
      </c>
      <c r="C75" t="s">
        <v>3456</v>
      </c>
      <c r="D75" t="s">
        <v>4380</v>
      </c>
      <c r="E75" t="s">
        <v>4381</v>
      </c>
      <c r="F75" t="s">
        <v>2511</v>
      </c>
      <c r="H75" t="s">
        <v>4382</v>
      </c>
      <c r="I75" t="s">
        <v>17</v>
      </c>
      <c r="J75" t="s">
        <v>3421</v>
      </c>
    </row>
    <row r="76" spans="1:10" ht="15" customHeight="1" x14ac:dyDescent="0.25">
      <c r="A76" t="s">
        <v>4383</v>
      </c>
      <c r="B76" t="s">
        <v>3404</v>
      </c>
      <c r="C76" t="s">
        <v>3412</v>
      </c>
      <c r="D76" t="s">
        <v>4384</v>
      </c>
      <c r="E76" t="s">
        <v>4385</v>
      </c>
      <c r="F76" t="s">
        <v>15</v>
      </c>
      <c r="G76" t="s">
        <v>4386</v>
      </c>
      <c r="H76" t="s">
        <v>4387</v>
      </c>
      <c r="I76" t="s">
        <v>17</v>
      </c>
      <c r="J76" t="s">
        <v>4388</v>
      </c>
    </row>
    <row r="77" spans="1:10" ht="15" customHeight="1" x14ac:dyDescent="0.25">
      <c r="A77" t="s">
        <v>4389</v>
      </c>
      <c r="B77" t="s">
        <v>3411</v>
      </c>
      <c r="C77" t="s">
        <v>4217</v>
      </c>
      <c r="D77" t="s">
        <v>4390</v>
      </c>
      <c r="E77" t="s">
        <v>4391</v>
      </c>
      <c r="F77" t="s">
        <v>15</v>
      </c>
      <c r="G77" t="s">
        <v>4392</v>
      </c>
      <c r="H77" t="s">
        <v>4389</v>
      </c>
      <c r="I77" t="s">
        <v>17</v>
      </c>
      <c r="J77" t="s">
        <v>4393</v>
      </c>
    </row>
    <row r="78" spans="1:10" ht="15" customHeight="1" x14ac:dyDescent="0.25">
      <c r="A78" t="s">
        <v>3485</v>
      </c>
      <c r="B78" t="s">
        <v>3411</v>
      </c>
      <c r="C78" t="s">
        <v>3456</v>
      </c>
      <c r="D78" t="s">
        <v>4394</v>
      </c>
      <c r="E78" t="s">
        <v>4395</v>
      </c>
      <c r="F78" t="s">
        <v>15</v>
      </c>
      <c r="G78" t="s">
        <v>3489</v>
      </c>
      <c r="H78" t="s">
        <v>3490</v>
      </c>
      <c r="I78" t="s">
        <v>17</v>
      </c>
      <c r="J78" t="s">
        <v>3421</v>
      </c>
    </row>
    <row r="79" spans="1:10" ht="15" customHeight="1" x14ac:dyDescent="0.25">
      <c r="A79" t="s">
        <v>4396</v>
      </c>
      <c r="B79" t="s">
        <v>3404</v>
      </c>
      <c r="C79" t="s">
        <v>3442</v>
      </c>
      <c r="D79" t="s">
        <v>4397</v>
      </c>
      <c r="E79" t="s">
        <v>4398</v>
      </c>
      <c r="F79" t="s">
        <v>15</v>
      </c>
      <c r="G79" t="s">
        <v>4303</v>
      </c>
      <c r="H79" t="s">
        <v>4399</v>
      </c>
      <c r="I79" t="s">
        <v>17</v>
      </c>
      <c r="J79" t="s">
        <v>3451</v>
      </c>
    </row>
    <row r="80" spans="1:10" ht="15" customHeight="1" x14ac:dyDescent="0.25">
      <c r="A80" t="s">
        <v>4400</v>
      </c>
      <c r="B80" t="s">
        <v>3423</v>
      </c>
      <c r="C80" t="s">
        <v>4217</v>
      </c>
      <c r="D80" t="s">
        <v>4401</v>
      </c>
      <c r="E80" t="s">
        <v>4402</v>
      </c>
      <c r="F80" t="s">
        <v>15</v>
      </c>
      <c r="G80" t="s">
        <v>4403</v>
      </c>
      <c r="H80" t="s">
        <v>4404</v>
      </c>
      <c r="I80" t="s">
        <v>17</v>
      </c>
      <c r="J80" t="s">
        <v>3416</v>
      </c>
    </row>
    <row r="81" spans="1:10" ht="15" customHeight="1" x14ac:dyDescent="0.25">
      <c r="A81" t="s">
        <v>4405</v>
      </c>
      <c r="B81" t="s">
        <v>3404</v>
      </c>
      <c r="C81" t="s">
        <v>3430</v>
      </c>
      <c r="D81" t="s">
        <v>4406</v>
      </c>
      <c r="E81" t="s">
        <v>4407</v>
      </c>
      <c r="F81" t="s">
        <v>408</v>
      </c>
      <c r="H81" t="s">
        <v>4405</v>
      </c>
      <c r="I81" t="s">
        <v>17</v>
      </c>
      <c r="J81" t="s">
        <v>4408</v>
      </c>
    </row>
    <row r="82" spans="1:10" ht="15" customHeight="1" x14ac:dyDescent="0.25">
      <c r="A82" t="s">
        <v>4409</v>
      </c>
      <c r="B82" t="s">
        <v>3404</v>
      </c>
      <c r="C82" t="s">
        <v>4096</v>
      </c>
      <c r="D82" t="s">
        <v>4410</v>
      </c>
      <c r="E82" t="s">
        <v>4411</v>
      </c>
      <c r="F82" t="s">
        <v>1552</v>
      </c>
      <c r="G82" t="s">
        <v>4412</v>
      </c>
      <c r="H82" t="s">
        <v>4413</v>
      </c>
      <c r="I82" t="s">
        <v>17</v>
      </c>
      <c r="J82" t="s">
        <v>3421</v>
      </c>
    </row>
    <row r="83" spans="1:10" ht="15" customHeight="1" x14ac:dyDescent="0.25">
      <c r="A83" t="s">
        <v>4414</v>
      </c>
      <c r="B83" t="s">
        <v>3411</v>
      </c>
      <c r="C83" t="s">
        <v>4217</v>
      </c>
      <c r="D83" t="s">
        <v>4415</v>
      </c>
      <c r="E83" t="s">
        <v>4416</v>
      </c>
      <c r="F83" t="s">
        <v>15</v>
      </c>
      <c r="H83" t="s">
        <v>4417</v>
      </c>
      <c r="I83" t="s">
        <v>17</v>
      </c>
      <c r="J83" t="s">
        <v>4106</v>
      </c>
    </row>
    <row r="84" spans="1:10" ht="15" customHeight="1" x14ac:dyDescent="0.25">
      <c r="A84" t="s">
        <v>4418</v>
      </c>
      <c r="B84" t="s">
        <v>3411</v>
      </c>
      <c r="C84" t="s">
        <v>4156</v>
      </c>
      <c r="D84" t="s">
        <v>4419</v>
      </c>
      <c r="E84" t="s">
        <v>4420</v>
      </c>
      <c r="F84" t="s">
        <v>1552</v>
      </c>
      <c r="G84" t="s">
        <v>4159</v>
      </c>
      <c r="H84" t="s">
        <v>4418</v>
      </c>
      <c r="I84" t="s">
        <v>17</v>
      </c>
      <c r="J84" t="s">
        <v>3416</v>
      </c>
    </row>
    <row r="85" spans="1:10" ht="15" customHeight="1" x14ac:dyDescent="0.25">
      <c r="A85" t="s">
        <v>4421</v>
      </c>
      <c r="B85" t="s">
        <v>3411</v>
      </c>
      <c r="C85" t="s">
        <v>3412</v>
      </c>
      <c r="D85" t="s">
        <v>4422</v>
      </c>
      <c r="E85" t="s">
        <v>4423</v>
      </c>
      <c r="F85" t="s">
        <v>1228</v>
      </c>
      <c r="H85" t="s">
        <v>4424</v>
      </c>
      <c r="I85" t="s">
        <v>17</v>
      </c>
      <c r="J85" t="s">
        <v>4425</v>
      </c>
    </row>
    <row r="86" spans="1:10" ht="15" customHeight="1" x14ac:dyDescent="0.25">
      <c r="A86" t="s">
        <v>4426</v>
      </c>
      <c r="B86" t="s">
        <v>3404</v>
      </c>
      <c r="C86" t="s">
        <v>3456</v>
      </c>
      <c r="D86" t="s">
        <v>4427</v>
      </c>
      <c r="E86" t="s">
        <v>4428</v>
      </c>
      <c r="F86" t="s">
        <v>15</v>
      </c>
      <c r="G86" t="s">
        <v>3489</v>
      </c>
      <c r="H86" t="s">
        <v>4429</v>
      </c>
      <c r="I86" t="s">
        <v>17</v>
      </c>
      <c r="J86" t="s">
        <v>4181</v>
      </c>
    </row>
    <row r="87" spans="1:10" ht="15" customHeight="1" x14ac:dyDescent="0.25">
      <c r="A87" t="s">
        <v>4430</v>
      </c>
      <c r="B87" t="s">
        <v>3404</v>
      </c>
      <c r="C87" t="s">
        <v>3412</v>
      </c>
      <c r="D87" t="s">
        <v>4431</v>
      </c>
      <c r="E87" t="s">
        <v>4432</v>
      </c>
      <c r="F87" t="s">
        <v>1552</v>
      </c>
      <c r="G87" t="s">
        <v>4433</v>
      </c>
      <c r="H87" t="s">
        <v>4434</v>
      </c>
      <c r="I87" t="s">
        <v>17</v>
      </c>
      <c r="J87" t="s">
        <v>3416</v>
      </c>
    </row>
    <row r="88" spans="1:10" ht="15" customHeight="1" x14ac:dyDescent="0.25">
      <c r="A88" t="s">
        <v>4435</v>
      </c>
      <c r="B88" t="s">
        <v>3404</v>
      </c>
      <c r="C88" t="s">
        <v>3412</v>
      </c>
      <c r="D88" s="4" t="s">
        <v>4436</v>
      </c>
      <c r="E88" s="4" t="s">
        <v>4437</v>
      </c>
      <c r="F88" t="s">
        <v>1552</v>
      </c>
      <c r="G88" t="s">
        <v>4438</v>
      </c>
      <c r="H88" t="s">
        <v>4439</v>
      </c>
      <c r="I88" t="s">
        <v>17</v>
      </c>
      <c r="J88" t="s">
        <v>3416</v>
      </c>
    </row>
    <row r="89" spans="1:10" ht="15" customHeight="1" x14ac:dyDescent="0.25">
      <c r="A89" t="s">
        <v>4440</v>
      </c>
      <c r="B89" t="s">
        <v>3411</v>
      </c>
      <c r="C89" t="s">
        <v>3456</v>
      </c>
      <c r="D89" t="s">
        <v>4441</v>
      </c>
      <c r="E89" t="s">
        <v>4442</v>
      </c>
      <c r="F89" t="s">
        <v>408</v>
      </c>
      <c r="G89" t="s">
        <v>4152</v>
      </c>
      <c r="H89" t="s">
        <v>4443</v>
      </c>
      <c r="I89" t="s">
        <v>17</v>
      </c>
      <c r="J89" t="s">
        <v>3421</v>
      </c>
    </row>
    <row r="90" spans="1:10" ht="15" customHeight="1" x14ac:dyDescent="0.25">
      <c r="A90" t="s">
        <v>3381</v>
      </c>
      <c r="B90" t="s">
        <v>3411</v>
      </c>
      <c r="C90" t="s">
        <v>3412</v>
      </c>
      <c r="D90" t="s">
        <v>4444</v>
      </c>
      <c r="E90" t="s">
        <v>4445</v>
      </c>
      <c r="F90" t="s">
        <v>2700</v>
      </c>
      <c r="G90" t="s">
        <v>3464</v>
      </c>
      <c r="H90" t="s">
        <v>3381</v>
      </c>
      <c r="I90" t="s">
        <v>17</v>
      </c>
      <c r="J90" t="s">
        <v>3336</v>
      </c>
    </row>
    <row r="91" spans="1:10" ht="15" customHeight="1" x14ac:dyDescent="0.25">
      <c r="A91" t="s">
        <v>4446</v>
      </c>
      <c r="B91" t="s">
        <v>3404</v>
      </c>
      <c r="C91" t="s">
        <v>3412</v>
      </c>
      <c r="D91" t="s">
        <v>4447</v>
      </c>
      <c r="E91" t="s">
        <v>4448</v>
      </c>
      <c r="F91" t="s">
        <v>1552</v>
      </c>
      <c r="G91" t="s">
        <v>4110</v>
      </c>
      <c r="H91" t="s">
        <v>4449</v>
      </c>
      <c r="I91" t="s">
        <v>17</v>
      </c>
      <c r="J91" t="s">
        <v>4106</v>
      </c>
    </row>
    <row r="92" spans="1:10" ht="15" customHeight="1" x14ac:dyDescent="0.25">
      <c r="A92" t="s">
        <v>4450</v>
      </c>
      <c r="B92" t="s">
        <v>3404</v>
      </c>
      <c r="C92" t="s">
        <v>3412</v>
      </c>
      <c r="D92" t="s">
        <v>4451</v>
      </c>
      <c r="E92" t="s">
        <v>4452</v>
      </c>
      <c r="F92" t="s">
        <v>464</v>
      </c>
      <c r="G92" t="s">
        <v>4453</v>
      </c>
      <c r="H92" t="s">
        <v>4454</v>
      </c>
      <c r="I92" t="s">
        <v>17</v>
      </c>
      <c r="J92" t="s">
        <v>3336</v>
      </c>
    </row>
    <row r="93" spans="1:10" ht="15" customHeight="1" x14ac:dyDescent="0.25">
      <c r="A93" t="s">
        <v>3491</v>
      </c>
      <c r="B93" t="s">
        <v>3423</v>
      </c>
      <c r="C93" t="s">
        <v>4156</v>
      </c>
      <c r="D93" t="s">
        <v>4455</v>
      </c>
      <c r="F93" t="s">
        <v>264</v>
      </c>
      <c r="H93" t="s">
        <v>3495</v>
      </c>
      <c r="I93" t="s">
        <v>17</v>
      </c>
      <c r="J93" t="s">
        <v>3496</v>
      </c>
    </row>
    <row r="94" spans="1:10" ht="15" customHeight="1" x14ac:dyDescent="0.25">
      <c r="A94" t="s">
        <v>4456</v>
      </c>
      <c r="B94" t="s">
        <v>3436</v>
      </c>
      <c r="C94" t="s">
        <v>3412</v>
      </c>
      <c r="D94" t="s">
        <v>4457</v>
      </c>
      <c r="E94" t="s">
        <v>4458</v>
      </c>
      <c r="F94" t="s">
        <v>15</v>
      </c>
      <c r="G94" t="s">
        <v>4459</v>
      </c>
      <c r="H94" t="s">
        <v>4460</v>
      </c>
      <c r="I94" t="s">
        <v>17</v>
      </c>
      <c r="J94" t="s">
        <v>4461</v>
      </c>
    </row>
    <row r="95" spans="1:10" ht="15" customHeight="1" x14ac:dyDescent="0.25">
      <c r="A95" t="s">
        <v>4462</v>
      </c>
      <c r="B95" t="s">
        <v>3404</v>
      </c>
      <c r="C95" t="s">
        <v>4096</v>
      </c>
      <c r="D95" t="s">
        <v>4463</v>
      </c>
      <c r="E95" t="s">
        <v>4464</v>
      </c>
      <c r="F95" t="s">
        <v>2511</v>
      </c>
      <c r="G95" t="s">
        <v>3489</v>
      </c>
      <c r="H95" t="s">
        <v>4465</v>
      </c>
      <c r="I95" t="s">
        <v>17</v>
      </c>
      <c r="J95" t="s">
        <v>3421</v>
      </c>
    </row>
    <row r="96" spans="1:10" ht="15" customHeight="1" x14ac:dyDescent="0.25">
      <c r="A96" t="s">
        <v>4466</v>
      </c>
      <c r="B96" t="s">
        <v>3411</v>
      </c>
      <c r="C96" t="s">
        <v>4156</v>
      </c>
      <c r="D96" t="s">
        <v>4467</v>
      </c>
      <c r="E96" t="s">
        <v>4468</v>
      </c>
      <c r="F96" t="s">
        <v>1552</v>
      </c>
      <c r="G96" t="s">
        <v>4159</v>
      </c>
      <c r="H96" t="s">
        <v>4469</v>
      </c>
      <c r="I96" t="s">
        <v>17</v>
      </c>
      <c r="J96" t="s">
        <v>3421</v>
      </c>
    </row>
    <row r="97" spans="1:10" ht="15" customHeight="1" x14ac:dyDescent="0.25">
      <c r="A97" t="s">
        <v>4470</v>
      </c>
      <c r="B97" t="s">
        <v>3423</v>
      </c>
      <c r="C97" t="s">
        <v>4075</v>
      </c>
      <c r="D97" t="s">
        <v>4471</v>
      </c>
      <c r="E97" t="s">
        <v>4472</v>
      </c>
      <c r="F97" t="s">
        <v>1552</v>
      </c>
      <c r="H97" t="s">
        <v>4473</v>
      </c>
      <c r="I97" t="s">
        <v>17</v>
      </c>
      <c r="J97" t="s">
        <v>4106</v>
      </c>
    </row>
    <row r="98" spans="1:10" ht="15" customHeight="1" x14ac:dyDescent="0.25">
      <c r="A98" t="s">
        <v>4474</v>
      </c>
      <c r="B98" t="s">
        <v>3520</v>
      </c>
      <c r="C98" t="s">
        <v>3412</v>
      </c>
      <c r="D98" t="s">
        <v>4475</v>
      </c>
      <c r="E98" t="s">
        <v>4476</v>
      </c>
      <c r="F98" t="s">
        <v>2511</v>
      </c>
      <c r="G98" t="s">
        <v>4310</v>
      </c>
      <c r="H98" t="s">
        <v>4477</v>
      </c>
      <c r="I98" t="s">
        <v>17</v>
      </c>
      <c r="J98" t="s">
        <v>3451</v>
      </c>
    </row>
    <row r="99" spans="1:10" ht="15" customHeight="1" x14ac:dyDescent="0.25">
      <c r="A99" t="s">
        <v>4478</v>
      </c>
      <c r="B99" t="s">
        <v>3404</v>
      </c>
      <c r="C99" t="s">
        <v>3412</v>
      </c>
      <c r="D99" t="s">
        <v>4479</v>
      </c>
      <c r="E99" t="s">
        <v>4480</v>
      </c>
      <c r="F99" t="s">
        <v>1228</v>
      </c>
      <c r="G99" t="s">
        <v>4256</v>
      </c>
      <c r="H99" t="s">
        <v>4481</v>
      </c>
      <c r="I99" t="s">
        <v>17</v>
      </c>
      <c r="J99" t="s">
        <v>4482</v>
      </c>
    </row>
    <row r="100" spans="1:10" ht="15" customHeight="1" x14ac:dyDescent="0.25">
      <c r="A100" t="s">
        <v>4483</v>
      </c>
      <c r="B100" t="s">
        <v>3423</v>
      </c>
      <c r="C100" t="s">
        <v>4217</v>
      </c>
      <c r="D100" t="s">
        <v>4484</v>
      </c>
      <c r="E100" t="s">
        <v>4485</v>
      </c>
      <c r="F100" t="s">
        <v>15</v>
      </c>
      <c r="G100" t="s">
        <v>4392</v>
      </c>
      <c r="H100" t="s">
        <v>4483</v>
      </c>
      <c r="I100" t="s">
        <v>17</v>
      </c>
      <c r="J100" t="s">
        <v>4106</v>
      </c>
    </row>
    <row r="101" spans="1:10" ht="15" customHeight="1" x14ac:dyDescent="0.25">
      <c r="A101" t="s">
        <v>3502</v>
      </c>
      <c r="B101" t="s">
        <v>3423</v>
      </c>
      <c r="C101" t="s">
        <v>3412</v>
      </c>
      <c r="D101" t="s">
        <v>4486</v>
      </c>
      <c r="E101" t="s">
        <v>4487</v>
      </c>
      <c r="F101" t="s">
        <v>408</v>
      </c>
      <c r="G101" t="s">
        <v>3505</v>
      </c>
      <c r="H101" t="s">
        <v>3502</v>
      </c>
      <c r="I101" t="s">
        <v>17</v>
      </c>
      <c r="J101" t="s">
        <v>3421</v>
      </c>
    </row>
    <row r="102" spans="1:10" ht="15" customHeight="1" x14ac:dyDescent="0.25">
      <c r="A102" t="s">
        <v>4488</v>
      </c>
      <c r="B102" t="s">
        <v>3411</v>
      </c>
      <c r="C102" t="s">
        <v>4156</v>
      </c>
      <c r="D102" t="s">
        <v>4489</v>
      </c>
      <c r="E102" t="s">
        <v>4490</v>
      </c>
      <c r="F102" t="s">
        <v>1552</v>
      </c>
      <c r="G102" t="s">
        <v>4159</v>
      </c>
      <c r="H102" t="s">
        <v>4488</v>
      </c>
      <c r="I102" t="s">
        <v>17</v>
      </c>
      <c r="J102" t="s">
        <v>3421</v>
      </c>
    </row>
    <row r="103" spans="1:10" ht="15" customHeight="1" x14ac:dyDescent="0.25">
      <c r="A103" t="s">
        <v>4491</v>
      </c>
      <c r="B103" t="s">
        <v>3404</v>
      </c>
      <c r="C103" t="s">
        <v>3456</v>
      </c>
      <c r="D103" t="s">
        <v>4492</v>
      </c>
      <c r="E103" t="s">
        <v>4493</v>
      </c>
      <c r="F103" t="s">
        <v>464</v>
      </c>
      <c r="G103" t="s">
        <v>4453</v>
      </c>
      <c r="H103" t="s">
        <v>4494</v>
      </c>
      <c r="I103" t="s">
        <v>17</v>
      </c>
      <c r="J103" t="s">
        <v>3421</v>
      </c>
    </row>
    <row r="104" spans="1:10" ht="15" customHeight="1" x14ac:dyDescent="0.25">
      <c r="A104" t="s">
        <v>4495</v>
      </c>
      <c r="B104" t="s">
        <v>3411</v>
      </c>
      <c r="C104" t="s">
        <v>3412</v>
      </c>
      <c r="D104" t="s">
        <v>4496</v>
      </c>
      <c r="E104" t="s">
        <v>4497</v>
      </c>
      <c r="F104" t="s">
        <v>1228</v>
      </c>
      <c r="H104" t="s">
        <v>4498</v>
      </c>
      <c r="I104" t="s">
        <v>17</v>
      </c>
      <c r="J104" t="s">
        <v>4499</v>
      </c>
    </row>
    <row r="105" spans="1:10" ht="15" customHeight="1" x14ac:dyDescent="0.25">
      <c r="A105" t="s">
        <v>4500</v>
      </c>
      <c r="B105" t="s">
        <v>3423</v>
      </c>
      <c r="C105" t="s">
        <v>4156</v>
      </c>
      <c r="D105" t="s">
        <v>4501</v>
      </c>
      <c r="F105" t="s">
        <v>1552</v>
      </c>
      <c r="G105" t="s">
        <v>4502</v>
      </c>
      <c r="H105" t="s">
        <v>4503</v>
      </c>
      <c r="I105" t="s">
        <v>17</v>
      </c>
      <c r="J105" t="s">
        <v>3336</v>
      </c>
    </row>
    <row r="106" spans="1:10" ht="15" customHeight="1" x14ac:dyDescent="0.25">
      <c r="A106" t="s">
        <v>4504</v>
      </c>
      <c r="B106" t="s">
        <v>3404</v>
      </c>
      <c r="C106" t="s">
        <v>3412</v>
      </c>
      <c r="D106" t="s">
        <v>4505</v>
      </c>
      <c r="E106" t="s">
        <v>4506</v>
      </c>
      <c r="F106" t="s">
        <v>15</v>
      </c>
      <c r="G106" t="s">
        <v>3489</v>
      </c>
      <c r="H106" t="s">
        <v>4507</v>
      </c>
      <c r="I106" t="s">
        <v>17</v>
      </c>
      <c r="J106" t="s">
        <v>3416</v>
      </c>
    </row>
    <row r="107" spans="1:10" ht="15" customHeight="1" x14ac:dyDescent="0.25">
      <c r="A107" t="s">
        <v>4508</v>
      </c>
      <c r="B107" t="s">
        <v>3411</v>
      </c>
      <c r="C107" t="s">
        <v>3412</v>
      </c>
      <c r="D107" t="s">
        <v>4509</v>
      </c>
      <c r="E107" t="s">
        <v>4510</v>
      </c>
      <c r="F107" t="s">
        <v>15</v>
      </c>
      <c r="G107" t="s">
        <v>3500</v>
      </c>
      <c r="H107" t="s">
        <v>4511</v>
      </c>
      <c r="I107" t="s">
        <v>17</v>
      </c>
      <c r="J107" t="s">
        <v>4106</v>
      </c>
    </row>
    <row r="108" spans="1:10" ht="15" customHeight="1" x14ac:dyDescent="0.25">
      <c r="A108" t="s">
        <v>4512</v>
      </c>
      <c r="B108" t="s">
        <v>3423</v>
      </c>
      <c r="C108" t="s">
        <v>3412</v>
      </c>
      <c r="D108" t="s">
        <v>4513</v>
      </c>
      <c r="E108" t="s">
        <v>4514</v>
      </c>
      <c r="F108" t="s">
        <v>412</v>
      </c>
      <c r="G108" t="s">
        <v>4294</v>
      </c>
      <c r="H108" t="s">
        <v>4515</v>
      </c>
      <c r="I108" t="s">
        <v>17</v>
      </c>
      <c r="J108" t="s">
        <v>3416</v>
      </c>
    </row>
    <row r="109" spans="1:10" ht="15" customHeight="1" x14ac:dyDescent="0.25">
      <c r="A109" t="s">
        <v>4516</v>
      </c>
      <c r="B109" t="s">
        <v>3411</v>
      </c>
      <c r="C109" t="s">
        <v>3456</v>
      </c>
      <c r="D109" t="s">
        <v>4517</v>
      </c>
      <c r="E109" t="s">
        <v>4518</v>
      </c>
      <c r="F109" t="s">
        <v>954</v>
      </c>
      <c r="G109" t="s">
        <v>4519</v>
      </c>
      <c r="H109" t="s">
        <v>4516</v>
      </c>
      <c r="I109" t="s">
        <v>17</v>
      </c>
      <c r="J109" t="s">
        <v>3421</v>
      </c>
    </row>
    <row r="110" spans="1:10" ht="15" customHeight="1" x14ac:dyDescent="0.25">
      <c r="A110" t="s">
        <v>4520</v>
      </c>
      <c r="B110" t="s">
        <v>3423</v>
      </c>
      <c r="C110" t="s">
        <v>4207</v>
      </c>
      <c r="D110" t="s">
        <v>4521</v>
      </c>
      <c r="F110" t="s">
        <v>2511</v>
      </c>
      <c r="G110" t="s">
        <v>4522</v>
      </c>
      <c r="H110" t="s">
        <v>4523</v>
      </c>
      <c r="I110" t="s">
        <v>17</v>
      </c>
      <c r="J110" t="s">
        <v>4106</v>
      </c>
    </row>
    <row r="111" spans="1:10" ht="15" customHeight="1" x14ac:dyDescent="0.25">
      <c r="A111" t="s">
        <v>4524</v>
      </c>
      <c r="B111" t="s">
        <v>3411</v>
      </c>
      <c r="C111" t="s">
        <v>4525</v>
      </c>
      <c r="D111" t="s">
        <v>4526</v>
      </c>
      <c r="F111" t="s">
        <v>2511</v>
      </c>
      <c r="G111" t="s">
        <v>4527</v>
      </c>
      <c r="H111" t="s">
        <v>4528</v>
      </c>
      <c r="I111" t="s">
        <v>17</v>
      </c>
      <c r="J111" t="s">
        <v>3496</v>
      </c>
    </row>
    <row r="112" spans="1:10" ht="15" customHeight="1" x14ac:dyDescent="0.25">
      <c r="A112" t="s">
        <v>4529</v>
      </c>
      <c r="B112" t="s">
        <v>3404</v>
      </c>
      <c r="C112" t="s">
        <v>3412</v>
      </c>
      <c r="D112" t="s">
        <v>4530</v>
      </c>
      <c r="E112" t="s">
        <v>4531</v>
      </c>
      <c r="F112" t="s">
        <v>15</v>
      </c>
      <c r="H112" t="s">
        <v>4532</v>
      </c>
      <c r="I112" t="s">
        <v>17</v>
      </c>
      <c r="J112" t="s">
        <v>3416</v>
      </c>
    </row>
    <row r="113" spans="1:10" ht="15" customHeight="1" x14ac:dyDescent="0.25">
      <c r="A113" t="s">
        <v>4533</v>
      </c>
      <c r="B113" t="s">
        <v>3423</v>
      </c>
      <c r="C113" t="s">
        <v>3412</v>
      </c>
      <c r="D113" t="s">
        <v>4534</v>
      </c>
      <c r="E113" t="s">
        <v>4535</v>
      </c>
      <c r="F113" t="s">
        <v>15</v>
      </c>
      <c r="G113" t="s">
        <v>4266</v>
      </c>
      <c r="H113" t="s">
        <v>4536</v>
      </c>
      <c r="I113" t="s">
        <v>17</v>
      </c>
      <c r="J113" t="s">
        <v>3451</v>
      </c>
    </row>
    <row r="114" spans="1:10" ht="15" customHeight="1" x14ac:dyDescent="0.25">
      <c r="A114" t="s">
        <v>4537</v>
      </c>
      <c r="B114" t="s">
        <v>3411</v>
      </c>
      <c r="C114" t="s">
        <v>3412</v>
      </c>
      <c r="D114" t="s">
        <v>4538</v>
      </c>
      <c r="E114" t="s">
        <v>4539</v>
      </c>
      <c r="F114" t="s">
        <v>15</v>
      </c>
      <c r="G114" t="s">
        <v>4540</v>
      </c>
      <c r="H114" t="s">
        <v>4541</v>
      </c>
      <c r="I114" t="s">
        <v>17</v>
      </c>
      <c r="J114" t="s">
        <v>3336</v>
      </c>
    </row>
    <row r="115" spans="1:10" ht="15" customHeight="1" x14ac:dyDescent="0.25">
      <c r="A115" t="s">
        <v>4542</v>
      </c>
      <c r="B115" t="s">
        <v>3404</v>
      </c>
      <c r="C115" t="s">
        <v>3412</v>
      </c>
      <c r="D115" t="s">
        <v>4543</v>
      </c>
      <c r="E115" t="s">
        <v>4544</v>
      </c>
      <c r="F115" t="s">
        <v>15</v>
      </c>
      <c r="G115" t="s">
        <v>4271</v>
      </c>
      <c r="H115" t="s">
        <v>4542</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4545</v>
      </c>
      <c r="B117" t="s">
        <v>3411</v>
      </c>
      <c r="C117" t="s">
        <v>4156</v>
      </c>
      <c r="D117" t="s">
        <v>4546</v>
      </c>
      <c r="E117" t="s">
        <v>4547</v>
      </c>
      <c r="F117" t="s">
        <v>1552</v>
      </c>
      <c r="G117" t="s">
        <v>4159</v>
      </c>
      <c r="H117" t="s">
        <v>4545</v>
      </c>
      <c r="I117" t="s">
        <v>17</v>
      </c>
      <c r="J117" t="s">
        <v>3421</v>
      </c>
    </row>
    <row r="118" spans="1:10" ht="15" customHeight="1" x14ac:dyDescent="0.25">
      <c r="A118" t="s">
        <v>3516</v>
      </c>
      <c r="B118" t="s">
        <v>3411</v>
      </c>
      <c r="C118" t="s">
        <v>3456</v>
      </c>
      <c r="D118" t="s">
        <v>4548</v>
      </c>
      <c r="E118" t="s">
        <v>4549</v>
      </c>
      <c r="F118" t="s">
        <v>15</v>
      </c>
      <c r="H118" t="s">
        <v>3516</v>
      </c>
      <c r="I118" t="s">
        <v>17</v>
      </c>
      <c r="J118" t="s">
        <v>3421</v>
      </c>
    </row>
    <row r="119" spans="1:10" ht="15" customHeight="1" x14ac:dyDescent="0.25">
      <c r="A119" t="s">
        <v>4550</v>
      </c>
      <c r="B119" t="s">
        <v>3404</v>
      </c>
      <c r="C119" t="s">
        <v>3452</v>
      </c>
      <c r="D119" t="s">
        <v>4551</v>
      </c>
      <c r="F119" t="s">
        <v>2511</v>
      </c>
      <c r="H119" t="s">
        <v>4552</v>
      </c>
      <c r="I119" t="s">
        <v>17</v>
      </c>
      <c r="J119" t="s">
        <v>3496</v>
      </c>
    </row>
    <row r="120" spans="1:10" ht="15" customHeight="1" x14ac:dyDescent="0.25">
      <c r="A120" t="s">
        <v>4553</v>
      </c>
      <c r="B120" t="s">
        <v>3404</v>
      </c>
      <c r="C120" t="s">
        <v>3412</v>
      </c>
      <c r="D120" t="s">
        <v>4554</v>
      </c>
      <c r="E120" t="s">
        <v>4555</v>
      </c>
      <c r="F120" t="s">
        <v>1036</v>
      </c>
      <c r="G120" t="s">
        <v>4556</v>
      </c>
      <c r="H120" t="s">
        <v>4557</v>
      </c>
      <c r="I120" t="s">
        <v>17</v>
      </c>
      <c r="J120" t="s">
        <v>4215</v>
      </c>
    </row>
    <row r="121" spans="1:10" ht="15" customHeight="1" x14ac:dyDescent="0.25">
      <c r="A121" t="s">
        <v>3519</v>
      </c>
      <c r="B121" t="s">
        <v>3520</v>
      </c>
      <c r="C121" t="s">
        <v>4558</v>
      </c>
      <c r="D121" t="s">
        <v>4559</v>
      </c>
      <c r="F121" t="s">
        <v>1698</v>
      </c>
      <c r="G121" t="s">
        <v>3524</v>
      </c>
      <c r="H121" t="s">
        <v>3525</v>
      </c>
      <c r="I121" t="s">
        <v>17</v>
      </c>
      <c r="J121" t="s">
        <v>3451</v>
      </c>
    </row>
    <row r="122" spans="1:10" ht="15" customHeight="1" x14ac:dyDescent="0.25">
      <c r="A122" t="s">
        <v>4560</v>
      </c>
      <c r="B122" t="s">
        <v>3411</v>
      </c>
      <c r="C122" t="s">
        <v>3442</v>
      </c>
      <c r="D122" t="s">
        <v>4561</v>
      </c>
      <c r="E122" t="s">
        <v>4562</v>
      </c>
      <c r="F122" t="s">
        <v>15</v>
      </c>
      <c r="H122" t="s">
        <v>4563</v>
      </c>
      <c r="I122" t="s">
        <v>17</v>
      </c>
      <c r="J122" t="s">
        <v>3416</v>
      </c>
    </row>
    <row r="123" spans="1:10" ht="15" customHeight="1" x14ac:dyDescent="0.25">
      <c r="A123" t="s">
        <v>4564</v>
      </c>
      <c r="B123" t="s">
        <v>3423</v>
      </c>
      <c r="C123" t="s">
        <v>3456</v>
      </c>
      <c r="D123" t="s">
        <v>4565</v>
      </c>
      <c r="E123" t="s">
        <v>4566</v>
      </c>
      <c r="F123" t="s">
        <v>408</v>
      </c>
      <c r="G123" t="s">
        <v>178</v>
      </c>
      <c r="H123" t="s">
        <v>4564</v>
      </c>
      <c r="I123" t="s">
        <v>17</v>
      </c>
      <c r="J123" t="s">
        <v>3421</v>
      </c>
    </row>
    <row r="124" spans="1:10" ht="15" customHeight="1" x14ac:dyDescent="0.25">
      <c r="A124" t="s">
        <v>4567</v>
      </c>
      <c r="B124" t="s">
        <v>3411</v>
      </c>
      <c r="C124" t="s">
        <v>3442</v>
      </c>
      <c r="D124" t="s">
        <v>4568</v>
      </c>
      <c r="E124" t="s">
        <v>4569</v>
      </c>
      <c r="F124" t="s">
        <v>15</v>
      </c>
      <c r="G124" t="s">
        <v>3489</v>
      </c>
      <c r="H124" t="s">
        <v>4567</v>
      </c>
      <c r="I124" t="s">
        <v>17</v>
      </c>
      <c r="J124" t="s">
        <v>4106</v>
      </c>
    </row>
    <row r="125" spans="1:10" ht="15" customHeight="1" x14ac:dyDescent="0.25">
      <c r="A125" t="s">
        <v>4570</v>
      </c>
      <c r="B125" t="s">
        <v>3404</v>
      </c>
      <c r="C125" t="s">
        <v>4571</v>
      </c>
      <c r="D125" t="s">
        <v>4572</v>
      </c>
      <c r="E125" t="s">
        <v>4573</v>
      </c>
      <c r="F125" t="s">
        <v>15</v>
      </c>
      <c r="G125" t="s">
        <v>4083</v>
      </c>
      <c r="H125" t="s">
        <v>4574</v>
      </c>
      <c r="I125" t="s">
        <v>17</v>
      </c>
      <c r="J125" t="s">
        <v>3496</v>
      </c>
    </row>
    <row r="126" spans="1:10" ht="15" customHeight="1" x14ac:dyDescent="0.25">
      <c r="A126" t="s">
        <v>4575</v>
      </c>
      <c r="B126" t="s">
        <v>3423</v>
      </c>
      <c r="C126" t="s">
        <v>3456</v>
      </c>
      <c r="D126" t="s">
        <v>4576</v>
      </c>
      <c r="E126" t="s">
        <v>4577</v>
      </c>
      <c r="F126" t="s">
        <v>408</v>
      </c>
      <c r="G126" t="s">
        <v>3514</v>
      </c>
      <c r="H126" t="s">
        <v>4575</v>
      </c>
      <c r="I126" t="s">
        <v>17</v>
      </c>
      <c r="J126" t="s">
        <v>3421</v>
      </c>
    </row>
    <row r="127" spans="1:10" ht="15" customHeight="1" x14ac:dyDescent="0.25">
      <c r="A127" t="s">
        <v>4578</v>
      </c>
      <c r="B127" t="s">
        <v>3411</v>
      </c>
      <c r="C127" t="s">
        <v>4525</v>
      </c>
      <c r="D127" t="s">
        <v>4579</v>
      </c>
      <c r="E127" t="s">
        <v>4580</v>
      </c>
      <c r="F127" t="s">
        <v>2511</v>
      </c>
      <c r="G127" t="s">
        <v>4581</v>
      </c>
      <c r="H127" t="s">
        <v>4582</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4583</v>
      </c>
      <c r="B1" t="s">
        <v>1</v>
      </c>
      <c r="C1" t="s">
        <v>86</v>
      </c>
      <c r="D1" t="s">
        <v>3540</v>
      </c>
      <c r="E1" t="s">
        <v>4584</v>
      </c>
      <c r="F1" t="s">
        <v>3840</v>
      </c>
      <c r="G1" t="s">
        <v>4585</v>
      </c>
      <c r="H1" t="s">
        <v>4586</v>
      </c>
      <c r="I1" t="s">
        <v>4587</v>
      </c>
      <c r="J1" t="s">
        <v>4588</v>
      </c>
      <c r="K1" t="s">
        <v>4589</v>
      </c>
      <c r="L1" t="s">
        <v>3838</v>
      </c>
      <c r="M1" t="s">
        <v>89</v>
      </c>
    </row>
    <row r="2" spans="1:13" ht="15" customHeight="1" x14ac:dyDescent="0.25">
      <c r="A2" t="s">
        <v>4590</v>
      </c>
      <c r="B2" t="s">
        <v>1552</v>
      </c>
      <c r="C2" t="s">
        <v>40</v>
      </c>
      <c r="D2" t="s">
        <v>50</v>
      </c>
      <c r="E2">
        <v>0</v>
      </c>
      <c r="F2" t="s">
        <v>3411</v>
      </c>
      <c r="G2" t="s">
        <v>4591</v>
      </c>
      <c r="H2" t="s">
        <v>4592</v>
      </c>
      <c r="I2" t="s">
        <v>4593</v>
      </c>
      <c r="J2" t="s">
        <v>4594</v>
      </c>
      <c r="K2" t="s">
        <v>17</v>
      </c>
      <c r="L2" t="s">
        <v>3991</v>
      </c>
      <c r="M2" t="s">
        <v>4595</v>
      </c>
    </row>
    <row r="3" spans="1:13" ht="15" customHeight="1" x14ac:dyDescent="0.25">
      <c r="A3" t="s">
        <v>4596</v>
      </c>
      <c r="B3" t="s">
        <v>1552</v>
      </c>
      <c r="C3" t="s">
        <v>40</v>
      </c>
      <c r="D3" t="s">
        <v>50</v>
      </c>
      <c r="E3">
        <v>0</v>
      </c>
      <c r="F3" t="s">
        <v>3411</v>
      </c>
      <c r="G3" t="s">
        <v>4597</v>
      </c>
      <c r="H3" t="s">
        <v>4598</v>
      </c>
      <c r="I3" t="s">
        <v>4593</v>
      </c>
      <c r="J3" t="s">
        <v>4599</v>
      </c>
      <c r="K3" t="s">
        <v>17</v>
      </c>
      <c r="L3" t="s">
        <v>3991</v>
      </c>
      <c r="M3" t="s">
        <v>178</v>
      </c>
    </row>
    <row r="4" spans="1:13" ht="15" customHeight="1" x14ac:dyDescent="0.25">
      <c r="A4" t="s">
        <v>4600</v>
      </c>
      <c r="B4" t="s">
        <v>15</v>
      </c>
      <c r="C4" t="s">
        <v>44</v>
      </c>
      <c r="D4" t="s">
        <v>50</v>
      </c>
      <c r="E4">
        <v>0</v>
      </c>
      <c r="F4" t="s">
        <v>3423</v>
      </c>
      <c r="G4" t="s">
        <v>4601</v>
      </c>
      <c r="H4" t="s">
        <v>4601</v>
      </c>
      <c r="I4" t="s">
        <v>4593</v>
      </c>
      <c r="J4" t="s">
        <v>4602</v>
      </c>
      <c r="K4">
        <v>1</v>
      </c>
      <c r="L4" t="s">
        <v>3991</v>
      </c>
    </row>
    <row r="5" spans="1:13" ht="15" customHeight="1" x14ac:dyDescent="0.25">
      <c r="A5" t="s">
        <v>4603</v>
      </c>
      <c r="B5" t="s">
        <v>15</v>
      </c>
      <c r="C5" t="s">
        <v>44</v>
      </c>
      <c r="D5" t="s">
        <v>4604</v>
      </c>
      <c r="E5">
        <v>0</v>
      </c>
      <c r="F5" t="s">
        <v>3411</v>
      </c>
      <c r="G5" t="s">
        <v>17</v>
      </c>
      <c r="H5" t="s">
        <v>4605</v>
      </c>
      <c r="I5" t="s">
        <v>4593</v>
      </c>
      <c r="J5" t="s">
        <v>4606</v>
      </c>
      <c r="K5" t="s">
        <v>17</v>
      </c>
      <c r="L5" t="s">
        <v>3991</v>
      </c>
      <c r="M5" t="s">
        <v>4607</v>
      </c>
    </row>
    <row r="9" spans="1:13" ht="15" customHeight="1" x14ac:dyDescent="0.25">
      <c r="A9" t="s">
        <v>4608</v>
      </c>
      <c r="B9" t="s">
        <v>4609</v>
      </c>
      <c r="C9" t="s">
        <v>4610</v>
      </c>
      <c r="F9" t="s">
        <v>4611</v>
      </c>
      <c r="G9" t="s">
        <v>4612</v>
      </c>
      <c r="J9" t="s">
        <v>17</v>
      </c>
    </row>
    <row r="10" spans="1:13" ht="15" customHeight="1" x14ac:dyDescent="0.25">
      <c r="A10" t="s">
        <v>4613</v>
      </c>
      <c r="B10" t="s">
        <v>4614</v>
      </c>
      <c r="C10" t="s">
        <v>4615</v>
      </c>
      <c r="F10" t="s">
        <v>4616</v>
      </c>
      <c r="G10" t="s">
        <v>4617</v>
      </c>
      <c r="J10" t="s">
        <v>4618</v>
      </c>
    </row>
    <row r="11" spans="1:13" ht="15" customHeight="1" x14ac:dyDescent="0.25">
      <c r="A11" t="s">
        <v>4619</v>
      </c>
      <c r="B11" t="s">
        <v>4620</v>
      </c>
      <c r="C11" t="s">
        <v>4621</v>
      </c>
      <c r="F11" t="s">
        <v>4622</v>
      </c>
      <c r="J11" t="s">
        <v>17</v>
      </c>
    </row>
    <row r="12" spans="1:13" ht="15" customHeight="1" x14ac:dyDescent="0.25">
      <c r="A12" t="s">
        <v>4623</v>
      </c>
      <c r="B12" t="s">
        <v>4624</v>
      </c>
      <c r="C12" t="s">
        <v>4625</v>
      </c>
      <c r="F12" t="s">
        <v>4626</v>
      </c>
    </row>
    <row r="13" spans="1:13" ht="15" customHeight="1" x14ac:dyDescent="0.25">
      <c r="A13" t="s">
        <v>4627</v>
      </c>
      <c r="B13" t="s">
        <v>4628</v>
      </c>
      <c r="C13" t="s">
        <v>4629</v>
      </c>
      <c r="F13" t="s">
        <v>4630</v>
      </c>
      <c r="G13" t="s">
        <v>4631</v>
      </c>
      <c r="I13" t="s">
        <v>4632</v>
      </c>
    </row>
    <row r="14" spans="1:13" ht="15" customHeight="1" x14ac:dyDescent="0.25">
      <c r="A14" t="s">
        <v>4633</v>
      </c>
      <c r="B14" t="s">
        <v>4634</v>
      </c>
      <c r="C14" t="s">
        <v>4635</v>
      </c>
      <c r="F14" t="s">
        <v>4636</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3840</v>
      </c>
      <c r="D1" t="s">
        <v>3348</v>
      </c>
      <c r="E1" t="s">
        <v>3399</v>
      </c>
      <c r="F1" t="s">
        <v>4637</v>
      </c>
      <c r="G1" t="s">
        <v>3400</v>
      </c>
      <c r="H1" t="s">
        <v>4638</v>
      </c>
      <c r="I1" t="s">
        <v>4639</v>
      </c>
      <c r="J1" t="s">
        <v>4588</v>
      </c>
      <c r="K1" t="s">
        <v>89</v>
      </c>
    </row>
    <row r="2" spans="1:11" ht="15" customHeight="1" x14ac:dyDescent="0.25">
      <c r="A2" t="s">
        <v>4627</v>
      </c>
      <c r="B2" t="s">
        <v>4640</v>
      </c>
      <c r="C2" t="s">
        <v>3423</v>
      </c>
      <c r="D2" t="s">
        <v>4641</v>
      </c>
      <c r="E2" t="s">
        <v>4642</v>
      </c>
      <c r="F2" t="s">
        <v>4643</v>
      </c>
      <c r="G2" t="s">
        <v>2511</v>
      </c>
      <c r="H2" t="s">
        <v>4644</v>
      </c>
      <c r="I2" t="s">
        <v>4645</v>
      </c>
      <c r="J2" t="s">
        <v>4646</v>
      </c>
    </row>
    <row r="3" spans="1:11" ht="15" customHeight="1" x14ac:dyDescent="0.25">
      <c r="A3" t="s">
        <v>4647</v>
      </c>
      <c r="B3" t="s">
        <v>4648</v>
      </c>
      <c r="C3" t="s">
        <v>3411</v>
      </c>
      <c r="D3" t="s">
        <v>4649</v>
      </c>
      <c r="E3" t="s">
        <v>4650</v>
      </c>
      <c r="F3" t="s">
        <v>4651</v>
      </c>
      <c r="G3" t="s">
        <v>1552</v>
      </c>
      <c r="J3" t="s">
        <v>4652</v>
      </c>
    </row>
    <row r="4" spans="1:11" ht="15" customHeight="1" x14ac:dyDescent="0.25">
      <c r="A4" t="s">
        <v>4653</v>
      </c>
      <c r="B4" t="s">
        <v>4648</v>
      </c>
      <c r="C4" t="s">
        <v>3411</v>
      </c>
      <c r="D4" t="s">
        <v>4654</v>
      </c>
      <c r="E4" t="s">
        <v>4655</v>
      </c>
      <c r="F4" t="s">
        <v>4656</v>
      </c>
      <c r="G4" t="s">
        <v>954</v>
      </c>
      <c r="J4" t="s">
        <v>4657</v>
      </c>
    </row>
    <row r="5" spans="1:11" ht="15" customHeight="1" x14ac:dyDescent="0.25">
      <c r="A5" t="s">
        <v>4658</v>
      </c>
      <c r="B5" t="s">
        <v>3496</v>
      </c>
      <c r="C5" t="s">
        <v>3411</v>
      </c>
      <c r="D5" t="s">
        <v>4659</v>
      </c>
      <c r="E5" t="s">
        <v>4660</v>
      </c>
      <c r="F5" t="s">
        <v>17</v>
      </c>
      <c r="G5" t="s">
        <v>2027</v>
      </c>
      <c r="J5" t="s">
        <v>4661</v>
      </c>
    </row>
    <row r="6" spans="1:11" ht="15" customHeight="1" x14ac:dyDescent="0.25">
      <c r="A6" t="s">
        <v>4662</v>
      </c>
      <c r="B6" t="s">
        <v>3496</v>
      </c>
      <c r="C6" t="s">
        <v>3404</v>
      </c>
      <c r="D6" t="s">
        <v>4663</v>
      </c>
      <c r="E6" t="s">
        <v>4664</v>
      </c>
      <c r="F6" t="s">
        <v>17</v>
      </c>
      <c r="G6" t="s">
        <v>2027</v>
      </c>
      <c r="J6" t="s">
        <v>4665</v>
      </c>
    </row>
    <row r="7" spans="1:11" ht="15" customHeight="1" x14ac:dyDescent="0.25">
      <c r="A7" t="s">
        <v>4666</v>
      </c>
      <c r="B7" t="s">
        <v>4667</v>
      </c>
      <c r="C7" t="s">
        <v>3411</v>
      </c>
      <c r="D7" t="s">
        <v>4668</v>
      </c>
      <c r="E7" t="s">
        <v>4669</v>
      </c>
      <c r="F7" t="s">
        <v>17</v>
      </c>
      <c r="G7" t="s">
        <v>667</v>
      </c>
      <c r="J7" t="s">
        <v>4670</v>
      </c>
    </row>
    <row r="8" spans="1:11" ht="15" customHeight="1" x14ac:dyDescent="0.25">
      <c r="A8" t="s">
        <v>4671</v>
      </c>
      <c r="B8" t="s">
        <v>4640</v>
      </c>
      <c r="C8" t="s">
        <v>3404</v>
      </c>
      <c r="D8" t="s">
        <v>4672</v>
      </c>
      <c r="E8" t="s">
        <v>4673</v>
      </c>
      <c r="F8" t="s">
        <v>17</v>
      </c>
      <c r="G8" t="s">
        <v>2511</v>
      </c>
      <c r="H8" t="s">
        <v>4674</v>
      </c>
      <c r="I8" t="s">
        <v>4675</v>
      </c>
      <c r="J8" t="s">
        <v>4676</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4677</v>
      </c>
      <c r="E1" t="s">
        <v>4678</v>
      </c>
      <c r="F1" t="s">
        <v>4679</v>
      </c>
      <c r="G1" t="s">
        <v>3545</v>
      </c>
      <c r="H1" t="s">
        <v>1</v>
      </c>
      <c r="I1" t="s">
        <v>4680</v>
      </c>
      <c r="J1" t="s">
        <v>4681</v>
      </c>
      <c r="K1" t="s">
        <v>90</v>
      </c>
      <c r="L1" t="s">
        <v>4682</v>
      </c>
      <c r="M1" t="s">
        <v>3546</v>
      </c>
    </row>
    <row r="2" spans="1:13" ht="27.75" customHeight="1" x14ac:dyDescent="0.25">
      <c r="A2" t="s">
        <v>3614</v>
      </c>
      <c r="B2" t="s">
        <v>4683</v>
      </c>
      <c r="C2" t="s">
        <v>4010</v>
      </c>
      <c r="D2">
        <v>2</v>
      </c>
      <c r="E2">
        <v>48</v>
      </c>
      <c r="F2">
        <v>54</v>
      </c>
      <c r="G2" t="s">
        <v>17</v>
      </c>
      <c r="H2" t="s">
        <v>15</v>
      </c>
      <c r="I2" t="s">
        <v>4043</v>
      </c>
      <c r="J2" s="4" t="s">
        <v>4684</v>
      </c>
      <c r="K2" t="s">
        <v>3614</v>
      </c>
      <c r="L2" t="s">
        <v>17</v>
      </c>
    </row>
    <row r="3" spans="1:13" ht="41.25" customHeight="1" x14ac:dyDescent="0.25">
      <c r="A3" t="s">
        <v>3643</v>
      </c>
      <c r="B3" t="s">
        <v>4683</v>
      </c>
      <c r="C3" t="s">
        <v>4014</v>
      </c>
      <c r="D3">
        <v>6</v>
      </c>
      <c r="E3">
        <v>114</v>
      </c>
      <c r="F3">
        <v>120</v>
      </c>
      <c r="G3" t="s">
        <v>17</v>
      </c>
      <c r="H3" t="s">
        <v>15</v>
      </c>
      <c r="I3" t="s">
        <v>4043</v>
      </c>
      <c r="J3" s="4" t="s">
        <v>4685</v>
      </c>
      <c r="K3" t="s">
        <v>3643</v>
      </c>
      <c r="L3" t="s">
        <v>17</v>
      </c>
    </row>
    <row r="4" spans="1:13" ht="15" customHeight="1" x14ac:dyDescent="0.25">
      <c r="A4" t="s">
        <v>3651</v>
      </c>
      <c r="B4" t="s">
        <v>4683</v>
      </c>
      <c r="C4" t="s">
        <v>4686</v>
      </c>
      <c r="D4">
        <v>9</v>
      </c>
      <c r="E4">
        <v>999</v>
      </c>
      <c r="F4">
        <v>999</v>
      </c>
      <c r="G4" t="s">
        <v>4687</v>
      </c>
      <c r="H4" t="s">
        <v>15</v>
      </c>
      <c r="I4" t="s">
        <v>4043</v>
      </c>
      <c r="J4" t="s">
        <v>4688</v>
      </c>
      <c r="K4" t="s">
        <v>3651</v>
      </c>
      <c r="L4" t="s">
        <v>17</v>
      </c>
    </row>
    <row r="5" spans="1:13" ht="54.75" customHeight="1" x14ac:dyDescent="0.25">
      <c r="A5" t="s">
        <v>4689</v>
      </c>
      <c r="B5" t="s">
        <v>4683</v>
      </c>
      <c r="C5" t="s">
        <v>4010</v>
      </c>
      <c r="D5">
        <v>3</v>
      </c>
      <c r="E5">
        <v>40</v>
      </c>
      <c r="F5">
        <v>44</v>
      </c>
      <c r="G5" t="s">
        <v>17</v>
      </c>
      <c r="H5" t="s">
        <v>15</v>
      </c>
      <c r="I5" t="s">
        <v>4043</v>
      </c>
      <c r="J5" s="4" t="s">
        <v>4690</v>
      </c>
      <c r="K5" t="s">
        <v>4691</v>
      </c>
      <c r="L5" t="s">
        <v>17</v>
      </c>
    </row>
    <row r="6" spans="1:13" ht="27.75" customHeight="1" x14ac:dyDescent="0.25">
      <c r="A6" t="s">
        <v>4692</v>
      </c>
      <c r="B6" t="s">
        <v>4683</v>
      </c>
      <c r="C6" t="s">
        <v>4010</v>
      </c>
      <c r="D6">
        <v>1</v>
      </c>
      <c r="E6">
        <v>10</v>
      </c>
      <c r="F6">
        <v>15</v>
      </c>
      <c r="G6" t="s">
        <v>4693</v>
      </c>
      <c r="H6" t="s">
        <v>15</v>
      </c>
      <c r="I6" t="s">
        <v>4043</v>
      </c>
      <c r="J6" s="4" t="s">
        <v>4694</v>
      </c>
      <c r="K6" t="s">
        <v>4695</v>
      </c>
      <c r="L6" t="s">
        <v>17</v>
      </c>
      <c r="M6" t="s">
        <v>4283</v>
      </c>
    </row>
    <row r="7" spans="1:13" ht="27.75" customHeight="1" x14ac:dyDescent="0.25">
      <c r="A7" t="s">
        <v>4696</v>
      </c>
      <c r="B7" t="s">
        <v>4683</v>
      </c>
      <c r="C7" t="s">
        <v>4010</v>
      </c>
      <c r="D7">
        <v>1</v>
      </c>
      <c r="E7">
        <v>11</v>
      </c>
      <c r="F7">
        <v>17</v>
      </c>
      <c r="G7" t="s">
        <v>4693</v>
      </c>
      <c r="H7" t="s">
        <v>15</v>
      </c>
      <c r="I7" t="s">
        <v>4043</v>
      </c>
      <c r="J7" s="4" t="s">
        <v>4697</v>
      </c>
      <c r="K7" t="s">
        <v>4698</v>
      </c>
      <c r="L7" t="s">
        <v>17</v>
      </c>
      <c r="M7" t="s">
        <v>4283</v>
      </c>
    </row>
    <row r="8" spans="1:13" ht="41.25" customHeight="1" x14ac:dyDescent="0.25">
      <c r="A8" t="s">
        <v>4699</v>
      </c>
      <c r="B8" t="s">
        <v>4683</v>
      </c>
      <c r="C8" t="s">
        <v>4010</v>
      </c>
      <c r="D8">
        <v>4</v>
      </c>
      <c r="E8">
        <v>65</v>
      </c>
      <c r="F8">
        <v>69</v>
      </c>
      <c r="G8" t="s">
        <v>4700</v>
      </c>
      <c r="H8" t="s">
        <v>15</v>
      </c>
      <c r="I8" t="s">
        <v>4043</v>
      </c>
      <c r="J8" s="4" t="s">
        <v>4701</v>
      </c>
      <c r="K8" t="s">
        <v>4702</v>
      </c>
      <c r="L8" t="s">
        <v>17</v>
      </c>
      <c r="M8" t="s">
        <v>3639</v>
      </c>
    </row>
    <row r="9" spans="1:13" ht="41.25" customHeight="1" x14ac:dyDescent="0.25">
      <c r="A9" t="s">
        <v>4703</v>
      </c>
      <c r="B9" t="s">
        <v>4683</v>
      </c>
      <c r="C9" t="s">
        <v>4010</v>
      </c>
      <c r="D9">
        <v>2</v>
      </c>
      <c r="E9">
        <v>28</v>
      </c>
      <c r="F9">
        <v>32</v>
      </c>
      <c r="G9" t="s">
        <v>17</v>
      </c>
      <c r="H9" t="s">
        <v>15</v>
      </c>
      <c r="I9" t="s">
        <v>4043</v>
      </c>
      <c r="J9" s="4" t="s">
        <v>4704</v>
      </c>
      <c r="K9" t="s">
        <v>4705</v>
      </c>
      <c r="L9" t="s">
        <v>17</v>
      </c>
      <c r="M9" t="s">
        <v>3639</v>
      </c>
    </row>
    <row r="10" spans="1:13" ht="27.75" customHeight="1" x14ac:dyDescent="0.25">
      <c r="A10" t="s">
        <v>4706</v>
      </c>
      <c r="B10" t="s">
        <v>4683</v>
      </c>
      <c r="C10" t="s">
        <v>4010</v>
      </c>
      <c r="D10">
        <v>1</v>
      </c>
      <c r="E10">
        <v>8</v>
      </c>
      <c r="F10">
        <v>12</v>
      </c>
      <c r="G10" t="s">
        <v>17</v>
      </c>
      <c r="H10" t="s">
        <v>15</v>
      </c>
      <c r="I10" t="s">
        <v>4043</v>
      </c>
      <c r="J10" s="4" t="s">
        <v>4707</v>
      </c>
      <c r="K10" t="s">
        <v>4708</v>
      </c>
      <c r="L10" t="s">
        <v>17</v>
      </c>
      <c r="M10" t="s">
        <v>3639</v>
      </c>
    </row>
    <row r="11" spans="1:13" ht="27.75" customHeight="1" x14ac:dyDescent="0.25">
      <c r="A11" t="s">
        <v>3636</v>
      </c>
      <c r="B11" t="s">
        <v>4683</v>
      </c>
      <c r="C11" t="s">
        <v>4010</v>
      </c>
      <c r="D11">
        <v>4</v>
      </c>
      <c r="E11">
        <v>64</v>
      </c>
      <c r="F11">
        <v>70</v>
      </c>
      <c r="G11" t="s">
        <v>4709</v>
      </c>
      <c r="H11" t="s">
        <v>15</v>
      </c>
      <c r="I11" t="s">
        <v>4043</v>
      </c>
      <c r="J11" s="4" t="s">
        <v>4710</v>
      </c>
      <c r="K11" t="s">
        <v>3638</v>
      </c>
      <c r="L11" t="s">
        <v>17</v>
      </c>
      <c r="M11" t="s">
        <v>3639</v>
      </c>
    </row>
    <row r="12" spans="1:13" ht="27.75" customHeight="1" x14ac:dyDescent="0.25">
      <c r="A12" t="s">
        <v>4711</v>
      </c>
      <c r="B12" t="s">
        <v>4683</v>
      </c>
      <c r="C12" t="s">
        <v>4010</v>
      </c>
      <c r="D12">
        <v>2</v>
      </c>
      <c r="E12">
        <v>28</v>
      </c>
      <c r="F12">
        <v>32</v>
      </c>
      <c r="G12" t="s">
        <v>17</v>
      </c>
      <c r="H12" t="s">
        <v>15</v>
      </c>
      <c r="I12" t="s">
        <v>4043</v>
      </c>
      <c r="J12" s="4" t="s">
        <v>4712</v>
      </c>
      <c r="K12" t="s">
        <v>4713</v>
      </c>
      <c r="L12" t="s">
        <v>17</v>
      </c>
      <c r="M12" t="s">
        <v>3639</v>
      </c>
    </row>
    <row r="13" spans="1:13" ht="15" customHeight="1" x14ac:dyDescent="0.25">
      <c r="A13" t="s">
        <v>4714</v>
      </c>
      <c r="B13" t="s">
        <v>4683</v>
      </c>
      <c r="C13" t="s">
        <v>4010</v>
      </c>
      <c r="D13">
        <v>1</v>
      </c>
      <c r="E13">
        <v>10</v>
      </c>
      <c r="F13">
        <v>14</v>
      </c>
      <c r="G13" t="s">
        <v>17</v>
      </c>
      <c r="H13" t="s">
        <v>15</v>
      </c>
      <c r="I13" t="s">
        <v>4043</v>
      </c>
      <c r="J13" t="s">
        <v>4715</v>
      </c>
      <c r="K13" t="s">
        <v>4716</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4717</v>
      </c>
      <c r="C1" t="s">
        <v>3540</v>
      </c>
      <c r="D1" t="s">
        <v>4677</v>
      </c>
      <c r="E1" t="s">
        <v>1</v>
      </c>
      <c r="F1" t="s">
        <v>4678</v>
      </c>
      <c r="G1" t="s">
        <v>4679</v>
      </c>
      <c r="H1" t="s">
        <v>4718</v>
      </c>
      <c r="I1" t="s">
        <v>3541</v>
      </c>
      <c r="J1" t="s">
        <v>4719</v>
      </c>
      <c r="K1" t="s">
        <v>4720</v>
      </c>
      <c r="L1" t="s">
        <v>4721</v>
      </c>
      <c r="M1" t="s">
        <v>4722</v>
      </c>
      <c r="N1" t="s">
        <v>4723</v>
      </c>
      <c r="O1" t="s">
        <v>4724</v>
      </c>
      <c r="P1" t="s">
        <v>4725</v>
      </c>
      <c r="Q1" t="s">
        <v>4726</v>
      </c>
      <c r="R1" t="s">
        <v>4727</v>
      </c>
      <c r="S1" t="s">
        <v>3545</v>
      </c>
      <c r="T1" t="s">
        <v>3546</v>
      </c>
    </row>
    <row r="2" spans="1:20" ht="15" customHeight="1" x14ac:dyDescent="0.25">
      <c r="A2" t="s">
        <v>3554</v>
      </c>
      <c r="B2" t="s">
        <v>4728</v>
      </c>
      <c r="C2" t="s">
        <v>4010</v>
      </c>
      <c r="D2">
        <v>1</v>
      </c>
      <c r="E2" t="s">
        <v>408</v>
      </c>
      <c r="F2">
        <v>10</v>
      </c>
      <c r="G2">
        <v>15</v>
      </c>
      <c r="H2">
        <v>80</v>
      </c>
      <c r="I2">
        <v>1</v>
      </c>
      <c r="J2" t="s">
        <v>4729</v>
      </c>
      <c r="K2">
        <v>0</v>
      </c>
      <c r="L2" t="s">
        <v>4730</v>
      </c>
      <c r="M2" t="s">
        <v>4731</v>
      </c>
      <c r="N2" t="s">
        <v>4593</v>
      </c>
      <c r="O2" t="s">
        <v>4732</v>
      </c>
      <c r="R2" t="s">
        <v>4733</v>
      </c>
      <c r="T2" t="s">
        <v>3408</v>
      </c>
    </row>
    <row r="3" spans="1:20" ht="15" customHeight="1" x14ac:dyDescent="0.25">
      <c r="A3" t="s">
        <v>4734</v>
      </c>
      <c r="B3" t="s">
        <v>4735</v>
      </c>
      <c r="C3" t="s">
        <v>4010</v>
      </c>
      <c r="D3">
        <v>2</v>
      </c>
      <c r="E3" t="s">
        <v>2511</v>
      </c>
      <c r="F3">
        <v>16</v>
      </c>
      <c r="G3">
        <v>20</v>
      </c>
      <c r="H3">
        <v>90</v>
      </c>
      <c r="I3">
        <v>1</v>
      </c>
      <c r="J3" t="s">
        <v>4729</v>
      </c>
      <c r="K3">
        <v>0</v>
      </c>
      <c r="L3" t="s">
        <v>4736</v>
      </c>
      <c r="M3" t="s">
        <v>4737</v>
      </c>
      <c r="N3" t="s">
        <v>4593</v>
      </c>
      <c r="Q3" t="s">
        <v>4738</v>
      </c>
      <c r="R3" t="s">
        <v>4739</v>
      </c>
      <c r="S3" t="s">
        <v>4740</v>
      </c>
    </row>
    <row r="4" spans="1:20" ht="15" customHeight="1" x14ac:dyDescent="0.25">
      <c r="A4" t="s">
        <v>4741</v>
      </c>
      <c r="B4" t="s">
        <v>4742</v>
      </c>
      <c r="C4" t="s">
        <v>4010</v>
      </c>
      <c r="D4">
        <v>0</v>
      </c>
      <c r="E4" t="s">
        <v>2511</v>
      </c>
      <c r="F4">
        <v>16</v>
      </c>
      <c r="G4">
        <v>20</v>
      </c>
      <c r="H4">
        <v>60</v>
      </c>
      <c r="I4">
        <v>1</v>
      </c>
      <c r="J4" t="s">
        <v>4743</v>
      </c>
      <c r="K4">
        <v>0</v>
      </c>
      <c r="L4" t="s">
        <v>4744</v>
      </c>
      <c r="M4" t="s">
        <v>4745</v>
      </c>
      <c r="N4" t="s">
        <v>4593</v>
      </c>
      <c r="Q4" t="s">
        <v>4746</v>
      </c>
      <c r="R4" t="s">
        <v>4747</v>
      </c>
    </row>
    <row r="5" spans="1:20" ht="15" customHeight="1" x14ac:dyDescent="0.25">
      <c r="A5" t="s">
        <v>4748</v>
      </c>
      <c r="B5" t="s">
        <v>4749</v>
      </c>
      <c r="C5" t="s">
        <v>4010</v>
      </c>
      <c r="D5">
        <v>2</v>
      </c>
      <c r="E5" t="s">
        <v>2511</v>
      </c>
      <c r="F5">
        <v>16</v>
      </c>
      <c r="G5">
        <v>20</v>
      </c>
      <c r="H5">
        <v>0</v>
      </c>
      <c r="I5">
        <v>1</v>
      </c>
      <c r="J5" t="s">
        <v>4750</v>
      </c>
      <c r="K5">
        <v>0</v>
      </c>
      <c r="L5" t="s">
        <v>4751</v>
      </c>
      <c r="M5" t="s">
        <v>4752</v>
      </c>
      <c r="N5" t="s">
        <v>4593</v>
      </c>
      <c r="R5" t="s">
        <v>4753</v>
      </c>
    </row>
    <row r="6" spans="1:20" ht="15" customHeight="1" x14ac:dyDescent="0.25">
      <c r="A6" t="s">
        <v>4743</v>
      </c>
      <c r="B6" t="s">
        <v>4754</v>
      </c>
      <c r="C6" t="s">
        <v>4010</v>
      </c>
      <c r="D6">
        <v>0</v>
      </c>
      <c r="E6" t="s">
        <v>2511</v>
      </c>
      <c r="F6">
        <v>16</v>
      </c>
      <c r="G6">
        <v>20</v>
      </c>
      <c r="H6">
        <v>70</v>
      </c>
      <c r="I6">
        <v>1</v>
      </c>
      <c r="J6" t="s">
        <v>4743</v>
      </c>
      <c r="K6">
        <v>0</v>
      </c>
      <c r="L6" t="s">
        <v>4736</v>
      </c>
      <c r="M6" t="s">
        <v>4755</v>
      </c>
      <c r="N6" t="s">
        <v>4593</v>
      </c>
      <c r="Q6" t="s">
        <v>4756</v>
      </c>
      <c r="R6" t="s">
        <v>4757</v>
      </c>
    </row>
    <row r="7" spans="1:20" ht="15" customHeight="1" x14ac:dyDescent="0.25">
      <c r="A7" t="s">
        <v>4758</v>
      </c>
      <c r="B7" t="s">
        <v>4759</v>
      </c>
      <c r="C7" t="s">
        <v>4010</v>
      </c>
      <c r="D7">
        <v>2</v>
      </c>
      <c r="E7" t="s">
        <v>408</v>
      </c>
      <c r="F7">
        <v>12</v>
      </c>
      <c r="G7">
        <v>16</v>
      </c>
      <c r="H7">
        <v>70</v>
      </c>
      <c r="I7">
        <v>1</v>
      </c>
      <c r="J7" t="s">
        <v>4760</v>
      </c>
      <c r="K7">
        <v>6</v>
      </c>
      <c r="L7" t="s">
        <v>4761</v>
      </c>
      <c r="M7" t="s">
        <v>4762</v>
      </c>
      <c r="N7" t="s">
        <v>4593</v>
      </c>
      <c r="O7" t="s">
        <v>4732</v>
      </c>
      <c r="P7" t="s">
        <v>4763</v>
      </c>
      <c r="R7" t="s">
        <v>4733</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4667</v>
      </c>
      <c r="D1" t="s">
        <v>4764</v>
      </c>
      <c r="E1" t="s">
        <v>3399</v>
      </c>
    </row>
    <row r="2" spans="1:5" ht="15" customHeight="1" x14ac:dyDescent="0.25">
      <c r="A2" t="s">
        <v>4765</v>
      </c>
      <c r="B2" t="s">
        <v>3644</v>
      </c>
      <c r="C2" t="s">
        <v>4766</v>
      </c>
      <c r="D2" t="s">
        <v>3345</v>
      </c>
    </row>
    <row r="3" spans="1:5" ht="15" customHeight="1" x14ac:dyDescent="0.25">
      <c r="A3" t="s">
        <v>4767</v>
      </c>
      <c r="B3" t="s">
        <v>3644</v>
      </c>
      <c r="C3" t="s">
        <v>4768</v>
      </c>
      <c r="D3" t="s">
        <v>3345</v>
      </c>
    </row>
    <row r="4" spans="1:5" ht="15" customHeight="1" x14ac:dyDescent="0.25">
      <c r="A4" t="s">
        <v>4769</v>
      </c>
      <c r="B4" t="s">
        <v>3644</v>
      </c>
      <c r="C4" t="s">
        <v>3751</v>
      </c>
      <c r="D4" t="s">
        <v>4770</v>
      </c>
    </row>
    <row r="5" spans="1:5" ht="15" customHeight="1" x14ac:dyDescent="0.25">
      <c r="A5" t="s">
        <v>4771</v>
      </c>
      <c r="B5" t="s">
        <v>3644</v>
      </c>
      <c r="C5" t="s">
        <v>4772</v>
      </c>
      <c r="D5" t="s">
        <v>3345</v>
      </c>
    </row>
    <row r="6" spans="1:5" ht="15" customHeight="1" x14ac:dyDescent="0.25">
      <c r="A6" t="s">
        <v>4773</v>
      </c>
      <c r="B6" t="s">
        <v>3644</v>
      </c>
      <c r="C6" t="s">
        <v>4774</v>
      </c>
      <c r="D6" t="s">
        <v>3345</v>
      </c>
    </row>
    <row r="7" spans="1:5" ht="15" customHeight="1" x14ac:dyDescent="0.25">
      <c r="A7" t="s">
        <v>4775</v>
      </c>
      <c r="B7" t="s">
        <v>3644</v>
      </c>
      <c r="C7" t="s">
        <v>4776</v>
      </c>
      <c r="D7" t="s">
        <v>4777</v>
      </c>
    </row>
    <row r="8" spans="1:5" ht="15" customHeight="1" x14ac:dyDescent="0.25">
      <c r="A8" t="s">
        <v>4778</v>
      </c>
      <c r="B8" t="s">
        <v>3644</v>
      </c>
      <c r="C8" t="s">
        <v>4779</v>
      </c>
      <c r="D8" t="s">
        <v>4780</v>
      </c>
    </row>
    <row r="9" spans="1:5" ht="15" customHeight="1" x14ac:dyDescent="0.25">
      <c r="A9" t="s">
        <v>4781</v>
      </c>
      <c r="B9" t="s">
        <v>4782</v>
      </c>
      <c r="C9" t="s">
        <v>4783</v>
      </c>
      <c r="D9" t="s">
        <v>17</v>
      </c>
      <c r="E9" t="s">
        <v>4784</v>
      </c>
    </row>
    <row r="10" spans="1:5" ht="15" customHeight="1" x14ac:dyDescent="0.25">
      <c r="A10" t="s">
        <v>4785</v>
      </c>
      <c r="B10" t="s">
        <v>4782</v>
      </c>
      <c r="C10" t="s">
        <v>4786</v>
      </c>
      <c r="D10" t="s">
        <v>17</v>
      </c>
      <c r="E10" t="s">
        <v>4787</v>
      </c>
    </row>
    <row r="11" spans="1:5" ht="15" customHeight="1" x14ac:dyDescent="0.25">
      <c r="A11" t="s">
        <v>4788</v>
      </c>
      <c r="B11" t="s">
        <v>4782</v>
      </c>
      <c r="C11" t="s">
        <v>4789</v>
      </c>
      <c r="D11" t="s">
        <v>17</v>
      </c>
      <c r="E11" t="s">
        <v>4790</v>
      </c>
    </row>
    <row r="12" spans="1:5" ht="15" customHeight="1" x14ac:dyDescent="0.25">
      <c r="A12" t="s">
        <v>4791</v>
      </c>
      <c r="B12" t="s">
        <v>3644</v>
      </c>
      <c r="C12" t="s">
        <v>4792</v>
      </c>
      <c r="D12" t="s">
        <v>4793</v>
      </c>
    </row>
    <row r="13" spans="1:5" ht="15" customHeight="1" x14ac:dyDescent="0.25">
      <c r="A13" t="s">
        <v>4794</v>
      </c>
      <c r="B13" t="s">
        <v>3644</v>
      </c>
      <c r="C13" t="s">
        <v>4795</v>
      </c>
      <c r="D13" t="s">
        <v>3345</v>
      </c>
    </row>
    <row r="14" spans="1:5" ht="15" customHeight="1" x14ac:dyDescent="0.25">
      <c r="A14" t="s">
        <v>4796</v>
      </c>
      <c r="B14" t="s">
        <v>3644</v>
      </c>
      <c r="C14" t="s">
        <v>4797</v>
      </c>
      <c r="D14" t="s">
        <v>12</v>
      </c>
    </row>
    <row r="15" spans="1:5" ht="15" customHeight="1" x14ac:dyDescent="0.25">
      <c r="A15" t="s">
        <v>4798</v>
      </c>
      <c r="B15" t="s">
        <v>3644</v>
      </c>
      <c r="C15" t="s">
        <v>4799</v>
      </c>
      <c r="D15" t="s">
        <v>3345</v>
      </c>
    </row>
    <row r="16" spans="1:5" ht="15" customHeight="1" x14ac:dyDescent="0.25">
      <c r="A16" t="s">
        <v>4800</v>
      </c>
      <c r="B16" t="s">
        <v>4782</v>
      </c>
      <c r="C16" t="s">
        <v>4801</v>
      </c>
      <c r="D16" t="s">
        <v>17</v>
      </c>
      <c r="E16" t="s">
        <v>4802</v>
      </c>
    </row>
    <row r="17" spans="1:4" ht="15" customHeight="1" x14ac:dyDescent="0.25">
      <c r="A17" t="s">
        <v>4803</v>
      </c>
      <c r="B17" t="s">
        <v>3644</v>
      </c>
      <c r="C17" t="s">
        <v>4804</v>
      </c>
      <c r="D17" t="s">
        <v>4805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4806</v>
      </c>
      <c r="F1" t="s">
        <v>4807</v>
      </c>
      <c r="G1" t="s">
        <v>4808</v>
      </c>
      <c r="H1" t="s">
        <v>3796</v>
      </c>
      <c r="I1" t="s">
        <v>90</v>
      </c>
      <c r="J1" t="s">
        <v>3840</v>
      </c>
      <c r="K1" t="s">
        <v>4809</v>
      </c>
    </row>
    <row r="2" spans="1:11" ht="15" customHeight="1" x14ac:dyDescent="0.25">
      <c r="A2" t="s">
        <v>4810</v>
      </c>
      <c r="B2" t="s">
        <v>4811</v>
      </c>
      <c r="C2" t="s">
        <v>3825</v>
      </c>
      <c r="D2" t="s">
        <v>102</v>
      </c>
      <c r="E2" t="s">
        <v>17</v>
      </c>
      <c r="F2" t="s">
        <v>3991</v>
      </c>
      <c r="G2" t="s">
        <v>50</v>
      </c>
      <c r="H2" t="s">
        <v>3807</v>
      </c>
      <c r="I2" t="s">
        <v>4810</v>
      </c>
      <c r="J2" t="s">
        <v>3423</v>
      </c>
      <c r="K2" t="s">
        <v>17</v>
      </c>
    </row>
    <row r="3" spans="1:11" ht="15" customHeight="1" x14ac:dyDescent="0.25">
      <c r="A3" t="s">
        <v>3417</v>
      </c>
      <c r="B3" t="s">
        <v>4812</v>
      </c>
      <c r="C3" t="s">
        <v>3545</v>
      </c>
      <c r="D3" t="s">
        <v>4593</v>
      </c>
      <c r="E3" t="s">
        <v>17</v>
      </c>
      <c r="F3" t="s">
        <v>3991</v>
      </c>
      <c r="G3" t="s">
        <v>50</v>
      </c>
      <c r="H3" t="s">
        <v>3807</v>
      </c>
      <c r="I3" t="s">
        <v>3417</v>
      </c>
      <c r="J3" t="s">
        <v>3404</v>
      </c>
      <c r="K3" t="s">
        <v>17</v>
      </c>
    </row>
    <row r="4" spans="1:11" ht="15" customHeight="1" x14ac:dyDescent="0.25">
      <c r="A4" t="s">
        <v>4813</v>
      </c>
      <c r="B4" t="s">
        <v>4814</v>
      </c>
      <c r="C4" t="s">
        <v>3833</v>
      </c>
      <c r="D4" t="s">
        <v>102</v>
      </c>
      <c r="E4" t="s">
        <v>17</v>
      </c>
      <c r="F4" t="s">
        <v>4815</v>
      </c>
      <c r="G4" t="s">
        <v>50</v>
      </c>
      <c r="H4" t="s">
        <v>3798</v>
      </c>
      <c r="I4" t="s">
        <v>4813</v>
      </c>
      <c r="J4" t="s">
        <v>3423</v>
      </c>
      <c r="K4" t="s">
        <v>17</v>
      </c>
    </row>
    <row r="5" spans="1:11" ht="15" customHeight="1" x14ac:dyDescent="0.25">
      <c r="A5" t="s">
        <v>4816</v>
      </c>
      <c r="B5" t="s">
        <v>4817</v>
      </c>
      <c r="C5" t="s">
        <v>3825</v>
      </c>
      <c r="D5" t="s">
        <v>102</v>
      </c>
      <c r="E5" t="s">
        <v>17</v>
      </c>
      <c r="F5" t="s">
        <v>3991</v>
      </c>
      <c r="G5" t="s">
        <v>50</v>
      </c>
      <c r="H5" t="s">
        <v>3807</v>
      </c>
      <c r="I5" t="s">
        <v>4818</v>
      </c>
      <c r="J5" t="s">
        <v>3404</v>
      </c>
      <c r="K5" t="s">
        <v>17</v>
      </c>
    </row>
    <row r="6" spans="1:11" ht="15" customHeight="1" x14ac:dyDescent="0.25">
      <c r="A6" t="s">
        <v>4819</v>
      </c>
      <c r="B6" t="s">
        <v>4820</v>
      </c>
      <c r="C6" t="s">
        <v>3833</v>
      </c>
      <c r="D6" t="s">
        <v>102</v>
      </c>
      <c r="E6" t="s">
        <v>17</v>
      </c>
      <c r="F6" t="s">
        <v>4821</v>
      </c>
      <c r="G6" t="s">
        <v>50</v>
      </c>
      <c r="H6" t="s">
        <v>3798</v>
      </c>
      <c r="I6" t="s">
        <v>4819</v>
      </c>
      <c r="J6" t="s">
        <v>3411</v>
      </c>
      <c r="K6" t="s">
        <v>17</v>
      </c>
    </row>
    <row r="7" spans="1:11" ht="15" customHeight="1" x14ac:dyDescent="0.25">
      <c r="A7" t="s">
        <v>4822</v>
      </c>
      <c r="B7" t="s">
        <v>4823</v>
      </c>
      <c r="C7" t="s">
        <v>3825</v>
      </c>
      <c r="D7" t="s">
        <v>102</v>
      </c>
      <c r="E7" t="s">
        <v>17</v>
      </c>
      <c r="F7" t="s">
        <v>4821</v>
      </c>
      <c r="G7" t="s">
        <v>50</v>
      </c>
      <c r="H7" t="s">
        <v>3807</v>
      </c>
      <c r="I7" t="s">
        <v>4822</v>
      </c>
      <c r="J7" t="s">
        <v>3404</v>
      </c>
      <c r="K7" t="s">
        <v>17</v>
      </c>
    </row>
    <row r="8" spans="1:11" ht="15" customHeight="1" x14ac:dyDescent="0.25">
      <c r="A8" t="s">
        <v>4824</v>
      </c>
      <c r="B8" t="s">
        <v>4825</v>
      </c>
      <c r="C8" t="s">
        <v>3825</v>
      </c>
      <c r="D8" t="s">
        <v>102</v>
      </c>
      <c r="E8" t="s">
        <v>17</v>
      </c>
      <c r="F8" t="s">
        <v>3991</v>
      </c>
      <c r="G8" t="s">
        <v>50</v>
      </c>
      <c r="H8" t="s">
        <v>3807</v>
      </c>
      <c r="I8" t="s">
        <v>4824</v>
      </c>
      <c r="J8" t="s">
        <v>3411</v>
      </c>
      <c r="K8" t="s">
        <v>17</v>
      </c>
    </row>
    <row r="9" spans="1:11" ht="15" customHeight="1" x14ac:dyDescent="0.25">
      <c r="A9" t="s">
        <v>4826</v>
      </c>
      <c r="B9" t="s">
        <v>4827</v>
      </c>
      <c r="C9" t="s">
        <v>3833</v>
      </c>
      <c r="D9" t="s">
        <v>102</v>
      </c>
      <c r="E9" t="s">
        <v>17</v>
      </c>
      <c r="F9" t="s">
        <v>3991</v>
      </c>
      <c r="G9" t="s">
        <v>50</v>
      </c>
      <c r="H9" t="s">
        <v>3798</v>
      </c>
      <c r="I9" t="s">
        <v>4826</v>
      </c>
      <c r="J9" t="s">
        <v>3411</v>
      </c>
      <c r="K9" t="s">
        <v>17</v>
      </c>
    </row>
    <row r="10" spans="1:11" ht="15" customHeight="1" x14ac:dyDescent="0.25">
      <c r="A10" t="s">
        <v>4828</v>
      </c>
      <c r="B10" t="s">
        <v>4829</v>
      </c>
      <c r="C10" t="s">
        <v>3825</v>
      </c>
      <c r="D10" t="s">
        <v>102</v>
      </c>
      <c r="E10" t="s">
        <v>17</v>
      </c>
      <c r="F10" t="s">
        <v>4830</v>
      </c>
      <c r="G10" t="s">
        <v>50</v>
      </c>
      <c r="H10" t="s">
        <v>3807</v>
      </c>
      <c r="I10" t="s">
        <v>4828</v>
      </c>
      <c r="J10" t="s">
        <v>3404</v>
      </c>
      <c r="K10" t="s">
        <v>17</v>
      </c>
    </row>
    <row r="11" spans="1:11" ht="15" customHeight="1" x14ac:dyDescent="0.25">
      <c r="A11" t="s">
        <v>4831</v>
      </c>
      <c r="B11" t="s">
        <v>4832</v>
      </c>
      <c r="C11" t="s">
        <v>3833</v>
      </c>
      <c r="D11" t="s">
        <v>102</v>
      </c>
      <c r="E11" t="s">
        <v>17</v>
      </c>
      <c r="F11" t="s">
        <v>4821</v>
      </c>
      <c r="G11" t="s">
        <v>50</v>
      </c>
      <c r="H11" t="s">
        <v>3798</v>
      </c>
      <c r="I11" t="s">
        <v>4831</v>
      </c>
      <c r="J11" t="s">
        <v>3411</v>
      </c>
      <c r="K11" t="s">
        <v>17</v>
      </c>
    </row>
    <row r="12" spans="1:11" ht="15" customHeight="1" x14ac:dyDescent="0.25">
      <c r="A12" t="s">
        <v>4833</v>
      </c>
      <c r="B12" t="s">
        <v>4834</v>
      </c>
      <c r="C12" t="s">
        <v>3825</v>
      </c>
      <c r="D12" t="s">
        <v>102</v>
      </c>
      <c r="E12" t="s">
        <v>17</v>
      </c>
      <c r="F12" t="s">
        <v>4835</v>
      </c>
      <c r="G12" t="s">
        <v>4836</v>
      </c>
      <c r="H12" t="s">
        <v>3807</v>
      </c>
      <c r="I12" t="s">
        <v>4833</v>
      </c>
      <c r="J12" t="s">
        <v>3404</v>
      </c>
      <c r="K12" t="s">
        <v>17</v>
      </c>
    </row>
    <row r="13" spans="1:11" ht="15" customHeight="1" x14ac:dyDescent="0.25">
      <c r="A13" t="s">
        <v>4837</v>
      </c>
      <c r="B13" t="s">
        <v>4838</v>
      </c>
      <c r="C13" t="s">
        <v>3833</v>
      </c>
      <c r="D13" t="s">
        <v>102</v>
      </c>
      <c r="E13" t="s">
        <v>17</v>
      </c>
      <c r="F13" t="s">
        <v>4835</v>
      </c>
      <c r="G13" t="s">
        <v>4839</v>
      </c>
      <c r="H13" t="s">
        <v>3798</v>
      </c>
      <c r="I13" t="s">
        <v>4837</v>
      </c>
      <c r="J13" t="s">
        <v>17</v>
      </c>
      <c r="K13" t="s">
        <v>17</v>
      </c>
    </row>
    <row r="14" spans="1:11" ht="15" customHeight="1" x14ac:dyDescent="0.25">
      <c r="A14" t="s">
        <v>4840</v>
      </c>
      <c r="B14" t="s">
        <v>4841</v>
      </c>
      <c r="C14" t="s">
        <v>3833</v>
      </c>
      <c r="D14" t="s">
        <v>102</v>
      </c>
      <c r="E14" t="s">
        <v>17</v>
      </c>
      <c r="F14" t="s">
        <v>4821</v>
      </c>
      <c r="G14" t="s">
        <v>4836</v>
      </c>
      <c r="H14" t="s">
        <v>3798</v>
      </c>
      <c r="I14" t="s">
        <v>4840</v>
      </c>
      <c r="J14" t="s">
        <v>17</v>
      </c>
      <c r="K14" t="s">
        <v>17</v>
      </c>
    </row>
    <row r="15" spans="1:11" ht="15" customHeight="1" x14ac:dyDescent="0.25">
      <c r="A15" t="s">
        <v>4842</v>
      </c>
      <c r="B15" t="s">
        <v>4843</v>
      </c>
      <c r="C15" t="s">
        <v>3833</v>
      </c>
      <c r="D15" t="s">
        <v>102</v>
      </c>
      <c r="E15" t="s">
        <v>17</v>
      </c>
      <c r="F15" t="s">
        <v>3991</v>
      </c>
      <c r="G15" t="s">
        <v>4839</v>
      </c>
      <c r="H15" t="s">
        <v>3798</v>
      </c>
      <c r="I15" t="s">
        <v>4844</v>
      </c>
      <c r="J15" t="s">
        <v>17</v>
      </c>
      <c r="K15" t="s">
        <v>17</v>
      </c>
    </row>
    <row r="16" spans="1:11" ht="15" customHeight="1" x14ac:dyDescent="0.25">
      <c r="A16" t="s">
        <v>4845</v>
      </c>
      <c r="B16" t="s">
        <v>4846</v>
      </c>
      <c r="C16" t="s">
        <v>3545</v>
      </c>
      <c r="D16" t="s">
        <v>4593</v>
      </c>
      <c r="E16" t="s">
        <v>17</v>
      </c>
      <c r="F16" t="s">
        <v>3991</v>
      </c>
      <c r="G16" t="s">
        <v>50</v>
      </c>
      <c r="H16" t="s">
        <v>3807</v>
      </c>
      <c r="I16" t="s">
        <v>4847</v>
      </c>
      <c r="J16" t="s">
        <v>17</v>
      </c>
      <c r="K16" t="s">
        <v>17</v>
      </c>
    </row>
    <row r="17" spans="1:11" ht="15" customHeight="1" x14ac:dyDescent="0.25">
      <c r="A17" t="s">
        <v>3416</v>
      </c>
      <c r="B17" t="s">
        <v>4848</v>
      </c>
      <c r="C17" t="s">
        <v>3825</v>
      </c>
      <c r="D17" t="s">
        <v>102</v>
      </c>
      <c r="E17" t="s">
        <v>17</v>
      </c>
      <c r="F17" t="s">
        <v>3991</v>
      </c>
      <c r="G17" t="s">
        <v>50</v>
      </c>
      <c r="H17" t="s">
        <v>3807</v>
      </c>
      <c r="I17" t="s">
        <v>3416</v>
      </c>
      <c r="J17" t="s">
        <v>3423</v>
      </c>
      <c r="K17" t="s">
        <v>17</v>
      </c>
    </row>
    <row r="18" spans="1:11" ht="15" customHeight="1" x14ac:dyDescent="0.25">
      <c r="A18" t="s">
        <v>4849</v>
      </c>
      <c r="B18" t="s">
        <v>4850</v>
      </c>
      <c r="C18" t="s">
        <v>3825</v>
      </c>
      <c r="D18" t="s">
        <v>102</v>
      </c>
      <c r="E18" t="s">
        <v>17</v>
      </c>
      <c r="F18" t="s">
        <v>4851</v>
      </c>
      <c r="G18" t="s">
        <v>50</v>
      </c>
      <c r="H18" t="s">
        <v>3807</v>
      </c>
      <c r="I18" t="s">
        <v>4849</v>
      </c>
      <c r="J18" t="s">
        <v>3404</v>
      </c>
      <c r="K18" t="s">
        <v>17</v>
      </c>
    </row>
    <row r="19" spans="1:11" ht="15" customHeight="1" x14ac:dyDescent="0.25">
      <c r="A19" t="s">
        <v>4852</v>
      </c>
      <c r="B19" t="s">
        <v>4853</v>
      </c>
      <c r="C19" t="s">
        <v>3833</v>
      </c>
      <c r="D19" t="s">
        <v>102</v>
      </c>
      <c r="E19" t="s">
        <v>17</v>
      </c>
      <c r="F19" t="s">
        <v>3991</v>
      </c>
      <c r="G19" t="s">
        <v>50</v>
      </c>
      <c r="H19" t="s">
        <v>3798</v>
      </c>
      <c r="I19" t="s">
        <v>4852</v>
      </c>
      <c r="J19" t="s">
        <v>3423</v>
      </c>
      <c r="K19" t="s">
        <v>17</v>
      </c>
    </row>
    <row r="20" spans="1:11" ht="15" customHeight="1" x14ac:dyDescent="0.25">
      <c r="A20" t="s">
        <v>4854</v>
      </c>
      <c r="B20" t="s">
        <v>4855</v>
      </c>
      <c r="C20" t="s">
        <v>3825</v>
      </c>
      <c r="D20" t="s">
        <v>102</v>
      </c>
      <c r="E20" t="s">
        <v>17</v>
      </c>
      <c r="F20" t="s">
        <v>4821</v>
      </c>
      <c r="G20" t="s">
        <v>4836</v>
      </c>
      <c r="H20" t="s">
        <v>3807</v>
      </c>
      <c r="I20" t="s">
        <v>4856</v>
      </c>
      <c r="J20" t="s">
        <v>3404</v>
      </c>
      <c r="K20" t="s">
        <v>17</v>
      </c>
    </row>
    <row r="21" spans="1:11" ht="15" customHeight="1" x14ac:dyDescent="0.25">
      <c r="A21" t="s">
        <v>4857</v>
      </c>
      <c r="B21" t="s">
        <v>4858</v>
      </c>
      <c r="C21" t="s">
        <v>3833</v>
      </c>
      <c r="D21" t="s">
        <v>102</v>
      </c>
      <c r="E21" t="s">
        <v>17</v>
      </c>
      <c r="F21" t="s">
        <v>4821</v>
      </c>
      <c r="G21" t="s">
        <v>50</v>
      </c>
      <c r="H21" t="s">
        <v>3798</v>
      </c>
      <c r="I21" t="s">
        <v>4857</v>
      </c>
      <c r="J21" t="s">
        <v>3404</v>
      </c>
      <c r="K21" t="s">
        <v>17</v>
      </c>
    </row>
    <row r="22" spans="1:11" ht="15" customHeight="1" x14ac:dyDescent="0.25">
      <c r="A22" t="s">
        <v>4859</v>
      </c>
      <c r="B22" t="s">
        <v>4860</v>
      </c>
      <c r="C22" t="s">
        <v>3545</v>
      </c>
      <c r="D22" t="s">
        <v>102</v>
      </c>
      <c r="E22" t="s">
        <v>17</v>
      </c>
      <c r="F22" t="s">
        <v>3991</v>
      </c>
      <c r="G22" t="s">
        <v>4836</v>
      </c>
      <c r="H22" t="s">
        <v>3807</v>
      </c>
      <c r="I22" t="s">
        <v>4859</v>
      </c>
      <c r="J22" t="s">
        <v>17</v>
      </c>
      <c r="K22" t="s">
        <v>17</v>
      </c>
    </row>
    <row r="23" spans="1:11" ht="15" customHeight="1" x14ac:dyDescent="0.25">
      <c r="A23" t="s">
        <v>4861</v>
      </c>
      <c r="B23" t="s">
        <v>4862</v>
      </c>
      <c r="C23" t="s">
        <v>3545</v>
      </c>
      <c r="D23" t="s">
        <v>102</v>
      </c>
      <c r="E23" t="s">
        <v>17</v>
      </c>
      <c r="F23" t="s">
        <v>3991</v>
      </c>
      <c r="G23" t="s">
        <v>4836</v>
      </c>
      <c r="H23" t="s">
        <v>3807</v>
      </c>
      <c r="I23" t="s">
        <v>4861</v>
      </c>
      <c r="J23" t="s">
        <v>17</v>
      </c>
      <c r="K23" t="s">
        <v>17</v>
      </c>
    </row>
    <row r="24" spans="1:11" ht="15" customHeight="1" x14ac:dyDescent="0.25">
      <c r="A24" t="s">
        <v>4863</v>
      </c>
      <c r="B24" t="s">
        <v>4864</v>
      </c>
      <c r="C24" t="s">
        <v>3833</v>
      </c>
      <c r="D24" t="s">
        <v>102</v>
      </c>
      <c r="E24" t="s">
        <v>17</v>
      </c>
      <c r="F24" t="s">
        <v>4821</v>
      </c>
      <c r="G24" t="s">
        <v>50</v>
      </c>
      <c r="H24" t="s">
        <v>3798</v>
      </c>
      <c r="I24" t="s">
        <v>4865</v>
      </c>
      <c r="J24" t="s">
        <v>17</v>
      </c>
      <c r="K24" t="s">
        <v>17</v>
      </c>
    </row>
    <row r="25" spans="1:11" ht="15" customHeight="1" x14ac:dyDescent="0.25">
      <c r="A25" t="s">
        <v>4866</v>
      </c>
      <c r="B25" t="s">
        <v>4867</v>
      </c>
      <c r="C25" t="s">
        <v>3833</v>
      </c>
      <c r="D25" t="s">
        <v>102</v>
      </c>
      <c r="E25" t="s">
        <v>17</v>
      </c>
      <c r="F25" t="s">
        <v>4868</v>
      </c>
      <c r="G25" t="s">
        <v>4836</v>
      </c>
      <c r="H25" t="s">
        <v>3798</v>
      </c>
      <c r="I25" t="s">
        <v>4866</v>
      </c>
      <c r="J25" t="s">
        <v>3423</v>
      </c>
      <c r="K25" t="s">
        <v>17</v>
      </c>
    </row>
    <row r="26" spans="1:11" ht="15" customHeight="1" x14ac:dyDescent="0.25">
      <c r="A26" t="s">
        <v>4869</v>
      </c>
      <c r="B26" t="s">
        <v>4870</v>
      </c>
      <c r="C26" t="s">
        <v>3545</v>
      </c>
      <c r="D26" t="s">
        <v>102</v>
      </c>
      <c r="E26" t="s">
        <v>17</v>
      </c>
      <c r="F26" t="s">
        <v>3991</v>
      </c>
      <c r="G26" t="s">
        <v>4836</v>
      </c>
      <c r="H26" t="s">
        <v>3807</v>
      </c>
      <c r="I26" t="s">
        <v>4871</v>
      </c>
      <c r="J26" t="s">
        <v>17</v>
      </c>
      <c r="K26" t="s">
        <v>17</v>
      </c>
    </row>
    <row r="27" spans="1:11" ht="15" customHeight="1" x14ac:dyDescent="0.25">
      <c r="A27" t="s">
        <v>4872</v>
      </c>
      <c r="B27" t="s">
        <v>4873</v>
      </c>
      <c r="C27" t="s">
        <v>3545</v>
      </c>
      <c r="D27" t="s">
        <v>102</v>
      </c>
      <c r="E27" t="s">
        <v>17</v>
      </c>
      <c r="F27" t="s">
        <v>3991</v>
      </c>
      <c r="G27" t="s">
        <v>4836</v>
      </c>
      <c r="H27" t="s">
        <v>3807</v>
      </c>
      <c r="I27" t="s">
        <v>4874</v>
      </c>
      <c r="J27" t="s">
        <v>17</v>
      </c>
      <c r="K27" t="s">
        <v>17</v>
      </c>
    </row>
    <row r="28" spans="1:11" ht="15" customHeight="1" x14ac:dyDescent="0.25">
      <c r="A28" t="s">
        <v>4875</v>
      </c>
      <c r="B28" t="s">
        <v>4876</v>
      </c>
      <c r="C28" t="s">
        <v>3825</v>
      </c>
      <c r="D28" t="s">
        <v>102</v>
      </c>
      <c r="E28" t="s">
        <v>17</v>
      </c>
      <c r="F28" t="s">
        <v>4835</v>
      </c>
      <c r="G28" t="s">
        <v>50</v>
      </c>
      <c r="H28" t="s">
        <v>3807</v>
      </c>
      <c r="I28" t="s">
        <v>4877</v>
      </c>
      <c r="J28" t="s">
        <v>3423</v>
      </c>
      <c r="K28" t="s">
        <v>17</v>
      </c>
    </row>
    <row r="29" spans="1:11" ht="15" customHeight="1" x14ac:dyDescent="0.25">
      <c r="A29" t="s">
        <v>4878</v>
      </c>
      <c r="B29" t="s">
        <v>4879</v>
      </c>
      <c r="C29" t="s">
        <v>3545</v>
      </c>
      <c r="D29" t="s">
        <v>4593</v>
      </c>
      <c r="E29" t="s">
        <v>17</v>
      </c>
      <c r="F29" t="s">
        <v>4880</v>
      </c>
      <c r="G29" t="s">
        <v>4839</v>
      </c>
      <c r="H29" t="s">
        <v>3798</v>
      </c>
      <c r="I29" t="s">
        <v>4878</v>
      </c>
      <c r="J29" t="s">
        <v>17</v>
      </c>
      <c r="K29" t="s">
        <v>17</v>
      </c>
    </row>
    <row r="30" spans="1:11" ht="15" customHeight="1" x14ac:dyDescent="0.25">
      <c r="A30" t="s">
        <v>4881</v>
      </c>
      <c r="B30" t="s">
        <v>4882</v>
      </c>
      <c r="C30" t="s">
        <v>3545</v>
      </c>
      <c r="D30" t="s">
        <v>4593</v>
      </c>
      <c r="E30" t="s">
        <v>17</v>
      </c>
      <c r="F30" t="s">
        <v>3991</v>
      </c>
      <c r="G30" t="s">
        <v>4839</v>
      </c>
      <c r="H30" t="s">
        <v>3815</v>
      </c>
      <c r="I30" t="s">
        <v>4881</v>
      </c>
      <c r="J30" t="s">
        <v>17</v>
      </c>
      <c r="K30" t="s">
        <v>17</v>
      </c>
    </row>
    <row r="31" spans="1:11" ht="15" customHeight="1" x14ac:dyDescent="0.25">
      <c r="A31" t="s">
        <v>4883</v>
      </c>
      <c r="B31" t="s">
        <v>4884</v>
      </c>
      <c r="C31" t="s">
        <v>3833</v>
      </c>
      <c r="D31" t="s">
        <v>102</v>
      </c>
      <c r="E31" t="s">
        <v>17</v>
      </c>
      <c r="F31" t="s">
        <v>4821</v>
      </c>
      <c r="G31" t="s">
        <v>4836</v>
      </c>
      <c r="H31" t="s">
        <v>3798</v>
      </c>
      <c r="I31" t="s">
        <v>4883</v>
      </c>
      <c r="J31" t="s">
        <v>3411</v>
      </c>
      <c r="K31" t="s">
        <v>17</v>
      </c>
    </row>
    <row r="32" spans="1:11" ht="15" customHeight="1" x14ac:dyDescent="0.25">
      <c r="A32" t="s">
        <v>4885</v>
      </c>
      <c r="B32" t="s">
        <v>4886</v>
      </c>
      <c r="C32" t="s">
        <v>3825</v>
      </c>
      <c r="D32" t="s">
        <v>102</v>
      </c>
      <c r="E32" t="s">
        <v>17</v>
      </c>
      <c r="F32" t="s">
        <v>4821</v>
      </c>
      <c r="G32" t="s">
        <v>50</v>
      </c>
      <c r="H32" t="s">
        <v>3807</v>
      </c>
      <c r="I32" t="s">
        <v>4885</v>
      </c>
      <c r="J32" t="s">
        <v>3404</v>
      </c>
      <c r="K32" t="s">
        <v>17</v>
      </c>
    </row>
    <row r="33" spans="1:11" ht="15" customHeight="1" x14ac:dyDescent="0.25">
      <c r="A33" t="s">
        <v>4887</v>
      </c>
      <c r="B33" t="s">
        <v>4888</v>
      </c>
      <c r="C33" t="s">
        <v>3833</v>
      </c>
      <c r="D33" t="s">
        <v>102</v>
      </c>
      <c r="E33" t="s">
        <v>17</v>
      </c>
      <c r="F33" t="s">
        <v>3991</v>
      </c>
      <c r="G33" t="s">
        <v>50</v>
      </c>
      <c r="H33" t="s">
        <v>3798</v>
      </c>
      <c r="I33" t="s">
        <v>4887</v>
      </c>
      <c r="J33" t="s">
        <v>3423</v>
      </c>
      <c r="K33" t="s">
        <v>17</v>
      </c>
    </row>
    <row r="34" spans="1:11" ht="15" customHeight="1" x14ac:dyDescent="0.25">
      <c r="A34" t="s">
        <v>4889</v>
      </c>
      <c r="B34" t="s">
        <v>4890</v>
      </c>
      <c r="C34" t="s">
        <v>3545</v>
      </c>
      <c r="D34" t="s">
        <v>4593</v>
      </c>
      <c r="E34" t="s">
        <v>17</v>
      </c>
      <c r="F34" t="s">
        <v>3991</v>
      </c>
      <c r="G34" t="s">
        <v>4839</v>
      </c>
      <c r="H34" t="s">
        <v>3807</v>
      </c>
      <c r="I34" t="s">
        <v>4891</v>
      </c>
      <c r="J34" t="s">
        <v>17</v>
      </c>
      <c r="K34" t="s">
        <v>17</v>
      </c>
    </row>
    <row r="35" spans="1:11" ht="15" customHeight="1" x14ac:dyDescent="0.25">
      <c r="A35" t="s">
        <v>4892</v>
      </c>
      <c r="B35" t="s">
        <v>4893</v>
      </c>
      <c r="C35" t="s">
        <v>3825</v>
      </c>
      <c r="D35" t="s">
        <v>4894</v>
      </c>
      <c r="E35" t="s">
        <v>17</v>
      </c>
      <c r="F35" t="s">
        <v>4895</v>
      </c>
      <c r="G35" t="s">
        <v>4836</v>
      </c>
      <c r="H35" t="s">
        <v>3807</v>
      </c>
      <c r="I35" t="s">
        <v>4896</v>
      </c>
      <c r="J35" t="s">
        <v>3411</v>
      </c>
      <c r="K35" t="s">
        <v>17</v>
      </c>
    </row>
    <row r="36" spans="1:11" ht="15" customHeight="1" x14ac:dyDescent="0.25">
      <c r="A36" t="s">
        <v>4897</v>
      </c>
      <c r="B36" t="s">
        <v>4898</v>
      </c>
      <c r="C36" t="s">
        <v>3825</v>
      </c>
      <c r="D36" t="s">
        <v>4894</v>
      </c>
      <c r="E36" t="s">
        <v>17</v>
      </c>
      <c r="F36" t="s">
        <v>4895</v>
      </c>
      <c r="G36" t="s">
        <v>4836</v>
      </c>
      <c r="H36" t="s">
        <v>3807</v>
      </c>
      <c r="I36" t="s">
        <v>4899</v>
      </c>
      <c r="J36" t="s">
        <v>3404</v>
      </c>
      <c r="K36" t="s">
        <v>17</v>
      </c>
    </row>
    <row r="37" spans="1:11" ht="15" customHeight="1" x14ac:dyDescent="0.25">
      <c r="A37" t="s">
        <v>4900</v>
      </c>
      <c r="B37" t="s">
        <v>4901</v>
      </c>
      <c r="C37" t="s">
        <v>3825</v>
      </c>
      <c r="D37" t="s">
        <v>4894</v>
      </c>
      <c r="E37" t="s">
        <v>17</v>
      </c>
      <c r="F37" t="s">
        <v>4895</v>
      </c>
      <c r="G37" t="s">
        <v>4836</v>
      </c>
      <c r="H37" t="s">
        <v>3807</v>
      </c>
      <c r="I37" t="s">
        <v>4902</v>
      </c>
      <c r="J37" t="s">
        <v>3404</v>
      </c>
      <c r="K37" t="s">
        <v>17</v>
      </c>
    </row>
    <row r="38" spans="1:11" ht="15" customHeight="1" x14ac:dyDescent="0.25">
      <c r="A38" t="s">
        <v>4903</v>
      </c>
      <c r="B38" t="s">
        <v>4904</v>
      </c>
      <c r="C38" t="s">
        <v>3833</v>
      </c>
      <c r="D38" t="s">
        <v>4593</v>
      </c>
      <c r="E38" t="s">
        <v>17</v>
      </c>
      <c r="F38" t="s">
        <v>4821</v>
      </c>
      <c r="G38" t="s">
        <v>4836</v>
      </c>
      <c r="H38" t="s">
        <v>3798</v>
      </c>
      <c r="I38" t="s">
        <v>4905</v>
      </c>
      <c r="J38" t="s">
        <v>17</v>
      </c>
      <c r="K38" t="s">
        <v>17</v>
      </c>
    </row>
    <row r="39" spans="1:11" ht="15" customHeight="1" x14ac:dyDescent="0.25">
      <c r="A39" t="s">
        <v>4906</v>
      </c>
      <c r="B39" t="s">
        <v>4907</v>
      </c>
      <c r="C39" t="s">
        <v>3833</v>
      </c>
      <c r="D39" t="s">
        <v>102</v>
      </c>
      <c r="E39" t="s">
        <v>17</v>
      </c>
      <c r="F39" t="s">
        <v>4821</v>
      </c>
      <c r="G39" t="s">
        <v>50</v>
      </c>
      <c r="H39" t="s">
        <v>3798</v>
      </c>
      <c r="I39" t="s">
        <v>4906</v>
      </c>
      <c r="J39" t="s">
        <v>17</v>
      </c>
      <c r="K39" t="s">
        <v>17</v>
      </c>
    </row>
    <row r="40" spans="1:11" ht="15" customHeight="1" x14ac:dyDescent="0.25">
      <c r="A40" t="s">
        <v>4908</v>
      </c>
      <c r="B40" t="s">
        <v>4909</v>
      </c>
      <c r="C40" t="s">
        <v>3825</v>
      </c>
      <c r="D40" t="s">
        <v>102</v>
      </c>
      <c r="E40" t="s">
        <v>17</v>
      </c>
      <c r="F40" t="s">
        <v>3991</v>
      </c>
      <c r="G40" t="s">
        <v>50</v>
      </c>
      <c r="H40" t="s">
        <v>3807</v>
      </c>
      <c r="I40" t="s">
        <v>4908</v>
      </c>
      <c r="J40" t="s">
        <v>3404</v>
      </c>
      <c r="K40" t="s">
        <v>17</v>
      </c>
    </row>
    <row r="41" spans="1:11" ht="15" customHeight="1" x14ac:dyDescent="0.25">
      <c r="A41" t="s">
        <v>4910</v>
      </c>
      <c r="B41" t="s">
        <v>4911</v>
      </c>
      <c r="C41" t="s">
        <v>3545</v>
      </c>
      <c r="D41" t="s">
        <v>4593</v>
      </c>
      <c r="E41" t="s">
        <v>17</v>
      </c>
      <c r="F41" t="s">
        <v>3991</v>
      </c>
      <c r="G41" t="s">
        <v>4839</v>
      </c>
      <c r="H41" t="s">
        <v>3815</v>
      </c>
      <c r="I41" t="s">
        <v>4912</v>
      </c>
      <c r="J41" t="s">
        <v>17</v>
      </c>
      <c r="K41" t="s">
        <v>17</v>
      </c>
    </row>
    <row r="42" spans="1:11" ht="15" customHeight="1" x14ac:dyDescent="0.25">
      <c r="A42" t="s">
        <v>4913</v>
      </c>
      <c r="B42" t="s">
        <v>4914</v>
      </c>
      <c r="C42" t="s">
        <v>3825</v>
      </c>
      <c r="D42" t="s">
        <v>102</v>
      </c>
      <c r="E42" t="s">
        <v>17</v>
      </c>
      <c r="F42" t="s">
        <v>4915</v>
      </c>
      <c r="G42" t="s">
        <v>50</v>
      </c>
      <c r="H42" t="s">
        <v>3807</v>
      </c>
      <c r="I42" t="s">
        <v>4916</v>
      </c>
      <c r="J42" t="s">
        <v>3423</v>
      </c>
      <c r="K42" t="s">
        <v>17</v>
      </c>
    </row>
    <row r="43" spans="1:11" ht="15" customHeight="1" x14ac:dyDescent="0.25">
      <c r="A43" t="s">
        <v>4917</v>
      </c>
      <c r="B43" t="s">
        <v>4918</v>
      </c>
      <c r="C43" t="s">
        <v>3833</v>
      </c>
      <c r="D43" t="s">
        <v>102</v>
      </c>
      <c r="E43" t="s">
        <v>17</v>
      </c>
      <c r="F43" t="s">
        <v>4919</v>
      </c>
      <c r="G43" t="s">
        <v>50</v>
      </c>
      <c r="H43" t="s">
        <v>3798</v>
      </c>
      <c r="I43" t="s">
        <v>4917</v>
      </c>
      <c r="J43" t="s">
        <v>3411</v>
      </c>
      <c r="K43" t="s">
        <v>17</v>
      </c>
    </row>
    <row r="44" spans="1:11" ht="15" customHeight="1" x14ac:dyDescent="0.25">
      <c r="A44" t="s">
        <v>4247</v>
      </c>
      <c r="B44" t="s">
        <v>4920</v>
      </c>
      <c r="C44" t="s">
        <v>3825</v>
      </c>
      <c r="D44" t="s">
        <v>102</v>
      </c>
      <c r="E44" t="s">
        <v>17</v>
      </c>
      <c r="F44" t="s">
        <v>3991</v>
      </c>
      <c r="G44" t="s">
        <v>50</v>
      </c>
      <c r="H44" t="s">
        <v>3807</v>
      </c>
      <c r="I44" t="s">
        <v>4247</v>
      </c>
      <c r="J44" t="s">
        <v>3423</v>
      </c>
      <c r="K44" t="s">
        <v>17</v>
      </c>
    </row>
    <row r="45" spans="1:11" ht="15" customHeight="1" x14ac:dyDescent="0.25">
      <c r="A45" t="s">
        <v>4921</v>
      </c>
      <c r="B45" t="s">
        <v>4922</v>
      </c>
      <c r="C45" t="s">
        <v>3825</v>
      </c>
      <c r="D45" t="s">
        <v>102</v>
      </c>
      <c r="E45" t="s">
        <v>17</v>
      </c>
      <c r="F45" t="s">
        <v>4821</v>
      </c>
      <c r="G45" t="s">
        <v>50</v>
      </c>
      <c r="H45" t="s">
        <v>3807</v>
      </c>
      <c r="I45" t="s">
        <v>4921</v>
      </c>
      <c r="J45" t="s">
        <v>3423</v>
      </c>
      <c r="K45" t="s">
        <v>17</v>
      </c>
    </row>
    <row r="46" spans="1:11" ht="15" customHeight="1" x14ac:dyDescent="0.25">
      <c r="A46" t="s">
        <v>4923</v>
      </c>
      <c r="B46" t="s">
        <v>4924</v>
      </c>
      <c r="C46" t="s">
        <v>3545</v>
      </c>
      <c r="D46" t="s">
        <v>4593</v>
      </c>
      <c r="E46" t="s">
        <v>17</v>
      </c>
      <c r="F46" t="s">
        <v>3991</v>
      </c>
      <c r="G46" t="s">
        <v>4839</v>
      </c>
      <c r="H46" t="s">
        <v>3815</v>
      </c>
      <c r="I46" t="s">
        <v>4923</v>
      </c>
      <c r="J46" t="s">
        <v>17</v>
      </c>
      <c r="K46" t="s">
        <v>17</v>
      </c>
    </row>
    <row r="47" spans="1:11" ht="15" customHeight="1" x14ac:dyDescent="0.25">
      <c r="A47" t="s">
        <v>4925</v>
      </c>
      <c r="B47" t="s">
        <v>4926</v>
      </c>
      <c r="C47" t="s">
        <v>3825</v>
      </c>
      <c r="D47" t="s">
        <v>102</v>
      </c>
      <c r="E47" t="s">
        <v>17</v>
      </c>
      <c r="F47" t="s">
        <v>3991</v>
      </c>
      <c r="G47" t="s">
        <v>50</v>
      </c>
      <c r="H47" t="s">
        <v>3807</v>
      </c>
      <c r="I47" t="s">
        <v>4925</v>
      </c>
      <c r="J47" t="s">
        <v>3404</v>
      </c>
      <c r="K47" t="s">
        <v>17</v>
      </c>
    </row>
    <row r="48" spans="1:11" ht="15" customHeight="1" x14ac:dyDescent="0.25">
      <c r="A48" t="s">
        <v>4927</v>
      </c>
      <c r="B48" t="s">
        <v>4928</v>
      </c>
      <c r="C48" t="s">
        <v>3833</v>
      </c>
      <c r="D48" t="s">
        <v>102</v>
      </c>
      <c r="E48" t="s">
        <v>17</v>
      </c>
      <c r="F48" t="s">
        <v>4929</v>
      </c>
      <c r="G48" t="s">
        <v>50</v>
      </c>
      <c r="H48" t="s">
        <v>3798</v>
      </c>
      <c r="I48" t="s">
        <v>4927</v>
      </c>
      <c r="J48" t="s">
        <v>17</v>
      </c>
      <c r="K48" t="s">
        <v>17</v>
      </c>
    </row>
    <row r="49" spans="1:11" ht="15" customHeight="1" x14ac:dyDescent="0.25">
      <c r="A49" t="s">
        <v>4930</v>
      </c>
      <c r="B49" t="s">
        <v>4931</v>
      </c>
      <c r="C49" t="s">
        <v>3545</v>
      </c>
      <c r="D49" t="s">
        <v>4593</v>
      </c>
      <c r="E49" t="s">
        <v>17</v>
      </c>
      <c r="F49" t="s">
        <v>3991</v>
      </c>
      <c r="G49" t="s">
        <v>4839</v>
      </c>
      <c r="H49" t="s">
        <v>3815</v>
      </c>
      <c r="I49" t="s">
        <v>4930</v>
      </c>
      <c r="J49" t="s">
        <v>17</v>
      </c>
      <c r="K49" t="s">
        <v>17</v>
      </c>
    </row>
    <row r="50" spans="1:11" ht="15" customHeight="1" x14ac:dyDescent="0.25">
      <c r="A50" t="s">
        <v>4932</v>
      </c>
      <c r="B50" t="s">
        <v>4933</v>
      </c>
      <c r="C50" t="s">
        <v>3825</v>
      </c>
      <c r="D50" t="s">
        <v>102</v>
      </c>
      <c r="E50" t="s">
        <v>17</v>
      </c>
      <c r="F50" t="s">
        <v>4895</v>
      </c>
      <c r="G50" t="s">
        <v>50</v>
      </c>
      <c r="H50" t="s">
        <v>3807</v>
      </c>
      <c r="I50" t="s">
        <v>4932</v>
      </c>
      <c r="J50" t="s">
        <v>17</v>
      </c>
      <c r="K50" t="s">
        <v>17</v>
      </c>
    </row>
    <row r="51" spans="1:11" ht="15" customHeight="1" x14ac:dyDescent="0.25">
      <c r="A51" t="s">
        <v>4934</v>
      </c>
      <c r="B51" t="s">
        <v>4935</v>
      </c>
      <c r="C51" t="s">
        <v>3833</v>
      </c>
      <c r="D51" t="s">
        <v>4593</v>
      </c>
      <c r="E51" t="s">
        <v>17</v>
      </c>
      <c r="F51" t="s">
        <v>3991</v>
      </c>
      <c r="G51" t="s">
        <v>50</v>
      </c>
      <c r="H51" t="s">
        <v>3798</v>
      </c>
      <c r="I51" t="s">
        <v>4934</v>
      </c>
      <c r="J51" t="s">
        <v>17</v>
      </c>
      <c r="K51" t="s">
        <v>17</v>
      </c>
    </row>
    <row r="52" spans="1:11" ht="15" customHeight="1" x14ac:dyDescent="0.25">
      <c r="A52" t="s">
        <v>4936</v>
      </c>
      <c r="B52" t="s">
        <v>4937</v>
      </c>
      <c r="C52" t="s">
        <v>3833</v>
      </c>
      <c r="D52" t="s">
        <v>4593</v>
      </c>
      <c r="E52" t="s">
        <v>17</v>
      </c>
      <c r="F52" t="s">
        <v>3991</v>
      </c>
      <c r="G52" t="s">
        <v>50</v>
      </c>
      <c r="H52" t="s">
        <v>3798</v>
      </c>
      <c r="I52" t="s">
        <v>4938</v>
      </c>
      <c r="J52" t="s">
        <v>3404</v>
      </c>
      <c r="K52" t="s">
        <v>17</v>
      </c>
    </row>
    <row r="53" spans="1:11" ht="15" customHeight="1" x14ac:dyDescent="0.25">
      <c r="A53" t="s">
        <v>4939</v>
      </c>
      <c r="B53" t="s">
        <v>4940</v>
      </c>
      <c r="C53" t="s">
        <v>3545</v>
      </c>
      <c r="D53" t="s">
        <v>4593</v>
      </c>
      <c r="E53" t="s">
        <v>17</v>
      </c>
      <c r="F53" t="s">
        <v>3991</v>
      </c>
      <c r="G53" t="s">
        <v>4839</v>
      </c>
      <c r="H53" t="s">
        <v>3807</v>
      </c>
      <c r="I53" t="s">
        <v>4939</v>
      </c>
      <c r="J53" t="s">
        <v>17</v>
      </c>
      <c r="K53" t="s">
        <v>17</v>
      </c>
    </row>
    <row r="54" spans="1:11" ht="15" customHeight="1" x14ac:dyDescent="0.25">
      <c r="A54" t="s">
        <v>4941</v>
      </c>
      <c r="B54" t="s">
        <v>4942</v>
      </c>
      <c r="C54" t="s">
        <v>3545</v>
      </c>
      <c r="D54" t="s">
        <v>4593</v>
      </c>
      <c r="E54" t="s">
        <v>17</v>
      </c>
      <c r="F54" t="s">
        <v>3991</v>
      </c>
      <c r="G54" t="s">
        <v>4839</v>
      </c>
      <c r="H54" t="s">
        <v>3798</v>
      </c>
      <c r="I54" t="s">
        <v>4943</v>
      </c>
      <c r="J54" t="s">
        <v>17</v>
      </c>
      <c r="K54" t="s">
        <v>17</v>
      </c>
    </row>
    <row r="55" spans="1:11" ht="15" customHeight="1" x14ac:dyDescent="0.25">
      <c r="A55" t="s">
        <v>4943</v>
      </c>
      <c r="B55" t="s">
        <v>4944</v>
      </c>
      <c r="C55" t="s">
        <v>3833</v>
      </c>
      <c r="D55" t="s">
        <v>4593</v>
      </c>
      <c r="E55">
        <v>1</v>
      </c>
      <c r="F55" t="s">
        <v>4821</v>
      </c>
      <c r="G55" t="s">
        <v>4839</v>
      </c>
      <c r="H55" t="s">
        <v>3798</v>
      </c>
      <c r="I55" t="s">
        <v>4943</v>
      </c>
      <c r="J55" t="s">
        <v>17</v>
      </c>
      <c r="K55" t="s">
        <v>17</v>
      </c>
    </row>
    <row r="56" spans="1:11" ht="15" customHeight="1" x14ac:dyDescent="0.25">
      <c r="A56" t="s">
        <v>4945</v>
      </c>
      <c r="B56" t="s">
        <v>4946</v>
      </c>
      <c r="C56" t="s">
        <v>3825</v>
      </c>
      <c r="D56" t="s">
        <v>102</v>
      </c>
      <c r="E56" t="s">
        <v>17</v>
      </c>
      <c r="F56" t="s">
        <v>3991</v>
      </c>
      <c r="G56" t="s">
        <v>50</v>
      </c>
      <c r="H56" t="s">
        <v>3807</v>
      </c>
      <c r="I56" t="s">
        <v>4945</v>
      </c>
      <c r="J56" t="s">
        <v>3423</v>
      </c>
      <c r="K56" t="s">
        <v>17</v>
      </c>
    </row>
    <row r="57" spans="1:11" ht="15" customHeight="1" x14ac:dyDescent="0.25">
      <c r="A57" t="s">
        <v>4947</v>
      </c>
      <c r="B57" t="s">
        <v>4948</v>
      </c>
      <c r="C57" t="s">
        <v>4949</v>
      </c>
      <c r="D57" t="s">
        <v>4593</v>
      </c>
      <c r="E57" t="s">
        <v>17</v>
      </c>
      <c r="F57" t="s">
        <v>3991</v>
      </c>
      <c r="G57" t="s">
        <v>4839</v>
      </c>
      <c r="H57" t="s">
        <v>3815</v>
      </c>
      <c r="I57" t="s">
        <v>4947</v>
      </c>
      <c r="J57" t="s">
        <v>17</v>
      </c>
      <c r="K57" t="s">
        <v>17</v>
      </c>
    </row>
    <row r="58" spans="1:11" ht="15" customHeight="1" x14ac:dyDescent="0.25">
      <c r="A58" t="s">
        <v>4950</v>
      </c>
      <c r="B58" t="s">
        <v>4951</v>
      </c>
      <c r="C58" t="s">
        <v>3833</v>
      </c>
      <c r="D58" t="s">
        <v>102</v>
      </c>
      <c r="E58" t="s">
        <v>17</v>
      </c>
      <c r="F58" t="s">
        <v>4821</v>
      </c>
      <c r="G58" t="s">
        <v>50</v>
      </c>
      <c r="H58" t="s">
        <v>3798</v>
      </c>
      <c r="I58" t="s">
        <v>4950</v>
      </c>
      <c r="J58" t="s">
        <v>3411</v>
      </c>
      <c r="K58" t="s">
        <v>17</v>
      </c>
    </row>
    <row r="59" spans="1:11" ht="15" customHeight="1" x14ac:dyDescent="0.25">
      <c r="A59" t="s">
        <v>4952</v>
      </c>
      <c r="B59" t="s">
        <v>4953</v>
      </c>
      <c r="C59" t="s">
        <v>3833</v>
      </c>
      <c r="D59" t="s">
        <v>102</v>
      </c>
      <c r="E59" t="s">
        <v>17</v>
      </c>
      <c r="F59" t="s">
        <v>4821</v>
      </c>
      <c r="G59" t="s">
        <v>50</v>
      </c>
      <c r="H59" t="s">
        <v>3798</v>
      </c>
      <c r="I59" t="s">
        <v>4952</v>
      </c>
      <c r="J59" t="s">
        <v>3411</v>
      </c>
      <c r="K59" t="s">
        <v>17</v>
      </c>
    </row>
    <row r="60" spans="1:11" ht="15" customHeight="1" x14ac:dyDescent="0.25">
      <c r="A60" t="s">
        <v>4954</v>
      </c>
      <c r="B60" t="s">
        <v>4955</v>
      </c>
      <c r="C60" t="s">
        <v>3545</v>
      </c>
      <c r="D60" t="s">
        <v>102</v>
      </c>
      <c r="E60" t="s">
        <v>17</v>
      </c>
      <c r="F60" t="s">
        <v>4835</v>
      </c>
      <c r="G60" t="s">
        <v>4836</v>
      </c>
      <c r="H60" t="s">
        <v>3807</v>
      </c>
      <c r="I60" t="s">
        <v>4956</v>
      </c>
      <c r="J60" t="s">
        <v>17</v>
      </c>
      <c r="K60" t="s">
        <v>17</v>
      </c>
    </row>
    <row r="61" spans="1:11" ht="15" customHeight="1" x14ac:dyDescent="0.25">
      <c r="A61" t="s">
        <v>4957</v>
      </c>
      <c r="B61" t="s">
        <v>4958</v>
      </c>
      <c r="C61" t="s">
        <v>3545</v>
      </c>
      <c r="D61" t="s">
        <v>102</v>
      </c>
      <c r="E61" t="s">
        <v>17</v>
      </c>
      <c r="F61" t="s">
        <v>4821</v>
      </c>
      <c r="G61" t="s">
        <v>50</v>
      </c>
      <c r="H61" t="s">
        <v>3815</v>
      </c>
      <c r="I61" t="s">
        <v>4957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4806</v>
      </c>
      <c r="G1" t="s">
        <v>4807</v>
      </c>
      <c r="H1" t="s">
        <v>4808</v>
      </c>
      <c r="I1" t="s">
        <v>3796</v>
      </c>
      <c r="J1" t="s">
        <v>4959</v>
      </c>
      <c r="K1" t="s">
        <v>3840</v>
      </c>
      <c r="L1" t="s">
        <v>4960</v>
      </c>
      <c r="M1" t="s">
        <v>4961</v>
      </c>
    </row>
    <row r="2" spans="1:13" ht="15" customHeight="1" x14ac:dyDescent="0.25">
      <c r="A2" t="s">
        <v>4810</v>
      </c>
      <c r="B2" t="s">
        <v>4811</v>
      </c>
      <c r="C2" t="s">
        <v>4962</v>
      </c>
      <c r="D2" t="s">
        <v>3825</v>
      </c>
      <c r="E2" t="s">
        <v>102</v>
      </c>
      <c r="F2" t="s">
        <v>17</v>
      </c>
      <c r="G2" t="s">
        <v>3991</v>
      </c>
      <c r="H2" t="s">
        <v>50</v>
      </c>
      <c r="I2" t="s">
        <v>3807</v>
      </c>
      <c r="J2" t="s">
        <v>4810</v>
      </c>
      <c r="K2" t="s">
        <v>3423</v>
      </c>
      <c r="L2" t="s">
        <v>102</v>
      </c>
      <c r="M2" t="s">
        <v>17</v>
      </c>
    </row>
    <row r="3" spans="1:13" ht="15" customHeight="1" x14ac:dyDescent="0.25">
      <c r="A3" t="s">
        <v>4813</v>
      </c>
      <c r="B3" t="s">
        <v>4963</v>
      </c>
      <c r="C3" t="s">
        <v>4964</v>
      </c>
      <c r="D3" t="s">
        <v>3833</v>
      </c>
      <c r="E3" t="s">
        <v>102</v>
      </c>
      <c r="F3" t="s">
        <v>17</v>
      </c>
      <c r="G3" t="s">
        <v>4965</v>
      </c>
      <c r="H3" t="s">
        <v>50</v>
      </c>
      <c r="I3" t="s">
        <v>3798</v>
      </c>
      <c r="J3" t="s">
        <v>4813</v>
      </c>
      <c r="K3" t="s">
        <v>3423</v>
      </c>
      <c r="L3" t="s">
        <v>4593</v>
      </c>
      <c r="M3" t="s">
        <v>4966</v>
      </c>
    </row>
    <row r="4" spans="1:13" ht="15" customHeight="1" x14ac:dyDescent="0.25">
      <c r="A4" t="s">
        <v>4816</v>
      </c>
      <c r="B4" t="s">
        <v>4967</v>
      </c>
      <c r="C4" t="s">
        <v>4968</v>
      </c>
      <c r="D4" t="s">
        <v>3825</v>
      </c>
      <c r="E4" t="s">
        <v>102</v>
      </c>
      <c r="F4" t="s">
        <v>17</v>
      </c>
      <c r="G4" t="s">
        <v>3991</v>
      </c>
      <c r="H4" t="s">
        <v>50</v>
      </c>
      <c r="I4" t="s">
        <v>3807</v>
      </c>
      <c r="J4" t="s">
        <v>4818</v>
      </c>
      <c r="K4" t="s">
        <v>3404</v>
      </c>
      <c r="L4" t="s">
        <v>102</v>
      </c>
      <c r="M4" t="s">
        <v>17</v>
      </c>
    </row>
    <row r="5" spans="1:13" ht="15" customHeight="1" x14ac:dyDescent="0.25">
      <c r="A5" s="5" t="s">
        <v>4819</v>
      </c>
      <c r="B5" s="5" t="s">
        <v>4969</v>
      </c>
      <c r="C5" s="5" t="s">
        <v>4970</v>
      </c>
      <c r="D5" s="5" t="s">
        <v>3833</v>
      </c>
      <c r="E5" s="5" t="s">
        <v>102</v>
      </c>
      <c r="F5" s="5" t="s">
        <v>17</v>
      </c>
      <c r="G5" s="5" t="s">
        <v>4821</v>
      </c>
      <c r="H5" s="5" t="s">
        <v>50</v>
      </c>
      <c r="I5" s="5" t="s">
        <v>3798</v>
      </c>
      <c r="J5" s="5" t="s">
        <v>4819</v>
      </c>
      <c r="K5" s="5" t="s">
        <v>3411</v>
      </c>
      <c r="L5" t="s">
        <v>102</v>
      </c>
      <c r="M5" t="s">
        <v>17</v>
      </c>
    </row>
    <row r="6" spans="1:13" ht="15" customHeight="1" x14ac:dyDescent="0.25">
      <c r="A6" t="s">
        <v>4826</v>
      </c>
      <c r="B6" t="s">
        <v>4971</v>
      </c>
      <c r="C6" t="s">
        <v>4972</v>
      </c>
      <c r="D6" t="s">
        <v>3833</v>
      </c>
      <c r="E6" t="s">
        <v>102</v>
      </c>
      <c r="F6" t="s">
        <v>17</v>
      </c>
      <c r="G6" t="s">
        <v>3991</v>
      </c>
      <c r="H6" t="s">
        <v>50</v>
      </c>
      <c r="I6" t="s">
        <v>3798</v>
      </c>
      <c r="J6" t="s">
        <v>4826</v>
      </c>
      <c r="K6" t="s">
        <v>3411</v>
      </c>
      <c r="L6" t="s">
        <v>102</v>
      </c>
      <c r="M6" t="s">
        <v>17</v>
      </c>
    </row>
    <row r="7" spans="1:13" ht="15" customHeight="1" x14ac:dyDescent="0.25">
      <c r="A7" s="6" t="s">
        <v>4828</v>
      </c>
      <c r="B7" s="7" t="s">
        <v>4829</v>
      </c>
      <c r="C7" s="7" t="s">
        <v>4973</v>
      </c>
      <c r="D7" s="7" t="s">
        <v>3825</v>
      </c>
      <c r="E7" s="7" t="s">
        <v>102</v>
      </c>
      <c r="F7" s="7" t="s">
        <v>17</v>
      </c>
      <c r="G7" s="8" t="s">
        <v>4851</v>
      </c>
      <c r="H7" s="7" t="s">
        <v>50</v>
      </c>
      <c r="I7" s="7" t="s">
        <v>3807</v>
      </c>
      <c r="J7" s="7" t="s">
        <v>4828</v>
      </c>
      <c r="K7" s="7" t="s">
        <v>3404</v>
      </c>
      <c r="L7" t="s">
        <v>102</v>
      </c>
      <c r="M7" t="s">
        <v>17</v>
      </c>
    </row>
    <row r="8" spans="1:13" ht="15" customHeight="1" x14ac:dyDescent="0.25">
      <c r="A8" t="s">
        <v>4831</v>
      </c>
      <c r="B8" t="s">
        <v>4832</v>
      </c>
      <c r="C8" t="s">
        <v>4974</v>
      </c>
      <c r="D8" t="s">
        <v>3833</v>
      </c>
      <c r="E8" t="s">
        <v>102</v>
      </c>
      <c r="F8" t="s">
        <v>17</v>
      </c>
      <c r="G8" t="s">
        <v>4821</v>
      </c>
      <c r="H8" t="s">
        <v>50</v>
      </c>
      <c r="I8" t="s">
        <v>3798</v>
      </c>
      <c r="J8" t="s">
        <v>4831</v>
      </c>
      <c r="K8" t="s">
        <v>3411</v>
      </c>
      <c r="L8" t="s">
        <v>102</v>
      </c>
      <c r="M8" t="s">
        <v>17</v>
      </c>
    </row>
    <row r="9" spans="1:13" ht="15" customHeight="1" x14ac:dyDescent="0.25">
      <c r="A9" t="s">
        <v>4840</v>
      </c>
      <c r="B9" s="9" t="s">
        <v>4975</v>
      </c>
      <c r="C9" s="9" t="s">
        <v>4976</v>
      </c>
      <c r="D9" t="s">
        <v>3833</v>
      </c>
      <c r="E9" t="s">
        <v>102</v>
      </c>
      <c r="F9" t="s">
        <v>17</v>
      </c>
      <c r="G9" t="s">
        <v>4821</v>
      </c>
      <c r="H9" t="s">
        <v>4836</v>
      </c>
      <c r="I9" t="s">
        <v>3798</v>
      </c>
      <c r="J9" t="s">
        <v>4840</v>
      </c>
      <c r="K9" t="s">
        <v>17</v>
      </c>
      <c r="L9" t="s">
        <v>102</v>
      </c>
      <c r="M9" t="s">
        <v>17</v>
      </c>
    </row>
    <row r="10" spans="1:13" ht="15" customHeight="1" x14ac:dyDescent="0.25">
      <c r="A10" t="s">
        <v>4977</v>
      </c>
      <c r="B10" t="s">
        <v>4978</v>
      </c>
      <c r="C10" t="s">
        <v>4979</v>
      </c>
      <c r="D10" t="s">
        <v>3825</v>
      </c>
      <c r="E10" t="s">
        <v>102</v>
      </c>
      <c r="F10" t="s">
        <v>17</v>
      </c>
      <c r="G10" t="s">
        <v>3991</v>
      </c>
      <c r="H10" t="s">
        <v>50</v>
      </c>
      <c r="I10" t="s">
        <v>3807</v>
      </c>
      <c r="J10" t="s">
        <v>4980</v>
      </c>
      <c r="K10" t="s">
        <v>3411</v>
      </c>
      <c r="L10" t="s">
        <v>102</v>
      </c>
      <c r="M10" t="s">
        <v>17</v>
      </c>
    </row>
    <row r="11" spans="1:13" ht="15" customHeight="1" x14ac:dyDescent="0.25">
      <c r="A11" t="s">
        <v>4845</v>
      </c>
      <c r="B11" s="9" t="s">
        <v>4981</v>
      </c>
      <c r="C11" s="9" t="s">
        <v>4982</v>
      </c>
      <c r="D11" t="s">
        <v>3545</v>
      </c>
      <c r="E11" t="s">
        <v>4593</v>
      </c>
      <c r="F11" t="s">
        <v>17</v>
      </c>
      <c r="G11" t="s">
        <v>3991</v>
      </c>
      <c r="H11" t="s">
        <v>50</v>
      </c>
      <c r="I11" t="s">
        <v>3807</v>
      </c>
      <c r="J11" t="s">
        <v>4847</v>
      </c>
      <c r="K11" t="s">
        <v>17</v>
      </c>
      <c r="L11" t="s">
        <v>102</v>
      </c>
      <c r="M11" t="s">
        <v>17</v>
      </c>
    </row>
    <row r="12" spans="1:13" ht="15" customHeight="1" x14ac:dyDescent="0.25">
      <c r="A12" t="s">
        <v>3416</v>
      </c>
      <c r="B12" t="s">
        <v>4848</v>
      </c>
      <c r="C12" t="s">
        <v>4983</v>
      </c>
      <c r="D12" t="s">
        <v>3825</v>
      </c>
      <c r="E12" t="s">
        <v>102</v>
      </c>
      <c r="F12" t="s">
        <v>17</v>
      </c>
      <c r="G12" t="s">
        <v>3991</v>
      </c>
      <c r="H12" t="s">
        <v>50</v>
      </c>
      <c r="I12" t="s">
        <v>3807</v>
      </c>
      <c r="J12" t="s">
        <v>3416</v>
      </c>
      <c r="K12" t="s">
        <v>3423</v>
      </c>
      <c r="L12" t="s">
        <v>102</v>
      </c>
      <c r="M12" t="s">
        <v>17</v>
      </c>
    </row>
    <row r="13" spans="1:13" ht="15" customHeight="1" x14ac:dyDescent="0.25">
      <c r="A13" t="s">
        <v>4849</v>
      </c>
      <c r="B13" t="s">
        <v>4850</v>
      </c>
      <c r="C13" t="s">
        <v>4973</v>
      </c>
      <c r="D13" t="s">
        <v>3825</v>
      </c>
      <c r="E13" t="s">
        <v>102</v>
      </c>
      <c r="F13" t="s">
        <v>17</v>
      </c>
      <c r="G13" t="s">
        <v>4830</v>
      </c>
      <c r="H13" t="s">
        <v>50</v>
      </c>
      <c r="I13" t="s">
        <v>3807</v>
      </c>
      <c r="J13" t="s">
        <v>4849</v>
      </c>
      <c r="K13" t="s">
        <v>3404</v>
      </c>
      <c r="L13" t="s">
        <v>102</v>
      </c>
      <c r="M13" t="s">
        <v>17</v>
      </c>
    </row>
    <row r="14" spans="1:13" ht="15" customHeight="1" x14ac:dyDescent="0.25">
      <c r="A14" t="s">
        <v>4865</v>
      </c>
      <c r="B14" s="9" t="s">
        <v>4864</v>
      </c>
      <c r="C14" s="9" t="s">
        <v>4984</v>
      </c>
      <c r="D14" t="s">
        <v>3833</v>
      </c>
      <c r="E14" t="s">
        <v>102</v>
      </c>
      <c r="F14" t="s">
        <v>17</v>
      </c>
      <c r="G14" t="s">
        <v>4821</v>
      </c>
      <c r="H14" t="s">
        <v>50</v>
      </c>
      <c r="I14" t="s">
        <v>3798</v>
      </c>
      <c r="J14" t="s">
        <v>4865</v>
      </c>
      <c r="K14" t="s">
        <v>17</v>
      </c>
      <c r="L14" t="s">
        <v>102</v>
      </c>
      <c r="M14" t="s">
        <v>17</v>
      </c>
    </row>
    <row r="15" spans="1:13" ht="15" customHeight="1" x14ac:dyDescent="0.25">
      <c r="A15" t="s">
        <v>4866</v>
      </c>
      <c r="B15" t="s">
        <v>4867</v>
      </c>
      <c r="C15" t="s">
        <v>17</v>
      </c>
      <c r="D15" t="s">
        <v>3833</v>
      </c>
      <c r="E15" t="s">
        <v>102</v>
      </c>
      <c r="F15" t="s">
        <v>17</v>
      </c>
      <c r="G15" t="s">
        <v>4868</v>
      </c>
      <c r="H15" t="s">
        <v>4836</v>
      </c>
      <c r="I15" t="s">
        <v>3798</v>
      </c>
      <c r="J15" t="s">
        <v>4866</v>
      </c>
      <c r="K15" t="s">
        <v>3423</v>
      </c>
      <c r="L15" t="s">
        <v>4593</v>
      </c>
      <c r="M15" t="s">
        <v>4985</v>
      </c>
    </row>
    <row r="16" spans="1:13" ht="15" customHeight="1" x14ac:dyDescent="0.25">
      <c r="A16" t="s">
        <v>4883</v>
      </c>
      <c r="B16" t="s">
        <v>4884</v>
      </c>
      <c r="C16" t="s">
        <v>4986</v>
      </c>
      <c r="D16" t="s">
        <v>3833</v>
      </c>
      <c r="E16" t="s">
        <v>102</v>
      </c>
      <c r="F16" t="s">
        <v>17</v>
      </c>
      <c r="G16" t="s">
        <v>4821</v>
      </c>
      <c r="H16" t="s">
        <v>50</v>
      </c>
      <c r="I16" t="s">
        <v>3798</v>
      </c>
      <c r="J16" t="s">
        <v>4883</v>
      </c>
      <c r="K16" t="s">
        <v>3411</v>
      </c>
      <c r="L16" t="s">
        <v>102</v>
      </c>
      <c r="M16" t="s">
        <v>17</v>
      </c>
    </row>
    <row r="17" spans="1:13" ht="15" customHeight="1" x14ac:dyDescent="0.25">
      <c r="A17" t="s">
        <v>4908</v>
      </c>
      <c r="B17" t="s">
        <v>4909</v>
      </c>
      <c r="C17" t="s">
        <v>4987</v>
      </c>
      <c r="D17" t="s">
        <v>3825</v>
      </c>
      <c r="E17" t="s">
        <v>102</v>
      </c>
      <c r="F17" t="s">
        <v>17</v>
      </c>
      <c r="G17" t="s">
        <v>3991</v>
      </c>
      <c r="H17" t="s">
        <v>50</v>
      </c>
      <c r="I17" t="s">
        <v>3807</v>
      </c>
      <c r="J17" t="s">
        <v>4908</v>
      </c>
      <c r="K17" t="s">
        <v>3404</v>
      </c>
      <c r="L17" t="s">
        <v>102</v>
      </c>
      <c r="M17" t="s">
        <v>17</v>
      </c>
    </row>
    <row r="18" spans="1:13" ht="15" customHeight="1" x14ac:dyDescent="0.25">
      <c r="A18" t="s">
        <v>4913</v>
      </c>
      <c r="B18" t="s">
        <v>4914</v>
      </c>
      <c r="C18" t="s">
        <v>4988</v>
      </c>
      <c r="D18" t="s">
        <v>3825</v>
      </c>
      <c r="E18" t="s">
        <v>102</v>
      </c>
      <c r="F18" t="s">
        <v>17</v>
      </c>
      <c r="G18" s="3" t="s">
        <v>4915</v>
      </c>
      <c r="H18" t="s">
        <v>50</v>
      </c>
      <c r="I18" t="s">
        <v>3807</v>
      </c>
      <c r="J18" t="s">
        <v>4916</v>
      </c>
      <c r="K18" t="s">
        <v>3423</v>
      </c>
      <c r="L18" t="s">
        <v>17</v>
      </c>
      <c r="M18" t="s">
        <v>17</v>
      </c>
    </row>
    <row r="19" spans="1:13" ht="15" customHeight="1" x14ac:dyDescent="0.25">
      <c r="A19" t="s">
        <v>4917</v>
      </c>
      <c r="B19" t="s">
        <v>4918</v>
      </c>
      <c r="C19" t="s">
        <v>4989</v>
      </c>
      <c r="D19" t="s">
        <v>3833</v>
      </c>
      <c r="E19" t="s">
        <v>102</v>
      </c>
      <c r="F19" t="s">
        <v>17</v>
      </c>
      <c r="G19" t="s">
        <v>4919</v>
      </c>
      <c r="H19" t="s">
        <v>50</v>
      </c>
      <c r="I19" t="s">
        <v>3798</v>
      </c>
      <c r="J19" t="s">
        <v>4917</v>
      </c>
      <c r="K19" t="s">
        <v>3411</v>
      </c>
      <c r="L19" t="s">
        <v>102</v>
      </c>
      <c r="M19" t="s">
        <v>17</v>
      </c>
    </row>
    <row r="20" spans="1:13" ht="15" customHeight="1" x14ac:dyDescent="0.25">
      <c r="A20" t="s">
        <v>4247</v>
      </c>
      <c r="B20" t="s">
        <v>4920</v>
      </c>
      <c r="C20" t="s">
        <v>4990</v>
      </c>
      <c r="D20" t="s">
        <v>3825</v>
      </c>
      <c r="E20" t="s">
        <v>102</v>
      </c>
      <c r="F20" t="s">
        <v>17</v>
      </c>
      <c r="G20" t="s">
        <v>3991</v>
      </c>
      <c r="H20" t="s">
        <v>50</v>
      </c>
      <c r="I20" t="s">
        <v>3807</v>
      </c>
      <c r="J20" t="s">
        <v>4247</v>
      </c>
      <c r="K20" t="s">
        <v>3423</v>
      </c>
      <c r="L20" t="s">
        <v>102</v>
      </c>
      <c r="M20" t="s">
        <v>17</v>
      </c>
    </row>
    <row r="21" spans="1:13" ht="15" customHeight="1" x14ac:dyDescent="0.25">
      <c r="A21" t="s">
        <v>4921</v>
      </c>
      <c r="B21" t="s">
        <v>4922</v>
      </c>
      <c r="C21" t="s">
        <v>4991</v>
      </c>
      <c r="D21" t="s">
        <v>3825</v>
      </c>
      <c r="E21" t="s">
        <v>102</v>
      </c>
      <c r="F21" t="s">
        <v>17</v>
      </c>
      <c r="G21" t="s">
        <v>4821</v>
      </c>
      <c r="H21" t="s">
        <v>50</v>
      </c>
      <c r="I21" t="s">
        <v>3807</v>
      </c>
      <c r="J21" t="s">
        <v>4921</v>
      </c>
      <c r="K21" t="s">
        <v>3423</v>
      </c>
      <c r="L21" t="s">
        <v>102</v>
      </c>
      <c r="M21" t="s">
        <v>17</v>
      </c>
    </row>
    <row r="22" spans="1:13" ht="15" customHeight="1" x14ac:dyDescent="0.25">
      <c r="A22" t="s">
        <v>4925</v>
      </c>
      <c r="B22" s="9" t="s">
        <v>4926</v>
      </c>
      <c r="C22" s="9" t="s">
        <v>4992</v>
      </c>
      <c r="D22" t="s">
        <v>3825</v>
      </c>
      <c r="E22" t="s">
        <v>102</v>
      </c>
      <c r="F22" t="s">
        <v>17</v>
      </c>
      <c r="G22" t="s">
        <v>3991</v>
      </c>
      <c r="H22" t="s">
        <v>50</v>
      </c>
      <c r="I22" t="s">
        <v>3807</v>
      </c>
      <c r="J22" t="s">
        <v>4925</v>
      </c>
      <c r="K22" t="s">
        <v>3404</v>
      </c>
      <c r="L22" t="s">
        <v>102</v>
      </c>
      <c r="M22" t="s">
        <v>17</v>
      </c>
    </row>
    <row r="23" spans="1:13" ht="15" customHeight="1" x14ac:dyDescent="0.25">
      <c r="A23" t="s">
        <v>4932</v>
      </c>
      <c r="B23" s="9" t="s">
        <v>4993</v>
      </c>
      <c r="C23" s="9" t="s">
        <v>4994</v>
      </c>
      <c r="D23" t="s">
        <v>3825</v>
      </c>
      <c r="E23" t="s">
        <v>102</v>
      </c>
      <c r="F23" t="s">
        <v>17</v>
      </c>
      <c r="G23" t="s">
        <v>4895</v>
      </c>
      <c r="H23" t="s">
        <v>50</v>
      </c>
      <c r="I23" t="s">
        <v>3807</v>
      </c>
      <c r="J23" t="s">
        <v>4932</v>
      </c>
      <c r="K23" t="s">
        <v>17</v>
      </c>
      <c r="L23" t="s">
        <v>102</v>
      </c>
      <c r="M23" t="s">
        <v>17</v>
      </c>
    </row>
    <row r="24" spans="1:13" ht="15" customHeight="1" x14ac:dyDescent="0.25">
      <c r="A24" t="s">
        <v>4934</v>
      </c>
      <c r="B24" s="9" t="s">
        <v>4995</v>
      </c>
      <c r="C24" s="9" t="s">
        <v>4996</v>
      </c>
      <c r="D24" t="s">
        <v>3833</v>
      </c>
      <c r="E24" t="s">
        <v>4593</v>
      </c>
      <c r="F24" t="s">
        <v>17</v>
      </c>
      <c r="G24" t="s">
        <v>3991</v>
      </c>
      <c r="H24" t="s">
        <v>50</v>
      </c>
      <c r="I24" t="s">
        <v>3798</v>
      </c>
      <c r="J24" t="s">
        <v>4934</v>
      </c>
      <c r="K24" t="s">
        <v>17</v>
      </c>
      <c r="L24" t="s">
        <v>102</v>
      </c>
      <c r="M24" t="s">
        <v>17</v>
      </c>
    </row>
    <row r="25" spans="1:13" ht="15" customHeight="1" x14ac:dyDescent="0.25">
      <c r="A25" t="s">
        <v>4936</v>
      </c>
      <c r="B25" t="s">
        <v>4937</v>
      </c>
      <c r="C25" t="s">
        <v>4997</v>
      </c>
      <c r="D25" t="s">
        <v>3833</v>
      </c>
      <c r="E25" t="s">
        <v>4593</v>
      </c>
      <c r="F25" t="s">
        <v>17</v>
      </c>
      <c r="G25" t="s">
        <v>3991</v>
      </c>
      <c r="H25" t="s">
        <v>50</v>
      </c>
      <c r="I25" t="s">
        <v>3798</v>
      </c>
      <c r="J25" t="s">
        <v>4938</v>
      </c>
      <c r="K25" t="s">
        <v>3404</v>
      </c>
      <c r="L25" t="s">
        <v>102</v>
      </c>
      <c r="M25" t="s">
        <v>17</v>
      </c>
    </row>
    <row r="26" spans="1:13" ht="15" customHeight="1" x14ac:dyDescent="0.25">
      <c r="A26" t="s">
        <v>4939</v>
      </c>
      <c r="B26" s="9" t="s">
        <v>4998</v>
      </c>
      <c r="C26" s="9" t="s">
        <v>4999</v>
      </c>
      <c r="D26" t="s">
        <v>3545</v>
      </c>
      <c r="E26" t="s">
        <v>4593</v>
      </c>
      <c r="F26" t="s">
        <v>17</v>
      </c>
      <c r="G26" t="s">
        <v>3991</v>
      </c>
      <c r="H26" t="s">
        <v>4839</v>
      </c>
      <c r="I26" t="s">
        <v>3807</v>
      </c>
      <c r="J26" t="s">
        <v>4939</v>
      </c>
      <c r="K26" t="s">
        <v>17</v>
      </c>
      <c r="L26" t="s">
        <v>102</v>
      </c>
      <c r="M26" t="s">
        <v>17</v>
      </c>
    </row>
    <row r="27" spans="1:13" ht="15" customHeight="1" x14ac:dyDescent="0.25">
      <c r="A27" t="s">
        <v>4945</v>
      </c>
      <c r="B27" t="s">
        <v>5000</v>
      </c>
      <c r="C27" t="s">
        <v>5001</v>
      </c>
      <c r="D27" t="s">
        <v>3825</v>
      </c>
      <c r="E27" t="s">
        <v>102</v>
      </c>
      <c r="F27" t="s">
        <v>17</v>
      </c>
      <c r="G27" t="s">
        <v>3991</v>
      </c>
      <c r="H27" t="s">
        <v>50</v>
      </c>
      <c r="I27" t="s">
        <v>3807</v>
      </c>
      <c r="J27" t="s">
        <v>4945</v>
      </c>
      <c r="K27" t="s">
        <v>3423</v>
      </c>
      <c r="L27" t="s">
        <v>102</v>
      </c>
      <c r="M27" t="s">
        <v>17</v>
      </c>
    </row>
    <row r="28" spans="1:13" ht="15" customHeight="1" x14ac:dyDescent="0.25">
      <c r="A28" t="s">
        <v>4950</v>
      </c>
      <c r="B28" t="s">
        <v>4951</v>
      </c>
      <c r="C28" t="s">
        <v>5002</v>
      </c>
      <c r="D28" t="s">
        <v>3833</v>
      </c>
      <c r="E28" t="s">
        <v>102</v>
      </c>
      <c r="F28" t="s">
        <v>17</v>
      </c>
      <c r="G28" t="s">
        <v>4821</v>
      </c>
      <c r="H28" t="s">
        <v>50</v>
      </c>
      <c r="I28" t="s">
        <v>3798</v>
      </c>
      <c r="J28" t="s">
        <v>4950</v>
      </c>
      <c r="K28" t="s">
        <v>3411</v>
      </c>
      <c r="L28" t="s">
        <v>102</v>
      </c>
      <c r="M28" t="s">
        <v>17</v>
      </c>
    </row>
    <row r="29" spans="1:13" ht="15" customHeight="1" x14ac:dyDescent="0.25">
      <c r="A29" t="s">
        <v>4952</v>
      </c>
      <c r="B29" t="s">
        <v>4953</v>
      </c>
      <c r="C29" t="s">
        <v>5003</v>
      </c>
      <c r="D29" t="s">
        <v>3833</v>
      </c>
      <c r="E29" t="s">
        <v>102</v>
      </c>
      <c r="F29" t="s">
        <v>17</v>
      </c>
      <c r="G29" t="s">
        <v>4821</v>
      </c>
      <c r="H29" t="s">
        <v>50</v>
      </c>
      <c r="I29" t="s">
        <v>3798</v>
      </c>
      <c r="J29" t="s">
        <v>4952</v>
      </c>
      <c r="K29" t="s">
        <v>3411</v>
      </c>
      <c r="L29" t="s">
        <v>102</v>
      </c>
      <c r="M29" t="s">
        <v>17</v>
      </c>
    </row>
    <row r="30" spans="1:13" ht="15" customHeight="1" x14ac:dyDescent="0.25">
      <c r="A30" t="s">
        <v>4943</v>
      </c>
      <c r="B30" t="s">
        <v>4944</v>
      </c>
      <c r="C30" t="s">
        <v>5004</v>
      </c>
      <c r="D30" t="s">
        <v>3833</v>
      </c>
      <c r="E30" t="s">
        <v>4593</v>
      </c>
      <c r="F30">
        <v>1</v>
      </c>
      <c r="G30" t="s">
        <v>4821</v>
      </c>
      <c r="H30" t="s">
        <v>50</v>
      </c>
      <c r="I30" t="s">
        <v>3798</v>
      </c>
      <c r="J30" t="s">
        <v>4943</v>
      </c>
      <c r="K30" t="s">
        <v>17</v>
      </c>
      <c r="L30" t="s">
        <v>102</v>
      </c>
      <c r="M30" t="s">
        <v>5005</v>
      </c>
    </row>
    <row r="31" spans="1:13" ht="60" customHeight="1" x14ac:dyDescent="0.25">
      <c r="A31" t="s">
        <v>4900</v>
      </c>
      <c r="B31" s="9" t="s">
        <v>5006</v>
      </c>
      <c r="C31" s="9" t="s">
        <v>5007</v>
      </c>
      <c r="D31" t="s">
        <v>3825</v>
      </c>
      <c r="E31" t="s">
        <v>102</v>
      </c>
      <c r="F31" t="s">
        <v>17</v>
      </c>
      <c r="G31" t="s">
        <v>4895</v>
      </c>
      <c r="H31" t="s">
        <v>4836</v>
      </c>
      <c r="I31" t="s">
        <v>3807</v>
      </c>
      <c r="J31" t="s">
        <v>4902</v>
      </c>
      <c r="K31" t="s">
        <v>3423</v>
      </c>
      <c r="L31" t="s">
        <v>4593</v>
      </c>
      <c r="M31" s="9" t="s">
        <v>5008</v>
      </c>
    </row>
    <row r="32" spans="1:13" ht="45" customHeight="1" x14ac:dyDescent="0.25">
      <c r="A32" t="s">
        <v>4897</v>
      </c>
      <c r="B32" s="9" t="s">
        <v>5009</v>
      </c>
      <c r="C32" s="9" t="s">
        <v>5010</v>
      </c>
      <c r="D32" t="s">
        <v>3825</v>
      </c>
      <c r="E32" t="s">
        <v>102</v>
      </c>
      <c r="F32" t="s">
        <v>17</v>
      </c>
      <c r="G32" t="s">
        <v>4895</v>
      </c>
      <c r="H32" t="s">
        <v>4836</v>
      </c>
      <c r="I32" t="s">
        <v>3807</v>
      </c>
      <c r="J32" t="s">
        <v>4899</v>
      </c>
      <c r="K32" t="s">
        <v>3423</v>
      </c>
      <c r="L32" t="s">
        <v>4593</v>
      </c>
      <c r="M32" s="9" t="s">
        <v>5011</v>
      </c>
    </row>
    <row r="33" spans="1:13" ht="60" customHeight="1" x14ac:dyDescent="0.25">
      <c r="A33" t="s">
        <v>4903</v>
      </c>
      <c r="B33" s="9" t="s">
        <v>5012</v>
      </c>
      <c r="C33" s="9" t="s">
        <v>5013</v>
      </c>
      <c r="D33" t="s">
        <v>3833</v>
      </c>
      <c r="E33" t="s">
        <v>102</v>
      </c>
      <c r="F33" t="s">
        <v>17</v>
      </c>
      <c r="G33" t="s">
        <v>4821</v>
      </c>
      <c r="H33" t="s">
        <v>4836</v>
      </c>
      <c r="I33" t="s">
        <v>3798</v>
      </c>
      <c r="J33" t="s">
        <v>4905</v>
      </c>
      <c r="K33" t="s">
        <v>17</v>
      </c>
      <c r="L33" t="s">
        <v>4593</v>
      </c>
      <c r="M33" s="9" t="s">
        <v>5014</v>
      </c>
    </row>
    <row r="34" spans="1:13" ht="45" customHeight="1" x14ac:dyDescent="0.25">
      <c r="A34" t="s">
        <v>4885</v>
      </c>
      <c r="B34" s="9" t="s">
        <v>4886</v>
      </c>
      <c r="C34" s="9" t="s">
        <v>5015</v>
      </c>
      <c r="D34" t="s">
        <v>3825</v>
      </c>
      <c r="E34" t="s">
        <v>102</v>
      </c>
      <c r="F34" t="s">
        <v>17</v>
      </c>
      <c r="G34" t="s">
        <v>4821</v>
      </c>
      <c r="H34" t="s">
        <v>50</v>
      </c>
      <c r="I34" t="s">
        <v>3807</v>
      </c>
      <c r="J34" t="s">
        <v>4885</v>
      </c>
      <c r="K34" t="s">
        <v>3404</v>
      </c>
      <c r="L34" t="s">
        <v>102</v>
      </c>
      <c r="M34" s="9" t="s">
        <v>5016</v>
      </c>
    </row>
    <row r="35" spans="1:13" ht="45" customHeight="1" x14ac:dyDescent="0.25">
      <c r="A35" t="s">
        <v>4837</v>
      </c>
      <c r="B35" s="9" t="s">
        <v>5017</v>
      </c>
      <c r="C35" s="9" t="s">
        <v>5018</v>
      </c>
      <c r="D35" t="s">
        <v>3833</v>
      </c>
      <c r="E35" t="s">
        <v>102</v>
      </c>
      <c r="F35" t="s">
        <v>17</v>
      </c>
      <c r="G35" t="s">
        <v>5019</v>
      </c>
      <c r="H35" t="s">
        <v>4839</v>
      </c>
      <c r="I35" t="s">
        <v>3798</v>
      </c>
      <c r="J35" t="s">
        <v>4837</v>
      </c>
      <c r="K35" t="s">
        <v>17</v>
      </c>
      <c r="L35" t="s">
        <v>102</v>
      </c>
      <c r="M35" s="9" t="s">
        <v>5020</v>
      </c>
    </row>
    <row r="36" spans="1:13" x14ac:dyDescent="0.25">
      <c r="A36" t="s">
        <v>4875</v>
      </c>
      <c r="B36" s="9" t="s">
        <v>5021</v>
      </c>
      <c r="C36" s="9" t="s">
        <v>5022</v>
      </c>
      <c r="D36" t="s">
        <v>5023</v>
      </c>
      <c r="E36" t="s">
        <v>102</v>
      </c>
      <c r="F36" t="s">
        <v>17</v>
      </c>
      <c r="G36" t="s">
        <v>5024</v>
      </c>
      <c r="H36" t="s">
        <v>4836</v>
      </c>
      <c r="I36" t="s">
        <v>3807</v>
      </c>
      <c r="J36" t="s">
        <v>4877</v>
      </c>
      <c r="K36" t="s">
        <v>3423</v>
      </c>
      <c r="L36" t="s">
        <v>4593</v>
      </c>
      <c r="M36" t="s">
        <v>17</v>
      </c>
    </row>
    <row r="37" spans="1:13" x14ac:dyDescent="0.25">
      <c r="A37" t="s">
        <v>5025</v>
      </c>
      <c r="B37" s="9" t="s">
        <v>5026</v>
      </c>
      <c r="C37" s="9" t="s">
        <v>5022</v>
      </c>
      <c r="D37" t="s">
        <v>5023</v>
      </c>
      <c r="E37" t="s">
        <v>102</v>
      </c>
      <c r="F37" t="s">
        <v>17</v>
      </c>
      <c r="G37" t="s">
        <v>5024</v>
      </c>
      <c r="H37" t="s">
        <v>4836</v>
      </c>
      <c r="I37" t="s">
        <v>3807</v>
      </c>
      <c r="J37" t="s">
        <v>5025</v>
      </c>
      <c r="K37" t="s">
        <v>3423</v>
      </c>
      <c r="L37" t="s">
        <v>4593</v>
      </c>
      <c r="M37" t="s">
        <v>17</v>
      </c>
    </row>
    <row r="38" spans="1:13" x14ac:dyDescent="0.25">
      <c r="A38" t="s">
        <v>5027</v>
      </c>
      <c r="B38" s="9" t="s">
        <v>5028</v>
      </c>
      <c r="C38" s="9" t="s">
        <v>5022</v>
      </c>
      <c r="D38" t="s">
        <v>5023</v>
      </c>
      <c r="E38" t="s">
        <v>102</v>
      </c>
      <c r="F38" t="s">
        <v>17</v>
      </c>
      <c r="G38" t="s">
        <v>5024</v>
      </c>
      <c r="H38" t="s">
        <v>4836</v>
      </c>
      <c r="I38" t="s">
        <v>3807</v>
      </c>
      <c r="J38" t="s">
        <v>5029</v>
      </c>
      <c r="K38" t="s">
        <v>3404</v>
      </c>
      <c r="L38" t="s">
        <v>4593</v>
      </c>
      <c r="M38" t="s">
        <v>17</v>
      </c>
    </row>
    <row r="39" spans="1:13" x14ac:dyDescent="0.25">
      <c r="A39" t="s">
        <v>4822</v>
      </c>
      <c r="B39" s="9" t="s">
        <v>5030</v>
      </c>
      <c r="C39" s="9" t="s">
        <v>5031</v>
      </c>
      <c r="D39" t="s">
        <v>3825</v>
      </c>
      <c r="E39" t="s">
        <v>102</v>
      </c>
      <c r="F39" t="s">
        <v>17</v>
      </c>
      <c r="G39" t="s">
        <v>5032</v>
      </c>
      <c r="H39" t="s">
        <v>4836</v>
      </c>
      <c r="I39" t="s">
        <v>3807</v>
      </c>
      <c r="J39" t="s">
        <v>4822</v>
      </c>
      <c r="K39" t="s">
        <v>3423</v>
      </c>
      <c r="L39" t="s">
        <v>4593</v>
      </c>
      <c r="M39" t="s">
        <v>5033</v>
      </c>
    </row>
    <row r="40" spans="1:13" x14ac:dyDescent="0.25">
      <c r="A40" t="s">
        <v>4833</v>
      </c>
      <c r="B40" s="9" t="s">
        <v>5034</v>
      </c>
      <c r="C40" s="9" t="s">
        <v>5022</v>
      </c>
      <c r="D40" t="s">
        <v>5023</v>
      </c>
      <c r="E40" t="s">
        <v>102</v>
      </c>
      <c r="F40" t="s">
        <v>17</v>
      </c>
      <c r="G40" t="s">
        <v>5024</v>
      </c>
      <c r="H40" t="s">
        <v>4836</v>
      </c>
      <c r="I40" t="s">
        <v>3807</v>
      </c>
      <c r="J40" t="s">
        <v>4833</v>
      </c>
      <c r="K40" t="s">
        <v>3404</v>
      </c>
      <c r="L40" t="s">
        <v>4593</v>
      </c>
      <c r="M40" t="s">
        <v>17</v>
      </c>
    </row>
    <row r="41" spans="1:13" x14ac:dyDescent="0.25">
      <c r="A41" t="s">
        <v>4892</v>
      </c>
      <c r="B41" s="9" t="s">
        <v>5035</v>
      </c>
      <c r="C41" s="9" t="s">
        <v>5036</v>
      </c>
      <c r="D41" t="s">
        <v>3825</v>
      </c>
      <c r="E41" t="s">
        <v>102</v>
      </c>
      <c r="F41" t="s">
        <v>17</v>
      </c>
      <c r="G41" t="s">
        <v>4895</v>
      </c>
      <c r="H41" t="s">
        <v>4836</v>
      </c>
      <c r="I41" t="s">
        <v>3807</v>
      </c>
      <c r="J41" t="s">
        <v>4896</v>
      </c>
      <c r="K41" t="s">
        <v>3423</v>
      </c>
      <c r="L41" t="s">
        <v>4593</v>
      </c>
      <c r="M41" t="s">
        <v>5037</v>
      </c>
    </row>
    <row r="42" spans="1:13" x14ac:dyDescent="0.25">
      <c r="A42" t="s">
        <v>4854</v>
      </c>
      <c r="B42" s="9" t="s">
        <v>5038</v>
      </c>
      <c r="C42" s="9" t="s">
        <v>5039</v>
      </c>
      <c r="D42" t="s">
        <v>3825</v>
      </c>
      <c r="E42" t="s">
        <v>102</v>
      </c>
      <c r="F42" t="s">
        <v>17</v>
      </c>
      <c r="G42" t="s">
        <v>4821</v>
      </c>
      <c r="H42" t="s">
        <v>50</v>
      </c>
      <c r="I42" t="s">
        <v>3807</v>
      </c>
      <c r="J42" t="s">
        <v>4856</v>
      </c>
      <c r="K42" t="s">
        <v>3404</v>
      </c>
      <c r="L42" t="s">
        <v>102</v>
      </c>
      <c r="M42" t="s">
        <v>17</v>
      </c>
    </row>
    <row r="43" spans="1:13" x14ac:dyDescent="0.25">
      <c r="A43" t="s">
        <v>4842</v>
      </c>
      <c r="B43" s="9" t="s">
        <v>5040</v>
      </c>
      <c r="C43" s="9" t="s">
        <v>5041</v>
      </c>
      <c r="D43" t="s">
        <v>3833</v>
      </c>
      <c r="E43" t="s">
        <v>4593</v>
      </c>
      <c r="F43" t="s">
        <v>17</v>
      </c>
      <c r="G43" t="s">
        <v>3991</v>
      </c>
      <c r="H43" t="s">
        <v>4839</v>
      </c>
      <c r="I43" t="s">
        <v>3798</v>
      </c>
      <c r="J43" t="s">
        <v>4844</v>
      </c>
      <c r="K43" t="s">
        <v>3404</v>
      </c>
      <c r="L43" t="s">
        <v>4593</v>
      </c>
      <c r="M43" t="s">
        <v>5042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5043</v>
      </c>
      <c r="C1" t="s">
        <v>5044</v>
      </c>
      <c r="D1" t="s">
        <v>5045</v>
      </c>
      <c r="E1" t="s">
        <v>4722</v>
      </c>
    </row>
    <row r="2" spans="1:5" ht="15" customHeight="1" x14ac:dyDescent="0.25">
      <c r="A2" t="s">
        <v>5046</v>
      </c>
      <c r="B2" t="s">
        <v>5047</v>
      </c>
      <c r="E2" t="s">
        <v>5048</v>
      </c>
    </row>
    <row r="3" spans="1:5" ht="15" customHeight="1" x14ac:dyDescent="0.25">
      <c r="A3" t="s">
        <v>5049</v>
      </c>
      <c r="B3" t="s">
        <v>5050</v>
      </c>
      <c r="E3" t="s">
        <v>5051</v>
      </c>
    </row>
    <row r="4" spans="1:5" ht="15" customHeight="1" x14ac:dyDescent="0.25">
      <c r="A4" t="s">
        <v>5052</v>
      </c>
      <c r="B4" t="s">
        <v>17</v>
      </c>
      <c r="E4" t="s">
        <v>5053</v>
      </c>
    </row>
    <row r="5" spans="1:5" ht="15" customHeight="1" x14ac:dyDescent="0.25">
      <c r="A5" t="s">
        <v>5054</v>
      </c>
      <c r="B5" t="s">
        <v>5055</v>
      </c>
      <c r="E5" t="s">
        <v>5056</v>
      </c>
    </row>
    <row r="6" spans="1:5" ht="15" customHeight="1" x14ac:dyDescent="0.25">
      <c r="A6" t="s">
        <v>5057</v>
      </c>
      <c r="B6" t="s">
        <v>5058</v>
      </c>
      <c r="E6" t="s">
        <v>5059</v>
      </c>
    </row>
    <row r="7" spans="1:5" ht="15" customHeight="1" x14ac:dyDescent="0.25">
      <c r="A7" t="s">
        <v>4917</v>
      </c>
      <c r="B7" t="s">
        <v>5060</v>
      </c>
      <c r="E7" t="s">
        <v>5061</v>
      </c>
    </row>
    <row r="8" spans="1:5" ht="15" customHeight="1" x14ac:dyDescent="0.25">
      <c r="A8" t="s">
        <v>5062</v>
      </c>
      <c r="B8" t="s">
        <v>5063</v>
      </c>
      <c r="C8" t="s">
        <v>5064</v>
      </c>
      <c r="D8" t="s">
        <v>5065</v>
      </c>
      <c r="E8" t="s">
        <v>5066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5067</v>
      </c>
      <c r="D1" t="s">
        <v>5068</v>
      </c>
    </row>
    <row r="2" spans="1:4" ht="15" customHeight="1" x14ac:dyDescent="0.25">
      <c r="A2" t="s">
        <v>5069</v>
      </c>
      <c r="B2" t="s">
        <v>5070</v>
      </c>
      <c r="C2" t="s">
        <v>50</v>
      </c>
      <c r="D2" t="s">
        <v>17</v>
      </c>
    </row>
    <row r="3" spans="1:4" ht="15" customHeight="1" x14ac:dyDescent="0.25">
      <c r="A3" t="s">
        <v>5071</v>
      </c>
      <c r="B3" t="s">
        <v>5072</v>
      </c>
      <c r="C3" t="s">
        <v>5073</v>
      </c>
      <c r="D3" t="s">
        <v>17</v>
      </c>
    </row>
    <row r="4" spans="1:4" ht="15" customHeight="1" x14ac:dyDescent="0.25">
      <c r="A4" t="s">
        <v>5074</v>
      </c>
      <c r="B4" t="s">
        <v>5075</v>
      </c>
      <c r="C4" t="s">
        <v>50</v>
      </c>
      <c r="D4" t="s">
        <v>17</v>
      </c>
    </row>
    <row r="5" spans="1:4" ht="15" customHeight="1" x14ac:dyDescent="0.25">
      <c r="A5" t="s">
        <v>5076</v>
      </c>
      <c r="B5" t="s">
        <v>5077</v>
      </c>
      <c r="C5" t="s">
        <v>5073</v>
      </c>
      <c r="D5" t="s">
        <v>17</v>
      </c>
    </row>
    <row r="6" spans="1:4" ht="15" customHeight="1" x14ac:dyDescent="0.25">
      <c r="A6" t="s">
        <v>5078</v>
      </c>
      <c r="B6" t="s">
        <v>5079</v>
      </c>
      <c r="C6" t="s">
        <v>5073</v>
      </c>
      <c r="D6" t="s">
        <v>17</v>
      </c>
    </row>
    <row r="7" spans="1:4" ht="15" customHeight="1" x14ac:dyDescent="0.25">
      <c r="A7" t="s">
        <v>5080</v>
      </c>
      <c r="B7" t="s">
        <v>5081</v>
      </c>
      <c r="C7" t="s">
        <v>50</v>
      </c>
      <c r="D7" t="s">
        <v>17</v>
      </c>
    </row>
    <row r="8" spans="1:4" ht="15" customHeight="1" x14ac:dyDescent="0.25">
      <c r="A8" t="s">
        <v>5082</v>
      </c>
      <c r="B8" t="s">
        <v>5083</v>
      </c>
      <c r="C8" t="s">
        <v>50</v>
      </c>
      <c r="D8" t="s">
        <v>17</v>
      </c>
    </row>
    <row r="9" spans="1:4" ht="15" customHeight="1" x14ac:dyDescent="0.25">
      <c r="A9" t="s">
        <v>5084</v>
      </c>
      <c r="B9" t="s">
        <v>5085</v>
      </c>
      <c r="C9" t="s">
        <v>50</v>
      </c>
      <c r="D9" t="s">
        <v>17</v>
      </c>
    </row>
    <row r="10" spans="1:4" ht="15" customHeight="1" x14ac:dyDescent="0.25">
      <c r="A10" t="s">
        <v>5086</v>
      </c>
      <c r="B10" t="s">
        <v>5087</v>
      </c>
      <c r="C10" t="s">
        <v>5088</v>
      </c>
      <c r="D10" t="s">
        <v>17</v>
      </c>
    </row>
    <row r="11" spans="1:4" ht="15" customHeight="1" x14ac:dyDescent="0.25">
      <c r="A11" t="s">
        <v>5089</v>
      </c>
      <c r="B11" t="s">
        <v>5090</v>
      </c>
      <c r="C11" t="s">
        <v>4075</v>
      </c>
      <c r="D11" t="s">
        <v>17</v>
      </c>
    </row>
    <row r="12" spans="1:4" ht="15" customHeight="1" x14ac:dyDescent="0.25">
      <c r="A12" t="s">
        <v>5091</v>
      </c>
      <c r="B12" t="s">
        <v>5092</v>
      </c>
      <c r="C12" t="s">
        <v>4075</v>
      </c>
      <c r="D12" t="s">
        <v>17</v>
      </c>
    </row>
    <row r="13" spans="1:4" ht="15" customHeight="1" x14ac:dyDescent="0.25">
      <c r="A13" t="s">
        <v>5093</v>
      </c>
      <c r="B13" t="s">
        <v>5094</v>
      </c>
      <c r="C13" t="s">
        <v>5073</v>
      </c>
      <c r="D13" t="s">
        <v>17</v>
      </c>
    </row>
    <row r="14" spans="1:4" ht="15" customHeight="1" x14ac:dyDescent="0.25">
      <c r="A14" t="s">
        <v>5095</v>
      </c>
      <c r="B14" t="s">
        <v>5096</v>
      </c>
      <c r="C14" t="s">
        <v>50</v>
      </c>
      <c r="D14" t="s">
        <v>17</v>
      </c>
    </row>
    <row r="15" spans="1:4" ht="15" customHeight="1" x14ac:dyDescent="0.25">
      <c r="A15" t="s">
        <v>5097</v>
      </c>
      <c r="B15" t="s">
        <v>5098</v>
      </c>
      <c r="C15" t="s">
        <v>50</v>
      </c>
      <c r="D15" t="s">
        <v>17</v>
      </c>
    </row>
    <row r="16" spans="1:4" ht="15" customHeight="1" x14ac:dyDescent="0.25">
      <c r="A16" t="s">
        <v>5099</v>
      </c>
      <c r="B16" t="s">
        <v>5100</v>
      </c>
      <c r="C16" t="s">
        <v>5088</v>
      </c>
      <c r="D16" t="s">
        <v>17</v>
      </c>
    </row>
    <row r="17" spans="1:4" ht="15" customHeight="1" x14ac:dyDescent="0.25">
      <c r="A17" t="s">
        <v>5101</v>
      </c>
      <c r="B17" t="s">
        <v>5102</v>
      </c>
      <c r="C17" t="s">
        <v>50</v>
      </c>
      <c r="D17" t="s">
        <v>17</v>
      </c>
    </row>
    <row r="18" spans="1:4" ht="15" customHeight="1" x14ac:dyDescent="0.25">
      <c r="A18" t="s">
        <v>5103</v>
      </c>
      <c r="B18" t="s">
        <v>5104</v>
      </c>
      <c r="C18" t="s">
        <v>5105</v>
      </c>
      <c r="D18" t="s">
        <v>17</v>
      </c>
    </row>
    <row r="19" spans="1:4" ht="15" customHeight="1" x14ac:dyDescent="0.25">
      <c r="A19" t="s">
        <v>5106</v>
      </c>
      <c r="B19" t="s">
        <v>5107</v>
      </c>
      <c r="C19" t="s">
        <v>50</v>
      </c>
      <c r="D19" t="s">
        <v>17</v>
      </c>
    </row>
    <row r="20" spans="1:4" ht="15" customHeight="1" x14ac:dyDescent="0.25">
      <c r="A20" t="s">
        <v>5108</v>
      </c>
      <c r="B20" t="s">
        <v>5109</v>
      </c>
      <c r="C20" t="s">
        <v>50</v>
      </c>
      <c r="D20" t="s">
        <v>17</v>
      </c>
    </row>
    <row r="21" spans="1:4" ht="15" customHeight="1" x14ac:dyDescent="0.25">
      <c r="A21" t="s">
        <v>5110</v>
      </c>
      <c r="B21" t="s">
        <v>5111</v>
      </c>
      <c r="C21" t="s">
        <v>50</v>
      </c>
      <c r="D21" t="s">
        <v>5112</v>
      </c>
    </row>
    <row r="22" spans="1:4" ht="15" customHeight="1" x14ac:dyDescent="0.25">
      <c r="A22" t="s">
        <v>5113</v>
      </c>
      <c r="B22" t="s">
        <v>5114</v>
      </c>
      <c r="C22" t="s">
        <v>5115</v>
      </c>
      <c r="D22" t="s">
        <v>17</v>
      </c>
    </row>
    <row r="23" spans="1:4" ht="15" customHeight="1" x14ac:dyDescent="0.25">
      <c r="A23" t="s">
        <v>5116</v>
      </c>
      <c r="B23" t="s">
        <v>5117</v>
      </c>
      <c r="C23" t="s">
        <v>5088</v>
      </c>
      <c r="D23" t="s">
        <v>17</v>
      </c>
    </row>
    <row r="24" spans="1:4" ht="15" customHeight="1" x14ac:dyDescent="0.25">
      <c r="A24" t="s">
        <v>5118</v>
      </c>
      <c r="B24" t="s">
        <v>5119</v>
      </c>
      <c r="C24" t="s">
        <v>5088</v>
      </c>
      <c r="D24" t="s">
        <v>5120</v>
      </c>
    </row>
    <row r="25" spans="1:4" ht="15" customHeight="1" x14ac:dyDescent="0.25">
      <c r="A25" t="s">
        <v>5121</v>
      </c>
      <c r="B25" t="s">
        <v>5122</v>
      </c>
      <c r="C25" t="s">
        <v>5105</v>
      </c>
      <c r="D25" t="s">
        <v>17</v>
      </c>
    </row>
    <row r="26" spans="1:4" ht="15" customHeight="1" x14ac:dyDescent="0.25">
      <c r="A26" t="s">
        <v>5123</v>
      </c>
      <c r="B26" t="s">
        <v>5124</v>
      </c>
      <c r="C26" t="s">
        <v>5073</v>
      </c>
      <c r="D26" t="s">
        <v>17</v>
      </c>
    </row>
    <row r="27" spans="1:4" ht="15" customHeight="1" x14ac:dyDescent="0.25">
      <c r="A27" t="s">
        <v>5125</v>
      </c>
      <c r="B27" t="s">
        <v>5126</v>
      </c>
      <c r="C27" t="s">
        <v>5088</v>
      </c>
      <c r="D27" t="s">
        <v>17</v>
      </c>
    </row>
    <row r="28" spans="1:4" ht="15" customHeight="1" x14ac:dyDescent="0.25">
      <c r="A28" t="s">
        <v>5127</v>
      </c>
      <c r="B28" t="s">
        <v>5128</v>
      </c>
      <c r="C28" t="s">
        <v>5088</v>
      </c>
      <c r="D28" t="s">
        <v>17</v>
      </c>
    </row>
    <row r="29" spans="1:4" ht="15" customHeight="1" x14ac:dyDescent="0.25">
      <c r="A29" t="s">
        <v>5129</v>
      </c>
      <c r="B29" t="s">
        <v>5130</v>
      </c>
      <c r="C29" t="s">
        <v>5131</v>
      </c>
      <c r="D29" t="s">
        <v>17</v>
      </c>
    </row>
    <row r="30" spans="1:4" ht="15" customHeight="1" x14ac:dyDescent="0.25">
      <c r="A30" t="s">
        <v>5132</v>
      </c>
      <c r="B30" t="s">
        <v>5133</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5134</v>
      </c>
      <c r="F1" t="s">
        <v>5135</v>
      </c>
      <c r="G1" t="s">
        <v>5068</v>
      </c>
      <c r="H1" t="s">
        <v>5136</v>
      </c>
      <c r="I1" t="s">
        <v>5137</v>
      </c>
      <c r="J1" t="s">
        <v>5138</v>
      </c>
      <c r="K1" t="s">
        <v>5139</v>
      </c>
      <c r="L1" t="s">
        <v>5140</v>
      </c>
      <c r="M1" t="s">
        <v>5141</v>
      </c>
    </row>
    <row r="2" spans="1:13" ht="15" customHeight="1" x14ac:dyDescent="0.25">
      <c r="A2" t="s">
        <v>5074</v>
      </c>
      <c r="B2" t="s">
        <v>5075</v>
      </c>
      <c r="C2" t="s">
        <v>5142</v>
      </c>
      <c r="D2" t="s">
        <v>5143</v>
      </c>
      <c r="E2" t="s">
        <v>4593</v>
      </c>
      <c r="F2" t="s">
        <v>50</v>
      </c>
      <c r="G2" t="s">
        <v>17</v>
      </c>
      <c r="H2" t="s">
        <v>5144</v>
      </c>
      <c r="I2" t="s">
        <v>5145</v>
      </c>
      <c r="J2" t="s">
        <v>5146</v>
      </c>
    </row>
    <row r="3" spans="1:13" ht="15" customHeight="1" x14ac:dyDescent="0.25">
      <c r="A3" t="s">
        <v>5080</v>
      </c>
      <c r="B3" t="s">
        <v>5081</v>
      </c>
      <c r="C3" t="s">
        <v>5081</v>
      </c>
      <c r="D3" t="s">
        <v>5081</v>
      </c>
      <c r="E3" t="s">
        <v>4593</v>
      </c>
      <c r="F3" t="s">
        <v>50</v>
      </c>
      <c r="G3" t="s">
        <v>17</v>
      </c>
      <c r="H3" t="s">
        <v>5147</v>
      </c>
      <c r="I3" t="s">
        <v>5148</v>
      </c>
    </row>
    <row r="4" spans="1:13" ht="15" customHeight="1" x14ac:dyDescent="0.25">
      <c r="A4" t="s">
        <v>5149</v>
      </c>
      <c r="B4" s="9" t="s">
        <v>5150</v>
      </c>
      <c r="C4" s="9" t="s">
        <v>5150</v>
      </c>
      <c r="D4" s="9" t="s">
        <v>5150</v>
      </c>
      <c r="E4" t="s">
        <v>102</v>
      </c>
      <c r="F4" t="s">
        <v>50</v>
      </c>
      <c r="G4" t="s">
        <v>17</v>
      </c>
      <c r="H4" t="s">
        <v>5151</v>
      </c>
      <c r="I4" t="s">
        <v>5152</v>
      </c>
    </row>
    <row r="5" spans="1:13" ht="15" customHeight="1" x14ac:dyDescent="0.25">
      <c r="A5" t="s">
        <v>5153</v>
      </c>
      <c r="B5" t="s">
        <v>5154</v>
      </c>
      <c r="C5" t="s">
        <v>5154</v>
      </c>
      <c r="D5" t="s">
        <v>5154</v>
      </c>
      <c r="E5" t="s">
        <v>4593</v>
      </c>
      <c r="F5" t="s">
        <v>5088</v>
      </c>
      <c r="G5" t="s">
        <v>17</v>
      </c>
      <c r="H5" t="s">
        <v>5155</v>
      </c>
      <c r="I5" t="s">
        <v>5148</v>
      </c>
    </row>
    <row r="6" spans="1:13" ht="15" customHeight="1" x14ac:dyDescent="0.25">
      <c r="A6" t="s">
        <v>5086</v>
      </c>
      <c r="B6" t="s">
        <v>5087</v>
      </c>
      <c r="C6" t="s">
        <v>5156</v>
      </c>
      <c r="D6" t="s">
        <v>5087</v>
      </c>
      <c r="E6" t="s">
        <v>4593</v>
      </c>
      <c r="F6" t="s">
        <v>5088</v>
      </c>
      <c r="G6" t="s">
        <v>17</v>
      </c>
      <c r="H6" t="s">
        <v>5157</v>
      </c>
      <c r="I6" t="s">
        <v>5148</v>
      </c>
      <c r="K6" t="s">
        <v>5158</v>
      </c>
      <c r="L6" t="s">
        <v>5159</v>
      </c>
    </row>
    <row r="7" spans="1:13" ht="15" customHeight="1" x14ac:dyDescent="0.25">
      <c r="A7" t="s">
        <v>5160</v>
      </c>
      <c r="B7" t="s">
        <v>5161</v>
      </c>
      <c r="C7" t="s">
        <v>5162</v>
      </c>
      <c r="D7" t="s">
        <v>5161</v>
      </c>
      <c r="E7" t="s">
        <v>4593</v>
      </c>
      <c r="F7" t="s">
        <v>5088</v>
      </c>
      <c r="G7" t="s">
        <v>17</v>
      </c>
      <c r="H7" t="s">
        <v>5163</v>
      </c>
      <c r="I7" t="s">
        <v>5148</v>
      </c>
      <c r="K7" t="s">
        <v>5164</v>
      </c>
      <c r="L7" t="s">
        <v>5165</v>
      </c>
    </row>
    <row r="8" spans="1:13" ht="15" customHeight="1" x14ac:dyDescent="0.25">
      <c r="A8" t="s">
        <v>5089</v>
      </c>
      <c r="B8" t="s">
        <v>5166</v>
      </c>
      <c r="C8" t="s">
        <v>5167</v>
      </c>
      <c r="D8" t="s">
        <v>5167</v>
      </c>
      <c r="E8" t="s">
        <v>4593</v>
      </c>
      <c r="F8" t="s">
        <v>4075</v>
      </c>
      <c r="G8" t="s">
        <v>17</v>
      </c>
      <c r="H8" t="s">
        <v>5168</v>
      </c>
      <c r="I8" t="s">
        <v>5169</v>
      </c>
      <c r="J8" t="s">
        <v>5168</v>
      </c>
    </row>
    <row r="9" spans="1:13" ht="15" customHeight="1" x14ac:dyDescent="0.25">
      <c r="A9" t="s">
        <v>5091</v>
      </c>
      <c r="B9" t="s">
        <v>5092</v>
      </c>
      <c r="C9" t="s">
        <v>5092</v>
      </c>
      <c r="D9" t="s">
        <v>5092</v>
      </c>
      <c r="E9" t="s">
        <v>4593</v>
      </c>
      <c r="F9" t="s">
        <v>50</v>
      </c>
      <c r="G9" t="s">
        <v>17</v>
      </c>
      <c r="H9" t="s">
        <v>5170</v>
      </c>
      <c r="I9" t="s">
        <v>5171</v>
      </c>
      <c r="J9" t="s">
        <v>3661</v>
      </c>
    </row>
    <row r="10" spans="1:13" ht="15" customHeight="1" x14ac:dyDescent="0.25">
      <c r="A10" t="s">
        <v>5095</v>
      </c>
      <c r="B10" t="s">
        <v>5096</v>
      </c>
      <c r="C10" t="s">
        <v>5172</v>
      </c>
      <c r="D10" t="s">
        <v>5172</v>
      </c>
      <c r="E10" t="s">
        <v>4593</v>
      </c>
      <c r="F10" t="s">
        <v>50</v>
      </c>
      <c r="G10" t="s">
        <v>17</v>
      </c>
      <c r="H10" t="s">
        <v>5173</v>
      </c>
      <c r="I10" t="s">
        <v>5169</v>
      </c>
      <c r="J10" t="s">
        <v>5173</v>
      </c>
    </row>
    <row r="11" spans="1:13" ht="15" customHeight="1" x14ac:dyDescent="0.25">
      <c r="A11" t="s">
        <v>5174</v>
      </c>
      <c r="B11" t="s">
        <v>5098</v>
      </c>
      <c r="C11" t="s">
        <v>5175</v>
      </c>
      <c r="D11" t="s">
        <v>5098</v>
      </c>
      <c r="E11" t="s">
        <v>102</v>
      </c>
      <c r="F11" t="s">
        <v>50</v>
      </c>
      <c r="G11" t="s">
        <v>17</v>
      </c>
      <c r="H11" t="s">
        <v>5176</v>
      </c>
      <c r="I11" t="s">
        <v>5152</v>
      </c>
    </row>
    <row r="12" spans="1:13" ht="15" customHeight="1" x14ac:dyDescent="0.25">
      <c r="A12" t="s">
        <v>5099</v>
      </c>
      <c r="B12" t="s">
        <v>5100</v>
      </c>
      <c r="C12" t="s">
        <v>5177</v>
      </c>
      <c r="D12" t="s">
        <v>5100</v>
      </c>
      <c r="E12" t="s">
        <v>4593</v>
      </c>
      <c r="F12" t="s">
        <v>5088</v>
      </c>
      <c r="G12" t="s">
        <v>17</v>
      </c>
      <c r="H12" t="s">
        <v>5178</v>
      </c>
      <c r="I12" t="s">
        <v>5148</v>
      </c>
      <c r="K12" t="s">
        <v>5179</v>
      </c>
      <c r="L12" t="s">
        <v>5180</v>
      </c>
    </row>
    <row r="13" spans="1:13" ht="15" customHeight="1" x14ac:dyDescent="0.25">
      <c r="A13" t="s">
        <v>5101</v>
      </c>
      <c r="B13" t="s">
        <v>5102</v>
      </c>
      <c r="C13" t="s">
        <v>5102</v>
      </c>
      <c r="D13" t="s">
        <v>5102</v>
      </c>
      <c r="E13" t="s">
        <v>4593</v>
      </c>
      <c r="F13" t="s">
        <v>50</v>
      </c>
      <c r="G13" t="s">
        <v>17</v>
      </c>
      <c r="H13" t="s">
        <v>5181</v>
      </c>
      <c r="I13" t="s">
        <v>5169</v>
      </c>
      <c r="J13" t="s">
        <v>5181</v>
      </c>
    </row>
    <row r="14" spans="1:13" ht="15" customHeight="1" x14ac:dyDescent="0.25">
      <c r="A14" t="s">
        <v>5106</v>
      </c>
      <c r="B14" t="s">
        <v>5182</v>
      </c>
      <c r="C14" t="s">
        <v>5183</v>
      </c>
      <c r="D14" t="s">
        <v>5183</v>
      </c>
      <c r="E14" t="s">
        <v>4593</v>
      </c>
      <c r="F14" t="s">
        <v>50</v>
      </c>
      <c r="G14" t="s">
        <v>17</v>
      </c>
      <c r="H14" t="s">
        <v>5184</v>
      </c>
      <c r="I14" t="s">
        <v>5148</v>
      </c>
    </row>
    <row r="15" spans="1:13" ht="15" customHeight="1" x14ac:dyDescent="0.25">
      <c r="A15" t="s">
        <v>5185</v>
      </c>
      <c r="B15" t="s">
        <v>5186</v>
      </c>
      <c r="C15" t="s">
        <v>5186</v>
      </c>
      <c r="D15" t="s">
        <v>5186</v>
      </c>
      <c r="E15" t="s">
        <v>4593</v>
      </c>
      <c r="F15" t="s">
        <v>5187</v>
      </c>
      <c r="G15" t="s">
        <v>17</v>
      </c>
      <c r="H15" t="s">
        <v>5188</v>
      </c>
      <c r="I15" t="s">
        <v>5188</v>
      </c>
    </row>
    <row r="16" spans="1:13" ht="15" customHeight="1" x14ac:dyDescent="0.25">
      <c r="A16" t="s">
        <v>5189</v>
      </c>
      <c r="B16" t="s">
        <v>5190</v>
      </c>
      <c r="C16" t="s">
        <v>5190</v>
      </c>
      <c r="D16" t="s">
        <v>5190</v>
      </c>
      <c r="E16" t="s">
        <v>102</v>
      </c>
      <c r="F16" t="s">
        <v>5187</v>
      </c>
      <c r="G16" t="s">
        <v>17</v>
      </c>
      <c r="H16" t="s">
        <v>5191</v>
      </c>
      <c r="I16" t="s">
        <v>5191</v>
      </c>
    </row>
    <row r="17" spans="1:12" ht="15" customHeight="1" x14ac:dyDescent="0.25">
      <c r="A17" t="s">
        <v>5113</v>
      </c>
      <c r="B17" t="s">
        <v>5114</v>
      </c>
      <c r="C17" t="s">
        <v>5192</v>
      </c>
      <c r="D17" t="s">
        <v>5192</v>
      </c>
      <c r="E17" t="s">
        <v>4593</v>
      </c>
      <c r="F17" t="s">
        <v>50</v>
      </c>
      <c r="G17" t="s">
        <v>17</v>
      </c>
      <c r="H17" t="s">
        <v>5193</v>
      </c>
      <c r="I17" t="s">
        <v>5148</v>
      </c>
    </row>
    <row r="18" spans="1:12" ht="15" customHeight="1" x14ac:dyDescent="0.25">
      <c r="A18" t="s">
        <v>5194</v>
      </c>
      <c r="B18" t="s">
        <v>5195</v>
      </c>
      <c r="C18" t="s">
        <v>5195</v>
      </c>
      <c r="D18" t="s">
        <v>5196</v>
      </c>
      <c r="E18" t="s">
        <v>102</v>
      </c>
      <c r="F18" t="s">
        <v>5088</v>
      </c>
      <c r="G18" t="s">
        <v>17</v>
      </c>
      <c r="H18" t="s">
        <v>5197</v>
      </c>
      <c r="I18" t="s">
        <v>5198</v>
      </c>
    </row>
    <row r="19" spans="1:12" ht="15" customHeight="1" x14ac:dyDescent="0.25">
      <c r="A19" t="s">
        <v>5116</v>
      </c>
      <c r="B19" t="s">
        <v>5117</v>
      </c>
      <c r="C19" t="s">
        <v>5199</v>
      </c>
      <c r="D19" t="s">
        <v>5117</v>
      </c>
      <c r="E19" t="s">
        <v>4593</v>
      </c>
      <c r="F19" t="s">
        <v>5088</v>
      </c>
      <c r="G19" t="s">
        <v>17</v>
      </c>
      <c r="H19" t="s">
        <v>5200</v>
      </c>
      <c r="I19" t="s">
        <v>5148</v>
      </c>
    </row>
    <row r="20" spans="1:12" ht="15" customHeight="1" x14ac:dyDescent="0.25">
      <c r="A20" t="s">
        <v>5125</v>
      </c>
      <c r="B20" t="s">
        <v>5201</v>
      </c>
      <c r="C20" t="s">
        <v>5202</v>
      </c>
      <c r="D20" t="s">
        <v>5201</v>
      </c>
      <c r="E20" t="s">
        <v>4593</v>
      </c>
      <c r="F20" t="s">
        <v>5088</v>
      </c>
      <c r="G20" t="s">
        <v>17</v>
      </c>
      <c r="H20" t="s">
        <v>5203</v>
      </c>
      <c r="I20" t="s">
        <v>5148</v>
      </c>
    </row>
    <row r="21" spans="1:12" ht="15" customHeight="1" x14ac:dyDescent="0.25">
      <c r="A21" t="s">
        <v>5127</v>
      </c>
      <c r="B21" t="s">
        <v>5204</v>
      </c>
      <c r="C21" t="s">
        <v>5156</v>
      </c>
      <c r="D21" t="s">
        <v>5204</v>
      </c>
      <c r="E21" t="s">
        <v>4593</v>
      </c>
      <c r="F21" t="s">
        <v>5088</v>
      </c>
      <c r="G21" t="s">
        <v>17</v>
      </c>
      <c r="H21" t="s">
        <v>5205</v>
      </c>
      <c r="I21" t="s">
        <v>5148</v>
      </c>
      <c r="K21" t="s">
        <v>5206</v>
      </c>
      <c r="L21" t="s">
        <v>5159</v>
      </c>
    </row>
    <row r="22" spans="1:12" ht="15" customHeight="1" x14ac:dyDescent="0.25">
      <c r="A22" t="s">
        <v>5129</v>
      </c>
      <c r="B22" t="s">
        <v>5207</v>
      </c>
      <c r="C22" t="s">
        <v>5207</v>
      </c>
      <c r="D22" t="s">
        <v>5207</v>
      </c>
      <c r="E22" t="s">
        <v>4593</v>
      </c>
      <c r="F22" t="s">
        <v>4075</v>
      </c>
      <c r="G22" t="s">
        <v>17</v>
      </c>
      <c r="H22" t="s">
        <v>5208</v>
      </c>
      <c r="I22" t="s">
        <v>5209</v>
      </c>
    </row>
    <row r="23" spans="1:12" ht="15" customHeight="1" x14ac:dyDescent="0.25">
      <c r="A23" t="s">
        <v>5132</v>
      </c>
      <c r="B23" t="s">
        <v>5133</v>
      </c>
      <c r="C23" t="s">
        <v>5133</v>
      </c>
      <c r="D23" t="s">
        <v>5133</v>
      </c>
      <c r="E23" t="s">
        <v>4593</v>
      </c>
      <c r="F23" t="s">
        <v>50</v>
      </c>
      <c r="G23" t="s">
        <v>17</v>
      </c>
      <c r="H23" t="s">
        <v>5210</v>
      </c>
      <c r="I23" t="s">
        <v>5171</v>
      </c>
      <c r="J23" t="s">
        <v>5211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3840</v>
      </c>
      <c r="C1" t="s">
        <v>5212</v>
      </c>
      <c r="D1" t="s">
        <v>5213</v>
      </c>
      <c r="E1" t="s">
        <v>5214</v>
      </c>
      <c r="F1" t="s">
        <v>5215</v>
      </c>
      <c r="G1" t="s">
        <v>5216</v>
      </c>
      <c r="H1" t="s">
        <v>5217</v>
      </c>
      <c r="I1" t="s">
        <v>5218</v>
      </c>
      <c r="J1" t="s">
        <v>5219</v>
      </c>
      <c r="K1" t="s">
        <v>3400</v>
      </c>
      <c r="L1" t="s">
        <v>3796</v>
      </c>
      <c r="M1" t="s">
        <v>90</v>
      </c>
    </row>
    <row r="2" spans="1:13" ht="15" customHeight="1" x14ac:dyDescent="0.25">
      <c r="A2" t="s">
        <v>5220</v>
      </c>
      <c r="B2" t="s">
        <v>3423</v>
      </c>
      <c r="C2" t="s">
        <v>5221</v>
      </c>
      <c r="D2" t="s">
        <v>3930</v>
      </c>
      <c r="E2" t="s">
        <v>5221</v>
      </c>
      <c r="F2" t="s">
        <v>3930</v>
      </c>
      <c r="G2" t="s">
        <v>5221</v>
      </c>
      <c r="H2" t="s">
        <v>3930</v>
      </c>
      <c r="I2" t="s">
        <v>5221</v>
      </c>
      <c r="J2" t="s">
        <v>3930</v>
      </c>
      <c r="K2" t="s">
        <v>2049</v>
      </c>
      <c r="L2" t="s">
        <v>3815</v>
      </c>
    </row>
    <row r="3" spans="1:13" ht="15" customHeight="1" x14ac:dyDescent="0.25">
      <c r="A3" t="s">
        <v>3797</v>
      </c>
      <c r="B3" t="s">
        <v>3423</v>
      </c>
      <c r="C3" t="s">
        <v>5222</v>
      </c>
      <c r="D3" t="s">
        <v>5223</v>
      </c>
      <c r="E3" t="s">
        <v>5224</v>
      </c>
      <c r="F3" t="s">
        <v>5225</v>
      </c>
      <c r="G3" t="s">
        <v>5226</v>
      </c>
      <c r="H3" t="s">
        <v>5227</v>
      </c>
      <c r="I3" t="s">
        <v>5228</v>
      </c>
      <c r="J3" t="s">
        <v>5229</v>
      </c>
      <c r="K3" t="s">
        <v>2049</v>
      </c>
      <c r="L3" t="s">
        <v>3798</v>
      </c>
    </row>
    <row r="4" spans="1:13" ht="15" customHeight="1" x14ac:dyDescent="0.25">
      <c r="A4" t="s">
        <v>3799</v>
      </c>
      <c r="B4" t="s">
        <v>3423</v>
      </c>
      <c r="C4" t="s">
        <v>5230</v>
      </c>
      <c r="D4" t="s">
        <v>5231</v>
      </c>
      <c r="E4" t="s">
        <v>5232</v>
      </c>
      <c r="F4" t="s">
        <v>5233</v>
      </c>
      <c r="G4" t="s">
        <v>5234</v>
      </c>
      <c r="H4" t="s">
        <v>5235</v>
      </c>
      <c r="I4" t="s">
        <v>5236</v>
      </c>
      <c r="J4" t="s">
        <v>5237</v>
      </c>
      <c r="K4" t="s">
        <v>1190</v>
      </c>
      <c r="L4" t="s">
        <v>3798</v>
      </c>
      <c r="M4" t="s">
        <v>3802</v>
      </c>
    </row>
    <row r="5" spans="1:13" ht="15" customHeight="1" x14ac:dyDescent="0.25">
      <c r="A5" t="s">
        <v>5238</v>
      </c>
      <c r="B5" t="s">
        <v>3423</v>
      </c>
      <c r="C5" t="s">
        <v>5239</v>
      </c>
      <c r="D5" t="s">
        <v>5240</v>
      </c>
      <c r="E5" t="s">
        <v>5241</v>
      </c>
      <c r="F5" t="s">
        <v>5242</v>
      </c>
      <c r="G5" t="s">
        <v>5243</v>
      </c>
      <c r="H5" t="s">
        <v>5244</v>
      </c>
      <c r="I5" t="s">
        <v>5245</v>
      </c>
      <c r="J5" t="s">
        <v>5246</v>
      </c>
      <c r="K5" t="s">
        <v>1628</v>
      </c>
      <c r="L5" t="s">
        <v>3807</v>
      </c>
    </row>
    <row r="6" spans="1:13" ht="15" customHeight="1" x14ac:dyDescent="0.25">
      <c r="A6" t="s">
        <v>3803</v>
      </c>
      <c r="B6" t="s">
        <v>3411</v>
      </c>
      <c r="C6" t="s">
        <v>5247</v>
      </c>
      <c r="D6" t="s">
        <v>5248</v>
      </c>
      <c r="E6" t="s">
        <v>5249</v>
      </c>
      <c r="F6" t="s">
        <v>5250</v>
      </c>
      <c r="G6" t="s">
        <v>5251</v>
      </c>
      <c r="H6" t="s">
        <v>5252</v>
      </c>
      <c r="I6" t="s">
        <v>5253</v>
      </c>
      <c r="J6" t="s">
        <v>5254</v>
      </c>
      <c r="K6" t="s">
        <v>2049</v>
      </c>
      <c r="L6" t="s">
        <v>3798</v>
      </c>
    </row>
    <row r="7" spans="1:13" ht="15" customHeight="1" x14ac:dyDescent="0.25">
      <c r="A7" t="s">
        <v>5255</v>
      </c>
      <c r="B7" t="s">
        <v>3411</v>
      </c>
      <c r="C7" t="s">
        <v>5256</v>
      </c>
      <c r="D7" t="s">
        <v>5257</v>
      </c>
      <c r="E7" t="s">
        <v>5258</v>
      </c>
      <c r="F7" t="s">
        <v>5259</v>
      </c>
      <c r="G7" t="s">
        <v>5260</v>
      </c>
      <c r="H7" t="s">
        <v>5261</v>
      </c>
      <c r="I7" t="s">
        <v>5262</v>
      </c>
      <c r="J7" t="s">
        <v>5263</v>
      </c>
      <c r="K7" t="s">
        <v>2049</v>
      </c>
      <c r="L7" t="s">
        <v>3807</v>
      </c>
      <c r="M7" t="s">
        <v>5264</v>
      </c>
    </row>
    <row r="8" spans="1:13" ht="15" customHeight="1" x14ac:dyDescent="0.25">
      <c r="A8" t="s">
        <v>5265</v>
      </c>
      <c r="B8" t="s">
        <v>3423</v>
      </c>
      <c r="C8" t="s">
        <v>5266</v>
      </c>
      <c r="D8" t="s">
        <v>5267</v>
      </c>
      <c r="E8" t="s">
        <v>5268</v>
      </c>
      <c r="F8" t="s">
        <v>5269</v>
      </c>
      <c r="G8" t="s">
        <v>5270</v>
      </c>
      <c r="H8" t="s">
        <v>5271</v>
      </c>
      <c r="I8" t="s">
        <v>5272</v>
      </c>
      <c r="J8" t="s">
        <v>5273</v>
      </c>
      <c r="K8" t="s">
        <v>1190</v>
      </c>
      <c r="L8" t="s">
        <v>3798</v>
      </c>
    </row>
    <row r="9" spans="1:13" ht="15" customHeight="1" x14ac:dyDescent="0.25">
      <c r="A9" t="s">
        <v>3806</v>
      </c>
      <c r="B9" t="s">
        <v>3411</v>
      </c>
      <c r="C9" t="s">
        <v>5274</v>
      </c>
      <c r="D9" t="s">
        <v>5275</v>
      </c>
      <c r="E9" t="s">
        <v>5276</v>
      </c>
      <c r="F9" t="s">
        <v>5277</v>
      </c>
      <c r="G9" t="s">
        <v>3808</v>
      </c>
      <c r="H9" t="s">
        <v>3809</v>
      </c>
      <c r="I9" t="s">
        <v>5278</v>
      </c>
      <c r="J9" t="s">
        <v>5279</v>
      </c>
      <c r="K9" t="s">
        <v>2049</v>
      </c>
      <c r="L9" t="s">
        <v>3807</v>
      </c>
      <c r="M9" t="s">
        <v>3810</v>
      </c>
    </row>
    <row r="10" spans="1:13" ht="15" customHeight="1" x14ac:dyDescent="0.25">
      <c r="A10" t="s">
        <v>3811</v>
      </c>
      <c r="B10" t="s">
        <v>3423</v>
      </c>
      <c r="C10" t="s">
        <v>5280</v>
      </c>
      <c r="D10" t="s">
        <v>5281</v>
      </c>
      <c r="E10" t="s">
        <v>5282</v>
      </c>
      <c r="F10" t="s">
        <v>5283</v>
      </c>
      <c r="G10" t="s">
        <v>5284</v>
      </c>
      <c r="H10" t="s">
        <v>3813</v>
      </c>
      <c r="I10" t="s">
        <v>5285</v>
      </c>
      <c r="J10" t="s">
        <v>5286</v>
      </c>
      <c r="K10" t="s">
        <v>2049</v>
      </c>
      <c r="L10" t="s">
        <v>3807</v>
      </c>
    </row>
    <row r="11" spans="1:13" ht="15" customHeight="1" x14ac:dyDescent="0.25">
      <c r="A11" t="s">
        <v>5287</v>
      </c>
      <c r="B11" t="s">
        <v>3423</v>
      </c>
      <c r="C11" t="s">
        <v>5288</v>
      </c>
      <c r="D11" t="s">
        <v>5289</v>
      </c>
      <c r="E11" t="s">
        <v>5290</v>
      </c>
      <c r="F11" t="s">
        <v>5291</v>
      </c>
      <c r="G11" t="s">
        <v>5292</v>
      </c>
      <c r="H11" t="s">
        <v>5293</v>
      </c>
      <c r="I11" t="s">
        <v>5294</v>
      </c>
      <c r="J11" t="s">
        <v>5295</v>
      </c>
      <c r="K11" t="s">
        <v>2049</v>
      </c>
      <c r="L11" t="s">
        <v>3798</v>
      </c>
    </row>
    <row r="12" spans="1:13" ht="15" customHeight="1" x14ac:dyDescent="0.25">
      <c r="A12" t="s">
        <v>5296</v>
      </c>
      <c r="B12" t="s">
        <v>3411</v>
      </c>
      <c r="C12" t="s">
        <v>5297</v>
      </c>
      <c r="D12" t="s">
        <v>5298</v>
      </c>
      <c r="E12" t="s">
        <v>5299</v>
      </c>
      <c r="F12" t="s">
        <v>5300</v>
      </c>
      <c r="G12" t="s">
        <v>5301</v>
      </c>
      <c r="H12" t="s">
        <v>5302</v>
      </c>
      <c r="I12" t="s">
        <v>5303</v>
      </c>
      <c r="J12" t="s">
        <v>5304</v>
      </c>
      <c r="K12" t="s">
        <v>2049</v>
      </c>
      <c r="L12" t="s">
        <v>3815</v>
      </c>
      <c r="M12" t="s">
        <v>3818</v>
      </c>
    </row>
    <row r="13" spans="1:13" ht="15" customHeight="1" x14ac:dyDescent="0.25">
      <c r="A13" t="s">
        <v>5305</v>
      </c>
      <c r="B13" t="s">
        <v>3404</v>
      </c>
      <c r="C13" t="s">
        <v>5306</v>
      </c>
      <c r="D13" t="s">
        <v>5307</v>
      </c>
      <c r="E13" t="s">
        <v>5308</v>
      </c>
      <c r="F13" t="s">
        <v>5309</v>
      </c>
      <c r="G13" t="s">
        <v>5310</v>
      </c>
      <c r="H13" t="s">
        <v>5311</v>
      </c>
      <c r="I13" t="s">
        <v>5312</v>
      </c>
      <c r="J13" t="s">
        <v>5313</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3840</v>
      </c>
      <c r="C1" t="s">
        <v>3399</v>
      </c>
      <c r="D1" t="s">
        <v>3400</v>
      </c>
      <c r="E1" t="s">
        <v>90</v>
      </c>
    </row>
    <row r="2" spans="1:5" ht="15" customHeight="1" x14ac:dyDescent="0.25">
      <c r="A2" t="s">
        <v>5314</v>
      </c>
      <c r="B2" t="s">
        <v>3411</v>
      </c>
      <c r="C2" t="s">
        <v>5315</v>
      </c>
      <c r="D2" t="s">
        <v>15</v>
      </c>
      <c r="E2" t="s">
        <v>5316</v>
      </c>
    </row>
    <row r="3" spans="1:5" ht="15" customHeight="1" x14ac:dyDescent="0.25">
      <c r="A3" t="s">
        <v>5317</v>
      </c>
      <c r="B3" t="s">
        <v>3411</v>
      </c>
      <c r="C3" t="s">
        <v>5318</v>
      </c>
      <c r="D3" t="s">
        <v>15</v>
      </c>
      <c r="E3" t="s">
        <v>5319</v>
      </c>
    </row>
    <row r="4" spans="1:5" ht="15" customHeight="1" x14ac:dyDescent="0.25">
      <c r="A4" t="s">
        <v>5320</v>
      </c>
      <c r="B4" t="s">
        <v>3411</v>
      </c>
      <c r="C4" t="s">
        <v>5321</v>
      </c>
      <c r="D4" t="s">
        <v>15</v>
      </c>
      <c r="E4" t="s">
        <v>5322</v>
      </c>
    </row>
    <row r="5" spans="1:5" ht="15" customHeight="1" x14ac:dyDescent="0.25">
      <c r="A5" t="s">
        <v>5323</v>
      </c>
      <c r="B5" t="s">
        <v>3411</v>
      </c>
      <c r="C5" t="s">
        <v>5324</v>
      </c>
      <c r="D5" t="s">
        <v>15</v>
      </c>
      <c r="E5" t="s">
        <v>5325</v>
      </c>
    </row>
    <row r="6" spans="1:5" ht="15" customHeight="1" x14ac:dyDescent="0.25">
      <c r="A6" t="s">
        <v>5326</v>
      </c>
      <c r="B6" t="s">
        <v>3411</v>
      </c>
      <c r="C6" t="s">
        <v>5327</v>
      </c>
      <c r="D6" t="s">
        <v>15</v>
      </c>
      <c r="E6" t="s">
        <v>5328</v>
      </c>
    </row>
    <row r="7" spans="1:5" ht="15" customHeight="1" x14ac:dyDescent="0.25">
      <c r="A7" t="s">
        <v>5329</v>
      </c>
      <c r="B7" t="s">
        <v>3411</v>
      </c>
      <c r="C7" t="s">
        <v>5330</v>
      </c>
      <c r="D7" t="s">
        <v>15</v>
      </c>
      <c r="E7" t="s">
        <v>5331</v>
      </c>
    </row>
    <row r="8" spans="1:5" ht="15" customHeight="1" x14ac:dyDescent="0.25">
      <c r="A8" t="s">
        <v>5332</v>
      </c>
      <c r="B8" t="s">
        <v>3411</v>
      </c>
      <c r="C8" t="s">
        <v>5333</v>
      </c>
      <c r="D8" t="s">
        <v>15</v>
      </c>
      <c r="E8" t="s">
        <v>5334</v>
      </c>
    </row>
    <row r="9" spans="1:5" ht="15" customHeight="1" x14ac:dyDescent="0.25">
      <c r="A9" t="s">
        <v>5335</v>
      </c>
      <c r="B9" t="s">
        <v>3404</v>
      </c>
      <c r="C9" t="s">
        <v>5336</v>
      </c>
      <c r="D9" t="s">
        <v>15</v>
      </c>
      <c r="E9" t="s">
        <v>5337</v>
      </c>
    </row>
    <row r="10" spans="1:5" ht="15" customHeight="1" x14ac:dyDescent="0.25">
      <c r="A10" t="s">
        <v>5338</v>
      </c>
      <c r="B10" t="s">
        <v>3411</v>
      </c>
      <c r="C10" t="s">
        <v>5339</v>
      </c>
      <c r="D10" t="s">
        <v>15</v>
      </c>
      <c r="E10" t="s">
        <v>5340</v>
      </c>
    </row>
    <row r="11" spans="1:5" ht="15" customHeight="1" x14ac:dyDescent="0.25">
      <c r="A11" t="s">
        <v>5341</v>
      </c>
      <c r="B11" t="s">
        <v>3411</v>
      </c>
      <c r="C11" t="s">
        <v>5342</v>
      </c>
      <c r="D11" t="s">
        <v>15</v>
      </c>
      <c r="E11" t="s">
        <v>5343</v>
      </c>
    </row>
    <row r="12" spans="1:5" ht="15" customHeight="1" x14ac:dyDescent="0.25">
      <c r="A12" t="s">
        <v>5344</v>
      </c>
      <c r="B12" t="s">
        <v>3411</v>
      </c>
      <c r="C12" t="s">
        <v>5345</v>
      </c>
      <c r="D12" t="s">
        <v>15</v>
      </c>
      <c r="E12" t="s">
        <v>5346</v>
      </c>
    </row>
    <row r="13" spans="1:5" ht="15" customHeight="1" x14ac:dyDescent="0.25">
      <c r="A13" t="s">
        <v>5347</v>
      </c>
      <c r="B13" t="s">
        <v>3423</v>
      </c>
      <c r="C13" t="s">
        <v>5348</v>
      </c>
      <c r="D13" t="s">
        <v>15</v>
      </c>
      <c r="E13" t="s">
        <v>5349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4181</v>
      </c>
      <c r="E1" t="s">
        <v>5350</v>
      </c>
      <c r="F1" t="s">
        <v>5351</v>
      </c>
      <c r="G1" t="s">
        <v>5352</v>
      </c>
      <c r="H1" t="s">
        <v>5353</v>
      </c>
      <c r="I1" t="s">
        <v>3345</v>
      </c>
      <c r="J1" t="s">
        <v>5354</v>
      </c>
      <c r="K1" t="s">
        <v>3339</v>
      </c>
      <c r="L1" t="s">
        <v>5355</v>
      </c>
      <c r="M1" t="s">
        <v>3652</v>
      </c>
      <c r="N1" t="s">
        <v>5356</v>
      </c>
      <c r="O1" t="s">
        <v>5357</v>
      </c>
      <c r="P1" t="s">
        <v>3346</v>
      </c>
      <c r="Q1" t="s">
        <v>3347</v>
      </c>
      <c r="R1" t="s">
        <v>3348</v>
      </c>
      <c r="S1" t="s">
        <v>5358</v>
      </c>
      <c r="T1" t="s">
        <v>5359</v>
      </c>
      <c r="U1" t="s">
        <v>5360</v>
      </c>
      <c r="V1" t="s">
        <v>5361</v>
      </c>
      <c r="W1" t="s">
        <v>5362</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5363</v>
      </c>
      <c r="R2" t="s">
        <v>3386</v>
      </c>
      <c r="S2" t="s">
        <v>5088</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5364</v>
      </c>
      <c r="Q3" t="s">
        <v>5365</v>
      </c>
      <c r="R3" t="s">
        <v>3368</v>
      </c>
      <c r="S3" t="s">
        <v>5105</v>
      </c>
      <c r="T3">
        <v>5</v>
      </c>
      <c r="U3">
        <v>4</v>
      </c>
      <c r="V3" t="s">
        <v>5366</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5367</v>
      </c>
      <c r="R4" t="s">
        <v>3394</v>
      </c>
      <c r="S4" t="s">
        <v>4200</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5368</v>
      </c>
      <c r="R5" t="s">
        <v>3377</v>
      </c>
      <c r="S5" t="s">
        <v>5369</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5370</v>
      </c>
      <c r="Q6" t="s">
        <v>5371</v>
      </c>
      <c r="R6" t="s">
        <v>3363</v>
      </c>
      <c r="S6" t="s">
        <v>5088</v>
      </c>
      <c r="T6">
        <v>5</v>
      </c>
      <c r="U6">
        <v>4</v>
      </c>
      <c r="V6" t="s">
        <v>3338</v>
      </c>
      <c r="X6" t="s">
        <v>3364</v>
      </c>
    </row>
    <row r="7" spans="1:24" ht="15" customHeight="1" x14ac:dyDescent="0.25">
      <c r="A7" t="s">
        <v>5372</v>
      </c>
      <c r="B7" t="s">
        <v>15</v>
      </c>
      <c r="C7">
        <v>70</v>
      </c>
      <c r="D7">
        <v>3</v>
      </c>
      <c r="E7">
        <v>0</v>
      </c>
      <c r="F7">
        <v>2</v>
      </c>
      <c r="G7">
        <v>0</v>
      </c>
      <c r="H7">
        <v>0</v>
      </c>
      <c r="I7">
        <v>0</v>
      </c>
      <c r="J7">
        <v>0</v>
      </c>
      <c r="K7">
        <v>0</v>
      </c>
      <c r="L7">
        <v>0</v>
      </c>
      <c r="M7">
        <v>0</v>
      </c>
      <c r="N7">
        <v>0</v>
      </c>
      <c r="O7">
        <v>0</v>
      </c>
      <c r="P7" t="s">
        <v>5370</v>
      </c>
      <c r="Q7" t="s">
        <v>5373</v>
      </c>
      <c r="R7" t="s">
        <v>5374</v>
      </c>
      <c r="S7" t="s">
        <v>5088</v>
      </c>
      <c r="T7">
        <v>5</v>
      </c>
      <c r="U7">
        <v>5</v>
      </c>
      <c r="V7" t="s">
        <v>5375</v>
      </c>
      <c r="W7" t="s">
        <v>5376</v>
      </c>
      <c r="X7" t="s">
        <v>4456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3840</v>
      </c>
      <c r="C1" t="s">
        <v>86</v>
      </c>
      <c r="D1" t="s">
        <v>5377</v>
      </c>
      <c r="E1" t="s">
        <v>3348</v>
      </c>
      <c r="F1" t="s">
        <v>5378</v>
      </c>
      <c r="G1" t="s">
        <v>5379</v>
      </c>
      <c r="H1" t="s">
        <v>4588</v>
      </c>
      <c r="I1" t="s">
        <v>1</v>
      </c>
      <c r="J1" t="s">
        <v>89</v>
      </c>
    </row>
    <row r="2" spans="1:10" ht="15" customHeight="1" x14ac:dyDescent="0.25">
      <c r="A2" t="s">
        <v>5380</v>
      </c>
      <c r="B2" t="s">
        <v>3423</v>
      </c>
      <c r="C2" t="s">
        <v>4247</v>
      </c>
      <c r="D2">
        <v>1</v>
      </c>
      <c r="E2" t="s">
        <v>5381</v>
      </c>
      <c r="F2" t="s">
        <v>5382</v>
      </c>
      <c r="G2">
        <v>1</v>
      </c>
      <c r="H2" t="s">
        <v>5380</v>
      </c>
      <c r="I2" t="s">
        <v>15</v>
      </c>
      <c r="J2" t="s">
        <v>5383</v>
      </c>
    </row>
    <row r="3" spans="1:10" ht="15" customHeight="1" x14ac:dyDescent="0.25">
      <c r="A3" t="s">
        <v>5384</v>
      </c>
      <c r="B3" t="s">
        <v>3411</v>
      </c>
      <c r="C3" t="s">
        <v>5023</v>
      </c>
      <c r="D3">
        <v>1</v>
      </c>
      <c r="E3" t="s">
        <v>5385</v>
      </c>
      <c r="F3" t="s">
        <v>5386</v>
      </c>
      <c r="G3">
        <v>1</v>
      </c>
      <c r="H3" t="s">
        <v>5384</v>
      </c>
      <c r="I3" t="s">
        <v>15</v>
      </c>
      <c r="J3" t="s">
        <v>5387</v>
      </c>
    </row>
    <row r="4" spans="1:10" ht="15" customHeight="1" x14ac:dyDescent="0.25">
      <c r="A4" t="s">
        <v>5388</v>
      </c>
      <c r="B4" t="s">
        <v>3404</v>
      </c>
      <c r="C4" t="s">
        <v>5023</v>
      </c>
      <c r="D4">
        <v>0</v>
      </c>
      <c r="E4" t="s">
        <v>5389</v>
      </c>
      <c r="F4" t="s">
        <v>5390</v>
      </c>
      <c r="G4">
        <v>0</v>
      </c>
      <c r="H4" t="s">
        <v>5388</v>
      </c>
      <c r="I4" t="s">
        <v>15</v>
      </c>
      <c r="J4" t="s">
        <v>5391</v>
      </c>
    </row>
    <row r="5" spans="1:10" ht="15" customHeight="1" x14ac:dyDescent="0.25">
      <c r="A5" t="s">
        <v>5392</v>
      </c>
      <c r="B5" t="s">
        <v>3404</v>
      </c>
      <c r="C5" t="s">
        <v>4247</v>
      </c>
      <c r="D5">
        <v>1</v>
      </c>
      <c r="E5" t="s">
        <v>5393</v>
      </c>
      <c r="F5" t="s">
        <v>5394</v>
      </c>
      <c r="G5">
        <v>1</v>
      </c>
      <c r="H5" t="s">
        <v>5395</v>
      </c>
      <c r="I5" t="s">
        <v>15</v>
      </c>
      <c r="J5" t="s">
        <v>5396</v>
      </c>
    </row>
    <row r="6" spans="1:10" ht="15" customHeight="1" x14ac:dyDescent="0.25">
      <c r="A6" t="s">
        <v>5397</v>
      </c>
      <c r="B6" t="s">
        <v>3404</v>
      </c>
      <c r="C6" t="s">
        <v>5023</v>
      </c>
      <c r="D6">
        <v>1</v>
      </c>
      <c r="E6" t="s">
        <v>5398</v>
      </c>
      <c r="F6" t="s">
        <v>5398</v>
      </c>
      <c r="G6">
        <v>0</v>
      </c>
      <c r="H6" t="s">
        <v>5397</v>
      </c>
      <c r="I6" t="s">
        <v>15</v>
      </c>
      <c r="J6" t="s">
        <v>5399</v>
      </c>
    </row>
    <row r="7" spans="1:10" ht="15" customHeight="1" x14ac:dyDescent="0.25">
      <c r="A7" t="s">
        <v>5400</v>
      </c>
      <c r="B7" t="s">
        <v>3404</v>
      </c>
      <c r="C7" t="s">
        <v>5401</v>
      </c>
      <c r="D7">
        <v>2</v>
      </c>
      <c r="E7" t="s">
        <v>5402</v>
      </c>
      <c r="F7" t="s">
        <v>5403</v>
      </c>
      <c r="G7">
        <v>2</v>
      </c>
      <c r="H7" t="s">
        <v>5404</v>
      </c>
      <c r="I7" t="s">
        <v>15</v>
      </c>
      <c r="J7" t="s">
        <v>5405</v>
      </c>
    </row>
    <row r="8" spans="1:10" ht="15" customHeight="1" x14ac:dyDescent="0.25">
      <c r="A8" t="s">
        <v>5406</v>
      </c>
      <c r="B8" t="s">
        <v>3423</v>
      </c>
      <c r="C8" t="s">
        <v>5401</v>
      </c>
      <c r="D8">
        <v>1</v>
      </c>
      <c r="E8" t="s">
        <v>5407</v>
      </c>
      <c r="F8" t="s">
        <v>5408</v>
      </c>
      <c r="G8">
        <v>1</v>
      </c>
      <c r="H8" t="s">
        <v>5409</v>
      </c>
      <c r="I8" t="s">
        <v>15</v>
      </c>
      <c r="J8" t="s">
        <v>5410</v>
      </c>
    </row>
    <row r="9" spans="1:10" ht="15" customHeight="1" x14ac:dyDescent="0.25">
      <c r="A9" t="s">
        <v>5411</v>
      </c>
      <c r="B9" t="s">
        <v>3411</v>
      </c>
      <c r="C9" t="s">
        <v>5401</v>
      </c>
      <c r="D9">
        <v>0</v>
      </c>
      <c r="E9" t="s">
        <v>5412</v>
      </c>
      <c r="F9" t="s">
        <v>5413</v>
      </c>
      <c r="G9">
        <v>0</v>
      </c>
      <c r="H9" t="s">
        <v>5411</v>
      </c>
      <c r="I9" t="s">
        <v>15</v>
      </c>
      <c r="J9" t="s">
        <v>5414</v>
      </c>
    </row>
    <row r="10" spans="1:10" ht="15" customHeight="1" x14ac:dyDescent="0.25">
      <c r="A10" t="s">
        <v>5415</v>
      </c>
      <c r="B10" t="s">
        <v>3411</v>
      </c>
      <c r="C10" t="s">
        <v>5023</v>
      </c>
      <c r="D10">
        <v>1</v>
      </c>
      <c r="E10" t="s">
        <v>5416</v>
      </c>
      <c r="F10" t="s">
        <v>5417</v>
      </c>
      <c r="G10">
        <v>1</v>
      </c>
      <c r="H10" t="s">
        <v>5415</v>
      </c>
      <c r="I10" t="s">
        <v>15</v>
      </c>
      <c r="J10" t="s">
        <v>5418</v>
      </c>
    </row>
    <row r="11" spans="1:10" ht="15" customHeight="1" x14ac:dyDescent="0.25">
      <c r="A11" t="s">
        <v>5419</v>
      </c>
      <c r="B11" t="s">
        <v>3411</v>
      </c>
      <c r="C11" t="s">
        <v>5023</v>
      </c>
      <c r="D11">
        <v>1</v>
      </c>
      <c r="E11" t="s">
        <v>5420</v>
      </c>
      <c r="F11" t="s">
        <v>5421</v>
      </c>
      <c r="G11">
        <v>1</v>
      </c>
      <c r="H11" t="s">
        <v>5419</v>
      </c>
      <c r="I11" t="s">
        <v>15</v>
      </c>
      <c r="J11" t="s">
        <v>5422</v>
      </c>
    </row>
    <row r="12" spans="1:10" ht="15" customHeight="1" x14ac:dyDescent="0.25">
      <c r="A12" t="s">
        <v>5423</v>
      </c>
      <c r="B12" t="s">
        <v>3423</v>
      </c>
      <c r="C12" t="s">
        <v>5401</v>
      </c>
      <c r="D12">
        <v>0</v>
      </c>
      <c r="E12" t="s">
        <v>5424</v>
      </c>
      <c r="F12" t="s">
        <v>5425</v>
      </c>
      <c r="G12">
        <v>0</v>
      </c>
      <c r="H12" t="s">
        <v>5423</v>
      </c>
      <c r="I12" t="s">
        <v>15</v>
      </c>
      <c r="J12" t="s">
        <v>5426</v>
      </c>
    </row>
    <row r="13" spans="1:10" ht="15" customHeight="1" x14ac:dyDescent="0.25">
      <c r="A13" t="s">
        <v>4074</v>
      </c>
      <c r="B13" t="s">
        <v>3423</v>
      </c>
      <c r="C13" t="s">
        <v>5023</v>
      </c>
      <c r="D13">
        <v>1</v>
      </c>
      <c r="E13" t="s">
        <v>5427</v>
      </c>
      <c r="F13" t="s">
        <v>5427</v>
      </c>
      <c r="G13">
        <v>1</v>
      </c>
      <c r="H13" t="s">
        <v>4079</v>
      </c>
      <c r="I13" t="s">
        <v>1552</v>
      </c>
      <c r="J13" t="s">
        <v>5428</v>
      </c>
    </row>
    <row r="14" spans="1:10" ht="15" customHeight="1" x14ac:dyDescent="0.25">
      <c r="A14" t="s">
        <v>5429</v>
      </c>
      <c r="B14" t="s">
        <v>3411</v>
      </c>
      <c r="C14" t="s">
        <v>5401</v>
      </c>
      <c r="D14">
        <v>1</v>
      </c>
      <c r="E14" t="s">
        <v>5430</v>
      </c>
      <c r="F14" t="s">
        <v>5431</v>
      </c>
      <c r="G14">
        <v>1</v>
      </c>
      <c r="H14" t="s">
        <v>5429</v>
      </c>
      <c r="I14" t="s">
        <v>15</v>
      </c>
      <c r="J14" t="s">
        <v>5432</v>
      </c>
    </row>
    <row r="15" spans="1:10" ht="15" customHeight="1" x14ac:dyDescent="0.25">
      <c r="A15" t="s">
        <v>4085</v>
      </c>
      <c r="B15" t="s">
        <v>3423</v>
      </c>
      <c r="C15" t="s">
        <v>5401</v>
      </c>
      <c r="D15">
        <v>1</v>
      </c>
      <c r="E15" t="s">
        <v>5433</v>
      </c>
      <c r="F15" t="s">
        <v>5433</v>
      </c>
      <c r="G15">
        <v>1</v>
      </c>
      <c r="H15" t="s">
        <v>4085</v>
      </c>
      <c r="I15" t="s">
        <v>954</v>
      </c>
      <c r="J15" t="s">
        <v>5434</v>
      </c>
    </row>
    <row r="16" spans="1:10" ht="15" customHeight="1" x14ac:dyDescent="0.25">
      <c r="A16" t="s">
        <v>3417</v>
      </c>
      <c r="B16" t="s">
        <v>3404</v>
      </c>
      <c r="C16" t="s">
        <v>4247</v>
      </c>
      <c r="D16">
        <v>3</v>
      </c>
      <c r="E16" t="s">
        <v>5435</v>
      </c>
      <c r="F16" t="s">
        <v>5435</v>
      </c>
      <c r="G16">
        <v>2</v>
      </c>
      <c r="H16" t="s">
        <v>3417</v>
      </c>
      <c r="I16" t="s">
        <v>15</v>
      </c>
      <c r="J16" t="s">
        <v>5418</v>
      </c>
    </row>
    <row r="17" spans="1:10" ht="15" customHeight="1" x14ac:dyDescent="0.25">
      <c r="A17" t="s">
        <v>3338</v>
      </c>
      <c r="B17" t="s">
        <v>3436</v>
      </c>
      <c r="C17" t="s">
        <v>5401</v>
      </c>
      <c r="D17">
        <v>2</v>
      </c>
      <c r="E17" t="s">
        <v>5436</v>
      </c>
      <c r="F17" t="s">
        <v>5437</v>
      </c>
      <c r="G17">
        <v>2</v>
      </c>
      <c r="H17" t="s">
        <v>3338</v>
      </c>
      <c r="I17" t="s">
        <v>15</v>
      </c>
      <c r="J17" t="s">
        <v>5414</v>
      </c>
    </row>
    <row r="18" spans="1:10" ht="15" customHeight="1" x14ac:dyDescent="0.25">
      <c r="A18" t="s">
        <v>5438</v>
      </c>
      <c r="B18" t="s">
        <v>3423</v>
      </c>
      <c r="C18" t="s">
        <v>5023</v>
      </c>
      <c r="D18">
        <v>0</v>
      </c>
      <c r="E18" t="s">
        <v>5439</v>
      </c>
      <c r="F18" t="s">
        <v>5440</v>
      </c>
      <c r="G18">
        <v>0</v>
      </c>
      <c r="H18" t="s">
        <v>5441</v>
      </c>
      <c r="I18" t="s">
        <v>15</v>
      </c>
      <c r="J18" t="s">
        <v>5442</v>
      </c>
    </row>
    <row r="19" spans="1:10" ht="15" customHeight="1" x14ac:dyDescent="0.25">
      <c r="A19" t="s">
        <v>5443</v>
      </c>
      <c r="B19" t="s">
        <v>3411</v>
      </c>
      <c r="C19" t="s">
        <v>5401</v>
      </c>
      <c r="D19">
        <v>0</v>
      </c>
      <c r="E19" t="s">
        <v>5444</v>
      </c>
      <c r="F19" t="s">
        <v>5445</v>
      </c>
      <c r="G19">
        <v>0</v>
      </c>
      <c r="H19" t="s">
        <v>5446</v>
      </c>
      <c r="I19" t="s">
        <v>15</v>
      </c>
      <c r="J19" t="s">
        <v>5447</v>
      </c>
    </row>
    <row r="20" spans="1:10" ht="15" customHeight="1" x14ac:dyDescent="0.25">
      <c r="A20" t="s">
        <v>5448</v>
      </c>
      <c r="B20" t="s">
        <v>3404</v>
      </c>
      <c r="C20" t="s">
        <v>4247</v>
      </c>
      <c r="D20">
        <v>0</v>
      </c>
      <c r="E20" t="s">
        <v>5449</v>
      </c>
      <c r="F20" t="s">
        <v>5450</v>
      </c>
      <c r="G20">
        <v>0</v>
      </c>
      <c r="H20" t="s">
        <v>5448</v>
      </c>
      <c r="I20" t="s">
        <v>15</v>
      </c>
      <c r="J20" t="s">
        <v>5451</v>
      </c>
    </row>
    <row r="21" spans="1:10" ht="15" customHeight="1" x14ac:dyDescent="0.25">
      <c r="A21" t="s">
        <v>5452</v>
      </c>
      <c r="B21" t="s">
        <v>3411</v>
      </c>
      <c r="C21" t="s">
        <v>5023</v>
      </c>
      <c r="D21">
        <v>1</v>
      </c>
      <c r="E21" t="s">
        <v>5453</v>
      </c>
      <c r="F21" t="s">
        <v>5454</v>
      </c>
      <c r="G21">
        <v>1</v>
      </c>
      <c r="H21" t="s">
        <v>5455</v>
      </c>
      <c r="I21" t="s">
        <v>15</v>
      </c>
      <c r="J21" t="s">
        <v>5456</v>
      </c>
    </row>
    <row r="22" spans="1:10" ht="15" customHeight="1" x14ac:dyDescent="0.25">
      <c r="A22" t="s">
        <v>4112</v>
      </c>
      <c r="B22" t="s">
        <v>3411</v>
      </c>
      <c r="C22" t="s">
        <v>5401</v>
      </c>
      <c r="D22">
        <v>1</v>
      </c>
      <c r="E22" t="s">
        <v>5457</v>
      </c>
      <c r="F22" t="s">
        <v>5457</v>
      </c>
      <c r="G22">
        <v>1</v>
      </c>
      <c r="H22" t="s">
        <v>4115</v>
      </c>
      <c r="I22" t="s">
        <v>1012</v>
      </c>
      <c r="J22" t="s">
        <v>5434</v>
      </c>
    </row>
    <row r="23" spans="1:10" ht="15" customHeight="1" x14ac:dyDescent="0.25">
      <c r="A23" t="s">
        <v>5458</v>
      </c>
      <c r="B23" t="s">
        <v>3423</v>
      </c>
      <c r="C23" t="s">
        <v>5401</v>
      </c>
      <c r="D23">
        <v>4</v>
      </c>
      <c r="E23" t="s">
        <v>5459</v>
      </c>
      <c r="F23" t="s">
        <v>5460</v>
      </c>
      <c r="G23">
        <v>3</v>
      </c>
      <c r="H23" t="s">
        <v>5461</v>
      </c>
      <c r="I23" t="s">
        <v>15</v>
      </c>
      <c r="J23" t="s">
        <v>5442</v>
      </c>
    </row>
    <row r="24" spans="1:10" ht="15" customHeight="1" x14ac:dyDescent="0.25">
      <c r="A24" t="s">
        <v>4116</v>
      </c>
      <c r="B24" t="s">
        <v>3404</v>
      </c>
      <c r="C24" t="s">
        <v>5401</v>
      </c>
      <c r="D24">
        <v>1</v>
      </c>
      <c r="E24" t="s">
        <v>5462</v>
      </c>
      <c r="F24" t="s">
        <v>5462</v>
      </c>
      <c r="G24">
        <v>1</v>
      </c>
      <c r="H24" t="s">
        <v>4119</v>
      </c>
      <c r="I24" t="s">
        <v>1524</v>
      </c>
      <c r="J24" t="s">
        <v>5434</v>
      </c>
    </row>
    <row r="25" spans="1:10" ht="15" customHeight="1" x14ac:dyDescent="0.25">
      <c r="A25" t="s">
        <v>5463</v>
      </c>
      <c r="B25" t="s">
        <v>3423</v>
      </c>
      <c r="C25" t="s">
        <v>5023</v>
      </c>
      <c r="D25">
        <v>0</v>
      </c>
      <c r="E25" t="s">
        <v>5464</v>
      </c>
      <c r="F25" t="s">
        <v>5465</v>
      </c>
      <c r="G25">
        <v>0</v>
      </c>
      <c r="H25" t="s">
        <v>5463</v>
      </c>
      <c r="I25" t="s">
        <v>15</v>
      </c>
      <c r="J25" t="s">
        <v>5451</v>
      </c>
    </row>
    <row r="26" spans="1:10" ht="15" customHeight="1" x14ac:dyDescent="0.25">
      <c r="A26" t="s">
        <v>5466</v>
      </c>
      <c r="B26" t="s">
        <v>3404</v>
      </c>
      <c r="C26" t="s">
        <v>5401</v>
      </c>
      <c r="D26">
        <v>3</v>
      </c>
      <c r="E26" t="s">
        <v>5467</v>
      </c>
      <c r="F26" t="s">
        <v>5468</v>
      </c>
      <c r="G26">
        <v>3</v>
      </c>
      <c r="H26" t="s">
        <v>5466</v>
      </c>
      <c r="I26" t="s">
        <v>15</v>
      </c>
      <c r="J26" t="s">
        <v>5414</v>
      </c>
    </row>
    <row r="27" spans="1:10" ht="15" customHeight="1" x14ac:dyDescent="0.25">
      <c r="A27" t="s">
        <v>5469</v>
      </c>
      <c r="B27" t="s">
        <v>3991</v>
      </c>
      <c r="C27" t="s">
        <v>3486</v>
      </c>
      <c r="D27">
        <v>1</v>
      </c>
      <c r="E27" t="s">
        <v>5470</v>
      </c>
      <c r="F27" t="s">
        <v>17</v>
      </c>
      <c r="G27" t="s">
        <v>17</v>
      </c>
      <c r="H27" t="s">
        <v>5471</v>
      </c>
      <c r="I27" t="s">
        <v>412</v>
      </c>
      <c r="J27" t="s">
        <v>5472</v>
      </c>
    </row>
    <row r="28" spans="1:10" ht="15" customHeight="1" x14ac:dyDescent="0.25">
      <c r="A28" t="s">
        <v>4822</v>
      </c>
      <c r="B28" t="s">
        <v>3423</v>
      </c>
      <c r="C28" t="s">
        <v>5023</v>
      </c>
      <c r="D28">
        <v>1</v>
      </c>
      <c r="E28" t="s">
        <v>5473</v>
      </c>
      <c r="F28" t="s">
        <v>5474</v>
      </c>
      <c r="G28">
        <v>1</v>
      </c>
      <c r="H28" t="s">
        <v>4822</v>
      </c>
      <c r="I28" t="s">
        <v>15</v>
      </c>
      <c r="J28" t="s">
        <v>5396</v>
      </c>
    </row>
    <row r="29" spans="1:10" ht="15" customHeight="1" x14ac:dyDescent="0.25">
      <c r="A29" t="s">
        <v>5475</v>
      </c>
      <c r="B29" t="s">
        <v>3411</v>
      </c>
      <c r="C29" t="s">
        <v>5401</v>
      </c>
      <c r="D29">
        <v>1</v>
      </c>
      <c r="E29" t="s">
        <v>5476</v>
      </c>
      <c r="F29" t="s">
        <v>5476</v>
      </c>
      <c r="G29">
        <v>0</v>
      </c>
      <c r="H29" t="s">
        <v>5477</v>
      </c>
      <c r="I29" t="s">
        <v>15</v>
      </c>
      <c r="J29" t="s">
        <v>5414</v>
      </c>
    </row>
    <row r="30" spans="1:10" ht="15" customHeight="1" x14ac:dyDescent="0.25">
      <c r="A30" t="s">
        <v>5478</v>
      </c>
      <c r="B30" t="s">
        <v>3423</v>
      </c>
      <c r="C30" t="s">
        <v>5023</v>
      </c>
      <c r="D30">
        <v>0</v>
      </c>
      <c r="E30" t="s">
        <v>5479</v>
      </c>
      <c r="F30" t="s">
        <v>5480</v>
      </c>
      <c r="G30">
        <v>0</v>
      </c>
      <c r="H30" t="s">
        <v>5481</v>
      </c>
      <c r="I30" t="s">
        <v>15</v>
      </c>
      <c r="J30" t="s">
        <v>5482</v>
      </c>
    </row>
    <row r="31" spans="1:10" ht="15" customHeight="1" x14ac:dyDescent="0.25">
      <c r="A31" t="s">
        <v>5483</v>
      </c>
      <c r="B31" t="s">
        <v>3423</v>
      </c>
      <c r="C31" t="s">
        <v>5484</v>
      </c>
      <c r="D31">
        <v>3</v>
      </c>
      <c r="E31" t="s">
        <v>5485</v>
      </c>
      <c r="F31" t="s">
        <v>5486</v>
      </c>
      <c r="G31">
        <v>3</v>
      </c>
      <c r="H31" t="s">
        <v>5487</v>
      </c>
      <c r="I31" t="s">
        <v>1575</v>
      </c>
    </row>
    <row r="32" spans="1:10" ht="15" customHeight="1" x14ac:dyDescent="0.25">
      <c r="A32" t="s">
        <v>5488</v>
      </c>
      <c r="B32" t="s">
        <v>3423</v>
      </c>
      <c r="C32" t="s">
        <v>5023</v>
      </c>
      <c r="D32">
        <v>2</v>
      </c>
      <c r="E32" t="s">
        <v>5489</v>
      </c>
      <c r="F32" t="s">
        <v>5490</v>
      </c>
      <c r="G32">
        <v>2</v>
      </c>
      <c r="H32" t="s">
        <v>5491</v>
      </c>
      <c r="I32" t="s">
        <v>15</v>
      </c>
      <c r="J32" t="s">
        <v>5492</v>
      </c>
    </row>
    <row r="33" spans="1:10" ht="15" customHeight="1" x14ac:dyDescent="0.25">
      <c r="A33" t="s">
        <v>5493</v>
      </c>
      <c r="B33" t="s">
        <v>3404</v>
      </c>
      <c r="C33" t="s">
        <v>4247</v>
      </c>
      <c r="D33">
        <v>0</v>
      </c>
      <c r="E33" t="s">
        <v>5494</v>
      </c>
      <c r="F33" t="s">
        <v>5495</v>
      </c>
      <c r="G33">
        <v>0</v>
      </c>
      <c r="H33" t="s">
        <v>5493</v>
      </c>
      <c r="I33" t="s">
        <v>15</v>
      </c>
      <c r="J33" t="s">
        <v>5442</v>
      </c>
    </row>
    <row r="34" spans="1:10" ht="15" customHeight="1" x14ac:dyDescent="0.25">
      <c r="A34" t="s">
        <v>4828</v>
      </c>
      <c r="B34" t="s">
        <v>3404</v>
      </c>
      <c r="C34" t="s">
        <v>4247</v>
      </c>
      <c r="D34">
        <v>2</v>
      </c>
      <c r="E34" t="s">
        <v>5496</v>
      </c>
      <c r="F34" t="s">
        <v>5497</v>
      </c>
      <c r="G34">
        <v>2</v>
      </c>
      <c r="H34" t="s">
        <v>4828</v>
      </c>
      <c r="I34" t="s">
        <v>15</v>
      </c>
      <c r="J34" t="s">
        <v>5498</v>
      </c>
    </row>
    <row r="35" spans="1:10" ht="15" customHeight="1" x14ac:dyDescent="0.25">
      <c r="A35" t="s">
        <v>5499</v>
      </c>
      <c r="B35" t="s">
        <v>3404</v>
      </c>
      <c r="C35" t="s">
        <v>5023</v>
      </c>
      <c r="D35">
        <v>3</v>
      </c>
      <c r="E35" t="s">
        <v>5500</v>
      </c>
      <c r="F35" t="s">
        <v>5500</v>
      </c>
      <c r="G35">
        <v>2</v>
      </c>
      <c r="H35" t="s">
        <v>5501</v>
      </c>
      <c r="I35" t="s">
        <v>15</v>
      </c>
      <c r="J35" t="s">
        <v>5502</v>
      </c>
    </row>
    <row r="36" spans="1:10" ht="15" customHeight="1" x14ac:dyDescent="0.25">
      <c r="A36" t="s">
        <v>4831</v>
      </c>
      <c r="B36" t="s">
        <v>3991</v>
      </c>
      <c r="C36" t="s">
        <v>3486</v>
      </c>
      <c r="D36" t="s">
        <v>4593</v>
      </c>
      <c r="E36" t="s">
        <v>5503</v>
      </c>
      <c r="F36" t="s">
        <v>5504</v>
      </c>
      <c r="G36" t="s">
        <v>4593</v>
      </c>
      <c r="H36" t="s">
        <v>4831</v>
      </c>
      <c r="I36" t="s">
        <v>15</v>
      </c>
    </row>
    <row r="37" spans="1:10" ht="15" customHeight="1" x14ac:dyDescent="0.25">
      <c r="A37" t="s">
        <v>5505</v>
      </c>
      <c r="B37" t="s">
        <v>3423</v>
      </c>
      <c r="C37" t="s">
        <v>5023</v>
      </c>
      <c r="D37">
        <v>1</v>
      </c>
      <c r="E37" t="s">
        <v>5506</v>
      </c>
      <c r="F37" t="s">
        <v>5507</v>
      </c>
      <c r="G37">
        <v>1</v>
      </c>
      <c r="H37" t="s">
        <v>5508</v>
      </c>
      <c r="I37" t="s">
        <v>15</v>
      </c>
      <c r="J37" t="s">
        <v>5509</v>
      </c>
    </row>
    <row r="38" spans="1:10" ht="15" customHeight="1" x14ac:dyDescent="0.25">
      <c r="A38" t="s">
        <v>4833</v>
      </c>
      <c r="B38" t="s">
        <v>3404</v>
      </c>
      <c r="C38" t="s">
        <v>5023</v>
      </c>
      <c r="D38">
        <v>1</v>
      </c>
      <c r="E38" t="s">
        <v>5510</v>
      </c>
      <c r="F38" t="s">
        <v>5511</v>
      </c>
      <c r="G38">
        <v>1</v>
      </c>
      <c r="H38" t="s">
        <v>4833</v>
      </c>
      <c r="I38" t="s">
        <v>15</v>
      </c>
      <c r="J38" t="s">
        <v>5502</v>
      </c>
    </row>
    <row r="39" spans="1:10" ht="15" customHeight="1" x14ac:dyDescent="0.25">
      <c r="A39" t="s">
        <v>5512</v>
      </c>
      <c r="B39" t="s">
        <v>3423</v>
      </c>
      <c r="C39" t="s">
        <v>5023</v>
      </c>
      <c r="D39">
        <v>0</v>
      </c>
      <c r="E39" t="s">
        <v>5513</v>
      </c>
      <c r="F39" t="s">
        <v>5514</v>
      </c>
      <c r="G39">
        <v>0</v>
      </c>
      <c r="H39" t="s">
        <v>5515</v>
      </c>
      <c r="I39" t="s">
        <v>15</v>
      </c>
      <c r="J39" t="s">
        <v>5516</v>
      </c>
    </row>
    <row r="40" spans="1:10" ht="15" customHeight="1" x14ac:dyDescent="0.25">
      <c r="A40" t="s">
        <v>5517</v>
      </c>
      <c r="B40" t="s">
        <v>3423</v>
      </c>
      <c r="C40" t="s">
        <v>4247</v>
      </c>
      <c r="D40">
        <v>1</v>
      </c>
      <c r="E40" t="s">
        <v>5348</v>
      </c>
      <c r="F40" t="s">
        <v>5518</v>
      </c>
      <c r="G40">
        <v>1</v>
      </c>
      <c r="H40" t="s">
        <v>5517</v>
      </c>
      <c r="I40" t="s">
        <v>15</v>
      </c>
      <c r="J40" t="s">
        <v>5396</v>
      </c>
    </row>
    <row r="41" spans="1:10" ht="15" customHeight="1" x14ac:dyDescent="0.25">
      <c r="A41" t="s">
        <v>5519</v>
      </c>
      <c r="B41" t="s">
        <v>3423</v>
      </c>
      <c r="C41" t="s">
        <v>5401</v>
      </c>
      <c r="D41">
        <v>2</v>
      </c>
      <c r="E41" t="s">
        <v>5520</v>
      </c>
      <c r="F41" t="s">
        <v>5521</v>
      </c>
      <c r="G41">
        <v>2</v>
      </c>
      <c r="H41" t="s">
        <v>5519</v>
      </c>
      <c r="I41" t="s">
        <v>15</v>
      </c>
      <c r="J41" t="s">
        <v>5414</v>
      </c>
    </row>
    <row r="42" spans="1:10" ht="15" customHeight="1" x14ac:dyDescent="0.25">
      <c r="A42" t="s">
        <v>5522</v>
      </c>
      <c r="B42" t="s">
        <v>3423</v>
      </c>
      <c r="C42" t="s">
        <v>5023</v>
      </c>
      <c r="D42">
        <v>1</v>
      </c>
      <c r="E42" t="s">
        <v>5523</v>
      </c>
      <c r="F42" t="s">
        <v>5524</v>
      </c>
      <c r="G42">
        <v>1</v>
      </c>
      <c r="H42" t="s">
        <v>5522</v>
      </c>
      <c r="I42" t="s">
        <v>15</v>
      </c>
      <c r="J42" t="s">
        <v>5492</v>
      </c>
    </row>
    <row r="43" spans="1:10" ht="15" customHeight="1" x14ac:dyDescent="0.25">
      <c r="A43" t="s">
        <v>5525</v>
      </c>
      <c r="B43" t="s">
        <v>3423</v>
      </c>
      <c r="C43" t="s">
        <v>5401</v>
      </c>
      <c r="D43">
        <v>2</v>
      </c>
      <c r="E43" t="s">
        <v>5526</v>
      </c>
      <c r="F43" t="s">
        <v>5527</v>
      </c>
      <c r="G43">
        <v>2</v>
      </c>
      <c r="H43" t="s">
        <v>5525</v>
      </c>
      <c r="I43" t="s">
        <v>15</v>
      </c>
      <c r="J43" t="s">
        <v>5528</v>
      </c>
    </row>
    <row r="44" spans="1:10" ht="15" customHeight="1" x14ac:dyDescent="0.25">
      <c r="A44" t="s">
        <v>5529</v>
      </c>
      <c r="B44" t="s">
        <v>3411</v>
      </c>
      <c r="C44" t="s">
        <v>5401</v>
      </c>
      <c r="D44">
        <v>0</v>
      </c>
      <c r="E44" t="s">
        <v>5530</v>
      </c>
      <c r="F44" t="s">
        <v>5531</v>
      </c>
      <c r="G44">
        <v>0</v>
      </c>
      <c r="H44" t="s">
        <v>5529</v>
      </c>
      <c r="I44" t="s">
        <v>15</v>
      </c>
      <c r="J44" t="s">
        <v>5414</v>
      </c>
    </row>
    <row r="45" spans="1:10" ht="15" customHeight="1" x14ac:dyDescent="0.25">
      <c r="A45" t="s">
        <v>5532</v>
      </c>
      <c r="B45" t="s">
        <v>3411</v>
      </c>
      <c r="C45" t="s">
        <v>5401</v>
      </c>
      <c r="D45">
        <v>0</v>
      </c>
      <c r="E45" t="s">
        <v>5533</v>
      </c>
      <c r="F45" t="s">
        <v>5534</v>
      </c>
      <c r="G45">
        <v>0</v>
      </c>
      <c r="H45" t="s">
        <v>5532</v>
      </c>
      <c r="I45" t="s">
        <v>15</v>
      </c>
      <c r="J45" t="s">
        <v>5535</v>
      </c>
    </row>
    <row r="46" spans="1:10" ht="15" customHeight="1" x14ac:dyDescent="0.25">
      <c r="A46" t="s">
        <v>5074</v>
      </c>
      <c r="B46" t="s">
        <v>3411</v>
      </c>
      <c r="C46" t="s">
        <v>5401</v>
      </c>
      <c r="D46">
        <v>1</v>
      </c>
      <c r="E46" t="s">
        <v>5536</v>
      </c>
      <c r="F46" t="s">
        <v>5537</v>
      </c>
      <c r="G46">
        <v>1</v>
      </c>
      <c r="H46" t="s">
        <v>5074</v>
      </c>
      <c r="I46" t="s">
        <v>15</v>
      </c>
      <c r="J46" t="s">
        <v>5538</v>
      </c>
    </row>
    <row r="47" spans="1:10" ht="15" customHeight="1" x14ac:dyDescent="0.25">
      <c r="A47" t="s">
        <v>5539</v>
      </c>
      <c r="B47" t="s">
        <v>3411</v>
      </c>
      <c r="C47" t="s">
        <v>5023</v>
      </c>
      <c r="D47">
        <v>1</v>
      </c>
      <c r="E47" t="s">
        <v>5540</v>
      </c>
      <c r="F47" t="s">
        <v>5541</v>
      </c>
      <c r="G47">
        <v>1</v>
      </c>
      <c r="H47" t="s">
        <v>5542</v>
      </c>
      <c r="I47" t="s">
        <v>15</v>
      </c>
      <c r="J47" t="s">
        <v>5396</v>
      </c>
    </row>
    <row r="48" spans="1:10" ht="15" customHeight="1" x14ac:dyDescent="0.25">
      <c r="A48" t="s">
        <v>5543</v>
      </c>
      <c r="B48" t="s">
        <v>3411</v>
      </c>
      <c r="C48" t="s">
        <v>5401</v>
      </c>
      <c r="D48">
        <v>2</v>
      </c>
      <c r="E48" t="s">
        <v>5544</v>
      </c>
      <c r="F48" t="s">
        <v>5545</v>
      </c>
      <c r="G48">
        <v>2</v>
      </c>
      <c r="H48" t="s">
        <v>5543</v>
      </c>
      <c r="I48" t="s">
        <v>15</v>
      </c>
      <c r="J48" t="s">
        <v>5546</v>
      </c>
    </row>
    <row r="49" spans="1:10" ht="15" customHeight="1" x14ac:dyDescent="0.25">
      <c r="A49" t="s">
        <v>5547</v>
      </c>
      <c r="B49" t="s">
        <v>3991</v>
      </c>
      <c r="C49" t="s">
        <v>0</v>
      </c>
      <c r="D49" t="s">
        <v>4593</v>
      </c>
      <c r="E49" t="s">
        <v>5548</v>
      </c>
      <c r="F49" t="s">
        <v>17</v>
      </c>
      <c r="G49" t="s">
        <v>17</v>
      </c>
      <c r="H49" t="s">
        <v>5547</v>
      </c>
      <c r="I49" t="s">
        <v>15</v>
      </c>
      <c r="J49" t="s">
        <v>5549</v>
      </c>
    </row>
    <row r="50" spans="1:10" ht="15" customHeight="1" x14ac:dyDescent="0.25">
      <c r="A50" t="s">
        <v>5547</v>
      </c>
      <c r="B50" t="s">
        <v>3411</v>
      </c>
      <c r="C50" t="s">
        <v>5105</v>
      </c>
      <c r="D50">
        <v>1</v>
      </c>
      <c r="E50" t="s">
        <v>5550</v>
      </c>
      <c r="F50" t="s">
        <v>5551</v>
      </c>
      <c r="G50">
        <v>1</v>
      </c>
      <c r="H50" t="s">
        <v>5547</v>
      </c>
      <c r="I50" t="s">
        <v>5552</v>
      </c>
      <c r="J50" t="s">
        <v>5553</v>
      </c>
    </row>
    <row r="51" spans="1:10" ht="15" customHeight="1" x14ac:dyDescent="0.25">
      <c r="A51" t="s">
        <v>5554</v>
      </c>
      <c r="B51" t="s">
        <v>3423</v>
      </c>
      <c r="C51" t="s">
        <v>4247</v>
      </c>
      <c r="D51">
        <v>1</v>
      </c>
      <c r="E51" t="s">
        <v>5555</v>
      </c>
      <c r="F51" t="s">
        <v>5556</v>
      </c>
      <c r="G51">
        <v>1</v>
      </c>
      <c r="H51" t="s">
        <v>5554</v>
      </c>
      <c r="I51" t="s">
        <v>15</v>
      </c>
      <c r="J51" t="s">
        <v>5414</v>
      </c>
    </row>
    <row r="52" spans="1:10" ht="15" customHeight="1" x14ac:dyDescent="0.25">
      <c r="A52" t="s">
        <v>5557</v>
      </c>
      <c r="B52" t="s">
        <v>3423</v>
      </c>
      <c r="C52" t="s">
        <v>5023</v>
      </c>
      <c r="D52">
        <v>0</v>
      </c>
      <c r="E52" t="s">
        <v>5558</v>
      </c>
      <c r="F52" t="s">
        <v>5559</v>
      </c>
      <c r="G52">
        <v>0</v>
      </c>
      <c r="H52" t="s">
        <v>5557</v>
      </c>
      <c r="I52" t="s">
        <v>15</v>
      </c>
      <c r="J52" t="s">
        <v>5560</v>
      </c>
    </row>
    <row r="53" spans="1:10" ht="15" customHeight="1" x14ac:dyDescent="0.25">
      <c r="A53" t="s">
        <v>4842</v>
      </c>
      <c r="B53" t="s">
        <v>3404</v>
      </c>
      <c r="C53" t="s">
        <v>5023</v>
      </c>
      <c r="D53">
        <v>2</v>
      </c>
      <c r="E53" t="s">
        <v>5561</v>
      </c>
      <c r="F53" t="s">
        <v>5562</v>
      </c>
      <c r="G53">
        <v>2</v>
      </c>
      <c r="H53" t="s">
        <v>4844</v>
      </c>
      <c r="I53" t="s">
        <v>15</v>
      </c>
      <c r="J53" t="s">
        <v>5563</v>
      </c>
    </row>
    <row r="54" spans="1:10" ht="15" customHeight="1" x14ac:dyDescent="0.25">
      <c r="A54" t="s">
        <v>5564</v>
      </c>
      <c r="B54" t="s">
        <v>3404</v>
      </c>
      <c r="C54" t="s">
        <v>4247</v>
      </c>
      <c r="D54">
        <v>3</v>
      </c>
      <c r="E54" t="s">
        <v>5565</v>
      </c>
      <c r="F54" t="s">
        <v>5565</v>
      </c>
      <c r="G54">
        <v>2</v>
      </c>
      <c r="H54" t="s">
        <v>5564</v>
      </c>
      <c r="I54" t="s">
        <v>15</v>
      </c>
      <c r="J54" t="s">
        <v>5451</v>
      </c>
    </row>
    <row r="55" spans="1:10" ht="15" customHeight="1" x14ac:dyDescent="0.25">
      <c r="A55" t="s">
        <v>5566</v>
      </c>
      <c r="B55" t="s">
        <v>3423</v>
      </c>
      <c r="C55" t="s">
        <v>5023</v>
      </c>
      <c r="D55">
        <v>2</v>
      </c>
      <c r="E55" t="s">
        <v>5567</v>
      </c>
      <c r="F55" t="s">
        <v>5568</v>
      </c>
      <c r="G55">
        <v>2</v>
      </c>
      <c r="H55" t="s">
        <v>5569</v>
      </c>
      <c r="I55" t="s">
        <v>15</v>
      </c>
      <c r="J55" t="s">
        <v>5563</v>
      </c>
    </row>
    <row r="56" spans="1:10" ht="15" customHeight="1" x14ac:dyDescent="0.25">
      <c r="A56" t="s">
        <v>5570</v>
      </c>
      <c r="B56" t="s">
        <v>3404</v>
      </c>
      <c r="C56" t="s">
        <v>5105</v>
      </c>
      <c r="D56">
        <v>1</v>
      </c>
      <c r="E56" t="s">
        <v>5550</v>
      </c>
      <c r="F56" t="s">
        <v>5551</v>
      </c>
      <c r="G56">
        <v>1</v>
      </c>
      <c r="H56" t="s">
        <v>5570</v>
      </c>
      <c r="I56" t="s">
        <v>5552</v>
      </c>
      <c r="J56" t="s">
        <v>5553</v>
      </c>
    </row>
    <row r="57" spans="1:10" ht="15" customHeight="1" x14ac:dyDescent="0.25">
      <c r="A57" t="s">
        <v>5571</v>
      </c>
      <c r="B57" t="s">
        <v>3411</v>
      </c>
      <c r="C57" t="s">
        <v>5401</v>
      </c>
      <c r="D57">
        <v>1</v>
      </c>
      <c r="E57" t="s">
        <v>5572</v>
      </c>
      <c r="F57" t="s">
        <v>5573</v>
      </c>
      <c r="G57">
        <v>1</v>
      </c>
      <c r="H57" t="s">
        <v>5574</v>
      </c>
      <c r="I57" t="s">
        <v>15</v>
      </c>
      <c r="J57" t="s">
        <v>5575</v>
      </c>
    </row>
    <row r="58" spans="1:10" ht="15" customHeight="1" x14ac:dyDescent="0.25">
      <c r="A58" t="s">
        <v>5576</v>
      </c>
      <c r="B58" t="s">
        <v>3411</v>
      </c>
      <c r="C58" t="s">
        <v>5401</v>
      </c>
      <c r="D58">
        <v>1</v>
      </c>
      <c r="E58" t="s">
        <v>5577</v>
      </c>
      <c r="F58" t="s">
        <v>5578</v>
      </c>
      <c r="G58">
        <v>1</v>
      </c>
      <c r="H58" t="s">
        <v>5579</v>
      </c>
      <c r="I58" t="s">
        <v>15</v>
      </c>
      <c r="J58" t="s">
        <v>5580</v>
      </c>
    </row>
    <row r="59" spans="1:10" ht="15" customHeight="1" x14ac:dyDescent="0.25">
      <c r="A59" t="s">
        <v>5581</v>
      </c>
      <c r="B59" t="s">
        <v>3423</v>
      </c>
      <c r="C59" t="s">
        <v>4247</v>
      </c>
      <c r="D59">
        <v>2</v>
      </c>
      <c r="E59" t="s">
        <v>5582</v>
      </c>
      <c r="F59" t="s">
        <v>5582</v>
      </c>
      <c r="G59">
        <v>1</v>
      </c>
      <c r="H59" t="s">
        <v>5583</v>
      </c>
      <c r="I59" t="s">
        <v>15</v>
      </c>
      <c r="J59" t="s">
        <v>5509</v>
      </c>
    </row>
    <row r="60" spans="1:10" ht="15" customHeight="1" x14ac:dyDescent="0.25">
      <c r="A60" t="s">
        <v>3339</v>
      </c>
      <c r="B60" t="s">
        <v>3423</v>
      </c>
      <c r="C60" t="s">
        <v>5401</v>
      </c>
      <c r="D60">
        <v>2</v>
      </c>
      <c r="E60" t="s">
        <v>5584</v>
      </c>
      <c r="F60" t="s">
        <v>5585</v>
      </c>
      <c r="G60">
        <v>2</v>
      </c>
      <c r="H60" t="s">
        <v>3339</v>
      </c>
      <c r="I60" t="s">
        <v>15</v>
      </c>
      <c r="J60" t="s">
        <v>5586</v>
      </c>
    </row>
    <row r="61" spans="1:10" ht="15" customHeight="1" x14ac:dyDescent="0.25">
      <c r="A61" t="s">
        <v>5587</v>
      </c>
      <c r="B61" t="s">
        <v>3991</v>
      </c>
      <c r="C61" t="s">
        <v>3486</v>
      </c>
      <c r="D61" t="s">
        <v>4593</v>
      </c>
      <c r="E61" t="s">
        <v>5588</v>
      </c>
      <c r="F61" t="s">
        <v>17</v>
      </c>
      <c r="G61" t="s">
        <v>4593</v>
      </c>
      <c r="H61" t="s">
        <v>5587</v>
      </c>
      <c r="I61" t="s">
        <v>15</v>
      </c>
    </row>
    <row r="62" spans="1:10" ht="15" customHeight="1" x14ac:dyDescent="0.25">
      <c r="A62" t="s">
        <v>5589</v>
      </c>
      <c r="B62" t="s">
        <v>3411</v>
      </c>
      <c r="C62" t="s">
        <v>5023</v>
      </c>
      <c r="D62">
        <v>1</v>
      </c>
      <c r="E62" t="s">
        <v>5590</v>
      </c>
      <c r="F62" t="s">
        <v>5591</v>
      </c>
      <c r="G62">
        <v>1</v>
      </c>
      <c r="H62" t="s">
        <v>5592</v>
      </c>
      <c r="I62" t="s">
        <v>15</v>
      </c>
      <c r="J62" t="s">
        <v>5492</v>
      </c>
    </row>
    <row r="63" spans="1:10" ht="15" customHeight="1" x14ac:dyDescent="0.25">
      <c r="A63" t="s">
        <v>4807</v>
      </c>
      <c r="B63" t="s">
        <v>3991</v>
      </c>
      <c r="C63" t="s">
        <v>0</v>
      </c>
      <c r="D63" t="s">
        <v>4593</v>
      </c>
      <c r="E63" t="s">
        <v>5593</v>
      </c>
      <c r="F63" t="s">
        <v>17</v>
      </c>
      <c r="G63" t="s">
        <v>17</v>
      </c>
      <c r="H63" t="s">
        <v>4807</v>
      </c>
      <c r="I63" t="s">
        <v>15</v>
      </c>
      <c r="J63" t="s">
        <v>5549</v>
      </c>
    </row>
    <row r="64" spans="1:10" ht="15" customHeight="1" x14ac:dyDescent="0.25">
      <c r="A64" t="s">
        <v>5594</v>
      </c>
      <c r="B64" t="s">
        <v>3436</v>
      </c>
      <c r="C64" t="s">
        <v>5023</v>
      </c>
      <c r="D64">
        <v>1</v>
      </c>
      <c r="E64" t="s">
        <v>5595</v>
      </c>
      <c r="F64" t="s">
        <v>5596</v>
      </c>
      <c r="G64">
        <v>1</v>
      </c>
      <c r="H64" t="s">
        <v>17</v>
      </c>
      <c r="I64" t="s">
        <v>17</v>
      </c>
    </row>
    <row r="65" spans="1:10" ht="15" customHeight="1" x14ac:dyDescent="0.25">
      <c r="A65" t="s">
        <v>5597</v>
      </c>
      <c r="B65" t="s">
        <v>3411</v>
      </c>
      <c r="C65" t="s">
        <v>5105</v>
      </c>
      <c r="D65">
        <v>1</v>
      </c>
      <c r="E65" t="s">
        <v>5550</v>
      </c>
      <c r="F65" t="s">
        <v>5551</v>
      </c>
      <c r="G65">
        <v>1</v>
      </c>
      <c r="H65" t="s">
        <v>5597</v>
      </c>
      <c r="I65" t="s">
        <v>5552</v>
      </c>
      <c r="J65" t="s">
        <v>5598</v>
      </c>
    </row>
    <row r="66" spans="1:10" ht="15" customHeight="1" x14ac:dyDescent="0.25">
      <c r="A66" t="s">
        <v>5599</v>
      </c>
      <c r="B66" t="s">
        <v>3411</v>
      </c>
      <c r="C66" t="s">
        <v>5023</v>
      </c>
      <c r="D66">
        <v>0</v>
      </c>
      <c r="E66" t="s">
        <v>5600</v>
      </c>
      <c r="F66" t="s">
        <v>5601</v>
      </c>
      <c r="G66">
        <v>0</v>
      </c>
      <c r="H66" t="s">
        <v>5599</v>
      </c>
      <c r="I66" t="s">
        <v>15</v>
      </c>
      <c r="J66" t="s">
        <v>5396</v>
      </c>
    </row>
    <row r="67" spans="1:10" ht="15" customHeight="1" x14ac:dyDescent="0.25">
      <c r="A67" t="s">
        <v>5602</v>
      </c>
      <c r="B67" t="s">
        <v>3404</v>
      </c>
      <c r="C67" t="s">
        <v>4247</v>
      </c>
      <c r="D67">
        <v>3</v>
      </c>
      <c r="E67" t="s">
        <v>5603</v>
      </c>
      <c r="F67" t="s">
        <v>5604</v>
      </c>
      <c r="G67">
        <v>3</v>
      </c>
      <c r="H67" t="s">
        <v>5605</v>
      </c>
      <c r="I67" t="s">
        <v>15</v>
      </c>
      <c r="J67" t="s">
        <v>5606</v>
      </c>
    </row>
    <row r="68" spans="1:10" ht="15" customHeight="1" x14ac:dyDescent="0.25">
      <c r="A68" t="s">
        <v>4232</v>
      </c>
      <c r="B68" t="s">
        <v>3423</v>
      </c>
      <c r="C68" t="s">
        <v>5401</v>
      </c>
      <c r="D68">
        <v>0</v>
      </c>
      <c r="E68" t="s">
        <v>5607</v>
      </c>
      <c r="F68" t="s">
        <v>5607</v>
      </c>
      <c r="G68">
        <v>1</v>
      </c>
      <c r="H68" t="s">
        <v>4232</v>
      </c>
      <c r="I68" t="s">
        <v>1524</v>
      </c>
      <c r="J68" t="s">
        <v>5434</v>
      </c>
    </row>
    <row r="69" spans="1:10" ht="15" customHeight="1" x14ac:dyDescent="0.25">
      <c r="A69" t="s">
        <v>5608</v>
      </c>
      <c r="B69" t="s">
        <v>3404</v>
      </c>
      <c r="C69" t="s">
        <v>5401</v>
      </c>
      <c r="D69">
        <v>1</v>
      </c>
      <c r="E69" t="s">
        <v>5609</v>
      </c>
      <c r="F69" t="s">
        <v>5610</v>
      </c>
      <c r="G69">
        <v>1</v>
      </c>
      <c r="H69" t="s">
        <v>5611</v>
      </c>
      <c r="I69" t="s">
        <v>15</v>
      </c>
      <c r="J69" t="s">
        <v>5612</v>
      </c>
    </row>
    <row r="70" spans="1:10" ht="15" customHeight="1" x14ac:dyDescent="0.25">
      <c r="A70" t="s">
        <v>5613</v>
      </c>
      <c r="B70" t="s">
        <v>3423</v>
      </c>
      <c r="C70" t="s">
        <v>5023</v>
      </c>
      <c r="D70">
        <v>1</v>
      </c>
      <c r="E70" t="s">
        <v>5614</v>
      </c>
      <c r="F70" t="s">
        <v>5615</v>
      </c>
      <c r="G70">
        <v>1</v>
      </c>
      <c r="H70" t="s">
        <v>5613</v>
      </c>
      <c r="I70" t="s">
        <v>15</v>
      </c>
      <c r="J70" t="s">
        <v>5616</v>
      </c>
    </row>
    <row r="71" spans="1:10" ht="15" customHeight="1" x14ac:dyDescent="0.25">
      <c r="A71" t="s">
        <v>5617</v>
      </c>
      <c r="B71" t="s">
        <v>3423</v>
      </c>
      <c r="C71" t="s">
        <v>5023</v>
      </c>
      <c r="D71">
        <v>1</v>
      </c>
      <c r="E71" t="s">
        <v>5618</v>
      </c>
      <c r="F71" t="s">
        <v>5618</v>
      </c>
      <c r="G71">
        <v>0</v>
      </c>
      <c r="H71" t="s">
        <v>5617</v>
      </c>
      <c r="I71" t="s">
        <v>15</v>
      </c>
      <c r="J71" t="s">
        <v>5619</v>
      </c>
    </row>
    <row r="72" spans="1:10" ht="15" customHeight="1" x14ac:dyDescent="0.25">
      <c r="A72" t="s">
        <v>5620</v>
      </c>
      <c r="B72" t="s">
        <v>3411</v>
      </c>
      <c r="C72" t="s">
        <v>5023</v>
      </c>
      <c r="D72">
        <v>1</v>
      </c>
      <c r="E72" t="s">
        <v>5621</v>
      </c>
      <c r="F72" t="s">
        <v>5622</v>
      </c>
      <c r="G72">
        <v>1</v>
      </c>
      <c r="H72" t="s">
        <v>5623</v>
      </c>
      <c r="I72" t="s">
        <v>15</v>
      </c>
      <c r="J72" t="s">
        <v>5396</v>
      </c>
    </row>
    <row r="73" spans="1:10" ht="15" customHeight="1" x14ac:dyDescent="0.25">
      <c r="A73" t="s">
        <v>5624</v>
      </c>
      <c r="B73" t="s">
        <v>3404</v>
      </c>
      <c r="C73" t="s">
        <v>5023</v>
      </c>
      <c r="D73" t="s">
        <v>5625</v>
      </c>
      <c r="E73" t="s">
        <v>5626</v>
      </c>
      <c r="F73" t="s">
        <v>5627</v>
      </c>
      <c r="G73" t="s">
        <v>5625</v>
      </c>
      <c r="H73" t="s">
        <v>5624</v>
      </c>
      <c r="I73" t="s">
        <v>15</v>
      </c>
      <c r="J73" t="s">
        <v>5628</v>
      </c>
    </row>
    <row r="74" spans="1:10" ht="15" customHeight="1" x14ac:dyDescent="0.25">
      <c r="A74" t="s">
        <v>5027</v>
      </c>
      <c r="B74" t="s">
        <v>3404</v>
      </c>
      <c r="C74" t="s">
        <v>5023</v>
      </c>
      <c r="D74">
        <v>1</v>
      </c>
      <c r="E74" t="s">
        <v>5629</v>
      </c>
      <c r="F74" t="s">
        <v>5630</v>
      </c>
      <c r="G74">
        <v>1</v>
      </c>
      <c r="H74" t="s">
        <v>5029</v>
      </c>
      <c r="I74" t="s">
        <v>15</v>
      </c>
      <c r="J74" t="s">
        <v>5631</v>
      </c>
    </row>
    <row r="75" spans="1:10" ht="15" customHeight="1" x14ac:dyDescent="0.25">
      <c r="A75" t="s">
        <v>5632</v>
      </c>
      <c r="B75" t="s">
        <v>3991</v>
      </c>
      <c r="C75" t="s">
        <v>0</v>
      </c>
      <c r="D75" t="s">
        <v>4593</v>
      </c>
      <c r="E75" t="s">
        <v>5633</v>
      </c>
      <c r="F75" t="s">
        <v>17</v>
      </c>
      <c r="G75" t="s">
        <v>17</v>
      </c>
      <c r="H75" t="s">
        <v>5632</v>
      </c>
      <c r="I75" t="s">
        <v>15</v>
      </c>
      <c r="J75" t="s">
        <v>5549</v>
      </c>
    </row>
    <row r="76" spans="1:10" ht="15" customHeight="1" x14ac:dyDescent="0.25">
      <c r="A76" t="s">
        <v>5634</v>
      </c>
      <c r="B76" t="s">
        <v>3423</v>
      </c>
      <c r="C76" t="s">
        <v>5401</v>
      </c>
      <c r="D76">
        <v>1</v>
      </c>
      <c r="E76" t="s">
        <v>5635</v>
      </c>
      <c r="F76" t="s">
        <v>5636</v>
      </c>
      <c r="G76">
        <v>1</v>
      </c>
      <c r="H76" t="s">
        <v>5634</v>
      </c>
      <c r="I76" t="s">
        <v>15</v>
      </c>
      <c r="J76" t="s">
        <v>5637</v>
      </c>
    </row>
    <row r="77" spans="1:10" ht="15" customHeight="1" x14ac:dyDescent="0.25">
      <c r="A77" t="s">
        <v>5638</v>
      </c>
      <c r="B77" t="s">
        <v>3423</v>
      </c>
      <c r="C77" t="s">
        <v>5105</v>
      </c>
      <c r="D77">
        <v>1</v>
      </c>
      <c r="E77" t="s">
        <v>5639</v>
      </c>
      <c r="F77" t="s">
        <v>5640</v>
      </c>
      <c r="G77">
        <v>1</v>
      </c>
      <c r="H77" t="s">
        <v>5638</v>
      </c>
      <c r="I77" t="s">
        <v>5552</v>
      </c>
      <c r="J77" t="s">
        <v>5641</v>
      </c>
    </row>
    <row r="78" spans="1:10" ht="15" customHeight="1" x14ac:dyDescent="0.25">
      <c r="A78" t="s">
        <v>5642</v>
      </c>
      <c r="B78" t="s">
        <v>3423</v>
      </c>
      <c r="C78" t="s">
        <v>5023</v>
      </c>
      <c r="D78">
        <v>1</v>
      </c>
      <c r="E78" t="s">
        <v>5643</v>
      </c>
      <c r="F78" t="s">
        <v>5644</v>
      </c>
      <c r="G78">
        <v>1</v>
      </c>
      <c r="H78" t="s">
        <v>5645</v>
      </c>
      <c r="I78" t="s">
        <v>15</v>
      </c>
      <c r="J78" t="s">
        <v>5442</v>
      </c>
    </row>
    <row r="79" spans="1:10" ht="15" customHeight="1" x14ac:dyDescent="0.25">
      <c r="A79" t="s">
        <v>5646</v>
      </c>
      <c r="B79" t="s">
        <v>3423</v>
      </c>
      <c r="C79" t="s">
        <v>5401</v>
      </c>
      <c r="D79">
        <v>0</v>
      </c>
      <c r="E79" t="s">
        <v>5647</v>
      </c>
      <c r="F79" t="s">
        <v>5648</v>
      </c>
      <c r="G79">
        <v>0</v>
      </c>
      <c r="H79" t="s">
        <v>5649</v>
      </c>
      <c r="I79" t="s">
        <v>15</v>
      </c>
      <c r="J79" t="s">
        <v>5456</v>
      </c>
    </row>
    <row r="80" spans="1:10" ht="15" customHeight="1" x14ac:dyDescent="0.25">
      <c r="A80" t="s">
        <v>5650</v>
      </c>
      <c r="B80" t="s">
        <v>3423</v>
      </c>
      <c r="C80" t="s">
        <v>5023</v>
      </c>
      <c r="D80">
        <v>2</v>
      </c>
      <c r="E80" t="s">
        <v>5651</v>
      </c>
      <c r="F80" t="s">
        <v>5651</v>
      </c>
      <c r="G80">
        <v>1</v>
      </c>
      <c r="H80" t="s">
        <v>5650</v>
      </c>
      <c r="I80" t="s">
        <v>15</v>
      </c>
      <c r="J80" t="s">
        <v>5418</v>
      </c>
    </row>
    <row r="81" spans="1:10" ht="15" customHeight="1" x14ac:dyDescent="0.25">
      <c r="A81" t="s">
        <v>4859</v>
      </c>
      <c r="B81" t="s">
        <v>3404</v>
      </c>
      <c r="C81" t="s">
        <v>4247</v>
      </c>
      <c r="D81">
        <v>2</v>
      </c>
      <c r="E81" t="s">
        <v>5652</v>
      </c>
      <c r="F81" t="s">
        <v>5652</v>
      </c>
      <c r="G81">
        <v>1</v>
      </c>
      <c r="H81" t="s">
        <v>4859</v>
      </c>
      <c r="I81" t="s">
        <v>15</v>
      </c>
      <c r="J81" t="s">
        <v>5528</v>
      </c>
    </row>
    <row r="82" spans="1:10" ht="15" customHeight="1" x14ac:dyDescent="0.25">
      <c r="A82" t="s">
        <v>5653</v>
      </c>
      <c r="B82" t="s">
        <v>3423</v>
      </c>
      <c r="C82" t="s">
        <v>5023</v>
      </c>
      <c r="D82">
        <v>0</v>
      </c>
      <c r="E82" t="s">
        <v>5654</v>
      </c>
      <c r="F82" t="s">
        <v>5655</v>
      </c>
      <c r="G82">
        <v>0</v>
      </c>
      <c r="H82" t="s">
        <v>5656</v>
      </c>
      <c r="I82" t="s">
        <v>15</v>
      </c>
      <c r="J82" t="s">
        <v>5657</v>
      </c>
    </row>
    <row r="83" spans="1:10" ht="15" customHeight="1" x14ac:dyDescent="0.25">
      <c r="A83" t="s">
        <v>5658</v>
      </c>
      <c r="B83" t="s">
        <v>3423</v>
      </c>
      <c r="C83" t="s">
        <v>5401</v>
      </c>
      <c r="D83">
        <v>3</v>
      </c>
      <c r="E83" t="s">
        <v>5659</v>
      </c>
      <c r="F83" t="s">
        <v>5660</v>
      </c>
      <c r="G83">
        <v>3</v>
      </c>
      <c r="H83" t="s">
        <v>5658</v>
      </c>
      <c r="I83" t="s">
        <v>15</v>
      </c>
      <c r="J83" t="s">
        <v>5661</v>
      </c>
    </row>
    <row r="84" spans="1:10" ht="15" customHeight="1" x14ac:dyDescent="0.25">
      <c r="A84" t="s">
        <v>4861</v>
      </c>
      <c r="B84" t="s">
        <v>3423</v>
      </c>
      <c r="C84" t="s">
        <v>4247</v>
      </c>
      <c r="D84">
        <v>1</v>
      </c>
      <c r="E84" t="s">
        <v>5662</v>
      </c>
      <c r="F84" t="s">
        <v>5663</v>
      </c>
      <c r="G84">
        <v>1</v>
      </c>
      <c r="H84" t="s">
        <v>4861</v>
      </c>
      <c r="I84" t="s">
        <v>15</v>
      </c>
      <c r="J84" t="s">
        <v>5664</v>
      </c>
    </row>
    <row r="85" spans="1:10" ht="15" customHeight="1" x14ac:dyDescent="0.25">
      <c r="A85" t="s">
        <v>5665</v>
      </c>
      <c r="B85" t="s">
        <v>3404</v>
      </c>
      <c r="C85" t="s">
        <v>5023</v>
      </c>
      <c r="D85">
        <v>1</v>
      </c>
      <c r="E85" t="s">
        <v>5666</v>
      </c>
      <c r="F85" t="s">
        <v>5666</v>
      </c>
      <c r="G85">
        <v>0</v>
      </c>
      <c r="H85" t="s">
        <v>5665</v>
      </c>
      <c r="I85" t="s">
        <v>15</v>
      </c>
      <c r="J85" t="s">
        <v>5667</v>
      </c>
    </row>
    <row r="86" spans="1:10" ht="15" customHeight="1" x14ac:dyDescent="0.25">
      <c r="A86" t="s">
        <v>5668</v>
      </c>
      <c r="B86" t="s">
        <v>3423</v>
      </c>
      <c r="C86" t="s">
        <v>5023</v>
      </c>
      <c r="D86">
        <v>1</v>
      </c>
      <c r="E86" t="s">
        <v>5669</v>
      </c>
      <c r="F86" t="s">
        <v>5670</v>
      </c>
      <c r="G86">
        <v>1</v>
      </c>
      <c r="H86" t="s">
        <v>5668</v>
      </c>
      <c r="I86" t="s">
        <v>15</v>
      </c>
      <c r="J86" t="s">
        <v>5671</v>
      </c>
    </row>
    <row r="87" spans="1:10" ht="15" customHeight="1" x14ac:dyDescent="0.25">
      <c r="A87" t="s">
        <v>5672</v>
      </c>
      <c r="B87" t="s">
        <v>3404</v>
      </c>
      <c r="C87" t="s">
        <v>5401</v>
      </c>
      <c r="D87">
        <v>1</v>
      </c>
      <c r="E87" t="s">
        <v>5673</v>
      </c>
      <c r="F87" t="s">
        <v>5674</v>
      </c>
      <c r="G87">
        <v>1</v>
      </c>
      <c r="H87" t="s">
        <v>5672</v>
      </c>
      <c r="I87" t="s">
        <v>15</v>
      </c>
      <c r="J87" t="s">
        <v>5675</v>
      </c>
    </row>
    <row r="88" spans="1:10" ht="15" customHeight="1" x14ac:dyDescent="0.25">
      <c r="A88" t="s">
        <v>4869</v>
      </c>
      <c r="B88" t="s">
        <v>3423</v>
      </c>
      <c r="C88" t="s">
        <v>4247</v>
      </c>
      <c r="D88">
        <v>1</v>
      </c>
      <c r="E88" t="s">
        <v>5676</v>
      </c>
      <c r="F88" t="s">
        <v>5677</v>
      </c>
      <c r="G88">
        <v>1</v>
      </c>
      <c r="H88" t="s">
        <v>4871</v>
      </c>
      <c r="I88" t="s">
        <v>15</v>
      </c>
      <c r="J88" t="s">
        <v>5678</v>
      </c>
    </row>
    <row r="89" spans="1:10" ht="15" customHeight="1" x14ac:dyDescent="0.25">
      <c r="A89" t="s">
        <v>5679</v>
      </c>
      <c r="B89" t="s">
        <v>3404</v>
      </c>
      <c r="C89" t="s">
        <v>5401</v>
      </c>
      <c r="D89">
        <v>2</v>
      </c>
      <c r="E89" t="s">
        <v>5680</v>
      </c>
      <c r="F89" t="s">
        <v>5681</v>
      </c>
      <c r="G89">
        <v>2</v>
      </c>
      <c r="H89" t="s">
        <v>5682</v>
      </c>
      <c r="I89" t="s">
        <v>15</v>
      </c>
      <c r="J89" t="s">
        <v>5683</v>
      </c>
    </row>
    <row r="90" spans="1:10" ht="15" customHeight="1" x14ac:dyDescent="0.25">
      <c r="A90" t="s">
        <v>5684</v>
      </c>
      <c r="B90" t="s">
        <v>3411</v>
      </c>
      <c r="C90" t="s">
        <v>5105</v>
      </c>
      <c r="D90">
        <v>1</v>
      </c>
      <c r="E90" t="s">
        <v>5550</v>
      </c>
      <c r="F90" t="s">
        <v>5551</v>
      </c>
      <c r="G90">
        <v>1</v>
      </c>
      <c r="H90" t="s">
        <v>5684</v>
      </c>
      <c r="I90" t="s">
        <v>2256</v>
      </c>
      <c r="J90" t="s">
        <v>5685</v>
      </c>
    </row>
    <row r="91" spans="1:10" ht="15" customHeight="1" x14ac:dyDescent="0.25">
      <c r="A91" t="s">
        <v>5686</v>
      </c>
      <c r="B91" t="s">
        <v>3423</v>
      </c>
      <c r="C91" t="s">
        <v>5401</v>
      </c>
      <c r="D91">
        <v>1</v>
      </c>
      <c r="E91" t="s">
        <v>5687</v>
      </c>
      <c r="F91" t="s">
        <v>5688</v>
      </c>
      <c r="G91">
        <v>1</v>
      </c>
      <c r="H91" t="s">
        <v>5686</v>
      </c>
      <c r="I91" t="s">
        <v>15</v>
      </c>
      <c r="J91" t="s">
        <v>5456</v>
      </c>
    </row>
    <row r="92" spans="1:10" ht="15" customHeight="1" x14ac:dyDescent="0.25">
      <c r="A92" t="s">
        <v>4872</v>
      </c>
      <c r="B92" t="s">
        <v>3423</v>
      </c>
      <c r="C92" t="s">
        <v>4247</v>
      </c>
      <c r="D92">
        <v>1</v>
      </c>
      <c r="E92" t="s">
        <v>5689</v>
      </c>
      <c r="F92" t="s">
        <v>5690</v>
      </c>
      <c r="G92">
        <v>1</v>
      </c>
      <c r="H92" t="s">
        <v>4874</v>
      </c>
      <c r="I92" t="s">
        <v>15</v>
      </c>
      <c r="J92" t="s">
        <v>5691</v>
      </c>
    </row>
    <row r="93" spans="1:10" ht="15" customHeight="1" x14ac:dyDescent="0.25">
      <c r="A93" t="s">
        <v>4875</v>
      </c>
      <c r="B93" t="s">
        <v>3423</v>
      </c>
      <c r="C93" t="s">
        <v>5023</v>
      </c>
      <c r="D93">
        <v>2</v>
      </c>
      <c r="E93" t="s">
        <v>5692</v>
      </c>
      <c r="F93" t="s">
        <v>5693</v>
      </c>
      <c r="G93">
        <v>2</v>
      </c>
      <c r="H93" t="s">
        <v>4877</v>
      </c>
      <c r="I93" t="s">
        <v>15</v>
      </c>
      <c r="J93" t="s">
        <v>5418</v>
      </c>
    </row>
    <row r="94" spans="1:10" ht="15" customHeight="1" x14ac:dyDescent="0.25">
      <c r="A94" t="s">
        <v>5694</v>
      </c>
      <c r="B94" t="s">
        <v>3423</v>
      </c>
      <c r="C94" t="s">
        <v>5401</v>
      </c>
      <c r="D94">
        <v>1</v>
      </c>
      <c r="E94" t="s">
        <v>5695</v>
      </c>
      <c r="F94" t="s">
        <v>5696</v>
      </c>
      <c r="G94">
        <v>1</v>
      </c>
      <c r="H94" t="s">
        <v>5694</v>
      </c>
      <c r="I94" t="s">
        <v>15</v>
      </c>
      <c r="J94" t="s">
        <v>5456</v>
      </c>
    </row>
    <row r="95" spans="1:10" ht="15" customHeight="1" x14ac:dyDescent="0.25">
      <c r="A95" t="s">
        <v>5697</v>
      </c>
      <c r="B95" t="s">
        <v>3411</v>
      </c>
      <c r="C95" t="s">
        <v>5023</v>
      </c>
      <c r="D95">
        <v>0</v>
      </c>
      <c r="E95" t="s">
        <v>5698</v>
      </c>
      <c r="F95" t="s">
        <v>5699</v>
      </c>
      <c r="G95">
        <v>0</v>
      </c>
      <c r="H95" t="s">
        <v>5697</v>
      </c>
      <c r="I95" t="s">
        <v>15</v>
      </c>
      <c r="J95" t="s">
        <v>5414</v>
      </c>
    </row>
    <row r="96" spans="1:10" ht="15" customHeight="1" x14ac:dyDescent="0.25">
      <c r="A96" t="s">
        <v>5700</v>
      </c>
      <c r="B96" t="s">
        <v>3411</v>
      </c>
      <c r="C96" t="s">
        <v>5401</v>
      </c>
      <c r="D96">
        <v>1</v>
      </c>
      <c r="E96" t="s">
        <v>5701</v>
      </c>
      <c r="F96" t="s">
        <v>5702</v>
      </c>
      <c r="G96">
        <v>1</v>
      </c>
      <c r="H96" t="s">
        <v>5703</v>
      </c>
      <c r="I96" t="s">
        <v>15</v>
      </c>
      <c r="J96" t="s">
        <v>5704</v>
      </c>
    </row>
    <row r="97" spans="1:10" ht="15" customHeight="1" x14ac:dyDescent="0.25">
      <c r="A97" t="s">
        <v>5705</v>
      </c>
      <c r="B97" t="s">
        <v>3423</v>
      </c>
      <c r="C97" t="s">
        <v>4247</v>
      </c>
      <c r="D97">
        <v>1</v>
      </c>
      <c r="E97" t="s">
        <v>5339</v>
      </c>
      <c r="F97" t="s">
        <v>5706</v>
      </c>
      <c r="G97">
        <v>1</v>
      </c>
      <c r="H97" t="s">
        <v>5705</v>
      </c>
      <c r="I97" t="s">
        <v>15</v>
      </c>
      <c r="J97" t="s">
        <v>5396</v>
      </c>
    </row>
    <row r="98" spans="1:10" ht="15" customHeight="1" x14ac:dyDescent="0.25">
      <c r="A98" t="s">
        <v>5707</v>
      </c>
      <c r="B98" t="s">
        <v>3423</v>
      </c>
      <c r="C98" t="s">
        <v>5105</v>
      </c>
      <c r="D98">
        <v>1</v>
      </c>
      <c r="E98" t="s">
        <v>5550</v>
      </c>
      <c r="F98" t="s">
        <v>5551</v>
      </c>
      <c r="G98">
        <v>1</v>
      </c>
      <c r="H98" t="s">
        <v>5707</v>
      </c>
      <c r="I98" t="s">
        <v>2256</v>
      </c>
      <c r="J98" t="s">
        <v>5553</v>
      </c>
    </row>
    <row r="99" spans="1:10" ht="15" customHeight="1" x14ac:dyDescent="0.25">
      <c r="A99" t="s">
        <v>5708</v>
      </c>
      <c r="B99" t="s">
        <v>3423</v>
      </c>
      <c r="C99" t="s">
        <v>5023</v>
      </c>
      <c r="D99">
        <v>1</v>
      </c>
      <c r="E99" t="s">
        <v>5709</v>
      </c>
      <c r="F99" t="s">
        <v>5710</v>
      </c>
      <c r="G99">
        <v>1</v>
      </c>
      <c r="H99" t="s">
        <v>5711</v>
      </c>
      <c r="I99" t="s">
        <v>15</v>
      </c>
      <c r="J99" t="s">
        <v>5418</v>
      </c>
    </row>
    <row r="100" spans="1:10" ht="15" customHeight="1" x14ac:dyDescent="0.25">
      <c r="A100" t="s">
        <v>5712</v>
      </c>
      <c r="B100" t="s">
        <v>3423</v>
      </c>
      <c r="C100" t="s">
        <v>5105</v>
      </c>
      <c r="D100">
        <v>1</v>
      </c>
      <c r="E100" t="s">
        <v>5550</v>
      </c>
      <c r="F100" t="s">
        <v>5551</v>
      </c>
      <c r="G100">
        <v>1</v>
      </c>
      <c r="H100" t="s">
        <v>5712</v>
      </c>
      <c r="I100" t="s">
        <v>2256</v>
      </c>
      <c r="J100" t="s">
        <v>5685</v>
      </c>
    </row>
    <row r="101" spans="1:10" ht="15" customHeight="1" x14ac:dyDescent="0.25">
      <c r="A101" t="s">
        <v>5713</v>
      </c>
      <c r="B101" t="s">
        <v>3404</v>
      </c>
      <c r="C101" t="s">
        <v>5401</v>
      </c>
      <c r="D101">
        <v>1</v>
      </c>
      <c r="E101" t="s">
        <v>5714</v>
      </c>
      <c r="F101" t="s">
        <v>5715</v>
      </c>
      <c r="G101">
        <v>1</v>
      </c>
      <c r="H101" t="s">
        <v>5716</v>
      </c>
      <c r="I101" t="s">
        <v>15</v>
      </c>
      <c r="J101" t="s">
        <v>5456</v>
      </c>
    </row>
    <row r="102" spans="1:10" ht="15" customHeight="1" x14ac:dyDescent="0.25">
      <c r="A102" t="s">
        <v>5717</v>
      </c>
      <c r="B102" t="s">
        <v>3411</v>
      </c>
      <c r="C102" t="s">
        <v>5401</v>
      </c>
      <c r="D102">
        <v>0</v>
      </c>
      <c r="E102" t="s">
        <v>5718</v>
      </c>
      <c r="F102" t="s">
        <v>5719</v>
      </c>
      <c r="G102">
        <v>0</v>
      </c>
      <c r="H102" t="s">
        <v>5720</v>
      </c>
      <c r="I102" t="s">
        <v>15</v>
      </c>
      <c r="J102" t="s">
        <v>5447</v>
      </c>
    </row>
    <row r="103" spans="1:10" ht="15" customHeight="1" x14ac:dyDescent="0.25">
      <c r="A103" t="s">
        <v>5721</v>
      </c>
      <c r="B103" t="s">
        <v>3404</v>
      </c>
      <c r="C103" t="s">
        <v>5401</v>
      </c>
      <c r="D103">
        <v>0</v>
      </c>
      <c r="E103" t="s">
        <v>5722</v>
      </c>
      <c r="F103" t="s">
        <v>5723</v>
      </c>
      <c r="G103">
        <v>0</v>
      </c>
      <c r="H103" t="s">
        <v>5724</v>
      </c>
      <c r="I103" t="s">
        <v>15</v>
      </c>
      <c r="J103" t="s">
        <v>5456</v>
      </c>
    </row>
    <row r="104" spans="1:10" ht="15" customHeight="1" x14ac:dyDescent="0.25">
      <c r="A104" t="s">
        <v>4793</v>
      </c>
      <c r="B104" t="s">
        <v>3991</v>
      </c>
      <c r="C104" t="s">
        <v>0</v>
      </c>
      <c r="D104" t="s">
        <v>4593</v>
      </c>
      <c r="E104" t="s">
        <v>5725</v>
      </c>
      <c r="F104" t="s">
        <v>17</v>
      </c>
      <c r="G104" t="s">
        <v>17</v>
      </c>
      <c r="H104" t="s">
        <v>4793</v>
      </c>
      <c r="I104" t="s">
        <v>7</v>
      </c>
      <c r="J104" t="s">
        <v>5549</v>
      </c>
    </row>
    <row r="105" spans="1:10" ht="15" customHeight="1" x14ac:dyDescent="0.25">
      <c r="A105" t="s">
        <v>5726</v>
      </c>
      <c r="B105" t="s">
        <v>3411</v>
      </c>
      <c r="C105" t="s">
        <v>5023</v>
      </c>
      <c r="D105">
        <v>1</v>
      </c>
      <c r="E105" t="s">
        <v>5727</v>
      </c>
      <c r="F105" t="s">
        <v>5727</v>
      </c>
      <c r="G105">
        <v>0</v>
      </c>
      <c r="H105" t="s">
        <v>5726</v>
      </c>
      <c r="I105" t="s">
        <v>15</v>
      </c>
      <c r="J105" t="s">
        <v>5683</v>
      </c>
    </row>
    <row r="106" spans="1:10" ht="15" customHeight="1" x14ac:dyDescent="0.25">
      <c r="A106" t="s">
        <v>5728</v>
      </c>
      <c r="B106" t="s">
        <v>3411</v>
      </c>
      <c r="C106" t="s">
        <v>5401</v>
      </c>
      <c r="D106">
        <v>1</v>
      </c>
      <c r="E106" t="s">
        <v>5729</v>
      </c>
      <c r="F106" t="s">
        <v>5730</v>
      </c>
      <c r="G106">
        <v>1</v>
      </c>
      <c r="H106" t="s">
        <v>5728</v>
      </c>
      <c r="I106" t="s">
        <v>15</v>
      </c>
      <c r="J106" t="s">
        <v>5414</v>
      </c>
    </row>
    <row r="107" spans="1:10" ht="15" customHeight="1" x14ac:dyDescent="0.25">
      <c r="A107" t="s">
        <v>5731</v>
      </c>
      <c r="B107" t="s">
        <v>3411</v>
      </c>
      <c r="C107" t="s">
        <v>5105</v>
      </c>
      <c r="D107">
        <v>1</v>
      </c>
      <c r="E107" t="s">
        <v>5732</v>
      </c>
      <c r="F107" t="s">
        <v>5733</v>
      </c>
      <c r="G107">
        <v>1</v>
      </c>
      <c r="H107" t="s">
        <v>5731</v>
      </c>
      <c r="I107" t="s">
        <v>2256</v>
      </c>
      <c r="J107" t="s">
        <v>5641</v>
      </c>
    </row>
    <row r="108" spans="1:10" ht="15" customHeight="1" x14ac:dyDescent="0.25">
      <c r="A108" t="s">
        <v>5734</v>
      </c>
      <c r="B108" t="s">
        <v>3411</v>
      </c>
      <c r="C108" t="s">
        <v>5401</v>
      </c>
      <c r="D108">
        <v>2</v>
      </c>
      <c r="E108" t="s">
        <v>5735</v>
      </c>
      <c r="F108" t="s">
        <v>5736</v>
      </c>
      <c r="G108">
        <v>2</v>
      </c>
      <c r="H108" t="s">
        <v>5737</v>
      </c>
      <c r="I108" t="s">
        <v>15</v>
      </c>
      <c r="J108" t="s">
        <v>5738</v>
      </c>
    </row>
    <row r="109" spans="1:10" ht="15" customHeight="1" x14ac:dyDescent="0.25">
      <c r="A109" t="s">
        <v>5739</v>
      </c>
      <c r="B109" t="s">
        <v>3423</v>
      </c>
      <c r="C109" t="s">
        <v>5401</v>
      </c>
      <c r="D109">
        <v>1</v>
      </c>
      <c r="E109" t="s">
        <v>5740</v>
      </c>
      <c r="F109" t="s">
        <v>5741</v>
      </c>
      <c r="G109">
        <v>1</v>
      </c>
      <c r="H109" t="s">
        <v>5742</v>
      </c>
      <c r="I109" t="s">
        <v>15</v>
      </c>
      <c r="J109" t="s">
        <v>5528</v>
      </c>
    </row>
    <row r="110" spans="1:10" ht="15" customHeight="1" x14ac:dyDescent="0.25">
      <c r="A110" t="s">
        <v>5743</v>
      </c>
      <c r="B110" t="s">
        <v>3423</v>
      </c>
      <c r="C110" t="s">
        <v>5401</v>
      </c>
      <c r="D110">
        <v>1</v>
      </c>
      <c r="E110" t="s">
        <v>5744</v>
      </c>
      <c r="F110" t="s">
        <v>5745</v>
      </c>
      <c r="G110">
        <v>1</v>
      </c>
      <c r="H110" t="s">
        <v>5743</v>
      </c>
      <c r="I110" t="s">
        <v>15</v>
      </c>
      <c r="J110" t="s">
        <v>5414</v>
      </c>
    </row>
    <row r="111" spans="1:10" ht="15" customHeight="1" x14ac:dyDescent="0.25">
      <c r="A111" t="s">
        <v>5746</v>
      </c>
      <c r="B111" t="s">
        <v>3411</v>
      </c>
      <c r="C111" t="s">
        <v>5023</v>
      </c>
      <c r="D111">
        <v>1</v>
      </c>
      <c r="E111" t="s">
        <v>5747</v>
      </c>
      <c r="F111" t="s">
        <v>5748</v>
      </c>
      <c r="G111">
        <v>1</v>
      </c>
      <c r="H111" t="s">
        <v>5746</v>
      </c>
      <c r="I111" t="s">
        <v>15</v>
      </c>
      <c r="J111" t="s">
        <v>5749</v>
      </c>
    </row>
    <row r="112" spans="1:10" ht="15" customHeight="1" x14ac:dyDescent="0.25">
      <c r="A112" t="s">
        <v>5750</v>
      </c>
      <c r="B112" t="s">
        <v>3404</v>
      </c>
      <c r="C112" t="s">
        <v>5401</v>
      </c>
      <c r="D112">
        <v>2</v>
      </c>
      <c r="E112" t="s">
        <v>5751</v>
      </c>
      <c r="F112" t="s">
        <v>5752</v>
      </c>
      <c r="G112">
        <v>2</v>
      </c>
      <c r="H112" t="s">
        <v>5750</v>
      </c>
      <c r="I112" t="s">
        <v>15</v>
      </c>
      <c r="J112" t="s">
        <v>5414</v>
      </c>
    </row>
    <row r="113" spans="1:10" ht="15" customHeight="1" x14ac:dyDescent="0.25">
      <c r="A113" t="s">
        <v>5753</v>
      </c>
      <c r="B113" t="s">
        <v>3404</v>
      </c>
      <c r="C113" t="s">
        <v>5023</v>
      </c>
      <c r="D113">
        <v>2</v>
      </c>
      <c r="E113" t="s">
        <v>5754</v>
      </c>
      <c r="F113" t="s">
        <v>5755</v>
      </c>
      <c r="G113">
        <v>2</v>
      </c>
      <c r="H113" t="s">
        <v>5753</v>
      </c>
      <c r="I113" t="s">
        <v>15</v>
      </c>
      <c r="J113" t="s">
        <v>5678</v>
      </c>
    </row>
    <row r="114" spans="1:10" ht="15" customHeight="1" x14ac:dyDescent="0.25">
      <c r="A114" t="s">
        <v>5756</v>
      </c>
      <c r="B114" t="s">
        <v>3423</v>
      </c>
      <c r="C114" t="s">
        <v>5023</v>
      </c>
      <c r="D114">
        <v>1</v>
      </c>
      <c r="E114" t="s">
        <v>5757</v>
      </c>
      <c r="F114" t="s">
        <v>5757</v>
      </c>
      <c r="G114">
        <v>0</v>
      </c>
      <c r="H114" t="s">
        <v>5758</v>
      </c>
      <c r="I114" t="s">
        <v>15</v>
      </c>
      <c r="J114" t="s">
        <v>5759</v>
      </c>
    </row>
    <row r="115" spans="1:10" ht="15" customHeight="1" x14ac:dyDescent="0.25">
      <c r="A115" t="s">
        <v>5760</v>
      </c>
      <c r="B115" t="s">
        <v>3423</v>
      </c>
      <c r="C115" t="s">
        <v>4247</v>
      </c>
      <c r="D115">
        <v>1</v>
      </c>
      <c r="E115" t="s">
        <v>5761</v>
      </c>
      <c r="F115" t="s">
        <v>5762</v>
      </c>
      <c r="G115">
        <v>1</v>
      </c>
      <c r="H115" t="s">
        <v>5763</v>
      </c>
      <c r="I115" t="s">
        <v>15</v>
      </c>
      <c r="J115" t="s">
        <v>5456</v>
      </c>
    </row>
    <row r="116" spans="1:10" ht="15" customHeight="1" x14ac:dyDescent="0.25">
      <c r="A116" t="s">
        <v>5764</v>
      </c>
      <c r="B116" t="s">
        <v>3423</v>
      </c>
      <c r="C116" t="s">
        <v>4247</v>
      </c>
      <c r="D116">
        <v>1</v>
      </c>
      <c r="E116" t="s">
        <v>5765</v>
      </c>
      <c r="F116" t="s">
        <v>5766</v>
      </c>
      <c r="G116">
        <v>1</v>
      </c>
      <c r="H116" t="s">
        <v>5764</v>
      </c>
      <c r="I116" t="s">
        <v>15</v>
      </c>
      <c r="J116" t="s">
        <v>5606</v>
      </c>
    </row>
    <row r="117" spans="1:10" ht="15" customHeight="1" x14ac:dyDescent="0.25">
      <c r="A117" t="s">
        <v>12</v>
      </c>
      <c r="B117" t="s">
        <v>3991</v>
      </c>
      <c r="C117" t="s">
        <v>0</v>
      </c>
      <c r="D117" t="s">
        <v>4593</v>
      </c>
      <c r="E117" t="s">
        <v>5767</v>
      </c>
      <c r="F117" t="s">
        <v>17</v>
      </c>
      <c r="G117" t="s">
        <v>17</v>
      </c>
      <c r="H117" t="s">
        <v>12</v>
      </c>
      <c r="I117" t="s">
        <v>15</v>
      </c>
      <c r="J117" t="s">
        <v>5549</v>
      </c>
    </row>
    <row r="118" spans="1:10" ht="15" customHeight="1" x14ac:dyDescent="0.25">
      <c r="A118" t="s">
        <v>5768</v>
      </c>
      <c r="B118" t="s">
        <v>3423</v>
      </c>
      <c r="C118" t="s">
        <v>5023</v>
      </c>
      <c r="D118">
        <v>0</v>
      </c>
      <c r="E118" t="s">
        <v>5769</v>
      </c>
      <c r="F118" t="s">
        <v>5770</v>
      </c>
      <c r="G118">
        <v>0</v>
      </c>
      <c r="H118" t="s">
        <v>5768</v>
      </c>
      <c r="I118" t="s">
        <v>15</v>
      </c>
      <c r="J118" t="s">
        <v>5616</v>
      </c>
    </row>
    <row r="119" spans="1:10" ht="15" customHeight="1" x14ac:dyDescent="0.25">
      <c r="A119" t="s">
        <v>5771</v>
      </c>
      <c r="B119" t="s">
        <v>3411</v>
      </c>
      <c r="C119" t="s">
        <v>5401</v>
      </c>
      <c r="D119">
        <v>1</v>
      </c>
      <c r="E119" t="s">
        <v>5772</v>
      </c>
      <c r="F119" t="s">
        <v>5773</v>
      </c>
      <c r="G119">
        <v>1</v>
      </c>
      <c r="H119" t="s">
        <v>5774</v>
      </c>
      <c r="I119" t="s">
        <v>15</v>
      </c>
      <c r="J119" t="s">
        <v>5775</v>
      </c>
    </row>
    <row r="120" spans="1:10" ht="15" customHeight="1" x14ac:dyDescent="0.25">
      <c r="A120" t="s">
        <v>5366</v>
      </c>
      <c r="B120" t="s">
        <v>3436</v>
      </c>
      <c r="C120" t="s">
        <v>5105</v>
      </c>
      <c r="D120">
        <v>1</v>
      </c>
      <c r="E120" s="4" t="s">
        <v>5776</v>
      </c>
      <c r="F120" s="4" t="s">
        <v>5776</v>
      </c>
      <c r="G120" s="4">
        <v>0</v>
      </c>
      <c r="H120" t="s">
        <v>17</v>
      </c>
      <c r="I120" t="s">
        <v>2511</v>
      </c>
    </row>
    <row r="121" spans="1:10" ht="15" customHeight="1" x14ac:dyDescent="0.25">
      <c r="A121" t="s">
        <v>5777</v>
      </c>
      <c r="B121" t="s">
        <v>3423</v>
      </c>
      <c r="C121" t="s">
        <v>5105</v>
      </c>
      <c r="D121">
        <v>1</v>
      </c>
      <c r="E121" t="s">
        <v>5778</v>
      </c>
      <c r="F121" t="s">
        <v>5779</v>
      </c>
      <c r="G121">
        <v>1</v>
      </c>
      <c r="H121" t="s">
        <v>5777</v>
      </c>
      <c r="I121" t="s">
        <v>2256</v>
      </c>
      <c r="J121" t="s">
        <v>5780</v>
      </c>
    </row>
    <row r="122" spans="1:10" ht="15" customHeight="1" x14ac:dyDescent="0.25">
      <c r="A122" t="s">
        <v>5781</v>
      </c>
      <c r="B122" t="s">
        <v>3404</v>
      </c>
      <c r="C122" t="s">
        <v>4247</v>
      </c>
      <c r="D122">
        <v>2</v>
      </c>
      <c r="E122" t="s">
        <v>5782</v>
      </c>
      <c r="F122" t="s">
        <v>5783</v>
      </c>
      <c r="G122">
        <v>2</v>
      </c>
      <c r="H122" t="s">
        <v>5781</v>
      </c>
      <c r="I122" t="s">
        <v>15</v>
      </c>
      <c r="J122" t="s">
        <v>5775</v>
      </c>
    </row>
    <row r="123" spans="1:10" ht="15" customHeight="1" x14ac:dyDescent="0.25">
      <c r="A123" t="s">
        <v>5784</v>
      </c>
      <c r="B123" t="s">
        <v>3423</v>
      </c>
      <c r="C123" t="s">
        <v>5105</v>
      </c>
      <c r="D123">
        <v>1</v>
      </c>
      <c r="E123" t="s">
        <v>5550</v>
      </c>
      <c r="F123" t="s">
        <v>5551</v>
      </c>
      <c r="G123">
        <v>1</v>
      </c>
      <c r="H123" t="s">
        <v>5784</v>
      </c>
      <c r="I123" t="s">
        <v>2256</v>
      </c>
      <c r="J123" t="s">
        <v>5553</v>
      </c>
    </row>
    <row r="124" spans="1:10" ht="15" customHeight="1" x14ac:dyDescent="0.25">
      <c r="A124" t="s">
        <v>5785</v>
      </c>
      <c r="B124" t="s">
        <v>3411</v>
      </c>
      <c r="C124" t="s">
        <v>5105</v>
      </c>
      <c r="D124">
        <v>1</v>
      </c>
      <c r="E124" t="s">
        <v>5550</v>
      </c>
      <c r="F124" t="s">
        <v>5551</v>
      </c>
      <c r="G124">
        <v>1</v>
      </c>
      <c r="H124" t="s">
        <v>5785</v>
      </c>
      <c r="I124" t="s">
        <v>2256</v>
      </c>
      <c r="J124" t="s">
        <v>5685</v>
      </c>
    </row>
    <row r="125" spans="1:10" ht="15" customHeight="1" x14ac:dyDescent="0.25">
      <c r="A125" t="s">
        <v>5786</v>
      </c>
      <c r="B125" t="s">
        <v>3411</v>
      </c>
      <c r="C125" t="s">
        <v>5023</v>
      </c>
      <c r="D125">
        <v>1</v>
      </c>
      <c r="E125" t="s">
        <v>5787</v>
      </c>
      <c r="F125" t="s">
        <v>5788</v>
      </c>
      <c r="G125">
        <v>1</v>
      </c>
      <c r="H125" t="s">
        <v>5786</v>
      </c>
      <c r="I125" t="s">
        <v>15</v>
      </c>
      <c r="J125" t="s">
        <v>5498</v>
      </c>
    </row>
    <row r="126" spans="1:10" ht="15" customHeight="1" x14ac:dyDescent="0.25">
      <c r="A126" t="s">
        <v>5789</v>
      </c>
      <c r="B126" t="s">
        <v>3423</v>
      </c>
      <c r="C126" t="s">
        <v>5023</v>
      </c>
      <c r="D126">
        <v>2</v>
      </c>
      <c r="E126" t="s">
        <v>5790</v>
      </c>
      <c r="F126" t="s">
        <v>5791</v>
      </c>
      <c r="G126">
        <v>2</v>
      </c>
      <c r="H126" t="s">
        <v>5792</v>
      </c>
      <c r="I126" t="s">
        <v>15</v>
      </c>
      <c r="J126" t="s">
        <v>5793</v>
      </c>
    </row>
    <row r="127" spans="1:10" ht="15" customHeight="1" x14ac:dyDescent="0.25">
      <c r="A127" t="s">
        <v>4343</v>
      </c>
      <c r="B127" t="s">
        <v>3411</v>
      </c>
      <c r="C127" t="s">
        <v>5401</v>
      </c>
      <c r="D127">
        <v>1</v>
      </c>
      <c r="E127" t="s">
        <v>5794</v>
      </c>
      <c r="F127" t="s">
        <v>5794</v>
      </c>
      <c r="G127">
        <v>1</v>
      </c>
      <c r="H127" t="s">
        <v>4346</v>
      </c>
      <c r="I127" t="s">
        <v>954</v>
      </c>
      <c r="J127" t="s">
        <v>5434</v>
      </c>
    </row>
    <row r="128" spans="1:10" ht="15" customHeight="1" x14ac:dyDescent="0.25">
      <c r="A128" t="s">
        <v>5795</v>
      </c>
      <c r="B128" t="s">
        <v>3404</v>
      </c>
      <c r="C128" t="s">
        <v>5023</v>
      </c>
      <c r="D128">
        <v>1</v>
      </c>
      <c r="E128" t="s">
        <v>5796</v>
      </c>
      <c r="F128" t="s">
        <v>5797</v>
      </c>
      <c r="G128">
        <v>1</v>
      </c>
      <c r="H128" t="s">
        <v>5798</v>
      </c>
      <c r="I128" t="s">
        <v>15</v>
      </c>
      <c r="J128" t="s">
        <v>5606</v>
      </c>
    </row>
    <row r="129" spans="1:10" ht="15" customHeight="1" x14ac:dyDescent="0.25">
      <c r="A129" t="s">
        <v>5799</v>
      </c>
      <c r="B129" t="s">
        <v>3404</v>
      </c>
      <c r="C129" t="s">
        <v>4247</v>
      </c>
      <c r="D129">
        <v>1</v>
      </c>
      <c r="E129" t="s">
        <v>5800</v>
      </c>
      <c r="F129" t="s">
        <v>5801</v>
      </c>
      <c r="G129">
        <v>1</v>
      </c>
      <c r="H129" t="s">
        <v>5802</v>
      </c>
      <c r="I129" t="s">
        <v>15</v>
      </c>
      <c r="J129" t="s">
        <v>5803</v>
      </c>
    </row>
    <row r="130" spans="1:10" ht="15" customHeight="1" x14ac:dyDescent="0.25">
      <c r="A130" t="s">
        <v>5804</v>
      </c>
      <c r="B130" t="s">
        <v>3411</v>
      </c>
      <c r="C130" t="s">
        <v>5105</v>
      </c>
      <c r="D130">
        <v>1</v>
      </c>
      <c r="E130" t="s">
        <v>5805</v>
      </c>
      <c r="F130" t="s">
        <v>5806</v>
      </c>
      <c r="G130">
        <v>1</v>
      </c>
      <c r="H130" t="s">
        <v>5804</v>
      </c>
      <c r="I130" t="s">
        <v>2256</v>
      </c>
      <c r="J130" t="s">
        <v>5780</v>
      </c>
    </row>
    <row r="131" spans="1:10" ht="15" customHeight="1" x14ac:dyDescent="0.25">
      <c r="A131" t="s">
        <v>5807</v>
      </c>
      <c r="B131" t="s">
        <v>3404</v>
      </c>
      <c r="C131" t="s">
        <v>5023</v>
      </c>
      <c r="D131" t="s">
        <v>5625</v>
      </c>
      <c r="E131" t="s">
        <v>5808</v>
      </c>
      <c r="F131" t="s">
        <v>5809</v>
      </c>
      <c r="G131" t="s">
        <v>5625</v>
      </c>
      <c r="H131" t="s">
        <v>5807</v>
      </c>
      <c r="I131" t="s">
        <v>15</v>
      </c>
      <c r="J131" t="s">
        <v>5810</v>
      </c>
    </row>
    <row r="132" spans="1:10" ht="15" customHeight="1" x14ac:dyDescent="0.25">
      <c r="A132" t="s">
        <v>5811</v>
      </c>
      <c r="B132" t="s">
        <v>3423</v>
      </c>
      <c r="C132" t="s">
        <v>5401</v>
      </c>
      <c r="D132">
        <v>0</v>
      </c>
      <c r="E132" t="s">
        <v>5812</v>
      </c>
      <c r="F132" t="s">
        <v>5813</v>
      </c>
      <c r="G132">
        <v>0</v>
      </c>
      <c r="H132" t="s">
        <v>5814</v>
      </c>
      <c r="I132" t="s">
        <v>15</v>
      </c>
      <c r="J132" t="s">
        <v>5456</v>
      </c>
    </row>
    <row r="133" spans="1:10" ht="15" customHeight="1" x14ac:dyDescent="0.25">
      <c r="A133" t="s">
        <v>5815</v>
      </c>
      <c r="B133" t="s">
        <v>3423</v>
      </c>
      <c r="C133" t="s">
        <v>4247</v>
      </c>
      <c r="D133">
        <v>1</v>
      </c>
      <c r="E133" t="s">
        <v>5816</v>
      </c>
      <c r="F133" t="s">
        <v>5817</v>
      </c>
      <c r="G133">
        <v>1</v>
      </c>
      <c r="H133" t="s">
        <v>5815</v>
      </c>
      <c r="I133" t="s">
        <v>15</v>
      </c>
      <c r="J133" t="s">
        <v>5418</v>
      </c>
    </row>
    <row r="134" spans="1:10" ht="15" customHeight="1" x14ac:dyDescent="0.25">
      <c r="A134" t="s">
        <v>5818</v>
      </c>
      <c r="B134" t="s">
        <v>3404</v>
      </c>
      <c r="C134" t="s">
        <v>5484</v>
      </c>
      <c r="D134">
        <v>5</v>
      </c>
      <c r="E134" t="s">
        <v>5819</v>
      </c>
      <c r="F134" t="s">
        <v>5819</v>
      </c>
      <c r="G134">
        <v>4</v>
      </c>
      <c r="H134" t="s">
        <v>5820</v>
      </c>
      <c r="I134" t="s">
        <v>1575</v>
      </c>
    </row>
    <row r="135" spans="1:10" ht="15" customHeight="1" x14ac:dyDescent="0.25">
      <c r="A135" t="s">
        <v>5821</v>
      </c>
      <c r="B135" t="s">
        <v>3411</v>
      </c>
      <c r="C135" t="s">
        <v>5105</v>
      </c>
      <c r="D135">
        <v>1</v>
      </c>
      <c r="E135" t="s">
        <v>5822</v>
      </c>
      <c r="F135" t="s">
        <v>5823</v>
      </c>
      <c r="G135">
        <v>1</v>
      </c>
      <c r="H135" t="s">
        <v>5821</v>
      </c>
      <c r="I135" t="s">
        <v>2256</v>
      </c>
      <c r="J135" t="s">
        <v>5641</v>
      </c>
    </row>
    <row r="136" spans="1:10" ht="15" customHeight="1" x14ac:dyDescent="0.25">
      <c r="A136" t="s">
        <v>5376</v>
      </c>
      <c r="B136" t="s">
        <v>3436</v>
      </c>
      <c r="C136" t="s">
        <v>5401</v>
      </c>
      <c r="D136">
        <v>0</v>
      </c>
      <c r="E136" t="s">
        <v>5824</v>
      </c>
      <c r="F136" t="s">
        <v>5825</v>
      </c>
      <c r="G136">
        <v>0</v>
      </c>
      <c r="H136" t="s">
        <v>5376</v>
      </c>
      <c r="I136" t="s">
        <v>15</v>
      </c>
      <c r="J136" t="s">
        <v>5432</v>
      </c>
    </row>
    <row r="137" spans="1:10" ht="15" customHeight="1" x14ac:dyDescent="0.25">
      <c r="A137" t="s">
        <v>5826</v>
      </c>
      <c r="B137" t="s">
        <v>3404</v>
      </c>
      <c r="C137" t="s">
        <v>5023</v>
      </c>
      <c r="D137">
        <v>3</v>
      </c>
      <c r="E137" t="s">
        <v>5827</v>
      </c>
      <c r="F137" t="s">
        <v>5827</v>
      </c>
      <c r="G137">
        <v>2</v>
      </c>
      <c r="H137" t="s">
        <v>5826</v>
      </c>
      <c r="I137" t="s">
        <v>15</v>
      </c>
      <c r="J137" t="s">
        <v>5671</v>
      </c>
    </row>
    <row r="138" spans="1:10" ht="15" customHeight="1" x14ac:dyDescent="0.25">
      <c r="A138" t="s">
        <v>5828</v>
      </c>
      <c r="B138" t="s">
        <v>3423</v>
      </c>
      <c r="C138" t="s">
        <v>4247</v>
      </c>
      <c r="D138">
        <v>1</v>
      </c>
      <c r="E138" t="s">
        <v>5829</v>
      </c>
      <c r="F138" t="s">
        <v>5830</v>
      </c>
      <c r="G138">
        <v>1</v>
      </c>
      <c r="H138" t="s">
        <v>5831</v>
      </c>
      <c r="I138" t="s">
        <v>15</v>
      </c>
      <c r="J138" t="s">
        <v>5563</v>
      </c>
    </row>
    <row r="139" spans="1:10" ht="15" customHeight="1" x14ac:dyDescent="0.25">
      <c r="A139" t="s">
        <v>5832</v>
      </c>
      <c r="B139" t="s">
        <v>3404</v>
      </c>
      <c r="C139" t="s">
        <v>5023</v>
      </c>
      <c r="D139">
        <v>0</v>
      </c>
      <c r="E139" t="s">
        <v>5833</v>
      </c>
      <c r="F139" t="s">
        <v>5834</v>
      </c>
      <c r="G139">
        <v>0</v>
      </c>
      <c r="H139" t="s">
        <v>5832</v>
      </c>
      <c r="I139" t="s">
        <v>15</v>
      </c>
      <c r="J139" t="s">
        <v>5835</v>
      </c>
    </row>
    <row r="140" spans="1:10" ht="15" customHeight="1" x14ac:dyDescent="0.25">
      <c r="A140" t="s">
        <v>5836</v>
      </c>
      <c r="B140" t="s">
        <v>3411</v>
      </c>
      <c r="C140" t="s">
        <v>5023</v>
      </c>
      <c r="D140">
        <v>1</v>
      </c>
      <c r="E140" t="s">
        <v>5837</v>
      </c>
      <c r="F140" t="s">
        <v>5838</v>
      </c>
      <c r="G140">
        <v>1</v>
      </c>
      <c r="H140" t="s">
        <v>5836</v>
      </c>
      <c r="I140" t="s">
        <v>15</v>
      </c>
      <c r="J140" t="s">
        <v>5502</v>
      </c>
    </row>
    <row r="141" spans="1:10" ht="15" customHeight="1" x14ac:dyDescent="0.25">
      <c r="A141" t="s">
        <v>5839</v>
      </c>
      <c r="B141" t="s">
        <v>3991</v>
      </c>
      <c r="C141" t="s">
        <v>0</v>
      </c>
      <c r="D141" t="s">
        <v>4593</v>
      </c>
      <c r="E141" t="s">
        <v>5840</v>
      </c>
      <c r="F141" t="s">
        <v>17</v>
      </c>
      <c r="G141" t="s">
        <v>17</v>
      </c>
      <c r="H141" t="s">
        <v>5839</v>
      </c>
      <c r="I141" t="s">
        <v>15</v>
      </c>
      <c r="J141" t="s">
        <v>5549</v>
      </c>
    </row>
    <row r="142" spans="1:10" ht="15" customHeight="1" x14ac:dyDescent="0.25">
      <c r="A142" t="s">
        <v>5841</v>
      </c>
      <c r="B142" t="s">
        <v>3411</v>
      </c>
      <c r="C142" t="s">
        <v>5401</v>
      </c>
      <c r="D142">
        <v>2</v>
      </c>
      <c r="E142" t="s">
        <v>5842</v>
      </c>
      <c r="F142" t="s">
        <v>5843</v>
      </c>
      <c r="G142">
        <v>2</v>
      </c>
      <c r="H142" t="s">
        <v>5844</v>
      </c>
      <c r="I142" t="s">
        <v>15</v>
      </c>
      <c r="J142" t="s">
        <v>5414</v>
      </c>
    </row>
    <row r="143" spans="1:10" ht="15" customHeight="1" x14ac:dyDescent="0.25">
      <c r="A143" t="s">
        <v>5845</v>
      </c>
      <c r="B143" t="s">
        <v>3404</v>
      </c>
      <c r="C143" t="s">
        <v>5023</v>
      </c>
      <c r="D143">
        <v>1</v>
      </c>
      <c r="E143" t="s">
        <v>5846</v>
      </c>
      <c r="F143" t="s">
        <v>5846</v>
      </c>
      <c r="G143">
        <v>0</v>
      </c>
      <c r="H143" t="s">
        <v>5847</v>
      </c>
      <c r="I143" t="s">
        <v>15</v>
      </c>
      <c r="J143" t="s">
        <v>5456</v>
      </c>
    </row>
    <row r="144" spans="1:10" ht="15" customHeight="1" x14ac:dyDescent="0.25">
      <c r="A144" t="s">
        <v>5848</v>
      </c>
      <c r="B144" t="s">
        <v>3411</v>
      </c>
      <c r="C144" t="s">
        <v>5023</v>
      </c>
      <c r="D144">
        <v>1</v>
      </c>
      <c r="E144" t="s">
        <v>5849</v>
      </c>
      <c r="F144" t="s">
        <v>5850</v>
      </c>
      <c r="G144">
        <v>1</v>
      </c>
      <c r="H144" t="s">
        <v>5851</v>
      </c>
      <c r="I144" t="s">
        <v>15</v>
      </c>
      <c r="J144" t="s">
        <v>5810</v>
      </c>
    </row>
    <row r="145" spans="1:10" ht="15" customHeight="1" x14ac:dyDescent="0.25">
      <c r="A145" t="s">
        <v>5852</v>
      </c>
      <c r="B145" t="s">
        <v>3411</v>
      </c>
      <c r="C145" t="s">
        <v>5401</v>
      </c>
      <c r="D145">
        <v>1</v>
      </c>
      <c r="E145" t="s">
        <v>5853</v>
      </c>
      <c r="F145" t="s">
        <v>5854</v>
      </c>
      <c r="G145">
        <v>1</v>
      </c>
      <c r="H145" t="s">
        <v>5855</v>
      </c>
      <c r="I145" t="s">
        <v>15</v>
      </c>
      <c r="J145" t="s">
        <v>5432</v>
      </c>
    </row>
    <row r="146" spans="1:10" ht="15" customHeight="1" x14ac:dyDescent="0.25">
      <c r="A146" t="s">
        <v>5856</v>
      </c>
      <c r="B146" t="s">
        <v>3411</v>
      </c>
      <c r="C146" t="s">
        <v>5401</v>
      </c>
      <c r="D146">
        <v>1</v>
      </c>
      <c r="E146" t="s">
        <v>5857</v>
      </c>
      <c r="F146" t="s">
        <v>5858</v>
      </c>
      <c r="G146">
        <v>1</v>
      </c>
      <c r="H146" t="s">
        <v>5859</v>
      </c>
      <c r="I146" t="s">
        <v>15</v>
      </c>
      <c r="J146" t="s">
        <v>5860</v>
      </c>
    </row>
    <row r="147" spans="1:10" ht="15" customHeight="1" x14ac:dyDescent="0.25">
      <c r="A147" t="s">
        <v>5861</v>
      </c>
      <c r="B147" t="s">
        <v>3423</v>
      </c>
      <c r="C147" t="s">
        <v>5023</v>
      </c>
      <c r="D147">
        <v>1</v>
      </c>
      <c r="E147" t="s">
        <v>5862</v>
      </c>
      <c r="F147" t="s">
        <v>5863</v>
      </c>
      <c r="G147">
        <v>1</v>
      </c>
      <c r="H147" t="s">
        <v>5864</v>
      </c>
      <c r="I147" t="s">
        <v>15</v>
      </c>
      <c r="J147" t="s">
        <v>5865</v>
      </c>
    </row>
    <row r="148" spans="1:10" ht="15" customHeight="1" x14ac:dyDescent="0.25">
      <c r="A148" t="s">
        <v>5866</v>
      </c>
      <c r="B148" t="s">
        <v>3423</v>
      </c>
      <c r="C148" t="s">
        <v>5401</v>
      </c>
      <c r="D148">
        <v>2</v>
      </c>
      <c r="E148" t="s">
        <v>5867</v>
      </c>
      <c r="F148" t="s">
        <v>5868</v>
      </c>
      <c r="G148">
        <v>2</v>
      </c>
      <c r="H148" t="s">
        <v>5866</v>
      </c>
      <c r="I148" t="s">
        <v>15</v>
      </c>
      <c r="J148" t="s">
        <v>5704</v>
      </c>
    </row>
    <row r="149" spans="1:10" ht="15" customHeight="1" x14ac:dyDescent="0.25">
      <c r="A149" t="s">
        <v>5869</v>
      </c>
      <c r="B149" t="s">
        <v>3411</v>
      </c>
      <c r="C149" t="s">
        <v>5023</v>
      </c>
      <c r="D149">
        <v>0</v>
      </c>
      <c r="E149" t="s">
        <v>5870</v>
      </c>
      <c r="F149" t="s">
        <v>5871</v>
      </c>
      <c r="G149">
        <v>0</v>
      </c>
      <c r="H149" t="s">
        <v>5869</v>
      </c>
      <c r="I149" t="s">
        <v>15</v>
      </c>
      <c r="J149" t="s">
        <v>5387</v>
      </c>
    </row>
    <row r="150" spans="1:10" ht="15" customHeight="1" x14ac:dyDescent="0.25">
      <c r="A150" t="s">
        <v>5872</v>
      </c>
      <c r="B150" t="s">
        <v>3423</v>
      </c>
      <c r="C150" t="s">
        <v>5401</v>
      </c>
      <c r="D150">
        <v>1</v>
      </c>
      <c r="E150" t="s">
        <v>5873</v>
      </c>
      <c r="F150" t="s">
        <v>5874</v>
      </c>
      <c r="G150">
        <v>1</v>
      </c>
      <c r="H150" t="s">
        <v>5872</v>
      </c>
      <c r="I150" t="s">
        <v>15</v>
      </c>
      <c r="J150" t="s">
        <v>5683</v>
      </c>
    </row>
    <row r="151" spans="1:10" ht="15" customHeight="1" x14ac:dyDescent="0.25">
      <c r="A151" t="s">
        <v>4805</v>
      </c>
      <c r="B151" t="s">
        <v>3991</v>
      </c>
      <c r="C151" t="s">
        <v>0</v>
      </c>
      <c r="D151" t="s">
        <v>4593</v>
      </c>
      <c r="E151" t="s">
        <v>5875</v>
      </c>
      <c r="F151" t="s">
        <v>17</v>
      </c>
      <c r="G151" t="s">
        <v>4593</v>
      </c>
      <c r="H151" t="s">
        <v>5876</v>
      </c>
      <c r="I151" t="s">
        <v>1552</v>
      </c>
    </row>
    <row r="152" spans="1:10" ht="15" customHeight="1" x14ac:dyDescent="0.25">
      <c r="A152" t="s">
        <v>5877</v>
      </c>
      <c r="B152" t="s">
        <v>3991</v>
      </c>
      <c r="C152" t="s">
        <v>3486</v>
      </c>
      <c r="D152">
        <v>1</v>
      </c>
      <c r="E152" t="s">
        <v>5878</v>
      </c>
      <c r="F152" t="s">
        <v>17</v>
      </c>
      <c r="G152" t="s">
        <v>17</v>
      </c>
      <c r="H152" t="s">
        <v>5879</v>
      </c>
      <c r="I152" t="s">
        <v>412</v>
      </c>
      <c r="J152" t="s">
        <v>5472</v>
      </c>
    </row>
    <row r="153" spans="1:10" ht="15" customHeight="1" x14ac:dyDescent="0.25">
      <c r="A153" t="s">
        <v>5880</v>
      </c>
      <c r="B153" t="s">
        <v>3411</v>
      </c>
      <c r="C153" t="s">
        <v>5401</v>
      </c>
      <c r="D153">
        <v>1</v>
      </c>
      <c r="E153" t="s">
        <v>5881</v>
      </c>
      <c r="F153" t="s">
        <v>5882</v>
      </c>
      <c r="G153">
        <v>1</v>
      </c>
      <c r="H153" t="s">
        <v>5883</v>
      </c>
      <c r="I153" t="s">
        <v>15</v>
      </c>
      <c r="J153" t="s">
        <v>5884</v>
      </c>
    </row>
    <row r="154" spans="1:10" ht="15" customHeight="1" x14ac:dyDescent="0.25">
      <c r="A154" t="s">
        <v>5025</v>
      </c>
      <c r="B154" t="s">
        <v>3423</v>
      </c>
      <c r="C154" t="s">
        <v>5023</v>
      </c>
      <c r="D154">
        <v>0</v>
      </c>
      <c r="E154" t="s">
        <v>5885</v>
      </c>
      <c r="F154" t="s">
        <v>5886</v>
      </c>
      <c r="G154">
        <v>0</v>
      </c>
      <c r="H154" t="s">
        <v>5025</v>
      </c>
      <c r="I154" t="s">
        <v>15</v>
      </c>
      <c r="J154" t="s">
        <v>5418</v>
      </c>
    </row>
    <row r="155" spans="1:10" ht="15" customHeight="1" x14ac:dyDescent="0.25">
      <c r="A155" t="s">
        <v>5887</v>
      </c>
      <c r="B155" t="s">
        <v>3423</v>
      </c>
      <c r="C155" t="s">
        <v>5401</v>
      </c>
      <c r="D155">
        <v>1</v>
      </c>
      <c r="E155" t="s">
        <v>5888</v>
      </c>
      <c r="F155" t="s">
        <v>5889</v>
      </c>
      <c r="G155">
        <v>1</v>
      </c>
      <c r="H155" t="s">
        <v>5887</v>
      </c>
      <c r="I155" t="s">
        <v>15</v>
      </c>
      <c r="J155" t="s">
        <v>5738</v>
      </c>
    </row>
    <row r="156" spans="1:10" ht="15" customHeight="1" x14ac:dyDescent="0.25">
      <c r="A156" t="s">
        <v>5890</v>
      </c>
      <c r="B156" t="s">
        <v>3423</v>
      </c>
      <c r="C156" t="s">
        <v>5105</v>
      </c>
      <c r="D156">
        <v>1</v>
      </c>
      <c r="E156" t="s">
        <v>5550</v>
      </c>
      <c r="F156" t="s">
        <v>5551</v>
      </c>
      <c r="G156">
        <v>1</v>
      </c>
      <c r="H156" t="s">
        <v>5890</v>
      </c>
      <c r="I156" t="s">
        <v>2256</v>
      </c>
      <c r="J156" t="s">
        <v>5553</v>
      </c>
    </row>
    <row r="157" spans="1:10" ht="15" customHeight="1" x14ac:dyDescent="0.25">
      <c r="A157" t="s">
        <v>5891</v>
      </c>
      <c r="B157" t="s">
        <v>3404</v>
      </c>
      <c r="C157" t="s">
        <v>5401</v>
      </c>
      <c r="D157">
        <v>2</v>
      </c>
      <c r="E157" t="s">
        <v>5892</v>
      </c>
      <c r="F157" t="s">
        <v>5893</v>
      </c>
      <c r="G157">
        <v>2</v>
      </c>
      <c r="H157" t="s">
        <v>5891</v>
      </c>
      <c r="I157" t="s">
        <v>15</v>
      </c>
      <c r="J157" t="s">
        <v>5675</v>
      </c>
    </row>
    <row r="158" spans="1:10" ht="15" customHeight="1" x14ac:dyDescent="0.25">
      <c r="A158" t="s">
        <v>5894</v>
      </c>
      <c r="B158" t="s">
        <v>3423</v>
      </c>
      <c r="C158" t="s">
        <v>5401</v>
      </c>
      <c r="D158">
        <v>0</v>
      </c>
      <c r="E158" t="s">
        <v>5895</v>
      </c>
      <c r="F158" t="s">
        <v>5896</v>
      </c>
      <c r="G158">
        <v>0</v>
      </c>
      <c r="H158" t="s">
        <v>5897</v>
      </c>
      <c r="I158" t="s">
        <v>15</v>
      </c>
      <c r="J158" t="s">
        <v>5898</v>
      </c>
    </row>
    <row r="159" spans="1:10" ht="15" customHeight="1" x14ac:dyDescent="0.25">
      <c r="A159" t="s">
        <v>5899</v>
      </c>
      <c r="B159" t="s">
        <v>3991</v>
      </c>
      <c r="C159" t="s">
        <v>3486</v>
      </c>
      <c r="D159">
        <v>1</v>
      </c>
      <c r="E159" t="s">
        <v>5900</v>
      </c>
      <c r="F159" t="s">
        <v>17</v>
      </c>
      <c r="G159" t="s">
        <v>17</v>
      </c>
      <c r="H159" t="s">
        <v>5901</v>
      </c>
      <c r="I159" t="s">
        <v>412</v>
      </c>
      <c r="J159" t="s">
        <v>5472</v>
      </c>
    </row>
    <row r="160" spans="1:10" ht="15" customHeight="1" x14ac:dyDescent="0.25">
      <c r="A160" t="s">
        <v>5902</v>
      </c>
      <c r="B160" t="s">
        <v>3423</v>
      </c>
      <c r="C160" t="s">
        <v>5023</v>
      </c>
      <c r="D160" t="s">
        <v>4593</v>
      </c>
      <c r="E160" t="s">
        <v>5903</v>
      </c>
      <c r="F160" t="s">
        <v>5904</v>
      </c>
      <c r="G160" t="s">
        <v>4593</v>
      </c>
      <c r="H160" t="s">
        <v>5902</v>
      </c>
      <c r="I160" t="s">
        <v>15</v>
      </c>
      <c r="J160" t="s">
        <v>5516</v>
      </c>
    </row>
    <row r="161" spans="1:10" ht="15" customHeight="1" x14ac:dyDescent="0.25">
      <c r="A161" t="s">
        <v>4770</v>
      </c>
      <c r="B161" t="s">
        <v>3991</v>
      </c>
      <c r="C161" t="s">
        <v>0</v>
      </c>
      <c r="D161" t="s">
        <v>4593</v>
      </c>
      <c r="E161" t="s">
        <v>5905</v>
      </c>
      <c r="F161" t="s">
        <v>17</v>
      </c>
      <c r="G161" t="s">
        <v>17</v>
      </c>
      <c r="H161" t="s">
        <v>4770</v>
      </c>
      <c r="I161" t="s">
        <v>15</v>
      </c>
      <c r="J161" t="s">
        <v>5549</v>
      </c>
    </row>
    <row r="162" spans="1:10" ht="15" customHeight="1" x14ac:dyDescent="0.25">
      <c r="A162" t="s">
        <v>5906</v>
      </c>
      <c r="B162" t="s">
        <v>3423</v>
      </c>
      <c r="C162" t="s">
        <v>5401</v>
      </c>
      <c r="D162">
        <v>2</v>
      </c>
      <c r="E162" t="s">
        <v>5907</v>
      </c>
      <c r="F162" t="s">
        <v>5908</v>
      </c>
      <c r="G162">
        <v>2</v>
      </c>
      <c r="H162" t="s">
        <v>5909</v>
      </c>
      <c r="I162" t="s">
        <v>15</v>
      </c>
      <c r="J162" t="s">
        <v>5456</v>
      </c>
    </row>
    <row r="163" spans="1:10" ht="15" customHeight="1" x14ac:dyDescent="0.25">
      <c r="A163" t="s">
        <v>5910</v>
      </c>
      <c r="B163" t="s">
        <v>3423</v>
      </c>
      <c r="C163" t="s">
        <v>5484</v>
      </c>
      <c r="D163">
        <v>2</v>
      </c>
      <c r="E163" t="s">
        <v>5911</v>
      </c>
      <c r="F163" t="s">
        <v>5912</v>
      </c>
      <c r="G163">
        <v>2</v>
      </c>
      <c r="H163" t="s">
        <v>5913</v>
      </c>
      <c r="I163" t="s">
        <v>1575</v>
      </c>
    </row>
    <row r="164" spans="1:10" ht="15" customHeight="1" x14ac:dyDescent="0.25">
      <c r="A164" t="s">
        <v>5914</v>
      </c>
      <c r="B164" t="s">
        <v>3423</v>
      </c>
      <c r="C164" t="s">
        <v>4247</v>
      </c>
      <c r="D164">
        <v>1</v>
      </c>
      <c r="E164" t="s">
        <v>5915</v>
      </c>
      <c r="F164" t="s">
        <v>5916</v>
      </c>
      <c r="G164">
        <v>1</v>
      </c>
      <c r="H164" t="s">
        <v>5914</v>
      </c>
      <c r="I164" t="s">
        <v>15</v>
      </c>
      <c r="J164" t="s">
        <v>5606</v>
      </c>
    </row>
    <row r="165" spans="1:10" ht="15" customHeight="1" x14ac:dyDescent="0.25">
      <c r="A165" t="s">
        <v>4470</v>
      </c>
      <c r="B165" t="s">
        <v>3423</v>
      </c>
      <c r="C165" t="s">
        <v>5023</v>
      </c>
      <c r="D165">
        <v>1</v>
      </c>
      <c r="E165" t="s">
        <v>5917</v>
      </c>
      <c r="F165" t="s">
        <v>5917</v>
      </c>
      <c r="G165">
        <v>1</v>
      </c>
      <c r="H165" t="s">
        <v>4473</v>
      </c>
      <c r="I165" t="s">
        <v>1552</v>
      </c>
      <c r="J165" t="s">
        <v>5434</v>
      </c>
    </row>
    <row r="166" spans="1:10" ht="15" customHeight="1" x14ac:dyDescent="0.25">
      <c r="A166" t="s">
        <v>5918</v>
      </c>
      <c r="B166" t="s">
        <v>3423</v>
      </c>
      <c r="C166" t="s">
        <v>5401</v>
      </c>
      <c r="D166">
        <v>2</v>
      </c>
      <c r="E166" t="s">
        <v>5919</v>
      </c>
      <c r="F166" t="s">
        <v>17</v>
      </c>
      <c r="G166">
        <v>2</v>
      </c>
      <c r="H166" t="s">
        <v>5920</v>
      </c>
      <c r="I166" t="s">
        <v>15</v>
      </c>
      <c r="J166" t="s">
        <v>5738</v>
      </c>
    </row>
    <row r="167" spans="1:10" ht="15" customHeight="1" x14ac:dyDescent="0.25">
      <c r="A167" t="s">
        <v>5921</v>
      </c>
      <c r="B167" t="s">
        <v>3423</v>
      </c>
      <c r="C167" t="s">
        <v>5023</v>
      </c>
      <c r="D167">
        <v>1</v>
      </c>
      <c r="E167" t="s">
        <v>5922</v>
      </c>
      <c r="F167" t="s">
        <v>5923</v>
      </c>
      <c r="G167">
        <v>1</v>
      </c>
      <c r="H167" t="s">
        <v>5924</v>
      </c>
      <c r="I167" t="s">
        <v>15</v>
      </c>
      <c r="J167" t="s">
        <v>5678</v>
      </c>
    </row>
    <row r="168" spans="1:10" ht="15" customHeight="1" x14ac:dyDescent="0.25">
      <c r="A168" t="s">
        <v>5925</v>
      </c>
      <c r="B168" t="s">
        <v>3423</v>
      </c>
      <c r="C168" t="s">
        <v>5023</v>
      </c>
      <c r="D168">
        <v>1</v>
      </c>
      <c r="E168" t="s">
        <v>5926</v>
      </c>
      <c r="F168" t="s">
        <v>5926</v>
      </c>
      <c r="G168">
        <v>0</v>
      </c>
      <c r="H168" t="s">
        <v>5927</v>
      </c>
      <c r="I168" t="s">
        <v>15</v>
      </c>
      <c r="J168" t="s">
        <v>5928</v>
      </c>
    </row>
    <row r="169" spans="1:10" ht="15" customHeight="1" x14ac:dyDescent="0.25">
      <c r="A169" t="s">
        <v>5929</v>
      </c>
      <c r="B169" t="s">
        <v>3404</v>
      </c>
      <c r="C169" t="s">
        <v>5023</v>
      </c>
      <c r="D169">
        <v>0</v>
      </c>
      <c r="E169" t="s">
        <v>5930</v>
      </c>
      <c r="F169" t="s">
        <v>5931</v>
      </c>
      <c r="G169">
        <v>0</v>
      </c>
      <c r="H169" t="s">
        <v>5929</v>
      </c>
      <c r="I169" t="s">
        <v>15</v>
      </c>
      <c r="J169" t="s">
        <v>5932</v>
      </c>
    </row>
    <row r="170" spans="1:10" ht="15" customHeight="1" x14ac:dyDescent="0.25">
      <c r="A170" t="s">
        <v>5933</v>
      </c>
      <c r="B170" t="s">
        <v>3423</v>
      </c>
      <c r="C170" t="s">
        <v>5023</v>
      </c>
      <c r="D170">
        <v>1</v>
      </c>
      <c r="E170" t="s">
        <v>5934</v>
      </c>
      <c r="F170" t="s">
        <v>5935</v>
      </c>
      <c r="G170">
        <v>1</v>
      </c>
      <c r="H170" t="s">
        <v>5933</v>
      </c>
      <c r="I170" t="s">
        <v>15</v>
      </c>
      <c r="J170" t="s">
        <v>5678</v>
      </c>
    </row>
    <row r="171" spans="1:10" ht="15" customHeight="1" x14ac:dyDescent="0.25">
      <c r="A171" t="s">
        <v>5936</v>
      </c>
      <c r="B171" t="s">
        <v>3423</v>
      </c>
      <c r="C171" t="s">
        <v>5023</v>
      </c>
      <c r="D171">
        <v>1</v>
      </c>
      <c r="E171" t="s">
        <v>5937</v>
      </c>
      <c r="F171" t="s">
        <v>5937</v>
      </c>
      <c r="G171">
        <v>0</v>
      </c>
      <c r="H171" t="s">
        <v>5936</v>
      </c>
      <c r="I171" t="s">
        <v>15</v>
      </c>
      <c r="J171" t="s">
        <v>5502</v>
      </c>
    </row>
    <row r="172" spans="1:10" ht="15" customHeight="1" x14ac:dyDescent="0.25">
      <c r="A172" t="s">
        <v>5938</v>
      </c>
      <c r="B172" t="s">
        <v>3423</v>
      </c>
      <c r="C172" t="s">
        <v>5401</v>
      </c>
      <c r="D172">
        <v>2</v>
      </c>
      <c r="E172" t="s">
        <v>5939</v>
      </c>
      <c r="F172" t="s">
        <v>5940</v>
      </c>
      <c r="G172">
        <v>2</v>
      </c>
      <c r="H172" t="s">
        <v>5941</v>
      </c>
      <c r="I172" t="s">
        <v>15</v>
      </c>
      <c r="J172" t="s">
        <v>5683</v>
      </c>
    </row>
    <row r="173" spans="1:10" ht="15" customHeight="1" x14ac:dyDescent="0.25">
      <c r="A173" t="s">
        <v>5942</v>
      </c>
      <c r="B173" t="s">
        <v>3991</v>
      </c>
      <c r="C173" t="s">
        <v>0</v>
      </c>
      <c r="D173" t="s">
        <v>4593</v>
      </c>
      <c r="E173" t="s">
        <v>5943</v>
      </c>
      <c r="F173" t="s">
        <v>17</v>
      </c>
      <c r="G173" t="s">
        <v>17</v>
      </c>
      <c r="H173" t="s">
        <v>5942</v>
      </c>
      <c r="I173" t="s">
        <v>15</v>
      </c>
      <c r="J173" t="s">
        <v>5549</v>
      </c>
    </row>
    <row r="174" spans="1:10" ht="15" customHeight="1" x14ac:dyDescent="0.25">
      <c r="A174" t="s">
        <v>5944</v>
      </c>
      <c r="B174" t="s">
        <v>3991</v>
      </c>
      <c r="C174" t="s">
        <v>5401</v>
      </c>
      <c r="D174">
        <v>0</v>
      </c>
      <c r="E174" t="s">
        <v>5945</v>
      </c>
      <c r="F174" t="s">
        <v>5946</v>
      </c>
      <c r="G174">
        <v>0</v>
      </c>
      <c r="H174" t="s">
        <v>5944</v>
      </c>
      <c r="I174" t="s">
        <v>15</v>
      </c>
    </row>
    <row r="175" spans="1:10" ht="15" customHeight="1" x14ac:dyDescent="0.25">
      <c r="A175" t="s">
        <v>5947</v>
      </c>
      <c r="B175" t="s">
        <v>3423</v>
      </c>
      <c r="C175" t="s">
        <v>5023</v>
      </c>
      <c r="D175">
        <v>2</v>
      </c>
      <c r="E175" t="s">
        <v>5948</v>
      </c>
      <c r="F175" t="s">
        <v>5949</v>
      </c>
      <c r="G175">
        <v>2</v>
      </c>
      <c r="H175" t="s">
        <v>5947</v>
      </c>
      <c r="I175" t="s">
        <v>15</v>
      </c>
      <c r="J175" t="s">
        <v>5616</v>
      </c>
    </row>
    <row r="176" spans="1:10" ht="15" customHeight="1" x14ac:dyDescent="0.25">
      <c r="A176" t="s">
        <v>5950</v>
      </c>
      <c r="B176" t="s">
        <v>3411</v>
      </c>
      <c r="C176" t="s">
        <v>5023</v>
      </c>
      <c r="D176">
        <v>1</v>
      </c>
      <c r="E176" t="s">
        <v>5951</v>
      </c>
      <c r="F176" t="s">
        <v>5952</v>
      </c>
      <c r="G176">
        <v>1</v>
      </c>
      <c r="H176" t="s">
        <v>5953</v>
      </c>
      <c r="I176" t="s">
        <v>15</v>
      </c>
      <c r="J176" t="s">
        <v>5954</v>
      </c>
    </row>
    <row r="177" spans="1:10" ht="15" customHeight="1" x14ac:dyDescent="0.25">
      <c r="A177" t="s">
        <v>5955</v>
      </c>
      <c r="B177" t="s">
        <v>3423</v>
      </c>
      <c r="C177" t="s">
        <v>5401</v>
      </c>
      <c r="D177" t="s">
        <v>5625</v>
      </c>
      <c r="E177" t="s">
        <v>5956</v>
      </c>
      <c r="F177" t="s">
        <v>5957</v>
      </c>
      <c r="G177" t="s">
        <v>5625</v>
      </c>
      <c r="H177" t="s">
        <v>5955</v>
      </c>
      <c r="I177" t="s">
        <v>15</v>
      </c>
      <c r="J177" t="s">
        <v>5456</v>
      </c>
    </row>
    <row r="178" spans="1:10" ht="15" customHeight="1" x14ac:dyDescent="0.25">
      <c r="A178" t="s">
        <v>5958</v>
      </c>
      <c r="B178" t="s">
        <v>3411</v>
      </c>
      <c r="C178" t="s">
        <v>5401</v>
      </c>
      <c r="D178">
        <v>0</v>
      </c>
      <c r="E178" t="s">
        <v>5959</v>
      </c>
      <c r="F178" t="s">
        <v>5960</v>
      </c>
      <c r="G178">
        <v>0</v>
      </c>
      <c r="H178" t="s">
        <v>5958</v>
      </c>
      <c r="I178" t="s">
        <v>15</v>
      </c>
      <c r="J178" t="s">
        <v>5456</v>
      </c>
    </row>
    <row r="179" spans="1:10" ht="15" customHeight="1" x14ac:dyDescent="0.25">
      <c r="A179" t="s">
        <v>5961</v>
      </c>
      <c r="B179" t="s">
        <v>3991</v>
      </c>
      <c r="C179" t="s">
        <v>3486</v>
      </c>
      <c r="D179">
        <v>1</v>
      </c>
      <c r="E179" t="s">
        <v>5962</v>
      </c>
      <c r="F179" t="s">
        <v>17</v>
      </c>
      <c r="G179" t="s">
        <v>17</v>
      </c>
      <c r="H179" t="s">
        <v>5961</v>
      </c>
      <c r="I179" t="s">
        <v>15</v>
      </c>
    </row>
    <row r="180" spans="1:10" ht="15" customHeight="1" x14ac:dyDescent="0.25">
      <c r="A180" t="s">
        <v>5963</v>
      </c>
      <c r="B180" t="s">
        <v>3411</v>
      </c>
      <c r="C180" t="s">
        <v>5401</v>
      </c>
      <c r="D180">
        <v>2</v>
      </c>
      <c r="E180" t="s">
        <v>5964</v>
      </c>
      <c r="F180" t="s">
        <v>5965</v>
      </c>
      <c r="G180">
        <v>2</v>
      </c>
      <c r="H180" t="s">
        <v>5966</v>
      </c>
      <c r="I180" t="s">
        <v>15</v>
      </c>
      <c r="J180" t="s">
        <v>5704</v>
      </c>
    </row>
    <row r="181" spans="1:10" ht="15" customHeight="1" x14ac:dyDescent="0.25">
      <c r="A181" t="s">
        <v>5967</v>
      </c>
      <c r="B181" t="s">
        <v>3423</v>
      </c>
      <c r="C181" t="s">
        <v>5105</v>
      </c>
      <c r="D181">
        <v>1</v>
      </c>
      <c r="E181" t="s">
        <v>5550</v>
      </c>
      <c r="F181" t="s">
        <v>5551</v>
      </c>
      <c r="G181">
        <v>1</v>
      </c>
      <c r="H181" t="s">
        <v>5967</v>
      </c>
      <c r="I181" t="s">
        <v>2256</v>
      </c>
      <c r="J181" t="s">
        <v>5685</v>
      </c>
    </row>
    <row r="182" spans="1:10" ht="15" customHeight="1" x14ac:dyDescent="0.25">
      <c r="A182" t="s">
        <v>5968</v>
      </c>
      <c r="B182" t="s">
        <v>3423</v>
      </c>
      <c r="C182" t="s">
        <v>5023</v>
      </c>
      <c r="D182">
        <v>1</v>
      </c>
      <c r="E182" t="s">
        <v>5969</v>
      </c>
      <c r="F182" t="s">
        <v>5970</v>
      </c>
      <c r="G182">
        <v>1</v>
      </c>
      <c r="H182" t="s">
        <v>5971</v>
      </c>
      <c r="I182" t="s">
        <v>15</v>
      </c>
      <c r="J182" t="s">
        <v>5606</v>
      </c>
    </row>
    <row r="183" spans="1:10" ht="15" customHeight="1" x14ac:dyDescent="0.25">
      <c r="A183" t="s">
        <v>5972</v>
      </c>
      <c r="B183" t="s">
        <v>3404</v>
      </c>
      <c r="C183" t="s">
        <v>5023</v>
      </c>
      <c r="D183">
        <v>1</v>
      </c>
      <c r="E183" t="s">
        <v>5973</v>
      </c>
      <c r="F183" t="s">
        <v>5974</v>
      </c>
      <c r="G183">
        <v>1</v>
      </c>
      <c r="H183" t="s">
        <v>5975</v>
      </c>
      <c r="I183" t="s">
        <v>15</v>
      </c>
      <c r="J183" t="s">
        <v>5976</v>
      </c>
    </row>
    <row r="184" spans="1:10" ht="15" customHeight="1" x14ac:dyDescent="0.25">
      <c r="A184" t="s">
        <v>5977</v>
      </c>
      <c r="B184" t="s">
        <v>3436</v>
      </c>
      <c r="C184" t="s">
        <v>5401</v>
      </c>
      <c r="D184">
        <v>1</v>
      </c>
      <c r="E184" t="s">
        <v>5959</v>
      </c>
      <c r="F184" t="s">
        <v>5960</v>
      </c>
      <c r="G184">
        <v>1</v>
      </c>
      <c r="H184" t="s">
        <v>17</v>
      </c>
      <c r="I184" t="s">
        <v>17</v>
      </c>
    </row>
    <row r="185" spans="1:10" ht="15" customHeight="1" x14ac:dyDescent="0.25">
      <c r="A185" t="s">
        <v>5978</v>
      </c>
      <c r="B185" t="s">
        <v>3411</v>
      </c>
      <c r="C185" t="s">
        <v>5401</v>
      </c>
      <c r="D185">
        <v>1</v>
      </c>
      <c r="E185" t="s">
        <v>5979</v>
      </c>
      <c r="F185" t="s">
        <v>5980</v>
      </c>
      <c r="G185">
        <v>1</v>
      </c>
      <c r="H185" t="s">
        <v>5981</v>
      </c>
      <c r="I185" t="s">
        <v>15</v>
      </c>
      <c r="J185" t="s">
        <v>5432</v>
      </c>
    </row>
    <row r="186" spans="1:10" ht="15" customHeight="1" x14ac:dyDescent="0.25">
      <c r="A186" t="s">
        <v>5375</v>
      </c>
      <c r="B186" t="s">
        <v>3436</v>
      </c>
      <c r="C186" t="s">
        <v>5023</v>
      </c>
      <c r="D186">
        <v>1</v>
      </c>
      <c r="E186" t="s">
        <v>5982</v>
      </c>
      <c r="F186" t="s">
        <v>5983</v>
      </c>
      <c r="G186">
        <v>1</v>
      </c>
      <c r="H186" t="s">
        <v>5375</v>
      </c>
      <c r="I186" t="s">
        <v>15</v>
      </c>
      <c r="J186" t="s">
        <v>5984</v>
      </c>
    </row>
    <row r="187" spans="1:10" ht="15" customHeight="1" x14ac:dyDescent="0.25">
      <c r="A187" t="s">
        <v>5985</v>
      </c>
      <c r="B187" t="s">
        <v>3411</v>
      </c>
      <c r="C187" t="s">
        <v>5401</v>
      </c>
      <c r="D187">
        <v>1</v>
      </c>
      <c r="E187" t="s">
        <v>5986</v>
      </c>
      <c r="F187" t="s">
        <v>5987</v>
      </c>
      <c r="G187">
        <v>1</v>
      </c>
      <c r="H187" t="s">
        <v>5988</v>
      </c>
      <c r="I187" t="s">
        <v>15</v>
      </c>
      <c r="J187" t="s">
        <v>5989</v>
      </c>
    </row>
    <row r="188" spans="1:10" ht="15" customHeight="1" x14ac:dyDescent="0.25">
      <c r="A188" t="s">
        <v>5990</v>
      </c>
      <c r="B188" t="s">
        <v>3411</v>
      </c>
      <c r="C188" t="s">
        <v>5401</v>
      </c>
      <c r="D188">
        <v>1</v>
      </c>
      <c r="E188" t="s">
        <v>5991</v>
      </c>
      <c r="F188" t="s">
        <v>5992</v>
      </c>
      <c r="G188">
        <v>1</v>
      </c>
      <c r="H188" t="s">
        <v>5993</v>
      </c>
      <c r="I188" t="s">
        <v>15</v>
      </c>
      <c r="J188" t="s">
        <v>5414</v>
      </c>
    </row>
    <row r="189" spans="1:10" ht="15" customHeight="1" x14ac:dyDescent="0.25">
      <c r="A189" t="s">
        <v>5994</v>
      </c>
      <c r="B189" t="s">
        <v>3423</v>
      </c>
      <c r="C189" t="s">
        <v>5023</v>
      </c>
      <c r="D189" t="s">
        <v>4593</v>
      </c>
      <c r="E189" t="s">
        <v>5995</v>
      </c>
      <c r="F189" t="s">
        <v>5996</v>
      </c>
      <c r="G189" t="s">
        <v>4593</v>
      </c>
      <c r="H189" t="s">
        <v>5994</v>
      </c>
      <c r="I189" t="s">
        <v>15</v>
      </c>
      <c r="J189" t="s">
        <v>5997</v>
      </c>
    </row>
    <row r="190" spans="1:10" ht="15" customHeight="1" x14ac:dyDescent="0.25">
      <c r="A190" t="s">
        <v>5998</v>
      </c>
      <c r="B190" t="s">
        <v>3423</v>
      </c>
      <c r="C190" t="s">
        <v>5484</v>
      </c>
      <c r="D190">
        <v>3</v>
      </c>
      <c r="E190" t="s">
        <v>5999</v>
      </c>
      <c r="F190" t="s">
        <v>6000</v>
      </c>
      <c r="G190">
        <v>3</v>
      </c>
      <c r="H190" t="s">
        <v>6001</v>
      </c>
      <c r="I190" t="s">
        <v>1575</v>
      </c>
    </row>
    <row r="191" spans="1:10" ht="15" customHeight="1" x14ac:dyDescent="0.25">
      <c r="A191" t="s">
        <v>6002</v>
      </c>
      <c r="B191" t="s">
        <v>3423</v>
      </c>
      <c r="C191" t="s">
        <v>5023</v>
      </c>
      <c r="D191">
        <v>1</v>
      </c>
      <c r="E191" t="s">
        <v>6003</v>
      </c>
      <c r="F191" t="s">
        <v>6003</v>
      </c>
      <c r="G191">
        <v>0</v>
      </c>
      <c r="H191" t="s">
        <v>6002</v>
      </c>
      <c r="I191" t="s">
        <v>15</v>
      </c>
      <c r="J191" t="s">
        <v>5810</v>
      </c>
    </row>
    <row r="192" spans="1:10" ht="15" customHeight="1" x14ac:dyDescent="0.25">
      <c r="A192" t="s">
        <v>6004</v>
      </c>
      <c r="B192" t="s">
        <v>3411</v>
      </c>
      <c r="C192" t="s">
        <v>5401</v>
      </c>
      <c r="D192">
        <v>1</v>
      </c>
      <c r="E192" t="s">
        <v>6005</v>
      </c>
      <c r="F192" t="s">
        <v>6006</v>
      </c>
      <c r="G192">
        <v>1</v>
      </c>
      <c r="H192" t="s">
        <v>6004</v>
      </c>
      <c r="I192" t="s">
        <v>15</v>
      </c>
      <c r="J192" t="s">
        <v>5546</v>
      </c>
    </row>
    <row r="193" spans="1:10" ht="15" customHeight="1" x14ac:dyDescent="0.25">
      <c r="A193" t="s">
        <v>6007</v>
      </c>
      <c r="B193" t="s">
        <v>3404</v>
      </c>
      <c r="C193" t="s">
        <v>4247</v>
      </c>
      <c r="D193">
        <v>1</v>
      </c>
      <c r="E193" t="s">
        <v>6008</v>
      </c>
      <c r="F193" t="s">
        <v>6008</v>
      </c>
      <c r="G193">
        <v>0</v>
      </c>
      <c r="H193" t="s">
        <v>6009</v>
      </c>
      <c r="I193" t="s">
        <v>15</v>
      </c>
      <c r="J193" t="s">
        <v>5387</v>
      </c>
    </row>
    <row r="194" spans="1:10" ht="15" customHeight="1" x14ac:dyDescent="0.25">
      <c r="A194" t="s">
        <v>6010</v>
      </c>
      <c r="B194" t="s">
        <v>3411</v>
      </c>
      <c r="C194" t="s">
        <v>5023</v>
      </c>
      <c r="D194">
        <v>1</v>
      </c>
      <c r="E194" t="s">
        <v>6011</v>
      </c>
      <c r="F194" t="s">
        <v>6012</v>
      </c>
      <c r="G194">
        <v>1</v>
      </c>
      <c r="H194" t="s">
        <v>6013</v>
      </c>
      <c r="I194" t="s">
        <v>15</v>
      </c>
      <c r="J194" t="s">
        <v>5678</v>
      </c>
    </row>
    <row r="195" spans="1:10" ht="15" customHeight="1" x14ac:dyDescent="0.25">
      <c r="A195" t="s">
        <v>6014</v>
      </c>
      <c r="B195" t="s">
        <v>3411</v>
      </c>
      <c r="C195" t="s">
        <v>5401</v>
      </c>
      <c r="D195">
        <v>1</v>
      </c>
      <c r="E195" t="s">
        <v>6015</v>
      </c>
      <c r="F195" t="s">
        <v>6016</v>
      </c>
      <c r="G195">
        <v>1</v>
      </c>
      <c r="H195" t="s">
        <v>6017</v>
      </c>
      <c r="I195" t="s">
        <v>15</v>
      </c>
      <c r="J195" t="s">
        <v>5414</v>
      </c>
    </row>
    <row r="196" spans="1:10" ht="15" customHeight="1" x14ac:dyDescent="0.25">
      <c r="A196" t="s">
        <v>6018</v>
      </c>
      <c r="B196" t="s">
        <v>3404</v>
      </c>
      <c r="C196" t="s">
        <v>5401</v>
      </c>
      <c r="D196">
        <v>1</v>
      </c>
      <c r="E196" t="s">
        <v>6019</v>
      </c>
      <c r="F196" t="s">
        <v>6020</v>
      </c>
      <c r="G196">
        <v>1</v>
      </c>
      <c r="H196" t="s">
        <v>6018</v>
      </c>
      <c r="I196" t="s">
        <v>15</v>
      </c>
      <c r="J196" t="s">
        <v>5661</v>
      </c>
    </row>
    <row r="197" spans="1:10" ht="15" customHeight="1" x14ac:dyDescent="0.25">
      <c r="A197" t="s">
        <v>6021</v>
      </c>
      <c r="B197" t="s">
        <v>3423</v>
      </c>
      <c r="C197" t="s">
        <v>5401</v>
      </c>
      <c r="D197">
        <v>2</v>
      </c>
      <c r="E197" t="s">
        <v>6022</v>
      </c>
      <c r="F197" t="s">
        <v>6023</v>
      </c>
      <c r="G197">
        <v>2</v>
      </c>
      <c r="H197" t="s">
        <v>6021</v>
      </c>
      <c r="I197" t="s">
        <v>15</v>
      </c>
      <c r="J197" t="s">
        <v>5546</v>
      </c>
    </row>
    <row r="198" spans="1:10" ht="15" customHeight="1" x14ac:dyDescent="0.25">
      <c r="A198" t="s">
        <v>6024</v>
      </c>
      <c r="B198" t="s">
        <v>3404</v>
      </c>
      <c r="C198" t="s">
        <v>5105</v>
      </c>
      <c r="D198">
        <v>1</v>
      </c>
      <c r="E198" t="s">
        <v>5550</v>
      </c>
      <c r="F198" t="s">
        <v>5551</v>
      </c>
      <c r="G198">
        <v>1</v>
      </c>
      <c r="H198" t="s">
        <v>6024</v>
      </c>
      <c r="I198" t="s">
        <v>2256</v>
      </c>
      <c r="J198" t="s">
        <v>5685</v>
      </c>
    </row>
    <row r="199" spans="1:10" ht="15" customHeight="1" x14ac:dyDescent="0.25">
      <c r="A199" t="s">
        <v>6025</v>
      </c>
      <c r="B199" t="s">
        <v>3411</v>
      </c>
      <c r="C199" t="s">
        <v>5023</v>
      </c>
      <c r="D199">
        <v>0</v>
      </c>
      <c r="E199" t="s">
        <v>6026</v>
      </c>
      <c r="F199" t="s">
        <v>6027</v>
      </c>
      <c r="G199">
        <v>0</v>
      </c>
      <c r="H199" t="s">
        <v>6025</v>
      </c>
      <c r="I199" t="s">
        <v>15</v>
      </c>
      <c r="J199" t="s">
        <v>5442</v>
      </c>
    </row>
    <row r="200" spans="1:10" ht="15" customHeight="1" x14ac:dyDescent="0.25">
      <c r="A200" t="s">
        <v>6028</v>
      </c>
      <c r="B200" t="s">
        <v>3423</v>
      </c>
      <c r="C200" t="s">
        <v>5105</v>
      </c>
      <c r="D200">
        <v>1</v>
      </c>
      <c r="E200" t="s">
        <v>5550</v>
      </c>
      <c r="F200" t="s">
        <v>5551</v>
      </c>
      <c r="G200">
        <v>1</v>
      </c>
      <c r="H200" t="s">
        <v>6028</v>
      </c>
      <c r="I200" t="s">
        <v>2256</v>
      </c>
      <c r="J200" t="s">
        <v>5598</v>
      </c>
    </row>
    <row r="201" spans="1:10" ht="15" customHeight="1" x14ac:dyDescent="0.25">
      <c r="A201" t="s">
        <v>4954</v>
      </c>
      <c r="B201" t="s">
        <v>3423</v>
      </c>
      <c r="C201" t="s">
        <v>4247</v>
      </c>
      <c r="D201">
        <v>1</v>
      </c>
      <c r="E201" t="s">
        <v>6029</v>
      </c>
      <c r="F201" t="s">
        <v>6030</v>
      </c>
      <c r="G201">
        <v>1</v>
      </c>
      <c r="H201" t="s">
        <v>4956</v>
      </c>
      <c r="I201" t="s">
        <v>15</v>
      </c>
      <c r="J201" t="s">
        <v>5671</v>
      </c>
    </row>
    <row r="202" spans="1:10" ht="15" customHeight="1" x14ac:dyDescent="0.25">
      <c r="A202" t="s">
        <v>6031</v>
      </c>
      <c r="B202" t="s">
        <v>3423</v>
      </c>
      <c r="C202" t="s">
        <v>5401</v>
      </c>
      <c r="D202" t="s">
        <v>5625</v>
      </c>
      <c r="E202" t="s">
        <v>6032</v>
      </c>
      <c r="F202" t="s">
        <v>6033</v>
      </c>
      <c r="G202" t="s">
        <v>5625</v>
      </c>
      <c r="H202" t="s">
        <v>6031</v>
      </c>
      <c r="I202" t="s">
        <v>15</v>
      </c>
      <c r="J202" t="s">
        <v>5414</v>
      </c>
    </row>
    <row r="203" spans="1:10" ht="15" customHeight="1" x14ac:dyDescent="0.25">
      <c r="A203" t="s">
        <v>6034</v>
      </c>
      <c r="B203" t="s">
        <v>3423</v>
      </c>
      <c r="C203" t="s">
        <v>5023</v>
      </c>
      <c r="D203">
        <v>1</v>
      </c>
      <c r="E203" t="s">
        <v>6035</v>
      </c>
      <c r="F203" t="s">
        <v>6035</v>
      </c>
      <c r="G203">
        <v>0</v>
      </c>
      <c r="H203" t="s">
        <v>6036</v>
      </c>
      <c r="I203" t="s">
        <v>15</v>
      </c>
      <c r="J203" t="s">
        <v>6037</v>
      </c>
    </row>
    <row r="204" spans="1:10" ht="15" customHeight="1" x14ac:dyDescent="0.25">
      <c r="A204" t="s">
        <v>6038</v>
      </c>
      <c r="B204" t="s">
        <v>3411</v>
      </c>
      <c r="C204" t="s">
        <v>5401</v>
      </c>
      <c r="D204">
        <v>1</v>
      </c>
      <c r="E204" t="s">
        <v>6039</v>
      </c>
      <c r="F204" t="s">
        <v>6040</v>
      </c>
      <c r="G204">
        <v>1</v>
      </c>
      <c r="H204" t="s">
        <v>6041</v>
      </c>
      <c r="I204" t="s">
        <v>15</v>
      </c>
      <c r="J204" t="s">
        <v>5664</v>
      </c>
    </row>
    <row r="205" spans="1:10" ht="15" customHeight="1" x14ac:dyDescent="0.25">
      <c r="A205" t="s">
        <v>6042</v>
      </c>
      <c r="B205" t="s">
        <v>3991</v>
      </c>
      <c r="C205" t="s">
        <v>3486</v>
      </c>
      <c r="D205" t="s">
        <v>4593</v>
      </c>
      <c r="E205" t="s">
        <v>5767</v>
      </c>
      <c r="F205" t="s">
        <v>17</v>
      </c>
      <c r="G205" t="s">
        <v>4593</v>
      </c>
      <c r="H205" t="s">
        <v>6042</v>
      </c>
      <c r="I205" t="s">
        <v>15</v>
      </c>
    </row>
    <row r="206" spans="1:10" ht="15" customHeight="1" x14ac:dyDescent="0.25">
      <c r="A206" t="s">
        <v>6043</v>
      </c>
      <c r="B206" t="s">
        <v>3404</v>
      </c>
      <c r="C206" t="s">
        <v>4247</v>
      </c>
      <c r="D206">
        <v>3</v>
      </c>
      <c r="E206" t="s">
        <v>6044</v>
      </c>
      <c r="F206" t="s">
        <v>6045</v>
      </c>
      <c r="G206">
        <v>3</v>
      </c>
      <c r="H206" t="s">
        <v>6046</v>
      </c>
      <c r="I206" t="s">
        <v>15</v>
      </c>
      <c r="J206" t="s">
        <v>5396</v>
      </c>
    </row>
    <row r="207" spans="1:10" ht="15" customHeight="1" x14ac:dyDescent="0.25">
      <c r="A207" t="s">
        <v>6047</v>
      </c>
      <c r="B207" t="s">
        <v>3991</v>
      </c>
      <c r="C207" t="s">
        <v>0</v>
      </c>
      <c r="D207" t="s">
        <v>4593</v>
      </c>
      <c r="E207" t="s">
        <v>6048</v>
      </c>
      <c r="F207" t="s">
        <v>17</v>
      </c>
      <c r="G207" t="s">
        <v>17</v>
      </c>
      <c r="H207" t="s">
        <v>6047</v>
      </c>
      <c r="I207" t="s">
        <v>15</v>
      </c>
      <c r="J207" t="s">
        <v>5549</v>
      </c>
    </row>
    <row r="208" spans="1:10" ht="15" customHeight="1" x14ac:dyDescent="0.25">
      <c r="A208" t="s">
        <v>6049</v>
      </c>
      <c r="B208" t="s">
        <v>3991</v>
      </c>
      <c r="C208" t="s">
        <v>3486</v>
      </c>
      <c r="D208">
        <v>1</v>
      </c>
      <c r="E208" t="s">
        <v>6050</v>
      </c>
      <c r="F208" t="s">
        <v>17</v>
      </c>
      <c r="G208" t="s">
        <v>17</v>
      </c>
      <c r="H208" t="s">
        <v>6051</v>
      </c>
      <c r="I208" t="s">
        <v>412</v>
      </c>
      <c r="J208" t="s">
        <v>5472</v>
      </c>
    </row>
    <row r="209" spans="1:10" ht="15" customHeight="1" x14ac:dyDescent="0.25">
      <c r="A209" t="s">
        <v>4352</v>
      </c>
      <c r="B209" t="s">
        <v>3411</v>
      </c>
      <c r="C209" t="s">
        <v>5401</v>
      </c>
      <c r="D209">
        <v>1</v>
      </c>
      <c r="E209" t="s">
        <v>5794</v>
      </c>
      <c r="F209" t="s">
        <v>5794</v>
      </c>
      <c r="G209">
        <v>1</v>
      </c>
      <c r="H209" t="s">
        <v>4355</v>
      </c>
      <c r="I209" t="s">
        <v>954</v>
      </c>
      <c r="J209" t="s">
        <v>5434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3840</v>
      </c>
      <c r="C1" t="s">
        <v>86</v>
      </c>
      <c r="D1" t="s">
        <v>5377</v>
      </c>
      <c r="E1" t="s">
        <v>3348</v>
      </c>
      <c r="F1" t="s">
        <v>6052</v>
      </c>
      <c r="G1" t="s">
        <v>6053</v>
      </c>
      <c r="H1" t="s">
        <v>6054</v>
      </c>
      <c r="I1" t="s">
        <v>6055</v>
      </c>
      <c r="J1" t="s">
        <v>5401</v>
      </c>
      <c r="K1" t="s">
        <v>4588</v>
      </c>
      <c r="L1" t="s">
        <v>1</v>
      </c>
      <c r="M1" t="s">
        <v>6056</v>
      </c>
      <c r="N1" t="s">
        <v>6057</v>
      </c>
      <c r="O1" t="s">
        <v>89</v>
      </c>
    </row>
    <row r="2" spans="1:15" ht="15" customHeight="1" x14ac:dyDescent="0.25">
      <c r="A2" t="s">
        <v>5380</v>
      </c>
      <c r="B2" t="s">
        <v>3423</v>
      </c>
      <c r="C2" t="s">
        <v>4247</v>
      </c>
      <c r="D2">
        <v>1</v>
      </c>
      <c r="E2" t="s">
        <v>5381</v>
      </c>
      <c r="F2" t="s">
        <v>6058</v>
      </c>
      <c r="G2" t="s">
        <v>5382</v>
      </c>
      <c r="H2" t="s">
        <v>6059</v>
      </c>
      <c r="I2">
        <v>1</v>
      </c>
      <c r="J2" t="s">
        <v>17</v>
      </c>
      <c r="K2" t="s">
        <v>5380</v>
      </c>
      <c r="L2" t="s">
        <v>15</v>
      </c>
      <c r="M2" t="s">
        <v>17</v>
      </c>
      <c r="N2" t="s">
        <v>17</v>
      </c>
      <c r="O2" t="s">
        <v>5383</v>
      </c>
    </row>
    <row r="3" spans="1:15" ht="15" customHeight="1" x14ac:dyDescent="0.25">
      <c r="A3" t="s">
        <v>5384</v>
      </c>
      <c r="B3" t="s">
        <v>3411</v>
      </c>
      <c r="C3" t="s">
        <v>5023</v>
      </c>
      <c r="D3">
        <v>1</v>
      </c>
      <c r="E3" t="s">
        <v>5385</v>
      </c>
      <c r="F3" t="s">
        <v>6060</v>
      </c>
      <c r="G3" t="s">
        <v>5386</v>
      </c>
      <c r="H3" t="s">
        <v>6061</v>
      </c>
      <c r="I3">
        <v>1</v>
      </c>
      <c r="J3" t="s">
        <v>17</v>
      </c>
      <c r="K3" t="s">
        <v>5384</v>
      </c>
      <c r="L3" t="s">
        <v>15</v>
      </c>
      <c r="M3" t="s">
        <v>17</v>
      </c>
      <c r="N3" t="s">
        <v>17</v>
      </c>
      <c r="O3" t="s">
        <v>5387</v>
      </c>
    </row>
    <row r="4" spans="1:15" ht="15" customHeight="1" x14ac:dyDescent="0.25">
      <c r="A4" t="s">
        <v>5388</v>
      </c>
      <c r="B4" t="s">
        <v>3404</v>
      </c>
      <c r="C4" t="s">
        <v>5023</v>
      </c>
      <c r="D4">
        <v>0</v>
      </c>
      <c r="E4" t="s">
        <v>5389</v>
      </c>
      <c r="F4" t="s">
        <v>6062</v>
      </c>
      <c r="G4" t="s">
        <v>5390</v>
      </c>
      <c r="H4" t="s">
        <v>6063</v>
      </c>
      <c r="I4">
        <v>0</v>
      </c>
      <c r="J4" t="s">
        <v>17</v>
      </c>
      <c r="K4" t="s">
        <v>5388</v>
      </c>
      <c r="L4" t="s">
        <v>15</v>
      </c>
      <c r="M4" t="s">
        <v>5160</v>
      </c>
      <c r="N4" t="s">
        <v>17</v>
      </c>
      <c r="O4" t="s">
        <v>5391</v>
      </c>
    </row>
    <row r="5" spans="1:15" ht="15" customHeight="1" x14ac:dyDescent="0.25">
      <c r="A5" t="s">
        <v>5392</v>
      </c>
      <c r="B5" t="s">
        <v>3404</v>
      </c>
      <c r="C5" t="s">
        <v>4247</v>
      </c>
      <c r="D5">
        <v>1</v>
      </c>
      <c r="E5" t="s">
        <v>5393</v>
      </c>
      <c r="F5" t="s">
        <v>6064</v>
      </c>
      <c r="G5" t="s">
        <v>5394</v>
      </c>
      <c r="H5" t="s">
        <v>6064</v>
      </c>
      <c r="I5">
        <v>1</v>
      </c>
      <c r="J5" t="s">
        <v>17</v>
      </c>
      <c r="K5" t="s">
        <v>5395</v>
      </c>
      <c r="L5" t="s">
        <v>15</v>
      </c>
      <c r="M5" t="s">
        <v>5099</v>
      </c>
      <c r="N5" t="s">
        <v>17</v>
      </c>
      <c r="O5" t="s">
        <v>5396</v>
      </c>
    </row>
    <row r="6" spans="1:15" ht="15" customHeight="1" x14ac:dyDescent="0.25">
      <c r="A6" t="s">
        <v>5397</v>
      </c>
      <c r="B6" t="s">
        <v>3404</v>
      </c>
      <c r="C6" t="s">
        <v>5023</v>
      </c>
      <c r="D6">
        <v>1</v>
      </c>
      <c r="E6" t="s">
        <v>5398</v>
      </c>
      <c r="F6" t="s">
        <v>6065</v>
      </c>
      <c r="G6" t="s">
        <v>5398</v>
      </c>
      <c r="H6" t="s">
        <v>6065</v>
      </c>
      <c r="I6">
        <v>0</v>
      </c>
      <c r="J6" t="s">
        <v>17</v>
      </c>
      <c r="K6" t="s">
        <v>5397</v>
      </c>
      <c r="L6" t="s">
        <v>15</v>
      </c>
      <c r="M6" t="s">
        <v>5160</v>
      </c>
      <c r="N6" t="s">
        <v>17</v>
      </c>
      <c r="O6" t="s">
        <v>6066</v>
      </c>
    </row>
    <row r="7" spans="1:15" ht="15" customHeight="1" x14ac:dyDescent="0.25">
      <c r="A7" t="s">
        <v>5400</v>
      </c>
      <c r="B7" t="s">
        <v>3404</v>
      </c>
      <c r="C7" t="s">
        <v>5401</v>
      </c>
      <c r="D7">
        <v>2</v>
      </c>
      <c r="E7" t="s">
        <v>6067</v>
      </c>
      <c r="F7" t="s">
        <v>6068</v>
      </c>
      <c r="G7" t="s">
        <v>6069</v>
      </c>
      <c r="H7" t="s">
        <v>6070</v>
      </c>
      <c r="I7">
        <v>2</v>
      </c>
      <c r="J7" t="s">
        <v>6071</v>
      </c>
      <c r="K7" t="s">
        <v>5404</v>
      </c>
      <c r="L7" t="s">
        <v>15</v>
      </c>
      <c r="M7" t="s">
        <v>17</v>
      </c>
      <c r="N7" t="s">
        <v>17</v>
      </c>
      <c r="O7" t="s">
        <v>5405</v>
      </c>
    </row>
    <row r="8" spans="1:15" ht="15" customHeight="1" x14ac:dyDescent="0.25">
      <c r="A8" t="s">
        <v>5406</v>
      </c>
      <c r="B8" t="s">
        <v>3423</v>
      </c>
      <c r="C8" t="s">
        <v>5401</v>
      </c>
      <c r="D8">
        <v>1</v>
      </c>
      <c r="E8" t="s">
        <v>6072</v>
      </c>
      <c r="F8" t="s">
        <v>6073</v>
      </c>
      <c r="G8" t="s">
        <v>6074</v>
      </c>
      <c r="H8" t="s">
        <v>6075</v>
      </c>
      <c r="I8">
        <v>1</v>
      </c>
      <c r="J8" t="s">
        <v>6076</v>
      </c>
      <c r="K8" t="s">
        <v>5409</v>
      </c>
      <c r="L8" t="s">
        <v>15</v>
      </c>
      <c r="M8" t="s">
        <v>17</v>
      </c>
      <c r="N8" t="s">
        <v>17</v>
      </c>
      <c r="O8" t="s">
        <v>5410</v>
      </c>
    </row>
    <row r="9" spans="1:15" ht="15" customHeight="1" x14ac:dyDescent="0.25">
      <c r="A9" t="s">
        <v>5411</v>
      </c>
      <c r="B9" t="s">
        <v>3411</v>
      </c>
      <c r="C9" t="s">
        <v>5401</v>
      </c>
      <c r="D9">
        <v>0</v>
      </c>
      <c r="E9" t="s">
        <v>5412</v>
      </c>
      <c r="F9" t="s">
        <v>6077</v>
      </c>
      <c r="G9" t="s">
        <v>5413</v>
      </c>
      <c r="H9" t="s">
        <v>6078</v>
      </c>
      <c r="I9">
        <v>0</v>
      </c>
      <c r="J9" t="s">
        <v>6079</v>
      </c>
      <c r="K9" t="s">
        <v>5411</v>
      </c>
      <c r="L9" t="s">
        <v>15</v>
      </c>
      <c r="M9" t="s">
        <v>17</v>
      </c>
      <c r="N9" t="s">
        <v>17</v>
      </c>
      <c r="O9" t="s">
        <v>5414</v>
      </c>
    </row>
    <row r="10" spans="1:15" ht="15" customHeight="1" x14ac:dyDescent="0.25">
      <c r="A10" t="s">
        <v>5415</v>
      </c>
      <c r="B10" t="s">
        <v>3411</v>
      </c>
      <c r="C10" t="s">
        <v>5023</v>
      </c>
      <c r="D10">
        <v>1</v>
      </c>
      <c r="E10" t="s">
        <v>5416</v>
      </c>
      <c r="F10" t="s">
        <v>6080</v>
      </c>
      <c r="G10" t="s">
        <v>5417</v>
      </c>
      <c r="H10" t="s">
        <v>6081</v>
      </c>
      <c r="I10">
        <v>1</v>
      </c>
      <c r="J10" t="s">
        <v>17</v>
      </c>
      <c r="K10" t="s">
        <v>5415</v>
      </c>
      <c r="L10" t="s">
        <v>15</v>
      </c>
      <c r="M10" t="s">
        <v>17</v>
      </c>
      <c r="N10" t="s">
        <v>17</v>
      </c>
      <c r="O10" t="s">
        <v>5418</v>
      </c>
    </row>
    <row r="11" spans="1:15" ht="15" customHeight="1" x14ac:dyDescent="0.25">
      <c r="A11" t="s">
        <v>5419</v>
      </c>
      <c r="B11" t="s">
        <v>3411</v>
      </c>
      <c r="C11" t="s">
        <v>5023</v>
      </c>
      <c r="D11">
        <v>1</v>
      </c>
      <c r="E11" t="s">
        <v>5420</v>
      </c>
      <c r="F11" t="s">
        <v>6082</v>
      </c>
      <c r="G11" t="s">
        <v>5421</v>
      </c>
      <c r="H11" t="s">
        <v>6083</v>
      </c>
      <c r="I11">
        <v>1</v>
      </c>
      <c r="J11" t="s">
        <v>17</v>
      </c>
      <c r="K11" t="s">
        <v>5419</v>
      </c>
      <c r="L11" t="s">
        <v>15</v>
      </c>
      <c r="M11" t="s">
        <v>17</v>
      </c>
      <c r="N11" t="s">
        <v>17</v>
      </c>
      <c r="O11" t="s">
        <v>5422</v>
      </c>
    </row>
    <row r="12" spans="1:15" ht="15" customHeight="1" x14ac:dyDescent="0.25">
      <c r="A12" t="s">
        <v>5423</v>
      </c>
      <c r="B12" t="s">
        <v>3423</v>
      </c>
      <c r="C12" t="s">
        <v>5401</v>
      </c>
      <c r="D12">
        <v>0</v>
      </c>
      <c r="E12" t="s">
        <v>5424</v>
      </c>
      <c r="F12" t="s">
        <v>6084</v>
      </c>
      <c r="G12" t="s">
        <v>5425</v>
      </c>
      <c r="H12" t="s">
        <v>6085</v>
      </c>
      <c r="I12">
        <v>0</v>
      </c>
      <c r="J12" t="s">
        <v>6071</v>
      </c>
      <c r="K12" t="s">
        <v>5423</v>
      </c>
      <c r="L12" t="s">
        <v>15</v>
      </c>
      <c r="M12" t="s">
        <v>6086</v>
      </c>
      <c r="N12" t="s">
        <v>17</v>
      </c>
      <c r="O12" t="s">
        <v>5426</v>
      </c>
    </row>
    <row r="13" spans="1:15" ht="15" customHeight="1" x14ac:dyDescent="0.25">
      <c r="A13" t="s">
        <v>4074</v>
      </c>
      <c r="B13" t="s">
        <v>3423</v>
      </c>
      <c r="C13" t="s">
        <v>5023</v>
      </c>
      <c r="D13">
        <v>1</v>
      </c>
      <c r="E13" t="s">
        <v>5427</v>
      </c>
      <c r="F13" t="s">
        <v>6087</v>
      </c>
      <c r="G13" t="s">
        <v>5427</v>
      </c>
      <c r="H13" t="s">
        <v>6087</v>
      </c>
      <c r="I13">
        <v>1</v>
      </c>
      <c r="J13" t="s">
        <v>6088</v>
      </c>
      <c r="K13" t="s">
        <v>4079</v>
      </c>
      <c r="L13" t="s">
        <v>1552</v>
      </c>
      <c r="M13" t="s">
        <v>17</v>
      </c>
      <c r="N13" t="s">
        <v>17</v>
      </c>
      <c r="O13" t="s">
        <v>6089</v>
      </c>
    </row>
    <row r="14" spans="1:15" ht="15" customHeight="1" x14ac:dyDescent="0.25">
      <c r="A14" t="s">
        <v>5429</v>
      </c>
      <c r="B14" t="s">
        <v>3411</v>
      </c>
      <c r="C14" t="s">
        <v>5401</v>
      </c>
      <c r="D14">
        <v>1</v>
      </c>
      <c r="E14" t="s">
        <v>6090</v>
      </c>
      <c r="F14" t="s">
        <v>6091</v>
      </c>
      <c r="G14" t="s">
        <v>6092</v>
      </c>
      <c r="H14" t="s">
        <v>6093</v>
      </c>
      <c r="I14">
        <v>1</v>
      </c>
      <c r="J14" t="s">
        <v>6088</v>
      </c>
      <c r="K14" t="s">
        <v>5429</v>
      </c>
      <c r="L14" t="s">
        <v>15</v>
      </c>
      <c r="M14" t="s">
        <v>17</v>
      </c>
      <c r="N14" t="s">
        <v>17</v>
      </c>
      <c r="O14" t="s">
        <v>6094</v>
      </c>
    </row>
    <row r="15" spans="1:15" ht="15" customHeight="1" x14ac:dyDescent="0.25">
      <c r="A15" t="s">
        <v>4085</v>
      </c>
      <c r="B15" t="s">
        <v>3423</v>
      </c>
      <c r="C15" t="s">
        <v>5401</v>
      </c>
      <c r="D15">
        <v>1</v>
      </c>
      <c r="E15" t="s">
        <v>5433</v>
      </c>
      <c r="F15" t="s">
        <v>6095</v>
      </c>
      <c r="G15" t="s">
        <v>5433</v>
      </c>
      <c r="H15" t="s">
        <v>6095</v>
      </c>
      <c r="I15">
        <v>1</v>
      </c>
      <c r="J15" t="s">
        <v>6096</v>
      </c>
      <c r="K15" t="s">
        <v>4085</v>
      </c>
      <c r="L15" t="s">
        <v>954</v>
      </c>
      <c r="M15" t="s">
        <v>5091</v>
      </c>
      <c r="N15" t="s">
        <v>17</v>
      </c>
      <c r="O15" t="s">
        <v>5434</v>
      </c>
    </row>
    <row r="16" spans="1:15" ht="15" customHeight="1" x14ac:dyDescent="0.25">
      <c r="A16" t="s">
        <v>3417</v>
      </c>
      <c r="B16" t="s">
        <v>3404</v>
      </c>
      <c r="C16" t="s">
        <v>4247</v>
      </c>
      <c r="D16">
        <v>3</v>
      </c>
      <c r="E16" s="9" t="s">
        <v>6097</v>
      </c>
      <c r="F16" t="s">
        <v>6098</v>
      </c>
      <c r="G16" s="9" t="s">
        <v>6097</v>
      </c>
      <c r="H16" t="s">
        <v>6098</v>
      </c>
      <c r="I16">
        <v>2</v>
      </c>
      <c r="J16" t="s">
        <v>17</v>
      </c>
      <c r="K16" t="s">
        <v>3417</v>
      </c>
      <c r="L16" t="s">
        <v>15</v>
      </c>
      <c r="M16" t="s">
        <v>17</v>
      </c>
      <c r="N16" t="s">
        <v>17</v>
      </c>
      <c r="O16" t="s">
        <v>6099</v>
      </c>
    </row>
    <row r="17" spans="1:15" ht="15" customHeight="1" x14ac:dyDescent="0.25">
      <c r="A17" t="s">
        <v>3338</v>
      </c>
      <c r="B17" t="s">
        <v>3436</v>
      </c>
      <c r="C17" t="s">
        <v>5401</v>
      </c>
      <c r="D17">
        <v>2</v>
      </c>
      <c r="E17" t="s">
        <v>5436</v>
      </c>
      <c r="F17" t="s">
        <v>6100</v>
      </c>
      <c r="G17" t="s">
        <v>5437</v>
      </c>
      <c r="H17" t="s">
        <v>6101</v>
      </c>
      <c r="I17">
        <v>2</v>
      </c>
      <c r="J17" t="s">
        <v>6102</v>
      </c>
      <c r="K17" t="s">
        <v>3338</v>
      </c>
      <c r="L17" t="s">
        <v>15</v>
      </c>
      <c r="M17" t="s">
        <v>17</v>
      </c>
      <c r="N17" t="s">
        <v>17</v>
      </c>
      <c r="O17" t="s">
        <v>5414</v>
      </c>
    </row>
    <row r="18" spans="1:15" ht="15" customHeight="1" x14ac:dyDescent="0.25">
      <c r="A18" t="s">
        <v>5438</v>
      </c>
      <c r="B18" t="s">
        <v>3423</v>
      </c>
      <c r="C18" t="s">
        <v>5023</v>
      </c>
      <c r="D18">
        <v>0</v>
      </c>
      <c r="E18" s="9" t="s">
        <v>6103</v>
      </c>
      <c r="F18" t="s">
        <v>6104</v>
      </c>
      <c r="G18" s="9" t="s">
        <v>6105</v>
      </c>
      <c r="H18" t="s">
        <v>6106</v>
      </c>
      <c r="I18" t="s">
        <v>17</v>
      </c>
      <c r="J18" t="s">
        <v>17</v>
      </c>
      <c r="K18" t="s">
        <v>5441</v>
      </c>
      <c r="L18" t="s">
        <v>15</v>
      </c>
      <c r="M18" t="s">
        <v>17</v>
      </c>
      <c r="N18" t="s">
        <v>17</v>
      </c>
      <c r="O18" t="s">
        <v>5442</v>
      </c>
    </row>
    <row r="19" spans="1:15" ht="15" customHeight="1" x14ac:dyDescent="0.25">
      <c r="A19" t="s">
        <v>5443</v>
      </c>
      <c r="B19" t="s">
        <v>3411</v>
      </c>
      <c r="C19" t="s">
        <v>5401</v>
      </c>
      <c r="D19">
        <v>0</v>
      </c>
      <c r="E19" t="s">
        <v>5444</v>
      </c>
      <c r="F19" t="s">
        <v>6107</v>
      </c>
      <c r="G19" t="s">
        <v>5445</v>
      </c>
      <c r="H19" t="s">
        <v>6108</v>
      </c>
      <c r="I19">
        <v>0</v>
      </c>
      <c r="J19" t="s">
        <v>6109</v>
      </c>
      <c r="K19" t="s">
        <v>5446</v>
      </c>
      <c r="L19" t="s">
        <v>15</v>
      </c>
      <c r="M19" t="s">
        <v>17</v>
      </c>
      <c r="N19" t="s">
        <v>17</v>
      </c>
      <c r="O19" t="s">
        <v>5447</v>
      </c>
    </row>
    <row r="20" spans="1:15" ht="15" customHeight="1" x14ac:dyDescent="0.25">
      <c r="A20" t="s">
        <v>5452</v>
      </c>
      <c r="B20" t="s">
        <v>3411</v>
      </c>
      <c r="C20" t="s">
        <v>5023</v>
      </c>
      <c r="D20">
        <v>1</v>
      </c>
      <c r="E20" t="s">
        <v>5453</v>
      </c>
      <c r="F20" t="s">
        <v>6110</v>
      </c>
      <c r="G20" t="s">
        <v>5454</v>
      </c>
      <c r="H20" t="s">
        <v>6111</v>
      </c>
      <c r="I20">
        <v>1</v>
      </c>
      <c r="J20" t="s">
        <v>17</v>
      </c>
      <c r="K20" t="s">
        <v>5455</v>
      </c>
      <c r="L20" t="s">
        <v>15</v>
      </c>
      <c r="M20" t="s">
        <v>17</v>
      </c>
      <c r="N20" t="s">
        <v>17</v>
      </c>
      <c r="O20" t="s">
        <v>5456</v>
      </c>
    </row>
    <row r="21" spans="1:15" ht="15" customHeight="1" x14ac:dyDescent="0.25">
      <c r="A21" t="s">
        <v>4112</v>
      </c>
      <c r="B21" t="s">
        <v>3411</v>
      </c>
      <c r="C21" t="s">
        <v>5401</v>
      </c>
      <c r="D21">
        <v>1</v>
      </c>
      <c r="E21" t="s">
        <v>5457</v>
      </c>
      <c r="F21" t="s">
        <v>6112</v>
      </c>
      <c r="G21" t="s">
        <v>5457</v>
      </c>
      <c r="H21" t="s">
        <v>6112</v>
      </c>
      <c r="I21">
        <v>1</v>
      </c>
      <c r="J21" t="s">
        <v>6096</v>
      </c>
      <c r="K21" t="s">
        <v>4115</v>
      </c>
      <c r="L21" t="s">
        <v>1012</v>
      </c>
      <c r="M21" t="s">
        <v>5132</v>
      </c>
      <c r="N21" t="s">
        <v>17</v>
      </c>
      <c r="O21" t="s">
        <v>5434</v>
      </c>
    </row>
    <row r="22" spans="1:15" ht="15" customHeight="1" x14ac:dyDescent="0.25">
      <c r="A22" t="s">
        <v>5458</v>
      </c>
      <c r="B22" t="s">
        <v>3423</v>
      </c>
      <c r="C22" t="s">
        <v>5401</v>
      </c>
      <c r="D22">
        <v>4</v>
      </c>
      <c r="E22" s="9" t="s">
        <v>5459</v>
      </c>
      <c r="F22" t="s">
        <v>6113</v>
      </c>
      <c r="G22" s="9" t="s">
        <v>5460</v>
      </c>
      <c r="H22" t="s">
        <v>6114</v>
      </c>
      <c r="I22">
        <v>3</v>
      </c>
      <c r="J22" t="s">
        <v>6079</v>
      </c>
      <c r="K22" t="s">
        <v>5461</v>
      </c>
      <c r="L22" t="s">
        <v>15</v>
      </c>
      <c r="M22" t="s">
        <v>17</v>
      </c>
      <c r="N22" t="s">
        <v>17</v>
      </c>
      <c r="O22" t="s">
        <v>5442</v>
      </c>
    </row>
    <row r="23" spans="1:15" ht="15" customHeight="1" x14ac:dyDescent="0.25">
      <c r="A23" t="s">
        <v>4116</v>
      </c>
      <c r="B23" t="s">
        <v>3404</v>
      </c>
      <c r="C23" t="s">
        <v>5401</v>
      </c>
      <c r="D23">
        <v>1</v>
      </c>
      <c r="E23" t="s">
        <v>6115</v>
      </c>
      <c r="F23" t="s">
        <v>6116</v>
      </c>
      <c r="G23" t="s">
        <v>6115</v>
      </c>
      <c r="H23" t="s">
        <v>6116</v>
      </c>
      <c r="I23">
        <v>1</v>
      </c>
      <c r="J23" t="s">
        <v>6117</v>
      </c>
      <c r="K23" t="s">
        <v>4119</v>
      </c>
      <c r="L23" t="s">
        <v>1524</v>
      </c>
      <c r="M23" t="s">
        <v>5095</v>
      </c>
      <c r="N23" t="s">
        <v>5046</v>
      </c>
      <c r="O23" t="s">
        <v>5434</v>
      </c>
    </row>
    <row r="24" spans="1:15" ht="15" customHeight="1" x14ac:dyDescent="0.25">
      <c r="A24" t="s">
        <v>5463</v>
      </c>
      <c r="B24" t="s">
        <v>3411</v>
      </c>
      <c r="C24" t="s">
        <v>5023</v>
      </c>
      <c r="D24">
        <v>0</v>
      </c>
      <c r="E24" t="s">
        <v>5464</v>
      </c>
      <c r="F24" t="s">
        <v>6118</v>
      </c>
      <c r="G24" t="s">
        <v>5465</v>
      </c>
      <c r="H24" t="s">
        <v>6119</v>
      </c>
      <c r="I24">
        <v>0</v>
      </c>
      <c r="J24" t="s">
        <v>17</v>
      </c>
      <c r="K24" t="s">
        <v>5463</v>
      </c>
      <c r="L24" t="s">
        <v>15</v>
      </c>
      <c r="M24" t="s">
        <v>17</v>
      </c>
      <c r="N24" t="s">
        <v>17</v>
      </c>
      <c r="O24" t="s">
        <v>5451</v>
      </c>
    </row>
    <row r="25" spans="1:15" ht="15" customHeight="1" x14ac:dyDescent="0.25">
      <c r="A25" t="s">
        <v>5466</v>
      </c>
      <c r="B25" t="s">
        <v>3404</v>
      </c>
      <c r="C25" t="s">
        <v>5401</v>
      </c>
      <c r="D25">
        <v>3</v>
      </c>
      <c r="E25" t="s">
        <v>5467</v>
      </c>
      <c r="F25" t="s">
        <v>6120</v>
      </c>
      <c r="G25" t="s">
        <v>5468</v>
      </c>
      <c r="H25" t="s">
        <v>6121</v>
      </c>
      <c r="I25">
        <v>3</v>
      </c>
      <c r="J25" t="s">
        <v>6122</v>
      </c>
      <c r="K25" t="s">
        <v>5466</v>
      </c>
      <c r="L25" t="s">
        <v>15</v>
      </c>
      <c r="M25" t="s">
        <v>17</v>
      </c>
      <c r="N25" t="s">
        <v>17</v>
      </c>
      <c r="O25" t="s">
        <v>5414</v>
      </c>
    </row>
    <row r="26" spans="1:15" ht="15" customHeight="1" x14ac:dyDescent="0.25">
      <c r="A26" t="s">
        <v>4822</v>
      </c>
      <c r="B26" t="s">
        <v>3423</v>
      </c>
      <c r="C26" t="s">
        <v>5023</v>
      </c>
      <c r="D26">
        <v>1</v>
      </c>
      <c r="E26" s="9" t="s">
        <v>6123</v>
      </c>
      <c r="F26" t="s">
        <v>6124</v>
      </c>
      <c r="G26" s="9" t="s">
        <v>6125</v>
      </c>
      <c r="H26" t="s">
        <v>6126</v>
      </c>
      <c r="I26">
        <v>1</v>
      </c>
      <c r="J26" t="s">
        <v>17</v>
      </c>
      <c r="K26" t="s">
        <v>4822</v>
      </c>
      <c r="L26" t="s">
        <v>15</v>
      </c>
      <c r="M26" t="s">
        <v>17</v>
      </c>
      <c r="N26" t="s">
        <v>17</v>
      </c>
      <c r="O26" t="s">
        <v>5396</v>
      </c>
    </row>
    <row r="27" spans="1:15" ht="15" customHeight="1" x14ac:dyDescent="0.25">
      <c r="A27" t="s">
        <v>5475</v>
      </c>
      <c r="B27" t="s">
        <v>3411</v>
      </c>
      <c r="C27" t="s">
        <v>5401</v>
      </c>
      <c r="D27">
        <v>1</v>
      </c>
      <c r="E27" t="s">
        <v>6127</v>
      </c>
      <c r="F27" t="s">
        <v>6128</v>
      </c>
      <c r="G27" t="s">
        <v>6127</v>
      </c>
      <c r="H27" t="s">
        <v>6128</v>
      </c>
      <c r="I27">
        <v>0</v>
      </c>
      <c r="J27" t="s">
        <v>6129</v>
      </c>
      <c r="K27" t="s">
        <v>5477</v>
      </c>
      <c r="L27" t="s">
        <v>15</v>
      </c>
      <c r="M27" t="s">
        <v>17</v>
      </c>
      <c r="N27" t="s">
        <v>17</v>
      </c>
      <c r="O27" t="s">
        <v>5414</v>
      </c>
    </row>
    <row r="28" spans="1:15" ht="15" customHeight="1" x14ac:dyDescent="0.25">
      <c r="A28" t="s">
        <v>5478</v>
      </c>
      <c r="B28" t="s">
        <v>3423</v>
      </c>
      <c r="C28" t="s">
        <v>5023</v>
      </c>
      <c r="D28">
        <v>0</v>
      </c>
      <c r="E28" t="s">
        <v>5479</v>
      </c>
      <c r="F28" t="s">
        <v>6130</v>
      </c>
      <c r="G28" t="s">
        <v>5480</v>
      </c>
      <c r="H28" t="s">
        <v>6131</v>
      </c>
      <c r="I28">
        <v>0</v>
      </c>
      <c r="J28" t="s">
        <v>17</v>
      </c>
      <c r="K28" t="s">
        <v>5481</v>
      </c>
      <c r="L28" t="s">
        <v>15</v>
      </c>
      <c r="M28" t="s">
        <v>6086</v>
      </c>
      <c r="N28" t="s">
        <v>17</v>
      </c>
      <c r="O28" t="s">
        <v>5482</v>
      </c>
    </row>
    <row r="29" spans="1:15" ht="15" customHeight="1" x14ac:dyDescent="0.25">
      <c r="A29" t="s">
        <v>5488</v>
      </c>
      <c r="B29" t="s">
        <v>3423</v>
      </c>
      <c r="C29" t="s">
        <v>5023</v>
      </c>
      <c r="D29">
        <v>2</v>
      </c>
      <c r="E29" t="s">
        <v>5489</v>
      </c>
      <c r="F29" t="s">
        <v>6132</v>
      </c>
      <c r="G29" t="s">
        <v>5490</v>
      </c>
      <c r="H29" t="s">
        <v>6133</v>
      </c>
      <c r="I29">
        <v>2</v>
      </c>
      <c r="J29" t="s">
        <v>6134</v>
      </c>
      <c r="K29" t="s">
        <v>5491</v>
      </c>
      <c r="L29" t="s">
        <v>15</v>
      </c>
      <c r="M29" t="s">
        <v>5095</v>
      </c>
      <c r="N29" t="s">
        <v>4917</v>
      </c>
      <c r="O29" t="s">
        <v>6135</v>
      </c>
    </row>
    <row r="30" spans="1:15" ht="15" customHeight="1" x14ac:dyDescent="0.25">
      <c r="A30" t="s">
        <v>5499</v>
      </c>
      <c r="B30" t="s">
        <v>3404</v>
      </c>
      <c r="C30" t="s">
        <v>5023</v>
      </c>
      <c r="D30">
        <v>3</v>
      </c>
      <c r="E30" s="9" t="s">
        <v>5500</v>
      </c>
      <c r="F30" t="s">
        <v>6136</v>
      </c>
      <c r="G30" s="9" t="s">
        <v>5500</v>
      </c>
      <c r="H30" t="s">
        <v>6136</v>
      </c>
      <c r="I30">
        <v>2</v>
      </c>
      <c r="J30" t="s">
        <v>17</v>
      </c>
      <c r="K30" t="s">
        <v>5501</v>
      </c>
      <c r="L30" t="s">
        <v>15</v>
      </c>
      <c r="M30" t="s">
        <v>17</v>
      </c>
      <c r="N30" t="s">
        <v>17</v>
      </c>
      <c r="O30" t="s">
        <v>5502</v>
      </c>
    </row>
    <row r="31" spans="1:15" ht="15" customHeight="1" x14ac:dyDescent="0.25">
      <c r="A31" t="s">
        <v>4831</v>
      </c>
      <c r="B31" t="s">
        <v>3991</v>
      </c>
      <c r="C31" t="s">
        <v>3486</v>
      </c>
      <c r="D31" t="s">
        <v>4593</v>
      </c>
      <c r="E31" s="9" t="s">
        <v>5503</v>
      </c>
      <c r="F31" t="s">
        <v>6137</v>
      </c>
      <c r="G31" s="9" t="s">
        <v>17</v>
      </c>
      <c r="H31" t="s">
        <v>17</v>
      </c>
      <c r="I31" t="s">
        <v>17</v>
      </c>
      <c r="J31" t="s">
        <v>17</v>
      </c>
      <c r="K31" t="s">
        <v>4831</v>
      </c>
      <c r="L31" t="s">
        <v>15</v>
      </c>
      <c r="M31" t="s">
        <v>5127</v>
      </c>
      <c r="N31" t="s">
        <v>17</v>
      </c>
      <c r="O31" t="s">
        <v>6138</v>
      </c>
    </row>
    <row r="32" spans="1:15" ht="15" customHeight="1" x14ac:dyDescent="0.25">
      <c r="A32" t="s">
        <v>5505</v>
      </c>
      <c r="B32" t="s">
        <v>3423</v>
      </c>
      <c r="C32" t="s">
        <v>5023</v>
      </c>
      <c r="D32">
        <v>1</v>
      </c>
      <c r="E32" t="s">
        <v>5506</v>
      </c>
      <c r="F32" t="s">
        <v>6139</v>
      </c>
      <c r="G32" t="s">
        <v>5507</v>
      </c>
      <c r="H32" t="s">
        <v>6140</v>
      </c>
      <c r="I32">
        <v>1</v>
      </c>
      <c r="J32" t="s">
        <v>17</v>
      </c>
      <c r="K32" t="s">
        <v>5508</v>
      </c>
      <c r="L32" t="s">
        <v>15</v>
      </c>
      <c r="M32" t="s">
        <v>5160</v>
      </c>
      <c r="N32" t="s">
        <v>17</v>
      </c>
      <c r="O32" t="s">
        <v>5509</v>
      </c>
    </row>
    <row r="33" spans="1:15" ht="15" customHeight="1" x14ac:dyDescent="0.25">
      <c r="A33" t="s">
        <v>4833</v>
      </c>
      <c r="B33" t="s">
        <v>3404</v>
      </c>
      <c r="C33" t="s">
        <v>5023</v>
      </c>
      <c r="D33">
        <v>1</v>
      </c>
      <c r="E33" s="9" t="s">
        <v>6141</v>
      </c>
      <c r="F33" t="s">
        <v>6142</v>
      </c>
      <c r="G33" s="9" t="s">
        <v>6143</v>
      </c>
      <c r="H33" t="s">
        <v>6144</v>
      </c>
      <c r="I33">
        <v>1</v>
      </c>
      <c r="J33" t="s">
        <v>17</v>
      </c>
      <c r="K33" t="s">
        <v>4833</v>
      </c>
      <c r="L33" t="s">
        <v>15</v>
      </c>
      <c r="M33" t="s">
        <v>17</v>
      </c>
      <c r="N33" t="s">
        <v>17</v>
      </c>
      <c r="O33" t="s">
        <v>5502</v>
      </c>
    </row>
    <row r="34" spans="1:15" ht="15" customHeight="1" x14ac:dyDescent="0.25">
      <c r="A34" t="s">
        <v>5512</v>
      </c>
      <c r="B34" t="s">
        <v>3423</v>
      </c>
      <c r="C34" t="s">
        <v>5023</v>
      </c>
      <c r="D34">
        <v>0</v>
      </c>
      <c r="E34" s="9" t="s">
        <v>6145</v>
      </c>
      <c r="F34" t="s">
        <v>6146</v>
      </c>
      <c r="G34" s="9" t="s">
        <v>6147</v>
      </c>
      <c r="H34" t="s">
        <v>6148</v>
      </c>
      <c r="I34">
        <v>0</v>
      </c>
      <c r="J34" t="s">
        <v>17</v>
      </c>
      <c r="K34" t="s">
        <v>5515</v>
      </c>
      <c r="L34" t="s">
        <v>15</v>
      </c>
      <c r="M34" t="s">
        <v>17</v>
      </c>
      <c r="N34" t="s">
        <v>17</v>
      </c>
      <c r="O34" t="s">
        <v>5516</v>
      </c>
    </row>
    <row r="35" spans="1:15" ht="15" customHeight="1" x14ac:dyDescent="0.25">
      <c r="A35" t="s">
        <v>5519</v>
      </c>
      <c r="B35" t="s">
        <v>3423</v>
      </c>
      <c r="C35" t="s">
        <v>5401</v>
      </c>
      <c r="D35">
        <v>2</v>
      </c>
      <c r="E35" t="s">
        <v>6149</v>
      </c>
      <c r="F35" t="s">
        <v>6150</v>
      </c>
      <c r="G35" t="s">
        <v>5521</v>
      </c>
      <c r="H35" t="s">
        <v>6151</v>
      </c>
      <c r="I35">
        <v>2</v>
      </c>
      <c r="J35" t="s">
        <v>6102</v>
      </c>
      <c r="K35" t="s">
        <v>5519</v>
      </c>
      <c r="L35" t="s">
        <v>15</v>
      </c>
      <c r="M35" t="s">
        <v>5086</v>
      </c>
      <c r="N35" t="s">
        <v>17</v>
      </c>
      <c r="O35" t="s">
        <v>5414</v>
      </c>
    </row>
    <row r="36" spans="1:15" ht="15" customHeight="1" x14ac:dyDescent="0.25">
      <c r="A36" t="s">
        <v>5522</v>
      </c>
      <c r="B36" t="s">
        <v>3423</v>
      </c>
      <c r="C36" t="s">
        <v>5023</v>
      </c>
      <c r="D36">
        <v>1</v>
      </c>
      <c r="E36" s="9" t="s">
        <v>6152</v>
      </c>
      <c r="F36" t="s">
        <v>6153</v>
      </c>
      <c r="G36" s="9" t="s">
        <v>6154</v>
      </c>
      <c r="H36" t="s">
        <v>6155</v>
      </c>
      <c r="I36">
        <v>1</v>
      </c>
      <c r="J36" t="s">
        <v>17</v>
      </c>
      <c r="K36" t="s">
        <v>5522</v>
      </c>
      <c r="L36" t="s">
        <v>15</v>
      </c>
      <c r="M36" t="s">
        <v>5160</v>
      </c>
      <c r="N36" t="s">
        <v>17</v>
      </c>
      <c r="O36" t="s">
        <v>6156</v>
      </c>
    </row>
    <row r="37" spans="1:15" ht="15" customHeight="1" x14ac:dyDescent="0.25">
      <c r="A37" t="s">
        <v>5525</v>
      </c>
      <c r="B37" t="s">
        <v>3423</v>
      </c>
      <c r="C37" t="s">
        <v>5401</v>
      </c>
      <c r="D37">
        <v>2</v>
      </c>
      <c r="E37" s="9" t="s">
        <v>5526</v>
      </c>
      <c r="F37" t="s">
        <v>6157</v>
      </c>
      <c r="G37" s="9" t="s">
        <v>5527</v>
      </c>
      <c r="H37" t="s">
        <v>6158</v>
      </c>
      <c r="I37">
        <v>2</v>
      </c>
      <c r="J37" t="s">
        <v>6079</v>
      </c>
      <c r="K37" t="s">
        <v>5525</v>
      </c>
      <c r="L37" t="s">
        <v>15</v>
      </c>
      <c r="M37" t="s">
        <v>17</v>
      </c>
      <c r="N37" t="s">
        <v>17</v>
      </c>
      <c r="O37" t="s">
        <v>5528</v>
      </c>
    </row>
    <row r="38" spans="1:15" ht="15" customHeight="1" x14ac:dyDescent="0.25">
      <c r="A38" t="s">
        <v>5529</v>
      </c>
      <c r="B38" t="s">
        <v>3411</v>
      </c>
      <c r="C38" t="s">
        <v>5401</v>
      </c>
      <c r="D38">
        <v>0</v>
      </c>
      <c r="E38" s="9" t="s">
        <v>6159</v>
      </c>
      <c r="F38" t="s">
        <v>6160</v>
      </c>
      <c r="G38" s="9" t="s">
        <v>6161</v>
      </c>
      <c r="H38" t="s">
        <v>6162</v>
      </c>
      <c r="I38">
        <v>0</v>
      </c>
      <c r="J38" t="s">
        <v>6163</v>
      </c>
      <c r="K38" t="s">
        <v>5529</v>
      </c>
      <c r="L38" t="s">
        <v>15</v>
      </c>
      <c r="M38" t="s">
        <v>17</v>
      </c>
      <c r="N38" t="s">
        <v>17</v>
      </c>
      <c r="O38" t="s">
        <v>5414</v>
      </c>
    </row>
    <row r="39" spans="1:15" ht="15" customHeight="1" x14ac:dyDescent="0.25">
      <c r="A39" t="s">
        <v>5532</v>
      </c>
      <c r="B39" t="s">
        <v>3411</v>
      </c>
      <c r="C39" t="s">
        <v>5401</v>
      </c>
      <c r="D39">
        <v>0</v>
      </c>
      <c r="E39" t="s">
        <v>5533</v>
      </c>
      <c r="F39" t="s">
        <v>6164</v>
      </c>
      <c r="G39" t="s">
        <v>5534</v>
      </c>
      <c r="H39" t="s">
        <v>6165</v>
      </c>
      <c r="I39">
        <v>0</v>
      </c>
      <c r="J39" t="s">
        <v>6163</v>
      </c>
      <c r="K39" t="s">
        <v>5532</v>
      </c>
      <c r="L39" t="s">
        <v>15</v>
      </c>
      <c r="M39" t="s">
        <v>17</v>
      </c>
      <c r="N39" t="s">
        <v>17</v>
      </c>
      <c r="O39" t="s">
        <v>5535</v>
      </c>
    </row>
    <row r="40" spans="1:15" ht="15" customHeight="1" x14ac:dyDescent="0.25">
      <c r="A40" t="s">
        <v>5074</v>
      </c>
      <c r="B40" t="s">
        <v>3411</v>
      </c>
      <c r="C40" t="s">
        <v>5401</v>
      </c>
      <c r="D40">
        <v>1</v>
      </c>
      <c r="E40" t="s">
        <v>5536</v>
      </c>
      <c r="F40" t="s">
        <v>6166</v>
      </c>
      <c r="G40" t="s">
        <v>5537</v>
      </c>
      <c r="H40" t="s">
        <v>6167</v>
      </c>
      <c r="I40">
        <v>1</v>
      </c>
      <c r="J40" t="s">
        <v>6168</v>
      </c>
      <c r="K40" t="s">
        <v>5074</v>
      </c>
      <c r="L40" t="s">
        <v>15</v>
      </c>
      <c r="M40" t="s">
        <v>17</v>
      </c>
      <c r="N40" t="s">
        <v>17</v>
      </c>
      <c r="O40" t="s">
        <v>6169</v>
      </c>
    </row>
    <row r="41" spans="1:15" ht="15" customHeight="1" x14ac:dyDescent="0.25">
      <c r="A41" t="s">
        <v>5539</v>
      </c>
      <c r="B41" t="s">
        <v>3411</v>
      </c>
      <c r="C41" t="s">
        <v>5023</v>
      </c>
      <c r="D41">
        <v>1</v>
      </c>
      <c r="E41" t="s">
        <v>5540</v>
      </c>
      <c r="F41" t="s">
        <v>6170</v>
      </c>
      <c r="G41" t="s">
        <v>5541</v>
      </c>
      <c r="H41" t="s">
        <v>6171</v>
      </c>
      <c r="I41">
        <v>1</v>
      </c>
      <c r="J41" t="s">
        <v>17</v>
      </c>
      <c r="K41" t="s">
        <v>5542</v>
      </c>
      <c r="L41" t="s">
        <v>15</v>
      </c>
      <c r="M41" t="s">
        <v>17</v>
      </c>
      <c r="N41" t="s">
        <v>17</v>
      </c>
      <c r="O41" t="s">
        <v>5396</v>
      </c>
    </row>
    <row r="42" spans="1:15" ht="15" customHeight="1" x14ac:dyDescent="0.25">
      <c r="A42" t="s">
        <v>5543</v>
      </c>
      <c r="B42" t="s">
        <v>3411</v>
      </c>
      <c r="C42" t="s">
        <v>5401</v>
      </c>
      <c r="D42">
        <v>2</v>
      </c>
      <c r="E42" s="9" t="s">
        <v>6172</v>
      </c>
      <c r="F42" t="s">
        <v>6173</v>
      </c>
      <c r="G42" s="9" t="s">
        <v>6174</v>
      </c>
      <c r="H42" t="s">
        <v>6175</v>
      </c>
      <c r="I42" t="s">
        <v>17</v>
      </c>
      <c r="J42" t="s">
        <v>6088</v>
      </c>
      <c r="K42" t="s">
        <v>5543</v>
      </c>
      <c r="L42" t="s">
        <v>15</v>
      </c>
      <c r="M42" t="s">
        <v>17</v>
      </c>
      <c r="N42" t="s">
        <v>17</v>
      </c>
      <c r="O42" t="s">
        <v>5546</v>
      </c>
    </row>
    <row r="43" spans="1:15" ht="15" customHeight="1" x14ac:dyDescent="0.25">
      <c r="A43" t="s">
        <v>5547</v>
      </c>
      <c r="B43" t="s">
        <v>3991</v>
      </c>
      <c r="C43" t="s">
        <v>0</v>
      </c>
      <c r="D43" t="s">
        <v>4593</v>
      </c>
      <c r="E43" t="s">
        <v>5548</v>
      </c>
      <c r="F43" t="s">
        <v>6176</v>
      </c>
      <c r="G43" t="s">
        <v>17</v>
      </c>
      <c r="H43" t="s">
        <v>17</v>
      </c>
      <c r="I43" t="s">
        <v>17</v>
      </c>
      <c r="J43" t="s">
        <v>17</v>
      </c>
      <c r="K43" t="s">
        <v>5547</v>
      </c>
      <c r="L43" t="s">
        <v>15</v>
      </c>
      <c r="M43" t="s">
        <v>6177</v>
      </c>
      <c r="N43" t="s">
        <v>17</v>
      </c>
      <c r="O43" t="s">
        <v>5549</v>
      </c>
    </row>
    <row r="44" spans="1:15" ht="15" customHeight="1" x14ac:dyDescent="0.25">
      <c r="A44" t="s">
        <v>5557</v>
      </c>
      <c r="B44" t="s">
        <v>3423</v>
      </c>
      <c r="C44" t="s">
        <v>5023</v>
      </c>
      <c r="D44">
        <v>0</v>
      </c>
      <c r="E44" s="9" t="s">
        <v>6178</v>
      </c>
      <c r="F44" t="s">
        <v>6179</v>
      </c>
      <c r="G44" s="9" t="s">
        <v>6180</v>
      </c>
      <c r="H44" t="s">
        <v>6181</v>
      </c>
      <c r="I44" t="s">
        <v>17</v>
      </c>
      <c r="J44" t="s">
        <v>17</v>
      </c>
      <c r="K44" t="s">
        <v>5557</v>
      </c>
      <c r="L44" t="s">
        <v>15</v>
      </c>
      <c r="M44" t="s">
        <v>17</v>
      </c>
      <c r="N44" t="s">
        <v>17</v>
      </c>
      <c r="O44" t="s">
        <v>6182</v>
      </c>
    </row>
    <row r="45" spans="1:15" ht="15" customHeight="1" x14ac:dyDescent="0.25">
      <c r="A45" t="s">
        <v>4842</v>
      </c>
      <c r="B45" t="s">
        <v>3404</v>
      </c>
      <c r="C45" t="s">
        <v>5023</v>
      </c>
      <c r="D45">
        <v>2</v>
      </c>
      <c r="E45" s="9" t="s">
        <v>5561</v>
      </c>
      <c r="F45" t="s">
        <v>6183</v>
      </c>
      <c r="G45" s="9" t="s">
        <v>5562</v>
      </c>
      <c r="H45" t="s">
        <v>6184</v>
      </c>
      <c r="I45">
        <v>2</v>
      </c>
      <c r="J45" t="s">
        <v>6185</v>
      </c>
      <c r="K45" t="s">
        <v>4844</v>
      </c>
      <c r="L45" t="s">
        <v>15</v>
      </c>
      <c r="M45" t="s">
        <v>17</v>
      </c>
      <c r="N45" t="s">
        <v>17</v>
      </c>
      <c r="O45" t="s">
        <v>6186</v>
      </c>
    </row>
    <row r="46" spans="1:15" ht="15" customHeight="1" x14ac:dyDescent="0.25">
      <c r="A46" t="s">
        <v>5566</v>
      </c>
      <c r="B46" t="s">
        <v>3423</v>
      </c>
      <c r="C46" t="s">
        <v>5023</v>
      </c>
      <c r="D46">
        <v>0</v>
      </c>
      <c r="E46" s="9" t="s">
        <v>6187</v>
      </c>
      <c r="F46" t="s">
        <v>6188</v>
      </c>
      <c r="G46" s="9" t="s">
        <v>6189</v>
      </c>
      <c r="H46" t="s">
        <v>6190</v>
      </c>
      <c r="I46" t="s">
        <v>17</v>
      </c>
      <c r="J46" t="s">
        <v>6191</v>
      </c>
      <c r="K46" t="s">
        <v>5569</v>
      </c>
      <c r="L46" t="s">
        <v>15</v>
      </c>
      <c r="M46" t="s">
        <v>5160</v>
      </c>
      <c r="N46" t="s">
        <v>17</v>
      </c>
      <c r="O46" t="s">
        <v>6192</v>
      </c>
    </row>
    <row r="47" spans="1:15" ht="15" customHeight="1" x14ac:dyDescent="0.25">
      <c r="A47" t="s">
        <v>5571</v>
      </c>
      <c r="B47" t="s">
        <v>3411</v>
      </c>
      <c r="C47" t="s">
        <v>5401</v>
      </c>
      <c r="D47">
        <v>1</v>
      </c>
      <c r="E47" t="s">
        <v>5572</v>
      </c>
      <c r="F47" t="s">
        <v>6193</v>
      </c>
      <c r="G47" t="s">
        <v>5573</v>
      </c>
      <c r="H47" t="s">
        <v>6194</v>
      </c>
      <c r="I47">
        <v>1</v>
      </c>
      <c r="J47" t="s">
        <v>6195</v>
      </c>
      <c r="K47" t="s">
        <v>5574</v>
      </c>
      <c r="L47" t="s">
        <v>15</v>
      </c>
      <c r="M47" t="s">
        <v>17</v>
      </c>
      <c r="N47" t="s">
        <v>17</v>
      </c>
      <c r="O47" t="s">
        <v>5575</v>
      </c>
    </row>
    <row r="48" spans="1:15" ht="15" customHeight="1" x14ac:dyDescent="0.25">
      <c r="A48" t="s">
        <v>5576</v>
      </c>
      <c r="B48" t="s">
        <v>3411</v>
      </c>
      <c r="C48" t="s">
        <v>5401</v>
      </c>
      <c r="D48">
        <v>1</v>
      </c>
      <c r="E48" t="s">
        <v>5577</v>
      </c>
      <c r="F48" t="s">
        <v>6196</v>
      </c>
      <c r="G48" t="s">
        <v>5578</v>
      </c>
      <c r="H48" t="s">
        <v>6197</v>
      </c>
      <c r="I48">
        <v>1</v>
      </c>
      <c r="J48" t="s">
        <v>6096</v>
      </c>
      <c r="K48" t="s">
        <v>5579</v>
      </c>
      <c r="L48" t="s">
        <v>15</v>
      </c>
      <c r="M48" t="s">
        <v>17</v>
      </c>
      <c r="N48" t="s">
        <v>17</v>
      </c>
      <c r="O48" t="s">
        <v>5580</v>
      </c>
    </row>
    <row r="49" spans="1:15" ht="15" customHeight="1" x14ac:dyDescent="0.25">
      <c r="A49" t="s">
        <v>3339</v>
      </c>
      <c r="B49" t="s">
        <v>3423</v>
      </c>
      <c r="C49" t="s">
        <v>5401</v>
      </c>
      <c r="D49">
        <v>2</v>
      </c>
      <c r="E49" s="9" t="s">
        <v>5584</v>
      </c>
      <c r="F49" t="s">
        <v>6198</v>
      </c>
      <c r="G49" s="9" t="s">
        <v>5585</v>
      </c>
      <c r="H49" t="s">
        <v>6199</v>
      </c>
      <c r="I49">
        <v>2</v>
      </c>
      <c r="J49" t="s">
        <v>6071</v>
      </c>
      <c r="K49" t="s">
        <v>3339</v>
      </c>
      <c r="L49" t="s">
        <v>15</v>
      </c>
      <c r="M49" t="s">
        <v>17</v>
      </c>
      <c r="N49" t="s">
        <v>17</v>
      </c>
      <c r="O49" t="s">
        <v>5586</v>
      </c>
    </row>
    <row r="50" spans="1:15" ht="15" customHeight="1" x14ac:dyDescent="0.25">
      <c r="A50" t="s">
        <v>5587</v>
      </c>
      <c r="B50" t="s">
        <v>3991</v>
      </c>
      <c r="C50" t="s">
        <v>3486</v>
      </c>
      <c r="D50" t="s">
        <v>4593</v>
      </c>
      <c r="E50" s="9" t="s">
        <v>6200</v>
      </c>
      <c r="F50" t="s">
        <v>6176</v>
      </c>
      <c r="G50" s="9" t="s">
        <v>17</v>
      </c>
      <c r="H50" t="s">
        <v>17</v>
      </c>
      <c r="I50" t="s">
        <v>17</v>
      </c>
      <c r="J50" t="s">
        <v>17</v>
      </c>
      <c r="K50" t="s">
        <v>5587</v>
      </c>
      <c r="L50" t="s">
        <v>15</v>
      </c>
      <c r="M50" t="s">
        <v>5086</v>
      </c>
      <c r="N50" t="s">
        <v>17</v>
      </c>
      <c r="O50" t="s">
        <v>6138</v>
      </c>
    </row>
    <row r="51" spans="1:15" ht="15" customHeight="1" x14ac:dyDescent="0.25">
      <c r="A51" t="s">
        <v>5589</v>
      </c>
      <c r="B51" t="s">
        <v>3411</v>
      </c>
      <c r="C51" t="s">
        <v>5023</v>
      </c>
      <c r="D51">
        <v>1</v>
      </c>
      <c r="E51" s="9" t="s">
        <v>5590</v>
      </c>
      <c r="F51" t="s">
        <v>6201</v>
      </c>
      <c r="G51" s="9" t="s">
        <v>5591</v>
      </c>
      <c r="H51" t="s">
        <v>6202</v>
      </c>
      <c r="I51">
        <v>1</v>
      </c>
      <c r="J51" t="s">
        <v>17</v>
      </c>
      <c r="K51" t="s">
        <v>5592</v>
      </c>
      <c r="L51" t="s">
        <v>15</v>
      </c>
      <c r="M51" t="s">
        <v>17</v>
      </c>
      <c r="N51" t="s">
        <v>17</v>
      </c>
      <c r="O51" t="s">
        <v>6135</v>
      </c>
    </row>
    <row r="52" spans="1:15" ht="15" customHeight="1" x14ac:dyDescent="0.25">
      <c r="A52" t="s">
        <v>4807</v>
      </c>
      <c r="B52" t="s">
        <v>3991</v>
      </c>
      <c r="C52" t="s">
        <v>0</v>
      </c>
      <c r="D52" t="s">
        <v>4593</v>
      </c>
      <c r="E52" t="s">
        <v>5593</v>
      </c>
      <c r="F52" t="s">
        <v>6137</v>
      </c>
      <c r="G52" t="s">
        <v>17</v>
      </c>
      <c r="H52" t="s">
        <v>17</v>
      </c>
      <c r="I52" t="s">
        <v>17</v>
      </c>
      <c r="J52" t="s">
        <v>17</v>
      </c>
      <c r="K52" t="s">
        <v>4807</v>
      </c>
      <c r="L52" t="s">
        <v>15</v>
      </c>
      <c r="M52" t="s">
        <v>5127</v>
      </c>
      <c r="N52" t="s">
        <v>17</v>
      </c>
      <c r="O52" t="s">
        <v>5549</v>
      </c>
    </row>
    <row r="53" spans="1:15" ht="15" customHeight="1" x14ac:dyDescent="0.25">
      <c r="A53" t="s">
        <v>6203</v>
      </c>
      <c r="B53" t="s">
        <v>3436</v>
      </c>
      <c r="C53" t="s">
        <v>5023</v>
      </c>
      <c r="D53">
        <v>1</v>
      </c>
      <c r="E53" t="s">
        <v>5595</v>
      </c>
      <c r="F53" t="s">
        <v>6204</v>
      </c>
      <c r="G53" t="s">
        <v>5596</v>
      </c>
      <c r="H53" t="s">
        <v>6205</v>
      </c>
      <c r="I53">
        <v>1</v>
      </c>
      <c r="J53" t="s">
        <v>17</v>
      </c>
      <c r="K53" t="s">
        <v>6206</v>
      </c>
      <c r="L53" t="s">
        <v>15</v>
      </c>
      <c r="M53" t="s">
        <v>17</v>
      </c>
      <c r="N53" t="s">
        <v>17</v>
      </c>
      <c r="O53" t="s">
        <v>6207</v>
      </c>
    </row>
    <row r="54" spans="1:15" ht="15" customHeight="1" x14ac:dyDescent="0.25">
      <c r="A54" t="s">
        <v>6208</v>
      </c>
      <c r="B54" t="s">
        <v>3436</v>
      </c>
      <c r="C54" t="s">
        <v>5023</v>
      </c>
      <c r="D54">
        <v>1</v>
      </c>
      <c r="E54" t="s">
        <v>5595</v>
      </c>
      <c r="F54" t="s">
        <v>6204</v>
      </c>
      <c r="G54" t="s">
        <v>5596</v>
      </c>
      <c r="H54" t="s">
        <v>6205</v>
      </c>
      <c r="I54">
        <v>1</v>
      </c>
      <c r="J54" t="s">
        <v>17</v>
      </c>
      <c r="K54" t="s">
        <v>6209</v>
      </c>
      <c r="L54" t="s">
        <v>15</v>
      </c>
      <c r="M54" t="s">
        <v>17</v>
      </c>
      <c r="N54" t="s">
        <v>17</v>
      </c>
      <c r="O54" t="s">
        <v>6207</v>
      </c>
    </row>
    <row r="55" spans="1:15" ht="15" customHeight="1" x14ac:dyDescent="0.25">
      <c r="A55" t="s">
        <v>5599</v>
      </c>
      <c r="B55" t="s">
        <v>3411</v>
      </c>
      <c r="C55" t="s">
        <v>5023</v>
      </c>
      <c r="D55">
        <v>0</v>
      </c>
      <c r="E55" s="9" t="s">
        <v>5600</v>
      </c>
      <c r="F55" t="s">
        <v>6210</v>
      </c>
      <c r="G55" s="9" t="s">
        <v>6211</v>
      </c>
      <c r="H55" t="s">
        <v>6212</v>
      </c>
      <c r="I55">
        <v>0</v>
      </c>
      <c r="J55" t="s">
        <v>17</v>
      </c>
      <c r="K55" t="s">
        <v>5599</v>
      </c>
      <c r="L55" t="s">
        <v>15</v>
      </c>
      <c r="M55" t="s">
        <v>17</v>
      </c>
      <c r="N55" t="s">
        <v>17</v>
      </c>
      <c r="O55" t="s">
        <v>5396</v>
      </c>
    </row>
    <row r="56" spans="1:15" ht="15" customHeight="1" x14ac:dyDescent="0.25">
      <c r="A56" t="s">
        <v>4232</v>
      </c>
      <c r="B56" t="s">
        <v>3423</v>
      </c>
      <c r="C56" t="s">
        <v>5401</v>
      </c>
      <c r="D56">
        <v>1</v>
      </c>
      <c r="E56" t="s">
        <v>6213</v>
      </c>
      <c r="F56" t="s">
        <v>6214</v>
      </c>
      <c r="G56" t="s">
        <v>6213</v>
      </c>
      <c r="H56" t="s">
        <v>6214</v>
      </c>
      <c r="I56">
        <v>1</v>
      </c>
      <c r="J56" t="s">
        <v>6071</v>
      </c>
      <c r="K56" t="s">
        <v>4232</v>
      </c>
      <c r="L56" t="s">
        <v>1524</v>
      </c>
      <c r="M56" t="s">
        <v>5089</v>
      </c>
      <c r="N56" t="s">
        <v>17</v>
      </c>
      <c r="O56" t="s">
        <v>5434</v>
      </c>
    </row>
    <row r="57" spans="1:15" ht="15" customHeight="1" x14ac:dyDescent="0.25">
      <c r="A57" t="s">
        <v>5608</v>
      </c>
      <c r="B57" t="s">
        <v>3404</v>
      </c>
      <c r="C57" t="s">
        <v>5401</v>
      </c>
      <c r="D57">
        <v>1</v>
      </c>
      <c r="E57" t="s">
        <v>5609</v>
      </c>
      <c r="F57" t="s">
        <v>6215</v>
      </c>
      <c r="G57" t="s">
        <v>5610</v>
      </c>
      <c r="H57" t="s">
        <v>6216</v>
      </c>
      <c r="I57">
        <v>1</v>
      </c>
      <c r="J57" t="s">
        <v>6217</v>
      </c>
      <c r="K57" t="s">
        <v>5611</v>
      </c>
      <c r="L57" t="s">
        <v>15</v>
      </c>
      <c r="M57" t="s">
        <v>5160</v>
      </c>
      <c r="N57" t="s">
        <v>17</v>
      </c>
      <c r="O57" t="s">
        <v>5612</v>
      </c>
    </row>
    <row r="58" spans="1:15" ht="15" customHeight="1" x14ac:dyDescent="0.25">
      <c r="A58" t="s">
        <v>5613</v>
      </c>
      <c r="B58" t="s">
        <v>3423</v>
      </c>
      <c r="C58" t="s">
        <v>5023</v>
      </c>
      <c r="D58">
        <v>1</v>
      </c>
      <c r="E58" s="9" t="s">
        <v>5614</v>
      </c>
      <c r="F58" t="s">
        <v>6218</v>
      </c>
      <c r="G58" s="9" t="s">
        <v>5615</v>
      </c>
      <c r="H58" t="s">
        <v>6219</v>
      </c>
      <c r="I58">
        <v>1</v>
      </c>
      <c r="J58" t="s">
        <v>17</v>
      </c>
      <c r="K58" t="s">
        <v>5613</v>
      </c>
      <c r="L58" t="s">
        <v>15</v>
      </c>
      <c r="M58" t="s">
        <v>5160</v>
      </c>
      <c r="N58" t="s">
        <v>17</v>
      </c>
      <c r="O58" t="s">
        <v>5616</v>
      </c>
    </row>
    <row r="59" spans="1:15" ht="15" customHeight="1" x14ac:dyDescent="0.25">
      <c r="A59" t="s">
        <v>5617</v>
      </c>
      <c r="B59" t="s">
        <v>3423</v>
      </c>
      <c r="C59" t="s">
        <v>5023</v>
      </c>
      <c r="D59">
        <v>1</v>
      </c>
      <c r="E59" s="9" t="s">
        <v>5618</v>
      </c>
      <c r="F59" t="s">
        <v>6220</v>
      </c>
      <c r="G59" s="9" t="s">
        <v>5618</v>
      </c>
      <c r="H59" t="s">
        <v>6220</v>
      </c>
      <c r="I59">
        <v>0</v>
      </c>
      <c r="J59" t="s">
        <v>17</v>
      </c>
      <c r="K59" t="s">
        <v>5617</v>
      </c>
      <c r="L59" t="s">
        <v>15</v>
      </c>
      <c r="M59" t="s">
        <v>5160</v>
      </c>
      <c r="N59" t="s">
        <v>17</v>
      </c>
      <c r="O59" t="s">
        <v>5619</v>
      </c>
    </row>
    <row r="60" spans="1:15" ht="15" customHeight="1" x14ac:dyDescent="0.25">
      <c r="A60" t="s">
        <v>5620</v>
      </c>
      <c r="B60" t="s">
        <v>3411</v>
      </c>
      <c r="C60" t="s">
        <v>5023</v>
      </c>
      <c r="D60">
        <v>1</v>
      </c>
      <c r="E60" s="9" t="s">
        <v>6221</v>
      </c>
      <c r="F60" t="s">
        <v>6222</v>
      </c>
      <c r="G60" s="9" t="s">
        <v>6223</v>
      </c>
      <c r="H60" t="s">
        <v>6224</v>
      </c>
      <c r="I60">
        <v>1</v>
      </c>
      <c r="J60" t="s">
        <v>17</v>
      </c>
      <c r="K60" t="s">
        <v>5623</v>
      </c>
      <c r="L60" t="s">
        <v>15</v>
      </c>
      <c r="M60" t="s">
        <v>17</v>
      </c>
      <c r="N60" t="s">
        <v>17</v>
      </c>
      <c r="O60" t="s">
        <v>5396</v>
      </c>
    </row>
    <row r="61" spans="1:15" ht="15" customHeight="1" x14ac:dyDescent="0.25">
      <c r="A61" t="s">
        <v>5624</v>
      </c>
      <c r="B61" t="s">
        <v>3404</v>
      </c>
      <c r="C61" t="s">
        <v>5023</v>
      </c>
      <c r="D61" t="s">
        <v>5625</v>
      </c>
      <c r="E61" s="9" t="s">
        <v>6225</v>
      </c>
      <c r="F61" t="s">
        <v>6226</v>
      </c>
      <c r="G61" s="9" t="s">
        <v>6227</v>
      </c>
      <c r="H61" t="s">
        <v>6228</v>
      </c>
      <c r="I61" t="s">
        <v>17</v>
      </c>
      <c r="J61" t="s">
        <v>17</v>
      </c>
      <c r="K61" t="s">
        <v>5624</v>
      </c>
      <c r="L61" t="s">
        <v>15</v>
      </c>
      <c r="M61" t="s">
        <v>5160</v>
      </c>
      <c r="N61" t="s">
        <v>17</v>
      </c>
      <c r="O61" t="s">
        <v>5628</v>
      </c>
    </row>
    <row r="62" spans="1:15" ht="15" customHeight="1" x14ac:dyDescent="0.25">
      <c r="A62" t="s">
        <v>5027</v>
      </c>
      <c r="B62" t="s">
        <v>3404</v>
      </c>
      <c r="C62" t="s">
        <v>5023</v>
      </c>
      <c r="D62">
        <v>1</v>
      </c>
      <c r="E62" s="9" t="s">
        <v>5629</v>
      </c>
      <c r="F62" t="s">
        <v>6229</v>
      </c>
      <c r="G62" s="9" t="s">
        <v>5630</v>
      </c>
      <c r="H62" t="s">
        <v>6230</v>
      </c>
      <c r="I62">
        <v>1</v>
      </c>
      <c r="J62" t="s">
        <v>17</v>
      </c>
      <c r="K62" t="s">
        <v>5029</v>
      </c>
      <c r="L62" t="s">
        <v>15</v>
      </c>
      <c r="M62" t="s">
        <v>17</v>
      </c>
      <c r="N62" t="s">
        <v>17</v>
      </c>
      <c r="O62" t="s">
        <v>5414</v>
      </c>
    </row>
    <row r="63" spans="1:15" ht="15" customHeight="1" x14ac:dyDescent="0.25">
      <c r="A63" t="s">
        <v>5632</v>
      </c>
      <c r="B63" t="s">
        <v>3991</v>
      </c>
      <c r="C63" t="s">
        <v>0</v>
      </c>
      <c r="D63" t="s">
        <v>4593</v>
      </c>
      <c r="E63" t="s">
        <v>5633</v>
      </c>
      <c r="F63" t="s">
        <v>6231</v>
      </c>
      <c r="G63" t="s">
        <v>17</v>
      </c>
      <c r="H63" t="s">
        <v>17</v>
      </c>
      <c r="I63" t="s">
        <v>17</v>
      </c>
      <c r="J63" t="s">
        <v>17</v>
      </c>
      <c r="K63" t="s">
        <v>5632</v>
      </c>
      <c r="L63" t="s">
        <v>15</v>
      </c>
      <c r="M63" t="s">
        <v>5127</v>
      </c>
      <c r="N63" t="s">
        <v>17</v>
      </c>
      <c r="O63" t="s">
        <v>5549</v>
      </c>
    </row>
    <row r="64" spans="1:15" ht="15" customHeight="1" x14ac:dyDescent="0.25">
      <c r="A64" t="s">
        <v>5634</v>
      </c>
      <c r="B64" t="s">
        <v>3423</v>
      </c>
      <c r="C64" t="s">
        <v>5401</v>
      </c>
      <c r="D64">
        <v>1</v>
      </c>
      <c r="E64" s="9" t="s">
        <v>6232</v>
      </c>
      <c r="F64" t="s">
        <v>6233</v>
      </c>
      <c r="G64" s="9" t="s">
        <v>6234</v>
      </c>
      <c r="H64" t="s">
        <v>6235</v>
      </c>
      <c r="I64">
        <v>1</v>
      </c>
      <c r="J64" t="s">
        <v>6071</v>
      </c>
      <c r="K64" t="s">
        <v>5634</v>
      </c>
      <c r="L64" t="s">
        <v>15</v>
      </c>
      <c r="M64" t="s">
        <v>17</v>
      </c>
      <c r="N64" t="s">
        <v>17</v>
      </c>
      <c r="O64" t="s">
        <v>5637</v>
      </c>
    </row>
    <row r="65" spans="1:15" ht="15" customHeight="1" x14ac:dyDescent="0.25">
      <c r="A65" t="s">
        <v>5642</v>
      </c>
      <c r="B65" t="s">
        <v>3423</v>
      </c>
      <c r="C65" t="s">
        <v>5023</v>
      </c>
      <c r="D65">
        <v>1</v>
      </c>
      <c r="E65" s="9" t="s">
        <v>5643</v>
      </c>
      <c r="F65" t="s">
        <v>6236</v>
      </c>
      <c r="G65" s="9" t="s">
        <v>5644</v>
      </c>
      <c r="H65" t="s">
        <v>6237</v>
      </c>
      <c r="I65">
        <v>1</v>
      </c>
      <c r="J65" t="s">
        <v>17</v>
      </c>
      <c r="K65" t="s">
        <v>5645</v>
      </c>
      <c r="L65" t="s">
        <v>15</v>
      </c>
      <c r="M65" t="s">
        <v>17</v>
      </c>
      <c r="N65" t="s">
        <v>17</v>
      </c>
      <c r="O65" t="s">
        <v>5442</v>
      </c>
    </row>
    <row r="66" spans="1:15" ht="15" customHeight="1" x14ac:dyDescent="0.25">
      <c r="A66" t="s">
        <v>5646</v>
      </c>
      <c r="B66" t="s">
        <v>3423</v>
      </c>
      <c r="C66" t="s">
        <v>5401</v>
      </c>
      <c r="D66">
        <v>0</v>
      </c>
      <c r="E66" s="9" t="s">
        <v>6238</v>
      </c>
      <c r="F66" t="s">
        <v>6239</v>
      </c>
      <c r="G66" s="9" t="s">
        <v>6240</v>
      </c>
      <c r="H66" t="s">
        <v>6241</v>
      </c>
      <c r="I66">
        <v>0</v>
      </c>
      <c r="J66" t="s">
        <v>6129</v>
      </c>
      <c r="K66" t="s">
        <v>5649</v>
      </c>
      <c r="L66" t="s">
        <v>15</v>
      </c>
      <c r="M66" t="s">
        <v>5160</v>
      </c>
      <c r="N66" t="s">
        <v>17</v>
      </c>
      <c r="O66" t="s">
        <v>5456</v>
      </c>
    </row>
    <row r="67" spans="1:15" x14ac:dyDescent="0.25">
      <c r="A67" t="s">
        <v>5650</v>
      </c>
      <c r="B67" t="s">
        <v>3423</v>
      </c>
      <c r="C67" t="s">
        <v>5023</v>
      </c>
      <c r="D67">
        <v>2</v>
      </c>
      <c r="E67" s="9" t="s">
        <v>5651</v>
      </c>
      <c r="F67" t="s">
        <v>6242</v>
      </c>
      <c r="G67" s="9" t="s">
        <v>5651</v>
      </c>
      <c r="H67" t="s">
        <v>6242</v>
      </c>
      <c r="I67">
        <v>1</v>
      </c>
      <c r="J67" t="s">
        <v>17</v>
      </c>
      <c r="K67" t="s">
        <v>5650</v>
      </c>
      <c r="L67" t="s">
        <v>15</v>
      </c>
      <c r="M67" t="s">
        <v>17</v>
      </c>
      <c r="N67" t="s">
        <v>17</v>
      </c>
      <c r="O67" t="s">
        <v>5418</v>
      </c>
    </row>
    <row r="68" spans="1:15" x14ac:dyDescent="0.25">
      <c r="A68" t="s">
        <v>4859</v>
      </c>
      <c r="B68" t="s">
        <v>3404</v>
      </c>
      <c r="C68" t="s">
        <v>4247</v>
      </c>
      <c r="D68">
        <v>2</v>
      </c>
      <c r="E68" s="9" t="s">
        <v>6243</v>
      </c>
      <c r="F68" t="s">
        <v>6244</v>
      </c>
      <c r="G68" s="9" t="s">
        <v>6243</v>
      </c>
      <c r="H68" t="s">
        <v>6244</v>
      </c>
      <c r="I68">
        <v>1</v>
      </c>
      <c r="J68" t="s">
        <v>17</v>
      </c>
      <c r="K68" t="s">
        <v>4859</v>
      </c>
      <c r="L68" t="s">
        <v>15</v>
      </c>
      <c r="M68" t="s">
        <v>17</v>
      </c>
      <c r="N68" t="s">
        <v>17</v>
      </c>
      <c r="O68" t="s">
        <v>6245</v>
      </c>
    </row>
    <row r="69" spans="1:15" x14ac:dyDescent="0.25">
      <c r="A69" t="s">
        <v>5653</v>
      </c>
      <c r="B69" t="s">
        <v>3423</v>
      </c>
      <c r="C69" t="s">
        <v>5023</v>
      </c>
      <c r="D69">
        <v>0</v>
      </c>
      <c r="E69" s="9" t="s">
        <v>5654</v>
      </c>
      <c r="F69" t="s">
        <v>6246</v>
      </c>
      <c r="G69" s="9" t="s">
        <v>5655</v>
      </c>
      <c r="H69" t="s">
        <v>6247</v>
      </c>
      <c r="I69">
        <v>0</v>
      </c>
      <c r="J69" t="s">
        <v>17</v>
      </c>
      <c r="K69" t="s">
        <v>5656</v>
      </c>
      <c r="L69" t="s">
        <v>15</v>
      </c>
      <c r="M69" t="s">
        <v>17</v>
      </c>
      <c r="N69" t="s">
        <v>17</v>
      </c>
      <c r="O69" t="s">
        <v>5657</v>
      </c>
    </row>
    <row r="70" spans="1:15" x14ac:dyDescent="0.25">
      <c r="A70" t="s">
        <v>5658</v>
      </c>
      <c r="B70" t="s">
        <v>3423</v>
      </c>
      <c r="C70" t="s">
        <v>5401</v>
      </c>
      <c r="D70">
        <v>3</v>
      </c>
      <c r="E70" s="9" t="s">
        <v>6248</v>
      </c>
      <c r="F70" t="s">
        <v>6249</v>
      </c>
      <c r="G70" s="9" t="s">
        <v>6250</v>
      </c>
      <c r="H70" t="s">
        <v>6251</v>
      </c>
      <c r="I70">
        <v>3</v>
      </c>
      <c r="J70" t="s">
        <v>6079</v>
      </c>
      <c r="K70" t="s">
        <v>5658</v>
      </c>
      <c r="L70" t="s">
        <v>15</v>
      </c>
      <c r="M70" t="s">
        <v>17</v>
      </c>
      <c r="N70" t="s">
        <v>17</v>
      </c>
      <c r="O70" t="s">
        <v>5661</v>
      </c>
    </row>
    <row r="71" spans="1:15" x14ac:dyDescent="0.25">
      <c r="A71" t="s">
        <v>4861</v>
      </c>
      <c r="B71" t="s">
        <v>3423</v>
      </c>
      <c r="C71" t="s">
        <v>4247</v>
      </c>
      <c r="D71">
        <v>1</v>
      </c>
      <c r="E71" s="9" t="s">
        <v>6252</v>
      </c>
      <c r="F71" t="s">
        <v>6253</v>
      </c>
      <c r="G71" s="9" t="s">
        <v>6254</v>
      </c>
      <c r="H71" t="s">
        <v>6255</v>
      </c>
      <c r="I71">
        <v>1</v>
      </c>
      <c r="J71" t="s">
        <v>17</v>
      </c>
      <c r="K71" t="s">
        <v>4861</v>
      </c>
      <c r="L71" t="s">
        <v>15</v>
      </c>
      <c r="M71" t="s">
        <v>17</v>
      </c>
      <c r="N71" t="s">
        <v>17</v>
      </c>
      <c r="O71" t="s">
        <v>5664</v>
      </c>
    </row>
    <row r="72" spans="1:15" x14ac:dyDescent="0.25">
      <c r="A72" t="s">
        <v>5665</v>
      </c>
      <c r="B72" t="s">
        <v>3404</v>
      </c>
      <c r="C72" t="s">
        <v>5023</v>
      </c>
      <c r="D72">
        <v>1</v>
      </c>
      <c r="E72" s="9" t="s">
        <v>5666</v>
      </c>
      <c r="F72" t="s">
        <v>6256</v>
      </c>
      <c r="G72" s="9" t="s">
        <v>5666</v>
      </c>
      <c r="H72" t="s">
        <v>6256</v>
      </c>
      <c r="I72">
        <v>0</v>
      </c>
      <c r="J72" t="s">
        <v>17</v>
      </c>
      <c r="K72" t="s">
        <v>5665</v>
      </c>
      <c r="L72" t="s">
        <v>15</v>
      </c>
      <c r="M72" t="s">
        <v>5160</v>
      </c>
      <c r="N72" t="s">
        <v>17</v>
      </c>
      <c r="O72" t="s">
        <v>5667</v>
      </c>
    </row>
    <row r="73" spans="1:15" x14ac:dyDescent="0.25">
      <c r="A73" t="s">
        <v>5668</v>
      </c>
      <c r="B73" t="s">
        <v>3423</v>
      </c>
      <c r="C73" t="s">
        <v>5023</v>
      </c>
      <c r="D73">
        <v>1</v>
      </c>
      <c r="E73" s="9" t="s">
        <v>6257</v>
      </c>
      <c r="F73" t="s">
        <v>6258</v>
      </c>
      <c r="G73" s="9" t="s">
        <v>6259</v>
      </c>
      <c r="H73" t="s">
        <v>6260</v>
      </c>
      <c r="I73">
        <v>1</v>
      </c>
      <c r="J73" t="s">
        <v>17</v>
      </c>
      <c r="K73" t="s">
        <v>5668</v>
      </c>
      <c r="L73" t="s">
        <v>15</v>
      </c>
      <c r="M73" t="s">
        <v>17</v>
      </c>
      <c r="N73" t="s">
        <v>17</v>
      </c>
      <c r="O73" t="s">
        <v>5671</v>
      </c>
    </row>
    <row r="74" spans="1:15" x14ac:dyDescent="0.25">
      <c r="A74" t="s">
        <v>5672</v>
      </c>
      <c r="B74" t="s">
        <v>3404</v>
      </c>
      <c r="C74" t="s">
        <v>5401</v>
      </c>
      <c r="D74">
        <v>1</v>
      </c>
      <c r="E74" s="9" t="s">
        <v>6261</v>
      </c>
      <c r="F74" t="s">
        <v>6262</v>
      </c>
      <c r="G74" s="9" t="s">
        <v>6263</v>
      </c>
      <c r="H74" t="s">
        <v>6264</v>
      </c>
      <c r="I74" t="s">
        <v>17</v>
      </c>
      <c r="J74" t="s">
        <v>6079</v>
      </c>
      <c r="K74" t="s">
        <v>5672</v>
      </c>
      <c r="L74" t="s">
        <v>15</v>
      </c>
      <c r="M74" t="s">
        <v>5160</v>
      </c>
      <c r="N74" t="s">
        <v>17</v>
      </c>
      <c r="O74" t="s">
        <v>5675</v>
      </c>
    </row>
    <row r="75" spans="1:15" x14ac:dyDescent="0.25">
      <c r="A75" t="s">
        <v>4869</v>
      </c>
      <c r="B75" t="s">
        <v>3423</v>
      </c>
      <c r="C75" t="s">
        <v>4247</v>
      </c>
      <c r="D75">
        <v>1</v>
      </c>
      <c r="E75" s="9" t="s">
        <v>6265</v>
      </c>
      <c r="F75" t="s">
        <v>6266</v>
      </c>
      <c r="G75" s="9" t="s">
        <v>6267</v>
      </c>
      <c r="H75" t="s">
        <v>6268</v>
      </c>
      <c r="I75">
        <v>1</v>
      </c>
      <c r="J75" t="s">
        <v>17</v>
      </c>
      <c r="K75" t="s">
        <v>4871</v>
      </c>
      <c r="L75" t="s">
        <v>15</v>
      </c>
      <c r="M75" t="s">
        <v>17</v>
      </c>
      <c r="N75" t="s">
        <v>17</v>
      </c>
      <c r="O75" t="s">
        <v>5678</v>
      </c>
    </row>
    <row r="76" spans="1:15" x14ac:dyDescent="0.25">
      <c r="A76" t="s">
        <v>5679</v>
      </c>
      <c r="B76" t="s">
        <v>3404</v>
      </c>
      <c r="C76" t="s">
        <v>5401</v>
      </c>
      <c r="D76">
        <v>2</v>
      </c>
      <c r="E76" s="9" t="s">
        <v>6269</v>
      </c>
      <c r="F76" t="s">
        <v>6270</v>
      </c>
      <c r="G76" s="9" t="s">
        <v>6271</v>
      </c>
      <c r="H76" t="s">
        <v>6272</v>
      </c>
      <c r="I76">
        <v>2</v>
      </c>
      <c r="J76" t="s">
        <v>6096</v>
      </c>
      <c r="K76" t="s">
        <v>5682</v>
      </c>
      <c r="L76" t="s">
        <v>15</v>
      </c>
      <c r="M76" t="s">
        <v>5160</v>
      </c>
      <c r="N76" t="s">
        <v>5057</v>
      </c>
      <c r="O76" t="s">
        <v>5683</v>
      </c>
    </row>
    <row r="77" spans="1:15" x14ac:dyDescent="0.25">
      <c r="A77" t="s">
        <v>5686</v>
      </c>
      <c r="B77" t="s">
        <v>3423</v>
      </c>
      <c r="C77" t="s">
        <v>5401</v>
      </c>
      <c r="D77">
        <v>1</v>
      </c>
      <c r="E77" s="9" t="s">
        <v>6273</v>
      </c>
      <c r="F77" t="s">
        <v>6274</v>
      </c>
      <c r="G77" s="9" t="s">
        <v>6275</v>
      </c>
      <c r="H77" t="s">
        <v>6276</v>
      </c>
      <c r="I77" t="s">
        <v>17</v>
      </c>
      <c r="J77" t="s">
        <v>6071</v>
      </c>
      <c r="K77" t="s">
        <v>5686</v>
      </c>
      <c r="L77" t="s">
        <v>15</v>
      </c>
      <c r="M77" t="s">
        <v>17</v>
      </c>
      <c r="N77" t="s">
        <v>17</v>
      </c>
      <c r="O77" t="s">
        <v>6277</v>
      </c>
    </row>
    <row r="78" spans="1:15" x14ac:dyDescent="0.25">
      <c r="A78" t="s">
        <v>4872</v>
      </c>
      <c r="B78" t="s">
        <v>3423</v>
      </c>
      <c r="C78" t="s">
        <v>4247</v>
      </c>
      <c r="D78">
        <v>1</v>
      </c>
      <c r="E78" s="9" t="s">
        <v>6278</v>
      </c>
      <c r="F78" t="s">
        <v>6279</v>
      </c>
      <c r="G78" s="9" t="s">
        <v>6280</v>
      </c>
      <c r="H78" t="s">
        <v>6281</v>
      </c>
      <c r="I78">
        <v>1</v>
      </c>
      <c r="J78" t="s">
        <v>17</v>
      </c>
      <c r="K78" t="s">
        <v>4874</v>
      </c>
      <c r="L78" t="s">
        <v>15</v>
      </c>
      <c r="M78" t="s">
        <v>17</v>
      </c>
      <c r="N78" t="s">
        <v>17</v>
      </c>
      <c r="O78" t="s">
        <v>5691</v>
      </c>
    </row>
    <row r="79" spans="1:15" x14ac:dyDescent="0.25">
      <c r="A79" t="s">
        <v>4875</v>
      </c>
      <c r="B79" t="s">
        <v>3423</v>
      </c>
      <c r="C79" t="s">
        <v>5023</v>
      </c>
      <c r="D79">
        <v>2</v>
      </c>
      <c r="E79" s="9" t="s">
        <v>6282</v>
      </c>
      <c r="F79" t="s">
        <v>6283</v>
      </c>
      <c r="G79" s="9" t="s">
        <v>6284</v>
      </c>
      <c r="H79" t="s">
        <v>6285</v>
      </c>
      <c r="I79">
        <v>2</v>
      </c>
      <c r="J79" t="s">
        <v>17</v>
      </c>
      <c r="K79" t="s">
        <v>4877</v>
      </c>
      <c r="L79" t="s">
        <v>15</v>
      </c>
      <c r="M79" t="s">
        <v>17</v>
      </c>
      <c r="N79" t="s">
        <v>5057</v>
      </c>
      <c r="O79" t="s">
        <v>5418</v>
      </c>
    </row>
    <row r="80" spans="1:15" x14ac:dyDescent="0.25">
      <c r="A80" t="s">
        <v>5694</v>
      </c>
      <c r="B80" t="s">
        <v>3423</v>
      </c>
      <c r="C80" t="s">
        <v>5401</v>
      </c>
      <c r="D80">
        <v>1</v>
      </c>
      <c r="E80" s="9" t="s">
        <v>6286</v>
      </c>
      <c r="F80" t="s">
        <v>6287</v>
      </c>
      <c r="G80" s="9" t="s">
        <v>6288</v>
      </c>
      <c r="H80" t="s">
        <v>6289</v>
      </c>
      <c r="I80">
        <v>1</v>
      </c>
      <c r="J80" t="s">
        <v>6096</v>
      </c>
      <c r="K80" t="s">
        <v>5694</v>
      </c>
      <c r="L80" t="s">
        <v>15</v>
      </c>
      <c r="M80" t="s">
        <v>17</v>
      </c>
      <c r="N80" t="s">
        <v>17</v>
      </c>
      <c r="O80" t="s">
        <v>6277</v>
      </c>
    </row>
    <row r="81" spans="1:15" x14ac:dyDescent="0.25">
      <c r="A81" t="s">
        <v>5697</v>
      </c>
      <c r="B81" t="s">
        <v>3411</v>
      </c>
      <c r="C81" t="s">
        <v>5023</v>
      </c>
      <c r="D81">
        <v>0</v>
      </c>
      <c r="E81" s="9" t="s">
        <v>6290</v>
      </c>
      <c r="F81" t="s">
        <v>6291</v>
      </c>
      <c r="G81" s="9" t="s">
        <v>6292</v>
      </c>
      <c r="H81" t="s">
        <v>6293</v>
      </c>
      <c r="I81" t="s">
        <v>17</v>
      </c>
      <c r="J81" t="s">
        <v>17</v>
      </c>
      <c r="K81" t="s">
        <v>5697</v>
      </c>
      <c r="L81" t="s">
        <v>15</v>
      </c>
      <c r="M81" t="s">
        <v>17</v>
      </c>
      <c r="N81" t="s">
        <v>17</v>
      </c>
      <c r="O81" t="s">
        <v>5738</v>
      </c>
    </row>
    <row r="82" spans="1:15" x14ac:dyDescent="0.25">
      <c r="A82" t="s">
        <v>5700</v>
      </c>
      <c r="B82" t="s">
        <v>3411</v>
      </c>
      <c r="C82" t="s">
        <v>5401</v>
      </c>
      <c r="D82">
        <v>1</v>
      </c>
      <c r="E82" s="9" t="s">
        <v>6294</v>
      </c>
      <c r="F82" t="s">
        <v>6295</v>
      </c>
      <c r="G82" s="9" t="s">
        <v>6296</v>
      </c>
      <c r="H82" t="s">
        <v>6297</v>
      </c>
      <c r="I82" t="s">
        <v>17</v>
      </c>
      <c r="J82" t="s">
        <v>6071</v>
      </c>
      <c r="K82" t="s">
        <v>5703</v>
      </c>
      <c r="L82" t="s">
        <v>15</v>
      </c>
      <c r="M82" t="s">
        <v>17</v>
      </c>
      <c r="N82" t="s">
        <v>17</v>
      </c>
      <c r="O82" t="s">
        <v>5704</v>
      </c>
    </row>
    <row r="83" spans="1:15" x14ac:dyDescent="0.25">
      <c r="A83" t="s">
        <v>5708</v>
      </c>
      <c r="B83" t="s">
        <v>3423</v>
      </c>
      <c r="C83" t="s">
        <v>5023</v>
      </c>
      <c r="D83">
        <v>1</v>
      </c>
      <c r="E83" s="9" t="s">
        <v>6298</v>
      </c>
      <c r="F83" t="s">
        <v>6130</v>
      </c>
      <c r="G83" s="9" t="s">
        <v>6299</v>
      </c>
      <c r="H83" t="s">
        <v>6131</v>
      </c>
      <c r="I83" t="s">
        <v>17</v>
      </c>
      <c r="J83" t="s">
        <v>17</v>
      </c>
      <c r="K83" t="s">
        <v>5711</v>
      </c>
      <c r="L83" t="s">
        <v>15</v>
      </c>
      <c r="M83" t="s">
        <v>5086</v>
      </c>
      <c r="N83" t="s">
        <v>17</v>
      </c>
      <c r="O83" t="s">
        <v>5418</v>
      </c>
    </row>
    <row r="84" spans="1:15" x14ac:dyDescent="0.25">
      <c r="A84" t="s">
        <v>5713</v>
      </c>
      <c r="B84" t="s">
        <v>3404</v>
      </c>
      <c r="C84" t="s">
        <v>5401</v>
      </c>
      <c r="D84">
        <v>1</v>
      </c>
      <c r="E84" s="9" t="s">
        <v>6300</v>
      </c>
      <c r="F84" t="s">
        <v>6301</v>
      </c>
      <c r="G84" s="9" t="s">
        <v>6302</v>
      </c>
      <c r="H84" t="s">
        <v>6303</v>
      </c>
      <c r="I84" t="s">
        <v>17</v>
      </c>
      <c r="J84" t="s">
        <v>6096</v>
      </c>
      <c r="K84" t="s">
        <v>5716</v>
      </c>
      <c r="L84" t="s">
        <v>15</v>
      </c>
      <c r="M84" t="s">
        <v>17</v>
      </c>
      <c r="N84" t="s">
        <v>17</v>
      </c>
      <c r="O84" t="s">
        <v>5456</v>
      </c>
    </row>
    <row r="85" spans="1:15" x14ac:dyDescent="0.25">
      <c r="A85" t="s">
        <v>5717</v>
      </c>
      <c r="B85" t="s">
        <v>3411</v>
      </c>
      <c r="C85" t="s">
        <v>5401</v>
      </c>
      <c r="D85">
        <v>0</v>
      </c>
      <c r="E85" s="9" t="s">
        <v>6304</v>
      </c>
      <c r="F85" t="s">
        <v>6305</v>
      </c>
      <c r="G85" s="9" t="s">
        <v>6306</v>
      </c>
      <c r="H85" t="s">
        <v>6307</v>
      </c>
      <c r="I85">
        <v>0</v>
      </c>
      <c r="J85" t="s">
        <v>6163</v>
      </c>
      <c r="K85" t="s">
        <v>5720</v>
      </c>
      <c r="L85" t="s">
        <v>15</v>
      </c>
      <c r="M85" t="s">
        <v>17</v>
      </c>
      <c r="N85" t="s">
        <v>17</v>
      </c>
      <c r="O85" t="s">
        <v>5447</v>
      </c>
    </row>
    <row r="86" spans="1:15" x14ac:dyDescent="0.25">
      <c r="A86" t="s">
        <v>5721</v>
      </c>
      <c r="B86" t="s">
        <v>3404</v>
      </c>
      <c r="C86" t="s">
        <v>5401</v>
      </c>
      <c r="D86">
        <v>0</v>
      </c>
      <c r="E86" s="9" t="s">
        <v>6308</v>
      </c>
      <c r="F86" t="s">
        <v>6309</v>
      </c>
      <c r="G86" s="9" t="s">
        <v>6310</v>
      </c>
      <c r="H86" t="s">
        <v>6311</v>
      </c>
      <c r="I86">
        <v>0</v>
      </c>
      <c r="J86" t="s">
        <v>6312</v>
      </c>
      <c r="K86" t="s">
        <v>5724</v>
      </c>
      <c r="L86" t="s">
        <v>15</v>
      </c>
      <c r="M86" t="s">
        <v>17</v>
      </c>
      <c r="N86" t="s">
        <v>17</v>
      </c>
      <c r="O86" t="s">
        <v>5575</v>
      </c>
    </row>
    <row r="87" spans="1:15" x14ac:dyDescent="0.25">
      <c r="A87" t="s">
        <v>4777</v>
      </c>
      <c r="B87" t="s">
        <v>3991</v>
      </c>
      <c r="C87" t="s">
        <v>0</v>
      </c>
      <c r="D87" t="s">
        <v>4593</v>
      </c>
      <c r="E87" t="s">
        <v>6313</v>
      </c>
      <c r="F87" t="s">
        <v>6176</v>
      </c>
      <c r="G87" t="s">
        <v>17</v>
      </c>
      <c r="H87" t="s">
        <v>17</v>
      </c>
      <c r="I87" t="s">
        <v>17</v>
      </c>
      <c r="J87" t="s">
        <v>17</v>
      </c>
      <c r="K87" t="s">
        <v>4777</v>
      </c>
      <c r="L87" t="s">
        <v>7</v>
      </c>
      <c r="M87" t="s">
        <v>6314</v>
      </c>
      <c r="N87" t="s">
        <v>17</v>
      </c>
    </row>
    <row r="88" spans="1:15" x14ac:dyDescent="0.25">
      <c r="A88" t="s">
        <v>4793</v>
      </c>
      <c r="B88" t="s">
        <v>3991</v>
      </c>
      <c r="C88" t="s">
        <v>0</v>
      </c>
      <c r="D88" t="s">
        <v>4593</v>
      </c>
      <c r="E88" t="s">
        <v>6315</v>
      </c>
      <c r="F88" t="s">
        <v>6316</v>
      </c>
      <c r="G88" t="s">
        <v>17</v>
      </c>
      <c r="H88" t="s">
        <v>17</v>
      </c>
      <c r="I88" t="s">
        <v>17</v>
      </c>
      <c r="J88" t="s">
        <v>17</v>
      </c>
      <c r="K88" t="s">
        <v>4793</v>
      </c>
      <c r="L88" t="s">
        <v>7</v>
      </c>
      <c r="M88" t="s">
        <v>5127</v>
      </c>
      <c r="N88" t="s">
        <v>17</v>
      </c>
      <c r="O88" t="s">
        <v>5549</v>
      </c>
    </row>
    <row r="89" spans="1:15" x14ac:dyDescent="0.25">
      <c r="A89" t="s">
        <v>5726</v>
      </c>
      <c r="B89" t="s">
        <v>3411</v>
      </c>
      <c r="C89" t="s">
        <v>5023</v>
      </c>
      <c r="D89">
        <v>1</v>
      </c>
      <c r="E89" s="9" t="s">
        <v>5727</v>
      </c>
      <c r="F89" t="s">
        <v>6317</v>
      </c>
      <c r="G89" s="9" t="s">
        <v>5727</v>
      </c>
      <c r="H89" t="s">
        <v>6317</v>
      </c>
      <c r="I89">
        <v>0</v>
      </c>
      <c r="J89" t="s">
        <v>17</v>
      </c>
      <c r="K89" t="s">
        <v>5726</v>
      </c>
      <c r="L89" t="s">
        <v>15</v>
      </c>
      <c r="M89" t="s">
        <v>17</v>
      </c>
      <c r="N89" t="s">
        <v>17</v>
      </c>
      <c r="O89" t="s">
        <v>5683</v>
      </c>
    </row>
    <row r="90" spans="1:15" x14ac:dyDescent="0.25">
      <c r="A90" t="s">
        <v>5728</v>
      </c>
      <c r="B90" t="s">
        <v>3411</v>
      </c>
      <c r="C90" t="s">
        <v>5401</v>
      </c>
      <c r="D90">
        <v>1</v>
      </c>
      <c r="E90" s="9" t="s">
        <v>5729</v>
      </c>
      <c r="F90" t="s">
        <v>6318</v>
      </c>
      <c r="G90" s="9" t="s">
        <v>5730</v>
      </c>
      <c r="H90" t="s">
        <v>6319</v>
      </c>
      <c r="I90">
        <v>1</v>
      </c>
      <c r="J90" t="s">
        <v>6079</v>
      </c>
      <c r="K90" t="s">
        <v>5728</v>
      </c>
      <c r="L90" t="s">
        <v>15</v>
      </c>
      <c r="M90" t="s">
        <v>17</v>
      </c>
      <c r="N90" t="s">
        <v>17</v>
      </c>
      <c r="O90" t="s">
        <v>5414</v>
      </c>
    </row>
    <row r="91" spans="1:15" x14ac:dyDescent="0.25">
      <c r="A91" t="s">
        <v>5734</v>
      </c>
      <c r="B91" t="s">
        <v>3411</v>
      </c>
      <c r="C91" t="s">
        <v>5401</v>
      </c>
      <c r="D91">
        <v>2</v>
      </c>
      <c r="E91" t="s">
        <v>5735</v>
      </c>
      <c r="F91" t="s">
        <v>6320</v>
      </c>
      <c r="G91" t="s">
        <v>5736</v>
      </c>
      <c r="H91" t="s">
        <v>6321</v>
      </c>
      <c r="I91">
        <v>2</v>
      </c>
      <c r="J91" t="s">
        <v>6102</v>
      </c>
      <c r="K91" t="s">
        <v>5737</v>
      </c>
      <c r="L91" t="s">
        <v>15</v>
      </c>
      <c r="M91" t="s">
        <v>17</v>
      </c>
      <c r="N91" t="s">
        <v>17</v>
      </c>
      <c r="O91" t="s">
        <v>5738</v>
      </c>
    </row>
    <row r="92" spans="1:15" x14ac:dyDescent="0.25">
      <c r="A92" t="s">
        <v>5739</v>
      </c>
      <c r="B92" t="s">
        <v>3423</v>
      </c>
      <c r="C92" t="s">
        <v>5401</v>
      </c>
      <c r="D92">
        <v>1</v>
      </c>
      <c r="E92" s="9" t="s">
        <v>6322</v>
      </c>
      <c r="F92" t="s">
        <v>6323</v>
      </c>
      <c r="G92" s="9" t="s">
        <v>6324</v>
      </c>
      <c r="H92" t="s">
        <v>6325</v>
      </c>
      <c r="I92">
        <v>1</v>
      </c>
      <c r="J92" t="s">
        <v>6079</v>
      </c>
      <c r="K92" t="s">
        <v>5742</v>
      </c>
      <c r="L92" t="s">
        <v>15</v>
      </c>
      <c r="M92" t="s">
        <v>17</v>
      </c>
      <c r="N92" t="s">
        <v>17</v>
      </c>
      <c r="O92" t="s">
        <v>6326</v>
      </c>
    </row>
    <row r="93" spans="1:15" x14ac:dyDescent="0.25">
      <c r="A93" t="s">
        <v>5743</v>
      </c>
      <c r="B93" t="s">
        <v>3423</v>
      </c>
      <c r="C93" t="s">
        <v>5401</v>
      </c>
      <c r="D93">
        <v>1</v>
      </c>
      <c r="E93" s="9" t="s">
        <v>5744</v>
      </c>
      <c r="F93" t="s">
        <v>6327</v>
      </c>
      <c r="G93" s="9" t="s">
        <v>5745</v>
      </c>
      <c r="H93" t="s">
        <v>6328</v>
      </c>
      <c r="I93">
        <v>1</v>
      </c>
      <c r="J93" t="s">
        <v>6096</v>
      </c>
      <c r="K93" t="s">
        <v>5743</v>
      </c>
      <c r="L93" t="s">
        <v>15</v>
      </c>
      <c r="M93" t="s">
        <v>17</v>
      </c>
      <c r="N93" t="s">
        <v>5046</v>
      </c>
      <c r="O93" t="s">
        <v>6329</v>
      </c>
    </row>
    <row r="94" spans="1:15" x14ac:dyDescent="0.25">
      <c r="A94" t="s">
        <v>5746</v>
      </c>
      <c r="B94" t="s">
        <v>3411</v>
      </c>
      <c r="C94" t="s">
        <v>5023</v>
      </c>
      <c r="D94">
        <v>1</v>
      </c>
      <c r="E94" s="9" t="s">
        <v>6330</v>
      </c>
      <c r="F94" t="s">
        <v>6331</v>
      </c>
      <c r="G94" s="9" t="s">
        <v>6332</v>
      </c>
      <c r="H94" t="s">
        <v>6333</v>
      </c>
      <c r="I94">
        <v>1</v>
      </c>
      <c r="J94" t="s">
        <v>17</v>
      </c>
      <c r="K94" t="s">
        <v>5746</v>
      </c>
      <c r="L94" t="s">
        <v>15</v>
      </c>
      <c r="M94" t="s">
        <v>17</v>
      </c>
      <c r="N94" t="s">
        <v>17</v>
      </c>
      <c r="O94" t="s">
        <v>5749</v>
      </c>
    </row>
    <row r="95" spans="1:15" x14ac:dyDescent="0.25">
      <c r="A95" t="s">
        <v>5750</v>
      </c>
      <c r="B95" t="s">
        <v>3404</v>
      </c>
      <c r="C95" t="s">
        <v>5401</v>
      </c>
      <c r="D95">
        <v>2</v>
      </c>
      <c r="E95" s="9" t="s">
        <v>5751</v>
      </c>
      <c r="F95" t="s">
        <v>6334</v>
      </c>
      <c r="G95" s="9" t="s">
        <v>5752</v>
      </c>
      <c r="H95" t="s">
        <v>6335</v>
      </c>
      <c r="I95">
        <v>2</v>
      </c>
      <c r="J95" t="s">
        <v>6336</v>
      </c>
      <c r="K95" t="s">
        <v>5750</v>
      </c>
      <c r="L95" t="s">
        <v>15</v>
      </c>
      <c r="M95" t="s">
        <v>17</v>
      </c>
      <c r="N95" t="s">
        <v>5057</v>
      </c>
      <c r="O95" t="s">
        <v>5538</v>
      </c>
    </row>
    <row r="96" spans="1:15" x14ac:dyDescent="0.25">
      <c r="A96" t="s">
        <v>5753</v>
      </c>
      <c r="B96" t="s">
        <v>3404</v>
      </c>
      <c r="C96" t="s">
        <v>5023</v>
      </c>
      <c r="D96">
        <v>2</v>
      </c>
      <c r="E96" s="9" t="s">
        <v>5754</v>
      </c>
      <c r="F96" t="s">
        <v>6337</v>
      </c>
      <c r="G96" s="9" t="s">
        <v>5755</v>
      </c>
      <c r="H96" t="s">
        <v>6338</v>
      </c>
      <c r="I96">
        <v>2</v>
      </c>
      <c r="J96" t="s">
        <v>17</v>
      </c>
      <c r="K96" t="s">
        <v>5753</v>
      </c>
      <c r="L96" t="s">
        <v>15</v>
      </c>
      <c r="M96" t="s">
        <v>5160</v>
      </c>
      <c r="N96" t="s">
        <v>17</v>
      </c>
      <c r="O96" t="s">
        <v>5678</v>
      </c>
    </row>
    <row r="97" spans="1:15" x14ac:dyDescent="0.25">
      <c r="A97" t="s">
        <v>5756</v>
      </c>
      <c r="B97" t="s">
        <v>3423</v>
      </c>
      <c r="C97" t="s">
        <v>5023</v>
      </c>
      <c r="D97">
        <v>1</v>
      </c>
      <c r="E97" s="9" t="s">
        <v>5757</v>
      </c>
      <c r="F97" t="s">
        <v>6339</v>
      </c>
      <c r="G97" s="9" t="s">
        <v>5757</v>
      </c>
      <c r="H97" t="s">
        <v>6339</v>
      </c>
      <c r="I97">
        <v>0</v>
      </c>
      <c r="J97" t="s">
        <v>17</v>
      </c>
      <c r="K97" t="s">
        <v>5758</v>
      </c>
      <c r="L97" t="s">
        <v>15</v>
      </c>
      <c r="M97" t="s">
        <v>5160</v>
      </c>
      <c r="N97" t="s">
        <v>17</v>
      </c>
      <c r="O97" t="s">
        <v>5759</v>
      </c>
    </row>
    <row r="98" spans="1:15" x14ac:dyDescent="0.25">
      <c r="A98" t="s">
        <v>5764</v>
      </c>
      <c r="B98" t="s">
        <v>3423</v>
      </c>
      <c r="C98" t="s">
        <v>4247</v>
      </c>
      <c r="D98">
        <v>1</v>
      </c>
      <c r="E98" t="s">
        <v>5765</v>
      </c>
      <c r="F98" t="s">
        <v>6340</v>
      </c>
      <c r="G98" t="s">
        <v>5766</v>
      </c>
      <c r="H98" t="s">
        <v>6341</v>
      </c>
      <c r="I98">
        <v>1</v>
      </c>
      <c r="J98" t="s">
        <v>17</v>
      </c>
      <c r="K98" t="s">
        <v>5764</v>
      </c>
      <c r="L98" t="s">
        <v>15</v>
      </c>
      <c r="M98" t="s">
        <v>17</v>
      </c>
      <c r="N98" t="s">
        <v>17</v>
      </c>
      <c r="O98" t="s">
        <v>5606</v>
      </c>
    </row>
    <row r="99" spans="1:15" x14ac:dyDescent="0.25">
      <c r="A99" t="s">
        <v>12</v>
      </c>
      <c r="B99" t="s">
        <v>3991</v>
      </c>
      <c r="C99" t="s">
        <v>0</v>
      </c>
      <c r="D99" t="s">
        <v>4593</v>
      </c>
      <c r="E99" t="s">
        <v>5767</v>
      </c>
      <c r="F99" t="s">
        <v>6176</v>
      </c>
      <c r="G99" t="s">
        <v>17</v>
      </c>
      <c r="H99" t="s">
        <v>17</v>
      </c>
      <c r="I99" t="s">
        <v>17</v>
      </c>
      <c r="J99" t="s">
        <v>17</v>
      </c>
      <c r="K99" t="s">
        <v>12</v>
      </c>
      <c r="L99" t="s">
        <v>15</v>
      </c>
      <c r="M99" t="s">
        <v>5127</v>
      </c>
      <c r="N99" t="s">
        <v>17</v>
      </c>
      <c r="O99" t="s">
        <v>5549</v>
      </c>
    </row>
    <row r="100" spans="1:15" x14ac:dyDescent="0.25">
      <c r="A100" t="s">
        <v>5768</v>
      </c>
      <c r="B100" t="s">
        <v>3423</v>
      </c>
      <c r="C100" t="s">
        <v>5023</v>
      </c>
      <c r="D100">
        <v>0</v>
      </c>
      <c r="E100" s="9" t="s">
        <v>5769</v>
      </c>
      <c r="F100" t="s">
        <v>6342</v>
      </c>
      <c r="G100" s="9" t="s">
        <v>5770</v>
      </c>
      <c r="H100" t="s">
        <v>6343</v>
      </c>
      <c r="I100">
        <v>0</v>
      </c>
      <c r="J100" t="s">
        <v>17</v>
      </c>
      <c r="K100" t="s">
        <v>5768</v>
      </c>
      <c r="L100" t="s">
        <v>15</v>
      </c>
      <c r="M100" t="s">
        <v>5160</v>
      </c>
      <c r="N100" t="s">
        <v>17</v>
      </c>
      <c r="O100" t="s">
        <v>5616</v>
      </c>
    </row>
    <row r="101" spans="1:15" x14ac:dyDescent="0.25">
      <c r="A101" t="s">
        <v>5771</v>
      </c>
      <c r="B101" t="s">
        <v>3411</v>
      </c>
      <c r="C101" t="s">
        <v>5401</v>
      </c>
      <c r="D101">
        <v>1</v>
      </c>
      <c r="E101" t="s">
        <v>5772</v>
      </c>
      <c r="F101" t="s">
        <v>6344</v>
      </c>
      <c r="G101" t="s">
        <v>5773</v>
      </c>
      <c r="H101" t="s">
        <v>6345</v>
      </c>
      <c r="I101">
        <v>1</v>
      </c>
      <c r="J101" t="s">
        <v>6346</v>
      </c>
      <c r="K101" t="s">
        <v>5774</v>
      </c>
      <c r="L101" t="s">
        <v>15</v>
      </c>
      <c r="M101" t="s">
        <v>17</v>
      </c>
      <c r="N101" t="s">
        <v>17</v>
      </c>
      <c r="O101" t="s">
        <v>5775</v>
      </c>
    </row>
    <row r="102" spans="1:15" x14ac:dyDescent="0.25">
      <c r="A102" t="s">
        <v>5786</v>
      </c>
      <c r="B102" t="s">
        <v>3411</v>
      </c>
      <c r="C102" t="s">
        <v>5023</v>
      </c>
      <c r="D102">
        <v>1</v>
      </c>
      <c r="E102" t="s">
        <v>5787</v>
      </c>
      <c r="F102" t="s">
        <v>6347</v>
      </c>
      <c r="G102" t="s">
        <v>5788</v>
      </c>
      <c r="H102" t="s">
        <v>6348</v>
      </c>
      <c r="I102">
        <v>1</v>
      </c>
      <c r="J102" t="s">
        <v>17</v>
      </c>
      <c r="K102" t="s">
        <v>5786</v>
      </c>
      <c r="L102" t="s">
        <v>15</v>
      </c>
      <c r="M102" t="s">
        <v>17</v>
      </c>
      <c r="N102" t="s">
        <v>17</v>
      </c>
      <c r="O102" t="s">
        <v>5498</v>
      </c>
    </row>
    <row r="103" spans="1:15" x14ac:dyDescent="0.25">
      <c r="A103" t="s">
        <v>5789</v>
      </c>
      <c r="B103" t="s">
        <v>3423</v>
      </c>
      <c r="C103" t="s">
        <v>5023</v>
      </c>
      <c r="D103">
        <v>2</v>
      </c>
      <c r="E103" s="9" t="s">
        <v>6349</v>
      </c>
      <c r="F103" t="s">
        <v>6350</v>
      </c>
      <c r="G103" s="9" t="s">
        <v>6351</v>
      </c>
      <c r="H103" t="s">
        <v>6352</v>
      </c>
      <c r="I103">
        <v>2</v>
      </c>
      <c r="J103" t="s">
        <v>17</v>
      </c>
      <c r="K103" t="s">
        <v>5792</v>
      </c>
      <c r="L103" t="s">
        <v>15</v>
      </c>
      <c r="M103" t="s">
        <v>17</v>
      </c>
      <c r="N103" t="s">
        <v>17</v>
      </c>
      <c r="O103" t="s">
        <v>5793</v>
      </c>
    </row>
    <row r="104" spans="1:15" x14ac:dyDescent="0.25">
      <c r="A104" t="s">
        <v>4343</v>
      </c>
      <c r="B104" t="s">
        <v>3411</v>
      </c>
      <c r="C104" t="s">
        <v>5401</v>
      </c>
      <c r="D104">
        <v>2</v>
      </c>
      <c r="E104" t="s">
        <v>6353</v>
      </c>
      <c r="F104" t="s">
        <v>6354</v>
      </c>
      <c r="G104" t="s">
        <v>6353</v>
      </c>
      <c r="H104" t="s">
        <v>6354</v>
      </c>
      <c r="I104">
        <v>2</v>
      </c>
      <c r="J104" t="s">
        <v>6355</v>
      </c>
      <c r="K104" t="s">
        <v>4346</v>
      </c>
      <c r="L104" t="s">
        <v>954</v>
      </c>
      <c r="M104" t="s">
        <v>17</v>
      </c>
      <c r="N104" t="s">
        <v>5057</v>
      </c>
      <c r="O104" t="s">
        <v>5434</v>
      </c>
    </row>
    <row r="105" spans="1:15" x14ac:dyDescent="0.25">
      <c r="A105" t="s">
        <v>5795</v>
      </c>
      <c r="B105" t="s">
        <v>3404</v>
      </c>
      <c r="C105" t="s">
        <v>5023</v>
      </c>
      <c r="D105">
        <v>1</v>
      </c>
      <c r="E105" s="9" t="s">
        <v>5796</v>
      </c>
      <c r="F105" t="s">
        <v>6356</v>
      </c>
      <c r="G105" s="9" t="s">
        <v>5797</v>
      </c>
      <c r="H105" t="s">
        <v>6357</v>
      </c>
      <c r="I105">
        <v>1</v>
      </c>
      <c r="J105" t="s">
        <v>17</v>
      </c>
      <c r="K105" t="s">
        <v>5798</v>
      </c>
      <c r="L105" t="s">
        <v>15</v>
      </c>
      <c r="M105" t="s">
        <v>17</v>
      </c>
      <c r="N105" t="s">
        <v>17</v>
      </c>
      <c r="O105" t="s">
        <v>5606</v>
      </c>
    </row>
    <row r="106" spans="1:15" x14ac:dyDescent="0.25">
      <c r="A106" t="s">
        <v>4352</v>
      </c>
      <c r="B106" t="s">
        <v>3411</v>
      </c>
      <c r="C106" t="s">
        <v>5401</v>
      </c>
      <c r="D106">
        <v>1</v>
      </c>
      <c r="E106" s="9" t="s">
        <v>6358</v>
      </c>
      <c r="F106" t="s">
        <v>6359</v>
      </c>
      <c r="G106" s="9" t="s">
        <v>6358</v>
      </c>
      <c r="H106" t="s">
        <v>6359</v>
      </c>
      <c r="I106">
        <v>1</v>
      </c>
      <c r="J106" t="s">
        <v>6096</v>
      </c>
      <c r="K106" t="s">
        <v>4355</v>
      </c>
      <c r="L106" t="s">
        <v>954</v>
      </c>
      <c r="M106" t="s">
        <v>17</v>
      </c>
      <c r="N106" t="s">
        <v>17</v>
      </c>
      <c r="O106" t="s">
        <v>5434</v>
      </c>
    </row>
    <row r="107" spans="1:15" x14ac:dyDescent="0.25">
      <c r="A107" t="s">
        <v>5807</v>
      </c>
      <c r="B107" t="s">
        <v>3404</v>
      </c>
      <c r="C107" t="s">
        <v>5023</v>
      </c>
      <c r="D107" t="s">
        <v>5625</v>
      </c>
      <c r="E107" s="9" t="s">
        <v>6360</v>
      </c>
      <c r="F107" t="s">
        <v>6361</v>
      </c>
      <c r="G107" s="9" t="s">
        <v>6362</v>
      </c>
      <c r="H107" t="s">
        <v>6363</v>
      </c>
      <c r="I107" t="s">
        <v>5625</v>
      </c>
      <c r="J107" t="s">
        <v>17</v>
      </c>
      <c r="K107" t="s">
        <v>5807</v>
      </c>
      <c r="L107" t="s">
        <v>15</v>
      </c>
      <c r="M107" t="s">
        <v>5160</v>
      </c>
      <c r="N107" t="s">
        <v>17</v>
      </c>
      <c r="O107" t="s">
        <v>5810</v>
      </c>
    </row>
    <row r="108" spans="1:15" x14ac:dyDescent="0.25">
      <c r="A108" t="s">
        <v>5811</v>
      </c>
      <c r="B108" t="s">
        <v>3423</v>
      </c>
      <c r="C108" t="s">
        <v>5401</v>
      </c>
      <c r="D108">
        <v>0</v>
      </c>
      <c r="E108" s="9" t="s">
        <v>5812</v>
      </c>
      <c r="F108" t="s">
        <v>6364</v>
      </c>
      <c r="G108" s="9" t="s">
        <v>5813</v>
      </c>
      <c r="H108" t="s">
        <v>6365</v>
      </c>
      <c r="I108">
        <v>0</v>
      </c>
      <c r="J108" t="s">
        <v>6071</v>
      </c>
      <c r="K108" t="s">
        <v>5814</v>
      </c>
      <c r="L108" t="s">
        <v>15</v>
      </c>
      <c r="M108" t="s">
        <v>17</v>
      </c>
      <c r="N108" t="s">
        <v>17</v>
      </c>
      <c r="O108" t="s">
        <v>5456</v>
      </c>
    </row>
    <row r="109" spans="1:15" x14ac:dyDescent="0.25">
      <c r="A109" t="s">
        <v>5376</v>
      </c>
      <c r="B109" t="s">
        <v>3436</v>
      </c>
      <c r="C109" t="s">
        <v>5401</v>
      </c>
      <c r="D109">
        <v>0</v>
      </c>
      <c r="E109" t="s">
        <v>5824</v>
      </c>
      <c r="F109" t="s">
        <v>6366</v>
      </c>
      <c r="G109" t="s">
        <v>5825</v>
      </c>
      <c r="H109" t="s">
        <v>6367</v>
      </c>
      <c r="I109">
        <v>0</v>
      </c>
      <c r="J109" t="s">
        <v>6079</v>
      </c>
      <c r="K109" t="s">
        <v>5376</v>
      </c>
      <c r="L109" t="s">
        <v>15</v>
      </c>
      <c r="M109" t="s">
        <v>17</v>
      </c>
      <c r="N109" t="s">
        <v>17</v>
      </c>
      <c r="O109" t="s">
        <v>5432</v>
      </c>
    </row>
    <row r="110" spans="1:15" x14ac:dyDescent="0.25">
      <c r="A110" t="s">
        <v>5826</v>
      </c>
      <c r="B110" t="s">
        <v>3404</v>
      </c>
      <c r="C110" t="s">
        <v>5023</v>
      </c>
      <c r="D110">
        <v>3</v>
      </c>
      <c r="E110" s="9" t="s">
        <v>6368</v>
      </c>
      <c r="F110" t="s">
        <v>6369</v>
      </c>
      <c r="G110" s="9" t="s">
        <v>6368</v>
      </c>
      <c r="H110" t="s">
        <v>6369</v>
      </c>
      <c r="I110">
        <v>2</v>
      </c>
      <c r="J110" t="s">
        <v>17</v>
      </c>
      <c r="K110" t="s">
        <v>5826</v>
      </c>
      <c r="L110" t="s">
        <v>15</v>
      </c>
      <c r="M110" t="s">
        <v>17</v>
      </c>
      <c r="N110" t="s">
        <v>17</v>
      </c>
      <c r="O110" t="s">
        <v>5671</v>
      </c>
    </row>
    <row r="111" spans="1:15" x14ac:dyDescent="0.25">
      <c r="A111" t="s">
        <v>5832</v>
      </c>
      <c r="B111" t="s">
        <v>3404</v>
      </c>
      <c r="C111" t="s">
        <v>5023</v>
      </c>
      <c r="D111">
        <v>0</v>
      </c>
      <c r="E111" s="9" t="s">
        <v>5833</v>
      </c>
      <c r="F111" t="s">
        <v>6370</v>
      </c>
      <c r="G111" s="9" t="s">
        <v>5834</v>
      </c>
      <c r="H111" t="s">
        <v>6371</v>
      </c>
      <c r="I111">
        <v>0</v>
      </c>
      <c r="J111" t="s">
        <v>17</v>
      </c>
      <c r="K111" t="s">
        <v>5832</v>
      </c>
      <c r="L111" t="s">
        <v>15</v>
      </c>
      <c r="M111" t="s">
        <v>5160</v>
      </c>
      <c r="N111" t="s">
        <v>17</v>
      </c>
      <c r="O111" t="s">
        <v>5835</v>
      </c>
    </row>
    <row r="112" spans="1:15" x14ac:dyDescent="0.25">
      <c r="A112" t="s">
        <v>5836</v>
      </c>
      <c r="B112" t="s">
        <v>3411</v>
      </c>
      <c r="C112" t="s">
        <v>5023</v>
      </c>
      <c r="D112">
        <v>1</v>
      </c>
      <c r="E112" s="9" t="s">
        <v>5837</v>
      </c>
      <c r="F112" t="s">
        <v>6372</v>
      </c>
      <c r="G112" s="9" t="s">
        <v>5838</v>
      </c>
      <c r="H112" t="s">
        <v>6373</v>
      </c>
      <c r="I112">
        <v>1</v>
      </c>
      <c r="J112" t="s">
        <v>17</v>
      </c>
      <c r="K112" t="s">
        <v>5836</v>
      </c>
      <c r="L112" t="s">
        <v>15</v>
      </c>
      <c r="M112" t="s">
        <v>17</v>
      </c>
      <c r="N112" t="s">
        <v>17</v>
      </c>
      <c r="O112" t="s">
        <v>5502</v>
      </c>
    </row>
    <row r="113" spans="1:15" x14ac:dyDescent="0.25">
      <c r="A113" t="s">
        <v>5839</v>
      </c>
      <c r="B113" t="s">
        <v>3991</v>
      </c>
      <c r="C113" t="s">
        <v>0</v>
      </c>
      <c r="D113" t="s">
        <v>4593</v>
      </c>
      <c r="E113" t="s">
        <v>5840</v>
      </c>
      <c r="F113" t="s">
        <v>6374</v>
      </c>
      <c r="G113" t="s">
        <v>17</v>
      </c>
      <c r="H113" t="s">
        <v>17</v>
      </c>
      <c r="I113" t="s">
        <v>17</v>
      </c>
      <c r="J113" t="s">
        <v>17</v>
      </c>
      <c r="K113" t="s">
        <v>5839</v>
      </c>
      <c r="L113" t="s">
        <v>15</v>
      </c>
      <c r="M113" t="s">
        <v>5127</v>
      </c>
      <c r="N113" t="s">
        <v>17</v>
      </c>
      <c r="O113" t="s">
        <v>5549</v>
      </c>
    </row>
    <row r="114" spans="1:15" x14ac:dyDescent="0.25">
      <c r="A114" t="s">
        <v>5841</v>
      </c>
      <c r="B114" t="s">
        <v>3411</v>
      </c>
      <c r="C114" t="s">
        <v>5401</v>
      </c>
      <c r="D114">
        <v>2</v>
      </c>
      <c r="E114" s="9" t="s">
        <v>5842</v>
      </c>
      <c r="F114" t="s">
        <v>6375</v>
      </c>
      <c r="G114" s="9" t="s">
        <v>5843</v>
      </c>
      <c r="H114" t="s">
        <v>6376</v>
      </c>
      <c r="I114">
        <v>2</v>
      </c>
      <c r="J114" t="s">
        <v>6088</v>
      </c>
      <c r="K114" t="s">
        <v>5844</v>
      </c>
      <c r="L114" t="s">
        <v>15</v>
      </c>
      <c r="M114" t="s">
        <v>17</v>
      </c>
      <c r="N114" t="s">
        <v>17</v>
      </c>
      <c r="O114" t="s">
        <v>5738</v>
      </c>
    </row>
    <row r="115" spans="1:15" x14ac:dyDescent="0.25">
      <c r="A115" t="s">
        <v>5845</v>
      </c>
      <c r="B115" t="s">
        <v>3404</v>
      </c>
      <c r="C115" t="s">
        <v>5023</v>
      </c>
      <c r="D115">
        <v>1</v>
      </c>
      <c r="E115" s="9" t="s">
        <v>5846</v>
      </c>
      <c r="F115" t="s">
        <v>6377</v>
      </c>
      <c r="G115" s="9" t="s">
        <v>5846</v>
      </c>
      <c r="H115" t="s">
        <v>6377</v>
      </c>
      <c r="I115">
        <v>0</v>
      </c>
      <c r="J115" t="s">
        <v>17</v>
      </c>
      <c r="K115" t="s">
        <v>5847</v>
      </c>
      <c r="L115" t="s">
        <v>15</v>
      </c>
      <c r="M115" t="s">
        <v>17</v>
      </c>
      <c r="N115" t="s">
        <v>17</v>
      </c>
      <c r="O115" t="s">
        <v>5456</v>
      </c>
    </row>
    <row r="116" spans="1:15" x14ac:dyDescent="0.25">
      <c r="A116" t="s">
        <v>5848</v>
      </c>
      <c r="B116" t="s">
        <v>3411</v>
      </c>
      <c r="C116" t="s">
        <v>5023</v>
      </c>
      <c r="D116">
        <v>1</v>
      </c>
      <c r="E116" s="9" t="s">
        <v>6378</v>
      </c>
      <c r="F116" t="s">
        <v>6379</v>
      </c>
      <c r="G116" s="9" t="s">
        <v>6380</v>
      </c>
      <c r="H116" t="s">
        <v>6381</v>
      </c>
      <c r="I116">
        <v>1</v>
      </c>
      <c r="J116" t="s">
        <v>17</v>
      </c>
      <c r="K116" t="s">
        <v>5851</v>
      </c>
      <c r="L116" t="s">
        <v>15</v>
      </c>
      <c r="M116" t="s">
        <v>5160</v>
      </c>
      <c r="N116" t="s">
        <v>17</v>
      </c>
      <c r="O116" t="s">
        <v>5810</v>
      </c>
    </row>
    <row r="117" spans="1:15" x14ac:dyDescent="0.25">
      <c r="A117" t="s">
        <v>5852</v>
      </c>
      <c r="B117" t="s">
        <v>3411</v>
      </c>
      <c r="C117" t="s">
        <v>5401</v>
      </c>
      <c r="D117">
        <v>1</v>
      </c>
      <c r="E117" s="9" t="s">
        <v>5853</v>
      </c>
      <c r="F117" t="s">
        <v>6382</v>
      </c>
      <c r="G117" s="9" t="s">
        <v>5854</v>
      </c>
      <c r="H117" t="s">
        <v>6383</v>
      </c>
      <c r="I117">
        <v>1</v>
      </c>
      <c r="J117" t="s">
        <v>6079</v>
      </c>
      <c r="K117" t="s">
        <v>5855</v>
      </c>
      <c r="L117" t="s">
        <v>15</v>
      </c>
      <c r="M117" t="s">
        <v>17</v>
      </c>
      <c r="N117" t="s">
        <v>4917</v>
      </c>
      <c r="O117" t="s">
        <v>5432</v>
      </c>
    </row>
    <row r="118" spans="1:15" x14ac:dyDescent="0.25">
      <c r="A118" t="s">
        <v>5856</v>
      </c>
      <c r="B118" t="s">
        <v>3411</v>
      </c>
      <c r="C118" t="s">
        <v>5401</v>
      </c>
      <c r="D118">
        <v>1</v>
      </c>
      <c r="E118" t="s">
        <v>5857</v>
      </c>
      <c r="F118" t="s">
        <v>6384</v>
      </c>
      <c r="G118" t="s">
        <v>5858</v>
      </c>
      <c r="H118" t="s">
        <v>6385</v>
      </c>
      <c r="I118">
        <v>1</v>
      </c>
      <c r="J118" t="s">
        <v>6088</v>
      </c>
      <c r="K118" t="s">
        <v>5859</v>
      </c>
      <c r="L118" t="s">
        <v>15</v>
      </c>
      <c r="M118" t="s">
        <v>17</v>
      </c>
      <c r="N118" t="s">
        <v>17</v>
      </c>
      <c r="O118" t="s">
        <v>6386</v>
      </c>
    </row>
    <row r="119" spans="1:15" x14ac:dyDescent="0.25">
      <c r="A119" t="s">
        <v>5861</v>
      </c>
      <c r="B119" t="s">
        <v>3423</v>
      </c>
      <c r="C119" t="s">
        <v>5023</v>
      </c>
      <c r="D119">
        <v>1</v>
      </c>
      <c r="E119" s="9" t="s">
        <v>5862</v>
      </c>
      <c r="F119" t="s">
        <v>6387</v>
      </c>
      <c r="G119" s="9" t="s">
        <v>5863</v>
      </c>
      <c r="H119" t="s">
        <v>6388</v>
      </c>
      <c r="I119">
        <v>1</v>
      </c>
      <c r="J119" t="s">
        <v>17</v>
      </c>
      <c r="K119" t="s">
        <v>5864</v>
      </c>
      <c r="L119" t="s">
        <v>15</v>
      </c>
      <c r="M119" t="s">
        <v>17</v>
      </c>
      <c r="N119" t="s">
        <v>17</v>
      </c>
      <c r="O119" t="s">
        <v>5865</v>
      </c>
    </row>
    <row r="120" spans="1:15" x14ac:dyDescent="0.25">
      <c r="A120" t="s">
        <v>5866</v>
      </c>
      <c r="B120" t="s">
        <v>3411</v>
      </c>
      <c r="C120" t="s">
        <v>5401</v>
      </c>
      <c r="D120">
        <v>2</v>
      </c>
      <c r="E120" s="9" t="s">
        <v>6389</v>
      </c>
      <c r="F120" t="s">
        <v>6390</v>
      </c>
      <c r="G120" s="9" t="s">
        <v>6391</v>
      </c>
      <c r="H120" t="s">
        <v>6392</v>
      </c>
      <c r="I120" t="s">
        <v>17</v>
      </c>
      <c r="J120" t="s">
        <v>6071</v>
      </c>
      <c r="K120" t="s">
        <v>5866</v>
      </c>
      <c r="L120" t="s">
        <v>15</v>
      </c>
      <c r="M120" t="s">
        <v>17</v>
      </c>
      <c r="N120" t="s">
        <v>17</v>
      </c>
      <c r="O120" t="s">
        <v>5884</v>
      </c>
    </row>
    <row r="121" spans="1:15" x14ac:dyDescent="0.25">
      <c r="A121" t="s">
        <v>5869</v>
      </c>
      <c r="B121" t="s">
        <v>3411</v>
      </c>
      <c r="C121" t="s">
        <v>5023</v>
      </c>
      <c r="D121">
        <v>0</v>
      </c>
      <c r="E121" s="9" t="s">
        <v>5870</v>
      </c>
      <c r="F121" t="s">
        <v>6393</v>
      </c>
      <c r="G121" s="9" t="s">
        <v>5871</v>
      </c>
      <c r="H121" t="s">
        <v>6394</v>
      </c>
      <c r="I121" t="s">
        <v>17</v>
      </c>
      <c r="J121" t="s">
        <v>17</v>
      </c>
      <c r="K121" t="s">
        <v>5869</v>
      </c>
      <c r="L121" t="s">
        <v>15</v>
      </c>
      <c r="M121" t="s">
        <v>17</v>
      </c>
      <c r="N121" t="s">
        <v>17</v>
      </c>
      <c r="O121" t="s">
        <v>5387</v>
      </c>
    </row>
    <row r="122" spans="1:15" x14ac:dyDescent="0.25">
      <c r="A122" t="s">
        <v>4780</v>
      </c>
      <c r="B122" t="s">
        <v>3991</v>
      </c>
      <c r="C122" t="s">
        <v>0</v>
      </c>
      <c r="D122">
        <v>1</v>
      </c>
      <c r="E122" s="4" t="s">
        <v>6395</v>
      </c>
      <c r="F122" t="s">
        <v>6396</v>
      </c>
      <c r="G122" t="s">
        <v>17</v>
      </c>
      <c r="H122" t="s">
        <v>17</v>
      </c>
      <c r="I122" t="s">
        <v>17</v>
      </c>
      <c r="J122" t="s">
        <v>17</v>
      </c>
      <c r="K122" t="s">
        <v>4780</v>
      </c>
      <c r="L122" t="s">
        <v>15</v>
      </c>
      <c r="M122" t="s">
        <v>6086</v>
      </c>
      <c r="N122" t="s">
        <v>17</v>
      </c>
      <c r="O122" t="s">
        <v>5549</v>
      </c>
    </row>
    <row r="123" spans="1:15" x14ac:dyDescent="0.25">
      <c r="A123" t="s">
        <v>5872</v>
      </c>
      <c r="B123" t="s">
        <v>3423</v>
      </c>
      <c r="C123" t="s">
        <v>5401</v>
      </c>
      <c r="D123">
        <v>1</v>
      </c>
      <c r="E123" s="9" t="s">
        <v>5873</v>
      </c>
      <c r="F123" t="s">
        <v>6397</v>
      </c>
      <c r="G123" s="9" t="s">
        <v>5874</v>
      </c>
      <c r="H123" t="s">
        <v>6398</v>
      </c>
      <c r="I123">
        <v>1</v>
      </c>
      <c r="J123" t="s">
        <v>6079</v>
      </c>
      <c r="K123" t="s">
        <v>5872</v>
      </c>
      <c r="L123" t="s">
        <v>15</v>
      </c>
      <c r="M123" t="s">
        <v>5160</v>
      </c>
      <c r="N123" t="s">
        <v>17</v>
      </c>
      <c r="O123" t="s">
        <v>5683</v>
      </c>
    </row>
    <row r="124" spans="1:15" x14ac:dyDescent="0.25">
      <c r="A124" t="s">
        <v>4805</v>
      </c>
      <c r="B124" t="s">
        <v>3991</v>
      </c>
      <c r="C124" t="s">
        <v>0</v>
      </c>
      <c r="D124" t="s">
        <v>4593</v>
      </c>
      <c r="E124" t="s">
        <v>5875</v>
      </c>
      <c r="F124" t="s">
        <v>6399</v>
      </c>
      <c r="G124" t="s">
        <v>17</v>
      </c>
      <c r="H124" t="s">
        <v>17</v>
      </c>
      <c r="I124" t="s">
        <v>17</v>
      </c>
      <c r="J124" t="s">
        <v>17</v>
      </c>
      <c r="K124" t="s">
        <v>5876</v>
      </c>
      <c r="L124" t="s">
        <v>1552</v>
      </c>
      <c r="M124" t="s">
        <v>5127</v>
      </c>
      <c r="N124" t="s">
        <v>17</v>
      </c>
    </row>
    <row r="125" spans="1:15" x14ac:dyDescent="0.25">
      <c r="A125" t="s">
        <v>5880</v>
      </c>
      <c r="B125" t="s">
        <v>3411</v>
      </c>
      <c r="C125" t="s">
        <v>5401</v>
      </c>
      <c r="D125">
        <v>1</v>
      </c>
      <c r="E125" s="9" t="s">
        <v>5881</v>
      </c>
      <c r="F125" t="s">
        <v>6400</v>
      </c>
      <c r="G125" s="9" t="s">
        <v>5882</v>
      </c>
      <c r="H125" t="s">
        <v>6401</v>
      </c>
      <c r="I125">
        <v>1</v>
      </c>
      <c r="J125" t="s">
        <v>6163</v>
      </c>
      <c r="K125" t="s">
        <v>5883</v>
      </c>
      <c r="L125" t="s">
        <v>15</v>
      </c>
      <c r="M125" t="s">
        <v>17</v>
      </c>
      <c r="N125" t="s">
        <v>17</v>
      </c>
      <c r="O125" t="s">
        <v>5884</v>
      </c>
    </row>
    <row r="126" spans="1:15" x14ac:dyDescent="0.25">
      <c r="A126" t="s">
        <v>5025</v>
      </c>
      <c r="B126" t="s">
        <v>3423</v>
      </c>
      <c r="C126" t="s">
        <v>5023</v>
      </c>
      <c r="D126">
        <v>0</v>
      </c>
      <c r="E126" s="9" t="s">
        <v>5885</v>
      </c>
      <c r="F126" t="s">
        <v>6402</v>
      </c>
      <c r="G126" s="9" t="s">
        <v>5886</v>
      </c>
      <c r="H126" t="s">
        <v>6403</v>
      </c>
      <c r="I126">
        <v>0</v>
      </c>
      <c r="J126" t="s">
        <v>17</v>
      </c>
      <c r="K126" t="s">
        <v>5025</v>
      </c>
      <c r="L126" t="s">
        <v>15</v>
      </c>
      <c r="M126" t="s">
        <v>17</v>
      </c>
      <c r="N126" t="s">
        <v>17</v>
      </c>
      <c r="O126" t="s">
        <v>5418</v>
      </c>
    </row>
    <row r="127" spans="1:15" x14ac:dyDescent="0.25">
      <c r="A127" t="s">
        <v>5887</v>
      </c>
      <c r="B127" t="s">
        <v>3423</v>
      </c>
      <c r="C127" t="s">
        <v>5401</v>
      </c>
      <c r="D127">
        <v>1</v>
      </c>
      <c r="E127" s="9" t="s">
        <v>5888</v>
      </c>
      <c r="F127" t="s">
        <v>6404</v>
      </c>
      <c r="G127" s="9" t="s">
        <v>5889</v>
      </c>
      <c r="H127" t="s">
        <v>6405</v>
      </c>
      <c r="I127">
        <v>1</v>
      </c>
      <c r="J127" t="s">
        <v>6163</v>
      </c>
      <c r="K127" t="s">
        <v>5887</v>
      </c>
      <c r="L127" t="s">
        <v>15</v>
      </c>
      <c r="M127" t="s">
        <v>17</v>
      </c>
      <c r="N127" t="s">
        <v>17</v>
      </c>
      <c r="O127" t="s">
        <v>5738</v>
      </c>
    </row>
    <row r="128" spans="1:15" x14ac:dyDescent="0.25">
      <c r="A128" t="s">
        <v>5891</v>
      </c>
      <c r="B128" t="s">
        <v>3404</v>
      </c>
      <c r="C128" t="s">
        <v>5401</v>
      </c>
      <c r="D128">
        <v>2</v>
      </c>
      <c r="E128" t="s">
        <v>5892</v>
      </c>
      <c r="F128" t="s">
        <v>6406</v>
      </c>
      <c r="G128" t="s">
        <v>5893</v>
      </c>
      <c r="H128" t="s">
        <v>6407</v>
      </c>
      <c r="I128">
        <v>2</v>
      </c>
      <c r="J128" t="s">
        <v>6168</v>
      </c>
      <c r="K128" t="s">
        <v>5891</v>
      </c>
      <c r="L128" t="s">
        <v>15</v>
      </c>
      <c r="M128" t="s">
        <v>6408</v>
      </c>
      <c r="N128" t="s">
        <v>17</v>
      </c>
      <c r="O128" t="s">
        <v>5675</v>
      </c>
    </row>
    <row r="129" spans="1:15" x14ac:dyDescent="0.25">
      <c r="A129" t="s">
        <v>5894</v>
      </c>
      <c r="B129" t="s">
        <v>3423</v>
      </c>
      <c r="C129" t="s">
        <v>5401</v>
      </c>
      <c r="D129">
        <v>0</v>
      </c>
      <c r="E129" s="9" t="s">
        <v>6409</v>
      </c>
      <c r="F129" t="s">
        <v>6410</v>
      </c>
      <c r="G129" s="9" t="s">
        <v>6411</v>
      </c>
      <c r="H129" t="s">
        <v>6412</v>
      </c>
      <c r="I129">
        <v>0</v>
      </c>
      <c r="J129" t="s">
        <v>6129</v>
      </c>
      <c r="K129" t="s">
        <v>5897</v>
      </c>
      <c r="L129" t="s">
        <v>15</v>
      </c>
      <c r="M129" t="s">
        <v>17</v>
      </c>
      <c r="N129" t="s">
        <v>17</v>
      </c>
      <c r="O129" t="s">
        <v>5898</v>
      </c>
    </row>
    <row r="130" spans="1:15" x14ac:dyDescent="0.25">
      <c r="A130" t="s">
        <v>5902</v>
      </c>
      <c r="B130" t="s">
        <v>3423</v>
      </c>
      <c r="C130" t="s">
        <v>5023</v>
      </c>
      <c r="D130" t="s">
        <v>4593</v>
      </c>
      <c r="E130" t="s">
        <v>5903</v>
      </c>
      <c r="F130" t="s">
        <v>6413</v>
      </c>
      <c r="G130" t="s">
        <v>5904</v>
      </c>
      <c r="H130" t="s">
        <v>6414</v>
      </c>
      <c r="I130" t="s">
        <v>4593</v>
      </c>
      <c r="J130" t="s">
        <v>17</v>
      </c>
      <c r="K130" t="s">
        <v>5902</v>
      </c>
      <c r="L130" t="s">
        <v>15</v>
      </c>
      <c r="M130" t="s">
        <v>5125</v>
      </c>
      <c r="N130" t="s">
        <v>17</v>
      </c>
      <c r="O130" t="s">
        <v>5516</v>
      </c>
    </row>
    <row r="131" spans="1:15" x14ac:dyDescent="0.25">
      <c r="A131" t="s">
        <v>4770</v>
      </c>
      <c r="B131" t="s">
        <v>3991</v>
      </c>
      <c r="C131" t="s">
        <v>0</v>
      </c>
      <c r="D131" t="s">
        <v>4593</v>
      </c>
      <c r="E131" t="s">
        <v>5905</v>
      </c>
      <c r="F131" t="s">
        <v>6415</v>
      </c>
      <c r="G131" t="s">
        <v>17</v>
      </c>
      <c r="H131" t="s">
        <v>17</v>
      </c>
      <c r="I131" t="s">
        <v>17</v>
      </c>
      <c r="J131" t="s">
        <v>17</v>
      </c>
      <c r="K131" t="s">
        <v>4770</v>
      </c>
      <c r="L131" t="s">
        <v>15</v>
      </c>
      <c r="M131" t="s">
        <v>5127</v>
      </c>
      <c r="N131" t="s">
        <v>17</v>
      </c>
      <c r="O131" t="s">
        <v>5549</v>
      </c>
    </row>
    <row r="132" spans="1:15" x14ac:dyDescent="0.25">
      <c r="A132" t="s">
        <v>5906</v>
      </c>
      <c r="B132" t="s">
        <v>3423</v>
      </c>
      <c r="C132" t="s">
        <v>5401</v>
      </c>
      <c r="D132">
        <v>2</v>
      </c>
      <c r="E132" s="9" t="s">
        <v>5907</v>
      </c>
      <c r="F132" t="s">
        <v>6416</v>
      </c>
      <c r="G132" s="9" t="s">
        <v>5908</v>
      </c>
      <c r="H132" t="s">
        <v>6417</v>
      </c>
      <c r="I132" t="s">
        <v>17</v>
      </c>
      <c r="J132" t="s">
        <v>6079</v>
      </c>
      <c r="K132" t="s">
        <v>5909</v>
      </c>
      <c r="L132" t="s">
        <v>15</v>
      </c>
      <c r="M132" t="s">
        <v>17</v>
      </c>
      <c r="N132" t="s">
        <v>17</v>
      </c>
      <c r="O132" t="s">
        <v>5456</v>
      </c>
    </row>
    <row r="133" spans="1:15" x14ac:dyDescent="0.25">
      <c r="A133" t="s">
        <v>4470</v>
      </c>
      <c r="B133" t="s">
        <v>3423</v>
      </c>
      <c r="C133" t="s">
        <v>5023</v>
      </c>
      <c r="D133">
        <v>1</v>
      </c>
      <c r="E133" s="9" t="s">
        <v>5917</v>
      </c>
      <c r="F133" t="s">
        <v>6418</v>
      </c>
      <c r="G133" s="9" t="s">
        <v>5917</v>
      </c>
      <c r="H133" t="s">
        <v>6418</v>
      </c>
      <c r="I133">
        <v>1</v>
      </c>
      <c r="J133" t="s">
        <v>6163</v>
      </c>
      <c r="K133" t="s">
        <v>4473</v>
      </c>
      <c r="L133" t="s">
        <v>1552</v>
      </c>
      <c r="M133" t="s">
        <v>17</v>
      </c>
      <c r="N133" t="s">
        <v>17</v>
      </c>
      <c r="O133" t="s">
        <v>6419</v>
      </c>
    </row>
    <row r="134" spans="1:15" x14ac:dyDescent="0.25">
      <c r="A134" t="s">
        <v>5918</v>
      </c>
      <c r="B134" t="s">
        <v>3423</v>
      </c>
      <c r="C134" t="s">
        <v>5401</v>
      </c>
      <c r="D134">
        <v>2</v>
      </c>
      <c r="E134" s="9" t="s">
        <v>6420</v>
      </c>
      <c r="F134" t="s">
        <v>6421</v>
      </c>
      <c r="G134" s="9" t="s">
        <v>17</v>
      </c>
      <c r="H134" t="s">
        <v>17</v>
      </c>
      <c r="I134" t="s">
        <v>17</v>
      </c>
      <c r="J134" t="s">
        <v>6088</v>
      </c>
      <c r="K134" t="s">
        <v>5920</v>
      </c>
      <c r="L134" t="s">
        <v>15</v>
      </c>
      <c r="M134" t="s">
        <v>17</v>
      </c>
      <c r="N134" t="s">
        <v>5057</v>
      </c>
      <c r="O134" t="s">
        <v>5738</v>
      </c>
    </row>
    <row r="135" spans="1:15" x14ac:dyDescent="0.25">
      <c r="A135" t="s">
        <v>5921</v>
      </c>
      <c r="B135" t="s">
        <v>3423</v>
      </c>
      <c r="C135" t="s">
        <v>5023</v>
      </c>
      <c r="D135">
        <v>1</v>
      </c>
      <c r="E135" s="9" t="s">
        <v>5922</v>
      </c>
      <c r="F135" t="s">
        <v>6422</v>
      </c>
      <c r="G135" s="9" t="s">
        <v>5923</v>
      </c>
      <c r="H135" t="s">
        <v>6423</v>
      </c>
      <c r="I135">
        <v>1</v>
      </c>
      <c r="J135" t="s">
        <v>17</v>
      </c>
      <c r="K135" t="s">
        <v>5924</v>
      </c>
      <c r="L135" t="s">
        <v>15</v>
      </c>
      <c r="M135" t="s">
        <v>17</v>
      </c>
      <c r="N135" t="s">
        <v>17</v>
      </c>
      <c r="O135" t="s">
        <v>5678</v>
      </c>
    </row>
    <row r="136" spans="1:15" x14ac:dyDescent="0.25">
      <c r="A136" t="s">
        <v>5925</v>
      </c>
      <c r="B136" t="s">
        <v>3423</v>
      </c>
      <c r="C136" t="s">
        <v>5023</v>
      </c>
      <c r="D136">
        <v>1</v>
      </c>
      <c r="E136" s="9" t="s">
        <v>5926</v>
      </c>
      <c r="F136" t="s">
        <v>6424</v>
      </c>
      <c r="G136" s="9" t="s">
        <v>5926</v>
      </c>
      <c r="H136" t="s">
        <v>6424</v>
      </c>
      <c r="I136">
        <v>0</v>
      </c>
      <c r="J136" t="s">
        <v>17</v>
      </c>
      <c r="K136" t="s">
        <v>5927</v>
      </c>
      <c r="L136" t="s">
        <v>15</v>
      </c>
      <c r="M136" t="s">
        <v>5160</v>
      </c>
      <c r="N136" t="s">
        <v>17</v>
      </c>
      <c r="O136" t="s">
        <v>5928</v>
      </c>
    </row>
    <row r="137" spans="1:15" x14ac:dyDescent="0.25">
      <c r="A137" t="s">
        <v>5929</v>
      </c>
      <c r="B137" t="s">
        <v>3404</v>
      </c>
      <c r="C137" t="s">
        <v>5023</v>
      </c>
      <c r="D137">
        <v>0</v>
      </c>
      <c r="E137" s="9" t="s">
        <v>6425</v>
      </c>
      <c r="F137" t="s">
        <v>6426</v>
      </c>
      <c r="G137" s="9" t="s">
        <v>6427</v>
      </c>
      <c r="H137" t="s">
        <v>6428</v>
      </c>
      <c r="I137">
        <v>0</v>
      </c>
      <c r="J137" t="s">
        <v>17</v>
      </c>
      <c r="K137" t="s">
        <v>5929</v>
      </c>
      <c r="L137" t="s">
        <v>15</v>
      </c>
      <c r="M137" t="s">
        <v>5160</v>
      </c>
      <c r="N137" t="s">
        <v>17</v>
      </c>
      <c r="O137" t="s">
        <v>5932</v>
      </c>
    </row>
    <row r="138" spans="1:15" x14ac:dyDescent="0.25">
      <c r="A138" t="s">
        <v>5933</v>
      </c>
      <c r="B138" t="s">
        <v>3423</v>
      </c>
      <c r="C138" t="s">
        <v>5023</v>
      </c>
      <c r="D138">
        <v>1</v>
      </c>
      <c r="E138" s="9" t="s">
        <v>5934</v>
      </c>
      <c r="F138" t="s">
        <v>6429</v>
      </c>
      <c r="G138" s="9" t="s">
        <v>5935</v>
      </c>
      <c r="H138" t="s">
        <v>6430</v>
      </c>
      <c r="I138">
        <v>1</v>
      </c>
      <c r="J138" t="s">
        <v>17</v>
      </c>
      <c r="K138" t="s">
        <v>5933</v>
      </c>
      <c r="L138" t="s">
        <v>15</v>
      </c>
      <c r="M138" t="s">
        <v>17</v>
      </c>
      <c r="N138" t="s">
        <v>17</v>
      </c>
      <c r="O138" t="s">
        <v>5678</v>
      </c>
    </row>
    <row r="139" spans="1:15" x14ac:dyDescent="0.25">
      <c r="A139" t="s">
        <v>5936</v>
      </c>
      <c r="B139" t="s">
        <v>3423</v>
      </c>
      <c r="C139" t="s">
        <v>5023</v>
      </c>
      <c r="D139">
        <v>1</v>
      </c>
      <c r="E139" s="9" t="s">
        <v>6431</v>
      </c>
      <c r="F139" t="s">
        <v>6432</v>
      </c>
      <c r="G139" s="9" t="s">
        <v>6431</v>
      </c>
      <c r="H139" t="s">
        <v>6432</v>
      </c>
      <c r="I139">
        <v>0</v>
      </c>
      <c r="J139" t="s">
        <v>17</v>
      </c>
      <c r="K139" t="s">
        <v>5936</v>
      </c>
      <c r="L139" t="s">
        <v>15</v>
      </c>
      <c r="M139" t="s">
        <v>17</v>
      </c>
      <c r="N139" t="s">
        <v>17</v>
      </c>
      <c r="O139" t="s">
        <v>5502</v>
      </c>
    </row>
    <row r="140" spans="1:15" x14ac:dyDescent="0.25">
      <c r="A140" t="s">
        <v>5938</v>
      </c>
      <c r="B140" t="s">
        <v>3423</v>
      </c>
      <c r="C140" t="s">
        <v>5401</v>
      </c>
      <c r="D140">
        <v>2</v>
      </c>
      <c r="E140" s="9" t="s">
        <v>6433</v>
      </c>
      <c r="F140" t="s">
        <v>6434</v>
      </c>
      <c r="G140" s="9" t="s">
        <v>6435</v>
      </c>
      <c r="H140" t="s">
        <v>6436</v>
      </c>
      <c r="I140">
        <v>2</v>
      </c>
      <c r="J140" t="s">
        <v>6163</v>
      </c>
      <c r="K140" t="s">
        <v>5941</v>
      </c>
      <c r="L140" t="s">
        <v>15</v>
      </c>
      <c r="M140" t="s">
        <v>17</v>
      </c>
      <c r="N140" t="s">
        <v>17</v>
      </c>
      <c r="O140" t="s">
        <v>5683</v>
      </c>
    </row>
    <row r="141" spans="1:15" x14ac:dyDescent="0.25">
      <c r="A141" t="s">
        <v>5942</v>
      </c>
      <c r="B141" t="s">
        <v>3991</v>
      </c>
      <c r="C141" t="s">
        <v>0</v>
      </c>
      <c r="D141" t="s">
        <v>4593</v>
      </c>
      <c r="E141" t="s">
        <v>5943</v>
      </c>
      <c r="F141" t="s">
        <v>6437</v>
      </c>
      <c r="G141" t="s">
        <v>17</v>
      </c>
      <c r="H141" t="s">
        <v>17</v>
      </c>
      <c r="I141" t="s">
        <v>17</v>
      </c>
      <c r="J141" t="s">
        <v>17</v>
      </c>
      <c r="K141" t="s">
        <v>5942</v>
      </c>
      <c r="L141" t="s">
        <v>15</v>
      </c>
      <c r="M141" t="s">
        <v>5127</v>
      </c>
      <c r="N141" t="s">
        <v>17</v>
      </c>
      <c r="O141" t="s">
        <v>5549</v>
      </c>
    </row>
    <row r="142" spans="1:15" x14ac:dyDescent="0.25">
      <c r="A142" t="s">
        <v>5944</v>
      </c>
      <c r="B142" t="s">
        <v>3991</v>
      </c>
      <c r="C142" t="s">
        <v>5401</v>
      </c>
      <c r="D142">
        <v>0</v>
      </c>
      <c r="E142" t="s">
        <v>5945</v>
      </c>
      <c r="F142" t="s">
        <v>6438</v>
      </c>
      <c r="G142" t="s">
        <v>5946</v>
      </c>
      <c r="H142" t="s">
        <v>6095</v>
      </c>
      <c r="I142">
        <v>0</v>
      </c>
      <c r="J142" t="s">
        <v>6096</v>
      </c>
      <c r="K142" t="s">
        <v>5944</v>
      </c>
      <c r="L142" t="s">
        <v>15</v>
      </c>
      <c r="M142" t="s">
        <v>5160</v>
      </c>
      <c r="N142" t="s">
        <v>17</v>
      </c>
      <c r="O142" t="s">
        <v>6439</v>
      </c>
    </row>
    <row r="143" spans="1:15" x14ac:dyDescent="0.25">
      <c r="A143" t="s">
        <v>5947</v>
      </c>
      <c r="B143" t="s">
        <v>3423</v>
      </c>
      <c r="C143" t="s">
        <v>5023</v>
      </c>
      <c r="D143">
        <v>2</v>
      </c>
      <c r="E143" s="9" t="s">
        <v>5948</v>
      </c>
      <c r="F143" t="s">
        <v>6440</v>
      </c>
      <c r="G143" s="9" t="s">
        <v>5949</v>
      </c>
      <c r="H143" t="s">
        <v>6441</v>
      </c>
      <c r="I143">
        <v>2</v>
      </c>
      <c r="J143" t="s">
        <v>17</v>
      </c>
      <c r="K143" t="s">
        <v>5947</v>
      </c>
      <c r="L143" t="s">
        <v>15</v>
      </c>
      <c r="M143" t="s">
        <v>5160</v>
      </c>
      <c r="N143" t="s">
        <v>17</v>
      </c>
      <c r="O143" t="s">
        <v>5616</v>
      </c>
    </row>
    <row r="144" spans="1:15" x14ac:dyDescent="0.25">
      <c r="A144" t="s">
        <v>5950</v>
      </c>
      <c r="B144" t="s">
        <v>3411</v>
      </c>
      <c r="C144" t="s">
        <v>5023</v>
      </c>
      <c r="D144">
        <v>1</v>
      </c>
      <c r="E144" t="s">
        <v>5951</v>
      </c>
      <c r="F144" t="s">
        <v>6442</v>
      </c>
      <c r="G144" t="s">
        <v>5952</v>
      </c>
      <c r="H144" t="s">
        <v>6443</v>
      </c>
      <c r="I144">
        <v>1</v>
      </c>
      <c r="J144" t="s">
        <v>17</v>
      </c>
      <c r="K144" t="s">
        <v>5953</v>
      </c>
      <c r="L144" t="s">
        <v>15</v>
      </c>
      <c r="M144" t="s">
        <v>17</v>
      </c>
      <c r="N144" t="s">
        <v>17</v>
      </c>
      <c r="O144" t="s">
        <v>5954</v>
      </c>
    </row>
    <row r="145" spans="1:15" x14ac:dyDescent="0.25">
      <c r="A145" t="s">
        <v>5955</v>
      </c>
      <c r="B145" t="s">
        <v>3423</v>
      </c>
      <c r="C145" t="s">
        <v>5401</v>
      </c>
      <c r="D145" t="s">
        <v>5625</v>
      </c>
      <c r="E145" t="s">
        <v>5956</v>
      </c>
      <c r="F145" t="s">
        <v>6444</v>
      </c>
      <c r="G145" t="s">
        <v>5957</v>
      </c>
      <c r="H145" t="s">
        <v>6445</v>
      </c>
      <c r="I145" t="s">
        <v>5625</v>
      </c>
      <c r="J145" t="s">
        <v>6446</v>
      </c>
      <c r="K145" t="s">
        <v>5955</v>
      </c>
      <c r="L145" t="s">
        <v>15</v>
      </c>
      <c r="M145" t="s">
        <v>17</v>
      </c>
      <c r="N145" t="s">
        <v>17</v>
      </c>
      <c r="O145" t="s">
        <v>5456</v>
      </c>
    </row>
    <row r="146" spans="1:15" x14ac:dyDescent="0.25">
      <c r="A146" t="s">
        <v>5958</v>
      </c>
      <c r="B146" t="s">
        <v>3411</v>
      </c>
      <c r="C146" t="s">
        <v>5401</v>
      </c>
      <c r="D146">
        <v>0</v>
      </c>
      <c r="E146" s="9" t="s">
        <v>5959</v>
      </c>
      <c r="F146" t="s">
        <v>6447</v>
      </c>
      <c r="G146" s="9" t="s">
        <v>5960</v>
      </c>
      <c r="H146" t="s">
        <v>6448</v>
      </c>
      <c r="I146">
        <v>0</v>
      </c>
      <c r="J146" t="s">
        <v>6163</v>
      </c>
      <c r="K146" t="s">
        <v>5958</v>
      </c>
      <c r="L146" t="s">
        <v>15</v>
      </c>
      <c r="M146" t="s">
        <v>17</v>
      </c>
      <c r="N146" t="s">
        <v>17</v>
      </c>
      <c r="O146" t="s">
        <v>5456</v>
      </c>
    </row>
    <row r="147" spans="1:15" x14ac:dyDescent="0.25">
      <c r="A147" t="s">
        <v>5961</v>
      </c>
      <c r="B147" t="s">
        <v>3991</v>
      </c>
      <c r="C147" t="s">
        <v>3486</v>
      </c>
      <c r="D147">
        <v>1</v>
      </c>
      <c r="E147" t="s">
        <v>5962</v>
      </c>
      <c r="F147" t="s">
        <v>6449</v>
      </c>
      <c r="G147" t="s">
        <v>17</v>
      </c>
      <c r="H147" t="s">
        <v>17</v>
      </c>
      <c r="I147" t="s">
        <v>17</v>
      </c>
      <c r="J147" t="s">
        <v>17</v>
      </c>
      <c r="K147" t="s">
        <v>5961</v>
      </c>
      <c r="L147" t="s">
        <v>15</v>
      </c>
      <c r="M147" t="s">
        <v>5160</v>
      </c>
      <c r="N147" t="s">
        <v>17</v>
      </c>
      <c r="O147" t="s">
        <v>6138</v>
      </c>
    </row>
    <row r="148" spans="1:15" x14ac:dyDescent="0.25">
      <c r="A148" t="s">
        <v>5963</v>
      </c>
      <c r="B148" t="s">
        <v>3411</v>
      </c>
      <c r="C148" t="s">
        <v>5401</v>
      </c>
      <c r="D148">
        <v>2</v>
      </c>
      <c r="E148" s="9" t="s">
        <v>5964</v>
      </c>
      <c r="F148" t="s">
        <v>6450</v>
      </c>
      <c r="G148" s="9" t="s">
        <v>5965</v>
      </c>
      <c r="H148" t="s">
        <v>6451</v>
      </c>
      <c r="I148">
        <v>2</v>
      </c>
      <c r="J148" t="s">
        <v>6079</v>
      </c>
      <c r="K148" t="s">
        <v>5966</v>
      </c>
      <c r="L148" t="s">
        <v>15</v>
      </c>
      <c r="M148" t="s">
        <v>17</v>
      </c>
      <c r="N148" t="s">
        <v>17</v>
      </c>
      <c r="O148" t="s">
        <v>5704</v>
      </c>
    </row>
    <row r="149" spans="1:15" x14ac:dyDescent="0.25">
      <c r="A149" t="s">
        <v>5968</v>
      </c>
      <c r="B149" t="s">
        <v>3423</v>
      </c>
      <c r="C149" t="s">
        <v>5023</v>
      </c>
      <c r="D149">
        <v>1</v>
      </c>
      <c r="E149" s="9" t="s">
        <v>5969</v>
      </c>
      <c r="F149" t="s">
        <v>6452</v>
      </c>
      <c r="G149" s="9" t="s">
        <v>5970</v>
      </c>
      <c r="H149" t="s">
        <v>6453</v>
      </c>
      <c r="I149">
        <v>1</v>
      </c>
      <c r="J149" t="s">
        <v>17</v>
      </c>
      <c r="K149" t="s">
        <v>5971</v>
      </c>
      <c r="L149" t="s">
        <v>15</v>
      </c>
      <c r="M149" t="s">
        <v>17</v>
      </c>
      <c r="N149" t="s">
        <v>17</v>
      </c>
      <c r="O149" t="s">
        <v>5606</v>
      </c>
    </row>
    <row r="150" spans="1:15" x14ac:dyDescent="0.25">
      <c r="A150" t="s">
        <v>5972</v>
      </c>
      <c r="B150" t="s">
        <v>3404</v>
      </c>
      <c r="C150" t="s">
        <v>5023</v>
      </c>
      <c r="D150">
        <v>1</v>
      </c>
      <c r="E150" t="s">
        <v>5973</v>
      </c>
      <c r="F150" t="s">
        <v>6454</v>
      </c>
      <c r="G150" t="s">
        <v>5974</v>
      </c>
      <c r="H150" t="s">
        <v>6455</v>
      </c>
      <c r="I150">
        <v>1</v>
      </c>
      <c r="J150" t="s">
        <v>17</v>
      </c>
      <c r="K150" t="s">
        <v>5975</v>
      </c>
      <c r="L150" t="s">
        <v>15</v>
      </c>
      <c r="M150" t="s">
        <v>17</v>
      </c>
      <c r="N150" t="s">
        <v>17</v>
      </c>
      <c r="O150" t="s">
        <v>5976</v>
      </c>
    </row>
    <row r="151" spans="1:15" x14ac:dyDescent="0.25">
      <c r="A151" t="s">
        <v>6456</v>
      </c>
      <c r="B151" t="s">
        <v>3436</v>
      </c>
      <c r="C151" t="s">
        <v>5401</v>
      </c>
      <c r="D151">
        <v>1</v>
      </c>
      <c r="E151" t="s">
        <v>5959</v>
      </c>
      <c r="F151" t="s">
        <v>6447</v>
      </c>
      <c r="G151" t="s">
        <v>5960</v>
      </c>
      <c r="H151" t="s">
        <v>6448</v>
      </c>
      <c r="I151">
        <v>1</v>
      </c>
      <c r="J151" t="s">
        <v>6088</v>
      </c>
      <c r="K151" t="s">
        <v>6457</v>
      </c>
      <c r="L151" t="s">
        <v>15</v>
      </c>
      <c r="M151" t="s">
        <v>17</v>
      </c>
      <c r="N151" t="s">
        <v>17</v>
      </c>
      <c r="O151" t="s">
        <v>6458</v>
      </c>
    </row>
    <row r="152" spans="1:15" x14ac:dyDescent="0.25">
      <c r="A152" t="s">
        <v>6459</v>
      </c>
      <c r="B152" t="s">
        <v>3436</v>
      </c>
      <c r="C152" t="s">
        <v>5401</v>
      </c>
      <c r="D152">
        <v>1</v>
      </c>
      <c r="E152" t="s">
        <v>5959</v>
      </c>
      <c r="F152" t="s">
        <v>6447</v>
      </c>
      <c r="G152" t="s">
        <v>5960</v>
      </c>
      <c r="H152" t="s">
        <v>6448</v>
      </c>
      <c r="I152">
        <v>1</v>
      </c>
      <c r="J152" t="s">
        <v>6071</v>
      </c>
      <c r="K152" t="s">
        <v>6460</v>
      </c>
      <c r="L152" t="s">
        <v>15</v>
      </c>
      <c r="M152" t="s">
        <v>17</v>
      </c>
      <c r="N152" t="s">
        <v>17</v>
      </c>
      <c r="O152" t="s">
        <v>6458</v>
      </c>
    </row>
    <row r="153" spans="1:15" x14ac:dyDescent="0.25">
      <c r="A153" t="s">
        <v>5978</v>
      </c>
      <c r="B153" t="s">
        <v>3411</v>
      </c>
      <c r="C153" t="s">
        <v>5401</v>
      </c>
      <c r="D153">
        <v>1</v>
      </c>
      <c r="E153" t="s">
        <v>5979</v>
      </c>
      <c r="F153" t="s">
        <v>6461</v>
      </c>
      <c r="G153" t="s">
        <v>5980</v>
      </c>
      <c r="H153" t="s">
        <v>6462</v>
      </c>
      <c r="I153">
        <v>1</v>
      </c>
      <c r="J153" t="s">
        <v>6071</v>
      </c>
      <c r="K153" t="s">
        <v>5981</v>
      </c>
      <c r="L153" t="s">
        <v>15</v>
      </c>
      <c r="M153" t="s">
        <v>17</v>
      </c>
      <c r="N153" t="s">
        <v>17</v>
      </c>
      <c r="O153" t="s">
        <v>5432</v>
      </c>
    </row>
    <row r="154" spans="1:15" x14ac:dyDescent="0.25">
      <c r="A154" t="s">
        <v>5375</v>
      </c>
      <c r="B154" t="s">
        <v>3436</v>
      </c>
      <c r="C154" t="s">
        <v>5023</v>
      </c>
      <c r="D154">
        <v>1</v>
      </c>
      <c r="E154" t="s">
        <v>5982</v>
      </c>
      <c r="F154" t="s">
        <v>6463</v>
      </c>
      <c r="G154" t="s">
        <v>5983</v>
      </c>
      <c r="H154" t="s">
        <v>6464</v>
      </c>
      <c r="I154">
        <v>1</v>
      </c>
      <c r="J154" t="s">
        <v>17</v>
      </c>
      <c r="K154" t="s">
        <v>5375</v>
      </c>
      <c r="L154" t="s">
        <v>15</v>
      </c>
      <c r="M154" t="s">
        <v>17</v>
      </c>
      <c r="N154" t="s">
        <v>17</v>
      </c>
      <c r="O154" t="s">
        <v>5984</v>
      </c>
    </row>
    <row r="155" spans="1:15" x14ac:dyDescent="0.25">
      <c r="A155" t="s">
        <v>5985</v>
      </c>
      <c r="B155" t="s">
        <v>3411</v>
      </c>
      <c r="C155" t="s">
        <v>5401</v>
      </c>
      <c r="D155">
        <v>1</v>
      </c>
      <c r="E155" t="s">
        <v>5986</v>
      </c>
      <c r="F155" t="s">
        <v>6465</v>
      </c>
      <c r="G155" t="s">
        <v>5987</v>
      </c>
      <c r="H155" t="s">
        <v>6466</v>
      </c>
      <c r="I155">
        <v>1</v>
      </c>
      <c r="J155" t="s">
        <v>6467</v>
      </c>
      <c r="K155" t="s">
        <v>5988</v>
      </c>
      <c r="L155" t="s">
        <v>15</v>
      </c>
      <c r="M155" t="s">
        <v>17</v>
      </c>
      <c r="N155" t="s">
        <v>17</v>
      </c>
      <c r="O155" t="s">
        <v>5989</v>
      </c>
    </row>
    <row r="156" spans="1:15" x14ac:dyDescent="0.25">
      <c r="A156" t="s">
        <v>5990</v>
      </c>
      <c r="B156" t="s">
        <v>3411</v>
      </c>
      <c r="C156" t="s">
        <v>5401</v>
      </c>
      <c r="D156">
        <v>1</v>
      </c>
      <c r="E156" t="s">
        <v>6468</v>
      </c>
      <c r="F156" t="s">
        <v>6469</v>
      </c>
      <c r="G156" t="s">
        <v>6470</v>
      </c>
      <c r="H156" t="s">
        <v>6471</v>
      </c>
      <c r="I156">
        <v>1</v>
      </c>
      <c r="J156" t="s">
        <v>6472</v>
      </c>
      <c r="K156" t="s">
        <v>5993</v>
      </c>
      <c r="L156" t="s">
        <v>15</v>
      </c>
      <c r="M156" t="s">
        <v>5095</v>
      </c>
      <c r="N156" t="s">
        <v>17</v>
      </c>
      <c r="O156" t="s">
        <v>5414</v>
      </c>
    </row>
    <row r="157" spans="1:15" x14ac:dyDescent="0.25">
      <c r="A157" t="s">
        <v>5994</v>
      </c>
      <c r="B157" t="s">
        <v>3423</v>
      </c>
      <c r="C157" t="s">
        <v>5023</v>
      </c>
      <c r="D157" t="s">
        <v>4593</v>
      </c>
      <c r="E157" t="s">
        <v>5995</v>
      </c>
      <c r="F157" t="s">
        <v>6473</v>
      </c>
      <c r="G157" t="s">
        <v>5996</v>
      </c>
      <c r="H157" t="s">
        <v>6424</v>
      </c>
      <c r="I157" t="s">
        <v>4593</v>
      </c>
      <c r="J157" t="s">
        <v>17</v>
      </c>
      <c r="K157" t="s">
        <v>5994</v>
      </c>
      <c r="L157" t="s">
        <v>15</v>
      </c>
      <c r="M157" t="s">
        <v>5125</v>
      </c>
      <c r="N157" t="s">
        <v>17</v>
      </c>
      <c r="O157" t="s">
        <v>5997</v>
      </c>
    </row>
    <row r="158" spans="1:15" x14ac:dyDescent="0.25">
      <c r="A158" t="s">
        <v>6002</v>
      </c>
      <c r="B158" t="s">
        <v>3423</v>
      </c>
      <c r="C158" t="s">
        <v>5023</v>
      </c>
      <c r="D158">
        <v>1</v>
      </c>
      <c r="E158" t="s">
        <v>6003</v>
      </c>
      <c r="F158" t="s">
        <v>6474</v>
      </c>
      <c r="G158" t="s">
        <v>6003</v>
      </c>
      <c r="H158" t="s">
        <v>6474</v>
      </c>
      <c r="I158">
        <v>0</v>
      </c>
      <c r="J158" t="s">
        <v>6129</v>
      </c>
      <c r="K158" t="s">
        <v>6002</v>
      </c>
      <c r="L158" t="s">
        <v>15</v>
      </c>
      <c r="M158" t="s">
        <v>5160</v>
      </c>
      <c r="N158" t="s">
        <v>17</v>
      </c>
      <c r="O158" t="s">
        <v>5810</v>
      </c>
    </row>
    <row r="159" spans="1:15" x14ac:dyDescent="0.25">
      <c r="A159" t="s">
        <v>6004</v>
      </c>
      <c r="B159" t="s">
        <v>3411</v>
      </c>
      <c r="C159" t="s">
        <v>5401</v>
      </c>
      <c r="D159">
        <v>1</v>
      </c>
      <c r="E159" t="s">
        <v>6475</v>
      </c>
      <c r="F159" t="s">
        <v>6476</v>
      </c>
      <c r="G159" t="s">
        <v>6477</v>
      </c>
      <c r="H159" t="s">
        <v>6478</v>
      </c>
      <c r="I159">
        <v>1</v>
      </c>
      <c r="J159" t="s">
        <v>6479</v>
      </c>
      <c r="K159" t="s">
        <v>6004</v>
      </c>
      <c r="L159" t="s">
        <v>15</v>
      </c>
      <c r="M159" t="s">
        <v>17</v>
      </c>
      <c r="N159" t="s">
        <v>5054</v>
      </c>
      <c r="O159" t="s">
        <v>6480</v>
      </c>
    </row>
    <row r="160" spans="1:15" x14ac:dyDescent="0.25">
      <c r="A160" t="s">
        <v>6010</v>
      </c>
      <c r="B160" t="s">
        <v>3411</v>
      </c>
      <c r="C160" t="s">
        <v>5023</v>
      </c>
      <c r="D160">
        <v>1</v>
      </c>
      <c r="E160" s="9" t="s">
        <v>6011</v>
      </c>
      <c r="F160" t="s">
        <v>6481</v>
      </c>
      <c r="G160" s="9" t="s">
        <v>6012</v>
      </c>
      <c r="H160" t="s">
        <v>6482</v>
      </c>
      <c r="I160">
        <v>1</v>
      </c>
      <c r="J160" t="s">
        <v>17</v>
      </c>
      <c r="K160" t="s">
        <v>6013</v>
      </c>
      <c r="L160" t="s">
        <v>15</v>
      </c>
      <c r="M160" t="s">
        <v>17</v>
      </c>
      <c r="N160" t="s">
        <v>17</v>
      </c>
      <c r="O160" t="s">
        <v>5678</v>
      </c>
    </row>
    <row r="161" spans="1:15" x14ac:dyDescent="0.25">
      <c r="A161" t="s">
        <v>6014</v>
      </c>
      <c r="B161" t="s">
        <v>3411</v>
      </c>
      <c r="C161" t="s">
        <v>5401</v>
      </c>
      <c r="D161">
        <v>1</v>
      </c>
      <c r="E161" t="s">
        <v>6015</v>
      </c>
      <c r="F161" t="s">
        <v>6483</v>
      </c>
      <c r="G161" t="s">
        <v>6016</v>
      </c>
      <c r="H161" t="s">
        <v>6484</v>
      </c>
      <c r="I161">
        <v>1</v>
      </c>
      <c r="J161" t="s">
        <v>6088</v>
      </c>
      <c r="K161" t="s">
        <v>6017</v>
      </c>
      <c r="L161" t="s">
        <v>15</v>
      </c>
      <c r="M161" t="s">
        <v>17</v>
      </c>
      <c r="N161" t="s">
        <v>17</v>
      </c>
      <c r="O161" t="s">
        <v>6485</v>
      </c>
    </row>
    <row r="162" spans="1:15" x14ac:dyDescent="0.25">
      <c r="A162" t="s">
        <v>6018</v>
      </c>
      <c r="B162" t="s">
        <v>3404</v>
      </c>
      <c r="C162" t="s">
        <v>5401</v>
      </c>
      <c r="D162">
        <v>1</v>
      </c>
      <c r="E162" s="9" t="s">
        <v>6019</v>
      </c>
      <c r="F162" t="s">
        <v>6486</v>
      </c>
      <c r="G162" s="9" t="s">
        <v>6020</v>
      </c>
      <c r="H162" t="s">
        <v>6487</v>
      </c>
      <c r="I162">
        <v>1</v>
      </c>
      <c r="J162" t="s">
        <v>6195</v>
      </c>
      <c r="K162" t="s">
        <v>6018</v>
      </c>
      <c r="L162" t="s">
        <v>15</v>
      </c>
      <c r="M162" t="s">
        <v>17</v>
      </c>
      <c r="N162" t="s">
        <v>17</v>
      </c>
      <c r="O162" t="s">
        <v>5661</v>
      </c>
    </row>
    <row r="163" spans="1:15" x14ac:dyDescent="0.25">
      <c r="A163" t="s">
        <v>6021</v>
      </c>
      <c r="B163" t="s">
        <v>3423</v>
      </c>
      <c r="C163" t="s">
        <v>5401</v>
      </c>
      <c r="D163">
        <v>2</v>
      </c>
      <c r="E163" t="s">
        <v>6022</v>
      </c>
      <c r="F163" t="s">
        <v>6488</v>
      </c>
      <c r="G163" t="s">
        <v>6023</v>
      </c>
      <c r="H163" t="s">
        <v>6489</v>
      </c>
      <c r="I163">
        <v>2</v>
      </c>
      <c r="J163" t="s">
        <v>6071</v>
      </c>
      <c r="K163" t="s">
        <v>6021</v>
      </c>
      <c r="L163" t="s">
        <v>15</v>
      </c>
      <c r="M163" t="s">
        <v>17</v>
      </c>
      <c r="N163" t="s">
        <v>17</v>
      </c>
      <c r="O163" t="s">
        <v>5546</v>
      </c>
    </row>
    <row r="164" spans="1:15" x14ac:dyDescent="0.25">
      <c r="A164" t="s">
        <v>6025</v>
      </c>
      <c r="B164" t="s">
        <v>3411</v>
      </c>
      <c r="C164" t="s">
        <v>5023</v>
      </c>
      <c r="D164">
        <v>0</v>
      </c>
      <c r="E164" t="s">
        <v>6026</v>
      </c>
      <c r="F164" t="s">
        <v>6490</v>
      </c>
      <c r="G164" t="s">
        <v>6027</v>
      </c>
      <c r="H164" t="s">
        <v>6491</v>
      </c>
      <c r="I164">
        <v>0</v>
      </c>
      <c r="J164" t="s">
        <v>17</v>
      </c>
      <c r="K164" t="s">
        <v>6025</v>
      </c>
      <c r="L164" t="s">
        <v>15</v>
      </c>
      <c r="M164" t="s">
        <v>5160</v>
      </c>
      <c r="N164" t="s">
        <v>17</v>
      </c>
      <c r="O164" t="s">
        <v>5442</v>
      </c>
    </row>
    <row r="165" spans="1:15" x14ac:dyDescent="0.25">
      <c r="A165" t="s">
        <v>4954</v>
      </c>
      <c r="B165" t="s">
        <v>3423</v>
      </c>
      <c r="C165" t="s">
        <v>4247</v>
      </c>
      <c r="D165">
        <v>1</v>
      </c>
      <c r="E165" s="9" t="s">
        <v>6492</v>
      </c>
      <c r="F165" t="s">
        <v>6493</v>
      </c>
      <c r="G165" s="9" t="s">
        <v>6494</v>
      </c>
      <c r="H165" t="s">
        <v>6495</v>
      </c>
      <c r="I165">
        <v>1</v>
      </c>
      <c r="J165" t="s">
        <v>17</v>
      </c>
      <c r="K165" t="s">
        <v>4956</v>
      </c>
      <c r="L165" t="s">
        <v>15</v>
      </c>
      <c r="M165" t="s">
        <v>17</v>
      </c>
      <c r="N165" t="s">
        <v>17</v>
      </c>
      <c r="O165" t="s">
        <v>6496</v>
      </c>
    </row>
    <row r="166" spans="1:15" x14ac:dyDescent="0.25">
      <c r="A166" t="s">
        <v>6031</v>
      </c>
      <c r="B166" t="s">
        <v>3423</v>
      </c>
      <c r="C166" t="s">
        <v>5401</v>
      </c>
      <c r="D166" t="s">
        <v>5625</v>
      </c>
      <c r="E166" t="s">
        <v>6497</v>
      </c>
      <c r="F166" t="s">
        <v>6498</v>
      </c>
      <c r="G166" t="s">
        <v>6499</v>
      </c>
      <c r="H166" t="s">
        <v>6500</v>
      </c>
      <c r="I166" t="s">
        <v>5625</v>
      </c>
      <c r="J166" t="s">
        <v>6168</v>
      </c>
      <c r="K166" t="s">
        <v>6031</v>
      </c>
      <c r="L166" t="s">
        <v>15</v>
      </c>
      <c r="M166" t="s">
        <v>17</v>
      </c>
      <c r="N166" t="s">
        <v>17</v>
      </c>
      <c r="O166" t="s">
        <v>5538</v>
      </c>
    </row>
    <row r="167" spans="1:15" x14ac:dyDescent="0.25">
      <c r="A167" t="s">
        <v>6034</v>
      </c>
      <c r="B167" t="s">
        <v>3423</v>
      </c>
      <c r="C167" t="s">
        <v>5023</v>
      </c>
      <c r="D167">
        <v>1</v>
      </c>
      <c r="E167" s="9" t="s">
        <v>6035</v>
      </c>
      <c r="F167" t="s">
        <v>6501</v>
      </c>
      <c r="G167" s="9" t="s">
        <v>6035</v>
      </c>
      <c r="H167" t="s">
        <v>6501</v>
      </c>
      <c r="I167">
        <v>0</v>
      </c>
      <c r="J167" t="s">
        <v>17</v>
      </c>
      <c r="K167" t="s">
        <v>6036</v>
      </c>
      <c r="L167" t="s">
        <v>15</v>
      </c>
      <c r="M167" t="s">
        <v>5160</v>
      </c>
      <c r="N167" t="s">
        <v>17</v>
      </c>
      <c r="O167" t="s">
        <v>6502</v>
      </c>
    </row>
    <row r="168" spans="1:15" x14ac:dyDescent="0.25">
      <c r="A168" t="s">
        <v>6038</v>
      </c>
      <c r="B168" t="s">
        <v>3411</v>
      </c>
      <c r="C168" t="s">
        <v>5401</v>
      </c>
      <c r="D168">
        <v>1</v>
      </c>
      <c r="E168" s="9" t="s">
        <v>6039</v>
      </c>
      <c r="F168" t="s">
        <v>6503</v>
      </c>
      <c r="G168" s="9" t="s">
        <v>6040</v>
      </c>
      <c r="H168" t="s">
        <v>6504</v>
      </c>
      <c r="I168">
        <v>1</v>
      </c>
      <c r="J168" t="s">
        <v>6129</v>
      </c>
      <c r="K168" t="s">
        <v>6041</v>
      </c>
      <c r="L168" t="s">
        <v>15</v>
      </c>
      <c r="M168" t="s">
        <v>17</v>
      </c>
      <c r="N168" t="s">
        <v>17</v>
      </c>
      <c r="O168" t="s">
        <v>5898</v>
      </c>
    </row>
    <row r="169" spans="1:15" x14ac:dyDescent="0.25">
      <c r="A169" t="s">
        <v>6042</v>
      </c>
      <c r="B169" t="s">
        <v>3991</v>
      </c>
      <c r="C169" t="s">
        <v>3486</v>
      </c>
      <c r="D169" t="s">
        <v>4593</v>
      </c>
      <c r="E169" s="9" t="s">
        <v>5767</v>
      </c>
      <c r="F169" t="s">
        <v>6176</v>
      </c>
      <c r="G169" s="9" t="s">
        <v>17</v>
      </c>
      <c r="H169" t="s">
        <v>17</v>
      </c>
      <c r="I169" t="s">
        <v>17</v>
      </c>
      <c r="J169" t="s">
        <v>17</v>
      </c>
      <c r="K169" t="s">
        <v>6042</v>
      </c>
      <c r="L169" t="s">
        <v>15</v>
      </c>
      <c r="M169" t="s">
        <v>17</v>
      </c>
      <c r="N169" t="s">
        <v>17</v>
      </c>
      <c r="O169" t="s">
        <v>6138</v>
      </c>
    </row>
    <row r="170" spans="1:15" x14ac:dyDescent="0.25">
      <c r="A170" t="s">
        <v>6043</v>
      </c>
      <c r="B170" t="s">
        <v>3404</v>
      </c>
      <c r="C170" t="s">
        <v>4247</v>
      </c>
      <c r="D170">
        <v>3</v>
      </c>
      <c r="E170" s="9" t="s">
        <v>6505</v>
      </c>
      <c r="F170" t="s">
        <v>6506</v>
      </c>
      <c r="G170" s="9" t="s">
        <v>6507</v>
      </c>
      <c r="H170" t="s">
        <v>6508</v>
      </c>
      <c r="I170" t="s">
        <v>17</v>
      </c>
      <c r="J170" t="s">
        <v>17</v>
      </c>
      <c r="K170" t="s">
        <v>6046</v>
      </c>
      <c r="L170" t="s">
        <v>15</v>
      </c>
      <c r="M170" t="s">
        <v>17</v>
      </c>
      <c r="N170" t="s">
        <v>17</v>
      </c>
      <c r="O170" t="s">
        <v>5396</v>
      </c>
    </row>
    <row r="171" spans="1:15" x14ac:dyDescent="0.25">
      <c r="A171" t="s">
        <v>6047</v>
      </c>
      <c r="B171" t="s">
        <v>3991</v>
      </c>
      <c r="C171" t="s">
        <v>0</v>
      </c>
      <c r="D171" t="s">
        <v>4593</v>
      </c>
      <c r="E171" t="s">
        <v>6048</v>
      </c>
      <c r="F171" t="s">
        <v>6176</v>
      </c>
      <c r="G171" t="s">
        <v>17</v>
      </c>
      <c r="H171" t="s">
        <v>17</v>
      </c>
      <c r="I171" t="s">
        <v>17</v>
      </c>
      <c r="J171" t="s">
        <v>17</v>
      </c>
      <c r="K171" t="s">
        <v>6047</v>
      </c>
      <c r="L171" t="s">
        <v>15</v>
      </c>
      <c r="M171" t="s">
        <v>5127</v>
      </c>
      <c r="N171" t="s">
        <v>17</v>
      </c>
      <c r="O171" t="s">
        <v>5549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6509</v>
      </c>
      <c r="C1" t="s">
        <v>6510</v>
      </c>
      <c r="D1" t="s">
        <v>3348</v>
      </c>
      <c r="E1" t="s">
        <v>3399</v>
      </c>
      <c r="F1" t="s">
        <v>6511</v>
      </c>
    </row>
    <row r="2" spans="1:6" ht="15" customHeight="1" x14ac:dyDescent="0.25">
      <c r="A2" t="s">
        <v>6512</v>
      </c>
      <c r="B2" t="s">
        <v>4343</v>
      </c>
      <c r="C2" t="s">
        <v>6513</v>
      </c>
      <c r="D2" t="s">
        <v>6514</v>
      </c>
      <c r="E2" t="s">
        <v>6515</v>
      </c>
      <c r="F2" t="s">
        <v>6516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6517</v>
      </c>
      <c r="D1" t="s">
        <v>90</v>
      </c>
      <c r="E1" t="s">
        <v>4096</v>
      </c>
      <c r="F1" t="s">
        <v>3840</v>
      </c>
    </row>
    <row r="2" spans="1:6" ht="15" customHeight="1" x14ac:dyDescent="0.25">
      <c r="A2" t="s">
        <v>6518</v>
      </c>
      <c r="B2" t="s">
        <v>6519</v>
      </c>
      <c r="C2" t="s">
        <v>4836</v>
      </c>
      <c r="D2" t="s">
        <v>3486</v>
      </c>
      <c r="E2" t="s">
        <v>17</v>
      </c>
      <c r="F2" t="s">
        <v>17</v>
      </c>
    </row>
    <row r="3" spans="1:6" ht="15" customHeight="1" x14ac:dyDescent="0.25">
      <c r="A3" t="s">
        <v>6520</v>
      </c>
      <c r="B3" t="s">
        <v>6521</v>
      </c>
      <c r="C3" t="s">
        <v>6522</v>
      </c>
      <c r="D3" t="s">
        <v>3486</v>
      </c>
      <c r="E3" t="s">
        <v>17</v>
      </c>
      <c r="F3" t="s">
        <v>17</v>
      </c>
    </row>
    <row r="4" spans="1:6" ht="15" customHeight="1" x14ac:dyDescent="0.25">
      <c r="A4" t="s">
        <v>6523</v>
      </c>
      <c r="B4" t="s">
        <v>6524</v>
      </c>
      <c r="C4" t="s">
        <v>4839</v>
      </c>
      <c r="D4" t="s">
        <v>6523</v>
      </c>
      <c r="E4" t="s">
        <v>3824</v>
      </c>
      <c r="F4" t="s">
        <v>3404</v>
      </c>
    </row>
    <row r="5" spans="1:6" ht="15" customHeight="1" x14ac:dyDescent="0.25">
      <c r="A5" t="s">
        <v>6525</v>
      </c>
      <c r="B5" t="s">
        <v>6526</v>
      </c>
      <c r="C5" t="s">
        <v>6527</v>
      </c>
      <c r="D5" t="s">
        <v>3416</v>
      </c>
      <c r="E5" t="s">
        <v>3829</v>
      </c>
      <c r="F5" t="s">
        <v>3411</v>
      </c>
    </row>
    <row r="6" spans="1:6" ht="15" customHeight="1" x14ac:dyDescent="0.25">
      <c r="A6" t="s">
        <v>6528</v>
      </c>
      <c r="B6" t="s">
        <v>6529</v>
      </c>
      <c r="C6" t="s">
        <v>6527</v>
      </c>
      <c r="D6" t="s">
        <v>3486</v>
      </c>
      <c r="E6" t="s">
        <v>17</v>
      </c>
      <c r="F6" t="s">
        <v>3423</v>
      </c>
    </row>
    <row r="7" spans="1:6" ht="15" customHeight="1" x14ac:dyDescent="0.25">
      <c r="A7" t="s">
        <v>6530</v>
      </c>
      <c r="B7" t="s">
        <v>6531</v>
      </c>
      <c r="C7" t="s">
        <v>6522</v>
      </c>
      <c r="D7" t="s">
        <v>3486</v>
      </c>
      <c r="E7" t="s">
        <v>17</v>
      </c>
    </row>
    <row r="8" spans="1:6" ht="15" customHeight="1" x14ac:dyDescent="0.25">
      <c r="A8" t="s">
        <v>6532</v>
      </c>
      <c r="B8" t="s">
        <v>6533</v>
      </c>
      <c r="C8" t="s">
        <v>4836</v>
      </c>
      <c r="D8" t="s">
        <v>3486</v>
      </c>
      <c r="E8" t="s">
        <v>17</v>
      </c>
      <c r="F8" t="s">
        <v>17</v>
      </c>
    </row>
    <row r="9" spans="1:6" ht="15" customHeight="1" x14ac:dyDescent="0.25">
      <c r="A9" t="s">
        <v>6534</v>
      </c>
      <c r="B9" t="s">
        <v>6535</v>
      </c>
      <c r="C9" t="s">
        <v>4839</v>
      </c>
      <c r="D9" t="s">
        <v>5401</v>
      </c>
      <c r="E9" t="s">
        <v>3824</v>
      </c>
      <c r="F9" t="s">
        <v>3411</v>
      </c>
    </row>
    <row r="10" spans="1:6" ht="15" customHeight="1" x14ac:dyDescent="0.25">
      <c r="A10" t="s">
        <v>6536</v>
      </c>
      <c r="B10" t="s">
        <v>6537</v>
      </c>
      <c r="C10" t="s">
        <v>6522</v>
      </c>
      <c r="D10" t="s">
        <v>3486</v>
      </c>
      <c r="E10" t="s">
        <v>4683</v>
      </c>
      <c r="F10" t="s">
        <v>3411</v>
      </c>
    </row>
    <row r="11" spans="1:6" ht="15" customHeight="1" x14ac:dyDescent="0.25">
      <c r="A11" t="s">
        <v>6538</v>
      </c>
      <c r="B11" t="s">
        <v>6539</v>
      </c>
      <c r="C11" t="s">
        <v>6527</v>
      </c>
      <c r="D11" t="s">
        <v>3336</v>
      </c>
      <c r="E11" t="s">
        <v>17</v>
      </c>
      <c r="F11" t="s">
        <v>3423</v>
      </c>
    </row>
    <row r="12" spans="1:6" ht="15" customHeight="1" x14ac:dyDescent="0.25">
      <c r="A12" t="s">
        <v>6540</v>
      </c>
      <c r="B12" t="s">
        <v>6541</v>
      </c>
      <c r="C12" t="s">
        <v>4839</v>
      </c>
      <c r="D12" t="s">
        <v>3486</v>
      </c>
      <c r="E12" t="s">
        <v>4683</v>
      </c>
      <c r="F12" t="s">
        <v>3411</v>
      </c>
    </row>
    <row r="13" spans="1:6" ht="15" customHeight="1" x14ac:dyDescent="0.25">
      <c r="A13" t="s">
        <v>6542</v>
      </c>
      <c r="B13" t="s">
        <v>6543</v>
      </c>
      <c r="C13" t="s">
        <v>6522</v>
      </c>
      <c r="D13" t="s">
        <v>3486</v>
      </c>
      <c r="E13" t="s">
        <v>17</v>
      </c>
      <c r="F13" t="s">
        <v>17</v>
      </c>
    </row>
    <row r="14" spans="1:6" ht="15" customHeight="1" x14ac:dyDescent="0.25">
      <c r="A14" t="s">
        <v>6544</v>
      </c>
      <c r="B14" t="s">
        <v>6545</v>
      </c>
      <c r="C14" t="s">
        <v>6522</v>
      </c>
      <c r="D14" t="s">
        <v>3486</v>
      </c>
      <c r="E14" t="s">
        <v>17</v>
      </c>
      <c r="F14" t="s">
        <v>17</v>
      </c>
    </row>
    <row r="15" spans="1:6" ht="15" customHeight="1" x14ac:dyDescent="0.25">
      <c r="A15" t="s">
        <v>6546</v>
      </c>
      <c r="B15" t="s">
        <v>6547</v>
      </c>
      <c r="C15" t="s">
        <v>4839</v>
      </c>
      <c r="D15" t="s">
        <v>5401</v>
      </c>
      <c r="E15" t="s">
        <v>6548</v>
      </c>
      <c r="F15" t="s">
        <v>3404</v>
      </c>
    </row>
    <row r="16" spans="1:6" ht="15" customHeight="1" x14ac:dyDescent="0.25">
      <c r="A16" t="s">
        <v>6549</v>
      </c>
      <c r="B16" t="s">
        <v>6550</v>
      </c>
      <c r="C16" t="s">
        <v>6522</v>
      </c>
      <c r="D16" t="s">
        <v>6549</v>
      </c>
      <c r="E16" t="s">
        <v>17</v>
      </c>
      <c r="F16" t="s">
        <v>3411</v>
      </c>
    </row>
    <row r="17" spans="1:6" ht="15" customHeight="1" x14ac:dyDescent="0.25">
      <c r="A17" t="s">
        <v>5839</v>
      </c>
      <c r="B17" t="s">
        <v>6551</v>
      </c>
      <c r="C17" t="s">
        <v>6522</v>
      </c>
      <c r="D17" t="s">
        <v>3486</v>
      </c>
      <c r="E17" t="s">
        <v>3824</v>
      </c>
      <c r="F17" t="s">
        <v>17</v>
      </c>
    </row>
    <row r="18" spans="1:6" ht="15" customHeight="1" x14ac:dyDescent="0.25">
      <c r="A18" t="s">
        <v>5354</v>
      </c>
      <c r="B18" t="s">
        <v>6552</v>
      </c>
      <c r="C18" t="s">
        <v>6522</v>
      </c>
      <c r="D18" t="s">
        <v>3486</v>
      </c>
      <c r="E18" t="s">
        <v>4683</v>
      </c>
      <c r="F18" t="s">
        <v>3404</v>
      </c>
    </row>
    <row r="19" spans="1:6" ht="15" customHeight="1" x14ac:dyDescent="0.25">
      <c r="A19" t="s">
        <v>6553</v>
      </c>
      <c r="B19" t="s">
        <v>6554</v>
      </c>
      <c r="C19" t="s">
        <v>6522</v>
      </c>
      <c r="D19" t="s">
        <v>3486</v>
      </c>
      <c r="E19" t="s">
        <v>17</v>
      </c>
      <c r="F19" t="s">
        <v>17</v>
      </c>
    </row>
    <row r="20" spans="1:6" ht="15" customHeight="1" x14ac:dyDescent="0.25">
      <c r="A20" t="s">
        <v>6555</v>
      </c>
      <c r="B20" t="s">
        <v>6556</v>
      </c>
      <c r="C20" t="s">
        <v>4836</v>
      </c>
      <c r="D20" t="s">
        <v>3486</v>
      </c>
      <c r="E20" t="s">
        <v>17</v>
      </c>
      <c r="F20" t="s">
        <v>17</v>
      </c>
    </row>
    <row r="21" spans="1:6" ht="15" customHeight="1" x14ac:dyDescent="0.25">
      <c r="A21" t="s">
        <v>6557</v>
      </c>
      <c r="B21" t="s">
        <v>6558</v>
      </c>
      <c r="C21" t="s">
        <v>6527</v>
      </c>
      <c r="D21" t="s">
        <v>6557</v>
      </c>
      <c r="E21" t="s">
        <v>6548</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5377</v>
      </c>
      <c r="C1" t="s">
        <v>3840</v>
      </c>
      <c r="D1" t="s">
        <v>3348</v>
      </c>
      <c r="E1" t="s">
        <v>6056</v>
      </c>
      <c r="F1" t="s">
        <v>6559</v>
      </c>
      <c r="G1" t="s">
        <v>1</v>
      </c>
      <c r="H1" t="s">
        <v>6057</v>
      </c>
      <c r="I1" t="s">
        <v>90</v>
      </c>
    </row>
    <row r="2" spans="1:9" ht="15" customHeight="1" x14ac:dyDescent="0.25">
      <c r="A2" t="s">
        <v>6560</v>
      </c>
      <c r="B2">
        <v>6</v>
      </c>
      <c r="C2" t="s">
        <v>3404</v>
      </c>
      <c r="D2" t="s">
        <v>6561</v>
      </c>
      <c r="E2" t="s">
        <v>17</v>
      </c>
      <c r="F2" t="s">
        <v>4593</v>
      </c>
      <c r="G2" t="s">
        <v>2256</v>
      </c>
      <c r="H2" t="s">
        <v>5049</v>
      </c>
      <c r="I2" t="s">
        <v>6560</v>
      </c>
    </row>
    <row r="3" spans="1:9" ht="15" customHeight="1" x14ac:dyDescent="0.25">
      <c r="A3" t="s">
        <v>6562</v>
      </c>
      <c r="B3">
        <v>3</v>
      </c>
      <c r="C3" t="s">
        <v>3423</v>
      </c>
      <c r="D3" t="s">
        <v>6563</v>
      </c>
      <c r="E3" t="s">
        <v>17</v>
      </c>
      <c r="F3" t="s">
        <v>102</v>
      </c>
      <c r="G3" t="s">
        <v>2256</v>
      </c>
      <c r="H3" t="s">
        <v>17</v>
      </c>
      <c r="I3" t="s">
        <v>6562</v>
      </c>
    </row>
    <row r="4" spans="1:9" ht="15" customHeight="1" x14ac:dyDescent="0.25">
      <c r="A4" t="s">
        <v>6564</v>
      </c>
      <c r="B4">
        <v>3</v>
      </c>
      <c r="C4" t="s">
        <v>3404</v>
      </c>
      <c r="D4" t="s">
        <v>6565</v>
      </c>
      <c r="E4" t="s">
        <v>5078</v>
      </c>
      <c r="F4" t="s">
        <v>102</v>
      </c>
      <c r="G4" t="s">
        <v>2256</v>
      </c>
      <c r="H4" t="s">
        <v>17</v>
      </c>
      <c r="I4" t="s">
        <v>6564</v>
      </c>
    </row>
    <row r="5" spans="1:9" ht="15" customHeight="1" x14ac:dyDescent="0.25">
      <c r="A5" t="s">
        <v>6566</v>
      </c>
      <c r="B5">
        <v>6</v>
      </c>
      <c r="C5" t="s">
        <v>3404</v>
      </c>
      <c r="D5" t="s">
        <v>6567</v>
      </c>
      <c r="E5" t="s">
        <v>17</v>
      </c>
      <c r="F5" t="s">
        <v>102</v>
      </c>
      <c r="G5" t="s">
        <v>2256</v>
      </c>
      <c r="H5" t="s">
        <v>5057</v>
      </c>
      <c r="I5" t="s">
        <v>6566</v>
      </c>
    </row>
    <row r="6" spans="1:9" ht="15" customHeight="1" x14ac:dyDescent="0.25">
      <c r="A6" t="s">
        <v>4831</v>
      </c>
      <c r="B6">
        <v>1</v>
      </c>
      <c r="C6" t="s">
        <v>3423</v>
      </c>
      <c r="D6" t="s">
        <v>6568</v>
      </c>
      <c r="E6" t="s">
        <v>17</v>
      </c>
      <c r="F6" t="s">
        <v>102</v>
      </c>
      <c r="G6" t="s">
        <v>2256</v>
      </c>
      <c r="H6" t="s">
        <v>5057</v>
      </c>
      <c r="I6" t="s">
        <v>4831</v>
      </c>
    </row>
    <row r="7" spans="1:9" ht="15" customHeight="1" x14ac:dyDescent="0.25">
      <c r="A7" t="s">
        <v>6569</v>
      </c>
      <c r="B7">
        <v>3</v>
      </c>
      <c r="C7" t="s">
        <v>3404</v>
      </c>
      <c r="D7" t="s">
        <v>6570</v>
      </c>
      <c r="E7" t="s">
        <v>17</v>
      </c>
      <c r="F7" t="s">
        <v>102</v>
      </c>
      <c r="G7" t="s">
        <v>2256</v>
      </c>
      <c r="H7" t="s">
        <v>17</v>
      </c>
      <c r="I7" t="s">
        <v>6569</v>
      </c>
    </row>
    <row r="8" spans="1:9" ht="15" customHeight="1" x14ac:dyDescent="0.25">
      <c r="A8" t="s">
        <v>6571</v>
      </c>
      <c r="B8">
        <v>1</v>
      </c>
      <c r="C8" t="s">
        <v>3423</v>
      </c>
      <c r="D8" t="s">
        <v>6572</v>
      </c>
      <c r="E8" t="s">
        <v>5076</v>
      </c>
      <c r="F8" t="s">
        <v>102</v>
      </c>
      <c r="G8" t="s">
        <v>2256</v>
      </c>
      <c r="H8" t="s">
        <v>17</v>
      </c>
      <c r="I8" t="s">
        <v>6571</v>
      </c>
    </row>
    <row r="9" spans="1:9" ht="15" customHeight="1" x14ac:dyDescent="0.25">
      <c r="A9" t="s">
        <v>6573</v>
      </c>
      <c r="B9">
        <v>2</v>
      </c>
      <c r="C9" t="s">
        <v>3411</v>
      </c>
      <c r="D9" t="s">
        <v>4208</v>
      </c>
      <c r="E9" t="s">
        <v>5093</v>
      </c>
      <c r="F9" t="s">
        <v>4593</v>
      </c>
      <c r="G9" t="s">
        <v>2256</v>
      </c>
      <c r="H9" t="s">
        <v>17</v>
      </c>
      <c r="I9" t="s">
        <v>6573</v>
      </c>
    </row>
    <row r="10" spans="1:9" ht="15" customHeight="1" x14ac:dyDescent="0.25">
      <c r="A10" t="s">
        <v>6574</v>
      </c>
      <c r="B10">
        <v>1</v>
      </c>
      <c r="C10" t="s">
        <v>3404</v>
      </c>
      <c r="D10" t="s">
        <v>6575</v>
      </c>
      <c r="E10" t="s">
        <v>5076</v>
      </c>
      <c r="F10" t="s">
        <v>4593</v>
      </c>
      <c r="G10" t="s">
        <v>2256</v>
      </c>
      <c r="H10" t="s">
        <v>5046</v>
      </c>
      <c r="I10" t="s">
        <v>6574</v>
      </c>
    </row>
    <row r="11" spans="1:9" ht="15" customHeight="1" x14ac:dyDescent="0.25">
      <c r="A11" t="s">
        <v>6576</v>
      </c>
      <c r="B11">
        <v>15</v>
      </c>
      <c r="C11" t="s">
        <v>3404</v>
      </c>
      <c r="D11" t="s">
        <v>6577</v>
      </c>
      <c r="E11" t="s">
        <v>17</v>
      </c>
      <c r="F11" t="s">
        <v>4593</v>
      </c>
      <c r="G11" t="s">
        <v>2256</v>
      </c>
      <c r="H11" t="s">
        <v>5049</v>
      </c>
      <c r="I11" t="s">
        <v>6576</v>
      </c>
    </row>
    <row r="12" spans="1:9" ht="15" customHeight="1" x14ac:dyDescent="0.25">
      <c r="A12" t="s">
        <v>6578</v>
      </c>
      <c r="B12">
        <v>2</v>
      </c>
      <c r="C12" t="s">
        <v>3411</v>
      </c>
      <c r="D12" t="s">
        <v>6579</v>
      </c>
      <c r="E12" t="s">
        <v>17</v>
      </c>
      <c r="F12" t="s">
        <v>4593</v>
      </c>
      <c r="G12" t="s">
        <v>2256</v>
      </c>
      <c r="H12" t="s">
        <v>5046</v>
      </c>
      <c r="I12" t="s">
        <v>6578</v>
      </c>
    </row>
    <row r="13" spans="1:9" ht="15" customHeight="1" x14ac:dyDescent="0.25">
      <c r="A13" t="s">
        <v>6580</v>
      </c>
      <c r="B13">
        <v>3</v>
      </c>
      <c r="C13" t="s">
        <v>3404</v>
      </c>
      <c r="D13" t="s">
        <v>6581</v>
      </c>
      <c r="E13" t="s">
        <v>17</v>
      </c>
      <c r="F13" t="s">
        <v>102</v>
      </c>
      <c r="G13" t="s">
        <v>2256</v>
      </c>
      <c r="H13" t="s">
        <v>4917</v>
      </c>
      <c r="I13" t="s">
        <v>6580</v>
      </c>
    </row>
    <row r="14" spans="1:9" ht="15" customHeight="1" x14ac:dyDescent="0.25">
      <c r="A14" t="s">
        <v>6582</v>
      </c>
      <c r="B14">
        <v>1</v>
      </c>
      <c r="C14" t="s">
        <v>3411</v>
      </c>
      <c r="D14" t="s">
        <v>6583</v>
      </c>
      <c r="E14" t="s">
        <v>5076</v>
      </c>
      <c r="F14" t="s">
        <v>102</v>
      </c>
      <c r="G14" t="s">
        <v>2256</v>
      </c>
      <c r="H14" t="s">
        <v>17</v>
      </c>
      <c r="I14" t="s">
        <v>6582</v>
      </c>
    </row>
    <row r="15" spans="1:9" ht="15" customHeight="1" x14ac:dyDescent="0.25">
      <c r="A15" t="s">
        <v>6584</v>
      </c>
      <c r="B15">
        <v>2</v>
      </c>
      <c r="C15" t="s">
        <v>3411</v>
      </c>
      <c r="D15" t="s">
        <v>6585</v>
      </c>
      <c r="E15" t="s">
        <v>5123</v>
      </c>
      <c r="F15" t="s">
        <v>102</v>
      </c>
      <c r="G15" t="s">
        <v>2256</v>
      </c>
      <c r="H15" t="s">
        <v>5052</v>
      </c>
      <c r="I15" t="s">
        <v>6584</v>
      </c>
    </row>
    <row r="16" spans="1:9" ht="15" customHeight="1" x14ac:dyDescent="0.25">
      <c r="A16" t="s">
        <v>6586</v>
      </c>
      <c r="B16">
        <v>2</v>
      </c>
      <c r="C16" t="s">
        <v>3411</v>
      </c>
      <c r="D16" t="s">
        <v>6587</v>
      </c>
      <c r="E16" t="s">
        <v>5123</v>
      </c>
      <c r="F16" t="s">
        <v>102</v>
      </c>
      <c r="G16" t="s">
        <v>2256</v>
      </c>
      <c r="H16" t="s">
        <v>5052</v>
      </c>
      <c r="I16" t="s">
        <v>6586</v>
      </c>
    </row>
    <row r="17" spans="1:9" ht="15" customHeight="1" x14ac:dyDescent="0.25">
      <c r="A17" t="s">
        <v>6588</v>
      </c>
      <c r="B17">
        <v>3</v>
      </c>
      <c r="C17" t="s">
        <v>3423</v>
      </c>
      <c r="D17" t="s">
        <v>6589</v>
      </c>
      <c r="E17" t="s">
        <v>17</v>
      </c>
      <c r="F17" t="s">
        <v>102</v>
      </c>
      <c r="G17" t="s">
        <v>2256</v>
      </c>
      <c r="H17" t="s">
        <v>5062</v>
      </c>
      <c r="I17" t="s">
        <v>6588</v>
      </c>
    </row>
    <row r="18" spans="1:9" ht="15" customHeight="1" x14ac:dyDescent="0.25">
      <c r="A18" t="s">
        <v>6590</v>
      </c>
      <c r="B18">
        <v>3</v>
      </c>
      <c r="C18" t="s">
        <v>3411</v>
      </c>
      <c r="D18" t="s">
        <v>6591</v>
      </c>
      <c r="E18" t="s">
        <v>5123</v>
      </c>
      <c r="F18" t="s">
        <v>102</v>
      </c>
      <c r="G18" t="s">
        <v>2256</v>
      </c>
      <c r="H18" t="s">
        <v>5057</v>
      </c>
      <c r="I18" t="s">
        <v>6590</v>
      </c>
    </row>
    <row r="19" spans="1:9" ht="15" customHeight="1" x14ac:dyDescent="0.25">
      <c r="A19" t="s">
        <v>6592</v>
      </c>
      <c r="B19">
        <v>4</v>
      </c>
      <c r="C19" t="s">
        <v>3411</v>
      </c>
      <c r="D19" t="s">
        <v>6593</v>
      </c>
      <c r="E19" t="s">
        <v>5071</v>
      </c>
      <c r="F19" t="s">
        <v>102</v>
      </c>
      <c r="G19" t="s">
        <v>2256</v>
      </c>
      <c r="H19" t="s">
        <v>5052</v>
      </c>
      <c r="I19" t="s">
        <v>6592</v>
      </c>
    </row>
    <row r="20" spans="1:9" ht="15" customHeight="1" x14ac:dyDescent="0.25">
      <c r="A20" t="s">
        <v>6594</v>
      </c>
      <c r="B20">
        <v>2</v>
      </c>
      <c r="C20" t="s">
        <v>3423</v>
      </c>
      <c r="D20" t="s">
        <v>6595</v>
      </c>
      <c r="E20" t="s">
        <v>5076</v>
      </c>
      <c r="F20" t="s">
        <v>4593</v>
      </c>
      <c r="G20" t="s">
        <v>2256</v>
      </c>
      <c r="H20" t="s">
        <v>5054</v>
      </c>
      <c r="I20" t="s">
        <v>6594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3840</v>
      </c>
      <c r="C1" t="s">
        <v>6596</v>
      </c>
      <c r="D1" t="s">
        <v>1</v>
      </c>
      <c r="E1" t="s">
        <v>5</v>
      </c>
    </row>
    <row r="2" spans="1:5" ht="15" customHeight="1" x14ac:dyDescent="0.25">
      <c r="A2" t="s">
        <v>6597</v>
      </c>
      <c r="B2" t="s">
        <v>3411</v>
      </c>
      <c r="C2" t="s">
        <v>4022</v>
      </c>
      <c r="D2" t="s">
        <v>1200</v>
      </c>
      <c r="E2" t="s">
        <v>6598</v>
      </c>
    </row>
    <row r="3" spans="1:5" ht="15" customHeight="1" x14ac:dyDescent="0.25">
      <c r="A3" t="s">
        <v>6599</v>
      </c>
      <c r="B3" t="s">
        <v>3423</v>
      </c>
      <c r="C3" t="s">
        <v>4022</v>
      </c>
      <c r="D3" t="s">
        <v>1200</v>
      </c>
      <c r="E3" t="s">
        <v>6600</v>
      </c>
    </row>
    <row r="4" spans="1:5" ht="15" customHeight="1" x14ac:dyDescent="0.25">
      <c r="A4" t="s">
        <v>6601</v>
      </c>
      <c r="B4" t="s">
        <v>3404</v>
      </c>
      <c r="C4" t="s">
        <v>4022</v>
      </c>
      <c r="D4" t="s">
        <v>1200</v>
      </c>
      <c r="E4" t="s">
        <v>6602</v>
      </c>
    </row>
    <row r="5" spans="1:5" ht="15" customHeight="1" x14ac:dyDescent="0.25">
      <c r="A5" t="s">
        <v>6603</v>
      </c>
      <c r="B5" t="s">
        <v>3411</v>
      </c>
      <c r="C5" t="s">
        <v>4020</v>
      </c>
      <c r="D5" t="s">
        <v>1200</v>
      </c>
      <c r="E5" t="s">
        <v>6604</v>
      </c>
    </row>
    <row r="6" spans="1:5" ht="15" customHeight="1" x14ac:dyDescent="0.25">
      <c r="A6" t="s">
        <v>6605</v>
      </c>
      <c r="B6" t="s">
        <v>3423</v>
      </c>
      <c r="C6" t="s">
        <v>4020</v>
      </c>
      <c r="D6" t="s">
        <v>1200</v>
      </c>
      <c r="E6" t="s">
        <v>6606</v>
      </c>
    </row>
    <row r="7" spans="1:5" ht="15" customHeight="1" x14ac:dyDescent="0.25">
      <c r="A7" t="s">
        <v>6607</v>
      </c>
      <c r="B7" t="s">
        <v>3404</v>
      </c>
      <c r="C7" t="s">
        <v>4020</v>
      </c>
      <c r="D7" t="s">
        <v>1200</v>
      </c>
      <c r="E7" t="s">
        <v>6608</v>
      </c>
    </row>
    <row r="8" spans="1:5" ht="15" customHeight="1" x14ac:dyDescent="0.25">
      <c r="A8" t="s">
        <v>6609</v>
      </c>
      <c r="B8" t="s">
        <v>3411</v>
      </c>
      <c r="C8" t="s">
        <v>4029</v>
      </c>
      <c r="D8" t="s">
        <v>1200</v>
      </c>
      <c r="E8" t="s">
        <v>6610</v>
      </c>
    </row>
    <row r="9" spans="1:5" ht="15" customHeight="1" x14ac:dyDescent="0.25">
      <c r="A9" t="s">
        <v>6611</v>
      </c>
      <c r="B9" t="s">
        <v>3423</v>
      </c>
      <c r="C9" t="s">
        <v>4029</v>
      </c>
      <c r="D9" t="s">
        <v>1200</v>
      </c>
      <c r="E9" t="s">
        <v>6612</v>
      </c>
    </row>
    <row r="10" spans="1:5" ht="15" customHeight="1" x14ac:dyDescent="0.25">
      <c r="A10" t="s">
        <v>6613</v>
      </c>
      <c r="B10" t="s">
        <v>3404</v>
      </c>
      <c r="C10" t="s">
        <v>4029</v>
      </c>
      <c r="D10" t="s">
        <v>1200</v>
      </c>
      <c r="E10" t="s">
        <v>6614</v>
      </c>
    </row>
    <row r="11" spans="1:5" ht="15" customHeight="1" x14ac:dyDescent="0.25">
      <c r="A11" t="s">
        <v>6615</v>
      </c>
      <c r="B11" t="s">
        <v>3411</v>
      </c>
      <c r="C11" t="s">
        <v>4011</v>
      </c>
      <c r="D11" t="s">
        <v>1200</v>
      </c>
      <c r="E11" t="s">
        <v>6616</v>
      </c>
    </row>
    <row r="12" spans="1:5" ht="15" customHeight="1" x14ac:dyDescent="0.25">
      <c r="A12" t="s">
        <v>6617</v>
      </c>
      <c r="B12" t="s">
        <v>3423</v>
      </c>
      <c r="C12" t="s">
        <v>4011</v>
      </c>
      <c r="D12" t="s">
        <v>1200</v>
      </c>
      <c r="E12" t="s">
        <v>6618</v>
      </c>
    </row>
    <row r="13" spans="1:5" ht="15" customHeight="1" x14ac:dyDescent="0.25">
      <c r="A13" t="s">
        <v>6619</v>
      </c>
      <c r="B13" t="s">
        <v>3404</v>
      </c>
      <c r="C13" t="s">
        <v>4011</v>
      </c>
      <c r="D13" t="s">
        <v>1200</v>
      </c>
      <c r="E13" t="s">
        <v>6620</v>
      </c>
    </row>
    <row r="14" spans="1:5" ht="15" customHeight="1" x14ac:dyDescent="0.25">
      <c r="A14" t="s">
        <v>6621</v>
      </c>
      <c r="B14" t="s">
        <v>3411</v>
      </c>
      <c r="C14" t="s">
        <v>4036</v>
      </c>
      <c r="D14" t="s">
        <v>1200</v>
      </c>
      <c r="E14" t="s">
        <v>6622</v>
      </c>
    </row>
    <row r="15" spans="1:5" ht="15" customHeight="1" x14ac:dyDescent="0.25">
      <c r="A15" t="s">
        <v>6623</v>
      </c>
      <c r="B15" t="s">
        <v>3423</v>
      </c>
      <c r="C15" t="s">
        <v>4036</v>
      </c>
      <c r="D15" t="s">
        <v>1200</v>
      </c>
      <c r="E15" t="s">
        <v>6624</v>
      </c>
    </row>
    <row r="16" spans="1:5" ht="15" customHeight="1" x14ac:dyDescent="0.25">
      <c r="A16" t="s">
        <v>6625</v>
      </c>
      <c r="B16" t="s">
        <v>3404</v>
      </c>
      <c r="C16" t="s">
        <v>4036</v>
      </c>
      <c r="D16" t="s">
        <v>1200</v>
      </c>
      <c r="E16" t="s">
        <v>6626</v>
      </c>
    </row>
    <row r="17" spans="1:5" ht="15" customHeight="1" x14ac:dyDescent="0.25">
      <c r="A17" t="s">
        <v>6627</v>
      </c>
      <c r="B17" t="s">
        <v>3411</v>
      </c>
      <c r="C17" t="s">
        <v>4043</v>
      </c>
      <c r="D17" t="s">
        <v>1200</v>
      </c>
      <c r="E17" t="s">
        <v>6628</v>
      </c>
    </row>
    <row r="18" spans="1:5" ht="15" customHeight="1" x14ac:dyDescent="0.25">
      <c r="A18" t="s">
        <v>6629</v>
      </c>
      <c r="B18" t="s">
        <v>3423</v>
      </c>
      <c r="C18" t="s">
        <v>4043</v>
      </c>
      <c r="D18" t="s">
        <v>1200</v>
      </c>
      <c r="E18" t="s">
        <v>6630</v>
      </c>
    </row>
    <row r="19" spans="1:5" ht="15" customHeight="1" x14ac:dyDescent="0.25">
      <c r="A19" t="s">
        <v>6631</v>
      </c>
      <c r="B19" t="s">
        <v>3404</v>
      </c>
      <c r="C19" t="s">
        <v>4043</v>
      </c>
      <c r="D19" t="s">
        <v>1200</v>
      </c>
      <c r="E19" t="s">
        <v>6632</v>
      </c>
    </row>
    <row r="20" spans="1:5" ht="15" customHeight="1" x14ac:dyDescent="0.25">
      <c r="A20" t="s">
        <v>6633</v>
      </c>
      <c r="B20" t="s">
        <v>3411</v>
      </c>
      <c r="C20" t="s">
        <v>4043</v>
      </c>
      <c r="D20" t="s">
        <v>617</v>
      </c>
      <c r="E20" t="s">
        <v>6634</v>
      </c>
    </row>
    <row r="21" spans="1:5" ht="15" customHeight="1" x14ac:dyDescent="0.25">
      <c r="A21" t="s">
        <v>6635</v>
      </c>
      <c r="B21" t="s">
        <v>3411</v>
      </c>
      <c r="C21" t="s">
        <v>4043</v>
      </c>
      <c r="D21" t="s">
        <v>617</v>
      </c>
      <c r="E21" t="s">
        <v>6636</v>
      </c>
    </row>
    <row r="22" spans="1:5" ht="15" customHeight="1" x14ac:dyDescent="0.25">
      <c r="A22" t="s">
        <v>6637</v>
      </c>
      <c r="B22" t="s">
        <v>3423</v>
      </c>
      <c r="C22" t="s">
        <v>4043</v>
      </c>
      <c r="D22" t="s">
        <v>617</v>
      </c>
      <c r="E22" t="s">
        <v>6638</v>
      </c>
    </row>
    <row r="23" spans="1:5" ht="15" customHeight="1" x14ac:dyDescent="0.25">
      <c r="A23" t="s">
        <v>6639</v>
      </c>
      <c r="B23" t="s">
        <v>3423</v>
      </c>
      <c r="C23" t="s">
        <v>4043</v>
      </c>
      <c r="D23" t="s">
        <v>617</v>
      </c>
      <c r="E23" t="s">
        <v>6640</v>
      </c>
    </row>
    <row r="24" spans="1:5" ht="15" customHeight="1" x14ac:dyDescent="0.25">
      <c r="A24" t="s">
        <v>6641</v>
      </c>
      <c r="B24" t="s">
        <v>3404</v>
      </c>
      <c r="C24" t="s">
        <v>4043</v>
      </c>
      <c r="D24" t="s">
        <v>617</v>
      </c>
      <c r="E24" t="s">
        <v>6642</v>
      </c>
    </row>
    <row r="25" spans="1:5" ht="15" customHeight="1" x14ac:dyDescent="0.25">
      <c r="A25" t="s">
        <v>6643</v>
      </c>
      <c r="B25" t="s">
        <v>3404</v>
      </c>
      <c r="C25" t="s">
        <v>4043</v>
      </c>
      <c r="D25" t="s">
        <v>617</v>
      </c>
      <c r="E25" t="s">
        <v>6644</v>
      </c>
    </row>
    <row r="26" spans="1:5" ht="15" customHeight="1" x14ac:dyDescent="0.25">
      <c r="A26" t="s">
        <v>6645</v>
      </c>
      <c r="B26" t="s">
        <v>3404</v>
      </c>
      <c r="C26" t="s">
        <v>4043</v>
      </c>
      <c r="D26" t="s">
        <v>617</v>
      </c>
      <c r="E26" t="s">
        <v>6646</v>
      </c>
    </row>
    <row r="27" spans="1:5" ht="15" customHeight="1" x14ac:dyDescent="0.25">
      <c r="A27" t="s">
        <v>6647</v>
      </c>
      <c r="B27" t="s">
        <v>3404</v>
      </c>
      <c r="C27" t="s">
        <v>4043</v>
      </c>
      <c r="D27" t="s">
        <v>617</v>
      </c>
      <c r="E27" t="s">
        <v>6648</v>
      </c>
    </row>
    <row r="28" spans="1:5" ht="15" customHeight="1" x14ac:dyDescent="0.25">
      <c r="A28" t="s">
        <v>6649</v>
      </c>
      <c r="B28" t="s">
        <v>3404</v>
      </c>
      <c r="C28" t="s">
        <v>4043</v>
      </c>
      <c r="D28" t="s">
        <v>617</v>
      </c>
      <c r="E28" t="s">
        <v>6650</v>
      </c>
    </row>
    <row r="29" spans="1:5" ht="15" customHeight="1" x14ac:dyDescent="0.25">
      <c r="A29" t="s">
        <v>6651</v>
      </c>
      <c r="B29" t="s">
        <v>3423</v>
      </c>
      <c r="C29" t="s">
        <v>4020</v>
      </c>
      <c r="D29" t="s">
        <v>827</v>
      </c>
      <c r="E29" t="s">
        <v>6652</v>
      </c>
    </row>
    <row r="30" spans="1:5" ht="15" customHeight="1" x14ac:dyDescent="0.25">
      <c r="A30" t="s">
        <v>6653</v>
      </c>
      <c r="B30" t="s">
        <v>3423</v>
      </c>
      <c r="C30" t="s">
        <v>6654</v>
      </c>
      <c r="D30" t="s">
        <v>827</v>
      </c>
      <c r="E30" t="s">
        <v>6655</v>
      </c>
    </row>
    <row r="31" spans="1:5" ht="15" customHeight="1" x14ac:dyDescent="0.25">
      <c r="A31" t="s">
        <v>6656</v>
      </c>
      <c r="B31" t="s">
        <v>3411</v>
      </c>
      <c r="C31" t="s">
        <v>4049</v>
      </c>
      <c r="D31" t="s">
        <v>827</v>
      </c>
      <c r="E31" t="s">
        <v>6657</v>
      </c>
    </row>
    <row r="32" spans="1:5" ht="15" customHeight="1" x14ac:dyDescent="0.25">
      <c r="A32" t="s">
        <v>6658</v>
      </c>
      <c r="B32" t="s">
        <v>3404</v>
      </c>
      <c r="C32" t="s">
        <v>4043</v>
      </c>
      <c r="D32" t="s">
        <v>827</v>
      </c>
      <c r="E32" t="s">
        <v>6659</v>
      </c>
    </row>
    <row r="33" spans="1:5" ht="15" customHeight="1" x14ac:dyDescent="0.25">
      <c r="A33" t="s">
        <v>6660</v>
      </c>
      <c r="B33" t="s">
        <v>3411</v>
      </c>
      <c r="C33" t="s">
        <v>4049</v>
      </c>
      <c r="D33" t="s">
        <v>827</v>
      </c>
      <c r="E33" t="s">
        <v>6661</v>
      </c>
    </row>
    <row r="34" spans="1:5" ht="15" customHeight="1" x14ac:dyDescent="0.25">
      <c r="A34" t="s">
        <v>6662</v>
      </c>
      <c r="B34" t="s">
        <v>3423</v>
      </c>
      <c r="C34" t="s">
        <v>4043</v>
      </c>
      <c r="D34" t="s">
        <v>827</v>
      </c>
      <c r="E34" t="s">
        <v>6663</v>
      </c>
    </row>
    <row r="35" spans="1:5" ht="15" customHeight="1" x14ac:dyDescent="0.25">
      <c r="A35" t="s">
        <v>6664</v>
      </c>
      <c r="B35" t="s">
        <v>3411</v>
      </c>
      <c r="C35" t="s">
        <v>4043</v>
      </c>
      <c r="D35" t="s">
        <v>827</v>
      </c>
      <c r="E35" t="s">
        <v>6665</v>
      </c>
    </row>
    <row r="36" spans="1:5" ht="15" customHeight="1" x14ac:dyDescent="0.25">
      <c r="A36" t="s">
        <v>6666</v>
      </c>
      <c r="B36" t="s">
        <v>3411</v>
      </c>
      <c r="C36" t="s">
        <v>4043</v>
      </c>
      <c r="D36" t="s">
        <v>827</v>
      </c>
      <c r="E36" t="s">
        <v>6667</v>
      </c>
    </row>
    <row r="37" spans="1:5" ht="15" customHeight="1" x14ac:dyDescent="0.25">
      <c r="A37" t="s">
        <v>6668</v>
      </c>
      <c r="B37" t="s">
        <v>3411</v>
      </c>
      <c r="C37" t="s">
        <v>4022</v>
      </c>
      <c r="D37" t="s">
        <v>1204</v>
      </c>
      <c r="E37" t="s">
        <v>6669</v>
      </c>
    </row>
    <row r="38" spans="1:5" ht="15" customHeight="1" x14ac:dyDescent="0.25">
      <c r="A38" t="s">
        <v>6670</v>
      </c>
      <c r="B38" t="s">
        <v>3423</v>
      </c>
      <c r="C38" t="s">
        <v>4022</v>
      </c>
      <c r="D38" t="s">
        <v>1204</v>
      </c>
      <c r="E38" t="s">
        <v>6671</v>
      </c>
    </row>
    <row r="39" spans="1:5" ht="15" customHeight="1" x14ac:dyDescent="0.25">
      <c r="A39" t="s">
        <v>6672</v>
      </c>
      <c r="B39" t="s">
        <v>3404</v>
      </c>
      <c r="C39" t="s">
        <v>4022</v>
      </c>
      <c r="D39" t="s">
        <v>1204</v>
      </c>
      <c r="E39" t="s">
        <v>6673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4677</v>
      </c>
      <c r="E1" s="10" t="s">
        <v>4678</v>
      </c>
      <c r="F1" s="10" t="s">
        <v>4679</v>
      </c>
      <c r="G1" t="s">
        <v>3545</v>
      </c>
      <c r="H1" t="s">
        <v>1</v>
      </c>
      <c r="I1" t="s">
        <v>4680</v>
      </c>
      <c r="J1" t="s">
        <v>6674</v>
      </c>
      <c r="K1" t="s">
        <v>90</v>
      </c>
      <c r="L1" t="s">
        <v>4682</v>
      </c>
      <c r="M1" t="s">
        <v>3546</v>
      </c>
    </row>
    <row r="2" spans="1:13" ht="15" customHeight="1" x14ac:dyDescent="0.25">
      <c r="A2" t="s">
        <v>6675</v>
      </c>
      <c r="B2" t="s">
        <v>3824</v>
      </c>
      <c r="C2" t="s">
        <v>4010</v>
      </c>
      <c r="D2">
        <v>2</v>
      </c>
      <c r="E2" s="10">
        <v>30</v>
      </c>
      <c r="F2" s="10">
        <v>34</v>
      </c>
      <c r="G2" t="s">
        <v>6676</v>
      </c>
      <c r="H2" t="s">
        <v>2027</v>
      </c>
      <c r="I2" t="s">
        <v>4043</v>
      </c>
      <c r="J2" t="s">
        <v>6677</v>
      </c>
      <c r="K2" t="s">
        <v>6675</v>
      </c>
      <c r="L2" t="s">
        <v>17</v>
      </c>
    </row>
    <row r="3" spans="1:13" ht="15" customHeight="1" x14ac:dyDescent="0.25">
      <c r="A3" t="s">
        <v>6678</v>
      </c>
      <c r="B3" t="s">
        <v>3824</v>
      </c>
      <c r="C3" t="s">
        <v>4014</v>
      </c>
      <c r="D3">
        <v>2</v>
      </c>
      <c r="E3" s="10">
        <v>64</v>
      </c>
      <c r="F3" s="10">
        <v>70</v>
      </c>
      <c r="G3" t="s">
        <v>6676</v>
      </c>
      <c r="H3" t="s">
        <v>2027</v>
      </c>
      <c r="I3" t="s">
        <v>4043</v>
      </c>
      <c r="J3" t="s">
        <v>6679</v>
      </c>
      <c r="K3" t="s">
        <v>6680</v>
      </c>
      <c r="L3" t="s">
        <v>17</v>
      </c>
    </row>
    <row r="4" spans="1:13" ht="15" customHeight="1" x14ac:dyDescent="0.25">
      <c r="A4" t="s">
        <v>6681</v>
      </c>
      <c r="B4" t="s">
        <v>3824</v>
      </c>
      <c r="C4" t="s">
        <v>4686</v>
      </c>
      <c r="D4">
        <v>7</v>
      </c>
      <c r="E4" s="10">
        <v>150</v>
      </c>
      <c r="F4" s="10">
        <v>160</v>
      </c>
      <c r="G4" t="s">
        <v>6676</v>
      </c>
      <c r="H4" t="s">
        <v>2027</v>
      </c>
      <c r="I4" t="s">
        <v>4043</v>
      </c>
      <c r="J4" t="s">
        <v>6682</v>
      </c>
      <c r="K4" t="s">
        <v>6683</v>
      </c>
      <c r="L4" t="s">
        <v>17</v>
      </c>
    </row>
    <row r="5" spans="1:13" ht="15" customHeight="1" x14ac:dyDescent="0.25">
      <c r="A5" t="s">
        <v>4743</v>
      </c>
      <c r="B5" t="s">
        <v>3824</v>
      </c>
      <c r="C5" t="s">
        <v>4010</v>
      </c>
      <c r="D5" t="s">
        <v>17</v>
      </c>
      <c r="E5" s="10">
        <v>20</v>
      </c>
      <c r="F5" s="10">
        <v>24</v>
      </c>
      <c r="G5" t="s">
        <v>17</v>
      </c>
      <c r="H5" t="s">
        <v>2511</v>
      </c>
      <c r="I5" t="s">
        <v>4043</v>
      </c>
      <c r="J5" t="s">
        <v>6684</v>
      </c>
      <c r="K5" t="s">
        <v>4743</v>
      </c>
      <c r="L5" t="s">
        <v>17</v>
      </c>
    </row>
    <row r="6" spans="1:13" ht="15" customHeight="1" x14ac:dyDescent="0.25">
      <c r="A6" t="s">
        <v>4734</v>
      </c>
      <c r="B6" t="s">
        <v>3824</v>
      </c>
      <c r="C6" t="s">
        <v>4010</v>
      </c>
      <c r="D6">
        <v>2</v>
      </c>
      <c r="E6" s="10">
        <v>20</v>
      </c>
      <c r="F6" s="10">
        <v>24</v>
      </c>
      <c r="G6" t="s">
        <v>6685</v>
      </c>
      <c r="H6" t="s">
        <v>2511</v>
      </c>
      <c r="I6" t="s">
        <v>4043</v>
      </c>
      <c r="J6" t="s">
        <v>6686</v>
      </c>
      <c r="K6" t="s">
        <v>4734</v>
      </c>
      <c r="L6" t="s">
        <v>17</v>
      </c>
    </row>
    <row r="7" spans="1:13" ht="15" customHeight="1" x14ac:dyDescent="0.25">
      <c r="A7" t="s">
        <v>4741</v>
      </c>
      <c r="B7" t="s">
        <v>3824</v>
      </c>
      <c r="C7" t="s">
        <v>4010</v>
      </c>
      <c r="D7" t="s">
        <v>17</v>
      </c>
      <c r="E7" s="10">
        <v>20</v>
      </c>
      <c r="F7" s="10">
        <v>24</v>
      </c>
      <c r="G7" t="s">
        <v>17</v>
      </c>
      <c r="H7" t="s">
        <v>2511</v>
      </c>
      <c r="I7" t="s">
        <v>4043</v>
      </c>
      <c r="J7" t="s">
        <v>6687</v>
      </c>
      <c r="K7" t="s">
        <v>4741</v>
      </c>
      <c r="L7" t="s">
        <v>17</v>
      </c>
    </row>
    <row r="8" spans="1:13" ht="15" customHeight="1" x14ac:dyDescent="0.25">
      <c r="A8" t="s">
        <v>6688</v>
      </c>
      <c r="B8" t="s">
        <v>3824</v>
      </c>
      <c r="C8" t="s">
        <v>4014</v>
      </c>
      <c r="D8">
        <v>3</v>
      </c>
      <c r="E8" s="10">
        <v>48</v>
      </c>
      <c r="F8" s="10">
        <v>54</v>
      </c>
      <c r="G8" t="s">
        <v>17</v>
      </c>
      <c r="H8" t="s">
        <v>2511</v>
      </c>
      <c r="I8" t="s">
        <v>4043</v>
      </c>
      <c r="J8" t="s">
        <v>6689</v>
      </c>
      <c r="K8" t="s">
        <v>6690</v>
      </c>
      <c r="L8" t="s">
        <v>17</v>
      </c>
    </row>
    <row r="9" spans="1:13" ht="15" customHeight="1" x14ac:dyDescent="0.25">
      <c r="A9" t="s">
        <v>6691</v>
      </c>
      <c r="B9" t="s">
        <v>3824</v>
      </c>
      <c r="C9" t="s">
        <v>4686</v>
      </c>
      <c r="D9">
        <v>7</v>
      </c>
      <c r="E9" s="10">
        <v>130</v>
      </c>
      <c r="F9" s="10">
        <v>140</v>
      </c>
      <c r="G9" t="s">
        <v>6692</v>
      </c>
      <c r="H9" t="s">
        <v>2511</v>
      </c>
      <c r="I9" t="s">
        <v>4043</v>
      </c>
      <c r="J9" t="s">
        <v>6693</v>
      </c>
      <c r="K9" t="s">
        <v>6694</v>
      </c>
      <c r="L9" t="s">
        <v>17</v>
      </c>
      <c r="M9" t="s">
        <v>4283</v>
      </c>
    </row>
    <row r="10" spans="1:13" ht="15" customHeight="1" x14ac:dyDescent="0.25">
      <c r="A10" t="s">
        <v>3659</v>
      </c>
      <c r="B10" t="s">
        <v>6548</v>
      </c>
      <c r="C10" t="s">
        <v>4010</v>
      </c>
      <c r="D10">
        <v>1</v>
      </c>
      <c r="E10" s="10">
        <v>20</v>
      </c>
      <c r="F10" s="10">
        <v>24</v>
      </c>
      <c r="G10" t="s">
        <v>4910</v>
      </c>
      <c r="H10" t="s">
        <v>412</v>
      </c>
      <c r="I10" t="s">
        <v>4046</v>
      </c>
      <c r="J10" t="s">
        <v>6695</v>
      </c>
      <c r="K10" t="s">
        <v>3659</v>
      </c>
      <c r="L10" t="s">
        <v>17</v>
      </c>
    </row>
    <row r="11" spans="1:13" ht="15" customHeight="1" x14ac:dyDescent="0.25">
      <c r="A11" t="s">
        <v>6696</v>
      </c>
      <c r="B11" t="s">
        <v>6548</v>
      </c>
      <c r="C11" t="s">
        <v>4010</v>
      </c>
      <c r="D11">
        <v>2</v>
      </c>
      <c r="E11" s="10">
        <v>30</v>
      </c>
      <c r="F11" s="10">
        <v>34</v>
      </c>
      <c r="G11" t="s">
        <v>4910</v>
      </c>
      <c r="H11" t="s">
        <v>412</v>
      </c>
      <c r="I11" t="s">
        <v>4046</v>
      </c>
      <c r="J11" t="s">
        <v>6697</v>
      </c>
      <c r="K11" t="s">
        <v>6698</v>
      </c>
      <c r="L11" t="s">
        <v>17</v>
      </c>
    </row>
    <row r="12" spans="1:13" ht="15" customHeight="1" x14ac:dyDescent="0.25">
      <c r="A12" t="s">
        <v>6699</v>
      </c>
      <c r="B12" t="s">
        <v>6548</v>
      </c>
      <c r="C12" t="s">
        <v>4010</v>
      </c>
      <c r="D12">
        <v>3</v>
      </c>
      <c r="E12" s="10">
        <v>40</v>
      </c>
      <c r="F12" s="10">
        <v>44</v>
      </c>
      <c r="G12" t="s">
        <v>6700</v>
      </c>
      <c r="H12" t="s">
        <v>412</v>
      </c>
      <c r="I12" t="s">
        <v>4046</v>
      </c>
      <c r="J12" t="s">
        <v>6701</v>
      </c>
      <c r="K12" t="s">
        <v>6702</v>
      </c>
      <c r="L12" t="s">
        <v>17</v>
      </c>
    </row>
    <row r="13" spans="1:13" ht="15" customHeight="1" x14ac:dyDescent="0.25">
      <c r="A13" t="s">
        <v>6703</v>
      </c>
      <c r="B13" t="s">
        <v>6548</v>
      </c>
      <c r="C13" t="s">
        <v>4010</v>
      </c>
      <c r="D13" t="s">
        <v>17</v>
      </c>
      <c r="E13" s="10">
        <v>12</v>
      </c>
      <c r="F13" s="10">
        <v>14</v>
      </c>
      <c r="G13" t="s">
        <v>4910</v>
      </c>
      <c r="H13" t="s">
        <v>412</v>
      </c>
      <c r="I13" t="s">
        <v>4046</v>
      </c>
      <c r="J13" t="s">
        <v>6704</v>
      </c>
      <c r="K13" t="s">
        <v>6703</v>
      </c>
      <c r="L13" t="s">
        <v>17</v>
      </c>
    </row>
    <row r="14" spans="1:13" ht="15" customHeight="1" x14ac:dyDescent="0.25">
      <c r="A14" t="s">
        <v>3667</v>
      </c>
      <c r="B14" t="s">
        <v>6548</v>
      </c>
      <c r="C14" t="s">
        <v>4014</v>
      </c>
      <c r="D14">
        <v>3</v>
      </c>
      <c r="E14" s="10">
        <v>130</v>
      </c>
      <c r="F14" s="10">
        <v>140</v>
      </c>
      <c r="G14" t="s">
        <v>6705</v>
      </c>
      <c r="H14" t="s">
        <v>412</v>
      </c>
      <c r="I14" t="s">
        <v>4029</v>
      </c>
      <c r="J14" t="s">
        <v>6706</v>
      </c>
      <c r="K14" t="s">
        <v>3667</v>
      </c>
      <c r="L14" t="s">
        <v>17</v>
      </c>
    </row>
    <row r="15" spans="1:13" ht="15" customHeight="1" x14ac:dyDescent="0.25">
      <c r="A15" t="s">
        <v>6707</v>
      </c>
      <c r="B15" t="s">
        <v>6548</v>
      </c>
      <c r="C15" t="s">
        <v>4014</v>
      </c>
      <c r="D15" t="s">
        <v>17</v>
      </c>
      <c r="E15" s="10">
        <v>130</v>
      </c>
      <c r="F15" s="10">
        <v>140</v>
      </c>
      <c r="G15" t="s">
        <v>6705</v>
      </c>
      <c r="H15" t="s">
        <v>412</v>
      </c>
      <c r="I15" t="s">
        <v>4029</v>
      </c>
      <c r="J15" t="s">
        <v>6708</v>
      </c>
      <c r="K15" t="s">
        <v>6709</v>
      </c>
      <c r="L15" t="s">
        <v>3667</v>
      </c>
    </row>
    <row r="16" spans="1:13" ht="15" customHeight="1" x14ac:dyDescent="0.25">
      <c r="A16" t="s">
        <v>6710</v>
      </c>
      <c r="B16" t="s">
        <v>6548</v>
      </c>
      <c r="C16" t="s">
        <v>4686</v>
      </c>
      <c r="D16">
        <v>5</v>
      </c>
      <c r="E16" s="10">
        <v>100</v>
      </c>
      <c r="F16" s="10">
        <v>110</v>
      </c>
      <c r="G16" t="s">
        <v>6711</v>
      </c>
      <c r="H16" t="s">
        <v>412</v>
      </c>
      <c r="I16" t="s">
        <v>4036</v>
      </c>
      <c r="J16" t="s">
        <v>6712</v>
      </c>
      <c r="K16" t="s">
        <v>6713</v>
      </c>
      <c r="L16" t="s">
        <v>17</v>
      </c>
    </row>
    <row r="17" spans="1:13" ht="15" customHeight="1" x14ac:dyDescent="0.25">
      <c r="A17" t="s">
        <v>6714</v>
      </c>
      <c r="B17" t="s">
        <v>3829</v>
      </c>
      <c r="C17" t="s">
        <v>4010</v>
      </c>
      <c r="D17">
        <v>1</v>
      </c>
      <c r="E17" s="10">
        <v>30</v>
      </c>
      <c r="F17" s="10">
        <v>34</v>
      </c>
      <c r="G17" t="s">
        <v>4923</v>
      </c>
      <c r="H17" t="s">
        <v>2049</v>
      </c>
      <c r="I17" t="s">
        <v>4043</v>
      </c>
      <c r="J17" t="s">
        <v>6715</v>
      </c>
      <c r="K17" t="s">
        <v>6714</v>
      </c>
      <c r="L17" t="s">
        <v>17</v>
      </c>
      <c r="M17" t="s">
        <v>3658</v>
      </c>
    </row>
    <row r="18" spans="1:13" ht="15" customHeight="1" x14ac:dyDescent="0.25">
      <c r="A18" t="s">
        <v>6716</v>
      </c>
      <c r="B18" t="s">
        <v>3829</v>
      </c>
      <c r="C18" t="s">
        <v>4014</v>
      </c>
      <c r="D18">
        <v>3</v>
      </c>
      <c r="E18" s="10">
        <v>40</v>
      </c>
      <c r="F18" s="10">
        <v>46</v>
      </c>
      <c r="G18" t="s">
        <v>6717</v>
      </c>
      <c r="H18" t="s">
        <v>2049</v>
      </c>
      <c r="I18" t="s">
        <v>4043</v>
      </c>
      <c r="J18" t="s">
        <v>6718</v>
      </c>
      <c r="K18" t="s">
        <v>6716</v>
      </c>
      <c r="L18" t="s">
        <v>17</v>
      </c>
    </row>
    <row r="19" spans="1:13" ht="15" customHeight="1" x14ac:dyDescent="0.25">
      <c r="A19" t="s">
        <v>6719</v>
      </c>
      <c r="B19" t="s">
        <v>3829</v>
      </c>
      <c r="C19" t="s">
        <v>4014</v>
      </c>
      <c r="D19">
        <v>4</v>
      </c>
      <c r="E19" s="10">
        <v>60</v>
      </c>
      <c r="F19" s="10">
        <v>66</v>
      </c>
      <c r="G19" t="s">
        <v>4923</v>
      </c>
      <c r="H19" t="s">
        <v>2049</v>
      </c>
      <c r="I19" t="s">
        <v>4043</v>
      </c>
      <c r="J19" t="s">
        <v>6720</v>
      </c>
      <c r="K19" t="s">
        <v>6719</v>
      </c>
      <c r="L19" t="s">
        <v>17</v>
      </c>
    </row>
    <row r="20" spans="1:13" ht="15" customHeight="1" x14ac:dyDescent="0.25">
      <c r="A20" t="s">
        <v>3793</v>
      </c>
      <c r="B20" t="s">
        <v>3829</v>
      </c>
      <c r="C20" t="s">
        <v>4686</v>
      </c>
      <c r="D20">
        <v>9</v>
      </c>
      <c r="E20" s="10">
        <v>250</v>
      </c>
      <c r="F20" s="10">
        <v>270</v>
      </c>
      <c r="G20" t="s">
        <v>6721</v>
      </c>
      <c r="H20" t="s">
        <v>2049</v>
      </c>
      <c r="I20" t="s">
        <v>4043</v>
      </c>
      <c r="J20" t="s">
        <v>6722</v>
      </c>
      <c r="K20" t="s">
        <v>3793</v>
      </c>
      <c r="L20" t="s">
        <v>17</v>
      </c>
      <c r="M20" t="s">
        <v>6723</v>
      </c>
    </row>
    <row r="21" spans="1:13" ht="15" customHeight="1" x14ac:dyDescent="0.25">
      <c r="A21" t="s">
        <v>3614</v>
      </c>
      <c r="B21" t="s">
        <v>4683</v>
      </c>
      <c r="C21" t="s">
        <v>4010</v>
      </c>
      <c r="D21">
        <v>2</v>
      </c>
      <c r="E21" s="10">
        <v>48</v>
      </c>
      <c r="F21" s="10">
        <v>54</v>
      </c>
      <c r="G21" t="s">
        <v>17</v>
      </c>
      <c r="H21" t="s">
        <v>15</v>
      </c>
      <c r="I21" t="s">
        <v>4043</v>
      </c>
      <c r="J21" t="s">
        <v>6724</v>
      </c>
      <c r="K21" t="s">
        <v>3614</v>
      </c>
      <c r="L21" t="s">
        <v>17</v>
      </c>
    </row>
    <row r="22" spans="1:13" ht="15" customHeight="1" x14ac:dyDescent="0.25">
      <c r="A22" t="s">
        <v>3643</v>
      </c>
      <c r="B22" t="s">
        <v>4683</v>
      </c>
      <c r="C22" t="s">
        <v>4014</v>
      </c>
      <c r="D22">
        <v>6</v>
      </c>
      <c r="E22" s="10">
        <v>114</v>
      </c>
      <c r="F22" s="10">
        <v>120</v>
      </c>
      <c r="G22" t="s">
        <v>17</v>
      </c>
      <c r="H22" t="s">
        <v>15</v>
      </c>
      <c r="I22" t="s">
        <v>4043</v>
      </c>
      <c r="J22" t="s">
        <v>6725</v>
      </c>
      <c r="K22" t="s">
        <v>3643</v>
      </c>
      <c r="L22" t="s">
        <v>17</v>
      </c>
    </row>
    <row r="23" spans="1:13" ht="15" customHeight="1" x14ac:dyDescent="0.25">
      <c r="A23" t="s">
        <v>3651</v>
      </c>
      <c r="B23" t="s">
        <v>4683</v>
      </c>
      <c r="C23" t="s">
        <v>4686</v>
      </c>
      <c r="D23">
        <v>9</v>
      </c>
      <c r="E23" s="10">
        <v>999</v>
      </c>
      <c r="F23" s="10">
        <v>999</v>
      </c>
      <c r="G23" t="s">
        <v>4687</v>
      </c>
      <c r="H23" t="s">
        <v>15</v>
      </c>
      <c r="I23" t="s">
        <v>4043</v>
      </c>
      <c r="J23" t="s">
        <v>6726</v>
      </c>
      <c r="K23" t="s">
        <v>3651</v>
      </c>
      <c r="L23" t="s">
        <v>17</v>
      </c>
    </row>
    <row r="24" spans="1:13" ht="15" customHeight="1" x14ac:dyDescent="0.25">
      <c r="A24" t="s">
        <v>6727</v>
      </c>
      <c r="B24" t="s">
        <v>6548</v>
      </c>
      <c r="C24" t="s">
        <v>4010</v>
      </c>
      <c r="D24">
        <v>1</v>
      </c>
      <c r="E24" s="10">
        <v>20</v>
      </c>
      <c r="F24" s="10">
        <v>24</v>
      </c>
      <c r="G24" t="s">
        <v>6728</v>
      </c>
      <c r="H24" t="s">
        <v>2256</v>
      </c>
      <c r="I24" t="s">
        <v>4022</v>
      </c>
      <c r="J24" t="s">
        <v>6729</v>
      </c>
      <c r="K24" t="s">
        <v>6727</v>
      </c>
      <c r="L24" t="s">
        <v>17</v>
      </c>
      <c r="M24" t="s">
        <v>3571</v>
      </c>
    </row>
    <row r="25" spans="1:13" ht="15" customHeight="1" x14ac:dyDescent="0.25">
      <c r="A25" t="s">
        <v>6730</v>
      </c>
      <c r="B25" t="s">
        <v>6548</v>
      </c>
      <c r="C25" t="s">
        <v>4014</v>
      </c>
      <c r="D25">
        <v>3</v>
      </c>
      <c r="E25" s="10">
        <v>48</v>
      </c>
      <c r="F25" s="10">
        <v>54</v>
      </c>
      <c r="G25" t="s">
        <v>17</v>
      </c>
      <c r="H25" t="s">
        <v>2256</v>
      </c>
      <c r="I25" t="s">
        <v>4043</v>
      </c>
      <c r="J25" t="s">
        <v>6731</v>
      </c>
      <c r="K25" t="s">
        <v>6730</v>
      </c>
      <c r="L25" t="s">
        <v>17</v>
      </c>
    </row>
    <row r="26" spans="1:13" ht="15" customHeight="1" x14ac:dyDescent="0.25">
      <c r="A26" t="s">
        <v>6732</v>
      </c>
      <c r="B26" t="s">
        <v>6548</v>
      </c>
      <c r="C26" t="s">
        <v>4686</v>
      </c>
      <c r="D26">
        <v>3</v>
      </c>
      <c r="E26" s="10">
        <v>60</v>
      </c>
      <c r="F26" s="10">
        <v>66</v>
      </c>
      <c r="G26" t="s">
        <v>6733</v>
      </c>
      <c r="H26" t="s">
        <v>2256</v>
      </c>
      <c r="I26" t="s">
        <v>4043</v>
      </c>
      <c r="J26" t="s">
        <v>6734</v>
      </c>
      <c r="K26" t="s">
        <v>6732</v>
      </c>
      <c r="L26" t="s">
        <v>17</v>
      </c>
    </row>
    <row r="27" spans="1:13" ht="15" customHeight="1" x14ac:dyDescent="0.25">
      <c r="A27" t="s">
        <v>4689</v>
      </c>
      <c r="B27" t="s">
        <v>4683</v>
      </c>
      <c r="C27" t="s">
        <v>4010</v>
      </c>
      <c r="D27">
        <v>3</v>
      </c>
      <c r="E27" s="10">
        <v>40</v>
      </c>
      <c r="F27" s="10">
        <v>44</v>
      </c>
      <c r="G27" t="s">
        <v>17</v>
      </c>
      <c r="H27" t="s">
        <v>15</v>
      </c>
      <c r="I27" t="s">
        <v>4043</v>
      </c>
      <c r="J27" t="s">
        <v>6735</v>
      </c>
      <c r="K27" t="s">
        <v>4691</v>
      </c>
      <c r="L27" t="s">
        <v>17</v>
      </c>
    </row>
    <row r="28" spans="1:13" ht="15" customHeight="1" x14ac:dyDescent="0.25">
      <c r="A28" t="s">
        <v>4692</v>
      </c>
      <c r="B28" t="s">
        <v>4683</v>
      </c>
      <c r="C28" t="s">
        <v>4010</v>
      </c>
      <c r="D28">
        <v>1</v>
      </c>
      <c r="E28" s="10">
        <v>10</v>
      </c>
      <c r="F28" s="10">
        <v>15</v>
      </c>
      <c r="G28" t="s">
        <v>4693</v>
      </c>
      <c r="H28" t="s">
        <v>15</v>
      </c>
      <c r="I28" t="s">
        <v>4043</v>
      </c>
      <c r="J28" t="s">
        <v>6736</v>
      </c>
      <c r="K28" t="s">
        <v>4695</v>
      </c>
      <c r="L28" t="s">
        <v>17</v>
      </c>
      <c r="M28" t="s">
        <v>4283</v>
      </c>
    </row>
    <row r="29" spans="1:13" ht="15" customHeight="1" x14ac:dyDescent="0.25">
      <c r="A29" t="s">
        <v>4696</v>
      </c>
      <c r="B29" t="s">
        <v>4683</v>
      </c>
      <c r="C29" t="s">
        <v>4010</v>
      </c>
      <c r="D29">
        <v>1</v>
      </c>
      <c r="E29" s="10">
        <v>11</v>
      </c>
      <c r="F29" s="10">
        <v>17</v>
      </c>
      <c r="G29" t="s">
        <v>4693</v>
      </c>
      <c r="H29" t="s">
        <v>15</v>
      </c>
      <c r="I29" t="s">
        <v>4043</v>
      </c>
      <c r="J29" t="s">
        <v>6737</v>
      </c>
      <c r="K29" t="s">
        <v>4698</v>
      </c>
      <c r="L29" t="s">
        <v>17</v>
      </c>
      <c r="M29" t="s">
        <v>4283</v>
      </c>
    </row>
    <row r="30" spans="1:13" ht="15" customHeight="1" x14ac:dyDescent="0.25">
      <c r="A30" t="s">
        <v>4699</v>
      </c>
      <c r="B30" t="s">
        <v>4683</v>
      </c>
      <c r="C30" t="s">
        <v>4010</v>
      </c>
      <c r="D30">
        <v>4</v>
      </c>
      <c r="E30" s="10">
        <v>65</v>
      </c>
      <c r="F30" s="10">
        <v>69</v>
      </c>
      <c r="G30" t="s">
        <v>4700</v>
      </c>
      <c r="H30" t="s">
        <v>15</v>
      </c>
      <c r="I30" t="s">
        <v>4043</v>
      </c>
      <c r="J30" t="s">
        <v>6738</v>
      </c>
      <c r="K30" t="s">
        <v>4702</v>
      </c>
      <c r="L30" t="s">
        <v>17</v>
      </c>
      <c r="M30" t="s">
        <v>3639</v>
      </c>
    </row>
    <row r="31" spans="1:13" ht="15" customHeight="1" x14ac:dyDescent="0.25">
      <c r="A31" t="s">
        <v>4703</v>
      </c>
      <c r="B31" t="s">
        <v>4683</v>
      </c>
      <c r="C31" t="s">
        <v>4010</v>
      </c>
      <c r="D31">
        <v>2</v>
      </c>
      <c r="E31" s="10">
        <v>28</v>
      </c>
      <c r="F31" s="10">
        <v>32</v>
      </c>
      <c r="G31" t="s">
        <v>17</v>
      </c>
      <c r="H31" t="s">
        <v>15</v>
      </c>
      <c r="I31" t="s">
        <v>4043</v>
      </c>
      <c r="J31" t="s">
        <v>6739</v>
      </c>
      <c r="K31" t="s">
        <v>4705</v>
      </c>
      <c r="L31" t="s">
        <v>17</v>
      </c>
      <c r="M31" t="s">
        <v>3639</v>
      </c>
    </row>
    <row r="32" spans="1:13" ht="15" customHeight="1" x14ac:dyDescent="0.25">
      <c r="A32" t="s">
        <v>4706</v>
      </c>
      <c r="B32" t="s">
        <v>4683</v>
      </c>
      <c r="C32" t="s">
        <v>4010</v>
      </c>
      <c r="D32">
        <v>1</v>
      </c>
      <c r="E32" s="10">
        <v>8</v>
      </c>
      <c r="F32" s="10">
        <v>12</v>
      </c>
      <c r="G32" t="s">
        <v>17</v>
      </c>
      <c r="H32" t="s">
        <v>15</v>
      </c>
      <c r="I32" t="s">
        <v>4043</v>
      </c>
      <c r="J32" t="s">
        <v>6740</v>
      </c>
      <c r="K32" t="s">
        <v>4708</v>
      </c>
      <c r="L32" t="s">
        <v>17</v>
      </c>
      <c r="M32" t="s">
        <v>3639</v>
      </c>
    </row>
    <row r="33" spans="1:13" ht="15" customHeight="1" x14ac:dyDescent="0.25">
      <c r="A33" t="s">
        <v>3636</v>
      </c>
      <c r="B33" t="s">
        <v>4683</v>
      </c>
      <c r="C33" t="s">
        <v>4010</v>
      </c>
      <c r="D33">
        <v>4</v>
      </c>
      <c r="E33" s="10">
        <v>64</v>
      </c>
      <c r="F33" s="10">
        <v>70</v>
      </c>
      <c r="G33" t="s">
        <v>4709</v>
      </c>
      <c r="H33" t="s">
        <v>15</v>
      </c>
      <c r="I33" t="s">
        <v>4043</v>
      </c>
      <c r="J33" t="s">
        <v>6741</v>
      </c>
      <c r="K33" t="s">
        <v>3638</v>
      </c>
      <c r="L33" t="s">
        <v>17</v>
      </c>
      <c r="M33" t="s">
        <v>3639</v>
      </c>
    </row>
    <row r="34" spans="1:13" ht="15" customHeight="1" x14ac:dyDescent="0.25">
      <c r="A34" t="s">
        <v>4711</v>
      </c>
      <c r="B34" t="s">
        <v>4683</v>
      </c>
      <c r="C34" t="s">
        <v>4010</v>
      </c>
      <c r="D34">
        <v>2</v>
      </c>
      <c r="E34" s="10">
        <v>28</v>
      </c>
      <c r="F34" s="10">
        <v>32</v>
      </c>
      <c r="G34" t="s">
        <v>17</v>
      </c>
      <c r="H34" t="s">
        <v>15</v>
      </c>
      <c r="I34" t="s">
        <v>4043</v>
      </c>
      <c r="J34" t="s">
        <v>6742</v>
      </c>
      <c r="K34" t="s">
        <v>4713</v>
      </c>
      <c r="L34" t="s">
        <v>17</v>
      </c>
      <c r="M34" t="s">
        <v>3639</v>
      </c>
    </row>
    <row r="35" spans="1:13" ht="15" customHeight="1" x14ac:dyDescent="0.25">
      <c r="A35" t="s">
        <v>4714</v>
      </c>
      <c r="B35" t="s">
        <v>4683</v>
      </c>
      <c r="C35" t="s">
        <v>4010</v>
      </c>
      <c r="D35">
        <v>1</v>
      </c>
      <c r="E35" s="10">
        <v>10</v>
      </c>
      <c r="F35" s="10">
        <v>14</v>
      </c>
      <c r="G35" t="s">
        <v>17</v>
      </c>
      <c r="H35" t="s">
        <v>15</v>
      </c>
      <c r="I35" t="s">
        <v>4043</v>
      </c>
      <c r="J35" t="s">
        <v>6743</v>
      </c>
      <c r="K35" t="s">
        <v>4716</v>
      </c>
      <c r="L35" t="s">
        <v>17</v>
      </c>
      <c r="M35" t="s">
        <v>3639</v>
      </c>
    </row>
    <row r="36" spans="1:13" ht="15" customHeight="1" x14ac:dyDescent="0.25">
      <c r="A36" t="s">
        <v>6744</v>
      </c>
      <c r="B36" t="s">
        <v>6548</v>
      </c>
      <c r="C36" t="s">
        <v>4686</v>
      </c>
      <c r="D36">
        <v>1</v>
      </c>
      <c r="E36" s="10">
        <v>20</v>
      </c>
      <c r="F36" s="10">
        <v>24</v>
      </c>
      <c r="G36" t="s">
        <v>17</v>
      </c>
      <c r="H36" t="s">
        <v>1552</v>
      </c>
      <c r="I36" t="s">
        <v>4022</v>
      </c>
      <c r="J36" t="s">
        <v>6745</v>
      </c>
      <c r="K36" t="s">
        <v>6744</v>
      </c>
      <c r="L36" t="s">
        <v>17</v>
      </c>
      <c r="M36" t="s">
        <v>6746</v>
      </c>
    </row>
    <row r="37" spans="1:13" ht="15" customHeight="1" x14ac:dyDescent="0.25">
      <c r="A37" t="s">
        <v>6747</v>
      </c>
      <c r="B37" t="s">
        <v>6548</v>
      </c>
      <c r="C37" t="s">
        <v>4010</v>
      </c>
      <c r="D37">
        <v>0.5</v>
      </c>
      <c r="E37" s="10">
        <v>4</v>
      </c>
      <c r="F37" s="10">
        <v>6</v>
      </c>
      <c r="G37" t="s">
        <v>17</v>
      </c>
      <c r="H37" t="s">
        <v>1552</v>
      </c>
      <c r="I37" t="s">
        <v>17</v>
      </c>
      <c r="J37" t="s">
        <v>6748</v>
      </c>
      <c r="K37" t="s">
        <v>6747</v>
      </c>
      <c r="L37" t="s">
        <v>17</v>
      </c>
      <c r="M37" t="s">
        <v>4283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4717</v>
      </c>
      <c r="C1" t="s">
        <v>3540</v>
      </c>
      <c r="D1" t="s">
        <v>4677</v>
      </c>
      <c r="E1" t="s">
        <v>1</v>
      </c>
      <c r="F1" t="s">
        <v>3546</v>
      </c>
      <c r="G1" t="s">
        <v>4678</v>
      </c>
      <c r="H1" t="s">
        <v>4679</v>
      </c>
      <c r="I1" t="s">
        <v>4718</v>
      </c>
      <c r="J1" t="s">
        <v>6749</v>
      </c>
      <c r="K1" t="s">
        <v>4722</v>
      </c>
      <c r="L1" t="s">
        <v>90</v>
      </c>
      <c r="M1" t="s">
        <v>6750</v>
      </c>
      <c r="N1" t="s">
        <v>6751</v>
      </c>
      <c r="O1" t="s">
        <v>3337</v>
      </c>
      <c r="P1" t="s">
        <v>6752</v>
      </c>
      <c r="Q1" t="s">
        <v>3545</v>
      </c>
    </row>
    <row r="2" spans="1:17" ht="15" customHeight="1" x14ac:dyDescent="0.25">
      <c r="A2" t="s">
        <v>6714</v>
      </c>
      <c r="B2" t="s">
        <v>6753</v>
      </c>
      <c r="C2" t="s">
        <v>4010</v>
      </c>
      <c r="D2">
        <v>2</v>
      </c>
      <c r="E2" t="s">
        <v>2049</v>
      </c>
      <c r="G2">
        <v>20</v>
      </c>
      <c r="H2">
        <v>24</v>
      </c>
      <c r="I2">
        <v>0</v>
      </c>
      <c r="J2" t="s">
        <v>6754</v>
      </c>
      <c r="K2" t="s">
        <v>6755</v>
      </c>
      <c r="M2">
        <v>1</v>
      </c>
      <c r="N2">
        <v>3</v>
      </c>
      <c r="O2" t="s">
        <v>6756</v>
      </c>
      <c r="P2" t="s">
        <v>6757</v>
      </c>
    </row>
    <row r="3" spans="1:17" ht="15" customHeight="1" x14ac:dyDescent="0.25">
      <c r="A3" t="s">
        <v>6758</v>
      </c>
      <c r="B3" t="s">
        <v>6759</v>
      </c>
      <c r="C3" t="s">
        <v>4014</v>
      </c>
      <c r="D3">
        <v>2</v>
      </c>
      <c r="E3" t="s">
        <v>2049</v>
      </c>
      <c r="F3" t="s">
        <v>4607</v>
      </c>
      <c r="G3">
        <v>12</v>
      </c>
      <c r="H3">
        <v>18</v>
      </c>
      <c r="I3">
        <v>4</v>
      </c>
      <c r="J3" t="s">
        <v>6760</v>
      </c>
      <c r="K3" t="s">
        <v>6761</v>
      </c>
      <c r="M3">
        <v>2</v>
      </c>
      <c r="N3">
        <v>3</v>
      </c>
      <c r="O3" t="s">
        <v>6762</v>
      </c>
      <c r="P3" t="s">
        <v>6763</v>
      </c>
    </row>
    <row r="4" spans="1:17" ht="15" customHeight="1" x14ac:dyDescent="0.25">
      <c r="A4" t="s">
        <v>6764</v>
      </c>
      <c r="B4" t="s">
        <v>6765</v>
      </c>
      <c r="C4" t="s">
        <v>4010</v>
      </c>
      <c r="D4">
        <v>1</v>
      </c>
      <c r="E4" t="s">
        <v>1698</v>
      </c>
      <c r="F4" t="s">
        <v>6766</v>
      </c>
      <c r="G4">
        <v>5</v>
      </c>
      <c r="H4">
        <v>5</v>
      </c>
      <c r="I4">
        <v>4</v>
      </c>
      <c r="J4" t="s">
        <v>6760</v>
      </c>
      <c r="K4" t="s">
        <v>6767</v>
      </c>
      <c r="L4" t="s">
        <v>6764</v>
      </c>
      <c r="M4">
        <v>1</v>
      </c>
      <c r="N4">
        <v>4</v>
      </c>
      <c r="O4" t="s">
        <v>6768</v>
      </c>
      <c r="P4" t="s">
        <v>6769</v>
      </c>
    </row>
    <row r="5" spans="1:17" ht="15" customHeight="1" x14ac:dyDescent="0.25">
      <c r="A5" t="s">
        <v>6770</v>
      </c>
      <c r="B5" t="s">
        <v>4607</v>
      </c>
      <c r="C5" t="s">
        <v>4010</v>
      </c>
      <c r="D5">
        <v>1</v>
      </c>
      <c r="E5" t="s">
        <v>2049</v>
      </c>
      <c r="F5" t="s">
        <v>4607</v>
      </c>
      <c r="G5">
        <v>8</v>
      </c>
      <c r="H5">
        <v>11</v>
      </c>
      <c r="I5">
        <v>4</v>
      </c>
      <c r="J5" t="s">
        <v>6771</v>
      </c>
      <c r="K5" t="s">
        <v>6772</v>
      </c>
      <c r="M5">
        <v>1</v>
      </c>
      <c r="N5">
        <v>4</v>
      </c>
      <c r="O5" t="s">
        <v>6773</v>
      </c>
      <c r="P5" t="s">
        <v>6774</v>
      </c>
    </row>
    <row r="6" spans="1:17" ht="15" customHeight="1" x14ac:dyDescent="0.25">
      <c r="A6" t="s">
        <v>6719</v>
      </c>
      <c r="B6" t="s">
        <v>6775</v>
      </c>
      <c r="C6" t="s">
        <v>4014</v>
      </c>
      <c r="D6">
        <v>5</v>
      </c>
      <c r="E6" t="s">
        <v>2049</v>
      </c>
      <c r="G6">
        <v>60</v>
      </c>
      <c r="H6">
        <v>66</v>
      </c>
      <c r="I6">
        <v>-4</v>
      </c>
      <c r="J6" t="s">
        <v>6776</v>
      </c>
      <c r="K6" t="s">
        <v>6777</v>
      </c>
      <c r="M6">
        <v>4</v>
      </c>
      <c r="N6">
        <v>1</v>
      </c>
      <c r="O6" t="s">
        <v>6778</v>
      </c>
      <c r="P6" t="s">
        <v>6779</v>
      </c>
      <c r="Q6" t="s">
        <v>6780</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6781</v>
      </c>
      <c r="C1" t="s">
        <v>6782</v>
      </c>
      <c r="D1" t="s">
        <v>6783</v>
      </c>
      <c r="E1" t="s">
        <v>6784</v>
      </c>
      <c r="F1" t="s">
        <v>6785</v>
      </c>
      <c r="G1" t="s">
        <v>6786</v>
      </c>
      <c r="H1" t="s">
        <v>6787</v>
      </c>
      <c r="I1" t="s">
        <v>1</v>
      </c>
    </row>
    <row r="2" spans="1:9" ht="15" customHeight="1" x14ac:dyDescent="0.25">
      <c r="A2" t="s">
        <v>5547</v>
      </c>
      <c r="B2">
        <v>6</v>
      </c>
      <c r="C2" t="s">
        <v>6788</v>
      </c>
      <c r="D2" t="s">
        <v>6789</v>
      </c>
      <c r="E2" t="s">
        <v>6790</v>
      </c>
      <c r="F2" t="s">
        <v>6790</v>
      </c>
      <c r="G2" t="s">
        <v>6788</v>
      </c>
      <c r="H2" t="s">
        <v>6789</v>
      </c>
      <c r="I2" t="s">
        <v>2256</v>
      </c>
    </row>
    <row r="3" spans="1:9" ht="15" customHeight="1" x14ac:dyDescent="0.25">
      <c r="A3" t="s">
        <v>5570</v>
      </c>
      <c r="B3">
        <v>6</v>
      </c>
      <c r="C3" t="s">
        <v>6791</v>
      </c>
      <c r="D3" t="s">
        <v>6792</v>
      </c>
      <c r="E3" t="s">
        <v>6793</v>
      </c>
      <c r="F3" t="s">
        <v>6793</v>
      </c>
      <c r="G3" t="s">
        <v>6794</v>
      </c>
      <c r="H3" t="s">
        <v>6795</v>
      </c>
      <c r="I3" t="s">
        <v>2256</v>
      </c>
    </row>
    <row r="4" spans="1:9" ht="15" customHeight="1" x14ac:dyDescent="0.25">
      <c r="A4" t="s">
        <v>5597</v>
      </c>
      <c r="B4">
        <v>6</v>
      </c>
      <c r="C4" t="s">
        <v>6796</v>
      </c>
      <c r="D4" t="s">
        <v>6797</v>
      </c>
      <c r="E4" t="s">
        <v>6798</v>
      </c>
      <c r="F4" t="s">
        <v>6798</v>
      </c>
      <c r="G4" t="s">
        <v>6799</v>
      </c>
      <c r="H4" t="s">
        <v>5625</v>
      </c>
      <c r="I4" t="s">
        <v>2256</v>
      </c>
    </row>
    <row r="5" spans="1:9" ht="15" customHeight="1" x14ac:dyDescent="0.25">
      <c r="A5" t="s">
        <v>5638</v>
      </c>
      <c r="B5">
        <v>6</v>
      </c>
      <c r="C5" t="s">
        <v>6800</v>
      </c>
      <c r="D5" t="s">
        <v>6801</v>
      </c>
      <c r="E5" t="s">
        <v>6802</v>
      </c>
      <c r="F5" t="s">
        <v>6802</v>
      </c>
      <c r="G5" t="s">
        <v>6803</v>
      </c>
      <c r="H5" t="s">
        <v>5625</v>
      </c>
      <c r="I5" t="s">
        <v>2256</v>
      </c>
    </row>
    <row r="6" spans="1:9" ht="15" customHeight="1" x14ac:dyDescent="0.25">
      <c r="A6" t="s">
        <v>5684</v>
      </c>
      <c r="B6">
        <v>6</v>
      </c>
      <c r="C6" t="s">
        <v>6804</v>
      </c>
      <c r="D6" t="s">
        <v>6804</v>
      </c>
      <c r="E6" t="s">
        <v>6798</v>
      </c>
      <c r="F6" t="s">
        <v>6798</v>
      </c>
      <c r="G6" t="s">
        <v>6799</v>
      </c>
      <c r="H6" t="s">
        <v>6799</v>
      </c>
      <c r="I6" t="s">
        <v>2256</v>
      </c>
    </row>
    <row r="7" spans="1:9" ht="15" customHeight="1" x14ac:dyDescent="0.25">
      <c r="A7" t="s">
        <v>5707</v>
      </c>
      <c r="B7">
        <v>6</v>
      </c>
      <c r="C7" t="s">
        <v>6805</v>
      </c>
      <c r="D7" t="s">
        <v>6792</v>
      </c>
      <c r="E7" t="s">
        <v>5625</v>
      </c>
      <c r="F7" t="s">
        <v>5625</v>
      </c>
      <c r="G7" t="s">
        <v>6806</v>
      </c>
      <c r="H7" t="s">
        <v>5625</v>
      </c>
      <c r="I7" t="s">
        <v>2256</v>
      </c>
    </row>
    <row r="8" spans="1:9" ht="15" customHeight="1" x14ac:dyDescent="0.25">
      <c r="A8" t="s">
        <v>5712</v>
      </c>
      <c r="B8">
        <v>6</v>
      </c>
      <c r="C8" t="s">
        <v>6807</v>
      </c>
      <c r="D8" t="s">
        <v>6808</v>
      </c>
      <c r="E8" t="s">
        <v>6809</v>
      </c>
      <c r="F8" t="s">
        <v>6809</v>
      </c>
      <c r="G8" t="s">
        <v>6797</v>
      </c>
      <c r="H8" t="s">
        <v>5625</v>
      </c>
      <c r="I8" t="s">
        <v>2256</v>
      </c>
    </row>
    <row r="9" spans="1:9" ht="15" customHeight="1" x14ac:dyDescent="0.25">
      <c r="A9" t="s">
        <v>5731</v>
      </c>
      <c r="B9">
        <v>6</v>
      </c>
      <c r="C9" t="s">
        <v>6802</v>
      </c>
      <c r="D9" t="s">
        <v>6810</v>
      </c>
      <c r="E9" t="s">
        <v>6811</v>
      </c>
      <c r="F9" t="s">
        <v>6811</v>
      </c>
      <c r="G9" t="s">
        <v>6810</v>
      </c>
      <c r="H9" t="s">
        <v>5625</v>
      </c>
      <c r="I9" t="s">
        <v>2256</v>
      </c>
    </row>
    <row r="10" spans="1:9" ht="15" customHeight="1" x14ac:dyDescent="0.25">
      <c r="A10" t="s">
        <v>5366</v>
      </c>
      <c r="B10">
        <v>6</v>
      </c>
      <c r="C10" t="s">
        <v>6812</v>
      </c>
      <c r="D10" t="s">
        <v>6813</v>
      </c>
      <c r="E10" t="s">
        <v>6814</v>
      </c>
      <c r="F10" t="s">
        <v>6815</v>
      </c>
      <c r="G10" t="s">
        <v>6816</v>
      </c>
      <c r="H10" t="s">
        <v>6817</v>
      </c>
      <c r="I10" t="s">
        <v>2511</v>
      </c>
    </row>
    <row r="11" spans="1:9" ht="15" customHeight="1" x14ac:dyDescent="0.25">
      <c r="A11" t="s">
        <v>5777</v>
      </c>
      <c r="B11">
        <v>6</v>
      </c>
      <c r="C11" t="s">
        <v>6791</v>
      </c>
      <c r="D11" t="s">
        <v>6818</v>
      </c>
      <c r="E11" t="s">
        <v>6819</v>
      </c>
      <c r="F11" t="s">
        <v>6819</v>
      </c>
      <c r="G11" t="s">
        <v>6820</v>
      </c>
      <c r="H11" t="s">
        <v>5625</v>
      </c>
      <c r="I11" t="s">
        <v>2256</v>
      </c>
    </row>
    <row r="12" spans="1:9" ht="15" customHeight="1" x14ac:dyDescent="0.25">
      <c r="A12" t="s">
        <v>5784</v>
      </c>
      <c r="B12">
        <v>6</v>
      </c>
      <c r="C12" t="s">
        <v>6821</v>
      </c>
      <c r="D12" t="s">
        <v>6821</v>
      </c>
      <c r="E12" t="s">
        <v>6788</v>
      </c>
      <c r="F12" t="s">
        <v>6788</v>
      </c>
      <c r="G12" t="s">
        <v>6789</v>
      </c>
      <c r="H12" t="s">
        <v>5625</v>
      </c>
      <c r="I12" t="s">
        <v>2256</v>
      </c>
    </row>
    <row r="13" spans="1:9" ht="15" customHeight="1" x14ac:dyDescent="0.25">
      <c r="A13" t="s">
        <v>5785</v>
      </c>
      <c r="B13">
        <v>6</v>
      </c>
      <c r="C13" t="s">
        <v>6792</v>
      </c>
      <c r="D13" t="s">
        <v>5318</v>
      </c>
      <c r="E13" t="s">
        <v>5625</v>
      </c>
      <c r="F13" t="s">
        <v>5625</v>
      </c>
      <c r="G13" t="s">
        <v>5625</v>
      </c>
      <c r="H13" t="s">
        <v>5625</v>
      </c>
      <c r="I13" t="s">
        <v>2256</v>
      </c>
    </row>
    <row r="14" spans="1:9" ht="15" customHeight="1" x14ac:dyDescent="0.25">
      <c r="A14" t="s">
        <v>5804</v>
      </c>
      <c r="B14">
        <v>6</v>
      </c>
      <c r="C14" t="s">
        <v>6802</v>
      </c>
      <c r="D14" t="s">
        <v>6802</v>
      </c>
      <c r="E14" t="s">
        <v>6810</v>
      </c>
      <c r="F14" t="s">
        <v>6810</v>
      </c>
      <c r="G14" t="s">
        <v>5625</v>
      </c>
      <c r="H14" t="s">
        <v>5625</v>
      </c>
      <c r="I14" t="s">
        <v>2256</v>
      </c>
    </row>
    <row r="15" spans="1:9" ht="15" customHeight="1" x14ac:dyDescent="0.25">
      <c r="A15" t="s">
        <v>5821</v>
      </c>
      <c r="B15">
        <v>6</v>
      </c>
      <c r="C15" t="s">
        <v>6822</v>
      </c>
      <c r="D15" t="s">
        <v>6823</v>
      </c>
      <c r="E15" t="s">
        <v>6823</v>
      </c>
      <c r="F15" t="s">
        <v>6823</v>
      </c>
      <c r="G15" t="s">
        <v>6810</v>
      </c>
      <c r="H15" t="s">
        <v>5625</v>
      </c>
      <c r="I15" t="s">
        <v>2256</v>
      </c>
    </row>
    <row r="16" spans="1:9" ht="15" customHeight="1" x14ac:dyDescent="0.25">
      <c r="A16" t="s">
        <v>5890</v>
      </c>
      <c r="B16">
        <v>6</v>
      </c>
      <c r="C16" t="s">
        <v>6824</v>
      </c>
      <c r="D16" t="s">
        <v>6825</v>
      </c>
      <c r="E16" t="s">
        <v>6825</v>
      </c>
      <c r="F16" t="s">
        <v>6825</v>
      </c>
      <c r="G16" t="s">
        <v>6826</v>
      </c>
      <c r="H16" t="s">
        <v>5625</v>
      </c>
      <c r="I16" t="s">
        <v>2256</v>
      </c>
    </row>
    <row r="17" spans="1:9" ht="15" customHeight="1" x14ac:dyDescent="0.25">
      <c r="A17" t="s">
        <v>5967</v>
      </c>
      <c r="B17">
        <v>6</v>
      </c>
      <c r="C17" t="s">
        <v>6793</v>
      </c>
      <c r="D17" t="s">
        <v>6793</v>
      </c>
      <c r="E17" t="s">
        <v>6804</v>
      </c>
      <c r="F17" t="s">
        <v>6804</v>
      </c>
      <c r="G17" t="s">
        <v>6797</v>
      </c>
      <c r="H17" t="s">
        <v>6797</v>
      </c>
      <c r="I17" t="s">
        <v>2256</v>
      </c>
    </row>
    <row r="18" spans="1:9" ht="15" customHeight="1" x14ac:dyDescent="0.25">
      <c r="A18" t="s">
        <v>6024</v>
      </c>
      <c r="B18">
        <v>6</v>
      </c>
      <c r="C18" t="s">
        <v>6792</v>
      </c>
      <c r="D18" t="s">
        <v>6792</v>
      </c>
      <c r="E18" t="s">
        <v>6793</v>
      </c>
      <c r="F18" t="s">
        <v>6793</v>
      </c>
      <c r="G18" t="s">
        <v>6796</v>
      </c>
      <c r="H18" t="s">
        <v>6796</v>
      </c>
      <c r="I18" t="s">
        <v>2256</v>
      </c>
    </row>
    <row r="19" spans="1:9" ht="15" customHeight="1" x14ac:dyDescent="0.25">
      <c r="A19" t="s">
        <v>6028</v>
      </c>
      <c r="B19">
        <v>6</v>
      </c>
      <c r="C19" t="s">
        <v>5318</v>
      </c>
      <c r="D19" t="s">
        <v>6796</v>
      </c>
      <c r="E19" t="s">
        <v>6804</v>
      </c>
      <c r="F19" t="s">
        <v>6804</v>
      </c>
      <c r="G19" t="s">
        <v>6797</v>
      </c>
      <c r="H19" t="s">
        <v>6799</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6827</v>
      </c>
      <c r="D1" t="s">
        <v>90</v>
      </c>
      <c r="E1" t="s">
        <v>6828</v>
      </c>
    </row>
    <row r="2" spans="1:5" ht="15" customHeight="1" x14ac:dyDescent="0.25">
      <c r="A2" t="s">
        <v>6829</v>
      </c>
      <c r="B2">
        <v>2022</v>
      </c>
      <c r="C2" t="s">
        <v>2515</v>
      </c>
      <c r="D2" t="s">
        <v>6830</v>
      </c>
    </row>
    <row r="3" spans="1:5" ht="15" customHeight="1" x14ac:dyDescent="0.25">
      <c r="A3" t="s">
        <v>6831</v>
      </c>
      <c r="B3">
        <v>2022</v>
      </c>
      <c r="C3" t="s">
        <v>15</v>
      </c>
      <c r="D3" t="s">
        <v>6832</v>
      </c>
    </row>
    <row r="4" spans="1:5" ht="15" customHeight="1" x14ac:dyDescent="0.25">
      <c r="A4" t="s">
        <v>6833</v>
      </c>
      <c r="B4">
        <v>2024</v>
      </c>
      <c r="C4" t="s">
        <v>264</v>
      </c>
      <c r="D4" t="s">
        <v>6834</v>
      </c>
    </row>
    <row r="5" spans="1:5" ht="15" customHeight="1" x14ac:dyDescent="0.25">
      <c r="A5" t="s">
        <v>6835</v>
      </c>
      <c r="B5">
        <v>2020</v>
      </c>
      <c r="C5" t="s">
        <v>2027</v>
      </c>
      <c r="D5" t="s">
        <v>6836</v>
      </c>
    </row>
    <row r="6" spans="1:5" ht="15" customHeight="1" x14ac:dyDescent="0.25">
      <c r="A6" t="s">
        <v>6837</v>
      </c>
      <c r="B6">
        <v>2021</v>
      </c>
      <c r="C6" t="s">
        <v>2031</v>
      </c>
      <c r="D6" t="s">
        <v>6838</v>
      </c>
    </row>
    <row r="7" spans="1:5" ht="15" customHeight="1" x14ac:dyDescent="0.25">
      <c r="A7" t="s">
        <v>6839</v>
      </c>
      <c r="B7">
        <v>2024</v>
      </c>
      <c r="C7" t="s">
        <v>264</v>
      </c>
      <c r="D7" t="s">
        <v>6840</v>
      </c>
    </row>
    <row r="8" spans="1:5" x14ac:dyDescent="0.25">
      <c r="A8" t="s">
        <v>6841</v>
      </c>
      <c r="B8">
        <v>2024</v>
      </c>
      <c r="C8" t="s">
        <v>264</v>
      </c>
      <c r="E8" s="11" t="s">
        <v>6842</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6843</v>
      </c>
      <c r="B2" t="s">
        <v>6844</v>
      </c>
      <c r="C2" t="s">
        <v>3798</v>
      </c>
    </row>
    <row r="3" spans="1:3" ht="15" customHeight="1" x14ac:dyDescent="0.25">
      <c r="A3" t="s">
        <v>6845</v>
      </c>
      <c r="B3" t="s">
        <v>6846</v>
      </c>
      <c r="C3" t="s">
        <v>3798</v>
      </c>
    </row>
    <row r="4" spans="1:3" ht="15" customHeight="1" x14ac:dyDescent="0.25">
      <c r="A4" t="s">
        <v>4034</v>
      </c>
      <c r="B4" t="s">
        <v>6847</v>
      </c>
      <c r="C4" t="s">
        <v>3807</v>
      </c>
    </row>
    <row r="5" spans="1:3" ht="15" customHeight="1" x14ac:dyDescent="0.25">
      <c r="A5" t="s">
        <v>3832</v>
      </c>
      <c r="B5" t="s">
        <v>6848</v>
      </c>
      <c r="C5" t="s">
        <v>3798</v>
      </c>
    </row>
    <row r="6" spans="1:3" ht="15" customHeight="1" x14ac:dyDescent="0.25">
      <c r="A6" t="s">
        <v>6849</v>
      </c>
      <c r="B6" t="s">
        <v>6850</v>
      </c>
      <c r="C6" t="s">
        <v>3807</v>
      </c>
    </row>
    <row r="7" spans="1:3" ht="15" customHeight="1" x14ac:dyDescent="0.25">
      <c r="A7" t="s">
        <v>6851</v>
      </c>
      <c r="B7" t="s">
        <v>6852</v>
      </c>
      <c r="C7" t="s">
        <v>3798</v>
      </c>
    </row>
    <row r="8" spans="1:3" ht="15" customHeight="1" x14ac:dyDescent="0.25">
      <c r="A8" t="s">
        <v>6853</v>
      </c>
      <c r="B8" t="s">
        <v>6854</v>
      </c>
      <c r="C8" t="s">
        <v>3798</v>
      </c>
    </row>
    <row r="9" spans="1:3" ht="15" customHeight="1" x14ac:dyDescent="0.25">
      <c r="A9" t="s">
        <v>6855</v>
      </c>
      <c r="B9" t="s">
        <v>6856</v>
      </c>
      <c r="C9" t="s">
        <v>3798</v>
      </c>
    </row>
    <row r="10" spans="1:3" ht="15" customHeight="1" x14ac:dyDescent="0.25">
      <c r="A10" t="s">
        <v>6857</v>
      </c>
      <c r="B10" t="s">
        <v>6858</v>
      </c>
      <c r="C10" t="s">
        <v>3815</v>
      </c>
    </row>
    <row r="11" spans="1:3" ht="15" customHeight="1" x14ac:dyDescent="0.25">
      <c r="A11" t="s">
        <v>6859</v>
      </c>
      <c r="B11" t="s">
        <v>6860</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6861</v>
      </c>
      <c r="C1" t="s">
        <v>4247</v>
      </c>
      <c r="D1" t="s">
        <v>6862</v>
      </c>
      <c r="E1" t="s">
        <v>3348</v>
      </c>
      <c r="F1" t="s">
        <v>86</v>
      </c>
    </row>
    <row r="2" spans="1:6" ht="15" customHeight="1" x14ac:dyDescent="0.25">
      <c r="A2" t="s">
        <v>6863</v>
      </c>
      <c r="B2" t="s">
        <v>4683</v>
      </c>
      <c r="C2" t="s">
        <v>4010</v>
      </c>
      <c r="D2" t="s">
        <v>6864</v>
      </c>
      <c r="E2" t="s">
        <v>6865</v>
      </c>
      <c r="F2" t="s">
        <v>6866</v>
      </c>
    </row>
    <row r="3" spans="1:6" ht="15" customHeight="1" x14ac:dyDescent="0.25">
      <c r="A3" t="s">
        <v>6867</v>
      </c>
      <c r="B3" t="s">
        <v>4683</v>
      </c>
      <c r="C3" t="s">
        <v>4014</v>
      </c>
      <c r="D3" t="s">
        <v>6864</v>
      </c>
      <c r="E3" t="s">
        <v>6868</v>
      </c>
      <c r="F3" t="s">
        <v>6866</v>
      </c>
    </row>
    <row r="4" spans="1:6" ht="15" customHeight="1" x14ac:dyDescent="0.25">
      <c r="A4" t="s">
        <v>6869</v>
      </c>
      <c r="B4" t="s">
        <v>4683</v>
      </c>
      <c r="C4" t="s">
        <v>4686</v>
      </c>
      <c r="D4" t="s">
        <v>6864</v>
      </c>
      <c r="E4" t="s">
        <v>6870</v>
      </c>
      <c r="F4" t="s">
        <v>6866</v>
      </c>
    </row>
    <row r="5" spans="1:6" ht="15" customHeight="1" x14ac:dyDescent="0.25">
      <c r="A5" t="s">
        <v>6871</v>
      </c>
      <c r="B5" t="s">
        <v>4683</v>
      </c>
      <c r="C5" t="s">
        <v>4010</v>
      </c>
      <c r="D5" t="s">
        <v>6864</v>
      </c>
      <c r="E5" t="s">
        <v>6872</v>
      </c>
      <c r="F5" t="s">
        <v>6866</v>
      </c>
    </row>
    <row r="6" spans="1:6" ht="15" customHeight="1" x14ac:dyDescent="0.25">
      <c r="A6" t="s">
        <v>6873</v>
      </c>
      <c r="B6" t="s">
        <v>4683</v>
      </c>
      <c r="C6" t="s">
        <v>4014</v>
      </c>
      <c r="D6" t="s">
        <v>6864</v>
      </c>
      <c r="E6" t="s">
        <v>6874</v>
      </c>
      <c r="F6" t="s">
        <v>6866</v>
      </c>
    </row>
    <row r="7" spans="1:6" ht="15" customHeight="1" x14ac:dyDescent="0.25">
      <c r="A7" t="s">
        <v>6875</v>
      </c>
      <c r="B7" t="s">
        <v>4683</v>
      </c>
      <c r="C7" t="s">
        <v>4686</v>
      </c>
      <c r="D7" t="s">
        <v>6864</v>
      </c>
      <c r="E7" t="s">
        <v>6876</v>
      </c>
      <c r="F7" t="s">
        <v>6866</v>
      </c>
    </row>
    <row r="8" spans="1:6" ht="15" customHeight="1" x14ac:dyDescent="0.25">
      <c r="A8" t="s">
        <v>6877</v>
      </c>
      <c r="B8" t="s">
        <v>4683</v>
      </c>
      <c r="C8" t="s">
        <v>4010</v>
      </c>
      <c r="D8" t="s">
        <v>6878</v>
      </c>
      <c r="E8" t="s">
        <v>6879</v>
      </c>
      <c r="F8" t="s">
        <v>6866</v>
      </c>
    </row>
    <row r="9" spans="1:6" ht="15" customHeight="1" x14ac:dyDescent="0.25">
      <c r="A9" t="s">
        <v>6880</v>
      </c>
      <c r="B9" t="s">
        <v>4683</v>
      </c>
      <c r="C9" t="s">
        <v>4014</v>
      </c>
      <c r="D9" t="s">
        <v>6864</v>
      </c>
      <c r="E9" t="s">
        <v>6879</v>
      </c>
      <c r="F9" t="s">
        <v>6866</v>
      </c>
    </row>
    <row r="10" spans="1:6" ht="15" customHeight="1" x14ac:dyDescent="0.25">
      <c r="A10" t="s">
        <v>6881</v>
      </c>
      <c r="B10" t="s">
        <v>4683</v>
      </c>
      <c r="C10" t="s">
        <v>4686</v>
      </c>
      <c r="D10" t="s">
        <v>6882</v>
      </c>
      <c r="E10" t="s">
        <v>6879</v>
      </c>
      <c r="F10" t="s">
        <v>6866</v>
      </c>
    </row>
    <row r="11" spans="1:6" ht="15" customHeight="1" x14ac:dyDescent="0.25">
      <c r="A11" t="s">
        <v>6883</v>
      </c>
      <c r="B11" t="s">
        <v>3829</v>
      </c>
      <c r="C11" t="s">
        <v>4010</v>
      </c>
      <c r="D11" t="s">
        <v>6878</v>
      </c>
      <c r="E11" t="s">
        <v>6884</v>
      </c>
      <c r="F11" t="s">
        <v>6866</v>
      </c>
    </row>
    <row r="12" spans="1:6" ht="15" customHeight="1" x14ac:dyDescent="0.25">
      <c r="A12" t="s">
        <v>6885</v>
      </c>
      <c r="B12" t="s">
        <v>3829</v>
      </c>
      <c r="C12" t="s">
        <v>4014</v>
      </c>
      <c r="D12" t="s">
        <v>6878</v>
      </c>
      <c r="E12" t="s">
        <v>6886</v>
      </c>
      <c r="F12" t="s">
        <v>6866</v>
      </c>
    </row>
    <row r="13" spans="1:6" ht="15" customHeight="1" x14ac:dyDescent="0.25">
      <c r="A13" t="s">
        <v>6887</v>
      </c>
      <c r="B13" t="s">
        <v>3829</v>
      </c>
      <c r="C13" t="s">
        <v>4686</v>
      </c>
      <c r="D13" t="s">
        <v>6878</v>
      </c>
      <c r="E13" t="s">
        <v>6888</v>
      </c>
      <c r="F13" t="s">
        <v>6866</v>
      </c>
    </row>
    <row r="14" spans="1:6" ht="15" customHeight="1" x14ac:dyDescent="0.25">
      <c r="A14" t="s">
        <v>6889</v>
      </c>
      <c r="B14" t="s">
        <v>6548</v>
      </c>
      <c r="C14" t="s">
        <v>4010</v>
      </c>
      <c r="D14" t="s">
        <v>6890</v>
      </c>
      <c r="E14" t="s">
        <v>6891</v>
      </c>
      <c r="F14" t="s">
        <v>3644</v>
      </c>
    </row>
    <row r="15" spans="1:6" ht="15" customHeight="1" x14ac:dyDescent="0.25">
      <c r="A15" t="s">
        <v>6892</v>
      </c>
      <c r="B15" t="s">
        <v>6548</v>
      </c>
      <c r="C15" t="s">
        <v>4014</v>
      </c>
      <c r="D15" t="s">
        <v>6893</v>
      </c>
      <c r="E15" t="s">
        <v>6891</v>
      </c>
      <c r="F15" t="s">
        <v>3644</v>
      </c>
    </row>
    <row r="16" spans="1:6" ht="15" customHeight="1" x14ac:dyDescent="0.25">
      <c r="A16" t="s">
        <v>6894</v>
      </c>
      <c r="B16" t="s">
        <v>6548</v>
      </c>
      <c r="C16" t="s">
        <v>4686</v>
      </c>
      <c r="D16" t="s">
        <v>6895</v>
      </c>
      <c r="E16" t="s">
        <v>6891</v>
      </c>
      <c r="F16" t="s">
        <v>3644</v>
      </c>
    </row>
    <row r="17" spans="1:6" ht="15" customHeight="1" x14ac:dyDescent="0.25">
      <c r="A17" t="s">
        <v>6896</v>
      </c>
      <c r="B17" t="s">
        <v>6548</v>
      </c>
      <c r="C17" t="s">
        <v>4010</v>
      </c>
      <c r="D17" t="s">
        <v>6897</v>
      </c>
      <c r="E17" t="s">
        <v>6898</v>
      </c>
      <c r="F17" t="s">
        <v>6899</v>
      </c>
    </row>
    <row r="18" spans="1:6" ht="15" customHeight="1" x14ac:dyDescent="0.25">
      <c r="A18" t="s">
        <v>6900</v>
      </c>
      <c r="B18" t="s">
        <v>6548</v>
      </c>
      <c r="C18" t="s">
        <v>4014</v>
      </c>
      <c r="D18" t="s">
        <v>6897</v>
      </c>
      <c r="E18" t="s">
        <v>6901</v>
      </c>
      <c r="F18" t="s">
        <v>6899</v>
      </c>
    </row>
    <row r="19" spans="1:6" ht="15" customHeight="1" x14ac:dyDescent="0.25">
      <c r="A19" t="s">
        <v>6902</v>
      </c>
      <c r="B19" t="s">
        <v>6548</v>
      </c>
      <c r="C19" t="s">
        <v>4686</v>
      </c>
      <c r="D19" t="s">
        <v>6897</v>
      </c>
      <c r="E19" t="s">
        <v>6903</v>
      </c>
      <c r="F19" t="s">
        <v>6899</v>
      </c>
    </row>
    <row r="20" spans="1:6" ht="15" customHeight="1" x14ac:dyDescent="0.25">
      <c r="A20" t="s">
        <v>6904</v>
      </c>
      <c r="B20" t="s">
        <v>6548</v>
      </c>
      <c r="C20" t="s">
        <v>4010</v>
      </c>
      <c r="D20" t="s">
        <v>6905</v>
      </c>
      <c r="E20" t="s">
        <v>6906</v>
      </c>
      <c r="F20" t="s">
        <v>6899</v>
      </c>
    </row>
    <row r="21" spans="1:6" ht="15" customHeight="1" x14ac:dyDescent="0.25">
      <c r="A21" t="s">
        <v>6907</v>
      </c>
      <c r="B21" t="s">
        <v>6548</v>
      </c>
      <c r="C21" t="s">
        <v>4014</v>
      </c>
      <c r="D21" t="s">
        <v>6908</v>
      </c>
      <c r="E21" t="s">
        <v>6906</v>
      </c>
      <c r="F21" t="s">
        <v>6899</v>
      </c>
    </row>
    <row r="22" spans="1:6" ht="15" customHeight="1" x14ac:dyDescent="0.25">
      <c r="A22" t="s">
        <v>6909</v>
      </c>
      <c r="B22" t="s">
        <v>6548</v>
      </c>
      <c r="C22" t="s">
        <v>4686</v>
      </c>
      <c r="D22" t="s">
        <v>6910</v>
      </c>
      <c r="E22" t="s">
        <v>6906</v>
      </c>
      <c r="F22" t="s">
        <v>6899</v>
      </c>
    </row>
    <row r="23" spans="1:6" ht="15" customHeight="1" x14ac:dyDescent="0.25">
      <c r="A23" t="s">
        <v>6911</v>
      </c>
      <c r="B23" t="s">
        <v>3824</v>
      </c>
      <c r="C23" t="s">
        <v>4010</v>
      </c>
      <c r="D23" t="s">
        <v>6890</v>
      </c>
      <c r="E23" t="s">
        <v>6912</v>
      </c>
      <c r="F23" t="s">
        <v>3644</v>
      </c>
    </row>
    <row r="24" spans="1:6" ht="15" customHeight="1" x14ac:dyDescent="0.25">
      <c r="A24" t="s">
        <v>6913</v>
      </c>
      <c r="B24" t="s">
        <v>3824</v>
      </c>
      <c r="C24" t="s">
        <v>4014</v>
      </c>
      <c r="D24" t="s">
        <v>6890</v>
      </c>
      <c r="E24" t="s">
        <v>6914</v>
      </c>
      <c r="F24" t="s">
        <v>3644</v>
      </c>
    </row>
    <row r="25" spans="1:6" ht="15" customHeight="1" x14ac:dyDescent="0.25">
      <c r="A25" t="s">
        <v>6915</v>
      </c>
      <c r="B25" t="s">
        <v>3824</v>
      </c>
      <c r="C25" t="s">
        <v>4686</v>
      </c>
      <c r="D25" t="s">
        <v>6890</v>
      </c>
      <c r="E25" t="s">
        <v>6916</v>
      </c>
      <c r="F25" t="s">
        <v>3644</v>
      </c>
    </row>
    <row r="26" spans="1:6" ht="15" customHeight="1" x14ac:dyDescent="0.25">
      <c r="A26" t="s">
        <v>6917</v>
      </c>
      <c r="B26" t="s">
        <v>3824</v>
      </c>
      <c r="C26" t="s">
        <v>4010</v>
      </c>
      <c r="D26" t="s">
        <v>6918</v>
      </c>
      <c r="E26" t="s">
        <v>6919</v>
      </c>
      <c r="F26" t="s">
        <v>6899</v>
      </c>
    </row>
    <row r="27" spans="1:6" ht="15" customHeight="1" x14ac:dyDescent="0.25">
      <c r="A27" t="s">
        <v>6920</v>
      </c>
      <c r="B27" t="s">
        <v>3824</v>
      </c>
      <c r="C27" t="s">
        <v>4014</v>
      </c>
      <c r="D27" t="s">
        <v>6921</v>
      </c>
      <c r="E27" t="s">
        <v>6919</v>
      </c>
      <c r="F27" t="s">
        <v>6899</v>
      </c>
    </row>
    <row r="28" spans="1:6" ht="15" customHeight="1" x14ac:dyDescent="0.25">
      <c r="A28" t="s">
        <v>6922</v>
      </c>
      <c r="B28" t="s">
        <v>3824</v>
      </c>
      <c r="C28" t="s">
        <v>4686</v>
      </c>
      <c r="D28" t="s">
        <v>6923</v>
      </c>
      <c r="E28" t="s">
        <v>6919</v>
      </c>
      <c r="F28" t="s">
        <v>6899</v>
      </c>
    </row>
    <row r="29" spans="1:6" ht="15" customHeight="1" x14ac:dyDescent="0.25">
      <c r="A29" t="s">
        <v>6924</v>
      </c>
      <c r="B29" t="s">
        <v>3824</v>
      </c>
      <c r="C29" t="s">
        <v>4010</v>
      </c>
      <c r="D29" t="s">
        <v>6925</v>
      </c>
      <c r="E29" t="s">
        <v>6926</v>
      </c>
      <c r="F29" t="s">
        <v>6899</v>
      </c>
    </row>
    <row r="30" spans="1:6" ht="15" customHeight="1" x14ac:dyDescent="0.25">
      <c r="A30" t="s">
        <v>6927</v>
      </c>
      <c r="B30" t="s">
        <v>3824</v>
      </c>
      <c r="C30" t="s">
        <v>4014</v>
      </c>
      <c r="D30" t="s">
        <v>6928</v>
      </c>
      <c r="E30" t="s">
        <v>6926</v>
      </c>
      <c r="F30" t="s">
        <v>6899</v>
      </c>
    </row>
    <row r="31" spans="1:6" ht="15" customHeight="1" x14ac:dyDescent="0.25">
      <c r="A31" t="s">
        <v>6929</v>
      </c>
      <c r="B31" t="s">
        <v>3824</v>
      </c>
      <c r="C31" t="s">
        <v>4686</v>
      </c>
      <c r="D31" t="s">
        <v>6930</v>
      </c>
      <c r="E31" t="s">
        <v>6926</v>
      </c>
      <c r="F31" t="s">
        <v>6899</v>
      </c>
    </row>
    <row r="32" spans="1:6" ht="15" customHeight="1" x14ac:dyDescent="0.25">
      <c r="A32" t="s">
        <v>6931</v>
      </c>
      <c r="B32" t="s">
        <v>3829</v>
      </c>
      <c r="C32" t="s">
        <v>4010</v>
      </c>
      <c r="D32" t="s">
        <v>6932</v>
      </c>
      <c r="E32" t="s">
        <v>6933</v>
      </c>
      <c r="F32" t="s">
        <v>6899</v>
      </c>
    </row>
    <row r="33" spans="1:6" ht="15" customHeight="1" x14ac:dyDescent="0.25">
      <c r="A33" t="s">
        <v>6934</v>
      </c>
      <c r="B33" t="s">
        <v>3829</v>
      </c>
      <c r="C33" t="s">
        <v>4014</v>
      </c>
      <c r="D33" t="s">
        <v>6932</v>
      </c>
      <c r="E33" t="s">
        <v>6933</v>
      </c>
      <c r="F33" t="s">
        <v>6899</v>
      </c>
    </row>
    <row r="34" spans="1:6" ht="15" customHeight="1" x14ac:dyDescent="0.25">
      <c r="A34" t="s">
        <v>6935</v>
      </c>
      <c r="B34" t="s">
        <v>3829</v>
      </c>
      <c r="C34" t="s">
        <v>4686</v>
      </c>
      <c r="D34" t="s">
        <v>6932</v>
      </c>
      <c r="E34" t="s">
        <v>6933</v>
      </c>
      <c r="F34" t="s">
        <v>6899</v>
      </c>
    </row>
    <row r="35" spans="1:6" ht="15" customHeight="1" x14ac:dyDescent="0.25">
      <c r="A35" t="s">
        <v>6936</v>
      </c>
      <c r="B35" t="s">
        <v>4683</v>
      </c>
      <c r="C35" t="s">
        <v>4010</v>
      </c>
      <c r="D35" t="s">
        <v>6878</v>
      </c>
      <c r="E35" t="s">
        <v>6937</v>
      </c>
      <c r="F35" t="s">
        <v>6866</v>
      </c>
    </row>
    <row r="36" spans="1:6" ht="15" customHeight="1" x14ac:dyDescent="0.25">
      <c r="A36" t="s">
        <v>6938</v>
      </c>
      <c r="B36" t="s">
        <v>4683</v>
      </c>
      <c r="C36" t="s">
        <v>4014</v>
      </c>
      <c r="D36" t="s">
        <v>6864</v>
      </c>
      <c r="E36" t="s">
        <v>6937</v>
      </c>
      <c r="F36" t="s">
        <v>6866</v>
      </c>
    </row>
    <row r="37" spans="1:6" ht="15" customHeight="1" x14ac:dyDescent="0.25">
      <c r="A37" t="s">
        <v>6939</v>
      </c>
      <c r="B37" t="s">
        <v>4683</v>
      </c>
      <c r="C37" t="s">
        <v>4686</v>
      </c>
      <c r="D37" t="s">
        <v>6882</v>
      </c>
      <c r="E37" t="s">
        <v>6937</v>
      </c>
      <c r="F37" t="s">
        <v>6866</v>
      </c>
    </row>
    <row r="38" spans="1:6" ht="15" customHeight="1" x14ac:dyDescent="0.25">
      <c r="A38" t="s">
        <v>6940</v>
      </c>
      <c r="B38" t="s">
        <v>3829</v>
      </c>
      <c r="C38" t="s">
        <v>4010</v>
      </c>
      <c r="D38" t="s">
        <v>6878</v>
      </c>
      <c r="E38" t="s">
        <v>6941</v>
      </c>
      <c r="F38" t="s">
        <v>6866</v>
      </c>
    </row>
    <row r="39" spans="1:6" ht="15" customHeight="1" x14ac:dyDescent="0.25">
      <c r="A39" t="s">
        <v>6942</v>
      </c>
      <c r="B39" t="s">
        <v>3829</v>
      </c>
      <c r="C39" t="s">
        <v>4014</v>
      </c>
      <c r="D39" t="s">
        <v>6864</v>
      </c>
      <c r="E39" t="s">
        <v>6941</v>
      </c>
      <c r="F39" t="s">
        <v>6866</v>
      </c>
    </row>
    <row r="40" spans="1:6" ht="15" customHeight="1" x14ac:dyDescent="0.25">
      <c r="A40" t="s">
        <v>6943</v>
      </c>
      <c r="B40" t="s">
        <v>3829</v>
      </c>
      <c r="C40" t="s">
        <v>4686</v>
      </c>
      <c r="D40" t="s">
        <v>6882</v>
      </c>
      <c r="E40" t="s">
        <v>6941</v>
      </c>
      <c r="F40" t="s">
        <v>6866</v>
      </c>
    </row>
    <row r="41" spans="1:6" ht="15" customHeight="1" x14ac:dyDescent="0.25">
      <c r="A41" t="s">
        <v>6944</v>
      </c>
      <c r="B41" t="s">
        <v>4683</v>
      </c>
      <c r="C41" t="s">
        <v>4010</v>
      </c>
      <c r="D41" t="s">
        <v>6882</v>
      </c>
      <c r="E41" t="s">
        <v>6945</v>
      </c>
      <c r="F41" t="s">
        <v>6866</v>
      </c>
    </row>
    <row r="42" spans="1:6" ht="15" customHeight="1" x14ac:dyDescent="0.25">
      <c r="A42" t="s">
        <v>6946</v>
      </c>
      <c r="B42" t="s">
        <v>4683</v>
      </c>
      <c r="C42" t="s">
        <v>4014</v>
      </c>
      <c r="D42" t="s">
        <v>6882</v>
      </c>
      <c r="E42" t="s">
        <v>6947</v>
      </c>
      <c r="F42" t="s">
        <v>6866</v>
      </c>
    </row>
    <row r="43" spans="1:6" ht="15" customHeight="1" x14ac:dyDescent="0.25">
      <c r="A43" t="s">
        <v>6948</v>
      </c>
      <c r="B43" t="s">
        <v>4683</v>
      </c>
      <c r="C43" t="s">
        <v>4686</v>
      </c>
      <c r="D43" t="s">
        <v>6882</v>
      </c>
      <c r="E43" t="s">
        <v>6949</v>
      </c>
      <c r="F43" t="s">
        <v>6866</v>
      </c>
    </row>
    <row r="44" spans="1:6" ht="15" customHeight="1" x14ac:dyDescent="0.25">
      <c r="A44" t="s">
        <v>6950</v>
      </c>
      <c r="B44" t="s">
        <v>6548</v>
      </c>
      <c r="C44" t="s">
        <v>4010</v>
      </c>
      <c r="D44" t="s">
        <v>6878</v>
      </c>
      <c r="E44" t="s">
        <v>6951</v>
      </c>
      <c r="F44" t="s">
        <v>6866</v>
      </c>
    </row>
    <row r="45" spans="1:6" ht="15" customHeight="1" x14ac:dyDescent="0.25">
      <c r="A45" t="s">
        <v>6952</v>
      </c>
      <c r="B45" t="s">
        <v>6548</v>
      </c>
      <c r="C45" t="s">
        <v>4014</v>
      </c>
      <c r="D45" t="s">
        <v>6864</v>
      </c>
      <c r="E45" t="s">
        <v>6951</v>
      </c>
      <c r="F45" t="s">
        <v>6866</v>
      </c>
    </row>
    <row r="46" spans="1:6" ht="15" customHeight="1" x14ac:dyDescent="0.25">
      <c r="A46" t="s">
        <v>6953</v>
      </c>
      <c r="B46" t="s">
        <v>6548</v>
      </c>
      <c r="C46" t="s">
        <v>4686</v>
      </c>
      <c r="D46" t="s">
        <v>6882</v>
      </c>
      <c r="E46" t="s">
        <v>6951</v>
      </c>
      <c r="F46" t="s">
        <v>6866</v>
      </c>
    </row>
    <row r="47" spans="1:6" ht="15" customHeight="1" x14ac:dyDescent="0.25">
      <c r="A47" t="s">
        <v>6954</v>
      </c>
      <c r="B47" t="s">
        <v>3824</v>
      </c>
      <c r="C47" t="s">
        <v>4010</v>
      </c>
      <c r="D47" t="s">
        <v>6925</v>
      </c>
      <c r="E47" t="s">
        <v>6955</v>
      </c>
      <c r="F47" t="s">
        <v>6899</v>
      </c>
    </row>
    <row r="48" spans="1:6" ht="15" customHeight="1" x14ac:dyDescent="0.25">
      <c r="A48" t="s">
        <v>6956</v>
      </c>
      <c r="B48" t="s">
        <v>3824</v>
      </c>
      <c r="C48" t="s">
        <v>4014</v>
      </c>
      <c r="D48" t="s">
        <v>6928</v>
      </c>
      <c r="E48" t="s">
        <v>6957</v>
      </c>
      <c r="F48" t="s">
        <v>6899</v>
      </c>
    </row>
    <row r="49" spans="1:6" ht="15" customHeight="1" x14ac:dyDescent="0.25">
      <c r="A49" t="s">
        <v>6958</v>
      </c>
      <c r="B49" t="s">
        <v>3824</v>
      </c>
      <c r="C49" t="s">
        <v>4686</v>
      </c>
      <c r="D49" t="s">
        <v>6930</v>
      </c>
      <c r="E49" t="s">
        <v>6959</v>
      </c>
      <c r="F49" t="s">
        <v>6899</v>
      </c>
    </row>
    <row r="50" spans="1:6" ht="15" customHeight="1" x14ac:dyDescent="0.25">
      <c r="A50" t="s">
        <v>6960</v>
      </c>
      <c r="B50" t="s">
        <v>3829</v>
      </c>
      <c r="C50" t="s">
        <v>4010</v>
      </c>
      <c r="D50" t="s">
        <v>6878</v>
      </c>
      <c r="E50" t="s">
        <v>6961</v>
      </c>
      <c r="F50" t="s">
        <v>6866</v>
      </c>
    </row>
    <row r="51" spans="1:6" ht="15" customHeight="1" x14ac:dyDescent="0.25">
      <c r="A51" t="s">
        <v>6962</v>
      </c>
      <c r="B51" t="s">
        <v>3829</v>
      </c>
      <c r="C51" t="s">
        <v>4014</v>
      </c>
      <c r="D51" t="s">
        <v>6864</v>
      </c>
      <c r="E51" t="s">
        <v>6961</v>
      </c>
      <c r="F51" t="s">
        <v>6866</v>
      </c>
    </row>
    <row r="52" spans="1:6" ht="15" customHeight="1" x14ac:dyDescent="0.25">
      <c r="A52" t="s">
        <v>6963</v>
      </c>
      <c r="B52" t="s">
        <v>3829</v>
      </c>
      <c r="C52" t="s">
        <v>4686</v>
      </c>
      <c r="D52" t="s">
        <v>6882</v>
      </c>
      <c r="E52" t="s">
        <v>6961</v>
      </c>
      <c r="F52" t="s">
        <v>6866</v>
      </c>
    </row>
    <row r="53" spans="1:6" ht="15" customHeight="1" x14ac:dyDescent="0.25">
      <c r="A53" t="s">
        <v>6964</v>
      </c>
      <c r="B53" t="s">
        <v>3824</v>
      </c>
      <c r="C53" t="s">
        <v>4010</v>
      </c>
      <c r="D53" t="s">
        <v>6965</v>
      </c>
      <c r="E53" t="s">
        <v>6966</v>
      </c>
      <c r="F53" t="s">
        <v>6899</v>
      </c>
    </row>
    <row r="54" spans="1:6" ht="15" customHeight="1" x14ac:dyDescent="0.25">
      <c r="A54" t="s">
        <v>6967</v>
      </c>
      <c r="B54" t="s">
        <v>3824</v>
      </c>
      <c r="C54" t="s">
        <v>4014</v>
      </c>
      <c r="D54" t="s">
        <v>6968</v>
      </c>
      <c r="E54" t="s">
        <v>6966</v>
      </c>
      <c r="F54" t="s">
        <v>6899</v>
      </c>
    </row>
    <row r="55" spans="1:6" ht="15" customHeight="1" x14ac:dyDescent="0.25">
      <c r="A55" t="s">
        <v>6969</v>
      </c>
      <c r="B55" t="s">
        <v>3824</v>
      </c>
      <c r="C55" t="s">
        <v>4686</v>
      </c>
      <c r="D55" t="s">
        <v>6970</v>
      </c>
      <c r="E55" t="s">
        <v>6966</v>
      </c>
      <c r="F55" t="s">
        <v>6899</v>
      </c>
    </row>
    <row r="56" spans="1:6" ht="15" customHeight="1" x14ac:dyDescent="0.25">
      <c r="A56" t="s">
        <v>6971</v>
      </c>
      <c r="B56" t="s">
        <v>4683</v>
      </c>
      <c r="C56" t="s">
        <v>4010</v>
      </c>
      <c r="D56" t="s">
        <v>6972</v>
      </c>
      <c r="E56" t="s">
        <v>6973</v>
      </c>
      <c r="F56" t="s">
        <v>6899</v>
      </c>
    </row>
    <row r="57" spans="1:6" ht="15" customHeight="1" x14ac:dyDescent="0.25">
      <c r="A57" t="s">
        <v>6974</v>
      </c>
      <c r="B57" t="s">
        <v>4683</v>
      </c>
      <c r="C57" t="s">
        <v>4014</v>
      </c>
      <c r="D57" t="s">
        <v>6975</v>
      </c>
      <c r="E57" t="s">
        <v>6973</v>
      </c>
      <c r="F57" t="s">
        <v>6899</v>
      </c>
    </row>
    <row r="58" spans="1:6" ht="15" customHeight="1" x14ac:dyDescent="0.25">
      <c r="A58" t="s">
        <v>6976</v>
      </c>
      <c r="B58" t="s">
        <v>4683</v>
      </c>
      <c r="C58" t="s">
        <v>4686</v>
      </c>
      <c r="D58" t="s">
        <v>6977</v>
      </c>
      <c r="E58" t="s">
        <v>6973</v>
      </c>
      <c r="F58" t="s">
        <v>6899</v>
      </c>
    </row>
    <row r="59" spans="1:6" ht="15" customHeight="1" x14ac:dyDescent="0.25">
      <c r="A59" t="s">
        <v>6978</v>
      </c>
      <c r="B59" t="s">
        <v>4683</v>
      </c>
      <c r="C59" t="s">
        <v>4010</v>
      </c>
      <c r="D59" t="s">
        <v>6878</v>
      </c>
      <c r="E59" t="s">
        <v>6979</v>
      </c>
      <c r="F59" t="s">
        <v>3644</v>
      </c>
    </row>
    <row r="60" spans="1:6" ht="15" customHeight="1" x14ac:dyDescent="0.25">
      <c r="A60" t="s">
        <v>6980</v>
      </c>
      <c r="B60" t="s">
        <v>4683</v>
      </c>
      <c r="C60" t="s">
        <v>4014</v>
      </c>
      <c r="D60" t="s">
        <v>6864</v>
      </c>
      <c r="E60" t="s">
        <v>6979</v>
      </c>
      <c r="F60" t="s">
        <v>3644</v>
      </c>
    </row>
    <row r="61" spans="1:6" ht="15" customHeight="1" x14ac:dyDescent="0.25">
      <c r="A61" t="s">
        <v>6981</v>
      </c>
      <c r="B61" t="s">
        <v>4683</v>
      </c>
      <c r="C61" t="s">
        <v>4686</v>
      </c>
      <c r="D61" t="s">
        <v>6882</v>
      </c>
      <c r="E61" t="s">
        <v>6979</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6982</v>
      </c>
      <c r="B2" t="s">
        <v>4604</v>
      </c>
    </row>
    <row r="3" spans="1:2" ht="15" customHeight="1" x14ac:dyDescent="0.25">
      <c r="A3" t="s">
        <v>6983</v>
      </c>
      <c r="B3" t="s">
        <v>4604</v>
      </c>
    </row>
    <row r="4" spans="1:2" ht="15" customHeight="1" x14ac:dyDescent="0.25">
      <c r="A4" t="s">
        <v>6984</v>
      </c>
      <c r="B4" t="s">
        <v>4604</v>
      </c>
    </row>
    <row r="5" spans="1:2" ht="15" customHeight="1" x14ac:dyDescent="0.25">
      <c r="A5" t="s">
        <v>6985</v>
      </c>
      <c r="B5" t="s">
        <v>4604</v>
      </c>
    </row>
    <row r="6" spans="1:2" ht="15" customHeight="1" x14ac:dyDescent="0.25">
      <c r="A6" t="s">
        <v>3777</v>
      </c>
      <c r="B6" t="s">
        <v>4604</v>
      </c>
    </row>
    <row r="7" spans="1:2" ht="15" customHeight="1" x14ac:dyDescent="0.25">
      <c r="A7" t="s">
        <v>6986</v>
      </c>
      <c r="B7" t="s">
        <v>4604</v>
      </c>
    </row>
    <row r="8" spans="1:2" ht="15" customHeight="1" x14ac:dyDescent="0.25">
      <c r="A8" t="s">
        <v>6987</v>
      </c>
      <c r="B8" t="s">
        <v>4604</v>
      </c>
    </row>
    <row r="9" spans="1:2" ht="15" customHeight="1" x14ac:dyDescent="0.25">
      <c r="A9" t="s">
        <v>6988</v>
      </c>
      <c r="B9" t="s">
        <v>4604</v>
      </c>
    </row>
    <row r="10" spans="1:2" ht="15" customHeight="1" x14ac:dyDescent="0.25">
      <c r="A10" t="s">
        <v>6989</v>
      </c>
      <c r="B10" t="s">
        <v>4604</v>
      </c>
    </row>
    <row r="11" spans="1:2" ht="15" customHeight="1" x14ac:dyDescent="0.25">
      <c r="A11" t="s">
        <v>6990</v>
      </c>
      <c r="B11" t="s">
        <v>4604</v>
      </c>
    </row>
    <row r="12" spans="1:2" ht="15" customHeight="1" x14ac:dyDescent="0.25">
      <c r="A12" t="s">
        <v>6991</v>
      </c>
      <c r="B12" t="s">
        <v>4019</v>
      </c>
    </row>
    <row r="13" spans="1:2" ht="15" customHeight="1" x14ac:dyDescent="0.25">
      <c r="A13" t="s">
        <v>6992</v>
      </c>
      <c r="B13" t="s">
        <v>4019</v>
      </c>
    </row>
    <row r="14" spans="1:2" ht="15" customHeight="1" x14ac:dyDescent="0.25">
      <c r="A14" t="s">
        <v>6993</v>
      </c>
      <c r="B14" t="s">
        <v>4019</v>
      </c>
    </row>
    <row r="15" spans="1:2" ht="15" customHeight="1" x14ac:dyDescent="0.25">
      <c r="A15" t="s">
        <v>6994</v>
      </c>
      <c r="B15" t="s">
        <v>4019</v>
      </c>
    </row>
    <row r="16" spans="1:2" ht="15" customHeight="1" x14ac:dyDescent="0.25">
      <c r="A16" t="s">
        <v>6995</v>
      </c>
      <c r="B16" t="s">
        <v>4019</v>
      </c>
    </row>
    <row r="17" spans="1:2" ht="15" customHeight="1" x14ac:dyDescent="0.25">
      <c r="A17" t="s">
        <v>6996</v>
      </c>
      <c r="B17" t="s">
        <v>4019</v>
      </c>
    </row>
    <row r="18" spans="1:2" ht="15" customHeight="1" x14ac:dyDescent="0.25">
      <c r="A18" t="s">
        <v>6997</v>
      </c>
      <c r="B18" t="s">
        <v>6998</v>
      </c>
    </row>
    <row r="19" spans="1:2" ht="15" customHeight="1" x14ac:dyDescent="0.25">
      <c r="A19" t="s">
        <v>6999</v>
      </c>
      <c r="B19" t="s">
        <v>6998</v>
      </c>
    </row>
    <row r="20" spans="1:2" ht="15" customHeight="1" x14ac:dyDescent="0.25">
      <c r="A20" t="s">
        <v>7000</v>
      </c>
      <c r="B20" t="s">
        <v>6998</v>
      </c>
    </row>
    <row r="21" spans="1:2" ht="15" customHeight="1" x14ac:dyDescent="0.25">
      <c r="A21" t="s">
        <v>7001</v>
      </c>
      <c r="B21" t="s">
        <v>6998</v>
      </c>
    </row>
    <row r="22" spans="1:2" ht="15" customHeight="1" x14ac:dyDescent="0.25">
      <c r="A22" t="s">
        <v>7002</v>
      </c>
      <c r="B22" t="s">
        <v>6998</v>
      </c>
    </row>
    <row r="23" spans="1:2" ht="15" customHeight="1" x14ac:dyDescent="0.25">
      <c r="A23" t="s">
        <v>3774</v>
      </c>
      <c r="B23" t="s">
        <v>6998</v>
      </c>
    </row>
    <row r="24" spans="1:2" ht="15" customHeight="1" x14ac:dyDescent="0.25">
      <c r="A24" t="s">
        <v>7003</v>
      </c>
      <c r="B24" t="s">
        <v>6998</v>
      </c>
    </row>
    <row r="25" spans="1:2" ht="15" customHeight="1" x14ac:dyDescent="0.25">
      <c r="A25" t="s">
        <v>7004</v>
      </c>
      <c r="B25" t="s">
        <v>6998</v>
      </c>
    </row>
    <row r="26" spans="1:2" ht="15" customHeight="1" x14ac:dyDescent="0.25">
      <c r="A26" t="s">
        <v>7005</v>
      </c>
      <c r="B26" t="s">
        <v>6998</v>
      </c>
    </row>
    <row r="27" spans="1:2" ht="15" customHeight="1" x14ac:dyDescent="0.25">
      <c r="A27" t="s">
        <v>7006</v>
      </c>
      <c r="B27" t="s">
        <v>6998</v>
      </c>
    </row>
    <row r="28" spans="1:2" ht="15" customHeight="1" x14ac:dyDescent="0.25">
      <c r="A28" t="s">
        <v>7007</v>
      </c>
      <c r="B28" t="s">
        <v>6998</v>
      </c>
    </row>
    <row r="29" spans="1:2" ht="15" customHeight="1" x14ac:dyDescent="0.25">
      <c r="A29" t="s">
        <v>7008</v>
      </c>
      <c r="B29" t="s">
        <v>6998</v>
      </c>
    </row>
    <row r="30" spans="1:2" ht="15" customHeight="1" x14ac:dyDescent="0.25">
      <c r="A30" t="s">
        <v>7009</v>
      </c>
      <c r="B30" t="s">
        <v>6998</v>
      </c>
    </row>
    <row r="31" spans="1:2" ht="15" customHeight="1" x14ac:dyDescent="0.25">
      <c r="A31" t="s">
        <v>7010</v>
      </c>
      <c r="B31" t="s">
        <v>6998</v>
      </c>
    </row>
    <row r="32" spans="1:2" ht="15" customHeight="1" x14ac:dyDescent="0.25">
      <c r="A32" t="s">
        <v>7011</v>
      </c>
      <c r="B32" t="s">
        <v>6998</v>
      </c>
    </row>
    <row r="33" spans="1:2" ht="15" customHeight="1" x14ac:dyDescent="0.25">
      <c r="A33" t="s">
        <v>7012</v>
      </c>
      <c r="B33" t="s">
        <v>6998</v>
      </c>
    </row>
    <row r="34" spans="1:2" ht="15" customHeight="1" x14ac:dyDescent="0.25">
      <c r="A34" t="s">
        <v>7013</v>
      </c>
      <c r="B34" t="s">
        <v>6998</v>
      </c>
    </row>
    <row r="35" spans="1:2" ht="15" customHeight="1" x14ac:dyDescent="0.25">
      <c r="A35" t="s">
        <v>7014</v>
      </c>
      <c r="B35" t="s">
        <v>6998</v>
      </c>
    </row>
    <row r="36" spans="1:2" ht="15" customHeight="1" x14ac:dyDescent="0.25">
      <c r="A36" t="s">
        <v>7015</v>
      </c>
      <c r="B36" t="s">
        <v>6998</v>
      </c>
    </row>
    <row r="37" spans="1:2" ht="15" customHeight="1" x14ac:dyDescent="0.25">
      <c r="A37" t="s">
        <v>7016</v>
      </c>
      <c r="B37" t="s">
        <v>6998</v>
      </c>
    </row>
    <row r="38" spans="1:2" ht="15" customHeight="1" x14ac:dyDescent="0.25">
      <c r="A38" t="s">
        <v>7017</v>
      </c>
      <c r="B38" t="s">
        <v>6998</v>
      </c>
    </row>
    <row r="39" spans="1:2" ht="15" customHeight="1" x14ac:dyDescent="0.25">
      <c r="A39" t="s">
        <v>7018</v>
      </c>
      <c r="B39" t="s">
        <v>4019</v>
      </c>
    </row>
    <row r="40" spans="1:2" ht="15" customHeight="1" x14ac:dyDescent="0.25">
      <c r="A40" t="s">
        <v>7019</v>
      </c>
      <c r="B40" t="s">
        <v>6998</v>
      </c>
    </row>
    <row r="41" spans="1:2" ht="15" customHeight="1" x14ac:dyDescent="0.25">
      <c r="A41" t="s">
        <v>7020</v>
      </c>
      <c r="B41" t="s">
        <v>6998</v>
      </c>
    </row>
    <row r="42" spans="1:2" ht="15" customHeight="1" x14ac:dyDescent="0.25">
      <c r="A42" t="s">
        <v>7021</v>
      </c>
      <c r="B42" t="s">
        <v>6998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7022</v>
      </c>
      <c r="F1" s="16" t="s">
        <v>7023</v>
      </c>
      <c r="G1" s="16" t="s">
        <v>7024</v>
      </c>
      <c r="H1" s="16" t="s">
        <v>7025</v>
      </c>
      <c r="I1" s="16" t="s">
        <v>7026</v>
      </c>
      <c r="J1" s="16" t="s">
        <v>7027</v>
      </c>
      <c r="K1" s="16" t="s">
        <v>7028</v>
      </c>
      <c r="L1" s="16" t="s">
        <v>7029</v>
      </c>
      <c r="M1" s="16" t="s">
        <v>7030</v>
      </c>
      <c r="N1" s="16" t="s">
        <v>7031</v>
      </c>
      <c r="O1" s="16" t="s">
        <v>7032</v>
      </c>
      <c r="P1" s="16" t="s">
        <v>26</v>
      </c>
      <c r="Q1" s="16" t="s">
        <v>7033</v>
      </c>
      <c r="R1" s="16" t="s">
        <v>27</v>
      </c>
      <c r="T1" s="16" t="s">
        <v>7034</v>
      </c>
      <c r="U1" s="16" t="s">
        <v>7035</v>
      </c>
      <c r="V1" s="16" t="s">
        <v>7036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49</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49.000053000000001</v>
      </c>
      <c r="P53" t="str">
        <f>IF(OR($A53="",games!$H53=""),"",games!$H53)</f>
        <v>Yes</v>
      </c>
      <c r="Q53">
        <f t="shared" si="11"/>
        <v>49.000053000000001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13</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13.000094000000001</v>
      </c>
      <c r="P94" t="str">
        <f>IF(OR($A94="",games!$H94=""),"",games!$H94)</f>
        <v>Yes</v>
      </c>
      <c r="Q94">
        <f t="shared" si="24"/>
        <v>13.000094000000001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Yes</v>
      </c>
      <c r="Q235">
        <f t="shared" si="50"/>
        <v>4.000235</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2</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3</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Lucky Shot</v>
      </c>
      <c r="B420">
        <f>IF($A420="","",games!$B420)</f>
        <v>2026</v>
      </c>
      <c r="C420" t="str">
        <f>IF($A420="","",games!$C420)</f>
        <v>Action</v>
      </c>
      <c r="D420">
        <f>IF($A420="","",COUNTIF(connections!$A$2:$A$1400,$A420)+COUNTIF(connections!$B$2:$B$1400,$A420))</f>
        <v>1</v>
      </c>
      <c r="E420">
        <f t="shared" si="78"/>
        <v>1</v>
      </c>
      <c r="F420">
        <f t="shared" si="79"/>
        <v>12</v>
      </c>
      <c r="G420">
        <f t="shared" si="80"/>
        <v>2026</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Lunchbreak Tactics</v>
      </c>
      <c r="B421">
        <f>IF($A421="","",games!$B421)</f>
        <v>2026</v>
      </c>
      <c r="C421" t="str">
        <f>IF($A421="","",games!$C421)</f>
        <v>Strategy</v>
      </c>
      <c r="D421">
        <f>IF($A421="","",COUNTIF(connections!$A$2:$A$1400,$A421)+COUNTIF(connections!$B$2:$B$1400,$A421))</f>
        <v>1</v>
      </c>
      <c r="E421">
        <f t="shared" si="78"/>
        <v>2</v>
      </c>
      <c r="F421">
        <f t="shared" si="79"/>
        <v>13</v>
      </c>
      <c r="G421" t="e">
        <f t="shared" si="80"/>
        <v>#N/A</v>
      </c>
      <c r="H421" t="e">
        <f t="shared" si="81"/>
        <v>#N/A</v>
      </c>
      <c r="I421">
        <f t="shared" si="82"/>
        <v>2026</v>
      </c>
      <c r="J421">
        <f t="shared" si="83"/>
        <v>2.2989999999999999</v>
      </c>
      <c r="K421" t="e">
        <f t="shared" si="84"/>
        <v>#N/A</v>
      </c>
      <c r="L421" t="e">
        <f t="shared" si="85"/>
        <v>#N/A</v>
      </c>
      <c r="M421" t="e">
        <f t="shared" si="86"/>
        <v>#N/A</v>
      </c>
      <c r="N421" t="e">
        <f t="shared" si="87"/>
        <v>#N/A</v>
      </c>
      <c r="O421">
        <f t="shared" si="88"/>
        <v>1.000421</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Mad King Redemption</v>
      </c>
      <c r="B422">
        <f>IF($A422="","",games!$B422)</f>
        <v>2026</v>
      </c>
      <c r="C422" t="str">
        <f>IF($A422="","",games!$C422)</f>
        <v>Action</v>
      </c>
      <c r="D422">
        <f>IF($A422="","",COUNTIF(connections!$A$2:$A$1400,$A422)+COUNTIF(connections!$B$2:$B$1400,$A422))</f>
        <v>0</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4.2200000000000001E-4</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 Survival</v>
      </c>
      <c r="B423">
        <f>IF($A423="","",games!$B423)</f>
        <v>2019</v>
      </c>
      <c r="C423" t="str">
        <f>IF($A423="","",games!$C423)</f>
        <v>Action</v>
      </c>
      <c r="D423">
        <f>IF($A423="","",COUNTIF(connections!$A$2:$A$1400,$A423)+COUNTIF(connections!$B$2:$B$1400,$A423))</f>
        <v>1</v>
      </c>
      <c r="E423">
        <f t="shared" si="78"/>
        <v>1</v>
      </c>
      <c r="F423">
        <f t="shared" si="79"/>
        <v>15</v>
      </c>
      <c r="G423">
        <f t="shared" si="80"/>
        <v>2019</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Magicraft</v>
      </c>
      <c r="B424">
        <f>IF($A424="","",games!$B424)</f>
        <v>2023</v>
      </c>
      <c r="C424" t="str">
        <f>IF($A424="","",games!$C424)</f>
        <v>Action</v>
      </c>
      <c r="D424">
        <f>IF($A424="","",COUNTIF(connections!$A$2:$A$1400,$A424)+COUNTIF(connections!$B$2:$B$1400,$A424))</f>
        <v>4</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4.0004239999999998</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Maid Survivors: Little Angels</v>
      </c>
      <c r="B425">
        <f>IF($A425="","",games!$B425)</f>
        <v>2025</v>
      </c>
      <c r="C425" t="str">
        <f>IF($A425="","",games!$C425)</f>
        <v>Action</v>
      </c>
      <c r="D425">
        <f>IF($A425="","",COUNTIF(connections!$A$2:$A$1400,$A425)+COUNTIF(connections!$B$2:$B$1400,$A425))</f>
        <v>1</v>
      </c>
      <c r="E425">
        <f t="shared" si="78"/>
        <v>1</v>
      </c>
      <c r="F425">
        <f t="shared" si="79"/>
        <v>17</v>
      </c>
      <c r="G425">
        <f t="shared" si="80"/>
        <v>2025</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Mainframe Defenders</v>
      </c>
      <c r="B426">
        <f>IF($A426="","",games!$B426)</f>
        <v>2020</v>
      </c>
      <c r="C426" t="str">
        <f>IF($A426="","",games!$C426)</f>
        <v>Traditional</v>
      </c>
      <c r="D426">
        <f>IF($A426="","",COUNTIF(connections!$A$2:$A$1400,$A426)+COUNTIF(connections!$B$2:$B$1400,$A426))</f>
        <v>1</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2020</v>
      </c>
      <c r="N426">
        <f t="shared" si="87"/>
        <v>4.4139999999999997</v>
      </c>
      <c r="O426">
        <f t="shared" si="88"/>
        <v>1.000426</v>
      </c>
      <c r="P426" t="str">
        <f>IF(OR($A426="",games!$H426=""),"",games!$H426)</f>
        <v>Yes</v>
      </c>
      <c r="Q426">
        <f t="shared" si="89"/>
        <v>1.000426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Mana Spark</v>
      </c>
      <c r="B427">
        <f>IF($A427="","",games!$B427)</f>
        <v>2018</v>
      </c>
      <c r="C427" t="str">
        <f>IF($A427="","",games!$C427)</f>
        <v>Action</v>
      </c>
      <c r="D427">
        <f>IF($A427="","",COUNTIF(connections!$A$2:$A$1400,$A427)+COUNTIF(connections!$B$2:$B$1400,$A427))</f>
        <v>2</v>
      </c>
      <c r="E427">
        <f t="shared" si="78"/>
        <v>1</v>
      </c>
      <c r="F427">
        <f t="shared" si="79"/>
        <v>19</v>
      </c>
      <c r="G427">
        <f t="shared" si="80"/>
        <v>2018</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Yes</v>
      </c>
      <c r="Q427">
        <f t="shared" si="89"/>
        <v>2.0004270000000002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Masks of the Void: Origins</v>
      </c>
      <c r="B428">
        <f>IF($A428="","",games!$B428)</f>
        <v>2025</v>
      </c>
      <c r="C428" t="str">
        <f>IF($A428="","",games!$C428)</f>
        <v>Action</v>
      </c>
      <c r="D428">
        <f>IF($A428="","",COUNTIF(connections!$A$2:$A$1400,$A428)+COUNTIF(connections!$B$2:$B$1400,$A428))</f>
        <v>3</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3.0004279999999999</v>
      </c>
      <c r="P428" t="str">
        <f>IF(OR($A428="",games!$H428=""),"",games!$H428)</f>
        <v>Yes</v>
      </c>
      <c r="Q428">
        <f t="shared" si="89"/>
        <v>3.0004279999999999</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Master of Piece</v>
      </c>
      <c r="B429">
        <f>IF($A429="","",games!$B429)</f>
        <v>2026</v>
      </c>
      <c r="C429" t="str">
        <f>IF($A429="","",games!$C429)</f>
        <v>Deckbuilder</v>
      </c>
      <c r="D429">
        <f>IF($A429="","",COUNTIF(connections!$A$2:$A$1400,$A429)+COUNTIF(connections!$B$2:$B$1400,$A429))</f>
        <v>4</v>
      </c>
      <c r="E429">
        <f t="shared" si="78"/>
        <v>3</v>
      </c>
      <c r="F429">
        <f t="shared" si="79"/>
        <v>21</v>
      </c>
      <c r="G429" t="e">
        <f t="shared" si="80"/>
        <v>#N/A</v>
      </c>
      <c r="H429" t="e">
        <f t="shared" si="81"/>
        <v>#N/A</v>
      </c>
      <c r="I429" t="e">
        <f t="shared" si="82"/>
        <v>#N/A</v>
      </c>
      <c r="J429" t="e">
        <f t="shared" si="83"/>
        <v>#N/A</v>
      </c>
      <c r="K429">
        <f t="shared" si="84"/>
        <v>2026</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Maze Mice</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Yes</v>
      </c>
      <c r="Q430">
        <f t="shared" si="89"/>
        <v>1.0004299999999999</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Mechanibot</v>
      </c>
      <c r="B431">
        <f>IF($A431="","",games!$B431)</f>
        <v>2022</v>
      </c>
      <c r="C431" t="str">
        <f>IF($A431="","",games!$C431)</f>
        <v>Strategy</v>
      </c>
      <c r="D431">
        <f>IF($A431="","",COUNTIF(connections!$A$2:$A$1400,$A431)+COUNTIF(connections!$B$2:$B$1400,$A431))</f>
        <v>0</v>
      </c>
      <c r="E431">
        <f t="shared" si="78"/>
        <v>2</v>
      </c>
      <c r="F431">
        <f t="shared" si="79"/>
        <v>23</v>
      </c>
      <c r="G431" t="e">
        <f t="shared" si="80"/>
        <v>#N/A</v>
      </c>
      <c r="H431" t="e">
        <f t="shared" si="81"/>
        <v>#N/A</v>
      </c>
      <c r="I431">
        <f t="shared" si="82"/>
        <v>2022</v>
      </c>
      <c r="J431">
        <f t="shared" si="83"/>
        <v>2.5289999999999999</v>
      </c>
      <c r="K431" t="e">
        <f t="shared" si="84"/>
        <v>#N/A</v>
      </c>
      <c r="L431" t="e">
        <f t="shared" si="85"/>
        <v>#N/A</v>
      </c>
      <c r="M431" t="e">
        <f t="shared" si="86"/>
        <v>#N/A</v>
      </c>
      <c r="N431" t="e">
        <f t="shared" si="87"/>
        <v>#N/A</v>
      </c>
      <c r="O431">
        <f t="shared" si="88"/>
        <v>4.3100000000000001E-4</v>
      </c>
      <c r="P431" t="str">
        <f>IF(OR($A431="",games!$H431=""),"",games!$H431)</f>
        <v>Yes</v>
      </c>
      <c r="Q431">
        <f t="shared" si="89"/>
        <v>4.3100000000000001E-4</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Megabonk</v>
      </c>
      <c r="B432">
        <f>IF($A432="","",games!$B432)</f>
        <v>2025</v>
      </c>
      <c r="C432" t="str">
        <f>IF($A432="","",games!$C432)</f>
        <v>Action</v>
      </c>
      <c r="D432">
        <f>IF($A432="","",COUNTIF(connections!$A$2:$A$1400,$A432)+COUNTIF(connections!$B$2:$B$1400,$A432))</f>
        <v>2</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Meme Mayhem</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Menace from the Deep</v>
      </c>
      <c r="B434">
        <f>IF($A434="","",games!$B434)</f>
        <v>2024</v>
      </c>
      <c r="C434" t="str">
        <f>IF($A434="","",games!$C434)</f>
        <v>Deckbuilder</v>
      </c>
      <c r="D434">
        <f>IF($A434="","",COUNTIF(connections!$A$2:$A$1400,$A434)+COUNTIF(connections!$B$2:$B$1400,$A434))</f>
        <v>1</v>
      </c>
      <c r="E434">
        <f t="shared" si="78"/>
        <v>3</v>
      </c>
      <c r="F434">
        <f t="shared" si="79"/>
        <v>26</v>
      </c>
      <c r="G434" t="e">
        <f t="shared" si="80"/>
        <v>#N/A</v>
      </c>
      <c r="H434" t="e">
        <f t="shared" si="81"/>
        <v>#N/A</v>
      </c>
      <c r="I434" t="e">
        <f t="shared" si="82"/>
        <v>#N/A</v>
      </c>
      <c r="J434" t="e">
        <f t="shared" si="83"/>
        <v>#N/A</v>
      </c>
      <c r="K434">
        <f t="shared" si="84"/>
        <v>2024</v>
      </c>
      <c r="L434">
        <f t="shared" si="85"/>
        <v>3.5979999999999999</v>
      </c>
      <c r="M434" t="e">
        <f t="shared" si="86"/>
        <v>#N/A</v>
      </c>
      <c r="N434" t="e">
        <f t="shared" si="87"/>
        <v>#N/A</v>
      </c>
      <c r="O434">
        <f t="shared" si="88"/>
        <v>1.000434</v>
      </c>
      <c r="P434" t="str">
        <f>IF(OR($A434="",games!$H434=""),"",games!$H434)</f>
        <v>Yes</v>
      </c>
      <c r="Q434">
        <f t="shared" si="89"/>
        <v>1.000434</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Menherarium</v>
      </c>
      <c r="B435">
        <f>IF($A435="","",games!$B435)</f>
        <v>2026</v>
      </c>
      <c r="C435" t="str">
        <f>IF($A435="","",games!$C435)</f>
        <v>Deckbuilder</v>
      </c>
      <c r="D435">
        <f>IF($A435="","",COUNTIF(connections!$A$2:$A$1400,$A435)+COUNTIF(connections!$B$2:$B$1400,$A435))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Merge Maestro</v>
      </c>
      <c r="B436">
        <f>IF($A436="","",games!$B436)</f>
        <v>2025</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2025</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Slug Tactics</v>
      </c>
      <c r="B437">
        <f>IF($A437="","",games!$B437)</f>
        <v>2024</v>
      </c>
      <c r="C437" t="str">
        <f>IF($A437="","",games!$C437)</f>
        <v>Strategy</v>
      </c>
      <c r="D437">
        <f>IF($A437="","",COUNTIF(connections!$A$2:$A$1400,$A437)+COUNTIF(connections!$B$2:$B$1400,$A437))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 Unit</v>
      </c>
      <c r="B438">
        <f>IF($A438="","",games!$B438)</f>
        <v>2020</v>
      </c>
      <c r="C438" t="str">
        <f>IF($A438="","",games!$C438)</f>
        <v>Action</v>
      </c>
      <c r="D438">
        <f>IF($A438="","",COUNTIF(connections!$A$2:$A$1400,$A438)+COUNTIF(connections!$B$2:$B$1400,$A438))</f>
        <v>1</v>
      </c>
      <c r="E438">
        <f t="shared" si="78"/>
        <v>1</v>
      </c>
      <c r="F438">
        <f t="shared" si="79"/>
        <v>30</v>
      </c>
      <c r="G438">
        <f t="shared" si="80"/>
        <v>2020</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Metallic Child</v>
      </c>
      <c r="B439">
        <f>IF($A439="","",games!$B439)</f>
        <v>2021</v>
      </c>
      <c r="C439" t="str">
        <f>IF($A439="","",games!$C439)</f>
        <v>Action</v>
      </c>
      <c r="D439">
        <f>IF($A439="","",COUNTIF(connections!$A$2:$A$1400,$A439)+COUNTIF(connections!$B$2:$B$1400,$A439))</f>
        <v>0</v>
      </c>
      <c r="E439">
        <f t="shared" si="78"/>
        <v>1</v>
      </c>
      <c r="F439">
        <f t="shared" si="79"/>
        <v>31</v>
      </c>
      <c r="G439">
        <f t="shared" si="80"/>
        <v>2021</v>
      </c>
      <c r="H439">
        <f t="shared" si="81"/>
        <v>1.7130000000000001</v>
      </c>
      <c r="I439" t="e">
        <f t="shared" si="82"/>
        <v>#N/A</v>
      </c>
      <c r="J439" t="e">
        <f t="shared" si="83"/>
        <v>#N/A</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Mewgenics</v>
      </c>
      <c r="B440">
        <f>IF($A440="","",games!$B440)</f>
        <v>2026</v>
      </c>
      <c r="C440" t="str">
        <f>IF($A440="","",games!$C440)</f>
        <v>Strategy</v>
      </c>
      <c r="D440">
        <f>IF($A440="","",COUNTIF(connections!$A$2:$A$1400,$A440)+COUNTIF(connections!$B$2:$B$1400,$A440))</f>
        <v>2</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Million Depth</v>
      </c>
      <c r="B441">
        <f>IF($A441="","",games!$B441)</f>
        <v>2025</v>
      </c>
      <c r="C441" t="str">
        <f>IF($A441="","",games!$C441)</f>
        <v>Action</v>
      </c>
      <c r="D441">
        <f>IF($A441="","",COUNTIF(connections!$A$2:$A$1400,$A441)+COUNTIF(connections!$B$2:$B$1400,$A441))</f>
        <v>0</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Mimic Logic</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Chou Party: Sanae to Tenshi no Gensou Labyrinth</v>
      </c>
      <c r="B443">
        <f>IF($A443="","",games!$B443)</f>
        <v>2012</v>
      </c>
      <c r="C443" t="str">
        <f>IF($A443="","",games!$C443)</f>
        <v>Traditional</v>
      </c>
      <c r="D443">
        <f>IF($A443="","",COUNTIF(connections!$A$2:$A$1400,$A443)+COUNTIF(connections!$B$2:$B$1400,$A443))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2012</v>
      </c>
      <c r="N443">
        <f t="shared" si="87"/>
        <v>4.0229999999999997</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Miracle Party: Fushigi no Gensoukyou 2</v>
      </c>
      <c r="B444">
        <f>IF($A444="","",games!$B444)</f>
        <v>2011</v>
      </c>
      <c r="C444" t="str">
        <f>IF($A444="","",games!$C444)</f>
        <v>Traditional</v>
      </c>
      <c r="D444">
        <f>IF($A444="","",COUNTIF(connections!$A$2:$A$1400,$A444)+COUNTIF(connections!$B$2:$B$1400,$A444))</f>
        <v>3</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2011</v>
      </c>
      <c r="N444">
        <f t="shared" si="87"/>
        <v>4.0460000000000003</v>
      </c>
      <c r="O444">
        <f t="shared" si="88"/>
        <v>3.0004439999999999</v>
      </c>
      <c r="P444" t="str">
        <f>IF(OR($A444="",games!$H444=""),"",games!$H444)</f>
        <v/>
      </c>
      <c r="Q444" t="str">
        <f t="shared" si="89"/>
        <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Mission: Thunderbolt</v>
      </c>
      <c r="B445">
        <f>IF($A445="","",games!$B445)</f>
        <v>1987</v>
      </c>
      <c r="C445" t="str">
        <f>IF($A445="","",games!$C445)</f>
        <v>Traditional</v>
      </c>
      <c r="D445">
        <f>IF($A445="","",COUNTIF(connections!$A$2:$A$1400,$A445)+COUNTIF(connections!$B$2:$B$1400,$A445))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1987</v>
      </c>
      <c r="N445">
        <f t="shared" si="87"/>
        <v>4.069</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Mistrogue: Mist and the Living Dungeons</v>
      </c>
      <c r="B446">
        <f>IF($A446="","",games!$B446)</f>
        <v>2023</v>
      </c>
      <c r="C446" t="str">
        <f>IF($A446="","",games!$C446)</f>
        <v>Action</v>
      </c>
      <c r="D446">
        <f>IF($A446="","",COUNTIF(connections!$A$2:$A$1400,$A446)+COUNTIF(connections!$B$2:$B$1400,$A446))</f>
        <v>1</v>
      </c>
      <c r="E446">
        <f t="shared" si="78"/>
        <v>1</v>
      </c>
      <c r="F446">
        <f t="shared" si="79"/>
        <v>4</v>
      </c>
      <c r="G446">
        <f t="shared" si="80"/>
        <v>2023</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Mobmania</v>
      </c>
      <c r="B447">
        <f>IF($A447="","",games!$B447)</f>
        <v>2022</v>
      </c>
      <c r="C447" t="str">
        <f>IF($A447="","",games!$C447)</f>
        <v>Action</v>
      </c>
      <c r="D447">
        <f>IF($A447="","",COUNTIF(connections!$A$2:$A$1400,$A447)+COUNTIF(connections!$B$2:$B$1400,$A447))</f>
        <v>1</v>
      </c>
      <c r="E447">
        <f t="shared" si="78"/>
        <v>1</v>
      </c>
      <c r="F447">
        <f t="shared" si="79"/>
        <v>5</v>
      </c>
      <c r="G447">
        <f t="shared" si="80"/>
        <v>2022</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Monmusu Gladiator</v>
      </c>
      <c r="B448">
        <f>IF($A448="","",games!$B448)</f>
        <v>2021</v>
      </c>
      <c r="C448" t="str">
        <f>IF($A448="","",games!$C448)</f>
        <v>Deckbuilder</v>
      </c>
      <c r="D448">
        <f>IF($A448="","",COUNTIF(connections!$A$2:$A$1400,$A448)+COUNTIF(connections!$B$2:$B$1400,$A448))</f>
        <v>1</v>
      </c>
      <c r="E448">
        <f t="shared" si="78"/>
        <v>3</v>
      </c>
      <c r="F448">
        <f t="shared" si="79"/>
        <v>6</v>
      </c>
      <c r="G448" t="e">
        <f t="shared" si="80"/>
        <v>#N/A</v>
      </c>
      <c r="H448" t="e">
        <f t="shared" si="81"/>
        <v>#N/A</v>
      </c>
      <c r="I448" t="e">
        <f t="shared" si="82"/>
        <v>#N/A</v>
      </c>
      <c r="J448" t="e">
        <f t="shared" si="83"/>
        <v>#N/A</v>
      </c>
      <c r="K448">
        <f t="shared" si="84"/>
        <v>2021</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v>
      </c>
      <c r="B449">
        <f>IF($A449="","",games!$B449)</f>
        <v>2002</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2002</v>
      </c>
      <c r="N449">
        <f t="shared" si="87"/>
        <v>4.1609999999999996</v>
      </c>
      <c r="O449">
        <f t="shared" si="88"/>
        <v>3.0004490000000001</v>
      </c>
      <c r="P449" t="str">
        <f>IF(OR($A449="",games!$H449=""),"",games!$H449)</f>
        <v>Yes</v>
      </c>
      <c r="Q449">
        <f t="shared" si="89"/>
        <v>3.0004490000000001</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Gate: Ooinaru Dungeon - Fuuin no Orb</v>
      </c>
      <c r="B450">
        <f>IF($A450="","",games!$B450)</f>
        <v>2003</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2003</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v>
      </c>
      <c r="B451">
        <f>IF($A451="","",games!$B451)</f>
        <v>2020</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2020</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Girls and the Mysterious Adventure 2</v>
      </c>
      <c r="B452">
        <f>IF($A452="","",games!$B452)</f>
        <v>2022</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2022</v>
      </c>
      <c r="N452">
        <f t="shared" si="100"/>
        <v>4.2300000000000004</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Slayers</v>
      </c>
      <c r="B453">
        <f>IF($A453="","",games!$B453)</f>
        <v>2017</v>
      </c>
      <c r="C453" t="str">
        <f>IF($A453="","",games!$C453)</f>
        <v>Deckbuilder</v>
      </c>
      <c r="D453">
        <f>IF($A453="","",COUNTIF(connections!$A$2:$A$1400,$A453)+COUNTIF(connections!$B$2:$B$1400,$A453))</f>
        <v>2</v>
      </c>
      <c r="E453">
        <f t="shared" si="91"/>
        <v>3</v>
      </c>
      <c r="F453">
        <f t="shared" si="92"/>
        <v>11</v>
      </c>
      <c r="G453" t="e">
        <f t="shared" si="93"/>
        <v>#N/A</v>
      </c>
      <c r="H453" t="e">
        <f t="shared" si="94"/>
        <v>#N/A</v>
      </c>
      <c r="I453" t="e">
        <f t="shared" si="95"/>
        <v>#N/A</v>
      </c>
      <c r="J453" t="e">
        <f t="shared" si="96"/>
        <v>#N/A</v>
      </c>
      <c r="K453">
        <f t="shared" si="97"/>
        <v>2017</v>
      </c>
      <c r="L453">
        <f t="shared" si="98"/>
        <v>3.2530000000000001</v>
      </c>
      <c r="M453" t="e">
        <f t="shared" si="99"/>
        <v>#N/A</v>
      </c>
      <c r="N453" t="e">
        <f t="shared" si="100"/>
        <v>#N/A</v>
      </c>
      <c r="O453">
        <f t="shared" si="101"/>
        <v>2.0004529999999998</v>
      </c>
      <c r="P453" t="str">
        <f>IF(OR($A453="",games!$H453=""),"",games!$H453)</f>
        <v>Yes</v>
      </c>
      <c r="Q453">
        <f t="shared" si="102"/>
        <v>2.0004529999999998</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v>
      </c>
      <c r="B454">
        <f>IF($A454="","",games!$B454)</f>
        <v>2020</v>
      </c>
      <c r="C454" t="str">
        <f>IF($A454="","",games!$C454)</f>
        <v>Deckbuilder</v>
      </c>
      <c r="D454">
        <f>IF($A454="","",COUNTIF(connections!$A$2:$A$1400,$A454)+COUNTIF(connections!$B$2:$B$1400,$A454))</f>
        <v>13</v>
      </c>
      <c r="E454">
        <f t="shared" si="91"/>
        <v>3</v>
      </c>
      <c r="F454">
        <f t="shared" si="92"/>
        <v>12</v>
      </c>
      <c r="G454" t="e">
        <f t="shared" si="93"/>
        <v>#N/A</v>
      </c>
      <c r="H454" t="e">
        <f t="shared" si="94"/>
        <v>#N/A</v>
      </c>
      <c r="I454" t="e">
        <f t="shared" si="95"/>
        <v>#N/A</v>
      </c>
      <c r="J454" t="e">
        <f t="shared" si="96"/>
        <v>#N/A</v>
      </c>
      <c r="K454">
        <f t="shared" si="97"/>
        <v>2020</v>
      </c>
      <c r="L454">
        <f t="shared" si="98"/>
        <v>3.2759999999999998</v>
      </c>
      <c r="M454" t="e">
        <f t="shared" si="99"/>
        <v>#N/A</v>
      </c>
      <c r="N454" t="e">
        <f t="shared" si="100"/>
        <v>#N/A</v>
      </c>
      <c r="O454">
        <f t="shared" si="101"/>
        <v>13.000454</v>
      </c>
      <c r="P454" t="str">
        <f>IF(OR($A454="",games!$H454=""),"",games!$H454)</f>
        <v>Yes</v>
      </c>
      <c r="Q454">
        <f t="shared" si="102"/>
        <v>13.000454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Train 2</v>
      </c>
      <c r="B455">
        <f>IF($A455="","",games!$B455)</f>
        <v>2025</v>
      </c>
      <c r="C455" t="str">
        <f>IF($A455="","",games!$C455)</f>
        <v>Deckbuilder</v>
      </c>
      <c r="D455">
        <f>IF($A455="","",COUNTIF(connections!$A$2:$A$1400,$A455)+COUNTIF(connections!$B$2:$B$1400,$A455))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Monsters are Coming!</v>
      </c>
      <c r="B456">
        <f>IF($A456="","",games!$B456)</f>
        <v>2025</v>
      </c>
      <c r="C456" t="str">
        <f>IF($A456="","",games!$C456)</f>
        <v>Action</v>
      </c>
      <c r="D456">
        <f>IF($A456="","",COUNTIF(connections!$A$2:$A$1400,$A456)+COUNTIF(connections!$B$2:$B$1400,$A456))</f>
        <v>2</v>
      </c>
      <c r="E456">
        <f t="shared" si="91"/>
        <v>1</v>
      </c>
      <c r="F456">
        <f t="shared" si="92"/>
        <v>14</v>
      </c>
      <c r="G456">
        <f t="shared" si="93"/>
        <v>2025</v>
      </c>
      <c r="H456">
        <f t="shared" si="94"/>
        <v>1.3220000000000001</v>
      </c>
      <c r="I456" t="e">
        <f t="shared" si="95"/>
        <v>#N/A</v>
      </c>
      <c r="J456" t="e">
        <f t="shared" si="96"/>
        <v>#N/A</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Monstrum</v>
      </c>
      <c r="B457">
        <f>IF($A457="","",games!$B457)</f>
        <v>2015</v>
      </c>
      <c r="C457" t="str">
        <f>IF($A457="","",games!$C457)</f>
        <v>Action</v>
      </c>
      <c r="D457">
        <f>IF($A457="","",COUNTIF(connections!$A$2:$A$1400,$A457)+COUNTIF(connections!$B$2:$B$1400,$A457))</f>
        <v>3</v>
      </c>
      <c r="E457">
        <f t="shared" si="91"/>
        <v>1</v>
      </c>
      <c r="F457">
        <f t="shared" si="92"/>
        <v>15</v>
      </c>
      <c r="G457">
        <f t="shared" si="93"/>
        <v>2015</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Montabi</v>
      </c>
      <c r="B458">
        <f>IF($A458="","",games!$B458)</f>
        <v>2026</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2026</v>
      </c>
      <c r="L458">
        <f t="shared" si="98"/>
        <v>3.3679999999999999</v>
      </c>
      <c r="M458" t="e">
        <f t="shared" si="99"/>
        <v>#N/A</v>
      </c>
      <c r="N458" t="e">
        <f t="shared" si="100"/>
        <v>#N/A</v>
      </c>
      <c r="O458">
        <f t="shared" si="101"/>
        <v>2.0004580000000001</v>
      </c>
      <c r="P458" t="str">
        <f>IF(OR($A458="",games!$H458=""),"",games!$H458)</f>
        <v/>
      </c>
      <c r="Q458" t="str">
        <f t="shared" si="102"/>
        <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Hunters</v>
      </c>
      <c r="B459">
        <f>IF($A459="","",games!$B459)</f>
        <v>2016</v>
      </c>
      <c r="C459" t="str">
        <f>IF($A459="","",games!$C459)</f>
        <v>Action</v>
      </c>
      <c r="D459">
        <f>IF($A459="","",COUNTIF(connections!$A$2:$A$1400,$A459)+COUNTIF(connections!$B$2:$B$1400,$A459))</f>
        <v>1</v>
      </c>
      <c r="E459">
        <f t="shared" si="91"/>
        <v>1</v>
      </c>
      <c r="F459">
        <f t="shared" si="92"/>
        <v>17</v>
      </c>
      <c r="G459">
        <f t="shared" si="93"/>
        <v>2016</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 Watch</v>
      </c>
      <c r="B460">
        <f>IF($A460="","",games!$B460)</f>
        <v>2024</v>
      </c>
      <c r="C460" t="str">
        <f>IF($A460="","",games!$C460)</f>
        <v>Action</v>
      </c>
      <c r="D460">
        <f>IF($A460="","",COUNTIF(connections!$A$2:$A$1400,$A460)+COUNTIF(connections!$B$2:$B$1400,$A460))</f>
        <v>1</v>
      </c>
      <c r="E460">
        <f t="shared" si="91"/>
        <v>1</v>
      </c>
      <c r="F460">
        <f t="shared" si="92"/>
        <v>18</v>
      </c>
      <c r="G460">
        <f t="shared" si="93"/>
        <v>2024</v>
      </c>
      <c r="H460">
        <f t="shared" si="94"/>
        <v>1.4139999999999999</v>
      </c>
      <c r="I460" t="e">
        <f t="shared" si="95"/>
        <v>#N/A</v>
      </c>
      <c r="J460" t="e">
        <f t="shared" si="96"/>
        <v>#N/A</v>
      </c>
      <c r="K460" t="e">
        <f t="shared" si="97"/>
        <v>#N/A</v>
      </c>
      <c r="L460" t="e">
        <f t="shared" si="98"/>
        <v>#N/A</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v>
      </c>
      <c r="B461">
        <f>IF($A461="","",games!$B461)</f>
        <v>2018</v>
      </c>
      <c r="C461" t="str">
        <f>IF($A461="","",games!$C461)</f>
        <v>Action</v>
      </c>
      <c r="D461">
        <f>IF($A461="","",COUNTIF(connections!$A$2:$A$1400,$A461)+COUNTIF(connections!$B$2:$B$1400,$A461))</f>
        <v>4</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4.0004609999999996</v>
      </c>
      <c r="P461" t="str">
        <f>IF(OR($A461="",games!$H461=""),"",games!$H461)</f>
        <v>Yes</v>
      </c>
      <c r="Q461">
        <f t="shared" si="102"/>
        <v>4.0004609999999996</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Moonlighter 2: The Endless Vault</v>
      </c>
      <c r="B462">
        <f>IF($A462="","",games!$B462)</f>
        <v>2025</v>
      </c>
      <c r="C462" t="str">
        <f>IF($A462="","",games!$C462)</f>
        <v>Action</v>
      </c>
      <c r="D462">
        <f>IF($A462="","",COUNTIF(connections!$A$2:$A$1400,$A462)+COUNTIF(connections!$B$2:$B$1400,$A462))</f>
        <v>1</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Moonring</v>
      </c>
      <c r="B463">
        <f>IF($A463="","",games!$B463)</f>
        <v>2023</v>
      </c>
      <c r="C463" t="str">
        <f>IF($A463="","",games!$C463)</f>
        <v>Traditional</v>
      </c>
      <c r="D463">
        <f>IF($A463="","",COUNTIF(connections!$A$2:$A$1400,$A463)+COUNTIF(connections!$B$2:$B$1400,$A463))</f>
        <v>4</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2023</v>
      </c>
      <c r="N463">
        <f t="shared" si="100"/>
        <v>4.4829999999999997</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Morbid Metal</v>
      </c>
      <c r="B464">
        <f>IF($A464="","",games!$B464)</f>
        <v>2026</v>
      </c>
      <c r="C464" t="str">
        <f>IF($A464="","",games!$C464)</f>
        <v>Action</v>
      </c>
      <c r="D464">
        <f>IF($A464="","",COUNTIF(connections!$A$2:$A$1400,$A464)+COUNTIF(connections!$B$2:$B$1400,$A464))</f>
        <v>1</v>
      </c>
      <c r="E464">
        <f t="shared" si="91"/>
        <v>1</v>
      </c>
      <c r="F464">
        <f t="shared" si="92"/>
        <v>22</v>
      </c>
      <c r="G464">
        <f t="shared" si="93"/>
        <v>2026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Moria</v>
      </c>
      <c r="B465">
        <f>IF($A465="","",games!$B465)</f>
        <v>1983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Morimens</v>
      </c>
      <c r="B466">
        <f>IF($A466="","",games!$B466)</f>
        <v>2024</v>
      </c>
      <c r="C466" t="str">
        <f>IF($A466="","",games!$C466)</f>
        <v>Deckbuilder</v>
      </c>
      <c r="D466">
        <f>IF($A466="","",COUNTIF(connections!$A$2:$A$1400,$A466)+COUNTIF(connections!$B$2:$B$1400,$A466))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Morsels</v>
      </c>
      <c r="B467">
        <f>IF($A467="","",games!$B467)</f>
        <v>2025</v>
      </c>
      <c r="C467" t="str">
        <f>IF($A467="","",games!$C467)</f>
        <v>Action</v>
      </c>
      <c r="D467">
        <f>IF($A467="","",COUNTIF(connections!$A$2:$A$1400,$A467)+COUNTIF(connections!$B$2:$B$1400,$A467))</f>
        <v>0</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4.6700000000000002E-4</v>
      </c>
      <c r="P467" t="str">
        <f>IF(OR($A467="",games!$H467=""),"",games!$H467)</f>
        <v/>
      </c>
      <c r="Q467" t="str">
        <f t="shared" si="102"/>
        <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Mortal Sin</v>
      </c>
      <c r="B468">
        <f>IF($A468="","",games!$B468)</f>
        <v>2023</v>
      </c>
      <c r="C468" t="str">
        <f>IF($A468="","",games!$C468)</f>
        <v>Action</v>
      </c>
      <c r="D468">
        <f>IF($A468="","",COUNTIF(connections!$A$2:$A$1400,$A468)+COUNTIF(connections!$B$2:$B$1400,$A468))</f>
        <v>2</v>
      </c>
      <c r="E468">
        <f t="shared" si="91"/>
        <v>1</v>
      </c>
      <c r="F468">
        <f t="shared" si="92"/>
        <v>26</v>
      </c>
      <c r="G468">
        <f t="shared" si="93"/>
        <v>2023</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v>
      </c>
      <c r="B469">
        <f>IF($A469="","",games!$B469)</f>
        <v>2018</v>
      </c>
      <c r="C469" t="str">
        <f>IF($A469="","",games!$C469)</f>
        <v>Action</v>
      </c>
      <c r="D469">
        <f>IF($A469="","",COUNTIF(connections!$A$2:$A$1400,$A469)+COUNTIF(connections!$B$2:$B$1400,$A469))</f>
        <v>2</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Mothergunship: Forge</v>
      </c>
      <c r="B470">
        <f>IF($A470="","",games!$B470)</f>
        <v>2022</v>
      </c>
      <c r="C470" t="str">
        <f>IF($A470="","",games!$C470)</f>
        <v>Action</v>
      </c>
      <c r="D470">
        <f>IF($A470="","",COUNTIF(connections!$A$2:$A$1400,$A470)+COUNTIF(connections!$B$2:$B$1400,$A470))</f>
        <v>1</v>
      </c>
      <c r="E470">
        <f t="shared" si="91"/>
        <v>1</v>
      </c>
      <c r="F470">
        <f t="shared" si="92"/>
        <v>28</v>
      </c>
      <c r="G470">
        <f t="shared" si="93"/>
        <v>2022</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Motto!? Fushigi no Gensoukyou: Under the Moonlight</v>
      </c>
      <c r="B471">
        <f>IF($A471="","",games!$B471)</f>
        <v>2011</v>
      </c>
      <c r="C471" t="str">
        <f>IF($A471="","",games!$C471)</f>
        <v>Traditional</v>
      </c>
      <c r="D471">
        <f>IF($A471="","",COUNTIF(connections!$A$2:$A$1400,$A471)+COUNTIF(connections!$B$2:$B$1400,$A471))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2011</v>
      </c>
      <c r="N471">
        <f t="shared" si="100"/>
        <v>4.6669999999999998</v>
      </c>
      <c r="O471">
        <f t="shared" si="101"/>
        <v>2.0004710000000001</v>
      </c>
      <c r="P471" t="str">
        <f>IF(OR($A471="",games!$H471=""),"",games!$H471)</f>
        <v/>
      </c>
      <c r="Q471" t="str">
        <f t="shared" si="102"/>
        <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Mr. Sun's Hatbox</v>
      </c>
      <c r="B472">
        <f>IF($A472="","",games!$B472)</f>
        <v>2023</v>
      </c>
      <c r="C472" t="str">
        <f>IF($A472="","",games!$C472)</f>
        <v>Action</v>
      </c>
      <c r="D472">
        <f>IF($A472="","",COUNTIF(connections!$A$2:$A$1400,$A472)+COUNTIF(connections!$B$2:$B$1400,$A472))</f>
        <v>1</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Muck</v>
      </c>
      <c r="B473">
        <f>IF($A473="","",games!$B473)</f>
        <v>2021</v>
      </c>
      <c r="C473" t="str">
        <f>IF($A473="","",games!$C473)</f>
        <v>Action</v>
      </c>
      <c r="D473">
        <f>IF($A473="","",COUNTIF(connections!$A$2:$A$1400,$A473)+COUNTIF(connections!$B$2:$B$1400,$A473))</f>
        <v>2</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 Card Is Better Than Your Card!</v>
      </c>
      <c r="B474">
        <f>IF($A474="","",games!$B474)</f>
        <v>2025</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Chronicle: One Way Heroics</v>
      </c>
      <c r="B475">
        <f>IF($A475="","",games!$B475)</f>
        <v>2016</v>
      </c>
      <c r="C475" t="str">
        <f>IF($A475="","",games!$C475)</f>
        <v>Traditional</v>
      </c>
      <c r="D475">
        <f>IF($A475="","",COUNTIF(connections!$A$2:$A$1400,$A475)+COUNTIF(connections!$B$2:$B$1400,$A475))</f>
        <v>1</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2016</v>
      </c>
      <c r="N475">
        <f t="shared" si="100"/>
        <v>4.7590000000000003</v>
      </c>
      <c r="O475">
        <f t="shared" si="101"/>
        <v>1.000475</v>
      </c>
      <c r="P475" t="str">
        <f>IF(OR($A475="",games!$H475=""),"",games!$H475)</f>
        <v/>
      </c>
      <c r="Q475" t="str">
        <f t="shared" si="102"/>
        <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Mystery Dungeon 2: Shiren the Wanderer</v>
      </c>
      <c r="B476">
        <f>IF($A476="","",games!$B476)</f>
        <v>1995</v>
      </c>
      <c r="C476" t="str">
        <f>IF($A476="","",games!$C476)</f>
        <v>Traditional</v>
      </c>
      <c r="D476">
        <f>IF($A476="","",COUNTIF(connections!$A$2:$A$1400,$A476)+COUNTIF(connections!$B$2:$B$1400,$A476))</f>
        <v>9</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1995</v>
      </c>
      <c r="N476">
        <f t="shared" si="100"/>
        <v>4</v>
      </c>
      <c r="O476">
        <f t="shared" si="101"/>
        <v>9.0004760000000008</v>
      </c>
      <c r="P476" t="str">
        <f>IF(OR($A476="",games!$H476=""),"",games!$H476)</f>
        <v>Yes</v>
      </c>
      <c r="Q476">
        <f t="shared" si="102"/>
        <v>9.0004760000000008</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Mythical Concept Starnaut</v>
      </c>
      <c r="B477">
        <f>IF($A477="","",games!$B477)</f>
        <v>2024</v>
      </c>
      <c r="C477" t="str">
        <f>IF($A477="","",games!$C477)</f>
        <v>Action</v>
      </c>
      <c r="D477">
        <f>IF($A477="","",COUNTIF(connections!$A$2:$A$1400,$A477)+COUNTIF(connections!$B$2:$B$1400,$A477))</f>
        <v>1</v>
      </c>
      <c r="E477">
        <f t="shared" si="91"/>
        <v>1</v>
      </c>
      <c r="F477">
        <f t="shared" si="92"/>
        <v>1</v>
      </c>
      <c r="G477">
        <f t="shared" si="93"/>
        <v>2024</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Nadir</v>
      </c>
      <c r="B478">
        <f>IF($A478="","",games!$B478)</f>
        <v>2022</v>
      </c>
      <c r="C478" t="str">
        <f>IF($A478="","",games!$C478)</f>
        <v>Deckbuilder</v>
      </c>
      <c r="D478">
        <f>IF($A478="","",COUNTIF(connections!$A$2:$A$1400,$A478)+COUNTIF(connections!$B$2:$B$1400,$A478))</f>
        <v>2</v>
      </c>
      <c r="E478">
        <f t="shared" si="91"/>
        <v>3</v>
      </c>
      <c r="F478">
        <f t="shared" si="92"/>
        <v>2</v>
      </c>
      <c r="G478" t="e">
        <f t="shared" si="93"/>
        <v>#N/A</v>
      </c>
      <c r="H478" t="e">
        <f t="shared" si="94"/>
        <v>#N/A</v>
      </c>
      <c r="I478" t="e">
        <f t="shared" si="95"/>
        <v>#N/A</v>
      </c>
      <c r="J478" t="e">
        <f t="shared" si="96"/>
        <v>#N/A</v>
      </c>
      <c r="K478">
        <f t="shared" si="97"/>
        <v>2022</v>
      </c>
      <c r="L478">
        <f t="shared" si="98"/>
        <v>3.0459999999999998</v>
      </c>
      <c r="M478" t="e">
        <f t="shared" si="99"/>
        <v>#N/A</v>
      </c>
      <c r="N478" t="e">
        <f t="shared" si="100"/>
        <v>#N/A</v>
      </c>
      <c r="O478">
        <f t="shared" si="101"/>
        <v>2.0004780000000002</v>
      </c>
      <c r="P478" t="str">
        <f>IF(OR($A478="",games!$H478=""),"",games!$H478)</f>
        <v/>
      </c>
      <c r="Q478" t="str">
        <f t="shared" si="102"/>
        <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NecroBouncer</v>
      </c>
      <c r="B479">
        <f>IF($A479="","",games!$B479)</f>
        <v>2022</v>
      </c>
      <c r="C479" t="str">
        <f>IF($A479="","",games!$C479)</f>
        <v>Action</v>
      </c>
      <c r="D479">
        <f>IF($A479="","",COUNTIF(connections!$A$2:$A$1400,$A479)+COUNTIF(connections!$B$2:$B$1400,$A479))</f>
        <v>2</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2.0004789999999999</v>
      </c>
      <c r="P479" t="str">
        <f>IF(OR($A479="",games!$H479=""),"",games!$H479)</f>
        <v>Yes</v>
      </c>
      <c r="Q479">
        <f t="shared" si="102"/>
        <v>2.0004789999999999</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Necroking</v>
      </c>
      <c r="B480">
        <f>IF($A480="","",games!$B480)</f>
        <v>2024</v>
      </c>
      <c r="C480" t="str">
        <f>IF($A480="","",games!$C480)</f>
        <v>Strategy</v>
      </c>
      <c r="D480">
        <f>IF($A480="","",COUNTIF(connections!$A$2:$A$1400,$A480)+COUNTIF(connections!$B$2:$B$1400,$A480))</f>
        <v>0</v>
      </c>
      <c r="E480">
        <f t="shared" si="91"/>
        <v>2</v>
      </c>
      <c r="F480">
        <f t="shared" si="92"/>
        <v>4</v>
      </c>
      <c r="G480" t="e">
        <f t="shared" si="93"/>
        <v>#N/A</v>
      </c>
      <c r="H480" t="e">
        <f t="shared" si="94"/>
        <v>#N/A</v>
      </c>
      <c r="I480">
        <f t="shared" si="95"/>
        <v>2024</v>
      </c>
      <c r="J480">
        <f t="shared" si="96"/>
        <v>2.0920000000000001</v>
      </c>
      <c r="K480" t="e">
        <f t="shared" si="97"/>
        <v>#N/A</v>
      </c>
      <c r="L480" t="e">
        <f t="shared" si="98"/>
        <v>#N/A</v>
      </c>
      <c r="M480" t="e">
        <f t="shared" si="99"/>
        <v>#N/A</v>
      </c>
      <c r="N480" t="e">
        <f t="shared" si="100"/>
        <v>#N/A</v>
      </c>
      <c r="O480">
        <f t="shared" si="101"/>
        <v>4.8000000000000001E-4</v>
      </c>
      <c r="P480" t="str">
        <f>IF(OR($A480="",games!$H480=""),"",games!$H480)</f>
        <v>Yes</v>
      </c>
      <c r="Q480">
        <f t="shared" si="102"/>
        <v>4.8000000000000001E-4</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Necrosmith 2</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v>
      </c>
      <c r="B483">
        <f>IF($A483="","",games!$B483)</f>
        <v>2019</v>
      </c>
      <c r="C483" t="str">
        <f>IF($A483="","",games!$C483)</f>
        <v>Action</v>
      </c>
      <c r="D483">
        <f>IF($A483="","",COUNTIF(connections!$A$2:$A$1400,$A483)+COUNTIF(connections!$B$2:$B$1400,$A483))</f>
        <v>2</v>
      </c>
      <c r="E483">
        <f t="shared" si="91"/>
        <v>1</v>
      </c>
      <c r="F483">
        <f t="shared" si="92"/>
        <v>7</v>
      </c>
      <c r="G483">
        <f t="shared" si="93"/>
        <v>2019</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Neon Abyss 2</v>
      </c>
      <c r="B484">
        <f>IF($A484="","",games!$B484)</f>
        <v>2025</v>
      </c>
      <c r="C484" t="str">
        <f>IF($A484="","",games!$C484)</f>
        <v>Action</v>
      </c>
      <c r="D484">
        <f>IF($A484="","",COUNTIF(connections!$A$2:$A$1400,$A484)+COUNTIF(connections!$B$2:$B$1400,$A484))</f>
        <v>1</v>
      </c>
      <c r="E484">
        <f t="shared" si="91"/>
        <v>1</v>
      </c>
      <c r="F484">
        <f t="shared" si="92"/>
        <v>8</v>
      </c>
      <c r="G484">
        <f t="shared" si="93"/>
        <v>2025</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Neophyte</v>
      </c>
      <c r="B485">
        <f>IF($A485="","",games!$B485)</f>
        <v>2022</v>
      </c>
      <c r="C485" t="str">
        <f>IF($A485="","",games!$C485)</f>
        <v>Action</v>
      </c>
      <c r="D485">
        <f>IF($A485="","",COUNTIF(connections!$A$2:$A$1400,$A485)+COUNTIF(connections!$B$2:$B$1400,$A485))</f>
        <v>1</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
      </c>
      <c r="Q485" t="str">
        <f t="shared" si="102"/>
        <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NetHack</v>
      </c>
      <c r="B486">
        <f>IF($A486="","",games!$B486)</f>
        <v>1987</v>
      </c>
      <c r="C486" t="str">
        <f>IF($A486="","",games!$C486)</f>
        <v>Traditional</v>
      </c>
      <c r="D486">
        <f>IF($A486="","",COUNTIF(connections!$A$2:$A$1400,$A486)+COUNTIF(connections!$B$2:$B$1400,$A486))</f>
        <v>30</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1987</v>
      </c>
      <c r="N486">
        <f t="shared" si="100"/>
        <v>4.2300000000000004</v>
      </c>
      <c r="O486">
        <f t="shared" si="101"/>
        <v>30.000485999999999</v>
      </c>
      <c r="P486" t="str">
        <f>IF(OR($A486="",games!$H486=""),"",games!$H486)</f>
        <v>Yes</v>
      </c>
      <c r="Q486">
        <f t="shared" si="102"/>
        <v>30.000485999999999</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Netherworld Covenant</v>
      </c>
      <c r="B487">
        <f>IF($A487="","",games!$B487)</f>
        <v>2025</v>
      </c>
      <c r="C487" t="str">
        <f>IF($A487="","",games!$C487)</f>
        <v>Action</v>
      </c>
      <c r="D487">
        <f>IF($A487="","",COUNTIF(connections!$A$2:$A$1400,$A487)+COUNTIF(connections!$B$2:$B$1400,$A487))</f>
        <v>2</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Nigate Tale</v>
      </c>
      <c r="B488">
        <f>IF($A488="","",games!$B488)</f>
        <v>2021</v>
      </c>
      <c r="C488" t="str">
        <f>IF($A488="","",games!$C488)</f>
        <v>Action</v>
      </c>
      <c r="D488">
        <f>IF($A488="","",COUNTIF(connections!$A$2:$A$1400,$A488)+COUNTIF(connections!$B$2:$B$1400,$A488))</f>
        <v>1</v>
      </c>
      <c r="E488">
        <f t="shared" si="91"/>
        <v>1</v>
      </c>
      <c r="F488">
        <f t="shared" si="92"/>
        <v>12</v>
      </c>
      <c r="G488">
        <f t="shared" si="93"/>
        <v>2021</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Night Swarm</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Nimrods</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Crown</v>
      </c>
      <c r="B491">
        <f>IF($A491="","",games!$B491)</f>
        <v>2026</v>
      </c>
      <c r="C491" t="str">
        <f>IF($A491="","",games!$C491)</f>
        <v>Deckbuilder</v>
      </c>
      <c r="D491">
        <f>IF($A491="","",COUNTIF(connections!$A$2:$A$1400,$A491)+COUNTIF(connections!$B$2:$B$1400,$A491))</f>
        <v>5</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5.0004910000000002</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Node Farm</v>
      </c>
      <c r="B492">
        <f>IF($A492="","",games!$B492)</f>
        <v>2024</v>
      </c>
      <c r="C492" t="str">
        <f>IF($A492="","",games!$C492)</f>
        <v>Strategy</v>
      </c>
      <c r="D492">
        <f>IF($A492="","",COUNTIF(connections!$A$2:$A$1400,$A492)+COUNTIF(connections!$B$2:$B$1400,$A492))</f>
        <v>1</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Noita</v>
      </c>
      <c r="B493">
        <f>IF($A493="","",games!$B493)</f>
        <v>2019</v>
      </c>
      <c r="C493" t="str">
        <f>IF($A493="","",games!$C493)</f>
        <v>Action</v>
      </c>
      <c r="D493">
        <f>IF($A493="","",COUNTIF(connections!$A$2:$A$1400,$A493)+COUNTIF(connections!$B$2:$B$1400,$A493))</f>
        <v>6</v>
      </c>
      <c r="E493">
        <f t="shared" si="91"/>
        <v>1</v>
      </c>
      <c r="F493">
        <f t="shared" si="92"/>
        <v>17</v>
      </c>
      <c r="G493">
        <f t="shared" si="93"/>
        <v>2019</v>
      </c>
      <c r="H493">
        <f t="shared" si="94"/>
        <v>1.391</v>
      </c>
      <c r="I493" t="e">
        <f t="shared" si="95"/>
        <v>#N/A</v>
      </c>
      <c r="J493" t="e">
        <f t="shared" si="96"/>
        <v>#N/A</v>
      </c>
      <c r="K493" t="e">
        <f t="shared" si="97"/>
        <v>#N/A</v>
      </c>
      <c r="L493" t="e">
        <f t="shared" si="98"/>
        <v>#N/A</v>
      </c>
      <c r="M493" t="e">
        <f t="shared" si="99"/>
        <v>#N/A</v>
      </c>
      <c r="N493" t="e">
        <f t="shared" si="100"/>
        <v>#N/A</v>
      </c>
      <c r="O493">
        <f t="shared" si="101"/>
        <v>6.0004929999999996</v>
      </c>
      <c r="P493" t="str">
        <f>IF(OR($A493="",games!$H493=""),"",games!$H493)</f>
        <v>Yes</v>
      </c>
      <c r="Q493">
        <f t="shared" si="102"/>
        <v>6.0004929999999996</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Nomad Survival</v>
      </c>
      <c r="B494">
        <f>IF($A494="","",games!$B494)</f>
        <v>2022</v>
      </c>
      <c r="C494" t="str">
        <f>IF($A494="","",games!$C494)</f>
        <v>Action</v>
      </c>
      <c r="D494">
        <f>IF($A494="","",COUNTIF(connections!$A$2:$A$1400,$A494)+COUNTIF(connections!$B$2:$B$1400,$A494))</f>
        <v>1</v>
      </c>
      <c r="E494">
        <f t="shared" si="91"/>
        <v>1</v>
      </c>
      <c r="F494">
        <f t="shared" si="92"/>
        <v>18</v>
      </c>
      <c r="G494">
        <f t="shared" si="93"/>
        <v>2022</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Are Coming</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Noobs Want to Live</v>
      </c>
      <c r="B496">
        <f>IF($A496="","",games!$B496)</f>
        <v>2023</v>
      </c>
      <c r="C496" t="str">
        <f>IF($A496="","",games!$C496)</f>
        <v>Action</v>
      </c>
      <c r="D496">
        <f>IF($A496="","",COUNTIF(connections!$A$2:$A$1400,$A496)+COUNTIF(connections!$B$2:$B$1400,$A496))</f>
        <v>1</v>
      </c>
      <c r="E496">
        <f t="shared" si="91"/>
        <v>1</v>
      </c>
      <c r="F496">
        <f t="shared" si="92"/>
        <v>20</v>
      </c>
      <c r="G496">
        <f t="shared" si="93"/>
        <v>2023</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Nordhold</v>
      </c>
      <c r="B497">
        <f>IF($A497="","",games!$B497)</f>
        <v>2025</v>
      </c>
      <c r="C497" t="str">
        <f>IF($A497="","",games!$C497)</f>
        <v>Strategy</v>
      </c>
      <c r="D497">
        <f>IF($A497="","",COUNTIF(connections!$A$2:$A$1400,$A497)+COUNTIF(connections!$B$2:$B$1400,$A497))</f>
        <v>2</v>
      </c>
      <c r="E497">
        <f t="shared" si="91"/>
        <v>2</v>
      </c>
      <c r="F497">
        <f t="shared" si="92"/>
        <v>21</v>
      </c>
      <c r="G497" t="e">
        <f t="shared" si="93"/>
        <v>#N/A</v>
      </c>
      <c r="H497" t="e">
        <f t="shared" si="94"/>
        <v>#N/A</v>
      </c>
      <c r="I497">
        <f t="shared" si="95"/>
        <v>2025</v>
      </c>
      <c r="J497">
        <f t="shared" si="96"/>
        <v>2.4830000000000001</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Nordic Ashes: Survivors of Ragnarok</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No-Skin</v>
      </c>
      <c r="B499">
        <f>IF($A499="","",games!$B499)</f>
        <v>2025</v>
      </c>
      <c r="C499" t="str">
        <f>IF($A499="","",games!$C499)</f>
        <v>Strategy</v>
      </c>
      <c r="D499">
        <f>IF($A499="","",COUNTIF(connections!$A$2:$A$1400,$A499)+COUNTIF(connections!$B$2:$B$1400,$A499))</f>
        <v>0</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Nova Drift</v>
      </c>
      <c r="B500">
        <f>IF($A500="","",games!$B500)</f>
        <v>2019</v>
      </c>
      <c r="C500" t="str">
        <f>IF($A500="","",games!$C500)</f>
        <v>Action</v>
      </c>
      <c r="D500">
        <f>IF($A500="","",COUNTIF(connections!$A$2:$A$1400,$A500)+COUNTIF(connections!$B$2:$B$1400,$A500))</f>
        <v>1</v>
      </c>
      <c r="E500">
        <f t="shared" si="91"/>
        <v>1</v>
      </c>
      <c r="F500">
        <f t="shared" si="92"/>
        <v>24</v>
      </c>
      <c r="G500">
        <f t="shared" si="93"/>
        <v>2019</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Nowhere Prophet</v>
      </c>
      <c r="B501">
        <f>IF($A501="","",games!$B501)</f>
        <v>2019</v>
      </c>
      <c r="C501" t="str">
        <f>IF($A501="","",games!$C501)</f>
        <v>Deckbuilder</v>
      </c>
      <c r="D501">
        <f>IF($A501="","",COUNTIF(connections!$A$2:$A$1400,$A501)+COUNTIF(connections!$B$2:$B$1400,$A501))</f>
        <v>2</v>
      </c>
      <c r="E501">
        <f t="shared" si="91"/>
        <v>3</v>
      </c>
      <c r="F501">
        <f t="shared" si="92"/>
        <v>25</v>
      </c>
      <c r="G501" t="e">
        <f t="shared" si="93"/>
        <v>#N/A</v>
      </c>
      <c r="H501" t="e">
        <f t="shared" si="94"/>
        <v>#N/A</v>
      </c>
      <c r="I501" t="e">
        <f t="shared" si="95"/>
        <v>#N/A</v>
      </c>
      <c r="J501" t="e">
        <f t="shared" si="96"/>
        <v>#N/A</v>
      </c>
      <c r="K501">
        <f t="shared" si="97"/>
        <v>2019</v>
      </c>
      <c r="L501">
        <f t="shared" si="98"/>
        <v>3.5750000000000002</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Nubby's Number Factory</v>
      </c>
      <c r="B502">
        <f>IF($A502="","",games!$B502)</f>
        <v>2024</v>
      </c>
      <c r="C502" t="str">
        <f>IF($A502="","",games!$C502)</f>
        <v>Strategy</v>
      </c>
      <c r="D502">
        <f>IF($A502="","",COUNTIF(connections!$A$2:$A$1400,$A502)+COUNTIF(connections!$B$2:$B$1400,$A502))</f>
        <v>5</v>
      </c>
      <c r="E502">
        <f t="shared" si="91"/>
        <v>2</v>
      </c>
      <c r="F502">
        <f t="shared" si="92"/>
        <v>26</v>
      </c>
      <c r="G502" t="e">
        <f t="shared" si="93"/>
        <v>#N/A</v>
      </c>
      <c r="H502" t="e">
        <f t="shared" si="94"/>
        <v>#N/A</v>
      </c>
      <c r="I502">
        <f t="shared" si="95"/>
        <v>2024</v>
      </c>
      <c r="J502">
        <f t="shared" si="96"/>
        <v>2.5979999999999999</v>
      </c>
      <c r="K502" t="e">
        <f t="shared" si="97"/>
        <v>#N/A</v>
      </c>
      <c r="L502" t="e">
        <f t="shared" si="98"/>
        <v>#N/A</v>
      </c>
      <c r="M502" t="e">
        <f t="shared" si="99"/>
        <v>#N/A</v>
      </c>
      <c r="N502" t="e">
        <f t="shared" si="100"/>
        <v>#N/A</v>
      </c>
      <c r="O502">
        <f t="shared" si="101"/>
        <v>5.000502</v>
      </c>
      <c r="P502" t="str">
        <f>IF(OR($A502="",games!$H502=""),"",games!$H502)</f>
        <v>Yes</v>
      </c>
      <c r="Q502">
        <f t="shared" si="102"/>
        <v>5.000502</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Nuclear Throne</v>
      </c>
      <c r="B503">
        <f>IF($A503="","",games!$B503)</f>
        <v>2015</v>
      </c>
      <c r="C503" t="str">
        <f>IF($A503="","",games!$C503)</f>
        <v>Action</v>
      </c>
      <c r="D503">
        <f>IF($A503="","",COUNTIF(connections!$A$2:$A$1400,$A503)+COUNTIF(connections!$B$2:$B$1400,$A503))</f>
        <v>22</v>
      </c>
      <c r="E503">
        <f t="shared" si="91"/>
        <v>1</v>
      </c>
      <c r="F503">
        <f t="shared" si="92"/>
        <v>27</v>
      </c>
      <c r="G503">
        <f t="shared" si="93"/>
        <v>2015</v>
      </c>
      <c r="H503">
        <f t="shared" si="94"/>
        <v>1.621</v>
      </c>
      <c r="I503" t="e">
        <f t="shared" si="95"/>
        <v>#N/A</v>
      </c>
      <c r="J503" t="e">
        <f t="shared" si="96"/>
        <v>#N/A</v>
      </c>
      <c r="K503" t="e">
        <f t="shared" si="97"/>
        <v>#N/A</v>
      </c>
      <c r="L503" t="e">
        <f t="shared" si="98"/>
        <v>#N/A</v>
      </c>
      <c r="M503" t="e">
        <f t="shared" si="99"/>
        <v>#N/A</v>
      </c>
      <c r="N503" t="e">
        <f t="shared" si="100"/>
        <v>#N/A</v>
      </c>
      <c r="O503">
        <f t="shared" si="101"/>
        <v>22.000502999999998</v>
      </c>
      <c r="P503" t="str">
        <f>IF(OR($A503="",games!$H503=""),"",games!$H503)</f>
        <v>Yes</v>
      </c>
      <c r="Q503">
        <f t="shared" si="102"/>
        <v>22.000502999999998</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Nunholy</v>
      </c>
      <c r="B504">
        <f>IF($A504="","",games!$B504)</f>
        <v>2025</v>
      </c>
      <c r="C504" t="str">
        <f>IF($A504="","",games!$C504)</f>
        <v>Action</v>
      </c>
      <c r="D504">
        <f>IF($A504="","",COUNTIF(connections!$A$2:$A$1400,$A504)+COUNTIF(connections!$B$2:$B$1400,$A504))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Oaken Tower</v>
      </c>
      <c r="B505">
        <f>IF($A505="","",games!$B505)</f>
        <v>2026</v>
      </c>
      <c r="C505" t="str">
        <f>IF($A505="","",games!$C505)</f>
        <v>Strategy</v>
      </c>
      <c r="D505">
        <f>IF($A505="","",COUNTIF(connections!$A$2:$A$1400,$A505)+COUNTIF(connections!$B$2:$B$1400,$A505))</f>
        <v>3</v>
      </c>
      <c r="E505">
        <f t="shared" si="91"/>
        <v>2</v>
      </c>
      <c r="F505">
        <f t="shared" si="92"/>
        <v>29</v>
      </c>
      <c r="G505" t="e">
        <f t="shared" si="93"/>
        <v>#N/A</v>
      </c>
      <c r="H505" t="e">
        <f t="shared" si="94"/>
        <v>#N/A</v>
      </c>
      <c r="I505">
        <f t="shared" si="95"/>
        <v>2026</v>
      </c>
      <c r="J505">
        <f t="shared" si="96"/>
        <v>2.6669999999999998</v>
      </c>
      <c r="K505" t="e">
        <f t="shared" si="97"/>
        <v>#N/A</v>
      </c>
      <c r="L505" t="e">
        <f t="shared" si="98"/>
        <v>#N/A</v>
      </c>
      <c r="M505" t="e">
        <f t="shared" si="99"/>
        <v>#N/A</v>
      </c>
      <c r="N505" t="e">
        <f t="shared" si="100"/>
        <v>#N/A</v>
      </c>
      <c r="O505">
        <f t="shared" si="101"/>
        <v>3.000505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Oblivion Override</v>
      </c>
      <c r="B506">
        <f>IF($A506="","",games!$B506)</f>
        <v>2023</v>
      </c>
      <c r="C506" t="str">
        <f>IF($A506="","",games!$C506)</f>
        <v>Action</v>
      </c>
      <c r="D506">
        <f>IF($A506="","",COUNTIF(connections!$A$2:$A$1400,$A506)+COUNTIF(connections!$B$2:$B$1400,$A506))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Obsidian Prince</v>
      </c>
      <c r="B507">
        <f>IF($A507="","",games!$B507)</f>
        <v>2021</v>
      </c>
      <c r="C507" t="str">
        <f>IF($A507="","",games!$C507)</f>
        <v>Deckbuilder</v>
      </c>
      <c r="D507">
        <f>IF($A507="","",COUNTIF(connections!$A$2:$A$1400,$A507)+COUNTIF(connections!$B$2:$B$1400,$A507))</f>
        <v>2</v>
      </c>
      <c r="E507">
        <f t="shared" si="91"/>
        <v>3</v>
      </c>
      <c r="F507">
        <f t="shared" si="92"/>
        <v>31</v>
      </c>
      <c r="G507" t="e">
        <f t="shared" si="93"/>
        <v>#N/A</v>
      </c>
      <c r="H507" t="e">
        <f t="shared" si="94"/>
        <v>#N/A</v>
      </c>
      <c r="I507" t="e">
        <f t="shared" si="95"/>
        <v>#N/A</v>
      </c>
      <c r="J507" t="e">
        <f t="shared" si="96"/>
        <v>#N/A</v>
      </c>
      <c r="K507">
        <f t="shared" si="97"/>
        <v>2021</v>
      </c>
      <c r="L507">
        <f t="shared" si="98"/>
        <v>3.7130000000000001</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Octogeddon</v>
      </c>
      <c r="B508">
        <f>IF($A508="","",games!$B508)</f>
        <v>2018</v>
      </c>
      <c r="C508" t="str">
        <f>IF($A508="","",games!$C508)</f>
        <v>Action</v>
      </c>
      <c r="D508">
        <f>IF($A508="","",COUNTIF(connections!$A$2:$A$1400,$A508)+COUNTIF(connections!$B$2:$B$1400,$A508))</f>
        <v>0</v>
      </c>
      <c r="E508">
        <f t="shared" si="91"/>
        <v>1</v>
      </c>
      <c r="F508">
        <f t="shared" si="92"/>
        <v>32</v>
      </c>
      <c r="G508">
        <f t="shared" si="93"/>
        <v>2018</v>
      </c>
      <c r="H508">
        <f t="shared" si="94"/>
        <v>1.736</v>
      </c>
      <c r="I508" t="e">
        <f t="shared" si="95"/>
        <v>#N/A</v>
      </c>
      <c r="J508" t="e">
        <f t="shared" si="96"/>
        <v>#N/A</v>
      </c>
      <c r="K508" t="e">
        <f t="shared" si="97"/>
        <v>#N/A</v>
      </c>
      <c r="L508" t="e">
        <f t="shared" si="98"/>
        <v>#N/A</v>
      </c>
      <c r="M508" t="e">
        <f t="shared" si="99"/>
        <v>#N/A</v>
      </c>
      <c r="N508" t="e">
        <f t="shared" si="100"/>
        <v>#N/A</v>
      </c>
      <c r="O508">
        <f t="shared" si="101"/>
        <v>5.0799999999999999E-4</v>
      </c>
      <c r="P508" t="str">
        <f>IF(OR($A508="",games!$H508=""),"",games!$H508)</f>
        <v>Yes</v>
      </c>
      <c r="Q508">
        <f t="shared" si="102"/>
        <v>5.0799999999999999E-4</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Oddcore</v>
      </c>
      <c r="B509">
        <f>IF($A509="","",games!$B509)</f>
        <v>2026</v>
      </c>
      <c r="C509" t="str">
        <f>IF($A509="","",games!$C509)</f>
        <v>Action</v>
      </c>
      <c r="D509">
        <f>IF($A509="","",COUNTIF(connections!$A$2:$A$1400,$A509)+COUNTIF(connections!$B$2:$B$1400,$A509))</f>
        <v>1</v>
      </c>
      <c r="E509">
        <f t="shared" si="91"/>
        <v>1</v>
      </c>
      <c r="F509">
        <f t="shared" si="92"/>
        <v>33</v>
      </c>
      <c r="G509">
        <f t="shared" si="93"/>
        <v>2026</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Odinfall</v>
      </c>
      <c r="B510">
        <f>IF($A510="","",games!$B510)</f>
        <v>2025</v>
      </c>
      <c r="C510" t="str">
        <f>IF($A510="","",games!$C510)</f>
        <v>Action</v>
      </c>
      <c r="D510">
        <f>IF($A510="","",COUNTIF(connections!$A$2:$A$1400,$A510)+COUNTIF(connections!$B$2:$B$1400,$A510))</f>
        <v>2</v>
      </c>
      <c r="E510">
        <f t="shared" si="91"/>
        <v>1</v>
      </c>
      <c r="F510">
        <f t="shared" si="92"/>
        <v>0</v>
      </c>
      <c r="G510">
        <f t="shared" si="93"/>
        <v>2025</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Ogre Chambers 2222</v>
      </c>
      <c r="B511">
        <f>IF($A511="","",games!$B511)</f>
        <v>2026</v>
      </c>
      <c r="C511" t="str">
        <f>IF($A511="","",games!$C511)</f>
        <v>Action</v>
      </c>
      <c r="D511">
        <f>IF($A511="","",COUNTIF(connections!$A$2:$A$1400,$A511)+COUNTIF(connections!$B$2:$B$1400,$A511))</f>
        <v>3</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3.0005109999999999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v>
      </c>
      <c r="B512">
        <f>IF($A512="","",games!$B512)</f>
        <v>1987</v>
      </c>
      <c r="C512" t="str">
        <f>IF($A512="","",games!$C512)</f>
        <v>Traditional</v>
      </c>
      <c r="D512">
        <f>IF($A512="","",COUNTIF(connections!$A$2:$A$1400,$A512)+COUNTIF(connections!$B$2:$B$1400,$A512))</f>
        <v>3</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1987</v>
      </c>
      <c r="N512">
        <f t="shared" si="100"/>
        <v>4.0460000000000003</v>
      </c>
      <c r="O512">
        <f t="shared" si="101"/>
        <v>3.0005120000000001</v>
      </c>
      <c r="P512" t="str">
        <f>IF(OR($A512="",games!$H512=""),"",games!$H512)</f>
        <v>Yes</v>
      </c>
      <c r="Q512">
        <f t="shared" si="102"/>
        <v>3.0005120000000001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v>
      </c>
      <c r="B513">
        <f>IF($A513="","",games!$B513)</f>
        <v>2015</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2015</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Omega Labyrinth Life</v>
      </c>
      <c r="B514">
        <f>IF($A514="","",games!$B514)</f>
        <v>2019</v>
      </c>
      <c r="C514" t="str">
        <f>IF($A514="","",games!$C514)</f>
        <v>Traditional</v>
      </c>
      <c r="D514">
        <f>IF($A514="","",COUNTIF(connections!$A$2:$A$1400,$A514)+COUNTIF(connections!$B$2:$B$1400,$A514))</f>
        <v>1</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2019</v>
      </c>
      <c r="N514">
        <f t="shared" ref="N514:N577" si="113">IF($A514="",NA(),IF($C514="Traditional",4+$F514*0.023,NA()))</f>
        <v>4.0919999999999996</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Omega Labyrinth Z</v>
      </c>
      <c r="B515">
        <f>IF($A515="","",games!$B515)</f>
        <v>2017</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2017</v>
      </c>
      <c r="N515">
        <f t="shared" si="113"/>
        <v>4.1150000000000002</v>
      </c>
      <c r="O515">
        <f t="shared" si="114"/>
        <v>2.000515</v>
      </c>
      <c r="P515" t="str">
        <f>IF(OR($A515="",games!$H515=""),"",games!$H515)</f>
        <v/>
      </c>
      <c r="Q515" t="str">
        <f t="shared" si="115"/>
        <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Omelet You Cook</v>
      </c>
      <c r="B516">
        <f>IF($A516="","",games!$B516)</f>
        <v>2025</v>
      </c>
      <c r="C516" t="str">
        <f>IF($A516="","",games!$C516)</f>
        <v>Deckbuilder</v>
      </c>
      <c r="D516">
        <f>IF($A516="","",COUNTIF(connections!$A$2:$A$1400,$A516)+COUNTIF(connections!$B$2:$B$1400,$A516))</f>
        <v>3</v>
      </c>
      <c r="E516">
        <f t="shared" si="104"/>
        <v>3</v>
      </c>
      <c r="F516">
        <f t="shared" si="105"/>
        <v>6</v>
      </c>
      <c r="G516" t="e">
        <f t="shared" si="106"/>
        <v>#N/A</v>
      </c>
      <c r="H516" t="e">
        <f t="shared" si="107"/>
        <v>#N/A</v>
      </c>
      <c r="I516" t="e">
        <f t="shared" si="108"/>
        <v>#N/A</v>
      </c>
      <c r="J516" t="e">
        <f t="shared" si="109"/>
        <v>#N/A</v>
      </c>
      <c r="K516">
        <f t="shared" si="110"/>
        <v>2025</v>
      </c>
      <c r="L516">
        <f t="shared" si="111"/>
        <v>3.1379999999999999</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 Step From Eden</v>
      </c>
      <c r="B517">
        <f>IF($A517="","",games!$B517)</f>
        <v>2020</v>
      </c>
      <c r="C517" t="str">
        <f>IF($A517="","",games!$C517)</f>
        <v>Action</v>
      </c>
      <c r="D517">
        <f>IF($A517="","",COUNTIF(connections!$A$2:$A$1400,$A517)+COUNTIF(connections!$B$2:$B$1400,$A517))</f>
        <v>3</v>
      </c>
      <c r="E517">
        <f t="shared" si="104"/>
        <v>1</v>
      </c>
      <c r="F517">
        <f t="shared" si="105"/>
        <v>7</v>
      </c>
      <c r="G517">
        <f t="shared" si="106"/>
        <v>2020</v>
      </c>
      <c r="H517">
        <f t="shared" si="107"/>
        <v>1.161</v>
      </c>
      <c r="I517" t="e">
        <f t="shared" si="108"/>
        <v>#N/A</v>
      </c>
      <c r="J517" t="e">
        <f t="shared" si="109"/>
        <v>#N/A</v>
      </c>
      <c r="K517" t="e">
        <f t="shared" si="110"/>
        <v>#N/A</v>
      </c>
      <c r="L517" t="e">
        <f t="shared" si="111"/>
        <v>#N/A</v>
      </c>
      <c r="M517" t="e">
        <f t="shared" si="112"/>
        <v>#N/A</v>
      </c>
      <c r="N517" t="e">
        <f t="shared" si="113"/>
        <v>#N/A</v>
      </c>
      <c r="O517">
        <f t="shared" si="114"/>
        <v>3.0005169999999999</v>
      </c>
      <c r="P517" t="str">
        <f>IF(OR($A517="",games!$H517=""),"",games!$H517)</f>
        <v>Yes</v>
      </c>
      <c r="Q517">
        <f t="shared" si="115"/>
        <v>3.0005169999999999</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One Way Heroics</v>
      </c>
      <c r="B518">
        <f>IF($A518="","",games!$B518)</f>
        <v>2014</v>
      </c>
      <c r="C518" t="str">
        <f>IF($A518="","",games!$C518)</f>
        <v>Traditional</v>
      </c>
      <c r="D518">
        <f>IF($A518="","",COUNTIF(connections!$A$2:$A$1400,$A518)+COUNTIF(connections!$B$2:$B$1400,$A518))</f>
        <v>3</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2014</v>
      </c>
      <c r="N518">
        <f t="shared" si="113"/>
        <v>4.1840000000000002</v>
      </c>
      <c r="O518">
        <f t="shared" si="114"/>
        <v>3.000518</v>
      </c>
      <c r="P518" t="str">
        <f>IF(OR($A518="",games!$H518=""),"",games!$H518)</f>
        <v>Yes</v>
      </c>
      <c r="Q518">
        <f t="shared" si="115"/>
        <v>3.000518</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OneBit Adventure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OTXO</v>
      </c>
      <c r="B520">
        <f>IF($A520="","",games!$B520)</f>
        <v>2023</v>
      </c>
      <c r="C520" t="str">
        <f>IF($A520="","",games!$C520)</f>
        <v>Action</v>
      </c>
      <c r="D520">
        <f>IF($A520="","",COUNTIF(connections!$A$2:$A$1400,$A520)+COUNTIF(connections!$B$2:$B$1400,$A520))</f>
        <v>0</v>
      </c>
      <c r="E520">
        <f t="shared" si="104"/>
        <v>1</v>
      </c>
      <c r="F520">
        <f t="shared" si="105"/>
        <v>10</v>
      </c>
      <c r="G520">
        <f t="shared" si="106"/>
        <v>2023</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Our Darker Purpose</v>
      </c>
      <c r="B521">
        <f>IF($A521="","",games!$B521)</f>
        <v>2014</v>
      </c>
      <c r="C521" t="str">
        <f>IF($A521="","",games!$C521)</f>
        <v>Action</v>
      </c>
      <c r="D521">
        <f>IF($A521="","",COUNTIF(connections!$A$2:$A$1400,$A521)+COUNTIF(connections!$B$2:$B$1400,$A521))</f>
        <v>2</v>
      </c>
      <c r="E521">
        <f t="shared" si="104"/>
        <v>1</v>
      </c>
      <c r="F521">
        <f t="shared" si="105"/>
        <v>11</v>
      </c>
      <c r="G521">
        <f t="shared" si="106"/>
        <v>2014</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Overlooting</v>
      </c>
      <c r="B522">
        <f>IF($A522="","",games!$B522)</f>
        <v>2025</v>
      </c>
      <c r="C522" t="str">
        <f>IF($A522="","",games!$C522)</f>
        <v>Strategy</v>
      </c>
      <c r="D522">
        <f>IF($A522="","",COUNTIF(connections!$A$2:$A$1400,$A522)+COUNTIF(connections!$B$2:$B$1400,$A522))</f>
        <v>0</v>
      </c>
      <c r="E522">
        <f t="shared" si="104"/>
        <v>2</v>
      </c>
      <c r="F522">
        <f t="shared" si="105"/>
        <v>12</v>
      </c>
      <c r="G522" t="e">
        <f t="shared" si="106"/>
        <v>#N/A</v>
      </c>
      <c r="H522" t="e">
        <f t="shared" si="107"/>
        <v>#N/A</v>
      </c>
      <c r="I522">
        <f t="shared" si="108"/>
        <v>2025</v>
      </c>
      <c r="J522">
        <f t="shared" si="109"/>
        <v>2.2759999999999998</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Overworld</v>
      </c>
      <c r="B523">
        <f>IF($A523="","",games!$B523)</f>
        <v>2022</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2022</v>
      </c>
      <c r="N523">
        <f t="shared" si="113"/>
        <v>4.2990000000000004</v>
      </c>
      <c r="O523">
        <f t="shared" si="114"/>
        <v>1.0005230000000001</v>
      </c>
      <c r="P523" t="str">
        <f>IF(OR($A523="",games!$H523=""),"",games!$H523)</f>
        <v>Yes</v>
      </c>
      <c r="Q523">
        <f t="shared" si="115"/>
        <v>1.0005230000000001</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Pairs &amp; Perils</v>
      </c>
      <c r="B524">
        <f>IF($A524="","",games!$B524)</f>
        <v>2025</v>
      </c>
      <c r="C524" t="str">
        <f>IF($A524="","",games!$C524)</f>
        <v>Deckbuilder</v>
      </c>
      <c r="D524">
        <f>IF($A524="","",COUNTIF(connections!$A$2:$A$1400,$A524)+COUNTIF(connections!$B$2:$B$1400,$A524))</f>
        <v>1</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Paper Animal Adventure</v>
      </c>
      <c r="B525">
        <f>IF($A525="","",games!$B525)</f>
        <v>2025</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2025</v>
      </c>
      <c r="N525">
        <f t="shared" si="113"/>
        <v>4.3449999999999998</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Paper Planet</v>
      </c>
      <c r="B526">
        <f>IF($A526="","",games!$B526)</f>
        <v>2023</v>
      </c>
      <c r="C526" t="str">
        <f>IF($A526="","",games!$C526)</f>
        <v>Action</v>
      </c>
      <c r="D526">
        <f>IF($A526="","",COUNTIF(connections!$A$2:$A$1400,$A526)+COUNTIF(connections!$B$2:$B$1400,$A526))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Passant: A Chess Roguelike</v>
      </c>
      <c r="B527">
        <f>IF($A527="","",games!$B527)</f>
        <v>2025</v>
      </c>
      <c r="C527" t="str">
        <f>IF($A527="","",games!$C527)</f>
        <v>Strategy</v>
      </c>
      <c r="D527">
        <f>IF($A527="","",COUNTIF(connections!$A$2:$A$1400,$A527)+COUNTIF(connections!$B$2:$B$1400,$A527))</f>
        <v>1</v>
      </c>
      <c r="E527">
        <f t="shared" si="104"/>
        <v>2</v>
      </c>
      <c r="F527">
        <f t="shared" si="105"/>
        <v>17</v>
      </c>
      <c r="G527" t="e">
        <f t="shared" si="106"/>
        <v>#N/A</v>
      </c>
      <c r="H527" t="e">
        <f t="shared" si="107"/>
        <v>#N/A</v>
      </c>
      <c r="I527">
        <f t="shared" si="108"/>
        <v>2025</v>
      </c>
      <c r="J527">
        <f t="shared" si="109"/>
        <v>2.391</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Patch Quest</v>
      </c>
      <c r="B528">
        <f>IF($A528="","",games!$B528)</f>
        <v>2021</v>
      </c>
      <c r="C528" t="str">
        <f>IF($A528="","",games!$C528)</f>
        <v>Action</v>
      </c>
      <c r="D528">
        <f>IF($A528="","",COUNTIF(connections!$A$2:$A$1400,$A528)+COUNTIF(connections!$B$2:$B$1400,$A528))</f>
        <v>2</v>
      </c>
      <c r="E528">
        <f t="shared" si="104"/>
        <v>1</v>
      </c>
      <c r="F528">
        <f t="shared" si="105"/>
        <v>18</v>
      </c>
      <c r="G528">
        <f t="shared" si="106"/>
        <v>2021</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Yes</v>
      </c>
      <c r="Q528">
        <f t="shared" si="115"/>
        <v>2.0005280000000001</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 of Achra</v>
      </c>
      <c r="B529">
        <f>IF($A529="","",games!$B529)</f>
        <v>2023</v>
      </c>
      <c r="C529" t="str">
        <f>IF($A529="","",games!$C529)</f>
        <v>Traditional</v>
      </c>
      <c r="D529">
        <f>IF($A529="","",COUNTIF(connections!$A$2:$A$1400,$A529)+COUNTIF(connections!$B$2:$B$1400,$A529))</f>
        <v>3</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2023</v>
      </c>
      <c r="N529">
        <f t="shared" si="113"/>
        <v>4.4370000000000003</v>
      </c>
      <c r="O529">
        <f t="shared" si="114"/>
        <v>3.0005289999999998</v>
      </c>
      <c r="P529" t="str">
        <f>IF(OR($A529="",games!$H529=""),"",games!$H529)</f>
        <v>Yes</v>
      </c>
      <c r="Q529">
        <f t="shared" si="115"/>
        <v>3.0005289999999998</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Pathogenic</v>
      </c>
      <c r="B530">
        <f>IF($A530="","",games!$B530)</f>
        <v>2026</v>
      </c>
      <c r="C530" t="str">
        <f>IF($A530="","",games!$C530)</f>
        <v>Action</v>
      </c>
      <c r="D530">
        <f>IF($A530="","",COUNTIF(connections!$A$2:$A$1400,$A530)+COUNTIF(connections!$B$2:$B$1400,$A530))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Pathos: Nethack Codex</v>
      </c>
      <c r="B531">
        <f>IF($A531="","",games!$B531)</f>
        <v>2015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1.0005310000000001</v>
      </c>
      <c r="P531" t="str">
        <f>IF(OR($A531="",games!$H531=""),"",games!$H531)</f>
        <v>Yes</v>
      </c>
      <c r="Q531">
        <f t="shared" si="115"/>
        <v>1.0005310000000001</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Pawnbarian</v>
      </c>
      <c r="B532">
        <f>IF($A532="","",games!$B532)</f>
        <v>2021</v>
      </c>
      <c r="C532" t="str">
        <f>IF($A532="","",games!$C532)</f>
        <v>Strategy</v>
      </c>
      <c r="D532">
        <f>IF($A532="","",COUNTIF(connections!$A$2:$A$1400,$A532)+COUNTIF(connections!$B$2:$B$1400,$A532))</f>
        <v>3</v>
      </c>
      <c r="E532">
        <f t="shared" si="104"/>
        <v>2</v>
      </c>
      <c r="F532">
        <f t="shared" si="105"/>
        <v>22</v>
      </c>
      <c r="G532" t="e">
        <f t="shared" si="106"/>
        <v>#N/A</v>
      </c>
      <c r="H532" t="e">
        <f t="shared" si="107"/>
        <v>#N/A</v>
      </c>
      <c r="I532">
        <f t="shared" si="108"/>
        <v>2021</v>
      </c>
      <c r="J532">
        <f t="shared" si="109"/>
        <v>2.5060000000000002</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Peglin</v>
      </c>
      <c r="B533">
        <f>IF($A533="","",games!$B533)</f>
        <v>2022</v>
      </c>
      <c r="C533" t="str">
        <f>IF($A533="","",games!$C533)</f>
        <v>Deckbuilder</v>
      </c>
      <c r="D533">
        <f>IF($A533="","",COUNTIF(connections!$A$2:$A$1400,$A533)+COUNTIF(connections!$B$2:$B$1400,$A533))</f>
        <v>7</v>
      </c>
      <c r="E533">
        <f t="shared" si="104"/>
        <v>3</v>
      </c>
      <c r="F533">
        <f t="shared" si="105"/>
        <v>23</v>
      </c>
      <c r="G533" t="e">
        <f t="shared" si="106"/>
        <v>#N/A</v>
      </c>
      <c r="H533" t="e">
        <f t="shared" si="107"/>
        <v>#N/A</v>
      </c>
      <c r="I533" t="e">
        <f t="shared" si="108"/>
        <v>#N/A</v>
      </c>
      <c r="J533" t="e">
        <f t="shared" si="109"/>
        <v>#N/A</v>
      </c>
      <c r="K533">
        <f t="shared" si="110"/>
        <v>2022</v>
      </c>
      <c r="L533">
        <f t="shared" si="111"/>
        <v>3.5289999999999999</v>
      </c>
      <c r="M533" t="e">
        <f t="shared" si="112"/>
        <v>#N/A</v>
      </c>
      <c r="N533" t="e">
        <f t="shared" si="113"/>
        <v>#N/A</v>
      </c>
      <c r="O533">
        <f t="shared" si="114"/>
        <v>7.0005329999999999</v>
      </c>
      <c r="P533" t="str">
        <f>IF(OR($A533="",games!$H533=""),"",games!$H533)</f>
        <v>Yes</v>
      </c>
      <c r="Q533">
        <f t="shared" si="115"/>
        <v>7.0005329999999999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Pegs X Stickers</v>
      </c>
      <c r="B534">
        <f>IF($A534="","",games!$B534)</f>
        <v>2026</v>
      </c>
      <c r="C534" t="str">
        <f>IF($A534="","",games!$C534)</f>
        <v>Deckbuilder</v>
      </c>
      <c r="D534">
        <f>IF($A534="","",COUNTIF(connections!$A$2:$A$1400,$A534)+COUNTIF(connections!$B$2:$B$1400,$A534))</f>
        <v>3</v>
      </c>
      <c r="E534">
        <f t="shared" si="104"/>
        <v>3</v>
      </c>
      <c r="F534">
        <f t="shared" si="105"/>
        <v>24</v>
      </c>
      <c r="G534" t="e">
        <f t="shared" si="106"/>
        <v>#N/A</v>
      </c>
      <c r="H534" t="e">
        <f t="shared" si="107"/>
        <v>#N/A</v>
      </c>
      <c r="I534" t="e">
        <f t="shared" si="108"/>
        <v>#N/A</v>
      </c>
      <c r="J534" t="e">
        <f t="shared" si="109"/>
        <v>#N/A</v>
      </c>
      <c r="K534">
        <f t="shared" si="110"/>
        <v>2026</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Pesticide Not Required</v>
      </c>
      <c r="B535">
        <f>IF($A535="","",games!$B535)</f>
        <v>2024</v>
      </c>
      <c r="C535" t="str">
        <f>IF($A535="","",games!$C535)</f>
        <v>Action</v>
      </c>
      <c r="D535">
        <f>IF($A535="","",COUNTIF(connections!$A$2:$A$1400,$A535)+COUNTIF(connections!$B$2:$B$1400,$A535))</f>
        <v>3</v>
      </c>
      <c r="E535">
        <f t="shared" si="104"/>
        <v>1</v>
      </c>
      <c r="F535">
        <f t="shared" si="105"/>
        <v>25</v>
      </c>
      <c r="G535">
        <f t="shared" si="106"/>
        <v>2024</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Picayune Dreams</v>
      </c>
      <c r="B536">
        <f>IF($A536="","",games!$B536)</f>
        <v>2023</v>
      </c>
      <c r="C536" t="str">
        <f>IF($A536="","",games!$C536)</f>
        <v>Action</v>
      </c>
      <c r="D536">
        <f>IF($A536="","",COUNTIF(connections!$A$2:$A$1400,$A536)+COUNTIF(connections!$B$2:$B$1400,$A536))</f>
        <v>1</v>
      </c>
      <c r="E536">
        <f t="shared" si="104"/>
        <v>1</v>
      </c>
      <c r="F536">
        <f t="shared" si="105"/>
        <v>26</v>
      </c>
      <c r="G536">
        <f t="shared" si="106"/>
        <v>2023</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Pip My Dice</v>
      </c>
      <c r="B537">
        <f>IF($A537="","",games!$B537)</f>
        <v>2025</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Pixel Dungeon</v>
      </c>
      <c r="B538">
        <f>IF($A538="","",games!$B538)</f>
        <v>2012</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2012</v>
      </c>
      <c r="N538">
        <f t="shared" si="113"/>
        <v>4.6440000000000001</v>
      </c>
      <c r="O538">
        <f t="shared" si="114"/>
        <v>3.0005380000000001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PlateUp!</v>
      </c>
      <c r="B539">
        <f>IF($A539="","",games!$B539)</f>
        <v>2022</v>
      </c>
      <c r="C539" t="str">
        <f>IF($A539="","",games!$C539)</f>
        <v>Strategy</v>
      </c>
      <c r="D539">
        <f>IF($A539="","",COUNTIF(connections!$A$2:$A$1400,$A539)+COUNTIF(connections!$B$2:$B$1400,$A539))</f>
        <v>0</v>
      </c>
      <c r="E539">
        <f t="shared" si="104"/>
        <v>2</v>
      </c>
      <c r="F539">
        <f t="shared" si="105"/>
        <v>29</v>
      </c>
      <c r="G539" t="e">
        <f t="shared" si="106"/>
        <v>#N/A</v>
      </c>
      <c r="H539" t="e">
        <f t="shared" si="107"/>
        <v>#N/A</v>
      </c>
      <c r="I539">
        <f t="shared" si="108"/>
        <v>2022</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Plinbo</v>
      </c>
      <c r="B540">
        <f>IF($A540="","",games!$B540)</f>
        <v>2026</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1.00054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Plinko Panic!</v>
      </c>
      <c r="B541">
        <f>IF($A541="","",games!$B541)</f>
        <v>2021</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Pluto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Pocket Crystal League</v>
      </c>
      <c r="B543">
        <f>IF($A543="","",games!$B543)</f>
        <v>2022</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2022</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Pogo Rogue</v>
      </c>
      <c r="B544">
        <f>IF($A544="","",games!$B544)</f>
        <v>2024</v>
      </c>
      <c r="C544" t="str">
        <f>IF($A544="","",games!$C544)</f>
        <v>Action</v>
      </c>
      <c r="D544">
        <f>IF($A544="","",COUNTIF(connections!$A$2:$A$1400,$A544)+COUNTIF(connections!$B$2:$B$1400,$A544))</f>
        <v>0</v>
      </c>
      <c r="E544">
        <f t="shared" si="104"/>
        <v>1</v>
      </c>
      <c r="F544">
        <f t="shared" si="105"/>
        <v>0</v>
      </c>
      <c r="G544">
        <f t="shared" si="106"/>
        <v>2024</v>
      </c>
      <c r="H544">
        <f t="shared" si="107"/>
        <v>1</v>
      </c>
      <c r="I544" t="e">
        <f t="shared" si="108"/>
        <v>#N/A</v>
      </c>
      <c r="J544" t="e">
        <f t="shared" si="109"/>
        <v>#N/A</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Pokelike</v>
      </c>
      <c r="B545">
        <f>IF($A545="","",games!$B545)</f>
        <v>2026</v>
      </c>
      <c r="C545" t="str">
        <f>IF($A545="","",games!$C545)</f>
        <v>Strategy</v>
      </c>
      <c r="D545">
        <f>IF($A545="","",COUNTIF(connections!$A$2:$A$1400,$A545)+COUNTIF(connections!$B$2:$B$1400,$A545))</f>
        <v>1</v>
      </c>
      <c r="E545">
        <f t="shared" si="104"/>
        <v>2</v>
      </c>
      <c r="F545">
        <f t="shared" si="105"/>
        <v>1</v>
      </c>
      <c r="G545" t="e">
        <f t="shared" si="106"/>
        <v>#N/A</v>
      </c>
      <c r="H545" t="e">
        <f t="shared" si="107"/>
        <v>#N/A</v>
      </c>
      <c r="I545">
        <f t="shared" si="108"/>
        <v>2026</v>
      </c>
      <c r="J545">
        <f t="shared" si="109"/>
        <v>2.0230000000000001</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Auto Chess</v>
      </c>
      <c r="B546">
        <f>IF($A546="","",games!$B546)</f>
        <v>2021</v>
      </c>
      <c r="C546" t="str">
        <f>IF($A546="","",games!$C546)</f>
        <v>Strategy</v>
      </c>
      <c r="D546">
        <f>IF($A546="","",COUNTIF(connections!$A$2:$A$1400,$A546)+COUNTIF(connections!$B$2:$B$1400,$A546))</f>
        <v>2</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Auto Spire</v>
      </c>
      <c r="B547">
        <f>IF($A547="","",games!$B547)</f>
        <v>2026</v>
      </c>
      <c r="C547" t="str">
        <f>IF($A547="","",games!$C547)</f>
        <v>Strategy</v>
      </c>
      <c r="D547">
        <f>IF($A547="","",COUNTIF(connections!$A$2:$A$1400,$A547)+COUNTIF(connections!$B$2:$B$1400,$A547))</f>
        <v>2</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2.0005470000000001</v>
      </c>
      <c r="P547" t="str">
        <f>IF(OR($A547="",games!$H547=""),"",games!$H547)</f>
        <v>Yes</v>
      </c>
      <c r="Q547">
        <f t="shared" si="115"/>
        <v>2.0005470000000001</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Explorers of Sky</v>
      </c>
      <c r="B548">
        <f>IF($A548="","",games!$B548)</f>
        <v>2009</v>
      </c>
      <c r="C548" t="str">
        <f>IF($A548="","",games!$C548)</f>
        <v>Traditional</v>
      </c>
      <c r="D548">
        <f>IF($A548="","",COUNTIF(connections!$A$2:$A$1400,$A548)+COUNTIF(connections!$B$2:$B$1400,$A548))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2009</v>
      </c>
      <c r="N548">
        <f t="shared" si="113"/>
        <v>4.0919999999999996</v>
      </c>
      <c r="O548">
        <f t="shared" si="114"/>
        <v>1.000548</v>
      </c>
      <c r="P548" t="str">
        <f>IF(OR($A548="",games!$H548=""),"",games!$H548)</f>
        <v>Yes</v>
      </c>
      <c r="Q548">
        <f t="shared" si="115"/>
        <v>1.000548</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Explorers of Time and Explorers of Darkness</v>
      </c>
      <c r="B549">
        <f>IF($A549="","",games!$B549)</f>
        <v>2007</v>
      </c>
      <c r="C549" t="str">
        <f>IF($A549="","",games!$C549)</f>
        <v>Traditional</v>
      </c>
      <c r="D549">
        <f>IF($A549="","",COUNTIF(connections!$A$2:$A$1400,$A549)+COUNTIF(connections!$B$2:$B$1400,$A549))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2007</v>
      </c>
      <c r="N549">
        <f t="shared" si="113"/>
        <v>4.1150000000000002</v>
      </c>
      <c r="O549">
        <f t="shared" si="114"/>
        <v>2.0005489999999999</v>
      </c>
      <c r="P549" t="str">
        <f>IF(OR($A549="",games!$H549=""),"",games!$H549)</f>
        <v>Yes</v>
      </c>
      <c r="Q549">
        <f t="shared" si="115"/>
        <v>2.0005489999999999</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Mystery Dungeon: Gates to Infinity</v>
      </c>
      <c r="B550">
        <f>IF($A550="","",games!$B550)</f>
        <v>2012</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2012</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Pokémon Mystery Dungeon: Red and Blue Rescue Team</v>
      </c>
      <c r="B551">
        <f>IF($A551="","",games!$B551)</f>
        <v>2005</v>
      </c>
      <c r="C551" t="str">
        <f>IF($A551="","",games!$C551)</f>
        <v>Traditional</v>
      </c>
      <c r="D551">
        <f>IF($A551="","",COUNTIF(connections!$A$2:$A$1400,$A551)+COUNTIF(connections!$B$2:$B$1400,$A551))</f>
        <v>6</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2005</v>
      </c>
      <c r="N551">
        <f t="shared" si="113"/>
        <v>4.1609999999999996</v>
      </c>
      <c r="O551">
        <f t="shared" si="114"/>
        <v>6.0005509999999997</v>
      </c>
      <c r="P551" t="str">
        <f>IF(OR($A551="",games!$H551=""),"",games!$H551)</f>
        <v>Yes</v>
      </c>
      <c r="Q551">
        <f t="shared" si="115"/>
        <v>6.0005509999999997</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Pokémon Mystery Dungeon: Rescue Team DX</v>
      </c>
      <c r="B552">
        <f>IF($A552="","",games!$B552)</f>
        <v>2020</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2020</v>
      </c>
      <c r="N552">
        <f t="shared" si="113"/>
        <v>4.1840000000000002</v>
      </c>
      <c r="O552">
        <f t="shared" si="114"/>
        <v>1.0005520000000001</v>
      </c>
      <c r="P552" t="str">
        <f>IF(OR($A552="",games!$H552=""),"",games!$H552)</f>
        <v/>
      </c>
      <c r="Q552" t="str">
        <f t="shared" si="115"/>
        <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Pokémon Super Mystery Dungeon</v>
      </c>
      <c r="B553">
        <f>IF($A553="","",games!$B553)</f>
        <v>2015</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PokéRogue</v>
      </c>
      <c r="B554">
        <f>IF($A554="","",games!$B554)</f>
        <v>2024</v>
      </c>
      <c r="C554" t="str">
        <f>IF($A554="","",games!$C554)</f>
        <v>Strategy</v>
      </c>
      <c r="D554">
        <f>IF($A554="","",COUNTIF(connections!$A$2:$A$1400,$A554)+COUNTIF(connections!$B$2:$B$1400,$A554))</f>
        <v>3</v>
      </c>
      <c r="E554">
        <f t="shared" si="104"/>
        <v>2</v>
      </c>
      <c r="F554">
        <f t="shared" si="105"/>
        <v>10</v>
      </c>
      <c r="G554" t="e">
        <f t="shared" si="106"/>
        <v>#N/A</v>
      </c>
      <c r="H554" t="e">
        <f t="shared" si="107"/>
        <v>#N/A</v>
      </c>
      <c r="I554">
        <f t="shared" si="108"/>
        <v>2024</v>
      </c>
      <c r="J554">
        <f t="shared" si="109"/>
        <v>2.23</v>
      </c>
      <c r="K554" t="e">
        <f t="shared" si="110"/>
        <v>#N/A</v>
      </c>
      <c r="L554" t="e">
        <f t="shared" si="111"/>
        <v>#N/A</v>
      </c>
      <c r="M554" t="e">
        <f t="shared" si="112"/>
        <v>#N/A</v>
      </c>
      <c r="N554" t="e">
        <f t="shared" si="113"/>
        <v>#N/A</v>
      </c>
      <c r="O554">
        <f t="shared" si="114"/>
        <v>3.0005540000000002</v>
      </c>
      <c r="P554" t="str">
        <f>IF(OR($A554="",games!$H554=""),"",games!$H554)</f>
        <v/>
      </c>
      <c r="Q554" t="str">
        <f t="shared" si="115"/>
        <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PokeVoid</v>
      </c>
      <c r="B555">
        <f>IF($A555="","",games!$B555)</f>
        <v>2025</v>
      </c>
      <c r="C555" t="str">
        <f>IF($A555="","",games!$C555)</f>
        <v>Strategy</v>
      </c>
      <c r="D555">
        <f>IF($A555="","",COUNTIF(connections!$A$2:$A$1400,$A555)+COUNTIF(connections!$B$2:$B$1400,$A555))</f>
        <v>3</v>
      </c>
      <c r="E555">
        <f t="shared" si="104"/>
        <v>2</v>
      </c>
      <c r="F555">
        <f t="shared" si="105"/>
        <v>11</v>
      </c>
      <c r="G555" t="e">
        <f t="shared" si="106"/>
        <v>#N/A</v>
      </c>
      <c r="H555" t="e">
        <f t="shared" si="107"/>
        <v>#N/A</v>
      </c>
      <c r="I555">
        <f t="shared" si="108"/>
        <v>2025</v>
      </c>
      <c r="J555">
        <f t="shared" si="109"/>
        <v>2.2530000000000001</v>
      </c>
      <c r="K555" t="e">
        <f t="shared" si="110"/>
        <v>#N/A</v>
      </c>
      <c r="L555" t="e">
        <f t="shared" si="111"/>
        <v>#N/A</v>
      </c>
      <c r="M555" t="e">
        <f t="shared" si="112"/>
        <v>#N/A</v>
      </c>
      <c r="N555" t="e">
        <f t="shared" si="113"/>
        <v>#N/A</v>
      </c>
      <c r="O555">
        <f t="shared" si="114"/>
        <v>3.0005549999999999</v>
      </c>
      <c r="P555" t="str">
        <f>IF(OR($A555="",games!$H555=""),"",games!$H555)</f>
        <v>Yes</v>
      </c>
      <c r="Q555">
        <f t="shared" si="115"/>
        <v>3.0005549999999999</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Popup Dungeon</v>
      </c>
      <c r="B556">
        <f>IF($A556="","",games!$B556)</f>
        <v>2020</v>
      </c>
      <c r="C556" t="str">
        <f>IF($A556="","",games!$C556)</f>
        <v>Strategy</v>
      </c>
      <c r="D556">
        <f>IF($A556="","",COUNTIF(connections!$A$2:$A$1400,$A556)+COUNTIF(connections!$B$2:$B$1400,$A556))</f>
        <v>1</v>
      </c>
      <c r="E556">
        <f t="shared" si="104"/>
        <v>2</v>
      </c>
      <c r="F556">
        <f t="shared" si="105"/>
        <v>12</v>
      </c>
      <c r="G556" t="e">
        <f t="shared" si="106"/>
        <v>#N/A</v>
      </c>
      <c r="H556" t="e">
        <f t="shared" si="107"/>
        <v>#N/A</v>
      </c>
      <c r="I556">
        <f t="shared" si="108"/>
        <v>2020</v>
      </c>
      <c r="J556">
        <f t="shared" si="109"/>
        <v>2.2759999999999998</v>
      </c>
      <c r="K556" t="e">
        <f t="shared" si="110"/>
        <v>#N/A</v>
      </c>
      <c r="L556" t="e">
        <f t="shared" si="111"/>
        <v>#N/A</v>
      </c>
      <c r="M556" t="e">
        <f t="shared" si="112"/>
        <v>#N/A</v>
      </c>
      <c r="N556" t="e">
        <f t="shared" si="113"/>
        <v>#N/A</v>
      </c>
      <c r="O556">
        <f t="shared" si="114"/>
        <v>1.000556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Powder</v>
      </c>
      <c r="B557">
        <f>IF($A557="","",games!$B557)</f>
        <v>2003</v>
      </c>
      <c r="C557" t="str">
        <f>IF($A557="","",games!$C557)</f>
        <v>Traditional</v>
      </c>
      <c r="D557">
        <f>IF($A557="","",COUNTIF(connections!$A$2:$A$1400,$A557)+COUNTIF(connections!$B$2:$B$1400,$A557))</f>
        <v>11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2003</v>
      </c>
      <c r="N557">
        <f t="shared" si="113"/>
        <v>4.2990000000000004</v>
      </c>
      <c r="O557">
        <f t="shared" si="114"/>
        <v>11.000557000000001</v>
      </c>
      <c r="P557" t="str">
        <f>IF(OR($A557="",games!$H557=""),"",games!$H557)</f>
        <v>Yes</v>
      </c>
      <c r="Q557">
        <f t="shared" si="115"/>
        <v>11.000557000000001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Primordialis</v>
      </c>
      <c r="B558">
        <f>IF($A558="","",games!$B558)</f>
        <v>2024</v>
      </c>
      <c r="C558" t="str">
        <f>IF($A558="","",games!$C558)</f>
        <v>Action</v>
      </c>
      <c r="D558">
        <f>IF($A558="","",COUNTIF(connections!$A$2:$A$1400,$A558)+COUNTIF(connections!$B$2:$B$1400,$A558))</f>
        <v>1</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Pronoun Palace</v>
      </c>
      <c r="B559">
        <f>IF($A559="","",games!$B559)</f>
        <v>2026</v>
      </c>
      <c r="C559" t="str">
        <f>IF($A559="","",games!$C559)</f>
        <v>Strategy</v>
      </c>
      <c r="D559">
        <f>IF($A559="","",COUNTIF(connections!$A$2:$A$1400,$A559)+COUNTIF(connections!$B$2:$B$1400,$A559))</f>
        <v>2</v>
      </c>
      <c r="E559">
        <f t="shared" si="104"/>
        <v>2</v>
      </c>
      <c r="F559">
        <f t="shared" si="105"/>
        <v>15</v>
      </c>
      <c r="G559" t="e">
        <f t="shared" si="106"/>
        <v>#N/A</v>
      </c>
      <c r="H559" t="e">
        <f t="shared" si="107"/>
        <v>#N/A</v>
      </c>
      <c r="I559">
        <f t="shared" si="108"/>
        <v>2026</v>
      </c>
      <c r="J559">
        <f t="shared" si="109"/>
        <v>2.3449999999999998</v>
      </c>
      <c r="K559" t="e">
        <f t="shared" si="110"/>
        <v>#N/A</v>
      </c>
      <c r="L559" t="e">
        <f t="shared" si="111"/>
        <v>#N/A</v>
      </c>
      <c r="M559" t="e">
        <f t="shared" si="112"/>
        <v>#N/A</v>
      </c>
      <c r="N559" t="e">
        <f t="shared" si="113"/>
        <v>#N/A</v>
      </c>
      <c r="O559">
        <f t="shared" si="114"/>
        <v>2.000559</v>
      </c>
      <c r="P559" t="str">
        <f>IF(OR($A559="",games!$H559=""),"",games!$H559)</f>
        <v/>
      </c>
      <c r="Q559" t="str">
        <f t="shared" si="115"/>
        <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Putrid Shot Ultra</v>
      </c>
      <c r="B560">
        <f>IF($A560="","",games!$B560)</f>
        <v>2022</v>
      </c>
      <c r="C560" t="str">
        <f>IF($A560="","",games!$C560)</f>
        <v>Action</v>
      </c>
      <c r="D560">
        <f>IF($A560="","",COUNTIF(connections!$A$2:$A$1400,$A560)+COUNTIF(connections!$B$2:$B$1400,$A560))</f>
        <v>3</v>
      </c>
      <c r="E560">
        <f t="shared" si="104"/>
        <v>1</v>
      </c>
      <c r="F560">
        <f t="shared" si="105"/>
        <v>16</v>
      </c>
      <c r="G560">
        <f t="shared" si="106"/>
        <v>2022</v>
      </c>
      <c r="H560">
        <f t="shared" si="107"/>
        <v>1.3679999999999999</v>
      </c>
      <c r="I560" t="e">
        <f t="shared" si="108"/>
        <v>#N/A</v>
      </c>
      <c r="J560" t="e">
        <f t="shared" si="109"/>
        <v>#N/A</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Quasimorph</v>
      </c>
      <c r="B561">
        <f>IF($A561="","",games!$B561)</f>
        <v>2023</v>
      </c>
      <c r="C561" t="str">
        <f>IF($A561="","",games!$C561)</f>
        <v>Traditional</v>
      </c>
      <c r="D561">
        <f>IF($A561="","",COUNTIF(connections!$A$2:$A$1400,$A561)+COUNTIF(connections!$B$2:$B$1400,$A561))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2023</v>
      </c>
      <c r="N561">
        <f t="shared" si="113"/>
        <v>4.391</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Quest of Dungeons</v>
      </c>
      <c r="B562">
        <f>IF($A562="","",games!$B562)</f>
        <v>2014</v>
      </c>
      <c r="C562" t="str">
        <f>IF($A562="","",games!$C562)</f>
        <v>Traditional</v>
      </c>
      <c r="D562">
        <f>IF($A562="","",COUNTIF(connections!$A$2:$A$1400,$A562)+COUNTIF(connections!$B$2:$B$1400,$A562))</f>
        <v>2</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2014</v>
      </c>
      <c r="N562">
        <f t="shared" si="113"/>
        <v>4.4139999999999997</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Rabbit and Steel</v>
      </c>
      <c r="B563">
        <f>IF($A563="","",games!$B563)</f>
        <v>2024</v>
      </c>
      <c r="C563" t="str">
        <f>IF($A563="","",games!$C563)</f>
        <v>Action</v>
      </c>
      <c r="D563">
        <f>IF($A563="","",COUNTIF(connections!$A$2:$A$1400,$A563)+COUNTIF(connections!$B$2:$B$1400,$A563))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
      </c>
      <c r="Q563" t="str">
        <f t="shared" si="115"/>
        <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Raccoin: Coin Pusher Roguelike</v>
      </c>
      <c r="B564">
        <f>IF($A564="","",games!$B564)</f>
        <v>2026</v>
      </c>
      <c r="C564" t="str">
        <f>IF($A564="","",games!$C564)</f>
        <v>Deckbuilder</v>
      </c>
      <c r="D564">
        <f>IF($A564="","",COUNTIF(connections!$A$2:$A$1400,$A564)+COUNTIF(connections!$B$2:$B$1400,$A564))</f>
        <v>2</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2.0005639999999998</v>
      </c>
      <c r="P564" t="str">
        <f>IF(OR($A564="",games!$H564=""),"",games!$H564)</f>
        <v>Yes</v>
      </c>
      <c r="Q564">
        <f t="shared" si="115"/>
        <v>2.0005639999999998</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Rack and Slay</v>
      </c>
      <c r="B565">
        <f>IF($A565="","",games!$B565)</f>
        <v>2024</v>
      </c>
      <c r="C565" t="str">
        <f>IF($A565="","",games!$C565)</f>
        <v>Strategy</v>
      </c>
      <c r="D565">
        <f>IF($A565="","",COUNTIF(connections!$A$2:$A$1400,$A565)+COUNTIF(connections!$B$2:$B$1400,$A565))</f>
        <v>2</v>
      </c>
      <c r="E565">
        <f t="shared" si="104"/>
        <v>2</v>
      </c>
      <c r="F565">
        <f t="shared" si="105"/>
        <v>21</v>
      </c>
      <c r="G565" t="e">
        <f t="shared" si="106"/>
        <v>#N/A</v>
      </c>
      <c r="H565" t="e">
        <f t="shared" si="107"/>
        <v>#N/A</v>
      </c>
      <c r="I565">
        <f t="shared" si="108"/>
        <v>2024</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Ragnarok</v>
      </c>
      <c r="B566">
        <f>IF($A566="","",games!$B566)</f>
        <v>1992</v>
      </c>
      <c r="C566" t="str">
        <f>IF($A566="","",games!$C566)</f>
        <v>Traditional</v>
      </c>
      <c r="D566">
        <f>IF($A566="","",COUNTIF(connections!$A$2:$A$1400,$A566)+COUNTIF(connections!$B$2:$B$1400,$A566))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1992</v>
      </c>
      <c r="N566">
        <f t="shared" si="113"/>
        <v>4.5060000000000002</v>
      </c>
      <c r="O566">
        <f t="shared" si="114"/>
        <v>3.0005660000000001</v>
      </c>
      <c r="P566" t="str">
        <f>IF(OR($A566="",games!$H566=""),"",games!$H566)</f>
        <v>Yes</v>
      </c>
      <c r="Q566">
        <f t="shared" si="115"/>
        <v>3.0005660000000001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RAM: Random Access Mayhem</v>
      </c>
      <c r="B567">
        <f>IF($A567="","",games!$B567)</f>
        <v>2024</v>
      </c>
      <c r="C567" t="str">
        <f>IF($A567="","",games!$C567)</f>
        <v>Action</v>
      </c>
      <c r="D567">
        <f>IF($A567="","",COUNTIF(connections!$A$2:$A$1400,$A567)+COUNTIF(connections!$B$2:$B$1400,$A567))</f>
        <v>2</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
      </c>
      <c r="Q567" t="str">
        <f t="shared" si="115"/>
        <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Rampage Knights</v>
      </c>
      <c r="B568">
        <f>IF($A568="","",games!$B568)</f>
        <v>2015</v>
      </c>
      <c r="C568" t="str">
        <f>IF($A568="","",games!$C568)</f>
        <v>Action</v>
      </c>
      <c r="D568">
        <f>IF($A568="","",COUNTIF(connections!$A$2:$A$1400,$A568)+COUNTIF(connections!$B$2:$B$1400,$A568))</f>
        <v>1</v>
      </c>
      <c r="E568">
        <f t="shared" si="104"/>
        <v>1</v>
      </c>
      <c r="F568">
        <f t="shared" si="105"/>
        <v>24</v>
      </c>
      <c r="G568">
        <f t="shared" si="106"/>
        <v>2015</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Ratropolis</v>
      </c>
      <c r="B569">
        <f>IF($A569="","",games!$B569)</f>
        <v>2019</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2019</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Ravenswatch</v>
      </c>
      <c r="B570">
        <f>IF($A570="","",games!$B570)</f>
        <v>2023</v>
      </c>
      <c r="C570" t="str">
        <f>IF($A570="","",games!$C570)</f>
        <v>Action</v>
      </c>
      <c r="D570">
        <f>IF($A570="","",COUNTIF(connections!$A$2:$A$1400,$A570)+COUNTIF(connections!$B$2:$B$1400,$A570))</f>
        <v>2</v>
      </c>
      <c r="E570">
        <f t="shared" si="104"/>
        <v>1</v>
      </c>
      <c r="F570">
        <f t="shared" si="105"/>
        <v>26</v>
      </c>
      <c r="G570">
        <f t="shared" si="106"/>
        <v>2023</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Reality Break</v>
      </c>
      <c r="B571">
        <f>IF($A571="","",games!$B571)</f>
        <v>2025</v>
      </c>
      <c r="C571" t="str">
        <f>IF($A571="","",games!$C571)</f>
        <v>Action</v>
      </c>
      <c r="D571">
        <f>IF($A571="","",COUNTIF(connections!$A$2:$A$1400,$A571)+COUNTIF(connections!$B$2:$B$1400,$A571))</f>
        <v>2</v>
      </c>
      <c r="E571">
        <f t="shared" si="104"/>
        <v>1</v>
      </c>
      <c r="F571">
        <f t="shared" si="105"/>
        <v>27</v>
      </c>
      <c r="G571">
        <f t="shared" si="106"/>
        <v>2025</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Realm of Ink</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Realm of the Mad God</v>
      </c>
      <c r="B573">
        <f>IF($A573="","",games!$B573)</f>
        <v>2010</v>
      </c>
      <c r="C573" t="str">
        <f>IF($A573="","",games!$C573)</f>
        <v>Action</v>
      </c>
      <c r="D573">
        <f>IF($A573="","",COUNTIF(connections!$A$2:$A$1400,$A573)+COUNTIF(connections!$B$2:$B$1400,$A573))</f>
        <v>2</v>
      </c>
      <c r="E573">
        <f t="shared" si="104"/>
        <v>1</v>
      </c>
      <c r="F573">
        <f t="shared" si="105"/>
        <v>29</v>
      </c>
      <c r="G573">
        <f t="shared" si="106"/>
        <v>2010</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Red Rogue</v>
      </c>
      <c r="B574">
        <f>IF($A574="","",games!$B574)</f>
        <v>2012</v>
      </c>
      <c r="C574" t="str">
        <f>IF($A574="","",games!$C574)</f>
        <v>Action</v>
      </c>
      <c r="D574">
        <f>IF($A574="","",COUNTIF(connections!$A$2:$A$1400,$A574)+COUNTIF(connections!$B$2:$B$1400,$A574))</f>
        <v>3</v>
      </c>
      <c r="E574">
        <f t="shared" si="104"/>
        <v>1</v>
      </c>
      <c r="F574">
        <f t="shared" si="105"/>
        <v>30</v>
      </c>
      <c r="G574">
        <f t="shared" si="106"/>
        <v>2012</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Renowned Explorers: International Society</v>
      </c>
      <c r="B575">
        <f>IF($A575="","",games!$B575)</f>
        <v>2015</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2015</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Repetendium</v>
      </c>
      <c r="B576">
        <f>IF($A576="","",games!$B576)</f>
        <v>2022</v>
      </c>
      <c r="C576" t="str">
        <f>IF($A576="","",games!$C576)</f>
        <v>Action</v>
      </c>
      <c r="D576">
        <f>IF($A576="","",COUNTIF(connections!$A$2:$A$1400,$A576)+COUNTIF(connections!$B$2:$B$1400,$A576))</f>
        <v>1</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Replicat</v>
      </c>
      <c r="B577">
        <f>IF($A577="","",games!$B577)</f>
        <v>2025</v>
      </c>
      <c r="C577" t="str">
        <f>IF($A577="","",games!$C577)</f>
        <v>Deckbuilder</v>
      </c>
      <c r="D577">
        <f>IF($A577="","",COUNTIF(connections!$A$2:$A$1400,$A577)+COUNTIF(connections!$B$2:$B$1400,$A577))</f>
        <v>2</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Return to Abyss</v>
      </c>
      <c r="B578">
        <f>IF($A578="","",games!$B578)</f>
        <v>2023</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2023</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Returnal</v>
      </c>
      <c r="B579">
        <f>IF($A579="","",games!$B579)</f>
        <v>2023</v>
      </c>
      <c r="C579" t="str">
        <f>IF($A579="","",games!$C579)</f>
        <v>Action</v>
      </c>
      <c r="D579">
        <f>IF($A579="","",COUNTIF(connections!$A$2:$A$1400,$A579)+COUNTIF(connections!$B$2:$B$1400,$A579))</f>
        <v>2</v>
      </c>
      <c r="E579">
        <f t="shared" si="117"/>
        <v>1</v>
      </c>
      <c r="F579">
        <f t="shared" si="118"/>
        <v>1</v>
      </c>
      <c r="G579">
        <f t="shared" si="119"/>
        <v>2023</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Revita</v>
      </c>
      <c r="B580">
        <f>IF($A580="","",games!$B580)</f>
        <v>2021</v>
      </c>
      <c r="C580" t="str">
        <f>IF($A580="","",games!$C580)</f>
        <v>Action</v>
      </c>
      <c r="D580">
        <f>IF($A580="","",COUNTIF(connections!$A$2:$A$1400,$A580)+COUNTIF(connections!$B$2:$B$1400,$A580))</f>
        <v>1</v>
      </c>
      <c r="E580">
        <f t="shared" si="117"/>
        <v>1</v>
      </c>
      <c r="F580">
        <f t="shared" si="118"/>
        <v>2</v>
      </c>
      <c r="G580">
        <f t="shared" si="119"/>
        <v>2021</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Rhythm Witch: Beat Death</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Rift Wizard</v>
      </c>
      <c r="B582">
        <f>IF($A582="","",games!$B582)</f>
        <v>2020</v>
      </c>
      <c r="C582" t="str">
        <f>IF($A582="","",games!$C582)</f>
        <v>Traditional</v>
      </c>
      <c r="D582">
        <f>IF($A582="","",COUNTIF(connections!$A$2:$A$1400,$A582)+COUNTIF(connections!$B$2:$B$1400,$A582))</f>
        <v>6</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2020</v>
      </c>
      <c r="N582">
        <f t="shared" si="126"/>
        <v>4.0919999999999996</v>
      </c>
      <c r="O582">
        <f t="shared" si="127"/>
        <v>6.0005819999999996</v>
      </c>
      <c r="P582" t="str">
        <f>IF(OR($A582="",games!$H582=""),"",games!$H582)</f>
        <v>Yes</v>
      </c>
      <c r="Q582">
        <f t="shared" si="128"/>
        <v>6.0005819999999996</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Rift Wizard 2</v>
      </c>
      <c r="B583">
        <f>IF($A583="","",games!$B583)</f>
        <v>2024</v>
      </c>
      <c r="C583" t="str">
        <f>IF($A583="","",games!$C583)</f>
        <v>Traditional</v>
      </c>
      <c r="D583">
        <f>IF($A583="","",COUNTIF(connections!$A$2:$A$1400,$A583)+COUNTIF(connections!$B$2:$B$1400,$A583))</f>
        <v>2</v>
      </c>
      <c r="E583">
        <f t="shared" si="117"/>
        <v>4</v>
      </c>
      <c r="F583">
        <f t="shared" si="118"/>
        <v>5</v>
      </c>
      <c r="G583" t="e">
        <f t="shared" si="119"/>
        <v>#N/A</v>
      </c>
      <c r="H583" t="e">
        <f t="shared" si="120"/>
        <v>#N/A</v>
      </c>
      <c r="I583" t="e">
        <f t="shared" si="121"/>
        <v>#N/A</v>
      </c>
      <c r="J583" t="e">
        <f t="shared" si="122"/>
        <v>#N/A</v>
      </c>
      <c r="K583" t="e">
        <f t="shared" si="123"/>
        <v>#N/A</v>
      </c>
      <c r="L583" t="e">
        <f t="shared" si="124"/>
        <v>#N/A</v>
      </c>
      <c r="M583">
        <f t="shared" si="125"/>
        <v>2024</v>
      </c>
      <c r="N583">
        <f t="shared" si="126"/>
        <v>4.1150000000000002</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Rift Wizard 3</v>
      </c>
      <c r="B584">
        <f>IF($A584="","",games!$B584)</f>
        <v>2026</v>
      </c>
      <c r="C584" t="str">
        <f>IF($A584="","",games!$C584)</f>
        <v>Traditional</v>
      </c>
      <c r="D584">
        <f>IF($A584="","",COUNTIF(connections!$A$2:$A$1400,$A584)+COUNTIF(connections!$B$2:$B$1400,$A584))</f>
        <v>1</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2026</v>
      </c>
      <c r="N584">
        <f t="shared" si="126"/>
        <v>4.1379999999999999</v>
      </c>
      <c r="O584">
        <f t="shared" si="127"/>
        <v>1.0005839999999999</v>
      </c>
      <c r="P584" t="str">
        <f>IF(OR($A584="",games!$H584=""),"",games!$H584)</f>
        <v/>
      </c>
      <c r="Q584" t="str">
        <f t="shared" si="128"/>
        <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Right and Down</v>
      </c>
      <c r="B585">
        <f>IF($A585="","",games!$B585)</f>
        <v>2022</v>
      </c>
      <c r="C585" t="str">
        <f>IF($A585="","",games!$C585)</f>
        <v>Deckbuilder</v>
      </c>
      <c r="D585">
        <f>IF($A585="","",COUNTIF(connections!$A$2:$A$1400,$A585)+COUNTIF(connections!$B$2:$B$1400,$A585))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Ring of Pain</v>
      </c>
      <c r="B586">
        <f>IF($A586="","",games!$B586)</f>
        <v>2020</v>
      </c>
      <c r="C586" t="str">
        <f>IF($A586="","",games!$C586)</f>
        <v>Strategy</v>
      </c>
      <c r="D586">
        <f>IF($A586="","",COUNTIF(connections!$A$2:$A$1400,$A586)+COUNTIF(connections!$B$2:$B$1400,$A586))</f>
        <v>2</v>
      </c>
      <c r="E586">
        <f t="shared" si="117"/>
        <v>2</v>
      </c>
      <c r="F586">
        <f t="shared" si="118"/>
        <v>8</v>
      </c>
      <c r="G586" t="e">
        <f t="shared" si="119"/>
        <v>#N/A</v>
      </c>
      <c r="H586" t="e">
        <f t="shared" si="120"/>
        <v>#N/A</v>
      </c>
      <c r="I586">
        <f t="shared" si="121"/>
        <v>2020</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Ringer</v>
      </c>
      <c r="B587">
        <f>IF($A587="","",games!$B587)</f>
        <v>2025</v>
      </c>
      <c r="C587" t="str">
        <f>IF($A587="","",games!$C587)</f>
        <v>Deckbuilder</v>
      </c>
      <c r="D587">
        <f>IF($A587="","",COUNTIF(connections!$A$2:$A$1400,$A587)+COUNTIF(connections!$B$2:$B$1400,$A587))</f>
        <v>0</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Riptale</v>
      </c>
      <c r="B588">
        <f>IF($A588="","",games!$B588)</f>
        <v>2017</v>
      </c>
      <c r="C588" t="str">
        <f>IF($A588="","",games!$C588)</f>
        <v>Action</v>
      </c>
      <c r="D588">
        <f>IF($A588="","",COUNTIF(connections!$A$2:$A$1400,$A588)+COUNTIF(connections!$B$2:$B$1400,$A588))</f>
        <v>2</v>
      </c>
      <c r="E588">
        <f t="shared" si="117"/>
        <v>1</v>
      </c>
      <c r="F588">
        <f t="shared" si="118"/>
        <v>10</v>
      </c>
      <c r="G588">
        <f t="shared" si="119"/>
        <v>2017</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Risk of Rain</v>
      </c>
      <c r="B589">
        <f>IF($A589="","",games!$B589)</f>
        <v>2013</v>
      </c>
      <c r="C589" t="str">
        <f>IF($A589="","",games!$C589)</f>
        <v>Action</v>
      </c>
      <c r="D589">
        <f>IF($A589="","",COUNTIF(connections!$A$2:$A$1400,$A589)+COUNTIF(connections!$B$2:$B$1400,$A589))</f>
        <v>8</v>
      </c>
      <c r="E589">
        <f t="shared" si="117"/>
        <v>1</v>
      </c>
      <c r="F589">
        <f t="shared" si="118"/>
        <v>11</v>
      </c>
      <c r="G589">
        <f t="shared" si="119"/>
        <v>2013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8.0005889999999997</v>
      </c>
      <c r="P589" t="str">
        <f>IF(OR($A589="",games!$H589=""),"",games!$H589)</f>
        <v>Yes</v>
      </c>
      <c r="Q589">
        <f t="shared" si="128"/>
        <v>8.0005889999999997</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Risk of Rain 2</v>
      </c>
      <c r="B590">
        <f>IF($A590="","",games!$B590)</f>
        <v>2020</v>
      </c>
      <c r="C590" t="str">
        <f>IF($A590="","",games!$C590)</f>
        <v>Action</v>
      </c>
      <c r="D590">
        <f>IF($A590="","",COUNTIF(connections!$A$2:$A$1400,$A590)+COUNTIF(connections!$B$2:$B$1400,$A590))</f>
        <v>16</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16.000589999999999</v>
      </c>
      <c r="P590" t="str">
        <f>IF(OR($A590="",games!$H590=""),"",games!$H590)</f>
        <v>Yes</v>
      </c>
      <c r="Q590">
        <f t="shared" si="128"/>
        <v>16.000589999999999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Risk of Rain Returns</v>
      </c>
      <c r="B591">
        <f>IF($A591="","",games!$B591)</f>
        <v>2023</v>
      </c>
      <c r="C591" t="str">
        <f>IF($A591="","",games!$C591)</f>
        <v>Action</v>
      </c>
      <c r="D591">
        <f>IF($A591="","",COUNTIF(connections!$A$2:$A$1400,$A591)+COUNTIF(connections!$B$2:$B$1400,$A591))</f>
        <v>1</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Road Not Taken</v>
      </c>
      <c r="B592">
        <f>IF($A592="","",games!$B592)</f>
        <v>2014</v>
      </c>
      <c r="C592" t="str">
        <f>IF($A592="","",games!$C592)</f>
        <v>Strategy</v>
      </c>
      <c r="D592">
        <f>IF($A592="","",COUNTIF(connections!$A$2:$A$1400,$A592)+COUNTIF(connections!$B$2:$B$1400,$A592))</f>
        <v>2</v>
      </c>
      <c r="E592">
        <f t="shared" si="117"/>
        <v>2</v>
      </c>
      <c r="F592">
        <f t="shared" si="118"/>
        <v>14</v>
      </c>
      <c r="G592" t="e">
        <f t="shared" si="119"/>
        <v>#N/A</v>
      </c>
      <c r="H592" t="e">
        <f t="shared" si="120"/>
        <v>#N/A</v>
      </c>
      <c r="I592">
        <f t="shared" si="121"/>
        <v>2014</v>
      </c>
      <c r="J592">
        <f t="shared" si="122"/>
        <v>2.3220000000000001</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Roboquest</v>
      </c>
      <c r="B593">
        <f>IF($A593="","",games!$B593)</f>
        <v>2020</v>
      </c>
      <c r="C593" t="str">
        <f>IF($A593="","",games!$C593)</f>
        <v>Action</v>
      </c>
      <c r="D593">
        <f>IF($A593="","",COUNTIF(connections!$A$2:$A$1400,$A593)+COUNTIF(connections!$B$2:$B$1400,$A593))</f>
        <v>5</v>
      </c>
      <c r="E593">
        <f t="shared" si="117"/>
        <v>1</v>
      </c>
      <c r="F593">
        <f t="shared" si="118"/>
        <v>15</v>
      </c>
      <c r="G593">
        <f t="shared" si="119"/>
        <v>2020</v>
      </c>
      <c r="H593">
        <f t="shared" si="120"/>
        <v>1.345</v>
      </c>
      <c r="I593" t="e">
        <f t="shared" si="121"/>
        <v>#N/A</v>
      </c>
      <c r="J593" t="e">
        <f t="shared" si="122"/>
        <v>#N/A</v>
      </c>
      <c r="K593" t="e">
        <f t="shared" si="123"/>
        <v>#N/A</v>
      </c>
      <c r="L593" t="e">
        <f t="shared" si="124"/>
        <v>#N/A</v>
      </c>
      <c r="M593" t="e">
        <f t="shared" si="125"/>
        <v>#N/A</v>
      </c>
      <c r="N593" t="e">
        <f t="shared" si="126"/>
        <v>#N/A</v>
      </c>
      <c r="O593">
        <f t="shared" si="127"/>
        <v>5.0005930000000003</v>
      </c>
      <c r="P593" t="str">
        <f>IF(OR($A593="",games!$H593=""),"",games!$H593)</f>
        <v>Yes</v>
      </c>
      <c r="Q593">
        <f t="shared" si="128"/>
        <v>5.0005930000000003</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Rocket Rats</v>
      </c>
      <c r="B594">
        <f>IF($A594="","",games!$B594)</f>
        <v>2024</v>
      </c>
      <c r="C594" t="str">
        <f>IF($A594="","",games!$C594)</f>
        <v>Action</v>
      </c>
      <c r="D594">
        <f>IF($A594="","",COUNTIF(connections!$A$2:$A$1400,$A594)+COUNTIF(connections!$B$2:$B$1400,$A594))</f>
        <v>1</v>
      </c>
      <c r="E594">
        <f t="shared" si="117"/>
        <v>1</v>
      </c>
      <c r="F594">
        <f t="shared" si="118"/>
        <v>16</v>
      </c>
      <c r="G594">
        <f t="shared" si="119"/>
        <v>2024</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v>
      </c>
      <c r="B595">
        <f>IF($A595="","",games!$B595)</f>
        <v>1980</v>
      </c>
      <c r="C595" t="str">
        <f>IF($A595="","",games!$C595)</f>
        <v>Traditional</v>
      </c>
      <c r="D595">
        <f>IF($A595="","",COUNTIF(connections!$A$2:$A$1400,$A595)+COUNTIF(connections!$B$2:$B$1400,$A595))</f>
        <v>23</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1980</v>
      </c>
      <c r="N595">
        <f t="shared" si="126"/>
        <v>4.391</v>
      </c>
      <c r="O595">
        <f t="shared" si="127"/>
        <v>23.000595000000001</v>
      </c>
      <c r="P595" t="str">
        <f>IF(OR($A595="",games!$H595=""),"",games!$H595)</f>
        <v>Yes</v>
      </c>
      <c r="Q595">
        <f t="shared" si="128"/>
        <v>23.000595000000001</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Command</v>
      </c>
      <c r="B596">
        <f>IF($A596="","",games!$B596)</f>
        <v>2024</v>
      </c>
      <c r="C596" t="str">
        <f>IF($A596="","",games!$C596)</f>
        <v>Strategy</v>
      </c>
      <c r="D596">
        <f>IF($A596="","",COUNTIF(connections!$A$2:$A$1400,$A596)+COUNTIF(connections!$B$2:$B$1400,$A596))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Empire</v>
      </c>
      <c r="B597">
        <f>IF($A597="","",games!$B597)</f>
        <v>2019</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2019</v>
      </c>
      <c r="N597">
        <f t="shared" si="126"/>
        <v>4.4370000000000003</v>
      </c>
      <c r="O597">
        <f t="shared" si="127"/>
        <v>2.000597</v>
      </c>
      <c r="P597" t="str">
        <f>IF(OR($A597="",games!$H597=""),"",games!$H597)</f>
        <v/>
      </c>
      <c r="Q597" t="str">
        <f t="shared" si="128"/>
        <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Factory</v>
      </c>
      <c r="B598">
        <f>IF($A598="","",games!$B598)</f>
        <v>2026</v>
      </c>
      <c r="C598" t="str">
        <f>IF($A598="","",games!$C598)</f>
        <v>Action</v>
      </c>
      <c r="D598">
        <f>IF($A598="","",COUNTIF(connections!$A$2:$A$1400,$A598)+COUNTIF(connections!$B$2:$B$1400,$A598))</f>
        <v>2</v>
      </c>
      <c r="E598">
        <f t="shared" si="117"/>
        <v>1</v>
      </c>
      <c r="F598">
        <f t="shared" si="118"/>
        <v>20</v>
      </c>
      <c r="G598">
        <f t="shared" si="119"/>
        <v>2026</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Flight</v>
      </c>
      <c r="B599">
        <f>IF($A599="","",games!$B599)</f>
        <v>2024</v>
      </c>
      <c r="C599" t="str">
        <f>IF($A599="","",games!$C599)</f>
        <v>Action</v>
      </c>
      <c r="D599">
        <f>IF($A599="","",COUNTIF(connections!$A$2:$A$1400,$A599)+COUNTIF(connections!$B$2:$B$1400,$A599))</f>
        <v>0</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Hearts Dungeon</v>
      </c>
      <c r="B600">
        <f>IF($A600="","",games!$B600)</f>
        <v>2007</v>
      </c>
      <c r="C600" t="str">
        <f>IF($A600="","",games!$C600)</f>
        <v>Traditional</v>
      </c>
      <c r="D600">
        <f>IF($A600="","",COUNTIF(connections!$A$2:$A$1400,$A600)+COUNTIF(connections!$B$2:$B$1400,$A600))</f>
        <v>2</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2007</v>
      </c>
      <c r="N600">
        <f t="shared" si="126"/>
        <v>4.5060000000000002</v>
      </c>
      <c r="O600">
        <f t="shared" si="127"/>
        <v>2.0005999999999999</v>
      </c>
      <c r="P600" t="str">
        <f>IF(OR($A600="",games!$H600=""),"",games!$H600)</f>
        <v>Yes</v>
      </c>
      <c r="Q600">
        <f t="shared" si="128"/>
        <v>2.0005999999999999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Heroes: Ruins of Tasos</v>
      </c>
      <c r="B601">
        <f>IF($A601="","",games!$B601)</f>
        <v>2021</v>
      </c>
      <c r="C601" t="str">
        <f>IF($A601="","",games!$C601)</f>
        <v>Action</v>
      </c>
      <c r="D601">
        <f>IF($A601="","",COUNTIF(connections!$A$2:$A$1400,$A601)+COUNTIF(connections!$B$2:$B$1400,$A601))</f>
        <v>1</v>
      </c>
      <c r="E601">
        <f t="shared" si="117"/>
        <v>1</v>
      </c>
      <c r="F601">
        <f t="shared" si="118"/>
        <v>23</v>
      </c>
      <c r="G601">
        <f t="shared" si="119"/>
        <v>2021</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Legacy</v>
      </c>
      <c r="B602">
        <f>IF($A602="","",games!$B602)</f>
        <v>2013</v>
      </c>
      <c r="C602" t="str">
        <f>IF($A602="","",games!$C602)</f>
        <v>Action</v>
      </c>
      <c r="D602">
        <f>IF($A602="","",COUNTIF(connections!$A$2:$A$1400,$A602)+COUNTIF(connections!$B$2:$B$1400,$A602))</f>
        <v>14</v>
      </c>
      <c r="E602">
        <f t="shared" si="117"/>
        <v>1</v>
      </c>
      <c r="F602">
        <f t="shared" si="118"/>
        <v>24</v>
      </c>
      <c r="G602">
        <f t="shared" si="119"/>
        <v>2013</v>
      </c>
      <c r="H602">
        <f t="shared" si="120"/>
        <v>1.552</v>
      </c>
      <c r="I602" t="e">
        <f t="shared" si="121"/>
        <v>#N/A</v>
      </c>
      <c r="J602" t="e">
        <f t="shared" si="122"/>
        <v>#N/A</v>
      </c>
      <c r="K602" t="e">
        <f t="shared" si="123"/>
        <v>#N/A</v>
      </c>
      <c r="L602" t="e">
        <f t="shared" si="124"/>
        <v>#N/A</v>
      </c>
      <c r="M602" t="e">
        <f t="shared" si="125"/>
        <v>#N/A</v>
      </c>
      <c r="N602" t="e">
        <f t="shared" si="126"/>
        <v>#N/A</v>
      </c>
      <c r="O602">
        <f t="shared" si="127"/>
        <v>14.000602000000001</v>
      </c>
      <c r="P602" t="str">
        <f>IF(OR($A602="",games!$H602=""),"",games!$H602)</f>
        <v>Yes</v>
      </c>
      <c r="Q602">
        <f t="shared" si="128"/>
        <v>14.000602000000001</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Legacy 2</v>
      </c>
      <c r="B603">
        <f>IF($A603="","",games!$B603)</f>
        <v>2020</v>
      </c>
      <c r="C603" t="str">
        <f>IF($A603="","",games!$C603)</f>
        <v>Action</v>
      </c>
      <c r="D603">
        <f>IF($A603="","",COUNTIF(connections!$A$2:$A$1400,$A603)+COUNTIF(connections!$B$2:$B$1400,$A603))</f>
        <v>1</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Lords</v>
      </c>
      <c r="B604">
        <f>IF($A604="","",games!$B604)</f>
        <v>2021</v>
      </c>
      <c r="C604" t="str">
        <f>IF($A604="","",games!$C604)</f>
        <v>Strategy</v>
      </c>
      <c r="D604">
        <f>IF($A604="","",COUNTIF(connections!$A$2:$A$1400,$A604)+COUNTIF(connections!$B$2:$B$1400,$A604))</f>
        <v>1</v>
      </c>
      <c r="E604">
        <f t="shared" si="117"/>
        <v>2</v>
      </c>
      <c r="F604">
        <f t="shared" si="118"/>
        <v>26</v>
      </c>
      <c r="G604" t="e">
        <f t="shared" si="119"/>
        <v>#N/A</v>
      </c>
      <c r="H604" t="e">
        <f t="shared" si="120"/>
        <v>#N/A</v>
      </c>
      <c r="I604">
        <f t="shared" si="121"/>
        <v>2021</v>
      </c>
      <c r="J604">
        <f t="shared" si="122"/>
        <v>2.5979999999999999</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Tower</v>
      </c>
      <c r="B605">
        <f>IF($A605="","",games!$B605)</f>
        <v>2022</v>
      </c>
      <c r="C605" t="str">
        <f>IF($A605="","",games!$C605)</f>
        <v>Strategy</v>
      </c>
      <c r="D605">
        <f>IF($A605="","",COUNTIF(connections!$A$2:$A$1400,$A605)+COUNTIF(connections!$B$2:$B$1400,$A605))</f>
        <v>2</v>
      </c>
      <c r="E605">
        <f t="shared" si="117"/>
        <v>2</v>
      </c>
      <c r="F605">
        <f t="shared" si="118"/>
        <v>27</v>
      </c>
      <c r="G605" t="e">
        <f t="shared" si="119"/>
        <v>#N/A</v>
      </c>
      <c r="H605" t="e">
        <f t="shared" si="120"/>
        <v>#N/A</v>
      </c>
      <c r="I605">
        <f t="shared" si="121"/>
        <v>2022</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 Voltage</v>
      </c>
      <c r="B606">
        <f>IF($A606="","",games!$B606)</f>
        <v>2024</v>
      </c>
      <c r="C606" t="str">
        <f>IF($A606="","",games!$C606)</f>
        <v>Deckbuilder</v>
      </c>
      <c r="D606">
        <f>IF($A606="","",COUNTIF(connections!$A$2:$A$1400,$A606)+COUNTIF(connections!$B$2:$B$1400,$A606))</f>
        <v>4</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4.0006060000000003</v>
      </c>
      <c r="P606" t="str">
        <f>IF(OR($A606="",games!$H606=""),"",games!$H606)</f>
        <v/>
      </c>
      <c r="Q606" t="str">
        <f t="shared" si="128"/>
        <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 Wizards</v>
      </c>
      <c r="B607">
        <f>IF($A607="","",games!$B607)</f>
        <v>2016</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2016</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 Genesia</v>
      </c>
      <c r="B608">
        <f>IF($A608="","",games!$B608)</f>
        <v>2022</v>
      </c>
      <c r="C608" t="str">
        <f>IF($A608="","",games!$C608)</f>
        <v>Action</v>
      </c>
      <c r="D608">
        <f>IF($A608="","",COUNTIF(connections!$A$2:$A$1400,$A608)+COUNTIF(connections!$B$2:$B$1400,$A608))</f>
        <v>1</v>
      </c>
      <c r="E608">
        <f t="shared" si="117"/>
        <v>1</v>
      </c>
      <c r="F608">
        <f t="shared" si="118"/>
        <v>30</v>
      </c>
      <c r="G608">
        <f t="shared" si="119"/>
        <v>2022</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Roguebook</v>
      </c>
      <c r="B609">
        <f>IF($A609="","",games!$B609)</f>
        <v>2021</v>
      </c>
      <c r="C609" t="str">
        <f>IF($A609="","",games!$C609)</f>
        <v>Deckbuilder</v>
      </c>
      <c r="D609">
        <f>IF($A609="","",COUNTIF(connections!$A$2:$A$1400,$A609)+COUNTIF(connections!$B$2:$B$1400,$A609))</f>
        <v>3</v>
      </c>
      <c r="E609">
        <f t="shared" si="117"/>
        <v>3</v>
      </c>
      <c r="F609">
        <f t="shared" si="118"/>
        <v>31</v>
      </c>
      <c r="G609" t="e">
        <f t="shared" si="119"/>
        <v>#N/A</v>
      </c>
      <c r="H609" t="e">
        <f t="shared" si="120"/>
        <v>#N/A</v>
      </c>
      <c r="I609" t="e">
        <f t="shared" si="121"/>
        <v>#N/A</v>
      </c>
      <c r="J609" t="e">
        <f t="shared" si="122"/>
        <v>#N/A</v>
      </c>
      <c r="K609">
        <f t="shared" si="123"/>
        <v>2021</v>
      </c>
      <c r="L609">
        <f t="shared" si="124"/>
        <v>3.7130000000000001</v>
      </c>
      <c r="M609" t="e">
        <f t="shared" si="125"/>
        <v>#N/A</v>
      </c>
      <c r="N609" t="e">
        <f t="shared" si="126"/>
        <v>#N/A</v>
      </c>
      <c r="O609">
        <f t="shared" si="127"/>
        <v>3.0006089999999999</v>
      </c>
      <c r="P609" t="str">
        <f>IF(OR($A609="",games!$H609=""),"",games!$H609)</f>
        <v>Yes</v>
      </c>
      <c r="Q609">
        <f t="shared" si="128"/>
        <v>3.0006089999999999</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Rogue-Fp</v>
      </c>
      <c r="B610">
        <f>IF($A610="","",games!$B610)</f>
        <v>2023</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2023</v>
      </c>
      <c r="N610">
        <f t="shared" si="126"/>
        <v>4.7359999999999998</v>
      </c>
      <c r="O610">
        <f t="shared" si="127"/>
        <v>2.00061</v>
      </c>
      <c r="P610" t="str">
        <f>IF(OR($A610="",games!$H610=""),"",games!$H610)</f>
        <v/>
      </c>
      <c r="Q610" t="str">
        <f t="shared" si="128"/>
        <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RogueJack21</v>
      </c>
      <c r="B611">
        <f>IF($A611="","",games!$B611)</f>
        <v>2026</v>
      </c>
      <c r="C611" t="str">
        <f>IF($A611="","",games!$C611)</f>
        <v>Deckbuilder</v>
      </c>
      <c r="D611">
        <f>IF($A611="","",COUNTIF(connections!$A$2:$A$1400,$A611)+COUNTIF(connections!$B$2:$B$1400,$A611))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Rogue's Tale</v>
      </c>
      <c r="B612">
        <f>IF($A612="","",games!$B612)</f>
        <v>2014</v>
      </c>
      <c r="C612" t="str">
        <f>IF($A612="","",games!$C612)</f>
        <v>Traditional</v>
      </c>
      <c r="D612">
        <f>IF($A612="","",COUNTIF(connections!$A$2:$A$1400,$A612)+COUNTIF(connections!$B$2:$B$1400,$A612))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2014</v>
      </c>
      <c r="N612">
        <f t="shared" si="126"/>
        <v>4</v>
      </c>
      <c r="O612">
        <f t="shared" si="127"/>
        <v>1.0006120000000001</v>
      </c>
      <c r="P612" t="str">
        <f>IF(OR($A612="",games!$H612=""),"",games!$H612)</f>
        <v/>
      </c>
      <c r="Q612" t="str">
        <f t="shared" si="128"/>
        <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RogueSlide</v>
      </c>
      <c r="B613">
        <f>IF($A613="","",games!$B613)</f>
        <v>2022</v>
      </c>
      <c r="C613" t="str">
        <f>IF($A613="","",games!$C613)</f>
        <v>Strategy</v>
      </c>
      <c r="D613">
        <f>IF($A613="","",COUNTIF(connections!$A$2:$A$1400,$A613)+COUNTIF(connections!$B$2:$B$1400,$A613))</f>
        <v>0</v>
      </c>
      <c r="E613">
        <f t="shared" si="117"/>
        <v>2</v>
      </c>
      <c r="F613">
        <f t="shared" si="118"/>
        <v>1</v>
      </c>
      <c r="G613" t="e">
        <f t="shared" si="119"/>
        <v>#N/A</v>
      </c>
      <c r="H613" t="e">
        <f t="shared" si="120"/>
        <v>#N/A</v>
      </c>
      <c r="I613">
        <f t="shared" si="121"/>
        <v>2022</v>
      </c>
      <c r="J613">
        <f t="shared" si="122"/>
        <v>2.0230000000000001</v>
      </c>
      <c r="K613" t="e">
        <f t="shared" si="123"/>
        <v>#N/A</v>
      </c>
      <c r="L613" t="e">
        <f t="shared" si="124"/>
        <v>#N/A</v>
      </c>
      <c r="M613" t="e">
        <f t="shared" si="125"/>
        <v>#N/A</v>
      </c>
      <c r="N613" t="e">
        <f t="shared" si="126"/>
        <v>#N/A</v>
      </c>
      <c r="O613">
        <f t="shared" si="127"/>
        <v>6.1300000000000005E-4</v>
      </c>
      <c r="P613" t="str">
        <f>IF(OR($A613="",games!$H613=""),"",games!$H613)</f>
        <v>Yes</v>
      </c>
      <c r="Q613">
        <f t="shared" si="128"/>
        <v>6.1300000000000005E-4</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Roll</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RollScape</v>
      </c>
      <c r="B615">
        <f>IF($A615="","",games!$B615)</f>
        <v>2024</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Roulette Dungeon</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Roulette Hero</v>
      </c>
      <c r="B617">
        <f>IF($A617="","",games!$B617)</f>
        <v>2025</v>
      </c>
      <c r="C617" t="str">
        <f>IF($A617="","",games!$C617)</f>
        <v>Deckbuilder</v>
      </c>
      <c r="D617">
        <f>IF($A617="","",COUNTIF(connections!$A$2:$A$1400,$A617)+COUNTIF(connections!$B$2:$B$1400,$A617))</f>
        <v>4</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4.0006170000000001</v>
      </c>
      <c r="P617" t="str">
        <f>IF(OR($A617="",games!$H617=""),"",games!$H617)</f>
        <v/>
      </c>
      <c r="Q617" t="str">
        <f t="shared" si="128"/>
        <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Rounds</v>
      </c>
      <c r="B618">
        <f>IF($A618="","",games!$B618)</f>
        <v>2021</v>
      </c>
      <c r="C618" t="str">
        <f>IF($A618="","",games!$C618)</f>
        <v>Action</v>
      </c>
      <c r="D618">
        <f>IF($A618="","",COUNTIF(connections!$A$2:$A$1400,$A618)+COUNTIF(connections!$B$2:$B$1400,$A618))</f>
        <v>0</v>
      </c>
      <c r="E618">
        <f t="shared" si="117"/>
        <v>1</v>
      </c>
      <c r="F618">
        <f t="shared" si="118"/>
        <v>6</v>
      </c>
      <c r="G618">
        <f t="shared" si="119"/>
        <v>2021</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Rune Dice</v>
      </c>
      <c r="B619">
        <f>IF($A619="","",games!$B619)</f>
        <v>2026</v>
      </c>
      <c r="C619" t="str">
        <f>IF($A619="","",games!$C619)</f>
        <v>Deckbuilder</v>
      </c>
      <c r="D619">
        <f>IF($A619="","",COUNTIF(connections!$A$2:$A$1400,$A619)+COUNTIF(connections!$B$2:$B$1400,$A619))</f>
        <v>1</v>
      </c>
      <c r="E619">
        <f t="shared" si="117"/>
        <v>3</v>
      </c>
      <c r="F619">
        <f t="shared" si="118"/>
        <v>7</v>
      </c>
      <c r="G619" t="e">
        <f t="shared" si="119"/>
        <v>#N/A</v>
      </c>
      <c r="H619" t="e">
        <f t="shared" si="120"/>
        <v>#N/A</v>
      </c>
      <c r="I619" t="e">
        <f t="shared" si="121"/>
        <v>#N/A</v>
      </c>
      <c r="J619" t="e">
        <f t="shared" si="122"/>
        <v>#N/A</v>
      </c>
      <c r="K619">
        <f t="shared" si="123"/>
        <v>2026</v>
      </c>
      <c r="L619">
        <f t="shared" si="124"/>
        <v>3.161</v>
      </c>
      <c r="M619" t="e">
        <f t="shared" si="125"/>
        <v>#N/A</v>
      </c>
      <c r="N619" t="e">
        <f t="shared" si="126"/>
        <v>#N/A</v>
      </c>
      <c r="O619">
        <f t="shared" si="127"/>
        <v>1.0006189999999999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Runeborn</v>
      </c>
      <c r="B620">
        <f>IF($A620="","",games!$B620)</f>
        <v>2025</v>
      </c>
      <c r="C620" t="str">
        <f>IF($A620="","",games!$C620)</f>
        <v>Deckbuilder</v>
      </c>
      <c r="D620">
        <f>IF($A620="","",COUNTIF(connections!$A$2:$A$1400,$A620)+COUNTIF(connections!$B$2:$B$1400,$A620))</f>
        <v>2</v>
      </c>
      <c r="E620">
        <f t="shared" si="117"/>
        <v>3</v>
      </c>
      <c r="F620">
        <f t="shared" si="118"/>
        <v>8</v>
      </c>
      <c r="G620" t="e">
        <f t="shared" si="119"/>
        <v>#N/A</v>
      </c>
      <c r="H620" t="e">
        <f t="shared" si="120"/>
        <v>#N/A</v>
      </c>
      <c r="I620" t="e">
        <f t="shared" si="121"/>
        <v>#N/A</v>
      </c>
      <c r="J620" t="e">
        <f t="shared" si="122"/>
        <v>#N/A</v>
      </c>
      <c r="K620">
        <f t="shared" si="123"/>
        <v>2025</v>
      </c>
      <c r="L620">
        <f t="shared" si="124"/>
        <v>3.1840000000000002</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Runeveil</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Rungore</v>
      </c>
      <c r="B622">
        <f>IF($A622="","",games!$B622)</f>
        <v>2023</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2023</v>
      </c>
      <c r="L622">
        <f t="shared" si="124"/>
        <v>3.23</v>
      </c>
      <c r="M622" t="e">
        <f t="shared" si="125"/>
        <v>#N/A</v>
      </c>
      <c r="N622" t="e">
        <f t="shared" si="126"/>
        <v>#N/A</v>
      </c>
      <c r="O622">
        <f t="shared" si="127"/>
        <v>2.0006219999999999</v>
      </c>
      <c r="P622" t="str">
        <f>IF(OR($A622="",games!$H622=""),"",games!$H622)</f>
        <v/>
      </c>
      <c r="Q622" t="str">
        <f t="shared" si="128"/>
        <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Sanae no Chou Tokkyuu: The Express Trial</v>
      </c>
      <c r="B623">
        <f>IF($A623="","",games!$B623)</f>
        <v>2010</v>
      </c>
      <c r="C623" t="str">
        <f>IF($A623="","",games!$C623)</f>
        <v>Traditional</v>
      </c>
      <c r="D623">
        <f>IF($A623="","",COUNTIF(connections!$A$2:$A$1400,$A623)+COUNTIF(connections!$B$2:$B$1400,$A623))</f>
        <v>1</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2010</v>
      </c>
      <c r="N623">
        <f t="shared" si="126"/>
        <v>4.2530000000000001</v>
      </c>
      <c r="O623">
        <f t="shared" si="127"/>
        <v>1.000623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Sandwalkers</v>
      </c>
      <c r="B624">
        <f>IF($A624="","",games!$B624)</f>
        <v>2024</v>
      </c>
      <c r="C624" t="str">
        <f>IF($A624="","",games!$C624)</f>
        <v>Action</v>
      </c>
      <c r="D624">
        <f>IF($A624="","",COUNTIF(connections!$A$2:$A$1400,$A624)+COUNTIF(connections!$B$2:$B$1400,$A624))</f>
        <v>3</v>
      </c>
      <c r="E624">
        <f t="shared" si="117"/>
        <v>1</v>
      </c>
      <c r="F624">
        <f t="shared" si="118"/>
        <v>12</v>
      </c>
      <c r="G624">
        <f t="shared" si="119"/>
        <v>2024</v>
      </c>
      <c r="H624">
        <f t="shared" si="120"/>
        <v>1.276</v>
      </c>
      <c r="I624" t="e">
        <f t="shared" si="121"/>
        <v>#N/A</v>
      </c>
      <c r="J624" t="e">
        <f t="shared" si="122"/>
        <v>#N/A</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Scarlet Tower</v>
      </c>
      <c r="B625">
        <f>IF($A625="","",games!$B625)</f>
        <v>2022</v>
      </c>
      <c r="C625" t="str">
        <f>IF($A625="","",games!$C625)</f>
        <v>Action</v>
      </c>
      <c r="D625">
        <f>IF($A625="","",COUNTIF(connections!$A$2:$A$1400,$A625)+COUNTIF(connections!$B$2:$B$1400,$A625))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Schism</v>
      </c>
      <c r="B626">
        <f>IF($A626="","",games!$B626)</f>
        <v>2023</v>
      </c>
      <c r="C626" t="str">
        <f>IF($A626="","",games!$C626)</f>
        <v>Action</v>
      </c>
      <c r="D626">
        <f>IF($A626="","",COUNTIF(connections!$A$2:$A$1400,$A626)+COUNTIF(connections!$B$2:$B$1400,$A626))</f>
        <v>2</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Scourgebringer</v>
      </c>
      <c r="B627">
        <f>IF($A627="","",games!$B627)</f>
        <v>2020</v>
      </c>
      <c r="C627" t="str">
        <f>IF($A627="","",games!$C627)</f>
        <v>Action</v>
      </c>
      <c r="D627">
        <f>IF($A627="","",COUNTIF(connections!$A$2:$A$1400,$A627)+COUNTIF(connections!$B$2:$B$1400,$A627))</f>
        <v>7</v>
      </c>
      <c r="E627">
        <f t="shared" si="117"/>
        <v>1</v>
      </c>
      <c r="F627">
        <f t="shared" si="118"/>
        <v>15</v>
      </c>
      <c r="G627">
        <f t="shared" si="119"/>
        <v>2020</v>
      </c>
      <c r="H627">
        <f t="shared" si="120"/>
        <v>1.345</v>
      </c>
      <c r="I627" t="e">
        <f t="shared" si="121"/>
        <v>#N/A</v>
      </c>
      <c r="J627" t="e">
        <f t="shared" si="122"/>
        <v>#N/A</v>
      </c>
      <c r="K627" t="e">
        <f t="shared" si="123"/>
        <v>#N/A</v>
      </c>
      <c r="L627" t="e">
        <f t="shared" si="124"/>
        <v>#N/A</v>
      </c>
      <c r="M627" t="e">
        <f t="shared" si="125"/>
        <v>#N/A</v>
      </c>
      <c r="N627" t="e">
        <f t="shared" si="126"/>
        <v>#N/A</v>
      </c>
      <c r="O627">
        <f t="shared" si="127"/>
        <v>7.0006269999999997</v>
      </c>
      <c r="P627" t="str">
        <f>IF(OR($A627="",games!$H627=""),"",games!$H627)</f>
        <v>Yes</v>
      </c>
      <c r="Q627">
        <f t="shared" si="128"/>
        <v>7.0006269999999997</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Sea of Survivors</v>
      </c>
      <c r="B628">
        <f>IF($A628="","",games!$B628)</f>
        <v>2023</v>
      </c>
      <c r="C628" t="str">
        <f>IF($A628="","",games!$C628)</f>
        <v>Action</v>
      </c>
      <c r="D628">
        <f>IF($A628="","",COUNTIF(connections!$A$2:$A$1400,$A628)+COUNTIF(connections!$B$2:$B$1400,$A628))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Section 13</v>
      </c>
      <c r="B629">
        <f>IF($A629="","",games!$B629)</f>
        <v>2023</v>
      </c>
      <c r="C629" t="str">
        <f>IF($A629="","",games!$C629)</f>
        <v>Action</v>
      </c>
      <c r="D629">
        <f>IF($A629="","",COUNTIF(connections!$A$2:$A$1400,$A629)+COUNTIF(connections!$B$2:$B$1400,$A629))</f>
        <v>0</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6.29E-4</v>
      </c>
      <c r="P629" t="str">
        <f>IF(OR($A629="",games!$H629=""),"",games!$H629)</f>
        <v>Yes</v>
      </c>
      <c r="Q629">
        <f t="shared" si="128"/>
        <v>6.29E-4</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Seedborne Soldiers</v>
      </c>
      <c r="B630">
        <f>IF($A630="","",games!$B630)</f>
        <v>2025</v>
      </c>
      <c r="C630" t="str">
        <f>IF($A630="","",games!$C630)</f>
        <v>Strategy</v>
      </c>
      <c r="D630">
        <f>IF($A630="","",COUNTIF(connections!$A$2:$A$1400,$A630)+COUNTIF(connections!$B$2:$B$1400,$A630))</f>
        <v>2</v>
      </c>
      <c r="E630">
        <f t="shared" si="117"/>
        <v>2</v>
      </c>
      <c r="F630">
        <f t="shared" si="118"/>
        <v>18</v>
      </c>
      <c r="G630" t="e">
        <f t="shared" si="119"/>
        <v>#N/A</v>
      </c>
      <c r="H630" t="e">
        <f t="shared" si="120"/>
        <v>#N/A</v>
      </c>
      <c r="I630">
        <f t="shared" si="121"/>
        <v>2025</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Sephiria</v>
      </c>
      <c r="B631">
        <f>IF($A631="","",games!$B631)</f>
        <v>2025</v>
      </c>
      <c r="C631" t="str">
        <f>IF($A631="","",games!$C631)</f>
        <v>Action</v>
      </c>
      <c r="D631">
        <f>IF($A631="","",COUNTIF(connections!$A$2:$A$1400,$A631)+COUNTIF(connections!$B$2:$B$1400,$A631))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Seraph's Last Stand</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Serpent's Gaze</v>
      </c>
      <c r="B633">
        <f>IF($A633="","",games!$B633)</f>
        <v>2026</v>
      </c>
      <c r="C633" t="str">
        <f>IF($A633="","",games!$C633)</f>
        <v>Action</v>
      </c>
      <c r="D633">
        <f>IF($A633="","",COUNTIF(connections!$A$2:$A$1400,$A633)+COUNTIF(connections!$B$2:$B$1400,$A633))</f>
        <v>3</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Shadow of the Wyrm</v>
      </c>
      <c r="B634">
        <f>IF($A634="","",games!$B634)</f>
        <v>2015</v>
      </c>
      <c r="C634" t="str">
        <f>IF($A634="","",games!$C634)</f>
        <v>Traditional</v>
      </c>
      <c r="D634">
        <f>IF($A634="","",COUNTIF(connections!$A$2:$A$1400,$A634)+COUNTIF(connections!$B$2:$B$1400,$A634))</f>
        <v>2</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2015</v>
      </c>
      <c r="N634">
        <f t="shared" si="126"/>
        <v>4.5060000000000002</v>
      </c>
      <c r="O634">
        <f t="shared" si="127"/>
        <v>2.0006339999999998</v>
      </c>
      <c r="P634" t="str">
        <f>IF(OR($A634="",games!$H634=""),"",games!$H634)</f>
        <v>Yes</v>
      </c>
      <c r="Q634">
        <f t="shared" si="128"/>
        <v>2.0006339999999998</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Shadowveil: Legend of The Five Rings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Shape of Dreams</v>
      </c>
      <c r="B636">
        <f>IF($A636="","",games!$B636)</f>
        <v>2025</v>
      </c>
      <c r="C636" t="str">
        <f>IF($A636="","",games!$C636)</f>
        <v>Action</v>
      </c>
      <c r="D636">
        <f>IF($A636="","",COUNTIF(connections!$A$2:$A$1400,$A636)+COUNTIF(connections!$B$2:$B$1400,$A636))</f>
        <v>3</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
      </c>
      <c r="Q636" t="str">
        <f t="shared" si="128"/>
        <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Shape Shifter: Formations</v>
      </c>
      <c r="B637">
        <f>IF($A637="","",games!$B637)</f>
        <v>2023</v>
      </c>
      <c r="C637" t="str">
        <f>IF($A637="","",games!$C637)</f>
        <v>Action</v>
      </c>
      <c r="D637">
        <f>IF($A637="","",COUNTIF(connections!$A$2:$A$1400,$A637)+COUNTIF(connections!$B$2:$B$1400,$A637))</f>
        <v>2</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Shattered Pixel Dungeon</v>
      </c>
      <c r="B638">
        <f>IF($A638="","",games!$B638)</f>
        <v>2014</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2014</v>
      </c>
      <c r="N638">
        <f t="shared" si="126"/>
        <v>4.5979999999999999</v>
      </c>
      <c r="O638">
        <f t="shared" si="127"/>
        <v>2.0006379999999999</v>
      </c>
      <c r="P638" t="str">
        <f>IF(OR($A638="",games!$H638=""),"",games!$H638)</f>
        <v/>
      </c>
      <c r="Q638" t="str">
        <f t="shared" si="128"/>
        <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Ship of Fools</v>
      </c>
      <c r="B639">
        <f>IF($A639="","",games!$B639)</f>
        <v>2022</v>
      </c>
      <c r="C639" t="str">
        <f>IF($A639="","",games!$C639)</f>
        <v>Action</v>
      </c>
      <c r="D639">
        <f>IF($A639="","",COUNTIF(connections!$A$2:$A$1400,$A639)+COUNTIF(connections!$B$2:$B$1400,$A639))</f>
        <v>3</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3.0006390000000001</v>
      </c>
      <c r="P639" t="str">
        <f>IF(OR($A639="",games!$H639=""),"",games!$H639)</f>
        <v>Yes</v>
      </c>
      <c r="Q639">
        <f t="shared" si="128"/>
        <v>3.0006390000000001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(2008)</v>
      </c>
      <c r="B640">
        <f>IF($A640="","",games!$B640)</f>
        <v>2008</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2008</v>
      </c>
      <c r="N640">
        <f t="shared" si="126"/>
        <v>4.6440000000000001</v>
      </c>
      <c r="O640">
        <f t="shared" si="127"/>
        <v>2.0006400000000002</v>
      </c>
      <c r="P640" t="str">
        <f>IF(OR($A640="",games!$H640=""),"",games!$H640)</f>
        <v>Yes</v>
      </c>
      <c r="Q640">
        <f t="shared" si="128"/>
        <v>2.0006400000000002</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2: Shiren's Castle and the Oni Invasion</v>
      </c>
      <c r="B641">
        <f>IF($A641="","",games!$B641)</f>
        <v>2000</v>
      </c>
      <c r="C641" t="str">
        <f>IF($A641="","",games!$C641)</f>
        <v>Traditional</v>
      </c>
      <c r="D641">
        <f>IF($A641="","",COUNTIF(connections!$A$2:$A$1400,$A641)+COUNTIF(connections!$B$2:$B$1400,$A641))</f>
        <v>3</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2000</v>
      </c>
      <c r="N641">
        <f t="shared" si="126"/>
        <v>4.6669999999999998</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4: The Eye of God and the Devil's Navel</v>
      </c>
      <c r="B642">
        <f>IF($A642="","",games!$B642)</f>
        <v>2010</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Gaiden: Asuka the Swordswoman</v>
      </c>
      <c r="B643">
        <f>IF($A643="","",games!$B643)</f>
        <v>2002</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2002</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GB: Monster of Moonlight Village</v>
      </c>
      <c r="B644">
        <f>IF($A644="","",games!$B644)</f>
        <v>1996</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1996</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Shiren the Wanderer GB2: Magic Castle of the Desert</v>
      </c>
      <c r="B645">
        <f>IF($A645="","",games!$B645)</f>
        <v>2001</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2001</v>
      </c>
      <c r="N645">
        <f t="shared" si="139"/>
        <v>4.7590000000000003</v>
      </c>
      <c r="O645">
        <f t="shared" si="140"/>
        <v>1.000645</v>
      </c>
      <c r="P645" t="str">
        <f>IF(OR($A645="",games!$H645=""),"",games!$H645)</f>
        <v>Yes</v>
      </c>
      <c r="Q645">
        <f t="shared" si="141"/>
        <v>1.000645</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Shiren the Wanderer: The Mystery Dungeon of Serpentcoil Island</v>
      </c>
      <c r="B646">
        <f>IF($A646="","",games!$B646)</f>
        <v>2024</v>
      </c>
      <c r="C646" t="str">
        <f>IF($A646="","",games!$C646)</f>
        <v>Traditional</v>
      </c>
      <c r="D646">
        <f>IF($A646="","",COUNTIF(connections!$A$2:$A$1400,$A646)+COUNTIF(connections!$B$2:$B$1400,$A646))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2024</v>
      </c>
      <c r="N646">
        <f t="shared" si="139"/>
        <v>4</v>
      </c>
      <c r="O646">
        <f t="shared" si="140"/>
        <v>1.0006459999999999</v>
      </c>
      <c r="P646" t="str">
        <f>IF(OR($A646="",games!$H646=""),"",games!$H646)</f>
        <v>Yes</v>
      </c>
      <c r="Q646">
        <f t="shared" si="141"/>
        <v>1.0006459999999999</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The Tower of Fortune and the Dice of Fate</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Shogun Showdown</v>
      </c>
      <c r="B648">
        <f>IF($A648="","",games!$B648)</f>
        <v>2023</v>
      </c>
      <c r="C648" t="str">
        <f>IF($A648="","",games!$C648)</f>
        <v>Strategy</v>
      </c>
      <c r="D648">
        <f>IF($A648="","",COUNTIF(connections!$A$2:$A$1400,$A648)+COUNTIF(connections!$B$2:$B$1400,$A648))</f>
        <v>5</v>
      </c>
      <c r="E648">
        <f t="shared" si="130"/>
        <v>2</v>
      </c>
      <c r="F648">
        <f t="shared" si="131"/>
        <v>2</v>
      </c>
      <c r="G648" t="e">
        <f t="shared" si="132"/>
        <v>#N/A</v>
      </c>
      <c r="H648" t="e">
        <f t="shared" si="133"/>
        <v>#N/A</v>
      </c>
      <c r="I648">
        <f t="shared" si="134"/>
        <v>2023</v>
      </c>
      <c r="J648">
        <f t="shared" si="135"/>
        <v>2.0459999999999998</v>
      </c>
      <c r="K648" t="e">
        <f t="shared" si="136"/>
        <v>#N/A</v>
      </c>
      <c r="L648" t="e">
        <f t="shared" si="137"/>
        <v>#N/A</v>
      </c>
      <c r="M648" t="e">
        <f t="shared" si="138"/>
        <v>#N/A</v>
      </c>
      <c r="N648" t="e">
        <f t="shared" si="139"/>
        <v>#N/A</v>
      </c>
      <c r="O648">
        <f t="shared" si="140"/>
        <v>5.000648</v>
      </c>
      <c r="P648" t="str">
        <f>IF(OR($A648="",games!$H648=""),"",games!$H648)</f>
        <v>Yes</v>
      </c>
      <c r="Q648">
        <f t="shared" si="141"/>
        <v>5.000648</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Shoot First</v>
      </c>
      <c r="B649">
        <f>IF($A649="","",games!$B649)</f>
        <v>2010</v>
      </c>
      <c r="C649" t="str">
        <f>IF($A649="","",games!$C649)</f>
        <v>Action</v>
      </c>
      <c r="D649">
        <f>IF($A649="","",COUNTIF(connections!$A$2:$A$1400,$A649)+COUNTIF(connections!$B$2:$B$1400,$A649))</f>
        <v>1</v>
      </c>
      <c r="E649">
        <f t="shared" si="130"/>
        <v>1</v>
      </c>
      <c r="F649">
        <f t="shared" si="131"/>
        <v>3</v>
      </c>
      <c r="G649">
        <f t="shared" si="132"/>
        <v>2010</v>
      </c>
      <c r="H649">
        <f t="shared" si="133"/>
        <v>1.069</v>
      </c>
      <c r="I649" t="e">
        <f t="shared" si="134"/>
        <v>#N/A</v>
      </c>
      <c r="J649" t="e">
        <f t="shared" si="135"/>
        <v>#N/A</v>
      </c>
      <c r="K649" t="e">
        <f t="shared" si="136"/>
        <v>#N/A</v>
      </c>
      <c r="L649" t="e">
        <f t="shared" si="137"/>
        <v>#N/A</v>
      </c>
      <c r="M649" t="e">
        <f t="shared" si="138"/>
        <v>#N/A</v>
      </c>
      <c r="N649" t="e">
        <f t="shared" si="139"/>
        <v>#N/A</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Shotgun King: The Final Checkmate</v>
      </c>
      <c r="B650">
        <f>IF($A650="","",games!$B650)</f>
        <v>2022</v>
      </c>
      <c r="C650" t="str">
        <f>IF($A650="","",games!$C650)</f>
        <v>Strategy</v>
      </c>
      <c r="D650">
        <f>IF($A650="","",COUNTIF(connections!$A$2:$A$1400,$A650)+COUNTIF(connections!$B$2:$B$1400,$A650))</f>
        <v>3</v>
      </c>
      <c r="E650">
        <f t="shared" si="130"/>
        <v>2</v>
      </c>
      <c r="F650">
        <f t="shared" si="131"/>
        <v>4</v>
      </c>
      <c r="G650" t="e">
        <f t="shared" si="132"/>
        <v>#N/A</v>
      </c>
      <c r="H650" t="e">
        <f t="shared" si="133"/>
        <v>#N/A</v>
      </c>
      <c r="I650">
        <f t="shared" si="134"/>
        <v>2022</v>
      </c>
      <c r="J650">
        <f t="shared" si="135"/>
        <v>2.0920000000000001</v>
      </c>
      <c r="K650" t="e">
        <f t="shared" si="136"/>
        <v>#N/A</v>
      </c>
      <c r="L650" t="e">
        <f t="shared" si="137"/>
        <v>#N/A</v>
      </c>
      <c r="M650" t="e">
        <f t="shared" si="138"/>
        <v>#N/A</v>
      </c>
      <c r="N650" t="e">
        <f t="shared" si="139"/>
        <v>#N/A</v>
      </c>
      <c r="O650">
        <f t="shared" si="140"/>
        <v>3.0006499999999998</v>
      </c>
      <c r="P650" t="str">
        <f>IF(OR($A650="",games!$H650=""),"",games!$H650)</f>
        <v>Yes</v>
      </c>
      <c r="Q650">
        <f t="shared" si="141"/>
        <v>3.0006499999999998</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Shovel Knight Dig</v>
      </c>
      <c r="B651">
        <f>IF($A651="","",games!$B651)</f>
        <v>2022</v>
      </c>
      <c r="C651" t="str">
        <f>IF($A651="","",games!$C651)</f>
        <v>Action</v>
      </c>
      <c r="D651">
        <f>IF($A651="","",COUNTIF(connections!$A$2:$A$1400,$A651)+COUNTIF(connections!$B$2:$B$1400,$A651))</f>
        <v>2</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2.000651</v>
      </c>
      <c r="P651" t="str">
        <f>IF(OR($A651="",games!$H651=""),"",games!$H651)</f>
        <v/>
      </c>
      <c r="Q651" t="str">
        <f t="shared" si="141"/>
        <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Sil</v>
      </c>
      <c r="B652">
        <f>IF($A652="","",games!$B652)</f>
        <v>2012</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2012</v>
      </c>
      <c r="N652">
        <f t="shared" si="139"/>
        <v>4.1379999999999999</v>
      </c>
      <c r="O652">
        <f t="shared" si="140"/>
        <v>1.0006520000000001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Sir, We Have an Orc Problem</v>
      </c>
      <c r="B653">
        <f>IF($A653="","",games!$B653)</f>
        <v>2026</v>
      </c>
      <c r="C653" t="str">
        <f>IF($A653="","",games!$C653)</f>
        <v>Strategy</v>
      </c>
      <c r="D653">
        <f>IF($A653="","",COUNTIF(connections!$A$2:$A$1400,$A653)+COUNTIF(connections!$B$2:$B$1400,$A653))</f>
        <v>1</v>
      </c>
      <c r="E653">
        <f t="shared" si="130"/>
        <v>2</v>
      </c>
      <c r="F653">
        <f t="shared" si="131"/>
        <v>7</v>
      </c>
      <c r="G653" t="e">
        <f t="shared" si="132"/>
        <v>#N/A</v>
      </c>
      <c r="H653" t="e">
        <f t="shared" si="133"/>
        <v>#N/A</v>
      </c>
      <c r="I653">
        <f t="shared" si="134"/>
        <v>2026</v>
      </c>
      <c r="J653">
        <f t="shared" si="135"/>
        <v>2.161</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Skul: The Hero Slayer</v>
      </c>
      <c r="B654">
        <f>IF($A654="","",games!$B654)</f>
        <v>2020</v>
      </c>
      <c r="C654" t="str">
        <f>IF($A654="","",games!$C654)</f>
        <v>Action</v>
      </c>
      <c r="D654">
        <f>IF($A654="","",COUNTIF(connections!$A$2:$A$1400,$A654)+COUNTIF(connections!$B$2:$B$1400,$A654))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Skull Horde</v>
      </c>
      <c r="B655">
        <f>IF($A655="","",games!$B655)</f>
        <v>2026</v>
      </c>
      <c r="C655" t="str">
        <f>IF($A655="","",games!$C655)</f>
        <v>Action</v>
      </c>
      <c r="D655">
        <f>IF($A655="","",COUNTIF(connections!$A$2:$A$1400,$A655)+COUNTIF(connections!$B$2:$B$1400,$A655))</f>
        <v>3</v>
      </c>
      <c r="E655">
        <f t="shared" si="130"/>
        <v>1</v>
      </c>
      <c r="F655">
        <f t="shared" si="131"/>
        <v>9</v>
      </c>
      <c r="G655">
        <f t="shared" si="132"/>
        <v>2026</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Sky Rogue</v>
      </c>
      <c r="B656">
        <f>IF($A656="","",games!$B656)</f>
        <v>2014</v>
      </c>
      <c r="C656" t="str">
        <f>IF($A656="","",games!$C656)</f>
        <v>Action</v>
      </c>
      <c r="D656">
        <f>IF($A656="","",COUNTIF(connections!$A$2:$A$1400,$A656)+COUNTIF(connections!$B$2:$B$1400,$A656))</f>
        <v>1</v>
      </c>
      <c r="E656">
        <f t="shared" si="130"/>
        <v>1</v>
      </c>
      <c r="F656">
        <f t="shared" si="131"/>
        <v>10</v>
      </c>
      <c r="G656">
        <f t="shared" si="132"/>
        <v>2014</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Sky's The Limit MAH-JONG</v>
      </c>
      <c r="B657">
        <f>IF($A657="","",games!$B657)</f>
        <v>2024</v>
      </c>
      <c r="C657" t="str">
        <f>IF($A657="","",games!$C657)</f>
        <v>Deckbuilder</v>
      </c>
      <c r="D657">
        <f>IF($A657="","",COUNTIF(connections!$A$2:$A$1400,$A657)+COUNTIF(connections!$B$2:$B$1400,$A657))</f>
        <v>1</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1.0006569999999999</v>
      </c>
      <c r="P657" t="str">
        <f>IF(OR($A657="",games!$H657=""),"",games!$H657)</f>
        <v>Yes</v>
      </c>
      <c r="Q657">
        <f t="shared" si="141"/>
        <v>1.0006569999999999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Slash'EM</v>
      </c>
      <c r="B658">
        <f>IF($A658="","",games!$B658)</f>
        <v>2006</v>
      </c>
      <c r="C658" t="str">
        <f>IF($A658="","",games!$C658)</f>
        <v>Traditional</v>
      </c>
      <c r="D658">
        <f>IF($A658="","",COUNTIF(connections!$A$2:$A$1400,$A658)+COUNTIF(connections!$B$2:$B$1400,$A658))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2006</v>
      </c>
      <c r="N658">
        <f t="shared" si="139"/>
        <v>4.2759999999999998</v>
      </c>
      <c r="O658">
        <f t="shared" si="140"/>
        <v>2.000658</v>
      </c>
      <c r="P658" t="str">
        <f>IF(OR($A658="",games!$H658=""),"",games!$H658)</f>
        <v>Yes</v>
      </c>
      <c r="Q658">
        <f t="shared" si="141"/>
        <v>2.000658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Slasher's Keep</v>
      </c>
      <c r="B659">
        <f>IF($A659="","",games!$B659)</f>
        <v>2018</v>
      </c>
      <c r="C659" t="str">
        <f>IF($A659="","",games!$C659)</f>
        <v>Action</v>
      </c>
      <c r="D659">
        <f>IF($A659="","",COUNTIF(connections!$A$2:$A$1400,$A659)+COUNTIF(connections!$B$2:$B$1400,$A659))</f>
        <v>0</v>
      </c>
      <c r="E659">
        <f t="shared" si="130"/>
        <v>1</v>
      </c>
      <c r="F659">
        <f t="shared" si="131"/>
        <v>13</v>
      </c>
      <c r="G659">
        <f t="shared" si="132"/>
        <v>2018</v>
      </c>
      <c r="H659">
        <f t="shared" si="133"/>
        <v>1.2989999999999999</v>
      </c>
      <c r="I659" t="e">
        <f t="shared" si="134"/>
        <v>#N/A</v>
      </c>
      <c r="J659" t="e">
        <f t="shared" si="135"/>
        <v>#N/A</v>
      </c>
      <c r="K659" t="e">
        <f t="shared" si="136"/>
        <v>#N/A</v>
      </c>
      <c r="L659" t="e">
        <f t="shared" si="137"/>
        <v>#N/A</v>
      </c>
      <c r="M659" t="e">
        <f t="shared" si="138"/>
        <v>#N/A</v>
      </c>
      <c r="N659" t="e">
        <f t="shared" si="139"/>
        <v>#N/A</v>
      </c>
      <c r="O659">
        <f t="shared" si="140"/>
        <v>6.5899999999999997E-4</v>
      </c>
      <c r="P659" t="str">
        <f>IF(OR($A659="",games!$H659=""),"",games!$H659)</f>
        <v>Yes</v>
      </c>
      <c r="Q659">
        <f t="shared" si="141"/>
        <v>6.5899999999999997E-4</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Slay the Spire</v>
      </c>
      <c r="B660">
        <f>IF($A660="","",games!$B660)</f>
        <v>2017</v>
      </c>
      <c r="C660" t="str">
        <f>IF($A660="","",games!$C660)</f>
        <v>Deckbuilder</v>
      </c>
      <c r="D660">
        <f>IF($A660="","",COUNTIF(connections!$A$2:$A$1400,$A660)+COUNTIF(connections!$B$2:$B$1400,$A660))</f>
        <v>145</v>
      </c>
      <c r="E660">
        <f t="shared" si="130"/>
        <v>3</v>
      </c>
      <c r="F660">
        <f t="shared" si="131"/>
        <v>14</v>
      </c>
      <c r="G660" t="e">
        <f t="shared" si="132"/>
        <v>#N/A</v>
      </c>
      <c r="H660" t="e">
        <f t="shared" si="133"/>
        <v>#N/A</v>
      </c>
      <c r="I660" t="e">
        <f t="shared" si="134"/>
        <v>#N/A</v>
      </c>
      <c r="J660" t="e">
        <f t="shared" si="135"/>
        <v>#N/A</v>
      </c>
      <c r="K660">
        <f t="shared" si="136"/>
        <v>2017</v>
      </c>
      <c r="L660">
        <f t="shared" si="137"/>
        <v>3.3220000000000001</v>
      </c>
      <c r="M660" t="e">
        <f t="shared" si="138"/>
        <v>#N/A</v>
      </c>
      <c r="N660" t="e">
        <f t="shared" si="139"/>
        <v>#N/A</v>
      </c>
      <c r="O660">
        <f t="shared" si="140"/>
        <v>145.00066000000001</v>
      </c>
      <c r="P660" t="str">
        <f>IF(OR($A660="",games!$H660=""),"",games!$H660)</f>
        <v>Yes</v>
      </c>
      <c r="Q660">
        <f t="shared" si="141"/>
        <v>145.00066000000001</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Slay the Spire 2</v>
      </c>
      <c r="B661">
        <f>IF($A661="","",games!$B661)</f>
        <v>2026</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Slice &amp; Dice</v>
      </c>
      <c r="B662">
        <f>IF($A662="","",games!$B662)</f>
        <v>2018</v>
      </c>
      <c r="C662" t="str">
        <f>IF($A662="","",games!$C662)</f>
        <v>Strategy</v>
      </c>
      <c r="D662">
        <f>IF($A662="","",COUNTIF(connections!$A$2:$A$1400,$A662)+COUNTIF(connections!$B$2:$B$1400,$A662))</f>
        <v>4</v>
      </c>
      <c r="E662">
        <f t="shared" si="130"/>
        <v>2</v>
      </c>
      <c r="F662">
        <f t="shared" si="131"/>
        <v>16</v>
      </c>
      <c r="G662" t="e">
        <f t="shared" si="132"/>
        <v>#N/A</v>
      </c>
      <c r="H662" t="e">
        <f t="shared" si="133"/>
        <v>#N/A</v>
      </c>
      <c r="I662">
        <f t="shared" si="134"/>
        <v>2018</v>
      </c>
      <c r="J662">
        <f t="shared" si="135"/>
        <v>2.3679999999999999</v>
      </c>
      <c r="K662" t="e">
        <f t="shared" si="136"/>
        <v>#N/A</v>
      </c>
      <c r="L662" t="e">
        <f t="shared" si="137"/>
        <v>#N/A</v>
      </c>
      <c r="M662" t="e">
        <f t="shared" si="138"/>
        <v>#N/A</v>
      </c>
      <c r="N662" t="e">
        <f t="shared" si="139"/>
        <v>#N/A</v>
      </c>
      <c r="O662">
        <f t="shared" si="140"/>
        <v>4.0006620000000002</v>
      </c>
      <c r="P662" t="str">
        <f>IF(OR($A662="",games!$H662=""),"",games!$H662)</f>
        <v>Yes</v>
      </c>
      <c r="Q662">
        <f t="shared" si="141"/>
        <v>4.0006620000000002</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Slime 3K: Rise Against Despot</v>
      </c>
      <c r="B663">
        <f>IF($A663="","",games!$B663)</f>
        <v>2023</v>
      </c>
      <c r="C663" t="str">
        <f>IF($A663="","",games!$C663)</f>
        <v>Action</v>
      </c>
      <c r="D663">
        <f>IF($A663="","",COUNTIF(connections!$A$2:$A$1400,$A663)+COUNTIF(connections!$B$2:$B$1400,$A663))</f>
        <v>3</v>
      </c>
      <c r="E663">
        <f t="shared" si="130"/>
        <v>1</v>
      </c>
      <c r="F663">
        <f t="shared" si="131"/>
        <v>17</v>
      </c>
      <c r="G663">
        <f t="shared" si="132"/>
        <v>2023</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Slot &amp; Dungeons</v>
      </c>
      <c r="B664">
        <f>IF($A664="","",games!$B664)</f>
        <v>2025</v>
      </c>
      <c r="C664" t="str">
        <f>IF($A664="","",games!$C664)</f>
        <v>Deckbuilder</v>
      </c>
      <c r="D664">
        <f>IF($A664="","",COUNTIF(connections!$A$2:$A$1400,$A664)+COUNTIF(connections!$B$2:$B$1400,$A664))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Slot or Not</v>
      </c>
      <c r="B665">
        <f>IF($A665="","",games!$B665)</f>
        <v>2026</v>
      </c>
      <c r="C665" t="str">
        <f>IF($A665="","",games!$C665)</f>
        <v>Deckbuilder</v>
      </c>
      <c r="D665">
        <f>IF($A665="","",COUNTIF(connections!$A$2:$A$1400,$A665)+COUNTIF(connections!$B$2:$B$1400,$A665))</f>
        <v>2</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Slots &amp; Daggers</v>
      </c>
      <c r="B666">
        <f>IF($A666="","",games!$B666)</f>
        <v>2025</v>
      </c>
      <c r="C666" t="str">
        <f>IF($A666="","",games!$C666)</f>
        <v>Deckbuilder</v>
      </c>
      <c r="D666">
        <f>IF($A666="","",COUNTIF(connections!$A$2:$A$1400,$A666)+COUNTIF(connections!$B$2:$B$1400,$A666))</f>
        <v>0</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SNKRX</v>
      </c>
      <c r="B667">
        <f>IF($A667="","",games!$B667)</f>
        <v>2021</v>
      </c>
      <c r="C667" t="str">
        <f>IF($A667="","",games!$C667)</f>
        <v>Action</v>
      </c>
      <c r="D667">
        <f>IF($A667="","",COUNTIF(connections!$A$2:$A$1400,$A667)+COUNTIF(connections!$B$2:$B$1400,$A667))</f>
        <v>6</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6.000667</v>
      </c>
      <c r="P667" t="str">
        <f>IF(OR($A667="",games!$H667=""),"",games!$H667)</f>
        <v>Yes</v>
      </c>
      <c r="Q667">
        <f t="shared" si="141"/>
        <v>6.000667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Sodaman</v>
      </c>
      <c r="B668">
        <f>IF($A668="","",games!$B668)</f>
        <v>2025</v>
      </c>
      <c r="C668" t="str">
        <f>IF($A668="","",games!$C668)</f>
        <v>Action</v>
      </c>
      <c r="D668">
        <f>IF($A668="","",COUNTIF(connections!$A$2:$A$1400,$A668)+COUNTIF(connections!$B$2:$B$1400,$A668))</f>
        <v>3</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Sol Cesto</v>
      </c>
      <c r="B669">
        <f>IF($A669="","",games!$B669)</f>
        <v>2025</v>
      </c>
      <c r="C669" t="str">
        <f>IF($A669="","",games!$C669)</f>
        <v>Strategy</v>
      </c>
      <c r="D669">
        <f>IF($A669="","",COUNTIF(connections!$A$2:$A$1400,$A669)+COUNTIF(connections!$B$2:$B$1400,$A669))</f>
        <v>1</v>
      </c>
      <c r="E669">
        <f t="shared" si="130"/>
        <v>2</v>
      </c>
      <c r="F669">
        <f t="shared" si="131"/>
        <v>23</v>
      </c>
      <c r="G669" t="e">
        <f t="shared" si="132"/>
        <v>#N/A</v>
      </c>
      <c r="H669" t="e">
        <f t="shared" si="133"/>
        <v>#N/A</v>
      </c>
      <c r="I669">
        <f t="shared" si="134"/>
        <v>2025</v>
      </c>
      <c r="J669">
        <f t="shared" si="135"/>
        <v>2.5289999999999999</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Solitairica</v>
      </c>
      <c r="B670">
        <f>IF($A670="","",games!$B670)</f>
        <v>2016</v>
      </c>
      <c r="C670" t="str">
        <f>IF($A670="","",games!$C670)</f>
        <v>Deckbuilder</v>
      </c>
      <c r="D670">
        <f>IF($A670="","",COUNTIF(connections!$A$2:$A$1400,$A670)+COUNTIF(connections!$B$2:$B$1400,$A670))</f>
        <v>1</v>
      </c>
      <c r="E670">
        <f t="shared" si="130"/>
        <v>3</v>
      </c>
      <c r="F670">
        <f t="shared" si="131"/>
        <v>24</v>
      </c>
      <c r="G670" t="e">
        <f t="shared" si="132"/>
        <v>#N/A</v>
      </c>
      <c r="H670" t="e">
        <f t="shared" si="133"/>
        <v>#N/A</v>
      </c>
      <c r="I670" t="e">
        <f t="shared" si="134"/>
        <v>#N/A</v>
      </c>
      <c r="J670" t="e">
        <f t="shared" si="135"/>
        <v>#N/A</v>
      </c>
      <c r="K670">
        <f t="shared" si="136"/>
        <v>2016</v>
      </c>
      <c r="L670">
        <f t="shared" si="137"/>
        <v>3.552</v>
      </c>
      <c r="M670" t="e">
        <f t="shared" si="138"/>
        <v>#N/A</v>
      </c>
      <c r="N670" t="e">
        <f t="shared" si="139"/>
        <v>#N/A</v>
      </c>
      <c r="O670">
        <f t="shared" si="140"/>
        <v>1.0006699999999999</v>
      </c>
      <c r="P670" t="str">
        <f>IF(OR($A670="",games!$H670=""),"",games!$H670)</f>
        <v>Yes</v>
      </c>
      <c r="Q670">
        <f t="shared" si="141"/>
        <v>1.0006699999999999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Soulash</v>
      </c>
      <c r="B671">
        <f>IF($A671="","",games!$B671)</f>
        <v>2022</v>
      </c>
      <c r="C671" t="str">
        <f>IF($A671="","",games!$C671)</f>
        <v>Traditional</v>
      </c>
      <c r="D671">
        <f>IF($A671="","",COUNTIF(connections!$A$2:$A$1400,$A671)+COUNTIF(connections!$B$2:$B$1400,$A671))</f>
        <v>3</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2022</v>
      </c>
      <c r="N671">
        <f t="shared" si="139"/>
        <v>4.5750000000000002</v>
      </c>
      <c r="O671">
        <f t="shared" si="140"/>
        <v>3.0006710000000001</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Soulash 2</v>
      </c>
      <c r="B672">
        <f>IF($A672="","",games!$B672)</f>
        <v>2023</v>
      </c>
      <c r="C672" t="str">
        <f>IF($A672="","",games!$C672)</f>
        <v>Traditional</v>
      </c>
      <c r="D672">
        <f>IF($A672="","",COUNTIF(connections!$A$2:$A$1400,$A672)+COUNTIF(connections!$B$2:$B$1400,$A672))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2023</v>
      </c>
      <c r="N672">
        <f t="shared" si="139"/>
        <v>4.5979999999999999</v>
      </c>
      <c r="O672">
        <f t="shared" si="140"/>
        <v>2.0006719999999998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Soulstone Survivors</v>
      </c>
      <c r="B673">
        <f>IF($A673="","",games!$B673)</f>
        <v>2022</v>
      </c>
      <c r="C673" t="str">
        <f>IF($A673="","",games!$C673)</f>
        <v>Action</v>
      </c>
      <c r="D673">
        <f>IF($A673="","",COUNTIF(connections!$A$2:$A$1400,$A673)+COUNTIF(connections!$B$2:$B$1400,$A673))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Space Beast Terror Fright</v>
      </c>
      <c r="B674">
        <f>IF($A674="","",games!$B674)</f>
        <v>2015</v>
      </c>
      <c r="C674" t="str">
        <f>IF($A674="","",games!$C674)</f>
        <v>Action</v>
      </c>
      <c r="D674">
        <f>IF($A674="","",COUNTIF(connections!$A$2:$A$1400,$A674)+COUNTIF(connections!$B$2:$B$1400,$A674))</f>
        <v>0</v>
      </c>
      <c r="E674">
        <f t="shared" si="130"/>
        <v>1</v>
      </c>
      <c r="F674">
        <f t="shared" si="131"/>
        <v>28</v>
      </c>
      <c r="G674">
        <f t="shared" si="132"/>
        <v>2015</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6.7400000000000001E-4</v>
      </c>
      <c r="P674" t="str">
        <f>IF(OR($A674="",games!$H674=""),"",games!$H674)</f>
        <v/>
      </c>
      <c r="Q674" t="str">
        <f t="shared" si="141"/>
        <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Space Gladiators</v>
      </c>
      <c r="B675">
        <f>IF($A675="","",games!$B675)</f>
        <v>2019</v>
      </c>
      <c r="C675" t="str">
        <f>IF($A675="","",games!$C675)</f>
        <v>Action</v>
      </c>
      <c r="D675">
        <f>IF($A675="","",COUNTIF(connections!$A$2:$A$1400,$A675)+COUNTIF(connections!$B$2:$B$1400,$A675))</f>
        <v>4</v>
      </c>
      <c r="E675">
        <f t="shared" si="130"/>
        <v>1</v>
      </c>
      <c r="F675">
        <f t="shared" si="131"/>
        <v>29</v>
      </c>
      <c r="G675">
        <f t="shared" si="132"/>
        <v>2019</v>
      </c>
      <c r="H675">
        <f t="shared" si="133"/>
        <v>1.667</v>
      </c>
      <c r="I675" t="e">
        <f t="shared" si="134"/>
        <v>#N/A</v>
      </c>
      <c r="J675" t="e">
        <f t="shared" si="135"/>
        <v>#N/A</v>
      </c>
      <c r="K675" t="e">
        <f t="shared" si="136"/>
        <v>#N/A</v>
      </c>
      <c r="L675" t="e">
        <f t="shared" si="137"/>
        <v>#N/A</v>
      </c>
      <c r="M675" t="e">
        <f t="shared" si="138"/>
        <v>#N/A</v>
      </c>
      <c r="N675" t="e">
        <f t="shared" si="139"/>
        <v>#N/A</v>
      </c>
      <c r="O675">
        <f t="shared" si="140"/>
        <v>4.0006750000000002</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Space Grunts</v>
      </c>
      <c r="B676">
        <f>IF($A676="","",games!$B676)</f>
        <v>2016</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2016</v>
      </c>
      <c r="N676">
        <f t="shared" si="139"/>
        <v>4.6899999999999995</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Spellbook Demonslayers</v>
      </c>
      <c r="B677">
        <f>IF($A677="","",games!$B677)</f>
        <v>2022</v>
      </c>
      <c r="C677" t="str">
        <f>IF($A677="","",games!$C677)</f>
        <v>Action</v>
      </c>
      <c r="D677">
        <f>IF($A677="","",COUNTIF(connections!$A$2:$A$1400,$A677)+COUNTIF(connections!$B$2:$B$1400,$A677))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Spellmasons</v>
      </c>
      <c r="B678">
        <f>IF($A678="","",games!$B678)</f>
        <v>2023</v>
      </c>
      <c r="C678" t="str">
        <f>IF($A678="","",games!$C678)</f>
        <v>Strategy</v>
      </c>
      <c r="D678">
        <f>IF($A678="","",COUNTIF(connections!$A$2:$A$1400,$A678)+COUNTIF(connections!$B$2:$B$1400,$A678))</f>
        <v>1</v>
      </c>
      <c r="E678">
        <f t="shared" si="130"/>
        <v>2</v>
      </c>
      <c r="F678">
        <f t="shared" si="131"/>
        <v>32</v>
      </c>
      <c r="G678" t="e">
        <f t="shared" si="132"/>
        <v>#N/A</v>
      </c>
      <c r="H678" t="e">
        <f t="shared" si="133"/>
        <v>#N/A</v>
      </c>
      <c r="I678">
        <f t="shared" si="134"/>
        <v>2023</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SpellRogue</v>
      </c>
      <c r="B679">
        <f>IF($A679="","",games!$B679)</f>
        <v>2024</v>
      </c>
      <c r="C679" t="str">
        <f>IF($A679="","",games!$C679)</f>
        <v>Deckbuilder</v>
      </c>
      <c r="D679">
        <f>IF($A679="","",COUNTIF(connections!$A$2:$A$1400,$A679)+COUNTIF(connections!$B$2:$B$1400,$A679))</f>
        <v>2</v>
      </c>
      <c r="E679">
        <f t="shared" si="130"/>
        <v>3</v>
      </c>
      <c r="F679">
        <f t="shared" si="131"/>
        <v>33</v>
      </c>
      <c r="G679" t="e">
        <f t="shared" si="132"/>
        <v>#N/A</v>
      </c>
      <c r="H679" t="e">
        <f t="shared" si="133"/>
        <v>#N/A</v>
      </c>
      <c r="I679" t="e">
        <f t="shared" si="134"/>
        <v>#N/A</v>
      </c>
      <c r="J679" t="e">
        <f t="shared" si="135"/>
        <v>#N/A</v>
      </c>
      <c r="K679">
        <f t="shared" si="136"/>
        <v>2024</v>
      </c>
      <c r="L679">
        <f t="shared" si="137"/>
        <v>3.7589999999999999</v>
      </c>
      <c r="M679" t="e">
        <f t="shared" si="138"/>
        <v>#N/A</v>
      </c>
      <c r="N679" t="e">
        <f t="shared" si="139"/>
        <v>#N/A</v>
      </c>
      <c r="O679">
        <f t="shared" si="140"/>
        <v>2.0006789999999999</v>
      </c>
      <c r="P679" t="str">
        <f>IF(OR($A679="",games!$H679=""),"",games!$H679)</f>
        <v>Yes</v>
      </c>
      <c r="Q679">
        <f t="shared" si="141"/>
        <v>2.0006789999999999</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Spelunky</v>
      </c>
      <c r="B680">
        <f>IF($A680="","",games!$B680)</f>
        <v>2012</v>
      </c>
      <c r="C680" t="str">
        <f>IF($A680="","",games!$C680)</f>
        <v>Action</v>
      </c>
      <c r="D680">
        <f>IF($A680="","",COUNTIF(connections!$A$2:$A$1400,$A680)+COUNTIF(connections!$B$2:$B$1400,$A680))</f>
        <v>2</v>
      </c>
      <c r="E680">
        <f t="shared" si="130"/>
        <v>1</v>
      </c>
      <c r="F680">
        <f t="shared" si="131"/>
        <v>0</v>
      </c>
      <c r="G680">
        <f t="shared" si="132"/>
        <v>2012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Spelunky 2</v>
      </c>
      <c r="B681">
        <f>IF($A681="","",games!$B681)</f>
        <v>2020</v>
      </c>
      <c r="C681" t="str">
        <f>IF($A681="","",games!$C681)</f>
        <v>Action</v>
      </c>
      <c r="D681">
        <f>IF($A681="","",COUNTIF(connections!$A$2:$A$1400,$A681)+COUNTIF(connections!$B$2:$B$1400,$A681))</f>
        <v>1</v>
      </c>
      <c r="E681">
        <f t="shared" si="130"/>
        <v>1</v>
      </c>
      <c r="F681">
        <f t="shared" si="131"/>
        <v>1</v>
      </c>
      <c r="G681">
        <f t="shared" si="132"/>
        <v>2020</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Spelunky Classic</v>
      </c>
      <c r="B682">
        <f>IF($A682="","",games!$B682)</f>
        <v>2008</v>
      </c>
      <c r="C682" t="str">
        <f>IF($A682="","",games!$C682)</f>
        <v>Action</v>
      </c>
      <c r="D682">
        <f>IF($A682="","",COUNTIF(connections!$A$2:$A$1400,$A682)+COUNTIF(connections!$B$2:$B$1400,$A682))</f>
        <v>37</v>
      </c>
      <c r="E682">
        <f t="shared" si="130"/>
        <v>1</v>
      </c>
      <c r="F682">
        <f t="shared" si="131"/>
        <v>2</v>
      </c>
      <c r="G682">
        <f t="shared" si="132"/>
        <v>2008</v>
      </c>
      <c r="H682">
        <f t="shared" si="133"/>
        <v>1.046</v>
      </c>
      <c r="I682" t="e">
        <f t="shared" si="134"/>
        <v>#N/A</v>
      </c>
      <c r="J682" t="e">
        <f t="shared" si="135"/>
        <v>#N/A</v>
      </c>
      <c r="K682" t="e">
        <f t="shared" si="136"/>
        <v>#N/A</v>
      </c>
      <c r="L682" t="e">
        <f t="shared" si="137"/>
        <v>#N/A</v>
      </c>
      <c r="M682" t="e">
        <f t="shared" si="138"/>
        <v>#N/A</v>
      </c>
      <c r="N682" t="e">
        <f t="shared" si="139"/>
        <v>#N/A</v>
      </c>
      <c r="O682">
        <f t="shared" si="140"/>
        <v>37.000681999999998</v>
      </c>
      <c r="P682" t="str">
        <f>IF(OR($A682="",games!$H682=""),"",games!$H682)</f>
        <v>Yes</v>
      </c>
      <c r="Q682">
        <f t="shared" si="141"/>
        <v>37.000681999999998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Spin Hero</v>
      </c>
      <c r="B683">
        <f>IF($A683="","",games!$B683)</f>
        <v>2024</v>
      </c>
      <c r="C683" t="str">
        <f>IF($A683="","",games!$C683)</f>
        <v>Deckbuilder</v>
      </c>
      <c r="D683">
        <f>IF($A683="","",COUNTIF(connections!$A$2:$A$1400,$A683)+COUNTIF(connections!$B$2:$B$1400,$A683))</f>
        <v>3</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3.000683</v>
      </c>
      <c r="P683" t="str">
        <f>IF(OR($A683="",games!$H683=""),"",games!$H683)</f>
        <v>Yes</v>
      </c>
      <c r="Q683">
        <f t="shared" si="141"/>
        <v>3.000683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Spirit Hunters: Infinite Horde</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Spiritfall</v>
      </c>
      <c r="B685">
        <f>IF($A685="","",games!$B685)</f>
        <v>2023</v>
      </c>
      <c r="C685" t="str">
        <f>IF($A685="","",games!$C685)</f>
        <v>Action</v>
      </c>
      <c r="D685">
        <f>IF($A685="","",COUNTIF(connections!$A$2:$A$1400,$A685)+COUNTIF(connections!$B$2:$B$1400,$A685))</f>
        <v>2</v>
      </c>
      <c r="E685">
        <f t="shared" si="130"/>
        <v>1</v>
      </c>
      <c r="F685">
        <f t="shared" si="131"/>
        <v>5</v>
      </c>
      <c r="G685">
        <f t="shared" si="132"/>
        <v>2023</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Spirits Abyss</v>
      </c>
      <c r="B686">
        <f>IF($A686="","",games!$B686)</f>
        <v>2019</v>
      </c>
      <c r="C686" t="str">
        <f>IF($A686="","",games!$C686)</f>
        <v>Action</v>
      </c>
      <c r="D686">
        <f>IF($A686="","",COUNTIF(connections!$A$2:$A$1400,$A686)+COUNTIF(connections!$B$2:$B$1400,$A686))</f>
        <v>2</v>
      </c>
      <c r="E686">
        <f t="shared" si="130"/>
        <v>1</v>
      </c>
      <c r="F686">
        <f t="shared" si="131"/>
        <v>6</v>
      </c>
      <c r="G686">
        <f t="shared" si="132"/>
        <v>2019</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Sproggiwood</v>
      </c>
      <c r="B687">
        <f>IF($A687="","",games!$B687)</f>
        <v>2014</v>
      </c>
      <c r="C687" t="str">
        <f>IF($A687="","",games!$C687)</f>
        <v>Traditional</v>
      </c>
      <c r="D687">
        <f>IF($A687="","",COUNTIF(connections!$A$2:$A$1400,$A687)+COUNTIF(connections!$B$2:$B$1400,$A687))</f>
        <v>3</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2014</v>
      </c>
      <c r="N687">
        <f t="shared" si="139"/>
        <v>4.1609999999999996</v>
      </c>
      <c r="O687">
        <f t="shared" si="140"/>
        <v>3.0006870000000001</v>
      </c>
      <c r="P687" t="str">
        <f>IF(OR($A687="",games!$H687=""),"",games!$H687)</f>
        <v>Yes</v>
      </c>
      <c r="Q687">
        <f t="shared" si="141"/>
        <v>3.0006870000000001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Squeaky Squad</v>
      </c>
      <c r="B688">
        <f>IF($A688="","",games!$B688)</f>
        <v>2024</v>
      </c>
      <c r="C688" t="str">
        <f>IF($A688="","",games!$C688)</f>
        <v>Action</v>
      </c>
      <c r="D688">
        <f>IF($A688="","",COUNTIF(connections!$A$2:$A$1400,$A688)+COUNTIF(connections!$B$2:$B$1400,$A688))</f>
        <v>0</v>
      </c>
      <c r="E688">
        <f t="shared" si="130"/>
        <v>1</v>
      </c>
      <c r="F688">
        <f t="shared" si="131"/>
        <v>8</v>
      </c>
      <c r="G688">
        <f t="shared" si="132"/>
        <v>2024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Stackflow</v>
      </c>
      <c r="B689">
        <f>IF($A689="","",games!$B689)</f>
        <v>2025</v>
      </c>
      <c r="C689" t="str">
        <f>IF($A689="","",games!$C689)</f>
        <v>Deckbuilder</v>
      </c>
      <c r="D689">
        <f>IF($A689="","",COUNTIF(connections!$A$2:$A$1400,$A689)+COUNTIF(connections!$B$2:$B$1400,$A689))</f>
        <v>2</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 of Providence</v>
      </c>
      <c r="B690">
        <f>IF($A690="","",games!$B690)</f>
        <v>2017</v>
      </c>
      <c r="C690" t="str">
        <f>IF($A690="","",games!$C690)</f>
        <v>Action</v>
      </c>
      <c r="D690">
        <f>IF($A690="","",COUNTIF(connections!$A$2:$A$1400,$A690)+COUNTIF(connections!$B$2:$B$1400,$A690))</f>
        <v>2</v>
      </c>
      <c r="E690">
        <f t="shared" si="130"/>
        <v>1</v>
      </c>
      <c r="F690">
        <f t="shared" si="131"/>
        <v>10</v>
      </c>
      <c r="G690">
        <f t="shared" si="132"/>
        <v>2017</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Star Survivor</v>
      </c>
      <c r="B691">
        <f>IF($A691="","",games!$B691)</f>
        <v>2023</v>
      </c>
      <c r="C691" t="str">
        <f>IF($A691="","",games!$C691)</f>
        <v>Action</v>
      </c>
      <c r="D691">
        <f>IF($A691="","",COUNTIF(connections!$A$2:$A$1400,$A691)+COUNTIF(connections!$B$2:$B$1400,$A691))</f>
        <v>1</v>
      </c>
      <c r="E691">
        <f t="shared" si="130"/>
        <v>1</v>
      </c>
      <c r="F691">
        <f t="shared" si="131"/>
        <v>11</v>
      </c>
      <c r="G691">
        <f t="shared" si="132"/>
        <v>2023</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Starlight Revolver</v>
      </c>
      <c r="B692">
        <f>IF($A692="","",games!$B692)</f>
        <v>2025</v>
      </c>
      <c r="C692" t="str">
        <f>IF($A692="","",games!$C692)</f>
        <v>Action</v>
      </c>
      <c r="D692">
        <f>IF($A692="","",COUNTIF(connections!$A$2:$A$1400,$A692)+COUNTIF(connections!$B$2:$B$1400,$A692))</f>
        <v>1</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StarVaders</v>
      </c>
      <c r="B693">
        <f>IF($A693="","",games!$B693)</f>
        <v>2025</v>
      </c>
      <c r="C693" t="str">
        <f>IF($A693="","",games!$C693)</f>
        <v>Deckbuilder</v>
      </c>
      <c r="D693">
        <f>IF($A693="","",COUNTIF(connections!$A$2:$A$1400,$A693)+COUNTIF(connections!$B$2:$B$1400,$A693))</f>
        <v>1</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Steve's Warehouse: Physics. Roguelike. Chaos.</v>
      </c>
      <c r="B694">
        <f>IF($A694="","",games!$B694)</f>
        <v>2025</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3.0006940000000002</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Stick It to the Stickman</v>
      </c>
      <c r="B695">
        <f>IF($A695="","",games!$B695)</f>
        <v>2025</v>
      </c>
      <c r="C695" t="str">
        <f>IF($A695="","",games!$C695)</f>
        <v>Action</v>
      </c>
      <c r="D695">
        <f>IF($A695="","",COUNTIF(connections!$A$2:$A$1400,$A695)+COUNTIF(connections!$B$2:$B$1400,$A695))</f>
        <v>0</v>
      </c>
      <c r="E695">
        <f t="shared" si="130"/>
        <v>1</v>
      </c>
      <c r="F695">
        <f t="shared" si="131"/>
        <v>15</v>
      </c>
      <c r="G695">
        <f t="shared" si="132"/>
        <v>2025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Stoneshard</v>
      </c>
      <c r="B696">
        <f>IF($A696="","",games!$B696)</f>
        <v>2020</v>
      </c>
      <c r="C696" t="str">
        <f>IF($A696="","",games!$C696)</f>
        <v>Traditional</v>
      </c>
      <c r="D696">
        <f>IF($A696="","",COUNTIF(connections!$A$2:$A$1400,$A696)+COUNTIF(connections!$B$2:$B$1400,$A696))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2020</v>
      </c>
      <c r="N696">
        <f t="shared" si="139"/>
        <v>4.3680000000000003</v>
      </c>
      <c r="O696">
        <f t="shared" si="140"/>
        <v>3.000696</v>
      </c>
      <c r="P696" t="str">
        <f>IF(OR($A696="",games!$H696=""),"",games!$H696)</f>
        <v/>
      </c>
      <c r="Q696" t="str">
        <f t="shared" si="141"/>
        <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Stories from the Outbreak</v>
      </c>
      <c r="B697">
        <f>IF($A697="","",games!$B697)</f>
        <v>2023</v>
      </c>
      <c r="C697" t="str">
        <f>IF($A697="","",games!$C697)</f>
        <v>Strategy</v>
      </c>
      <c r="D697">
        <f>IF($A697="","",COUNTIF(connections!$A$2:$A$1400,$A697)+COUNTIF(connections!$B$2:$B$1400,$A697))</f>
        <v>0</v>
      </c>
      <c r="E697">
        <f t="shared" si="130"/>
        <v>2</v>
      </c>
      <c r="F697">
        <f t="shared" si="131"/>
        <v>17</v>
      </c>
      <c r="G697" t="e">
        <f t="shared" si="132"/>
        <v>#N/A</v>
      </c>
      <c r="H697" t="e">
        <f t="shared" si="133"/>
        <v>#N/A</v>
      </c>
      <c r="I697">
        <f t="shared" si="134"/>
        <v>2023</v>
      </c>
      <c r="J697">
        <f t="shared" si="135"/>
        <v>2.391</v>
      </c>
      <c r="K697" t="e">
        <f t="shared" si="136"/>
        <v>#N/A</v>
      </c>
      <c r="L697" t="e">
        <f t="shared" si="137"/>
        <v>#N/A</v>
      </c>
      <c r="M697" t="e">
        <f t="shared" si="138"/>
        <v>#N/A</v>
      </c>
      <c r="N697" t="e">
        <f t="shared" si="139"/>
        <v>#N/A</v>
      </c>
      <c r="O697">
        <f t="shared" si="140"/>
        <v>6.9700000000000003E-4</v>
      </c>
      <c r="P697" t="str">
        <f>IF(OR($A697="",games!$H697=""),"",games!$H697)</f>
        <v/>
      </c>
      <c r="Q697" t="str">
        <f t="shared" si="141"/>
        <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Strafe</v>
      </c>
      <c r="B698">
        <f>IF($A698="","",games!$B698)</f>
        <v>2017</v>
      </c>
      <c r="C698" t="str">
        <f>IF($A698="","",games!$C698)</f>
        <v>Action</v>
      </c>
      <c r="D698">
        <f>IF($A698="","",COUNTIF(connections!$A$2:$A$1400,$A698)+COUNTIF(connections!$B$2:$B$1400,$A698))</f>
        <v>1</v>
      </c>
      <c r="E698">
        <f t="shared" si="130"/>
        <v>1</v>
      </c>
      <c r="F698">
        <f t="shared" si="131"/>
        <v>18</v>
      </c>
      <c r="G698">
        <f t="shared" si="132"/>
        <v>2017</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Strange Adventures in Infinite Space</v>
      </c>
      <c r="B699">
        <f>IF($A699="","",games!$B699)</f>
        <v>2002</v>
      </c>
      <c r="C699" t="str">
        <f>IF($A699="","",games!$C699)</f>
        <v>Strategy</v>
      </c>
      <c r="D699">
        <f>IF($A699="","",COUNTIF(connections!$A$2:$A$1400,$A699)+COUNTIF(connections!$B$2:$B$1400,$A699))</f>
        <v>3</v>
      </c>
      <c r="E699">
        <f t="shared" si="130"/>
        <v>2</v>
      </c>
      <c r="F699">
        <f t="shared" si="131"/>
        <v>19</v>
      </c>
      <c r="G699" t="e">
        <f t="shared" si="132"/>
        <v>#N/A</v>
      </c>
      <c r="H699" t="e">
        <f t="shared" si="133"/>
        <v>#N/A</v>
      </c>
      <c r="I699">
        <f t="shared" si="134"/>
        <v>2002</v>
      </c>
      <c r="J699">
        <f t="shared" si="135"/>
        <v>2.4369999999999998</v>
      </c>
      <c r="K699" t="e">
        <f t="shared" si="136"/>
        <v>#N/A</v>
      </c>
      <c r="L699" t="e">
        <f t="shared" si="137"/>
        <v>#N/A</v>
      </c>
      <c r="M699" t="e">
        <f t="shared" si="138"/>
        <v>#N/A</v>
      </c>
      <c r="N699" t="e">
        <f t="shared" si="139"/>
        <v>#N/A</v>
      </c>
      <c r="O699">
        <f t="shared" si="140"/>
        <v>3.000699</v>
      </c>
      <c r="P699" t="str">
        <f>IF(OR($A699="",games!$H699=""),"",games!$H699)</f>
        <v>Yes</v>
      </c>
      <c r="Q699">
        <f t="shared" si="141"/>
        <v>3.000699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Streets of Rogue</v>
      </c>
      <c r="B700">
        <f>IF($A700="","",games!$B700)</f>
        <v>2019</v>
      </c>
      <c r="C700" t="str">
        <f>IF($A700="","",games!$C700)</f>
        <v>Action</v>
      </c>
      <c r="D700">
        <f>IF($A700="","",COUNTIF(connections!$A$2:$A$1400,$A700)+COUNTIF(connections!$B$2:$B$1400,$A700))</f>
        <v>3</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3.0007000000000001</v>
      </c>
      <c r="P700" t="str">
        <f>IF(OR($A700="",games!$H700=""),"",games!$H700)</f>
        <v>Yes</v>
      </c>
      <c r="Q700">
        <f t="shared" si="141"/>
        <v>3.0007000000000001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SULFUR</v>
      </c>
      <c r="B701">
        <f>IF($A701="","",games!$B701)</f>
        <v>2024</v>
      </c>
      <c r="C701" t="str">
        <f>IF($A701="","",games!$C701)</f>
        <v>Action</v>
      </c>
      <c r="D701">
        <f>IF($A701="","",COUNTIF(connections!$A$2:$A$1400,$A701)+COUNTIF(connections!$B$2:$B$1400,$A701))</f>
        <v>1</v>
      </c>
      <c r="E701">
        <f t="shared" si="130"/>
        <v>1</v>
      </c>
      <c r="F701">
        <f t="shared" si="131"/>
        <v>21</v>
      </c>
      <c r="G701">
        <f t="shared" si="132"/>
        <v>2024</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Sundered</v>
      </c>
      <c r="B702">
        <f>IF($A702="","",games!$B702)</f>
        <v>2017</v>
      </c>
      <c r="C702" t="str">
        <f>IF($A702="","",games!$C702)</f>
        <v>Action</v>
      </c>
      <c r="D702">
        <f>IF($A702="","",COUNTIF(connections!$A$2:$A$1400,$A702)+COUNTIF(connections!$B$2:$B$1400,$A702))</f>
        <v>2</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Sunless Sea</v>
      </c>
      <c r="B703">
        <f>IF($A703="","",games!$B703)</f>
        <v>2015</v>
      </c>
      <c r="C703" t="str">
        <f>IF($A703="","",games!$C703)</f>
        <v>Strategy</v>
      </c>
      <c r="D703">
        <f>IF($A703="","",COUNTIF(connections!$A$2:$A$1400,$A703)+COUNTIF(connections!$B$2:$B$1400,$A703))</f>
        <v>2</v>
      </c>
      <c r="E703">
        <f t="shared" si="130"/>
        <v>2</v>
      </c>
      <c r="F703">
        <f t="shared" si="131"/>
        <v>23</v>
      </c>
      <c r="G703" t="e">
        <f t="shared" si="132"/>
        <v>#N/A</v>
      </c>
      <c r="H703" t="e">
        <f t="shared" si="133"/>
        <v>#N/A</v>
      </c>
      <c r="I703">
        <f t="shared" si="134"/>
        <v>2015</v>
      </c>
      <c r="J703">
        <f t="shared" si="135"/>
        <v>2.5289999999999999</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Auto Pets</v>
      </c>
      <c r="B704">
        <f>IF($A704="","",games!$B704)</f>
        <v>2021</v>
      </c>
      <c r="C704" t="str">
        <f>IF($A704="","",games!$C704)</f>
        <v>Strategy</v>
      </c>
      <c r="D704">
        <f>IF($A704="","",COUNTIF(connections!$A$2:$A$1400,$A704)+COUNTIF(connections!$B$2:$B$1400,$A704))</f>
        <v>12</v>
      </c>
      <c r="E704">
        <f t="shared" si="130"/>
        <v>2</v>
      </c>
      <c r="F704">
        <f t="shared" si="131"/>
        <v>24</v>
      </c>
      <c r="G704" t="e">
        <f t="shared" si="132"/>
        <v>#N/A</v>
      </c>
      <c r="H704" t="e">
        <f t="shared" si="133"/>
        <v>#N/A</v>
      </c>
      <c r="I704">
        <f t="shared" si="134"/>
        <v>2021</v>
      </c>
      <c r="J704">
        <f t="shared" si="135"/>
        <v>2.552</v>
      </c>
      <c r="K704" t="e">
        <f t="shared" si="136"/>
        <v>#N/A</v>
      </c>
      <c r="L704" t="e">
        <f t="shared" si="137"/>
        <v>#N/A</v>
      </c>
      <c r="M704" t="e">
        <f t="shared" si="138"/>
        <v>#N/A</v>
      </c>
      <c r="N704" t="e">
        <f t="shared" si="139"/>
        <v>#N/A</v>
      </c>
      <c r="O704">
        <f t="shared" si="140"/>
        <v>12.000704000000001</v>
      </c>
      <c r="P704" t="str">
        <f>IF(OR($A704="",games!$H704=""),"",games!$H704)</f>
        <v>Yes</v>
      </c>
      <c r="Q704">
        <f t="shared" si="141"/>
        <v>12.000704000000001</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Bullet Break</v>
      </c>
      <c r="B705">
        <f>IF($A705="","",games!$B705)</f>
        <v>2022</v>
      </c>
      <c r="C705" t="str">
        <f>IF($A705="","",games!$C705)</f>
        <v>Deckbuilder</v>
      </c>
      <c r="D705">
        <f>IF($A705="","",COUNTIF(connections!$A$2:$A$1400,$A705)+COUNTIF(connections!$B$2:$B$1400,$A705))</f>
        <v>0</v>
      </c>
      <c r="E705">
        <f t="shared" si="130"/>
        <v>3</v>
      </c>
      <c r="F705">
        <f t="shared" si="131"/>
        <v>25</v>
      </c>
      <c r="G705" t="e">
        <f t="shared" si="132"/>
        <v>#N/A</v>
      </c>
      <c r="H705" t="e">
        <f t="shared" si="133"/>
        <v>#N/A</v>
      </c>
      <c r="I705" t="e">
        <f t="shared" si="134"/>
        <v>#N/A</v>
      </c>
      <c r="J705" t="e">
        <f t="shared" si="135"/>
        <v>#N/A</v>
      </c>
      <c r="K705">
        <f t="shared" si="136"/>
        <v>2022</v>
      </c>
      <c r="L705">
        <f t="shared" si="137"/>
        <v>3.5750000000000002</v>
      </c>
      <c r="M705" t="e">
        <f t="shared" si="138"/>
        <v>#N/A</v>
      </c>
      <c r="N705" t="e">
        <f t="shared" si="139"/>
        <v>#N/A</v>
      </c>
      <c r="O705">
        <f t="shared" si="140"/>
        <v>7.0500000000000001E-4</v>
      </c>
      <c r="P705" t="str">
        <f>IF(OR($A705="",games!$H705=""),"",games!$H705)</f>
        <v>Yes</v>
      </c>
      <c r="Q705">
        <f t="shared" si="141"/>
        <v>7.0500000000000001E-4</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Super Fantasy Kingdom</v>
      </c>
      <c r="B706">
        <f>IF($A706="","",games!$B706)</f>
        <v>2025</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2025</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Super House of Dead Ninjas</v>
      </c>
      <c r="B707">
        <f>IF($A707="","",games!$B707)</f>
        <v>2013</v>
      </c>
      <c r="C707" t="str">
        <f>IF($A707="","",games!$C707)</f>
        <v>Action</v>
      </c>
      <c r="D707">
        <f>IF($A707="","",COUNTIF(connections!$A$2:$A$1400,$A707)+COUNTIF(connections!$B$2:$B$1400,$A707))</f>
        <v>1</v>
      </c>
      <c r="E707">
        <f t="shared" si="143"/>
        <v>1</v>
      </c>
      <c r="F707">
        <f t="shared" si="144"/>
        <v>27</v>
      </c>
      <c r="G707">
        <f t="shared" si="145"/>
        <v>2013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Tax City</v>
      </c>
      <c r="B708">
        <f>IF($A708="","",games!$B708)</f>
        <v>2025</v>
      </c>
      <c r="C708" t="str">
        <f>IF($A708="","",games!$C708)</f>
        <v>Deckbuilder</v>
      </c>
      <c r="D708">
        <f>IF($A708="","",COUNTIF(connections!$A$2:$A$1400,$A708)+COUNTIF(connections!$B$2:$B$1400,$A708))</f>
        <v>2</v>
      </c>
      <c r="E708">
        <f t="shared" si="143"/>
        <v>3</v>
      </c>
      <c r="F708">
        <f t="shared" si="144"/>
        <v>28</v>
      </c>
      <c r="G708" t="e">
        <f t="shared" si="145"/>
        <v>#N/A</v>
      </c>
      <c r="H708" t="e">
        <f t="shared" si="146"/>
        <v>#N/A</v>
      </c>
      <c r="I708" t="e">
        <f t="shared" si="147"/>
        <v>#N/A</v>
      </c>
      <c r="J708" t="e">
        <f t="shared" si="148"/>
        <v>#N/A</v>
      </c>
      <c r="K708">
        <f t="shared" si="149"/>
        <v>2025</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Swapmeat</v>
      </c>
      <c r="B709">
        <f>IF($A709="","",games!$B709)</f>
        <v>2025</v>
      </c>
      <c r="C709" t="str">
        <f>IF($A709="","",games!$C709)</f>
        <v>Action</v>
      </c>
      <c r="D709">
        <f>IF($A709="","",COUNTIF(connections!$A$2:$A$1400,$A709)+COUNTIF(connections!$B$2:$B$1400,$A709))</f>
        <v>3</v>
      </c>
      <c r="E709">
        <f t="shared" si="143"/>
        <v>1</v>
      </c>
      <c r="F709">
        <f t="shared" si="144"/>
        <v>29</v>
      </c>
      <c r="G709">
        <f t="shared" si="145"/>
        <v>2025</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Swarm Grinder</v>
      </c>
      <c r="B710">
        <f>IF($A710="","",games!$B710)</f>
        <v>2023</v>
      </c>
      <c r="C710" t="str">
        <f>IF($A710="","",games!$C710)</f>
        <v>Action</v>
      </c>
      <c r="D710">
        <f>IF($A710="","",COUNTIF(connections!$A$2:$A$1400,$A710)+COUNTIF(connections!$B$2:$B$1400,$A710))</f>
        <v>1</v>
      </c>
      <c r="E710">
        <f t="shared" si="143"/>
        <v>1</v>
      </c>
      <c r="F710">
        <f t="shared" si="144"/>
        <v>30</v>
      </c>
      <c r="G710">
        <f t="shared" si="145"/>
        <v>2023</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Switchcars</v>
      </c>
      <c r="B711">
        <f>IF($A711="","",games!$B711)</f>
        <v>2016</v>
      </c>
      <c r="C711" t="str">
        <f>IF($A711="","",games!$C711)</f>
        <v>Action</v>
      </c>
      <c r="D711">
        <f>IF($A711="","",COUNTIF(connections!$A$2:$A$1400,$A711)+COUNTIF(connections!$B$2:$B$1400,$A711))</f>
        <v>3</v>
      </c>
      <c r="E711">
        <f t="shared" si="143"/>
        <v>1</v>
      </c>
      <c r="F711">
        <f t="shared" si="144"/>
        <v>31</v>
      </c>
      <c r="G711">
        <f t="shared" si="145"/>
        <v>2016</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Fargoal</v>
      </c>
      <c r="B712">
        <f>IF($A712="","",games!$B712)</f>
        <v>1982</v>
      </c>
      <c r="C712" t="str">
        <f>IF($A712="","",games!$C712)</f>
        <v>Traditional</v>
      </c>
      <c r="D712">
        <f>IF($A712="","",COUNTIF(connections!$A$2:$A$1400,$A712)+COUNTIF(connections!$B$2:$B$1400,$A712))</f>
        <v>1</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1982</v>
      </c>
      <c r="N712">
        <f t="shared" si="152"/>
        <v>4.7359999999999998</v>
      </c>
      <c r="O712">
        <f t="shared" si="153"/>
        <v>1.000712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 of the Necromancer</v>
      </c>
      <c r="B713">
        <f>IF($A713="","",games!$B713)</f>
        <v>2021</v>
      </c>
      <c r="C713" t="str">
        <f>IF($A713="","",games!$C713)</f>
        <v>Action</v>
      </c>
      <c r="D713">
        <f>IF($A713="","",COUNTIF(connections!$A$2:$A$1400,$A713)+COUNTIF(connections!$B$2:$B$1400,$A713))</f>
        <v>3</v>
      </c>
      <c r="E713">
        <f t="shared" si="143"/>
        <v>1</v>
      </c>
      <c r="F713">
        <f t="shared" si="144"/>
        <v>33</v>
      </c>
      <c r="G713">
        <f t="shared" si="145"/>
        <v>2021</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Sword of the Necromancer: Resurrection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
      </c>
      <c r="Q714" t="str">
        <f t="shared" si="154"/>
        <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Sword of the Stars: The Pit</v>
      </c>
      <c r="B715">
        <f>IF($A715="","",games!$B715)</f>
        <v>2013</v>
      </c>
      <c r="C715" t="str">
        <f>IF($A715="","",games!$C715)</f>
        <v>Traditional</v>
      </c>
      <c r="D715">
        <f>IF($A715="","",COUNTIF(connections!$A$2:$A$1400,$A715)+COUNTIF(connections!$B$2:$B$1400,$A715))</f>
        <v>3</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2013</v>
      </c>
      <c r="N715">
        <f t="shared" si="152"/>
        <v>4.0229999999999997</v>
      </c>
      <c r="O715">
        <f t="shared" si="153"/>
        <v>3.000715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Swordship</v>
      </c>
      <c r="B716">
        <f>IF($A716="","",games!$B716)</f>
        <v>2022</v>
      </c>
      <c r="C716" t="str">
        <f>IF($A716="","",games!$C716)</f>
        <v>Action</v>
      </c>
      <c r="D716">
        <f>IF($A716="","",COUNTIF(connections!$A$2:$A$1400,$A716)+COUNTIF(connections!$B$2:$B$1400,$A716))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Sworn</v>
      </c>
      <c r="B717">
        <f>IF($A717="","",games!$B717)</f>
        <v>2025</v>
      </c>
      <c r="C717" t="str">
        <f>IF($A717="","",games!$C717)</f>
        <v>Action</v>
      </c>
      <c r="D717">
        <f>IF($A717="","",COUNTIF(connections!$A$2:$A$1400,$A717)+COUNTIF(connections!$B$2:$B$1400,$A717))</f>
        <v>1</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Synthetik 2</v>
      </c>
      <c r="B718">
        <f>IF($A718="","",games!$B718)</f>
        <v>2021</v>
      </c>
      <c r="C718" t="str">
        <f>IF($A718="","",games!$C718)</f>
        <v>Action</v>
      </c>
      <c r="D718">
        <f>IF($A718="","",COUNTIF(connections!$A$2:$A$1400,$A718)+COUNTIF(connections!$B$2:$B$1400,$A718))</f>
        <v>1</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Synthetik: Legion Rising</v>
      </c>
      <c r="B719">
        <f>IF($A719="","",games!$B719)</f>
        <v>2018</v>
      </c>
      <c r="C719" t="str">
        <f>IF($A719="","",games!$C719)</f>
        <v>Action</v>
      </c>
      <c r="D719">
        <f>IF($A719="","",COUNTIF(connections!$A$2:$A$1400,$A719)+COUNTIF(connections!$B$2:$B$1400,$A719))</f>
        <v>2</v>
      </c>
      <c r="E719">
        <f t="shared" si="143"/>
        <v>1</v>
      </c>
      <c r="F719">
        <f t="shared" si="144"/>
        <v>5</v>
      </c>
      <c r="G719">
        <f t="shared" si="145"/>
        <v>2018</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Tabletop Tavern</v>
      </c>
      <c r="B720">
        <f>IF($A720="","",games!$B720)</f>
        <v>2026</v>
      </c>
      <c r="C720" t="str">
        <f>IF($A720="","",games!$C720)</f>
        <v>Strategy</v>
      </c>
      <c r="D720">
        <f>IF($A720="","",COUNTIF(connections!$A$2:$A$1400,$A720)+COUNTIF(connections!$B$2:$B$1400,$A720))</f>
        <v>2</v>
      </c>
      <c r="E720">
        <f t="shared" si="143"/>
        <v>2</v>
      </c>
      <c r="F720">
        <f t="shared" si="144"/>
        <v>6</v>
      </c>
      <c r="G720" t="e">
        <f t="shared" si="145"/>
        <v>#N/A</v>
      </c>
      <c r="H720" t="e">
        <f t="shared" si="146"/>
        <v>#N/A</v>
      </c>
      <c r="I720">
        <f t="shared" si="147"/>
        <v>2026</v>
      </c>
      <c r="J720">
        <f t="shared" si="148"/>
        <v>2.1379999999999999</v>
      </c>
      <c r="K720" t="e">
        <f t="shared" si="149"/>
        <v>#N/A</v>
      </c>
      <c r="L720" t="e">
        <f t="shared" si="150"/>
        <v>#N/A</v>
      </c>
      <c r="M720" t="e">
        <f t="shared" si="151"/>
        <v>#N/A</v>
      </c>
      <c r="N720" t="e">
        <f t="shared" si="152"/>
        <v>#N/A</v>
      </c>
      <c r="O720">
        <f t="shared" si="153"/>
        <v>2.0007199999999998</v>
      </c>
      <c r="P720" t="str">
        <f>IF(OR($A720="",games!$H720=""),"",games!$H720)</f>
        <v/>
      </c>
      <c r="Q720" t="str">
        <f t="shared" si="154"/>
        <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Tainted Grail: Conquest</v>
      </c>
      <c r="B721">
        <f>IF($A721="","",games!$B721)</f>
        <v>2020</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2020</v>
      </c>
      <c r="L721">
        <f t="shared" si="150"/>
        <v>3.161</v>
      </c>
      <c r="M721" t="e">
        <f t="shared" si="151"/>
        <v>#N/A</v>
      </c>
      <c r="N721" t="e">
        <f t="shared" si="152"/>
        <v>#N/A</v>
      </c>
      <c r="O721">
        <f t="shared" si="153"/>
        <v>1.000721</v>
      </c>
      <c r="P721" t="str">
        <f>IF(OR($A721="",games!$H721=""),"",games!$H721)</f>
        <v>Yes</v>
      </c>
      <c r="Q721">
        <f t="shared" si="154"/>
        <v>1.000721</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Talented</v>
      </c>
      <c r="B722">
        <f>IF($A722="","",games!$B722)</f>
        <v>2023</v>
      </c>
      <c r="C722" t="str">
        <f>IF($A722="","",games!$C722)</f>
        <v>Action</v>
      </c>
      <c r="D722">
        <f>IF($A722="","",COUNTIF(connections!$A$2:$A$1400,$A722)+COUNTIF(connections!$B$2:$B$1400,$A722))</f>
        <v>2</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Tales of Maj'Eyal</v>
      </c>
      <c r="B723">
        <f>IF($A723="","",games!$B723)</f>
        <v>1998</v>
      </c>
      <c r="C723" t="str">
        <f>IF($A723="","",games!$C723)</f>
        <v>Traditional</v>
      </c>
      <c r="D723">
        <f>IF($A723="","",COUNTIF(connections!$A$2:$A$1400,$A723)+COUNTIF(connections!$B$2:$B$1400,$A723))</f>
        <v>9</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1998</v>
      </c>
      <c r="N723">
        <f t="shared" si="152"/>
        <v>4.2069999999999999</v>
      </c>
      <c r="O723">
        <f t="shared" si="153"/>
        <v>9.0007230000000007</v>
      </c>
      <c r="P723" t="str">
        <f>IF(OR($A723="",games!$H723=""),"",games!$H723)</f>
        <v>Yes</v>
      </c>
      <c r="Q723">
        <f t="shared" si="154"/>
        <v>9.0007230000000007</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Talespinner</v>
      </c>
      <c r="B724">
        <f>IF($A724="","",games!$B724)</f>
        <v>2026</v>
      </c>
      <c r="C724" t="str">
        <f>IF($A724="","",games!$C724)</f>
        <v>Deckbuilder</v>
      </c>
      <c r="D724">
        <f>IF($A724="","",COUNTIF(connections!$A$2:$A$1400,$A724)+COUNTIF(connections!$B$2:$B$1400,$A724))</f>
        <v>1</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1.0007239999999999</v>
      </c>
      <c r="P724" t="str">
        <f>IF(OR($A724="",games!$H724=""),"",games!$H724)</f>
        <v/>
      </c>
      <c r="Q724" t="str">
        <f t="shared" si="154"/>
        <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Tangledeep</v>
      </c>
      <c r="B725">
        <f>IF($A725="","",games!$B725)</f>
        <v>2017</v>
      </c>
      <c r="C725" t="str">
        <f>IF($A725="","",games!$C725)</f>
        <v>Traditional</v>
      </c>
      <c r="D725">
        <f>IF($A725="","",COUNTIF(connections!$A$2:$A$1400,$A725)+COUNTIF(connections!$B$2:$B$1400,$A725))</f>
        <v>4</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2017</v>
      </c>
      <c r="N725">
        <f t="shared" si="152"/>
        <v>4.2530000000000001</v>
      </c>
      <c r="O725">
        <f t="shared" si="153"/>
        <v>4.0007250000000001</v>
      </c>
      <c r="P725" t="str">
        <f>IF(OR($A725="",games!$H725=""),"",games!$H725)</f>
        <v>Yes</v>
      </c>
      <c r="Q725">
        <f t="shared" si="154"/>
        <v>4.0007250000000001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Tangy TD</v>
      </c>
      <c r="B726">
        <f>IF($A726="","",games!$B726)</f>
        <v>2026</v>
      </c>
      <c r="C726" t="str">
        <f>IF($A726="","",games!$C726)</f>
        <v>Strategy</v>
      </c>
      <c r="D726">
        <f>IF($A726="","",COUNTIF(connections!$A$2:$A$1400,$A726)+COUNTIF(connections!$B$2:$B$1400,$A726))</f>
        <v>0</v>
      </c>
      <c r="E726">
        <f t="shared" si="143"/>
        <v>2</v>
      </c>
      <c r="F726">
        <f t="shared" si="144"/>
        <v>12</v>
      </c>
      <c r="G726" t="e">
        <f t="shared" si="145"/>
        <v>#N/A</v>
      </c>
      <c r="H726" t="e">
        <f t="shared" si="146"/>
        <v>#N/A</v>
      </c>
      <c r="I726">
        <f t="shared" si="147"/>
        <v>2026</v>
      </c>
      <c r="J726">
        <f t="shared" si="148"/>
        <v>2.2759999999999998</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Tao's Adventure: Curse of the Demon Seal</v>
      </c>
      <c r="B727">
        <f>IF($A727="","",games!$B727)</f>
        <v>2006</v>
      </c>
      <c r="C727" t="str">
        <f>IF($A727="","",games!$C727)</f>
        <v>Traditional</v>
      </c>
      <c r="D727">
        <f>IF($A727="","",COUNTIF(connections!$A$2:$A$1400,$A727)+COUNTIF(connections!$B$2:$B$1400,$A727))</f>
        <v>1</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2006</v>
      </c>
      <c r="N727">
        <f t="shared" si="152"/>
        <v>4.2990000000000004</v>
      </c>
      <c r="O727">
        <f t="shared" si="153"/>
        <v>1.0007269999999999</v>
      </c>
      <c r="P727" t="str">
        <f>IF(OR($A727="",games!$H727=""),"",games!$H727)</f>
        <v>Yes</v>
      </c>
      <c r="Q727">
        <f t="shared" si="154"/>
        <v>1.0007269999999999</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Tape to Tape</v>
      </c>
      <c r="B728">
        <f>IF($A728="","",games!$B728)</f>
        <v>2023</v>
      </c>
      <c r="C728" t="str">
        <f>IF($A728="","",games!$C728)</f>
        <v>Action</v>
      </c>
      <c r="D728">
        <f>IF($A728="","",COUNTIF(connections!$A$2:$A$1400,$A728)+COUNTIF(connections!$B$2:$B$1400,$A728))</f>
        <v>2</v>
      </c>
      <c r="E728">
        <f t="shared" si="143"/>
        <v>1</v>
      </c>
      <c r="F728">
        <f t="shared" si="144"/>
        <v>14</v>
      </c>
      <c r="G728">
        <f t="shared" si="145"/>
        <v>2023</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Teamfight Tactics</v>
      </c>
      <c r="B729">
        <f>IF($A729="","",games!$B729)</f>
        <v>2019</v>
      </c>
      <c r="C729" t="str">
        <f>IF($A729="","",games!$C729)</f>
        <v>Strategy</v>
      </c>
      <c r="D729">
        <f>IF($A729="","",COUNTIF(connections!$A$2:$A$1400,$A729)+COUNTIF(connections!$B$2:$B$1400,$A729))</f>
        <v>6</v>
      </c>
      <c r="E729">
        <f t="shared" si="143"/>
        <v>2</v>
      </c>
      <c r="F729">
        <f t="shared" si="144"/>
        <v>15</v>
      </c>
      <c r="G729" t="e">
        <f t="shared" si="145"/>
        <v>#N/A</v>
      </c>
      <c r="H729" t="e">
        <f t="shared" si="146"/>
        <v>#N/A</v>
      </c>
      <c r="I729">
        <f t="shared" si="147"/>
        <v>2019</v>
      </c>
      <c r="J729">
        <f t="shared" si="148"/>
        <v>2.3449999999999998</v>
      </c>
      <c r="K729" t="e">
        <f t="shared" si="149"/>
        <v>#N/A</v>
      </c>
      <c r="L729" t="e">
        <f t="shared" si="150"/>
        <v>#N/A</v>
      </c>
      <c r="M729" t="e">
        <f t="shared" si="151"/>
        <v>#N/A</v>
      </c>
      <c r="N729" t="e">
        <f t="shared" si="152"/>
        <v>#N/A</v>
      </c>
      <c r="O729">
        <f t="shared" si="153"/>
        <v>6.0007289999999998</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Tears of Metal</v>
      </c>
      <c r="B730">
        <f>IF($A730="","",games!$B730)</f>
        <v>2026</v>
      </c>
      <c r="C730" t="str">
        <f>IF($A730="","",games!$C730)</f>
        <v>Action</v>
      </c>
      <c r="D730">
        <f>IF($A730="","",COUNTIF(connections!$A$2:$A$1400,$A730)+COUNTIF(connections!$B$2:$B$1400,$A730))</f>
        <v>1</v>
      </c>
      <c r="E730">
        <f t="shared" si="143"/>
        <v>1</v>
      </c>
      <c r="F730">
        <f t="shared" si="144"/>
        <v>16</v>
      </c>
      <c r="G730">
        <f t="shared" si="145"/>
        <v>2026</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
      </c>
      <c r="Q730" t="str">
        <f t="shared" si="154"/>
        <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Teenage Mutant Ninja Turtles: Splintered Fate</v>
      </c>
      <c r="B731">
        <f>IF($A731="","",games!$B731)</f>
        <v>2024</v>
      </c>
      <c r="C731" t="str">
        <f>IF($A731="","",games!$C731)</f>
        <v>Action</v>
      </c>
      <c r="D731">
        <f>IF($A731="","",COUNTIF(connections!$A$2:$A$1400,$A731)+COUNTIF(connections!$B$2:$B$1400,$A731))</f>
        <v>3</v>
      </c>
      <c r="E731">
        <f t="shared" si="143"/>
        <v>1</v>
      </c>
      <c r="F731">
        <f t="shared" si="144"/>
        <v>17</v>
      </c>
      <c r="G731">
        <f t="shared" si="145"/>
        <v>2024</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Temtem: Swarm</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Terraformers</v>
      </c>
      <c r="B733">
        <f>IF($A733="","",games!$B733)</f>
        <v>2022</v>
      </c>
      <c r="C733" t="str">
        <f>IF($A733="","",games!$C733)</f>
        <v>Strategy</v>
      </c>
      <c r="D733">
        <f>IF($A733="","",COUNTIF(connections!$A$2:$A$1400,$A733)+COUNTIF(connections!$B$2:$B$1400,$A733))</f>
        <v>1</v>
      </c>
      <c r="E733">
        <f t="shared" si="143"/>
        <v>2</v>
      </c>
      <c r="F733">
        <f t="shared" si="144"/>
        <v>19</v>
      </c>
      <c r="G733" t="e">
        <f t="shared" si="145"/>
        <v>#N/A</v>
      </c>
      <c r="H733" t="e">
        <f t="shared" si="146"/>
        <v>#N/A</v>
      </c>
      <c r="I733">
        <f t="shared" si="147"/>
        <v>2022</v>
      </c>
      <c r="J733">
        <f t="shared" si="148"/>
        <v>2.4369999999999998</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TerraTech Legion</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TerRoguelike</v>
      </c>
      <c r="B735">
        <f>IF($A735="","",games!$B735)</f>
        <v>2024</v>
      </c>
      <c r="C735" t="str">
        <f>IF($A735="","",games!$C735)</f>
        <v>Action</v>
      </c>
      <c r="D735">
        <f>IF($A735="","",COUNTIF(connections!$A$2:$A$1400,$A735)+COUNTIF(connections!$B$2:$B$1400,$A735))</f>
        <v>1</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Bazaar</v>
      </c>
      <c r="B736">
        <f>IF($A736="","",games!$B736)</f>
        <v>2025</v>
      </c>
      <c r="C736" t="str">
        <f>IF($A736="","",games!$C736)</f>
        <v>Strategy</v>
      </c>
      <c r="D736">
        <f>IF($A736="","",COUNTIF(connections!$A$2:$A$1400,$A736)+COUNTIF(connections!$B$2:$B$1400,$A736))</f>
        <v>4</v>
      </c>
      <c r="E736">
        <f t="shared" si="143"/>
        <v>2</v>
      </c>
      <c r="F736">
        <f t="shared" si="144"/>
        <v>22</v>
      </c>
      <c r="G736" t="e">
        <f t="shared" si="145"/>
        <v>#N/A</v>
      </c>
      <c r="H736" t="e">
        <f t="shared" si="146"/>
        <v>#N/A</v>
      </c>
      <c r="I736">
        <f t="shared" si="147"/>
        <v>2025</v>
      </c>
      <c r="J736">
        <f t="shared" si="148"/>
        <v>2.5060000000000002</v>
      </c>
      <c r="K736" t="e">
        <f t="shared" si="149"/>
        <v>#N/A</v>
      </c>
      <c r="L736" t="e">
        <f t="shared" si="150"/>
        <v>#N/A</v>
      </c>
      <c r="M736" t="e">
        <f t="shared" si="151"/>
        <v>#N/A</v>
      </c>
      <c r="N736" t="e">
        <f t="shared" si="152"/>
        <v>#N/A</v>
      </c>
      <c r="O736">
        <f t="shared" si="153"/>
        <v>4.0007359999999998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Binding of Isaac</v>
      </c>
      <c r="B737">
        <f>IF($A737="","",games!$B737)</f>
        <v>2011</v>
      </c>
      <c r="C737" t="str">
        <f>IF($A737="","",games!$C737)</f>
        <v>Action</v>
      </c>
      <c r="D737">
        <f>IF($A737="","",COUNTIF(connections!$A$2:$A$1400,$A737)+COUNTIF(connections!$B$2:$B$1400,$A737))</f>
        <v>69</v>
      </c>
      <c r="E737">
        <f t="shared" si="143"/>
        <v>1</v>
      </c>
      <c r="F737">
        <f t="shared" si="144"/>
        <v>23</v>
      </c>
      <c r="G737">
        <f t="shared" si="145"/>
        <v>2011</v>
      </c>
      <c r="H737">
        <f t="shared" si="146"/>
        <v>1.5289999999999999</v>
      </c>
      <c r="I737" t="e">
        <f t="shared" si="147"/>
        <v>#N/A</v>
      </c>
      <c r="J737" t="e">
        <f t="shared" si="148"/>
        <v>#N/A</v>
      </c>
      <c r="K737" t="e">
        <f t="shared" si="149"/>
        <v>#N/A</v>
      </c>
      <c r="L737" t="e">
        <f t="shared" si="150"/>
        <v>#N/A</v>
      </c>
      <c r="M737" t="e">
        <f t="shared" si="151"/>
        <v>#N/A</v>
      </c>
      <c r="N737" t="e">
        <f t="shared" si="152"/>
        <v>#N/A</v>
      </c>
      <c r="O737">
        <f t="shared" si="153"/>
        <v>69.000737000000001</v>
      </c>
      <c r="P737" t="str">
        <f>IF(OR($A737="",games!$H737=""),"",games!$H737)</f>
        <v>Yes</v>
      </c>
      <c r="Q737">
        <f t="shared" si="154"/>
        <v>69.000737000000001</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Binding of Isaac: Rebirth</v>
      </c>
      <c r="B738">
        <f>IF($A738="","",games!$B738)</f>
        <v>2014</v>
      </c>
      <c r="C738" t="str">
        <f>IF($A738="","",games!$C738)</f>
        <v>Action</v>
      </c>
      <c r="D738">
        <f>IF($A738="","",COUNTIF(connections!$A$2:$A$1400,$A738)+COUNTIF(connections!$B$2:$B$1400,$A738))</f>
        <v>1</v>
      </c>
      <c r="E738">
        <f t="shared" si="143"/>
        <v>1</v>
      </c>
      <c r="F738">
        <f t="shared" si="144"/>
        <v>24</v>
      </c>
      <c r="G738">
        <f t="shared" si="145"/>
        <v>2014</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Doors of Trithius</v>
      </c>
      <c r="B739">
        <f>IF($A739="","",games!$B739)</f>
        <v>2021</v>
      </c>
      <c r="C739" t="str">
        <f>IF($A739="","",games!$C739)</f>
        <v>Traditional</v>
      </c>
      <c r="D739">
        <f>IF($A739="","",COUNTIF(connections!$A$2:$A$1400,$A739)+COUNTIF(connections!$B$2:$B$1400,$A739))</f>
        <v>3</v>
      </c>
      <c r="E739">
        <f t="shared" si="143"/>
        <v>4</v>
      </c>
      <c r="F739">
        <f t="shared" si="144"/>
        <v>25</v>
      </c>
      <c r="G739" t="e">
        <f t="shared" si="145"/>
        <v>#N/A</v>
      </c>
      <c r="H739" t="e">
        <f t="shared" si="146"/>
        <v>#N/A</v>
      </c>
      <c r="I739" t="e">
        <f t="shared" si="147"/>
        <v>#N/A</v>
      </c>
      <c r="J739" t="e">
        <f t="shared" si="148"/>
        <v>#N/A</v>
      </c>
      <c r="K739" t="e">
        <f t="shared" si="149"/>
        <v>#N/A</v>
      </c>
      <c r="L739" t="e">
        <f t="shared" si="150"/>
        <v>#N/A</v>
      </c>
      <c r="M739">
        <f t="shared" si="151"/>
        <v>2021</v>
      </c>
      <c r="N739">
        <f t="shared" si="152"/>
        <v>4.5750000000000002</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Dungeon RPG</v>
      </c>
      <c r="B740">
        <f>IF($A740="","",games!$B740)</f>
        <v>2000</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2000</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Fable: Manga Build Roguelike</v>
      </c>
      <c r="B741">
        <f>IF($A741="","",games!$B741)</f>
        <v>2025</v>
      </c>
      <c r="C741" t="str">
        <f>IF($A741="","",games!$C741)</f>
        <v>Deckbuilder</v>
      </c>
      <c r="D741">
        <f>IF($A741="","",COUNTIF(connections!$A$2:$A$1400,$A741)+COUNTIF(connections!$B$2:$B$1400,$A741))</f>
        <v>0</v>
      </c>
      <c r="E741">
        <f t="shared" si="143"/>
        <v>3</v>
      </c>
      <c r="F741">
        <f t="shared" si="144"/>
        <v>27</v>
      </c>
      <c r="G741" t="e">
        <f t="shared" si="145"/>
        <v>#N/A</v>
      </c>
      <c r="H741" t="e">
        <f t="shared" si="146"/>
        <v>#N/A</v>
      </c>
      <c r="I741" t="e">
        <f t="shared" si="147"/>
        <v>#N/A</v>
      </c>
      <c r="J741" t="e">
        <f t="shared" si="148"/>
        <v>#N/A</v>
      </c>
      <c r="K741">
        <f t="shared" si="149"/>
        <v>2025</v>
      </c>
      <c r="L741">
        <f t="shared" si="150"/>
        <v>3.621</v>
      </c>
      <c r="M741" t="e">
        <f t="shared" si="151"/>
        <v>#N/A</v>
      </c>
      <c r="N741" t="e">
        <f t="shared" si="152"/>
        <v>#N/A</v>
      </c>
      <c r="O741">
        <f t="shared" si="153"/>
        <v>7.4100000000000001E-4</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Flame in the Flood</v>
      </c>
      <c r="B742">
        <f>IF($A742="","",games!$B742)</f>
        <v>2016</v>
      </c>
      <c r="C742" t="str">
        <f>IF($A742="","",games!$C742)</f>
        <v>Action</v>
      </c>
      <c r="D742">
        <f>IF($A742="","",COUNTIF(connections!$A$2:$A$1400,$A742)+COUNTIF(connections!$B$2:$B$1400,$A742))</f>
        <v>1</v>
      </c>
      <c r="E742">
        <f t="shared" si="143"/>
        <v>1</v>
      </c>
      <c r="F742">
        <f t="shared" si="144"/>
        <v>28</v>
      </c>
      <c r="G742">
        <f t="shared" si="145"/>
        <v>2016</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Ground Gives Way</v>
      </c>
      <c r="B743">
        <f>IF($A743="","",games!$B743)</f>
        <v>2014</v>
      </c>
      <c r="C743" t="str">
        <f>IF($A743="","",games!$C743)</f>
        <v>Traditional</v>
      </c>
      <c r="D743">
        <f>IF($A743="","",COUNTIF(connections!$A$2:$A$1400,$A743)+COUNTIF(connections!$B$2:$B$1400,$A743))</f>
        <v>4</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4.0007429999999999</v>
      </c>
      <c r="P743" t="str">
        <f>IF(OR($A743="",games!$H743=""),"",games!$H743)</f>
        <v>Yes</v>
      </c>
      <c r="Q743">
        <f t="shared" si="154"/>
        <v>4.0007429999999999</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Guided Fate Paradox</v>
      </c>
      <c r="B744">
        <f>IF($A744="","",games!$B744)</f>
        <v>2013</v>
      </c>
      <c r="C744" t="str">
        <f>IF($A744="","",games!$C744)</f>
        <v>Traditional</v>
      </c>
      <c r="D744">
        <f>IF($A744="","",COUNTIF(connections!$A$2:$A$1400,$A744)+COUNTIF(connections!$B$2:$B$1400,$A744))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2013</v>
      </c>
      <c r="N744">
        <f t="shared" si="152"/>
        <v>4.6899999999999995</v>
      </c>
      <c r="O744">
        <f t="shared" si="153"/>
        <v>1.0007440000000001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King is Watching</v>
      </c>
      <c r="B745">
        <f>IF($A745="","",games!$B745)</f>
        <v>2025</v>
      </c>
      <c r="C745" t="str">
        <f>IF($A745="","",games!$C745)</f>
        <v>Strategy</v>
      </c>
      <c r="D745">
        <f>IF($A745="","",COUNTIF(connections!$A$2:$A$1400,$A745)+COUNTIF(connections!$B$2:$B$1400,$A745))</f>
        <v>0</v>
      </c>
      <c r="E745">
        <f t="shared" si="143"/>
        <v>2</v>
      </c>
      <c r="F745">
        <f t="shared" si="144"/>
        <v>31</v>
      </c>
      <c r="G745" t="e">
        <f t="shared" si="145"/>
        <v>#N/A</v>
      </c>
      <c r="H745" t="e">
        <f t="shared" si="146"/>
        <v>#N/A</v>
      </c>
      <c r="I745">
        <f t="shared" si="147"/>
        <v>2025</v>
      </c>
      <c r="J745">
        <f t="shared" si="148"/>
        <v>2.7130000000000001</v>
      </c>
      <c r="K745" t="e">
        <f t="shared" si="149"/>
        <v>#N/A</v>
      </c>
      <c r="L745" t="e">
        <f t="shared" si="150"/>
        <v>#N/A</v>
      </c>
      <c r="M745" t="e">
        <f t="shared" si="151"/>
        <v>#N/A</v>
      </c>
      <c r="N745" t="e">
        <f t="shared" si="152"/>
        <v>#N/A</v>
      </c>
      <c r="O745">
        <f t="shared" si="153"/>
        <v>7.45E-4</v>
      </c>
      <c r="P745" t="str">
        <f>IF(OR($A745="",games!$H745=""),"",games!$H745)</f>
        <v>Yes</v>
      </c>
      <c r="Q745">
        <f t="shared" si="154"/>
        <v>7.45E-4</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Last Flame</v>
      </c>
      <c r="B746">
        <f>IF($A746="","",games!$B746)</f>
        <v>2024</v>
      </c>
      <c r="C746" t="str">
        <f>IF($A746="","",games!$C746)</f>
        <v>Strategy</v>
      </c>
      <c r="D746">
        <f>IF($A746="","",COUNTIF(connections!$A$2:$A$1400,$A746)+COUNTIF(connections!$B$2:$B$1400,$A746))</f>
        <v>2</v>
      </c>
      <c r="E746">
        <f t="shared" si="143"/>
        <v>2</v>
      </c>
      <c r="F746">
        <f t="shared" si="144"/>
        <v>32</v>
      </c>
      <c r="G746" t="e">
        <f t="shared" si="145"/>
        <v>#N/A</v>
      </c>
      <c r="H746" t="e">
        <f t="shared" si="146"/>
        <v>#N/A</v>
      </c>
      <c r="I746">
        <f t="shared" si="147"/>
        <v>2024</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Last Game</v>
      </c>
      <c r="B747">
        <f>IF($A747="","",games!$B747)</f>
        <v>2023</v>
      </c>
      <c r="C747" t="str">
        <f>IF($A747="","",games!$C747)</f>
        <v>Action</v>
      </c>
      <c r="D747">
        <f>IF($A747="","",COUNTIF(connections!$A$2:$A$1400,$A747)+COUNTIF(connections!$B$2:$B$1400,$A747))</f>
        <v>2</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
      </c>
      <c r="Q747" t="str">
        <f t="shared" si="154"/>
        <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Last Spell</v>
      </c>
      <c r="B748">
        <f>IF($A748="","",games!$B748)</f>
        <v>2021</v>
      </c>
      <c r="C748" t="str">
        <f>IF($A748="","",games!$C748)</f>
        <v>Strategy</v>
      </c>
      <c r="D748">
        <f>IF($A748="","",COUNTIF(connections!$A$2:$A$1400,$A748)+COUNTIF(connections!$B$2:$B$1400,$A748))</f>
        <v>3</v>
      </c>
      <c r="E748">
        <f t="shared" si="143"/>
        <v>2</v>
      </c>
      <c r="F748">
        <f t="shared" si="144"/>
        <v>0</v>
      </c>
      <c r="G748" t="e">
        <f t="shared" si="145"/>
        <v>#N/A</v>
      </c>
      <c r="H748" t="e">
        <f t="shared" si="146"/>
        <v>#N/A</v>
      </c>
      <c r="I748">
        <f t="shared" si="147"/>
        <v>2021</v>
      </c>
      <c r="J748">
        <f t="shared" si="148"/>
        <v>2</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Legend of Bum-Bo</v>
      </c>
      <c r="B749">
        <f>IF($A749="","",games!$B749)</f>
        <v>2019</v>
      </c>
      <c r="C749" t="str">
        <f>IF($A749="","",games!$C749)</f>
        <v>Strategy</v>
      </c>
      <c r="D749">
        <f>IF($A749="","",COUNTIF(connections!$A$2:$A$1400,$A749)+COUNTIF(connections!$B$2:$B$1400,$A749))</f>
        <v>3</v>
      </c>
      <c r="E749">
        <f t="shared" si="143"/>
        <v>2</v>
      </c>
      <c r="F749">
        <f t="shared" si="144"/>
        <v>1</v>
      </c>
      <c r="G749" t="e">
        <f t="shared" si="145"/>
        <v>#N/A</v>
      </c>
      <c r="H749" t="e">
        <f t="shared" si="146"/>
        <v>#N/A</v>
      </c>
      <c r="I749">
        <f t="shared" si="147"/>
        <v>2019</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Nightmare of Druaga</v>
      </c>
      <c r="B750">
        <f>IF($A750="","",games!$B750)</f>
        <v>2004</v>
      </c>
      <c r="C750" t="str">
        <f>IF($A750="","",games!$C750)</f>
        <v>Traditional</v>
      </c>
      <c r="D750">
        <f>IF($A750="","",COUNTIF(connections!$A$2:$A$1400,$A750)+COUNTIF(connections!$B$2:$B$1400,$A750))</f>
        <v>1</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2004</v>
      </c>
      <c r="N750">
        <f t="shared" si="152"/>
        <v>4.0460000000000003</v>
      </c>
      <c r="O750">
        <f t="shared" si="153"/>
        <v>1.00075</v>
      </c>
      <c r="P750" t="str">
        <f>IF(OR($A750="",games!$H750=""),"",games!$H750)</f>
        <v>Yes</v>
      </c>
      <c r="Q750">
        <f t="shared" si="154"/>
        <v>1.00075</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Ouroboros King</v>
      </c>
      <c r="B751">
        <f>IF($A751="","",games!$B751)</f>
        <v>2023</v>
      </c>
      <c r="C751" t="str">
        <f>IF($A751="","",games!$C751)</f>
        <v>Strategy</v>
      </c>
      <c r="D751">
        <f>IF($A751="","",COUNTIF(connections!$A$2:$A$1400,$A751)+COUNTIF(connections!$B$2:$B$1400,$A751))</f>
        <v>4</v>
      </c>
      <c r="E751">
        <f t="shared" si="143"/>
        <v>2</v>
      </c>
      <c r="F751">
        <f t="shared" si="144"/>
        <v>3</v>
      </c>
      <c r="G751" t="e">
        <f t="shared" si="145"/>
        <v>#N/A</v>
      </c>
      <c r="H751" t="e">
        <f t="shared" si="146"/>
        <v>#N/A</v>
      </c>
      <c r="I751">
        <f t="shared" si="147"/>
        <v>2023</v>
      </c>
      <c r="J751">
        <f t="shared" si="148"/>
        <v>2.069</v>
      </c>
      <c r="K751" t="e">
        <f t="shared" si="149"/>
        <v>#N/A</v>
      </c>
      <c r="L751" t="e">
        <f t="shared" si="150"/>
        <v>#N/A</v>
      </c>
      <c r="M751" t="e">
        <f t="shared" si="151"/>
        <v>#N/A</v>
      </c>
      <c r="N751" t="e">
        <f t="shared" si="152"/>
        <v>#N/A</v>
      </c>
      <c r="O751">
        <f t="shared" si="153"/>
        <v>4.0007510000000002</v>
      </c>
      <c r="P751" t="str">
        <f>IF(OR($A751="",games!$H751=""),"",games!$H751)</f>
        <v>Yes</v>
      </c>
      <c r="Q751">
        <f t="shared" si="154"/>
        <v>4.0007510000000002</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Rogue Prince of Persia</v>
      </c>
      <c r="B752">
        <f>IF($A752="","",games!$B752)</f>
        <v>2024</v>
      </c>
      <c r="C752" t="str">
        <f>IF($A752="","",games!$C752)</f>
        <v>Action</v>
      </c>
      <c r="D752">
        <f>IF($A752="","",COUNTIF(connections!$A$2:$A$1400,$A752)+COUNTIF(connections!$B$2:$B$1400,$A752))</f>
        <v>1</v>
      </c>
      <c r="E752">
        <f t="shared" si="143"/>
        <v>1</v>
      </c>
      <c r="F752">
        <f t="shared" si="144"/>
        <v>4</v>
      </c>
      <c r="G752">
        <f t="shared" si="145"/>
        <v>2024</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Royal Writ</v>
      </c>
      <c r="B753">
        <f>IF($A753="","",games!$B753)</f>
        <v>2025</v>
      </c>
      <c r="C753" t="str">
        <f>IF($A753="","",games!$C753)</f>
        <v>Deckbuilder</v>
      </c>
      <c r="D753">
        <f>IF($A753="","",COUNTIF(connections!$A$2:$A$1400,$A753)+COUNTIF(connections!$B$2:$B$1400,$A753))</f>
        <v>5</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5.0007529999999996</v>
      </c>
      <c r="P753" t="str">
        <f>IF(OR($A753="",games!$H753=""),"",games!$H753)</f>
        <v/>
      </c>
      <c r="Q753" t="str">
        <f t="shared" si="154"/>
        <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Spell Brigade</v>
      </c>
      <c r="B754">
        <f>IF($A754="","",games!$B754)</f>
        <v>2024</v>
      </c>
      <c r="C754" t="str">
        <f>IF($A754="","",games!$C754)</f>
        <v>Action</v>
      </c>
      <c r="D754">
        <f>IF($A754="","",COUNTIF(connections!$A$2:$A$1400,$A754)+COUNTIF(connections!$B$2:$B$1400,$A754))</f>
        <v>3</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Spirit Lift</v>
      </c>
      <c r="B755">
        <f>IF($A755="","",games!$B755)</f>
        <v>2026</v>
      </c>
      <c r="C755" t="str">
        <f>IF($A755="","",games!$C755)</f>
        <v>Deckbuilder</v>
      </c>
      <c r="D755">
        <f>IF($A755="","",COUNTIF(connections!$A$2:$A$1400,$A755)+COUNTIF(connections!$B$2:$B$1400,$A755))</f>
        <v>2</v>
      </c>
      <c r="E755">
        <f t="shared" si="143"/>
        <v>3</v>
      </c>
      <c r="F755">
        <f t="shared" si="144"/>
        <v>7</v>
      </c>
      <c r="G755" t="e">
        <f t="shared" si="145"/>
        <v>#N/A</v>
      </c>
      <c r="H755" t="e">
        <f t="shared" si="146"/>
        <v>#N/A</v>
      </c>
      <c r="I755" t="e">
        <f t="shared" si="147"/>
        <v>#N/A</v>
      </c>
      <c r="J755" t="e">
        <f t="shared" si="148"/>
        <v>#N/A</v>
      </c>
      <c r="K755">
        <f t="shared" si="149"/>
        <v>2026</v>
      </c>
      <c r="L755">
        <f t="shared" si="150"/>
        <v>3.161</v>
      </c>
      <c r="M755" t="e">
        <f t="shared" si="151"/>
        <v>#N/A</v>
      </c>
      <c r="N755" t="e">
        <f t="shared" si="152"/>
        <v>#N/A</v>
      </c>
      <c r="O755">
        <f t="shared" si="153"/>
        <v>2.0007549999999998</v>
      </c>
      <c r="P755" t="str">
        <f>IF(OR($A755="",games!$H755=""),"",games!$H755)</f>
        <v>Yes</v>
      </c>
      <c r="Q755">
        <f t="shared" si="154"/>
        <v>2.0007549999999998</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 Unliving</v>
      </c>
      <c r="B756">
        <f>IF($A756="","",games!$B756)</f>
        <v>2022</v>
      </c>
      <c r="C756" t="str">
        <f>IF($A756="","",games!$C756)</f>
        <v>Action</v>
      </c>
      <c r="D756">
        <f>IF($A756="","",COUNTIF(connections!$A$2:$A$1400,$A756)+COUNTIF(connections!$B$2:$B$1400,$A756))</f>
        <v>3</v>
      </c>
      <c r="E756">
        <f t="shared" si="143"/>
        <v>1</v>
      </c>
      <c r="F756">
        <f t="shared" si="144"/>
        <v>8</v>
      </c>
      <c r="G756">
        <f t="shared" si="145"/>
        <v>2022</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The Void Rains Upon Her Heart</v>
      </c>
      <c r="B757">
        <f>IF($A757="","",games!$B757)</f>
        <v>2018</v>
      </c>
      <c r="C757" t="str">
        <f>IF($A757="","",games!$C757)</f>
        <v>Action</v>
      </c>
      <c r="D757">
        <f>IF($A757="","",COUNTIF(connections!$A$2:$A$1400,$A757)+COUNTIF(connections!$B$2:$B$1400,$A757))</f>
        <v>1</v>
      </c>
      <c r="E757">
        <f t="shared" si="143"/>
        <v>1</v>
      </c>
      <c r="F757">
        <f t="shared" si="144"/>
        <v>9</v>
      </c>
      <c r="G757">
        <f t="shared" si="145"/>
        <v>2018</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The World is Your Weapon</v>
      </c>
      <c r="B758">
        <f>IF($A758="","",games!$B758)</f>
        <v>2014</v>
      </c>
      <c r="C758" t="str">
        <f>IF($A758="","",games!$C758)</f>
        <v>Traditional</v>
      </c>
      <c r="D758">
        <f>IF($A758="","",COUNTIF(connections!$A$2:$A$1400,$A758)+COUNTIF(connections!$B$2:$B$1400,$A758))</f>
        <v>1</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2014</v>
      </c>
      <c r="N758">
        <f t="shared" si="152"/>
        <v>4.2300000000000004</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There Are No Orcs</v>
      </c>
      <c r="B759">
        <f>IF($A759="","",games!$B759)</f>
        <v>2025</v>
      </c>
      <c r="C759" t="str">
        <f>IF($A759="","",games!$C759)</f>
        <v>Strategy</v>
      </c>
      <c r="D759">
        <f>IF($A759="","",COUNTIF(connections!$A$2:$A$1400,$A759)+COUNTIF(connections!$B$2:$B$1400,$A759))</f>
        <v>0</v>
      </c>
      <c r="E759">
        <f t="shared" si="143"/>
        <v>2</v>
      </c>
      <c r="F759">
        <f t="shared" si="144"/>
        <v>11</v>
      </c>
      <c r="G759" t="e">
        <f t="shared" si="145"/>
        <v>#N/A</v>
      </c>
      <c r="H759" t="e">
        <f t="shared" si="146"/>
        <v>#N/A</v>
      </c>
      <c r="I759">
        <f t="shared" si="147"/>
        <v>2025</v>
      </c>
      <c r="J759">
        <f t="shared" si="148"/>
        <v>2.2530000000000001</v>
      </c>
      <c r="K759" t="e">
        <f t="shared" si="149"/>
        <v>#N/A</v>
      </c>
      <c r="L759" t="e">
        <f t="shared" si="150"/>
        <v>#N/A</v>
      </c>
      <c r="M759" t="e">
        <f t="shared" si="151"/>
        <v>#N/A</v>
      </c>
      <c r="N759" t="e">
        <f t="shared" si="152"/>
        <v>#N/A</v>
      </c>
      <c r="O759">
        <f t="shared" si="153"/>
        <v>7.5900000000000002E-4</v>
      </c>
      <c r="P759" t="str">
        <f>IF(OR($A759="",games!$H759=""),"",games!$H759)</f>
        <v/>
      </c>
      <c r="Q759" t="str">
        <f t="shared" si="154"/>
        <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Tic Tactic</v>
      </c>
      <c r="B760">
        <f>IF($A760="","",games!$B760)</f>
        <v>2025</v>
      </c>
      <c r="C760" t="str">
        <f>IF($A760="","",games!$C760)</f>
        <v>Deckbuilder</v>
      </c>
      <c r="D760">
        <f>IF($A760="","",COUNTIF(connections!$A$2:$A$1400,$A760)+COUNTIF(connections!$B$2:$B$1400,$A760))</f>
        <v>3</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3.0007600000000001</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Time Survivors</v>
      </c>
      <c r="B761">
        <f>IF($A761="","",games!$B761)</f>
        <v>2023</v>
      </c>
      <c r="C761" t="str">
        <f>IF($A761="","",games!$C761)</f>
        <v>Action</v>
      </c>
      <c r="D761">
        <f>IF($A761="","",COUNTIF(connections!$A$2:$A$1400,$A761)+COUNTIF(connections!$B$2:$B$1400,$A761))</f>
        <v>1</v>
      </c>
      <c r="E761">
        <f t="shared" si="143"/>
        <v>1</v>
      </c>
      <c r="F761">
        <f t="shared" si="144"/>
        <v>13</v>
      </c>
      <c r="G761">
        <f t="shared" si="145"/>
        <v>2023</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Time Wasters</v>
      </c>
      <c r="B762">
        <f>IF($A762="","",games!$B762)</f>
        <v>2023</v>
      </c>
      <c r="C762" t="str">
        <f>IF($A762="","",games!$C762)</f>
        <v>Action</v>
      </c>
      <c r="D762">
        <f>IF($A762="","",COUNTIF(connections!$A$2:$A$1400,$A762)+COUNTIF(connections!$B$2:$B$1400,$A762))</f>
        <v>1</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Tiny Auto Knights</v>
      </c>
      <c r="B763">
        <f>IF($A763="","",games!$B763)</f>
        <v>2025</v>
      </c>
      <c r="C763" t="str">
        <f>IF($A763="","",games!$C763)</f>
        <v>Deckbuilder</v>
      </c>
      <c r="D763">
        <f>IF($A763="","",COUNTIF(connections!$A$2:$A$1400,$A763)+COUNTIF(connections!$B$2:$B$1400,$A763))</f>
        <v>5</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5.0007630000000001</v>
      </c>
      <c r="P763" t="str">
        <f>IF(OR($A763="",games!$H763=""),"",games!$H763)</f>
        <v/>
      </c>
      <c r="Q763" t="str">
        <f t="shared" si="154"/>
        <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Tiny Rogues</v>
      </c>
      <c r="B764">
        <f>IF($A764="","",games!$B764)</f>
        <v>2022</v>
      </c>
      <c r="C764" t="str">
        <f>IF($A764="","",games!$C764)</f>
        <v>Action</v>
      </c>
      <c r="D764">
        <f>IF($A764="","",COUNTIF(connections!$A$2:$A$1400,$A764)+COUNTIF(connections!$B$2:$B$1400,$A764))</f>
        <v>6</v>
      </c>
      <c r="E764">
        <f t="shared" si="143"/>
        <v>1</v>
      </c>
      <c r="F764">
        <f t="shared" si="144"/>
        <v>16</v>
      </c>
      <c r="G764">
        <f t="shared" si="145"/>
        <v>2022</v>
      </c>
      <c r="H764">
        <f t="shared" si="146"/>
        <v>1.3679999999999999</v>
      </c>
      <c r="I764" t="e">
        <f t="shared" si="147"/>
        <v>#N/A</v>
      </c>
      <c r="J764" t="e">
        <f t="shared" si="148"/>
        <v>#N/A</v>
      </c>
      <c r="K764" t="e">
        <f t="shared" si="149"/>
        <v>#N/A</v>
      </c>
      <c r="L764" t="e">
        <f t="shared" si="150"/>
        <v>#N/A</v>
      </c>
      <c r="M764" t="e">
        <f t="shared" si="151"/>
        <v>#N/A</v>
      </c>
      <c r="N764" t="e">
        <f t="shared" si="152"/>
        <v>#N/A</v>
      </c>
      <c r="O764">
        <f t="shared" si="153"/>
        <v>6.0007640000000002</v>
      </c>
      <c r="P764" t="str">
        <f>IF(OR($A764="",games!$H764=""),"",games!$H764)</f>
        <v>Yes</v>
      </c>
      <c r="Q764">
        <f t="shared" si="154"/>
        <v>6.0007640000000002</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Tinyfolks</v>
      </c>
      <c r="B765">
        <f>IF($A765="","",games!$B765)</f>
        <v>2022</v>
      </c>
      <c r="C765" t="str">
        <f>IF($A765="","",games!$C765)</f>
        <v>Strategy</v>
      </c>
      <c r="D765">
        <f>IF($A765="","",COUNTIF(connections!$A$2:$A$1400,$A765)+COUNTIF(connections!$B$2:$B$1400,$A765))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ToeJam &amp; Earl</v>
      </c>
      <c r="B766">
        <f>IF($A766="","",games!$B766)</f>
        <v>1991</v>
      </c>
      <c r="C766" t="str">
        <f>IF($A766="","",games!$C766)</f>
        <v>Action</v>
      </c>
      <c r="D766">
        <f>IF($A766="","",COUNTIF(connections!$A$2:$A$1400,$A766)+COUNTIF(connections!$B$2:$B$1400,$A766))</f>
        <v>3</v>
      </c>
      <c r="E766">
        <f t="shared" si="143"/>
        <v>1</v>
      </c>
      <c r="F766">
        <f t="shared" si="144"/>
        <v>18</v>
      </c>
      <c r="G766">
        <f t="shared" si="145"/>
        <v>1991</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ToeJam &amp; Earl: Back in the Groove!</v>
      </c>
      <c r="B767">
        <f>IF($A767="","",games!$B767)</f>
        <v>2019</v>
      </c>
      <c r="C767" t="str">
        <f>IF($A767="","",games!$C767)</f>
        <v>Action</v>
      </c>
      <c r="D767">
        <f>IF($A767="","",COUNTIF(connections!$A$2:$A$1400,$A767)+COUNTIF(connections!$B$2:$B$1400,$A767))</f>
        <v>1</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TombStar</v>
      </c>
      <c r="B768">
        <f>IF($A768="","",games!$B768)</f>
        <v>2022</v>
      </c>
      <c r="C768" t="str">
        <f>IF($A768="","",games!$C768)</f>
        <v>Action</v>
      </c>
      <c r="D768">
        <f>IF($A768="","",COUNTIF(connections!$A$2:$A$1400,$A768)+COUNTIF(connections!$B$2:$B$1400,$A768))</f>
        <v>2</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2.0007679999999999</v>
      </c>
      <c r="P768" t="str">
        <f>IF(OR($A768="",games!$H768=""),"",games!$H768)</f>
        <v>Yes</v>
      </c>
      <c r="Q768">
        <f t="shared" si="154"/>
        <v>2.0007679999999999</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Torneko: The Last Hope</v>
      </c>
      <c r="B769">
        <f>IF($A769="","",games!$B769)</f>
        <v>1999</v>
      </c>
      <c r="C769" t="str">
        <f>IF($A769="","",games!$C769)</f>
        <v>Traditional</v>
      </c>
      <c r="D769">
        <f>IF($A769="","",COUNTIF(connections!$A$2:$A$1400,$A769)+COUNTIF(connections!$B$2:$B$1400,$A769))</f>
        <v>3</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1999</v>
      </c>
      <c r="N769">
        <f t="shared" si="152"/>
        <v>4.4829999999999997</v>
      </c>
      <c r="O769">
        <f t="shared" si="153"/>
        <v>3.000769</v>
      </c>
      <c r="P769" t="str">
        <f>IF(OR($A769="",games!$H769=""),"",games!$H769)</f>
        <v>Yes</v>
      </c>
      <c r="Q769">
        <f t="shared" si="154"/>
        <v>3.000769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Torneko's Great Adventure 3</v>
      </c>
      <c r="B770">
        <f>IF($A770="","",games!$B770)</f>
        <v>2002</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2002</v>
      </c>
      <c r="N770">
        <f t="shared" ref="N770:N833" si="165">IF($A770="",NA(),IF($C770="Traditional",4+$F770*0.023,NA()))</f>
        <v>4.5060000000000002</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Torneko's Great Adventure: Mystery Dungeon</v>
      </c>
      <c r="B771">
        <f>IF($A771="","",games!$B771)</f>
        <v>1993</v>
      </c>
      <c r="C771" t="str">
        <f>IF($A771="","",games!$C771)</f>
        <v>Traditional</v>
      </c>
      <c r="D771">
        <f>IF($A771="","",COUNTIF(connections!$A$2:$A$1400,$A771)+COUNTIF(connections!$B$2:$B$1400,$A771))</f>
        <v>26</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1993</v>
      </c>
      <c r="N771">
        <f t="shared" si="165"/>
        <v>4.5289999999999999</v>
      </c>
      <c r="O771">
        <f t="shared" si="166"/>
        <v>26.000771</v>
      </c>
      <c r="P771" t="str">
        <f>IF(OR($A771="",games!$H771=""),"",games!$H771)</f>
        <v>Yes</v>
      </c>
      <c r="Q771">
        <f t="shared" si="167"/>
        <v>26.000771</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Crawl</v>
      </c>
      <c r="B772">
        <f>IF($A772="","",games!$B772)</f>
        <v>2025</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2025</v>
      </c>
      <c r="N772">
        <f t="shared" si="165"/>
        <v>4.5519999999999996</v>
      </c>
      <c r="O772">
        <f t="shared" si="166"/>
        <v>1.000772</v>
      </c>
      <c r="P772" t="str">
        <f>IF(OR($A772="",games!$H772=""),"",games!$H772)</f>
        <v>Yes</v>
      </c>
      <c r="Q772">
        <f t="shared" si="167"/>
        <v>1.000772</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Touhou Genso Wanderer: Foresight</v>
      </c>
      <c r="B773">
        <f>IF($A773="","",games!$B773)</f>
        <v>2024</v>
      </c>
      <c r="C773" t="str">
        <f>IF($A773="","",games!$C773)</f>
        <v>Traditional</v>
      </c>
      <c r="D773">
        <f>IF($A773="","",COUNTIF(connections!$A$2:$A$1400,$A773)+COUNTIF(connections!$B$2:$B$1400,$A773))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2024</v>
      </c>
      <c r="N773">
        <f t="shared" si="165"/>
        <v>4.5750000000000002</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Touhou Genso Wanderer: Lotus Labyrinth R</v>
      </c>
      <c r="B774">
        <f>IF($A774="","",games!$B774)</f>
        <v>2021</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2021</v>
      </c>
      <c r="N774">
        <f t="shared" si="165"/>
        <v>4.5979999999999999</v>
      </c>
      <c r="O774">
        <f t="shared" si="166"/>
        <v>1.0007740000000001</v>
      </c>
      <c r="P774" t="str">
        <f>IF(OR($A774="",games!$H774=""),"",games!$H774)</f>
        <v/>
      </c>
      <c r="Q774" t="str">
        <f t="shared" si="167"/>
        <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Touhou: Lost Branch of Legend</v>
      </c>
      <c r="B775">
        <f>IF($A775="","",games!$B775)</f>
        <v>2022</v>
      </c>
      <c r="C775" t="str">
        <f>IF($A775="","",games!$C775)</f>
        <v>Deckbuilder</v>
      </c>
      <c r="D775">
        <f>IF($A775="","",COUNTIF(connections!$A$2:$A$1400,$A775)+COUNTIF(connections!$B$2:$B$1400,$A775))</f>
        <v>1</v>
      </c>
      <c r="E775">
        <f t="shared" si="156"/>
        <v>3</v>
      </c>
      <c r="F775">
        <f t="shared" si="157"/>
        <v>27</v>
      </c>
      <c r="G775" t="e">
        <f t="shared" si="158"/>
        <v>#N/A</v>
      </c>
      <c r="H775" t="e">
        <f t="shared" si="159"/>
        <v>#N/A</v>
      </c>
      <c r="I775" t="e">
        <f t="shared" si="160"/>
        <v>#N/A</v>
      </c>
      <c r="J775" t="e">
        <f t="shared" si="161"/>
        <v>#N/A</v>
      </c>
      <c r="K775">
        <f t="shared" si="162"/>
        <v>2022</v>
      </c>
      <c r="L775">
        <f t="shared" si="163"/>
        <v>3.621</v>
      </c>
      <c r="M775" t="e">
        <f t="shared" si="164"/>
        <v>#N/A</v>
      </c>
      <c r="N775" t="e">
        <f t="shared" si="165"/>
        <v>#N/A</v>
      </c>
      <c r="O775">
        <f t="shared" si="166"/>
        <v>1.000775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Dominion</v>
      </c>
      <c r="B776">
        <f>IF($A776="","",games!$B776)</f>
        <v>2025</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2025</v>
      </c>
      <c r="J776">
        <f t="shared" si="161"/>
        <v>2.6440000000000001</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Escape</v>
      </c>
      <c r="B777">
        <f>IF($A777="","",games!$B777)</f>
        <v>2023</v>
      </c>
      <c r="C777" t="str">
        <f>IF($A777="","",games!$C777)</f>
        <v>Deckbuilder</v>
      </c>
      <c r="D777">
        <f>IF($A777="","",COUNTIF(connections!$A$2:$A$1400,$A777)+COUNTIF(connections!$B$2:$B$1400,$A777))</f>
        <v>2</v>
      </c>
      <c r="E777">
        <f t="shared" si="156"/>
        <v>3</v>
      </c>
      <c r="F777">
        <f t="shared" si="157"/>
        <v>29</v>
      </c>
      <c r="G777" t="e">
        <f t="shared" si="158"/>
        <v>#N/A</v>
      </c>
      <c r="H777" t="e">
        <f t="shared" si="159"/>
        <v>#N/A</v>
      </c>
      <c r="I777" t="e">
        <f t="shared" si="160"/>
        <v>#N/A</v>
      </c>
      <c r="J777" t="e">
        <f t="shared" si="161"/>
        <v>#N/A</v>
      </c>
      <c r="K777">
        <f t="shared" si="162"/>
        <v>2023</v>
      </c>
      <c r="L777">
        <f t="shared" si="163"/>
        <v>3.6669999999999998</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Factory</v>
      </c>
      <c r="B778">
        <f>IF($A778="","",games!$B778)</f>
        <v>2024</v>
      </c>
      <c r="C778" t="str">
        <f>IF($A778="","",games!$C778)</f>
        <v>Strategy</v>
      </c>
      <c r="D778">
        <f>IF($A778="","",COUNTIF(connections!$A$2:$A$1400,$A778)+COUNTIF(connections!$B$2:$B$1400,$A778))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Tower Fortress</v>
      </c>
      <c r="B779">
        <f>IF($A779="","",games!$B779)</f>
        <v>2017</v>
      </c>
      <c r="C779" t="str">
        <f>IF($A779="","",games!$C779)</f>
        <v>Action</v>
      </c>
      <c r="D779">
        <f>IF($A779="","",COUNTIF(connections!$A$2:$A$1400,$A779)+COUNTIF(connections!$B$2:$B$1400,$A779))</f>
        <v>1</v>
      </c>
      <c r="E779">
        <f t="shared" si="156"/>
        <v>1</v>
      </c>
      <c r="F779">
        <f t="shared" si="157"/>
        <v>31</v>
      </c>
      <c r="G779">
        <f t="shared" si="158"/>
        <v>2017</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Tower of Guns</v>
      </c>
      <c r="B780">
        <f>IF($A780="","",games!$B780)</f>
        <v>2014</v>
      </c>
      <c r="C780" t="str">
        <f>IF($A780="","",games!$C780)</f>
        <v>Action</v>
      </c>
      <c r="D780">
        <f>IF($A780="","",COUNTIF(connections!$A$2:$A$1400,$A780)+COUNTIF(connections!$B$2:$B$1400,$A780))</f>
        <v>2</v>
      </c>
      <c r="E780">
        <f t="shared" si="156"/>
        <v>1</v>
      </c>
      <c r="F780">
        <f t="shared" si="157"/>
        <v>32</v>
      </c>
      <c r="G780">
        <f t="shared" si="158"/>
        <v>2014</v>
      </c>
      <c r="H780">
        <f t="shared" si="159"/>
        <v>1.736</v>
      </c>
      <c r="I780" t="e">
        <f t="shared" si="160"/>
        <v>#N/A</v>
      </c>
      <c r="J780" t="e">
        <f t="shared" si="161"/>
        <v>#N/A</v>
      </c>
      <c r="K780" t="e">
        <f t="shared" si="162"/>
        <v>#N/A</v>
      </c>
      <c r="L780" t="e">
        <f t="shared" si="163"/>
        <v>#N/A</v>
      </c>
      <c r="M780" t="e">
        <f t="shared" si="164"/>
        <v>#N/A</v>
      </c>
      <c r="N780" t="e">
        <f t="shared" si="165"/>
        <v>#N/A</v>
      </c>
      <c r="O780">
        <f t="shared" si="166"/>
        <v>2.0007799999999998</v>
      </c>
      <c r="P780" t="str">
        <f>IF(OR($A780="",games!$H780=""),"",games!$H780)</f>
        <v>Yes</v>
      </c>
      <c r="Q780">
        <f t="shared" si="167"/>
        <v>2.0007799999999998</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Tower Tactics: Liberation</v>
      </c>
      <c r="B781">
        <f>IF($A781="","",games!$B781)</f>
        <v>2021</v>
      </c>
      <c r="C781" t="str">
        <f>IF($A781="","",games!$C781)</f>
        <v>Deckbuilder</v>
      </c>
      <c r="D781">
        <f>IF($A781="","",COUNTIF(connections!$A$2:$A$1400,$A781)+COUNTIF(connections!$B$2:$B$1400,$A781))</f>
        <v>3</v>
      </c>
      <c r="E781">
        <f t="shared" si="156"/>
        <v>3</v>
      </c>
      <c r="F781">
        <f t="shared" si="157"/>
        <v>33</v>
      </c>
      <c r="G781" t="e">
        <f t="shared" si="158"/>
        <v>#N/A</v>
      </c>
      <c r="H781" t="e">
        <f t="shared" si="159"/>
        <v>#N/A</v>
      </c>
      <c r="I781" t="e">
        <f t="shared" si="160"/>
        <v>#N/A</v>
      </c>
      <c r="J781" t="e">
        <f t="shared" si="161"/>
        <v>#N/A</v>
      </c>
      <c r="K781">
        <f t="shared" si="162"/>
        <v>2021</v>
      </c>
      <c r="L781">
        <f t="shared" si="163"/>
        <v>3.7589999999999999</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Toy Smash Kaboom!</v>
      </c>
      <c r="B782">
        <f>IF($A782="","",games!$B782)</f>
        <v>2025</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2025</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Trials of Fire</v>
      </c>
      <c r="B783">
        <f>IF($A783="","",games!$B783)</f>
        <v>2019</v>
      </c>
      <c r="C783" t="str">
        <f>IF($A783="","",games!$C783)</f>
        <v>Deckbuilder</v>
      </c>
      <c r="D783">
        <f>IF($A783="","",COUNTIF(connections!$A$2:$A$1400,$A783)+COUNTIF(connections!$B$2:$B$1400,$A783))</f>
        <v>1</v>
      </c>
      <c r="E783">
        <f t="shared" si="156"/>
        <v>3</v>
      </c>
      <c r="F783">
        <f t="shared" si="157"/>
        <v>1</v>
      </c>
      <c r="G783" t="e">
        <f t="shared" si="158"/>
        <v>#N/A</v>
      </c>
      <c r="H783" t="e">
        <f t="shared" si="159"/>
        <v>#N/A</v>
      </c>
      <c r="I783" t="e">
        <f t="shared" si="160"/>
        <v>#N/A</v>
      </c>
      <c r="J783" t="e">
        <f t="shared" si="161"/>
        <v>#N/A</v>
      </c>
      <c r="K783">
        <f t="shared" si="162"/>
        <v>2019</v>
      </c>
      <c r="L783">
        <f t="shared" si="163"/>
        <v>3.0230000000000001</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TumbleSeed</v>
      </c>
      <c r="B784">
        <f>IF($A784="","",games!$B784)</f>
        <v>2017</v>
      </c>
      <c r="C784" t="str">
        <f>IF($A784="","",games!$C784)</f>
        <v>Action</v>
      </c>
      <c r="D784">
        <f>IF($A784="","",COUNTIF(connections!$A$2:$A$1400,$A784)+COUNTIF(connections!$B$2:$B$1400,$A784))</f>
        <v>3</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Turnbound</v>
      </c>
      <c r="B785">
        <f>IF($A785="","",games!$B785)</f>
        <v>2026</v>
      </c>
      <c r="C785" t="str">
        <f>IF($A785="","",games!$C785)</f>
        <v>Deckbuilder</v>
      </c>
      <c r="D785">
        <f>IF($A785="","",COUNTIF(connections!$A$2:$A$1400,$A785)+COUNTIF(connections!$B$2:$B$1400,$A785))</f>
        <v>2</v>
      </c>
      <c r="E785">
        <f t="shared" si="156"/>
        <v>3</v>
      </c>
      <c r="F785">
        <f t="shared" si="157"/>
        <v>3</v>
      </c>
      <c r="G785" t="e">
        <f t="shared" si="158"/>
        <v>#N/A</v>
      </c>
      <c r="H785" t="e">
        <f t="shared" si="159"/>
        <v>#N/A</v>
      </c>
      <c r="I785" t="e">
        <f t="shared" si="160"/>
        <v>#N/A</v>
      </c>
      <c r="J785" t="e">
        <f t="shared" si="161"/>
        <v>#N/A</v>
      </c>
      <c r="K785">
        <f t="shared" si="162"/>
        <v>2026</v>
      </c>
      <c r="L785">
        <f t="shared" si="163"/>
        <v>3.069</v>
      </c>
      <c r="M785" t="e">
        <f t="shared" si="164"/>
        <v>#N/A</v>
      </c>
      <c r="N785" t="e">
        <f t="shared" si="165"/>
        <v>#N/A</v>
      </c>
      <c r="O785">
        <f t="shared" si="166"/>
        <v>2.000785</v>
      </c>
      <c r="P785" t="str">
        <f>IF(OR($A785="",games!$H785=""),"",games!$H785)</f>
        <v/>
      </c>
      <c r="Q785" t="str">
        <f t="shared" si="167"/>
        <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Tyrant's Realm</v>
      </c>
      <c r="B786">
        <f>IF($A786="","",games!$B786)</f>
        <v>2025</v>
      </c>
      <c r="C786" t="str">
        <f>IF($A786="","",games!$C786)</f>
        <v>Action</v>
      </c>
      <c r="D786">
        <f>IF($A786="","",COUNTIF(connections!$A$2:$A$1400,$A786)+COUNTIF(connections!$B$2:$B$1400,$A786))</f>
        <v>1</v>
      </c>
      <c r="E786">
        <f t="shared" si="156"/>
        <v>1</v>
      </c>
      <c r="F786">
        <f t="shared" si="157"/>
        <v>4</v>
      </c>
      <c r="G786">
        <f t="shared" si="158"/>
        <v>2025</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Ultima Ratio Regum</v>
      </c>
      <c r="B787">
        <f>IF($A787="","",games!$B787)</f>
        <v>2012</v>
      </c>
      <c r="C787" t="str">
        <f>IF($A787="","",games!$C787)</f>
        <v>Traditional</v>
      </c>
      <c r="D787">
        <f>IF($A787="","",COUNTIF(connections!$A$2:$A$1400,$A787)+COUNTIF(connections!$B$2:$B$1400,$A787))</f>
        <v>2</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2012</v>
      </c>
      <c r="N787">
        <f t="shared" si="165"/>
        <v>4.1150000000000002</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Ultimate ADOM</v>
      </c>
      <c r="B788">
        <f>IF($A788="","",games!$B788)</f>
        <v>2021</v>
      </c>
      <c r="C788" t="str">
        <f>IF($A788="","",games!$C788)</f>
        <v>Traditional</v>
      </c>
      <c r="D788">
        <f>IF($A788="","",COUNTIF(connections!$A$2:$A$1400,$A788)+COUNTIF(connections!$B$2:$B$1400,$A788))</f>
        <v>1</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2021</v>
      </c>
      <c r="N788">
        <f t="shared" si="165"/>
        <v>4.1379999999999999</v>
      </c>
      <c r="O788">
        <f t="shared" si="166"/>
        <v>1.000788</v>
      </c>
      <c r="P788" t="str">
        <f>IF(OR($A788="",games!$H788=""),"",games!$H788)</f>
        <v>Yes</v>
      </c>
      <c r="Q788">
        <f t="shared" si="167"/>
        <v>1.000788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Uma Musume: Pretty Derby</v>
      </c>
      <c r="B789">
        <f>IF($A789="","",games!$B789)</f>
        <v>2021</v>
      </c>
      <c r="C789" t="str">
        <f>IF($A789="","",games!$C789)</f>
        <v>Strategy</v>
      </c>
      <c r="D789">
        <f>IF($A789="","",COUNTIF(connections!$A$2:$A$1400,$A789)+COUNTIF(connections!$B$2:$B$1400,$A789))</f>
        <v>0</v>
      </c>
      <c r="E789">
        <f t="shared" si="156"/>
        <v>2</v>
      </c>
      <c r="F789">
        <f t="shared" si="157"/>
        <v>7</v>
      </c>
      <c r="G789" t="e">
        <f t="shared" si="158"/>
        <v>#N/A</v>
      </c>
      <c r="H789" t="e">
        <f t="shared" si="159"/>
        <v>#N/A</v>
      </c>
      <c r="I789">
        <f t="shared" si="160"/>
        <v>2021</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Underdogs</v>
      </c>
      <c r="B790">
        <f>IF($A790="","",games!$B790)</f>
        <v>2024</v>
      </c>
      <c r="C790" t="str">
        <f>IF($A790="","",games!$C790)</f>
        <v>Action</v>
      </c>
      <c r="D790">
        <f>IF($A790="","",COUNTIF(connections!$A$2:$A$1400,$A790)+COUNTIF(connections!$B$2:$B$1400,$A790))</f>
        <v>0</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7.9000000000000001E-4</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UnderMine</v>
      </c>
      <c r="B791">
        <f>IF($A791="","",games!$B791)</f>
        <v>2019</v>
      </c>
      <c r="C791" t="str">
        <f>IF($A791="","",games!$C791)</f>
        <v>Action</v>
      </c>
      <c r="D791">
        <f>IF($A791="","",COUNTIF(connections!$A$2:$A$1400,$A791)+COUNTIF(connections!$B$2:$B$1400,$A791))</f>
        <v>5</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5.0007910000000004</v>
      </c>
      <c r="P791" t="str">
        <f>IF(OR($A791="",games!$H791=""),"",games!$H791)</f>
        <v>Yes</v>
      </c>
      <c r="Q791">
        <f t="shared" si="167"/>
        <v>5.0007910000000004</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UnderMine 2</v>
      </c>
      <c r="B792">
        <f>IF($A792="","",games!$B792)</f>
        <v>2025</v>
      </c>
      <c r="C792" t="str">
        <f>IF($A792="","",games!$C792)</f>
        <v>Action</v>
      </c>
      <c r="D792">
        <f>IF($A792="","",COUNTIF(connections!$A$2:$A$1400,$A792)+COUNTIF(connections!$B$2:$B$1400,$A792))</f>
        <v>1</v>
      </c>
      <c r="E792">
        <f t="shared" si="156"/>
        <v>1</v>
      </c>
      <c r="F792">
        <f t="shared" si="157"/>
        <v>10</v>
      </c>
      <c r="G792">
        <f t="shared" si="158"/>
        <v>2025</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Unexplored</v>
      </c>
      <c r="B793">
        <f>IF($A793="","",games!$B793)</f>
        <v>2017</v>
      </c>
      <c r="C793" t="str">
        <f>IF($A793="","",games!$C793)</f>
        <v>Action</v>
      </c>
      <c r="D793">
        <f>IF($A793="","",COUNTIF(connections!$A$2:$A$1400,$A793)+COUNTIF(connections!$B$2:$B$1400,$A793))</f>
        <v>3</v>
      </c>
      <c r="E793">
        <f t="shared" si="156"/>
        <v>1</v>
      </c>
      <c r="F793">
        <f t="shared" si="157"/>
        <v>11</v>
      </c>
      <c r="G793">
        <f t="shared" si="158"/>
        <v>2017</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Unexplored 2: The Wayfarer's Legacy</v>
      </c>
      <c r="B794">
        <f>IF($A794="","",games!$B794)</f>
        <v>2022</v>
      </c>
      <c r="C794" t="str">
        <f>IF($A794="","",games!$C794)</f>
        <v>Action</v>
      </c>
      <c r="D794">
        <f>IF($A794="","",COUNTIF(connections!$A$2:$A$1400,$A794)+COUNTIF(connections!$B$2:$B$1400,$A794))</f>
        <v>1</v>
      </c>
      <c r="E794">
        <f t="shared" si="156"/>
        <v>1</v>
      </c>
      <c r="F794">
        <f t="shared" si="157"/>
        <v>12</v>
      </c>
      <c r="G794">
        <f t="shared" si="158"/>
        <v>2022</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UnReal World</v>
      </c>
      <c r="B795">
        <f>IF($A795="","",games!$B795)</f>
        <v>1992</v>
      </c>
      <c r="C795" t="str">
        <f>IF($A795="","",games!$C795)</f>
        <v>Traditional</v>
      </c>
      <c r="D795">
        <f>IF($A795="","",COUNTIF(connections!$A$2:$A$1400,$A795)+COUNTIF(connections!$B$2:$B$1400,$A795))</f>
        <v>3</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1992</v>
      </c>
      <c r="N795">
        <f t="shared" si="165"/>
        <v>4.2990000000000004</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Vagante</v>
      </c>
      <c r="B796">
        <f>IF($A796="","",games!$B796)</f>
        <v>2018</v>
      </c>
      <c r="C796" t="str">
        <f>IF($A796="","",games!$C796)</f>
        <v>Action</v>
      </c>
      <c r="D796">
        <f>IF($A796="","",COUNTIF(connections!$A$2:$A$1400,$A796)+COUNTIF(connections!$B$2:$B$1400,$A796))</f>
        <v>2</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Vampire Crawlers</v>
      </c>
      <c r="B797">
        <f>IF($A797="","",games!$B797)</f>
        <v>2026</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Vampire Hunters</v>
      </c>
      <c r="B798">
        <f>IF($A798="","",games!$B798)</f>
        <v>2023</v>
      </c>
      <c r="C798" t="str">
        <f>IF($A798="","",games!$C798)</f>
        <v>Action</v>
      </c>
      <c r="D798">
        <f>IF($A798="","",COUNTIF(connections!$A$2:$A$1400,$A798)+COUNTIF(connections!$B$2:$B$1400,$A798))</f>
        <v>1</v>
      </c>
      <c r="E798">
        <f t="shared" si="156"/>
        <v>1</v>
      </c>
      <c r="F798">
        <f t="shared" si="157"/>
        <v>16</v>
      </c>
      <c r="G798">
        <f t="shared" si="158"/>
        <v>2023</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Survivors</v>
      </c>
      <c r="B799">
        <f>IF($A799="","",games!$B799)</f>
        <v>2021</v>
      </c>
      <c r="C799" t="str">
        <f>IF($A799="","",games!$C799)</f>
        <v>Action</v>
      </c>
      <c r="D799">
        <f>IF($A799="","",COUNTIF(connections!$A$2:$A$1400,$A799)+COUNTIF(connections!$B$2:$B$1400,$A799))</f>
        <v>86</v>
      </c>
      <c r="E799">
        <f t="shared" si="156"/>
        <v>1</v>
      </c>
      <c r="F799">
        <f t="shared" si="157"/>
        <v>17</v>
      </c>
      <c r="G799">
        <f t="shared" si="158"/>
        <v>2021</v>
      </c>
      <c r="H799">
        <f t="shared" si="159"/>
        <v>1.391</v>
      </c>
      <c r="I799" t="e">
        <f t="shared" si="160"/>
        <v>#N/A</v>
      </c>
      <c r="J799" t="e">
        <f t="shared" si="161"/>
        <v>#N/A</v>
      </c>
      <c r="K799" t="e">
        <f t="shared" si="162"/>
        <v>#N/A</v>
      </c>
      <c r="L799" t="e">
        <f t="shared" si="163"/>
        <v>#N/A</v>
      </c>
      <c r="M799" t="e">
        <f t="shared" si="164"/>
        <v>#N/A</v>
      </c>
      <c r="N799" t="e">
        <f t="shared" si="165"/>
        <v>#N/A</v>
      </c>
      <c r="O799">
        <f t="shared" si="166"/>
        <v>86.000799000000001</v>
      </c>
      <c r="P799" t="str">
        <f>IF(OR($A799="",games!$H799=""),"",games!$H799)</f>
        <v>Yes</v>
      </c>
      <c r="Q799">
        <f t="shared" si="167"/>
        <v>86.000799000000001</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Vault of the Void</v>
      </c>
      <c r="B800">
        <f>IF($A800="","",games!$B800)</f>
        <v>2020</v>
      </c>
      <c r="C800" t="str">
        <f>IF($A800="","",games!$C800)</f>
        <v>Deckbuilder</v>
      </c>
      <c r="D800">
        <f>IF($A800="","",COUNTIF(connections!$A$2:$A$1400,$A800)+COUNTIF(connections!$B$2:$B$1400,$A800))</f>
        <v>1</v>
      </c>
      <c r="E800">
        <f t="shared" si="156"/>
        <v>3</v>
      </c>
      <c r="F800">
        <f t="shared" si="157"/>
        <v>18</v>
      </c>
      <c r="G800" t="e">
        <f t="shared" si="158"/>
        <v>#N/A</v>
      </c>
      <c r="H800" t="e">
        <f t="shared" si="159"/>
        <v>#N/A</v>
      </c>
      <c r="I800" t="e">
        <f t="shared" si="160"/>
        <v>#N/A</v>
      </c>
      <c r="J800" t="e">
        <f t="shared" si="161"/>
        <v>#N/A</v>
      </c>
      <c r="K800">
        <f t="shared" si="162"/>
        <v>2020</v>
      </c>
      <c r="L800">
        <f t="shared" si="163"/>
        <v>3.4140000000000001</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Vellum</v>
      </c>
      <c r="B801">
        <f>IF($A801="","",games!$B801)</f>
        <v>2024</v>
      </c>
      <c r="C801" t="str">
        <f>IF($A801="","",games!$C801)</f>
        <v>Action</v>
      </c>
      <c r="D801">
        <f>IF($A801="","",COUNTIF(connections!$A$2:$A$1400,$A801)+COUNTIF(connections!$B$2:$B$1400,$A801))</f>
        <v>6</v>
      </c>
      <c r="E801">
        <f t="shared" si="156"/>
        <v>1</v>
      </c>
      <c r="F801">
        <f t="shared" si="157"/>
        <v>19</v>
      </c>
      <c r="G801">
        <f t="shared" si="158"/>
        <v>2024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6.0008010000000001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Vital Shell</v>
      </c>
      <c r="B802">
        <f>IF($A802="","",games!$B802)</f>
        <v>2026</v>
      </c>
      <c r="C802" t="str">
        <f>IF($A802="","",games!$C802)</f>
        <v>Action</v>
      </c>
      <c r="D802">
        <f>IF($A802="","",COUNTIF(connections!$A$2:$A$1400,$A802)+COUNTIF(connections!$B$2:$B$1400,$A802))</f>
        <v>1</v>
      </c>
      <c r="E802">
        <f t="shared" si="156"/>
        <v>1</v>
      </c>
      <c r="F802">
        <f t="shared" si="157"/>
        <v>20</v>
      </c>
      <c r="G802">
        <f t="shared" si="158"/>
        <v>2026</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Vivid Knight</v>
      </c>
      <c r="B803">
        <f>IF($A803="","",games!$B803)</f>
        <v>2021</v>
      </c>
      <c r="C803" t="str">
        <f>IF($A803="","",games!$C803)</f>
        <v>Deckbuilder</v>
      </c>
      <c r="D803">
        <f>IF($A803="","",COUNTIF(connections!$A$2:$A$1400,$A803)+COUNTIF(connections!$B$2:$B$1400,$A803))</f>
        <v>4</v>
      </c>
      <c r="E803">
        <f t="shared" si="156"/>
        <v>3</v>
      </c>
      <c r="F803">
        <f t="shared" si="157"/>
        <v>21</v>
      </c>
      <c r="G803" t="e">
        <f t="shared" si="158"/>
        <v>#N/A</v>
      </c>
      <c r="H803" t="e">
        <f t="shared" si="159"/>
        <v>#N/A</v>
      </c>
      <c r="I803" t="e">
        <f t="shared" si="160"/>
        <v>#N/A</v>
      </c>
      <c r="J803" t="e">
        <f t="shared" si="161"/>
        <v>#N/A</v>
      </c>
      <c r="K803">
        <f t="shared" si="162"/>
        <v>2021</v>
      </c>
      <c r="L803">
        <f t="shared" si="163"/>
        <v>3.4830000000000001</v>
      </c>
      <c r="M803" t="e">
        <f t="shared" si="164"/>
        <v>#N/A</v>
      </c>
      <c r="N803" t="e">
        <f t="shared" si="165"/>
        <v>#N/A</v>
      </c>
      <c r="O803">
        <f t="shared" si="166"/>
        <v>4.0008030000000003</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Vivid World</v>
      </c>
      <c r="B804">
        <f>IF($A804="","",games!$B804)</f>
        <v>2025</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Voice of Belldona</v>
      </c>
      <c r="B805">
        <f>IF($A805="","",games!$B805)</f>
        <v>2026</v>
      </c>
      <c r="C805" t="str">
        <f>IF($A805="","",games!$C805)</f>
        <v>Deckbuilder</v>
      </c>
      <c r="D805">
        <f>IF($A805="","",COUNTIF(connections!$A$2:$A$1400,$A805)+COUNTIF(connections!$B$2:$B$1400,$A805))</f>
        <v>2</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 Bastards</v>
      </c>
      <c r="B806">
        <f>IF($A806="","",games!$B806)</f>
        <v>2019</v>
      </c>
      <c r="C806" t="str">
        <f>IF($A806="","",games!$C806)</f>
        <v>Action</v>
      </c>
      <c r="D806">
        <f>IF($A806="","",COUNTIF(connections!$A$2:$A$1400,$A806)+COUNTIF(connections!$B$2:$B$1400,$A806))</f>
        <v>2</v>
      </c>
      <c r="E806">
        <f t="shared" si="156"/>
        <v>1</v>
      </c>
      <c r="F806">
        <f t="shared" si="157"/>
        <v>24</v>
      </c>
      <c r="G806">
        <f t="shared" si="158"/>
        <v>2019</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 Scrappers</v>
      </c>
      <c r="B807">
        <f>IF($A807="","",games!$B807)</f>
        <v>2022</v>
      </c>
      <c r="C807" t="str">
        <f>IF($A807="","",games!$C807)</f>
        <v>Action</v>
      </c>
      <c r="D807">
        <f>IF($A807="","",COUNTIF(connections!$A$2:$A$1400,$A807)+COUNTIF(connections!$B$2:$B$1400,$A807))</f>
        <v>2</v>
      </c>
      <c r="E807">
        <f t="shared" si="156"/>
        <v>1</v>
      </c>
      <c r="F807">
        <f t="shared" si="157"/>
        <v>25</v>
      </c>
      <c r="G807">
        <f t="shared" si="158"/>
        <v>2022</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Yes</v>
      </c>
      <c r="Q807">
        <f t="shared" si="167"/>
        <v>2.000807</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Void War</v>
      </c>
      <c r="B808">
        <f>IF($A808="","",games!$B808)</f>
        <v>2024</v>
      </c>
      <c r="C808" t="str">
        <f>IF($A808="","",games!$C808)</f>
        <v>Strategy</v>
      </c>
      <c r="D808">
        <f>IF($A808="","",COUNTIF(connections!$A$2:$A$1400,$A808)+COUNTIF(connections!$B$2:$B$1400,$A808))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Voidigo</v>
      </c>
      <c r="B809">
        <f>IF($A809="","",games!$B809)</f>
        <v>2023</v>
      </c>
      <c r="C809" t="str">
        <f>IF($A809="","",games!$C809)</f>
        <v>Action</v>
      </c>
      <c r="D809">
        <f>IF($A809="","",COUNTIF(connections!$A$2:$A$1400,$A809)+COUNTIF(connections!$B$2:$B$1400,$A809))</f>
        <v>1</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Voids Vigil</v>
      </c>
      <c r="B810">
        <f>IF($A810="","",games!$B810)</f>
        <v>2024</v>
      </c>
      <c r="C810" t="str">
        <f>IF($A810="","",games!$C810)</f>
        <v>Action</v>
      </c>
      <c r="D810">
        <f>IF($A810="","",COUNTIF(connections!$A$2:$A$1400,$A810)+COUNTIF(connections!$B$2:$B$1400,$A810))</f>
        <v>2</v>
      </c>
      <c r="E810">
        <f t="shared" si="156"/>
        <v>1</v>
      </c>
      <c r="F810">
        <f t="shared" si="157"/>
        <v>28</v>
      </c>
      <c r="G810">
        <f t="shared" si="158"/>
        <v>2024</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Voin</v>
      </c>
      <c r="B811">
        <f>IF($A811="","",games!$B811)</f>
        <v>2024</v>
      </c>
      <c r="C811" t="str">
        <f>IF($A811="","",games!$C811)</f>
        <v>Action</v>
      </c>
      <c r="D811">
        <f>IF($A811="","",COUNTIF(connections!$A$2:$A$1400,$A811)+COUNTIF(connections!$B$2:$B$1400,$A811))</f>
        <v>1</v>
      </c>
      <c r="E811">
        <f t="shared" si="156"/>
        <v>1</v>
      </c>
      <c r="F811">
        <f t="shared" si="157"/>
        <v>29</v>
      </c>
      <c r="G811">
        <f t="shared" si="158"/>
        <v>2024</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Waku Waku Puyo Puyo Dungeon</v>
      </c>
      <c r="B812">
        <f>IF($A812="","",games!$B812)</f>
        <v>1998</v>
      </c>
      <c r="C812" t="str">
        <f>IF($A812="","",games!$C812)</f>
        <v>Traditional</v>
      </c>
      <c r="D812">
        <f>IF($A812="","",COUNTIF(connections!$A$2:$A$1400,$A812)+COUNTIF(connections!$B$2:$B$1400,$A812))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1998</v>
      </c>
      <c r="N812">
        <f t="shared" si="165"/>
        <v>4.6899999999999995</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Wall World</v>
      </c>
      <c r="B813">
        <f>IF($A813="","",games!$B813)</f>
        <v>2023</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2023</v>
      </c>
      <c r="J813">
        <f t="shared" si="161"/>
        <v>2.7130000000000001</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Wall World 2</v>
      </c>
      <c r="B814">
        <f>IF($A814="","",games!$B814)</f>
        <v>2025</v>
      </c>
      <c r="C814" t="str">
        <f>IF($A814="","",games!$C814)</f>
        <v>Strategy</v>
      </c>
      <c r="D814">
        <f>IF($A814="","",COUNTIF(connections!$A$2:$A$1400,$A814)+COUNTIF(connections!$B$2:$B$1400,$A814))</f>
        <v>1</v>
      </c>
      <c r="E814">
        <f t="shared" si="156"/>
        <v>2</v>
      </c>
      <c r="F814">
        <f t="shared" si="157"/>
        <v>32</v>
      </c>
      <c r="G814" t="e">
        <f t="shared" si="158"/>
        <v>#N/A</v>
      </c>
      <c r="H814" t="e">
        <f t="shared" si="159"/>
        <v>#N/A</v>
      </c>
      <c r="I814">
        <f t="shared" si="160"/>
        <v>2025</v>
      </c>
      <c r="J814">
        <f t="shared" si="161"/>
        <v>2.7359999999999998</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Warhammer Survivors</v>
      </c>
      <c r="B815">
        <f>IF($A815="","",games!$B815)</f>
        <v>2026</v>
      </c>
      <c r="C815" t="str">
        <f>IF($A815="","",games!$C815)</f>
        <v>Action</v>
      </c>
      <c r="D815">
        <f>IF($A815="","",COUNTIF(connections!$A$2:$A$1400,$A815)+COUNTIF(connections!$B$2:$B$1400,$A815))</f>
        <v>1</v>
      </c>
      <c r="E815">
        <f t="shared" si="156"/>
        <v>1</v>
      </c>
      <c r="F815">
        <f t="shared" si="157"/>
        <v>33</v>
      </c>
      <c r="G815">
        <f t="shared" si="158"/>
        <v>2026</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WarpVector</v>
      </c>
      <c r="B816">
        <f>IF($A816="","",games!$B816)</f>
        <v>2023</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2023</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Warriors: Abyss</v>
      </c>
      <c r="B817">
        <f>IF($A817="","",games!$B817)</f>
        <v>2025</v>
      </c>
      <c r="C817" t="str">
        <f>IF($A817="","",games!$C817)</f>
        <v>Action</v>
      </c>
      <c r="D817">
        <f>IF($A817="","",COUNTIF(connections!$A$2:$A$1400,$A817)+COUNTIF(connections!$B$2:$B$1400,$A817))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Warsim: The Realm of Aslona</v>
      </c>
      <c r="B818">
        <f>IF($A818="","",games!$B818)</f>
        <v>2017</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2017</v>
      </c>
      <c r="J818">
        <f t="shared" si="161"/>
        <v>2.0459999999999998</v>
      </c>
      <c r="K818" t="e">
        <f t="shared" si="162"/>
        <v>#N/A</v>
      </c>
      <c r="L818" t="e">
        <f t="shared" si="163"/>
        <v>#N/A</v>
      </c>
      <c r="M818" t="e">
        <f t="shared" si="164"/>
        <v>#N/A</v>
      </c>
      <c r="N818" t="e">
        <f t="shared" si="165"/>
        <v>#N/A</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Wayward</v>
      </c>
      <c r="B819">
        <f>IF($A819="","",games!$B819)</f>
        <v>2011</v>
      </c>
      <c r="C819" t="str">
        <f>IF($A819="","",games!$C819)</f>
        <v>Traditional</v>
      </c>
      <c r="D819">
        <f>IF($A819="","",COUNTIF(connections!$A$2:$A$1400,$A819)+COUNTIF(connections!$B$2:$B$1400,$A819))</f>
        <v>2</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2011</v>
      </c>
      <c r="N819">
        <f t="shared" si="165"/>
        <v>4.069</v>
      </c>
      <c r="O819">
        <f t="shared" si="166"/>
        <v>2.0008189999999999</v>
      </c>
      <c r="P819" t="str">
        <f>IF(OR($A819="",games!$H819=""),"",games!$H819)</f>
        <v/>
      </c>
      <c r="Q819" t="str">
        <f t="shared" si="167"/>
        <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WazHack</v>
      </c>
      <c r="B820">
        <f>IF($A820="","",games!$B820)</f>
        <v>2012</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2012</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We Need To Go Deeper</v>
      </c>
      <c r="B821">
        <f>IF($A821="","",games!$B821)</f>
        <v>2017</v>
      </c>
      <c r="C821" t="str">
        <f>IF($A821="","",games!$C821)</f>
        <v>Action</v>
      </c>
      <c r="D821">
        <f>IF($A821="","",COUNTIF(connections!$A$2:$A$1400,$A821)+COUNTIF(connections!$B$2:$B$1400,$A821))</f>
        <v>0</v>
      </c>
      <c r="E821">
        <f t="shared" si="156"/>
        <v>1</v>
      </c>
      <c r="F821">
        <f t="shared" si="157"/>
        <v>5</v>
      </c>
      <c r="G821">
        <f t="shared" si="158"/>
        <v>2017</v>
      </c>
      <c r="H821">
        <f t="shared" si="159"/>
        <v>1.115</v>
      </c>
      <c r="I821" t="e">
        <f t="shared" si="160"/>
        <v>#N/A</v>
      </c>
      <c r="J821" t="e">
        <f t="shared" si="161"/>
        <v>#N/A</v>
      </c>
      <c r="K821" t="e">
        <f t="shared" si="162"/>
        <v>#N/A</v>
      </c>
      <c r="L821" t="e">
        <f t="shared" si="163"/>
        <v>#N/A</v>
      </c>
      <c r="M821" t="e">
        <f t="shared" si="164"/>
        <v>#N/A</v>
      </c>
      <c r="N821" t="e">
        <f t="shared" si="165"/>
        <v>#N/A</v>
      </c>
      <c r="O821">
        <f t="shared" si="166"/>
        <v>8.2100000000000001E-4</v>
      </c>
      <c r="P821" t="str">
        <f>IF(OR($A821="",games!$H821=""),"",games!$H821)</f>
        <v>Yes</v>
      </c>
      <c r="Q821">
        <f t="shared" si="167"/>
        <v>8.2100000000000001E-4</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Weird Worlds: Return to Infinite Space</v>
      </c>
      <c r="B822">
        <f>IF($A822="","",games!$B822)</f>
        <v>2005</v>
      </c>
      <c r="C822" t="str">
        <f>IF($A822="","",games!$C822)</f>
        <v>Strategy</v>
      </c>
      <c r="D822">
        <f>IF($A822="","",COUNTIF(connections!$A$2:$A$1400,$A822)+COUNTIF(connections!$B$2:$B$1400,$A822))</f>
        <v>2</v>
      </c>
      <c r="E822">
        <f t="shared" si="156"/>
        <v>2</v>
      </c>
      <c r="F822">
        <f t="shared" si="157"/>
        <v>6</v>
      </c>
      <c r="G822" t="e">
        <f t="shared" si="158"/>
        <v>#N/A</v>
      </c>
      <c r="H822" t="e">
        <f t="shared" si="159"/>
        <v>#N/A</v>
      </c>
      <c r="I822">
        <f t="shared" si="160"/>
        <v>2005</v>
      </c>
      <c r="J822">
        <f t="shared" si="161"/>
        <v>2.1379999999999999</v>
      </c>
      <c r="K822" t="e">
        <f t="shared" si="162"/>
        <v>#N/A</v>
      </c>
      <c r="L822" t="e">
        <f t="shared" si="163"/>
        <v>#N/A</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West of Dead</v>
      </c>
      <c r="B823">
        <f>IF($A823="","",games!$B823)</f>
        <v>2020</v>
      </c>
      <c r="C823" t="str">
        <f>IF($A823="","",games!$C823)</f>
        <v>Action</v>
      </c>
      <c r="D823">
        <f>IF($A823="","",COUNTIF(connections!$A$2:$A$1400,$A823)+COUNTIF(connections!$B$2:$B$1400,$A823))</f>
        <v>1</v>
      </c>
      <c r="E823">
        <f t="shared" si="156"/>
        <v>1</v>
      </c>
      <c r="F823">
        <f t="shared" si="157"/>
        <v>7</v>
      </c>
      <c r="G823">
        <f t="shared" si="158"/>
        <v>2020</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Whisker Squadron: Survivor</v>
      </c>
      <c r="B824">
        <f>IF($A824="","",games!$B824)</f>
        <v>2025</v>
      </c>
      <c r="C824" t="str">
        <f>IF($A824="","",games!$C824)</f>
        <v>Action</v>
      </c>
      <c r="D824">
        <f>IF($A824="","",COUNTIF(connections!$A$2:$A$1400,$A824)+COUNTIF(connections!$B$2:$B$1400,$A824))</f>
        <v>1</v>
      </c>
      <c r="E824">
        <f t="shared" si="156"/>
        <v>1</v>
      </c>
      <c r="F824">
        <f t="shared" si="157"/>
        <v>8</v>
      </c>
      <c r="G824">
        <f t="shared" si="158"/>
        <v>2025</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White Knuckle</v>
      </c>
      <c r="B825">
        <f>IF($A825="","",games!$B825)</f>
        <v>2025</v>
      </c>
      <c r="C825" t="str">
        <f>IF($A825="","",games!$C825)</f>
        <v>Action</v>
      </c>
      <c r="D825">
        <f>IF($A825="","",COUNTIF(connections!$A$2:$A$1400,$A825)+COUNTIF(connections!$B$2:$B$1400,$A825))</f>
        <v>0</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
      </c>
      <c r="Q825" t="str">
        <f t="shared" si="167"/>
        <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Wild Bastards</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Wildermyth</v>
      </c>
      <c r="B827">
        <f>IF($A827="","",games!$B827)</f>
        <v>2019</v>
      </c>
      <c r="C827" t="str">
        <f>IF($A827="","",games!$C827)</f>
        <v>Strategy</v>
      </c>
      <c r="D827">
        <f>IF($A827="","",COUNTIF(connections!$A$2:$A$1400,$A827)+COUNTIF(connections!$B$2:$B$1400,$A827))</f>
        <v>0</v>
      </c>
      <c r="E827">
        <f t="shared" si="156"/>
        <v>2</v>
      </c>
      <c r="F827">
        <f t="shared" si="157"/>
        <v>11</v>
      </c>
      <c r="G827" t="e">
        <f t="shared" si="158"/>
        <v>#N/A</v>
      </c>
      <c r="H827" t="e">
        <f t="shared" si="159"/>
        <v>#N/A</v>
      </c>
      <c r="I827">
        <f t="shared" si="160"/>
        <v>2019</v>
      </c>
      <c r="J827">
        <f t="shared" si="161"/>
        <v>2.2530000000000001</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Wildfrost</v>
      </c>
      <c r="B828">
        <f>IF($A828="","",games!$B828)</f>
        <v>2023</v>
      </c>
      <c r="C828" t="str">
        <f>IF($A828="","",games!$C828)</f>
        <v>Deckbuilder</v>
      </c>
      <c r="D828">
        <f>IF($A828="","",COUNTIF(connections!$A$2:$A$1400,$A828)+COUNTIF(connections!$B$2:$B$1400,$A828))</f>
        <v>8</v>
      </c>
      <c r="E828">
        <f t="shared" si="156"/>
        <v>3</v>
      </c>
      <c r="F828">
        <f t="shared" si="157"/>
        <v>12</v>
      </c>
      <c r="G828" t="e">
        <f t="shared" si="158"/>
        <v>#N/A</v>
      </c>
      <c r="H828" t="e">
        <f t="shared" si="159"/>
        <v>#N/A</v>
      </c>
      <c r="I828" t="e">
        <f t="shared" si="160"/>
        <v>#N/A</v>
      </c>
      <c r="J828" t="e">
        <f t="shared" si="161"/>
        <v>#N/A</v>
      </c>
      <c r="K828">
        <f t="shared" si="162"/>
        <v>2023</v>
      </c>
      <c r="L828">
        <f t="shared" si="163"/>
        <v>3.2759999999999998</v>
      </c>
      <c r="M828" t="e">
        <f t="shared" si="164"/>
        <v>#N/A</v>
      </c>
      <c r="N828" t="e">
        <f t="shared" si="165"/>
        <v>#N/A</v>
      </c>
      <c r="O828">
        <f t="shared" si="166"/>
        <v>8.0008280000000003</v>
      </c>
      <c r="P828" t="str">
        <f>IF(OR($A828="",games!$H828=""),"",games!$H828)</f>
        <v>Yes</v>
      </c>
      <c r="Q828">
        <f t="shared" si="167"/>
        <v>8.0008280000000003</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Windblown</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Winnie's Hole</v>
      </c>
      <c r="B830">
        <f>IF($A830="","",games!$B830)</f>
        <v>2026</v>
      </c>
      <c r="C830" t="str">
        <f>IF($A830="","",games!$C830)</f>
        <v>Deckbuilder</v>
      </c>
      <c r="D830">
        <f>IF($A830="","",COUNTIF(connections!$A$2:$A$1400,$A830)+COUNTIF(connections!$B$2:$B$1400,$A830))</f>
        <v>3</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Wireworks</v>
      </c>
      <c r="B831">
        <f>IF($A831="","",games!$B831)</f>
        <v>2026</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2026</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Witchfire</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Witch's Apocalyptic Journey</v>
      </c>
      <c r="B833">
        <f>IF($A833="","",games!$B833)</f>
        <v>2026</v>
      </c>
      <c r="C833" t="str">
        <f>IF($A833="","",games!$C833)</f>
        <v>Deckbuilder</v>
      </c>
      <c r="D833">
        <f>IF($A833="","",COUNTIF(connections!$A$2:$A$1400,$A833)+COUNTIF(connections!$B$2:$B$1400,$A833))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Wizard of Legend</v>
      </c>
      <c r="B834">
        <f>IF($A834="","",games!$B834)</f>
        <v>2018</v>
      </c>
      <c r="C834" t="str">
        <f>IF($A834="","",games!$C834)</f>
        <v>Action</v>
      </c>
      <c r="D834">
        <f>IF($A834="","",COUNTIF(connections!$A$2:$A$1400,$A834)+COUNTIF(connections!$B$2:$B$1400,$A834))</f>
        <v>4</v>
      </c>
      <c r="E834">
        <f t="shared" ref="E834:E897" si="169">IF($A834="","",IFERROR(MATCH($C834,$R$2:$R$5,0),0))</f>
        <v>1</v>
      </c>
      <c r="F834">
        <f t="shared" ref="F834:F897" si="170">IF($A834="","",MOD(ROW(),34))</f>
        <v>18</v>
      </c>
      <c r="G834">
        <f t="shared" ref="G834:G897" si="171">IF($A834="",NA(),IF($C834="Action",$B834,NA()))</f>
        <v>2018</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4.0008340000000002</v>
      </c>
      <c r="P834" t="str">
        <f>IF(OR($A834="",games!$H834=""),"",games!$H834)</f>
        <v>Yes</v>
      </c>
      <c r="Q834">
        <f t="shared" ref="Q834:Q897" si="180">IF(OR($A834="",$P834&lt;&gt;"Yes"),"",$D834+ROW()/1000000)</f>
        <v>4.0008340000000002</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Wizard of Legend 2</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WizardChess</v>
      </c>
      <c r="B836">
        <f>IF($A836="","",games!$B836)</f>
        <v>2021</v>
      </c>
      <c r="C836" t="str">
        <f>IF($A836="","",games!$C836)</f>
        <v>Strategy</v>
      </c>
      <c r="D836">
        <f>IF($A836="","",COUNTIF(connections!$A$2:$A$1400,$A836)+COUNTIF(connections!$B$2:$B$1400,$A836))</f>
        <v>1</v>
      </c>
      <c r="E836">
        <f t="shared" si="169"/>
        <v>2</v>
      </c>
      <c r="F836">
        <f t="shared" si="170"/>
        <v>20</v>
      </c>
      <c r="G836" t="e">
        <f t="shared" si="171"/>
        <v>#N/A</v>
      </c>
      <c r="H836" t="e">
        <f t="shared" si="172"/>
        <v>#N/A</v>
      </c>
      <c r="I836">
        <f t="shared" si="173"/>
        <v>2021</v>
      </c>
      <c r="J836">
        <f t="shared" si="174"/>
        <v>2.46</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Word Play</v>
      </c>
      <c r="B837">
        <f>IF($A837="","",games!$B837)</f>
        <v>2025</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2025</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Wordatro!</v>
      </c>
      <c r="B838">
        <f>IF($A838="","",games!$B838)</f>
        <v>2025</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2025</v>
      </c>
      <c r="L838">
        <f t="shared" si="176"/>
        <v>3.5060000000000002</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Words Can Kill</v>
      </c>
      <c r="B839">
        <f>IF($A839="","",games!$B839)</f>
        <v>2022</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2022</v>
      </c>
      <c r="L839">
        <f t="shared" si="176"/>
        <v>3.5289999999999999</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Worlds Upon The Wind</v>
      </c>
      <c r="B840">
        <f>IF($A840="","",games!$B840)</f>
        <v>2026</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2026</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Yasha: Legends of the Demon Blade</v>
      </c>
      <c r="B841">
        <f>IF($A841="","",games!$B841)</f>
        <v>2025</v>
      </c>
      <c r="C841" t="str">
        <f>IF($A841="","",games!$C841)</f>
        <v>Action</v>
      </c>
      <c r="D841">
        <f>IF($A841="","",COUNTIF(connections!$A$2:$A$1400,$A841)+COUNTIF(connections!$B$2:$B$1400,$A841))</f>
        <v>1</v>
      </c>
      <c r="E841">
        <f t="shared" si="169"/>
        <v>1</v>
      </c>
      <c r="F841">
        <f t="shared" si="170"/>
        <v>25</v>
      </c>
      <c r="G841">
        <f t="shared" si="171"/>
        <v>2025</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Yet Another Zombie Survivors</v>
      </c>
      <c r="B842">
        <f>IF($A842="","",games!$B842)</f>
        <v>2023</v>
      </c>
      <c r="C842" t="str">
        <f>IF($A842="","",games!$C842)</f>
        <v>Action</v>
      </c>
      <c r="D842">
        <f>IF($A842="","",COUNTIF(connections!$A$2:$A$1400,$A842)+COUNTIF(connections!$B$2:$B$1400,$A842))</f>
        <v>1</v>
      </c>
      <c r="E842">
        <f t="shared" si="169"/>
        <v>1</v>
      </c>
      <c r="F842">
        <f t="shared" si="170"/>
        <v>26</v>
      </c>
      <c r="G842">
        <f t="shared" si="171"/>
        <v>2023</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Yohane the Parhelion: Numazu in the Mirage</v>
      </c>
      <c r="B843">
        <f>IF($A843="","",games!$B843)</f>
        <v>2024</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2024</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Youdanji</v>
      </c>
      <c r="B844">
        <f>IF($A844="","",games!$B844)</f>
        <v>2017</v>
      </c>
      <c r="C844" t="str">
        <f>IF($A844="","",games!$C844)</f>
        <v>Traditional</v>
      </c>
      <c r="D844">
        <f>IF($A844="","",COUNTIF(connections!$A$2:$A$1400,$A844)+COUNTIF(connections!$B$2:$B$1400,$A844))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2017</v>
      </c>
      <c r="N844">
        <f t="shared" si="178"/>
        <v>4.6440000000000001</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Z.H.P. Unlosing Ranger VS Darkdeath Evilman</v>
      </c>
      <c r="B845">
        <f>IF($A845="","",games!$B845)</f>
        <v>2010</v>
      </c>
      <c r="C845" t="str">
        <f>IF($A845="","",games!$C845)</f>
        <v>Traditional</v>
      </c>
      <c r="D845">
        <f>IF($A845="","",COUNTIF(connections!$A$2:$A$1400,$A845)+COUNTIF(connections!$B$2:$B$1400,$A845))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2010</v>
      </c>
      <c r="N845">
        <f t="shared" si="178"/>
        <v>4.6669999999999998</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Zangband</v>
      </c>
      <c r="B846">
        <f>IF($A846="","",games!$B846)</f>
        <v>1994</v>
      </c>
      <c r="C846" t="str">
        <f>IF($A846="","",games!$C846)</f>
        <v>Traditional</v>
      </c>
      <c r="D846">
        <f>IF($A846="","",COUNTIF(connections!$A$2:$A$1400,$A846)+COUNTIF(connections!$B$2:$B$1400,$A846))</f>
        <v>4</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1994</v>
      </c>
      <c r="N846">
        <f t="shared" si="178"/>
        <v>4.6899999999999995</v>
      </c>
      <c r="O846">
        <f t="shared" si="179"/>
        <v>4.0008460000000001</v>
      </c>
      <c r="P846" t="str">
        <f>IF(OR($A846="",games!$H846=""),"",games!$H846)</f>
        <v>Yes</v>
      </c>
      <c r="Q846">
        <f t="shared" si="180"/>
        <v>4.0008460000000001</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Zet Zillions</v>
      </c>
      <c r="B847">
        <f>IF($A847="","",games!$B847)</f>
        <v>2024</v>
      </c>
      <c r="C847" t="str">
        <f>IF($A847="","",games!$C847)</f>
        <v>Deckbuilder</v>
      </c>
      <c r="D847">
        <f>IF($A847="","",COUNTIF(connections!$A$2:$A$1400,$A847)+COUNTIF(connections!$B$2:$B$1400,$A847))</f>
        <v>2</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Ziggurat</v>
      </c>
      <c r="B848">
        <f>IF($A848="","",games!$B848)</f>
        <v>2014</v>
      </c>
      <c r="C848" t="str">
        <f>IF($A848="","",games!$C848)</f>
        <v>Action</v>
      </c>
      <c r="D848">
        <f>IF($A848="","",COUNTIF(connections!$A$2:$A$1400,$A848)+COUNTIF(connections!$B$2:$B$1400,$A848))</f>
        <v>2</v>
      </c>
      <c r="E848">
        <f t="shared" si="169"/>
        <v>1</v>
      </c>
      <c r="F848">
        <f t="shared" si="170"/>
        <v>32</v>
      </c>
      <c r="G848">
        <f t="shared" si="171"/>
        <v>2014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Ziggurat 2</v>
      </c>
      <c r="B849">
        <f>IF($A849="","",games!$B849)</f>
        <v>2020</v>
      </c>
      <c r="C849" t="str">
        <f>IF($A849="","",games!$C849)</f>
        <v>Action</v>
      </c>
      <c r="D849">
        <f>IF($A849="","",COUNTIF(connections!$A$2:$A$1400,$A849)+COUNTIF(connections!$B$2:$B$1400,$A849))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ZMAngband</v>
      </c>
      <c r="B850">
        <f>IF($A850="","",games!$B850)</f>
        <v>2025</v>
      </c>
      <c r="C850" t="str">
        <f>IF($A850="","",games!$C850)</f>
        <v>Traditional</v>
      </c>
      <c r="D850">
        <f>IF($A850="","",COUNTIF(connections!$A$2:$A$1400,$A850)+COUNTIF(connections!$B$2:$B$1400,$A850))</f>
        <v>6</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2025</v>
      </c>
      <c r="N850">
        <f t="shared" si="178"/>
        <v>4</v>
      </c>
      <c r="O850">
        <f t="shared" si="179"/>
        <v>6.0008499999999998</v>
      </c>
      <c r="P850" t="str">
        <f>IF(OR($A850="",games!$H850=""),"",games!$H850)</f>
        <v>Yes</v>
      </c>
      <c r="Q850">
        <f t="shared" si="180"/>
        <v>6.0008499999999998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Zoeti</v>
      </c>
      <c r="B851">
        <f>IF($A851="","",games!$B851)</f>
        <v>2023</v>
      </c>
      <c r="C851" t="str">
        <f>IF($A851="","",games!$C851)</f>
        <v>Deckbuilder</v>
      </c>
      <c r="D851">
        <f>IF($A851="","",COUNTIF(connections!$A$2:$A$1400,$A851)+COUNTIF(connections!$B$2:$B$1400,$A851))</f>
        <v>3</v>
      </c>
      <c r="E851">
        <f t="shared" si="169"/>
        <v>3</v>
      </c>
      <c r="F851">
        <f t="shared" si="170"/>
        <v>1</v>
      </c>
      <c r="G851" t="e">
        <f t="shared" si="171"/>
        <v>#N/A</v>
      </c>
      <c r="H851" t="e">
        <f t="shared" si="172"/>
        <v>#N/A</v>
      </c>
      <c r="I851" t="e">
        <f t="shared" si="173"/>
        <v>#N/A</v>
      </c>
      <c r="J851" t="e">
        <f t="shared" si="174"/>
        <v>#N/A</v>
      </c>
      <c r="K851">
        <f t="shared" si="175"/>
        <v>2023</v>
      </c>
      <c r="L851">
        <f t="shared" si="176"/>
        <v>3.0230000000000001</v>
      </c>
      <c r="M851" t="e">
        <f t="shared" si="177"/>
        <v>#N/A</v>
      </c>
      <c r="N851" t="e">
        <f t="shared" si="178"/>
        <v>#N/A</v>
      </c>
      <c r="O851">
        <f t="shared" si="179"/>
        <v>3.0008509999999999</v>
      </c>
      <c r="P851" t="str">
        <f>IF(OR($A851="",games!$H851=""),"",games!$H851)</f>
        <v>Yes</v>
      </c>
      <c r="Q851">
        <f t="shared" si="180"/>
        <v>3.0008509999999999</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Zoominoes</v>
      </c>
      <c r="B852">
        <f>IF($A852="","",games!$B852)</f>
        <v>2026</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Zorbus</v>
      </c>
      <c r="B853">
        <f>IF($A853="","",games!$B853)</f>
        <v>2022</v>
      </c>
      <c r="C853" t="str">
        <f>IF($A853="","",games!$C853)</f>
        <v>Traditional</v>
      </c>
      <c r="D853">
        <f>IF($A853="","",COUNTIF(connections!$A$2:$A$1400,$A853)+COUNTIF(connections!$B$2:$B$1400,$A853))</f>
        <v>1</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2022</v>
      </c>
      <c r="N853">
        <f t="shared" si="178"/>
        <v>4.069</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f>IF(connections!$A1216="","",IFERROR(INDEX(games!$B$2:$B$950,MATCH(connections!$A1216,games!$A$2:$A$950,0)),""))</f>
        <v>2022</v>
      </c>
      <c r="U1216">
        <f>IF(connections!$A1216="","",IFERROR(INDEX(games!$B$2:$B$950,MATCH(connections!$B1216,games!$A$2:$A$950,0)),""))</f>
        <v>2023</v>
      </c>
      <c r="V1216">
        <f t="shared" si="198"/>
        <v>1</v>
      </c>
    </row>
    <row r="1217" spans="20:22" x14ac:dyDescent="0.25">
      <c r="T1217">
        <f>IF(connections!$A1217="","",IFERROR(INDEX(games!$B$2:$B$950,MATCH(connections!$A1217,games!$A$2:$A$950,0)),""))</f>
        <v>2015</v>
      </c>
      <c r="U1217">
        <f>IF(connections!$A1217="","",IFERROR(INDEX(games!$B$2:$B$950,MATCH(connections!$B1217,games!$A$2:$A$950,0)),""))</f>
        <v>2026</v>
      </c>
      <c r="V1217">
        <f t="shared" si="198"/>
        <v>11</v>
      </c>
    </row>
    <row r="1218" spans="20:22" x14ac:dyDescent="0.25">
      <c r="T1218">
        <f>IF(connections!$A1218="","",IFERROR(INDEX(games!$B$2:$B$950,MATCH(connections!$A1218,games!$A$2:$A$950,0)),""))</f>
        <v>2020</v>
      </c>
      <c r="U1218">
        <f>IF(connections!$A1218="","",IFERROR(INDEX(games!$B$2:$B$950,MATCH(connections!$B1218,games!$A$2:$A$950,0)),""))</f>
        <v>2026</v>
      </c>
      <c r="V1218">
        <f t="shared" ref="V1218:V1281" si="199">IF(OR($T1218="",$U1218=""),"",$U1218-$T1218)</f>
        <v>6</v>
      </c>
    </row>
    <row r="1219" spans="20:22" x14ac:dyDescent="0.25">
      <c r="T1219">
        <f>IF(connections!$A1219="","",IFERROR(INDEX(games!$B$2:$B$950,MATCH(connections!$A1219,games!$A$2:$A$950,0)),""))</f>
        <v>2024</v>
      </c>
      <c r="U1219">
        <f>IF(connections!$A1219="","",IFERROR(INDEX(games!$B$2:$B$950,MATCH(connections!$B1219,games!$A$2:$A$950,0)),""))</f>
        <v>2026</v>
      </c>
      <c r="V1219">
        <f t="shared" si="199"/>
        <v>2</v>
      </c>
    </row>
    <row r="1220" spans="20:22" x14ac:dyDescent="0.25">
      <c r="T1220">
        <f>IF(connections!$A1220="","",IFERROR(INDEX(games!$B$2:$B$950,MATCH(connections!$A1220,games!$A$2:$A$950,0)),""))</f>
        <v>2023</v>
      </c>
      <c r="U1220">
        <f>IF(connections!$A1220="","",IFERROR(INDEX(games!$B$2:$B$950,MATCH(connections!$B1220,games!$A$2:$A$950,0)),""))</f>
        <v>2026</v>
      </c>
      <c r="V1220">
        <f t="shared" si="199"/>
        <v>3</v>
      </c>
    </row>
    <row r="1221" spans="20:22" x14ac:dyDescent="0.25">
      <c r="T1221">
        <f>IF(connections!$A1221="","",IFERROR(INDEX(games!$B$2:$B$950,MATCH(connections!$A1221,games!$A$2:$A$950,0)),""))</f>
        <v>2023</v>
      </c>
      <c r="U1221">
        <f>IF(connections!$A1221="","",IFERROR(INDEX(games!$B$2:$B$950,MATCH(connections!$B1221,games!$A$2:$A$950,0)),""))</f>
        <v>2026</v>
      </c>
      <c r="V1221">
        <f t="shared" si="199"/>
        <v>3</v>
      </c>
    </row>
    <row r="1222" spans="20:22" x14ac:dyDescent="0.25">
      <c r="T1222">
        <f>IF(connections!$A1222="","",IFERROR(INDEX(games!$B$2:$B$950,MATCH(connections!$A1222,games!$A$2:$A$950,0)),""))</f>
        <v>2022</v>
      </c>
      <c r="U1222">
        <f>IF(connections!$A1222="","",IFERROR(INDEX(games!$B$2:$B$950,MATCH(connections!$B1222,games!$A$2:$A$950,0)),""))</f>
        <v>2026</v>
      </c>
      <c r="V1222">
        <f t="shared" si="199"/>
        <v>4</v>
      </c>
    </row>
    <row r="1223" spans="20:22" x14ac:dyDescent="0.25">
      <c r="T1223">
        <f>IF(connections!$A1223="","",IFERROR(INDEX(games!$B$2:$B$950,MATCH(connections!$A1223,games!$A$2:$A$950,0)),""))</f>
        <v>2024</v>
      </c>
      <c r="U1223">
        <f>IF(connections!$A1223="","",IFERROR(INDEX(games!$B$2:$B$950,MATCH(connections!$B1223,games!$A$2:$A$950,0)),""))</f>
        <v>2026</v>
      </c>
      <c r="V1223">
        <f t="shared" si="199"/>
        <v>2</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2026-08-18T04:27:27Z</dcterms:modified>
  <dc:language>en-US</dc:language>
</cp:coreProperties>
</file>